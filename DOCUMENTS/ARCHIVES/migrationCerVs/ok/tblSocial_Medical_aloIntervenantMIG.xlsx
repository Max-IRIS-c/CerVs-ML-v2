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ionel\Desktop\migrationCerVs\ok\"/>
    </mc:Choice>
  </mc:AlternateContent>
  <bookViews>
    <workbookView xWindow="0" yWindow="0" windowWidth="28800" windowHeight="11235" activeTab="2"/>
  </bookViews>
  <sheets>
    <sheet name="gescon_infosparticip" sheetId="1" r:id="rId1"/>
    <sheet name="migInfoMédical" sheetId="2" r:id="rId2"/>
    <sheet name="migAloIntervenant" sheetId="4" r:id="rId3"/>
    <sheet name="migInfoSocial" sheetId="3" r:id="rId4"/>
  </sheets>
  <calcPr calcId="152511"/>
</workbook>
</file>

<file path=xl/calcChain.xml><?xml version="1.0" encoding="utf-8"?>
<calcChain xmlns="http://schemas.openxmlformats.org/spreadsheetml/2006/main">
  <c r="B4" i="3" l="1"/>
  <c r="C4" i="3"/>
  <c r="D4"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B5" i="3"/>
  <c r="C5" i="3"/>
  <c r="D5"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B6" i="3"/>
  <c r="C6" i="3"/>
  <c r="D6" i="3"/>
  <c r="E6" i="3"/>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B7" i="3"/>
  <c r="C7" i="3"/>
  <c r="D7" i="3"/>
  <c r="E7" i="3"/>
  <c r="F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B8" i="3"/>
  <c r="C8" i="3"/>
  <c r="D8" i="3"/>
  <c r="E8" i="3"/>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B9" i="3"/>
  <c r="C9" i="3"/>
  <c r="D9" i="3"/>
  <c r="E9" i="3"/>
  <c r="F9" i="3"/>
  <c r="G9" i="3"/>
  <c r="H9" i="3"/>
  <c r="I9" i="3"/>
  <c r="J9" i="3"/>
  <c r="K9" i="3"/>
  <c r="L9" i="3"/>
  <c r="M9" i="3"/>
  <c r="N9" i="3"/>
  <c r="O9" i="3"/>
  <c r="P9" i="3"/>
  <c r="Q9" i="3"/>
  <c r="R9" i="3"/>
  <c r="S9" i="3"/>
  <c r="T9" i="3"/>
  <c r="U9" i="3"/>
  <c r="V9" i="3"/>
  <c r="W9" i="3"/>
  <c r="X9" i="3"/>
  <c r="Y9" i="3"/>
  <c r="Z9" i="3"/>
  <c r="AA9" i="3"/>
  <c r="AB9" i="3"/>
  <c r="AC9" i="3"/>
  <c r="AD9" i="3"/>
  <c r="AE9" i="3"/>
  <c r="AF9" i="3"/>
  <c r="AG9" i="3"/>
  <c r="AH9" i="3"/>
  <c r="AI9" i="3"/>
  <c r="AJ9" i="3"/>
  <c r="B10" i="3"/>
  <c r="C10" i="3"/>
  <c r="D10" i="3"/>
  <c r="E10" i="3"/>
  <c r="F10" i="3"/>
  <c r="G10" i="3"/>
  <c r="H10" i="3"/>
  <c r="I10" i="3"/>
  <c r="J10" i="3"/>
  <c r="K10" i="3"/>
  <c r="L10" i="3"/>
  <c r="M10" i="3"/>
  <c r="N10" i="3"/>
  <c r="O10" i="3"/>
  <c r="P10" i="3"/>
  <c r="Q10" i="3"/>
  <c r="R10" i="3"/>
  <c r="S10" i="3"/>
  <c r="T10" i="3"/>
  <c r="U10" i="3"/>
  <c r="V10" i="3"/>
  <c r="W10" i="3"/>
  <c r="X10" i="3"/>
  <c r="Y10" i="3"/>
  <c r="Z10" i="3"/>
  <c r="AA10" i="3"/>
  <c r="AB10" i="3"/>
  <c r="AC10" i="3"/>
  <c r="AD10" i="3"/>
  <c r="AE10" i="3"/>
  <c r="AF10" i="3"/>
  <c r="AG10" i="3"/>
  <c r="AH10" i="3"/>
  <c r="AI10" i="3"/>
  <c r="AJ10" i="3"/>
  <c r="B11" i="3"/>
  <c r="C11" i="3"/>
  <c r="D11"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AG11" i="3"/>
  <c r="AH11" i="3"/>
  <c r="AI11" i="3"/>
  <c r="AJ11" i="3"/>
  <c r="B12" i="3"/>
  <c r="C12" i="3"/>
  <c r="D12" i="3"/>
  <c r="E12" i="3"/>
  <c r="F12" i="3"/>
  <c r="G12" i="3"/>
  <c r="H12" i="3"/>
  <c r="I12" i="3"/>
  <c r="J12" i="3"/>
  <c r="K12" i="3"/>
  <c r="L12" i="3"/>
  <c r="M12" i="3"/>
  <c r="N12" i="3"/>
  <c r="O12" i="3"/>
  <c r="P12" i="3"/>
  <c r="Q12" i="3"/>
  <c r="R12" i="3"/>
  <c r="S12" i="3"/>
  <c r="T12" i="3"/>
  <c r="U12" i="3"/>
  <c r="V12" i="3"/>
  <c r="W12" i="3"/>
  <c r="X12" i="3"/>
  <c r="Y12" i="3"/>
  <c r="Z12" i="3"/>
  <c r="AA12" i="3"/>
  <c r="AB12" i="3"/>
  <c r="AC12" i="3"/>
  <c r="AD12" i="3"/>
  <c r="AE12" i="3"/>
  <c r="AF12" i="3"/>
  <c r="AG12" i="3"/>
  <c r="AH12" i="3"/>
  <c r="AI12" i="3"/>
  <c r="AJ12" i="3"/>
  <c r="B13" i="3"/>
  <c r="C13" i="3"/>
  <c r="D13" i="3"/>
  <c r="E13" i="3"/>
  <c r="F13" i="3"/>
  <c r="G13" i="3"/>
  <c r="H13" i="3"/>
  <c r="I13" i="3"/>
  <c r="J13" i="3"/>
  <c r="K13" i="3"/>
  <c r="L13" i="3"/>
  <c r="M13" i="3"/>
  <c r="N13" i="3"/>
  <c r="O13" i="3"/>
  <c r="P13" i="3"/>
  <c r="Q13" i="3"/>
  <c r="R13" i="3"/>
  <c r="S13" i="3"/>
  <c r="T13" i="3"/>
  <c r="U13" i="3"/>
  <c r="V13" i="3"/>
  <c r="W13" i="3"/>
  <c r="X13" i="3"/>
  <c r="Y13" i="3"/>
  <c r="Z13" i="3"/>
  <c r="AA13" i="3"/>
  <c r="AB13" i="3"/>
  <c r="AC13" i="3"/>
  <c r="AD13" i="3"/>
  <c r="AE13" i="3"/>
  <c r="AF13" i="3"/>
  <c r="AG13" i="3"/>
  <c r="AH13" i="3"/>
  <c r="AI13" i="3"/>
  <c r="AJ13" i="3"/>
  <c r="B14" i="3"/>
  <c r="C14" i="3"/>
  <c r="D14" i="3"/>
  <c r="E14" i="3"/>
  <c r="F14" i="3"/>
  <c r="G14" i="3"/>
  <c r="H14" i="3"/>
  <c r="I14" i="3"/>
  <c r="J14" i="3"/>
  <c r="K14" i="3"/>
  <c r="L14" i="3"/>
  <c r="M14" i="3"/>
  <c r="N14" i="3"/>
  <c r="O14" i="3"/>
  <c r="P14" i="3"/>
  <c r="Q14" i="3"/>
  <c r="R14" i="3"/>
  <c r="S14" i="3"/>
  <c r="T14" i="3"/>
  <c r="U14" i="3"/>
  <c r="V14" i="3"/>
  <c r="W14" i="3"/>
  <c r="X14" i="3"/>
  <c r="Y14" i="3"/>
  <c r="Z14" i="3"/>
  <c r="AA14" i="3"/>
  <c r="AB14" i="3"/>
  <c r="AC14" i="3"/>
  <c r="AD14" i="3"/>
  <c r="AE14" i="3"/>
  <c r="AF14" i="3"/>
  <c r="AG14" i="3"/>
  <c r="AH14" i="3"/>
  <c r="AI14" i="3"/>
  <c r="AJ14" i="3"/>
  <c r="B15" i="3"/>
  <c r="C15" i="3"/>
  <c r="D15" i="3"/>
  <c r="E15" i="3"/>
  <c r="F15" i="3"/>
  <c r="G15" i="3"/>
  <c r="H15" i="3"/>
  <c r="I15" i="3"/>
  <c r="J15" i="3"/>
  <c r="K15" i="3"/>
  <c r="L15" i="3"/>
  <c r="M15" i="3"/>
  <c r="N15" i="3"/>
  <c r="O15" i="3"/>
  <c r="P15" i="3"/>
  <c r="Q15" i="3"/>
  <c r="R15" i="3"/>
  <c r="S15" i="3"/>
  <c r="T15" i="3"/>
  <c r="U15" i="3"/>
  <c r="V15" i="3"/>
  <c r="W15" i="3"/>
  <c r="X15" i="3"/>
  <c r="Y15" i="3"/>
  <c r="Z15" i="3"/>
  <c r="AA15" i="3"/>
  <c r="AB15" i="3"/>
  <c r="AC15" i="3"/>
  <c r="AD15" i="3"/>
  <c r="AE15" i="3"/>
  <c r="AF15" i="3"/>
  <c r="AG15" i="3"/>
  <c r="AH15" i="3"/>
  <c r="AI15" i="3"/>
  <c r="AJ15" i="3"/>
  <c r="B16" i="3"/>
  <c r="C16" i="3"/>
  <c r="D16" i="3"/>
  <c r="E16" i="3"/>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AG16" i="3"/>
  <c r="AH16" i="3"/>
  <c r="AI16" i="3"/>
  <c r="AJ16" i="3"/>
  <c r="B17" i="3"/>
  <c r="C17" i="3"/>
  <c r="D17" i="3"/>
  <c r="E17" i="3"/>
  <c r="F17" i="3"/>
  <c r="G17" i="3"/>
  <c r="H17" i="3"/>
  <c r="I17" i="3"/>
  <c r="J17" i="3"/>
  <c r="K17" i="3"/>
  <c r="L17" i="3"/>
  <c r="M17" i="3"/>
  <c r="N17" i="3"/>
  <c r="O17" i="3"/>
  <c r="P17" i="3"/>
  <c r="Q17" i="3"/>
  <c r="R17" i="3"/>
  <c r="S17" i="3"/>
  <c r="T17" i="3"/>
  <c r="U17" i="3"/>
  <c r="V17" i="3"/>
  <c r="W17" i="3"/>
  <c r="X17" i="3"/>
  <c r="Y17" i="3"/>
  <c r="Z17" i="3"/>
  <c r="AA17" i="3"/>
  <c r="AB17" i="3"/>
  <c r="AC17" i="3"/>
  <c r="AD17" i="3"/>
  <c r="AE17" i="3"/>
  <c r="AF17" i="3"/>
  <c r="AG17" i="3"/>
  <c r="AH17" i="3"/>
  <c r="AI17" i="3"/>
  <c r="AJ17" i="3"/>
  <c r="B18" i="3"/>
  <c r="C18" i="3"/>
  <c r="D18" i="3"/>
  <c r="E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AG18" i="3"/>
  <c r="AH18" i="3"/>
  <c r="AI18" i="3"/>
  <c r="AJ18" i="3"/>
  <c r="B19" i="3"/>
  <c r="C19" i="3"/>
  <c r="D19" i="3"/>
  <c r="E19" i="3"/>
  <c r="F19" i="3"/>
  <c r="G19" i="3"/>
  <c r="H19" i="3"/>
  <c r="I19" i="3"/>
  <c r="J19" i="3"/>
  <c r="K19" i="3"/>
  <c r="L19" i="3"/>
  <c r="M19" i="3"/>
  <c r="N19" i="3"/>
  <c r="O19" i="3"/>
  <c r="P19" i="3"/>
  <c r="Q19" i="3"/>
  <c r="R19" i="3"/>
  <c r="S19" i="3"/>
  <c r="T19" i="3"/>
  <c r="U19" i="3"/>
  <c r="V19" i="3"/>
  <c r="W19" i="3"/>
  <c r="X19" i="3"/>
  <c r="Y19" i="3"/>
  <c r="Z19" i="3"/>
  <c r="AA19" i="3"/>
  <c r="AB19" i="3"/>
  <c r="AC19" i="3"/>
  <c r="AD19" i="3"/>
  <c r="AE19" i="3"/>
  <c r="AF19" i="3"/>
  <c r="AG19" i="3"/>
  <c r="AH19" i="3"/>
  <c r="AI19" i="3"/>
  <c r="AJ19" i="3"/>
  <c r="B20" i="3"/>
  <c r="C20" i="3"/>
  <c r="D20" i="3"/>
  <c r="E20" i="3"/>
  <c r="F20" i="3"/>
  <c r="G20" i="3"/>
  <c r="H20" i="3"/>
  <c r="I20" i="3"/>
  <c r="J20" i="3"/>
  <c r="K20" i="3"/>
  <c r="L20" i="3"/>
  <c r="M20" i="3"/>
  <c r="N20" i="3"/>
  <c r="O20" i="3"/>
  <c r="P20" i="3"/>
  <c r="Q20" i="3"/>
  <c r="R20" i="3"/>
  <c r="S20" i="3"/>
  <c r="T20" i="3"/>
  <c r="U20" i="3"/>
  <c r="V20" i="3"/>
  <c r="W20" i="3"/>
  <c r="X20" i="3"/>
  <c r="Y20" i="3"/>
  <c r="Z20" i="3"/>
  <c r="AA20" i="3"/>
  <c r="AB20" i="3"/>
  <c r="AC20" i="3"/>
  <c r="AD20" i="3"/>
  <c r="AE20" i="3"/>
  <c r="AF20" i="3"/>
  <c r="AG20" i="3"/>
  <c r="AH20" i="3"/>
  <c r="AI20" i="3"/>
  <c r="AJ20" i="3"/>
  <c r="B21" i="3"/>
  <c r="C21" i="3"/>
  <c r="D21" i="3"/>
  <c r="E21" i="3"/>
  <c r="F21" i="3"/>
  <c r="G21" i="3"/>
  <c r="H21" i="3"/>
  <c r="I21" i="3"/>
  <c r="J21" i="3"/>
  <c r="K21" i="3"/>
  <c r="L21" i="3"/>
  <c r="M21" i="3"/>
  <c r="N21" i="3"/>
  <c r="O21" i="3"/>
  <c r="P21" i="3"/>
  <c r="Q21" i="3"/>
  <c r="R21" i="3"/>
  <c r="S21" i="3"/>
  <c r="T21" i="3"/>
  <c r="U21" i="3"/>
  <c r="V21" i="3"/>
  <c r="W21" i="3"/>
  <c r="X21" i="3"/>
  <c r="Y21" i="3"/>
  <c r="Z21" i="3"/>
  <c r="AA21" i="3"/>
  <c r="AB21" i="3"/>
  <c r="AC21" i="3"/>
  <c r="AD21" i="3"/>
  <c r="AE21" i="3"/>
  <c r="AF21" i="3"/>
  <c r="AG21" i="3"/>
  <c r="AH21" i="3"/>
  <c r="AI21" i="3"/>
  <c r="AJ21" i="3"/>
  <c r="B22" i="3"/>
  <c r="C22" i="3"/>
  <c r="D22" i="3"/>
  <c r="E22" i="3"/>
  <c r="F22" i="3"/>
  <c r="G22" i="3"/>
  <c r="H22" i="3"/>
  <c r="I22" i="3"/>
  <c r="J22" i="3"/>
  <c r="K22" i="3"/>
  <c r="L22" i="3"/>
  <c r="M22" i="3"/>
  <c r="N22" i="3"/>
  <c r="O22" i="3"/>
  <c r="P22" i="3"/>
  <c r="Q22" i="3"/>
  <c r="R22" i="3"/>
  <c r="S22" i="3"/>
  <c r="T22" i="3"/>
  <c r="U22" i="3"/>
  <c r="V22" i="3"/>
  <c r="W22" i="3"/>
  <c r="X22" i="3"/>
  <c r="Y22" i="3"/>
  <c r="Z22" i="3"/>
  <c r="AA22" i="3"/>
  <c r="AB22" i="3"/>
  <c r="AC22" i="3"/>
  <c r="AD22" i="3"/>
  <c r="AE22" i="3"/>
  <c r="AF22" i="3"/>
  <c r="AG22" i="3"/>
  <c r="AH22" i="3"/>
  <c r="AI22" i="3"/>
  <c r="AJ22" i="3"/>
  <c r="B23" i="3"/>
  <c r="C23" i="3"/>
  <c r="D23" i="3"/>
  <c r="E23" i="3"/>
  <c r="F23" i="3"/>
  <c r="G23" i="3"/>
  <c r="H23" i="3"/>
  <c r="I23" i="3"/>
  <c r="J23" i="3"/>
  <c r="K23" i="3"/>
  <c r="L23" i="3"/>
  <c r="M23" i="3"/>
  <c r="N23" i="3"/>
  <c r="O23" i="3"/>
  <c r="P23" i="3"/>
  <c r="Q23" i="3"/>
  <c r="R23" i="3"/>
  <c r="S23" i="3"/>
  <c r="T23" i="3"/>
  <c r="U23" i="3"/>
  <c r="V23" i="3"/>
  <c r="W23" i="3"/>
  <c r="X23" i="3"/>
  <c r="Y23" i="3"/>
  <c r="Z23" i="3"/>
  <c r="AA23" i="3"/>
  <c r="AB23" i="3"/>
  <c r="AC23" i="3"/>
  <c r="AD23" i="3"/>
  <c r="AE23" i="3"/>
  <c r="AF23" i="3"/>
  <c r="AG23" i="3"/>
  <c r="AH23" i="3"/>
  <c r="AI23" i="3"/>
  <c r="AJ23" i="3"/>
  <c r="B24" i="3"/>
  <c r="C24" i="3"/>
  <c r="D24" i="3"/>
  <c r="E24" i="3"/>
  <c r="F24" i="3"/>
  <c r="G24" i="3"/>
  <c r="H24" i="3"/>
  <c r="I24" i="3"/>
  <c r="J24" i="3"/>
  <c r="K24" i="3"/>
  <c r="L24" i="3"/>
  <c r="M24" i="3"/>
  <c r="N24" i="3"/>
  <c r="O24" i="3"/>
  <c r="P24" i="3"/>
  <c r="Q24" i="3"/>
  <c r="R24" i="3"/>
  <c r="S24" i="3"/>
  <c r="T24" i="3"/>
  <c r="U24" i="3"/>
  <c r="V24" i="3"/>
  <c r="W24" i="3"/>
  <c r="X24" i="3"/>
  <c r="Y24" i="3"/>
  <c r="Z24" i="3"/>
  <c r="AA24" i="3"/>
  <c r="AB24" i="3"/>
  <c r="AC24" i="3"/>
  <c r="AD24" i="3"/>
  <c r="AE24" i="3"/>
  <c r="AF24" i="3"/>
  <c r="AG24" i="3"/>
  <c r="AH24" i="3"/>
  <c r="AI24" i="3"/>
  <c r="AJ24" i="3"/>
  <c r="B25" i="3"/>
  <c r="C25" i="3"/>
  <c r="D25" i="3"/>
  <c r="E25" i="3"/>
  <c r="F25" i="3"/>
  <c r="G25" i="3"/>
  <c r="H25" i="3"/>
  <c r="I25" i="3"/>
  <c r="J25" i="3"/>
  <c r="K25" i="3"/>
  <c r="L25" i="3"/>
  <c r="M25" i="3"/>
  <c r="N25" i="3"/>
  <c r="O25" i="3"/>
  <c r="P25" i="3"/>
  <c r="Q25" i="3"/>
  <c r="R25" i="3"/>
  <c r="S25" i="3"/>
  <c r="T25" i="3"/>
  <c r="U25" i="3"/>
  <c r="V25" i="3"/>
  <c r="W25" i="3"/>
  <c r="X25" i="3"/>
  <c r="Y25" i="3"/>
  <c r="Z25" i="3"/>
  <c r="AA25" i="3"/>
  <c r="AB25" i="3"/>
  <c r="AC25" i="3"/>
  <c r="AD25" i="3"/>
  <c r="AE25" i="3"/>
  <c r="AF25" i="3"/>
  <c r="AG25" i="3"/>
  <c r="AH25" i="3"/>
  <c r="AI25" i="3"/>
  <c r="AJ25" i="3"/>
  <c r="B26" i="3"/>
  <c r="C26" i="3"/>
  <c r="D26" i="3"/>
  <c r="E26" i="3"/>
  <c r="F26" i="3"/>
  <c r="G26" i="3"/>
  <c r="H26" i="3"/>
  <c r="I26" i="3"/>
  <c r="J26" i="3"/>
  <c r="K26" i="3"/>
  <c r="L26" i="3"/>
  <c r="M26" i="3"/>
  <c r="N26" i="3"/>
  <c r="O26" i="3"/>
  <c r="P26" i="3"/>
  <c r="Q26" i="3"/>
  <c r="R26" i="3"/>
  <c r="S26" i="3"/>
  <c r="T26" i="3"/>
  <c r="U26" i="3"/>
  <c r="V26" i="3"/>
  <c r="W26" i="3"/>
  <c r="X26" i="3"/>
  <c r="Y26" i="3"/>
  <c r="Z26" i="3"/>
  <c r="AA26" i="3"/>
  <c r="AB26" i="3"/>
  <c r="AC26" i="3"/>
  <c r="AD26" i="3"/>
  <c r="AE26" i="3"/>
  <c r="AF26" i="3"/>
  <c r="AG26" i="3"/>
  <c r="AH26" i="3"/>
  <c r="AI26" i="3"/>
  <c r="AJ26" i="3"/>
  <c r="B27" i="3"/>
  <c r="C27" i="3"/>
  <c r="D27" i="3"/>
  <c r="E27" i="3"/>
  <c r="F27" i="3"/>
  <c r="G27" i="3"/>
  <c r="H27" i="3"/>
  <c r="I27" i="3"/>
  <c r="J27" i="3"/>
  <c r="K27" i="3"/>
  <c r="L27" i="3"/>
  <c r="M27" i="3"/>
  <c r="N27" i="3"/>
  <c r="O27" i="3"/>
  <c r="P27" i="3"/>
  <c r="Q27" i="3"/>
  <c r="R27" i="3"/>
  <c r="S27" i="3"/>
  <c r="T27" i="3"/>
  <c r="U27" i="3"/>
  <c r="V27" i="3"/>
  <c r="W27" i="3"/>
  <c r="X27" i="3"/>
  <c r="Y27" i="3"/>
  <c r="Z27" i="3"/>
  <c r="AA27" i="3"/>
  <c r="AB27" i="3"/>
  <c r="AC27" i="3"/>
  <c r="AD27" i="3"/>
  <c r="AE27" i="3"/>
  <c r="AF27" i="3"/>
  <c r="AG27" i="3"/>
  <c r="AH27" i="3"/>
  <c r="AI27" i="3"/>
  <c r="AJ27" i="3"/>
  <c r="B28" i="3"/>
  <c r="C28" i="3"/>
  <c r="D28" i="3"/>
  <c r="E28" i="3"/>
  <c r="F28" i="3"/>
  <c r="G28" i="3"/>
  <c r="H28" i="3"/>
  <c r="I28" i="3"/>
  <c r="J28" i="3"/>
  <c r="K28" i="3"/>
  <c r="L28" i="3"/>
  <c r="M28" i="3"/>
  <c r="N28" i="3"/>
  <c r="O28" i="3"/>
  <c r="P28" i="3"/>
  <c r="Q28" i="3"/>
  <c r="R28" i="3"/>
  <c r="S28" i="3"/>
  <c r="T28" i="3"/>
  <c r="U28" i="3"/>
  <c r="V28" i="3"/>
  <c r="W28" i="3"/>
  <c r="X28" i="3"/>
  <c r="Y28" i="3"/>
  <c r="Z28" i="3"/>
  <c r="AA28" i="3"/>
  <c r="AB28" i="3"/>
  <c r="AC28" i="3"/>
  <c r="AD28" i="3"/>
  <c r="AE28" i="3"/>
  <c r="AF28" i="3"/>
  <c r="AG28" i="3"/>
  <c r="AH28" i="3"/>
  <c r="AI28" i="3"/>
  <c r="AJ28" i="3"/>
  <c r="B29" i="3"/>
  <c r="C29" i="3"/>
  <c r="D29" i="3"/>
  <c r="E29" i="3"/>
  <c r="F29" i="3"/>
  <c r="G29" i="3"/>
  <c r="H29" i="3"/>
  <c r="I29" i="3"/>
  <c r="J29" i="3"/>
  <c r="K29" i="3"/>
  <c r="L29" i="3"/>
  <c r="M29" i="3"/>
  <c r="N29" i="3"/>
  <c r="O29" i="3"/>
  <c r="P29" i="3"/>
  <c r="Q29" i="3"/>
  <c r="R29" i="3"/>
  <c r="S29" i="3"/>
  <c r="T29" i="3"/>
  <c r="U29" i="3"/>
  <c r="V29" i="3"/>
  <c r="W29" i="3"/>
  <c r="X29" i="3"/>
  <c r="Y29" i="3"/>
  <c r="Z29" i="3"/>
  <c r="AA29" i="3"/>
  <c r="AB29" i="3"/>
  <c r="AC29" i="3"/>
  <c r="AD29" i="3"/>
  <c r="AE29" i="3"/>
  <c r="AF29" i="3"/>
  <c r="AG29" i="3"/>
  <c r="AH29" i="3"/>
  <c r="AI29" i="3"/>
  <c r="AJ29" i="3"/>
  <c r="B30" i="3"/>
  <c r="C30" i="3"/>
  <c r="D30" i="3"/>
  <c r="E30" i="3"/>
  <c r="F30" i="3"/>
  <c r="G30" i="3"/>
  <c r="H30" i="3"/>
  <c r="I30" i="3"/>
  <c r="J30" i="3"/>
  <c r="K30" i="3"/>
  <c r="L30" i="3"/>
  <c r="M30" i="3"/>
  <c r="N30" i="3"/>
  <c r="O30" i="3"/>
  <c r="P30" i="3"/>
  <c r="Q30" i="3"/>
  <c r="R30" i="3"/>
  <c r="S30" i="3"/>
  <c r="T30" i="3"/>
  <c r="U30" i="3"/>
  <c r="V30" i="3"/>
  <c r="W30" i="3"/>
  <c r="X30" i="3"/>
  <c r="Y30" i="3"/>
  <c r="Z30" i="3"/>
  <c r="AA30" i="3"/>
  <c r="AB30" i="3"/>
  <c r="AC30" i="3"/>
  <c r="AD30" i="3"/>
  <c r="AE30" i="3"/>
  <c r="AF30" i="3"/>
  <c r="AG30" i="3"/>
  <c r="AH30" i="3"/>
  <c r="AI30" i="3"/>
  <c r="AJ30" i="3"/>
  <c r="B31" i="3"/>
  <c r="C31" i="3"/>
  <c r="D31" i="3"/>
  <c r="E31" i="3"/>
  <c r="F31" i="3"/>
  <c r="G31" i="3"/>
  <c r="H31" i="3"/>
  <c r="I31" i="3"/>
  <c r="J31" i="3"/>
  <c r="K31" i="3"/>
  <c r="L31" i="3"/>
  <c r="M31" i="3"/>
  <c r="N31" i="3"/>
  <c r="O31" i="3"/>
  <c r="P31" i="3"/>
  <c r="Q31" i="3"/>
  <c r="R31" i="3"/>
  <c r="S31" i="3"/>
  <c r="T31" i="3"/>
  <c r="U31" i="3"/>
  <c r="V31" i="3"/>
  <c r="W31" i="3"/>
  <c r="X31" i="3"/>
  <c r="Y31" i="3"/>
  <c r="Z31" i="3"/>
  <c r="AA31" i="3"/>
  <c r="AB31" i="3"/>
  <c r="AC31" i="3"/>
  <c r="AD31" i="3"/>
  <c r="AE31" i="3"/>
  <c r="AF31" i="3"/>
  <c r="AG31" i="3"/>
  <c r="AH31" i="3"/>
  <c r="AI31" i="3"/>
  <c r="AJ31" i="3"/>
  <c r="B32" i="3"/>
  <c r="C32" i="3"/>
  <c r="D32" i="3"/>
  <c r="E32" i="3"/>
  <c r="F32" i="3"/>
  <c r="G32" i="3"/>
  <c r="H32" i="3"/>
  <c r="I32" i="3"/>
  <c r="J32" i="3"/>
  <c r="K32" i="3"/>
  <c r="L32" i="3"/>
  <c r="M32" i="3"/>
  <c r="N32" i="3"/>
  <c r="O32" i="3"/>
  <c r="P32" i="3"/>
  <c r="Q32" i="3"/>
  <c r="R32" i="3"/>
  <c r="S32" i="3"/>
  <c r="T32" i="3"/>
  <c r="U32" i="3"/>
  <c r="V32" i="3"/>
  <c r="W32" i="3"/>
  <c r="X32" i="3"/>
  <c r="Y32" i="3"/>
  <c r="Z32" i="3"/>
  <c r="AA32" i="3"/>
  <c r="AB32" i="3"/>
  <c r="AC32" i="3"/>
  <c r="AD32" i="3"/>
  <c r="AE32" i="3"/>
  <c r="AF32" i="3"/>
  <c r="AG32" i="3"/>
  <c r="AH32" i="3"/>
  <c r="AI32" i="3"/>
  <c r="AJ32" i="3"/>
  <c r="B33" i="3"/>
  <c r="C33" i="3"/>
  <c r="D33" i="3"/>
  <c r="E33" i="3"/>
  <c r="F33" i="3"/>
  <c r="G33" i="3"/>
  <c r="H33" i="3"/>
  <c r="I33" i="3"/>
  <c r="J33" i="3"/>
  <c r="K33" i="3"/>
  <c r="L33" i="3"/>
  <c r="M33" i="3"/>
  <c r="N33" i="3"/>
  <c r="O33" i="3"/>
  <c r="P33" i="3"/>
  <c r="Q33" i="3"/>
  <c r="R33" i="3"/>
  <c r="S33" i="3"/>
  <c r="T33" i="3"/>
  <c r="U33" i="3"/>
  <c r="V33" i="3"/>
  <c r="W33" i="3"/>
  <c r="X33" i="3"/>
  <c r="Y33" i="3"/>
  <c r="Z33" i="3"/>
  <c r="AA33" i="3"/>
  <c r="AB33" i="3"/>
  <c r="AC33" i="3"/>
  <c r="AD33" i="3"/>
  <c r="AE33" i="3"/>
  <c r="AF33" i="3"/>
  <c r="AG33" i="3"/>
  <c r="AH33" i="3"/>
  <c r="AI33" i="3"/>
  <c r="AJ33" i="3"/>
  <c r="B34" i="3"/>
  <c r="C34" i="3"/>
  <c r="D34" i="3"/>
  <c r="E34" i="3"/>
  <c r="F34" i="3"/>
  <c r="G34" i="3"/>
  <c r="H34" i="3"/>
  <c r="I34" i="3"/>
  <c r="J34" i="3"/>
  <c r="K34" i="3"/>
  <c r="L34" i="3"/>
  <c r="M34" i="3"/>
  <c r="N34" i="3"/>
  <c r="O34" i="3"/>
  <c r="P34" i="3"/>
  <c r="Q34" i="3"/>
  <c r="R34" i="3"/>
  <c r="S34" i="3"/>
  <c r="T34" i="3"/>
  <c r="U34" i="3"/>
  <c r="V34" i="3"/>
  <c r="W34" i="3"/>
  <c r="X34" i="3"/>
  <c r="Y34" i="3"/>
  <c r="Z34" i="3"/>
  <c r="AA34" i="3"/>
  <c r="AB34" i="3"/>
  <c r="AC34" i="3"/>
  <c r="AD34" i="3"/>
  <c r="AE34" i="3"/>
  <c r="AF34" i="3"/>
  <c r="AG34" i="3"/>
  <c r="AH34" i="3"/>
  <c r="AI34" i="3"/>
  <c r="AJ34" i="3"/>
  <c r="B35" i="3"/>
  <c r="C35" i="3"/>
  <c r="D35" i="3"/>
  <c r="E35" i="3"/>
  <c r="F35" i="3"/>
  <c r="G35" i="3"/>
  <c r="H35" i="3"/>
  <c r="I35" i="3"/>
  <c r="J35" i="3"/>
  <c r="K35" i="3"/>
  <c r="L35" i="3"/>
  <c r="M35" i="3"/>
  <c r="N35" i="3"/>
  <c r="O35" i="3"/>
  <c r="P35" i="3"/>
  <c r="Q35" i="3"/>
  <c r="R35" i="3"/>
  <c r="S35" i="3"/>
  <c r="T35" i="3"/>
  <c r="U35" i="3"/>
  <c r="V35" i="3"/>
  <c r="W35" i="3"/>
  <c r="X35" i="3"/>
  <c r="Y35" i="3"/>
  <c r="Z35" i="3"/>
  <c r="AA35" i="3"/>
  <c r="AB35" i="3"/>
  <c r="AC35" i="3"/>
  <c r="AD35" i="3"/>
  <c r="AE35" i="3"/>
  <c r="AF35" i="3"/>
  <c r="AG35" i="3"/>
  <c r="AH35" i="3"/>
  <c r="AI35" i="3"/>
  <c r="AJ35" i="3"/>
  <c r="B36" i="3"/>
  <c r="C36" i="3"/>
  <c r="D36" i="3"/>
  <c r="E36" i="3"/>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AH36" i="3"/>
  <c r="AI36" i="3"/>
  <c r="AJ36" i="3"/>
  <c r="B37" i="3"/>
  <c r="C37" i="3"/>
  <c r="D37" i="3"/>
  <c r="E37" i="3"/>
  <c r="F37" i="3"/>
  <c r="G37" i="3"/>
  <c r="H37" i="3"/>
  <c r="I37" i="3"/>
  <c r="J37" i="3"/>
  <c r="K37" i="3"/>
  <c r="L37" i="3"/>
  <c r="M37" i="3"/>
  <c r="N37" i="3"/>
  <c r="O37" i="3"/>
  <c r="P37" i="3"/>
  <c r="Q37" i="3"/>
  <c r="R37" i="3"/>
  <c r="S37" i="3"/>
  <c r="T37" i="3"/>
  <c r="U37" i="3"/>
  <c r="V37" i="3"/>
  <c r="W37" i="3"/>
  <c r="X37" i="3"/>
  <c r="Y37" i="3"/>
  <c r="Z37" i="3"/>
  <c r="AA37" i="3"/>
  <c r="AB37" i="3"/>
  <c r="AC37" i="3"/>
  <c r="AD37" i="3"/>
  <c r="AE37" i="3"/>
  <c r="AF37" i="3"/>
  <c r="AG37" i="3"/>
  <c r="AH37" i="3"/>
  <c r="AI37" i="3"/>
  <c r="AJ37" i="3"/>
  <c r="B38" i="3"/>
  <c r="C38" i="3"/>
  <c r="D38" i="3"/>
  <c r="E38" i="3"/>
  <c r="F38" i="3"/>
  <c r="G38" i="3"/>
  <c r="H38" i="3"/>
  <c r="I38" i="3"/>
  <c r="J38" i="3"/>
  <c r="K38" i="3"/>
  <c r="L38" i="3"/>
  <c r="M38" i="3"/>
  <c r="N38" i="3"/>
  <c r="O38" i="3"/>
  <c r="P38" i="3"/>
  <c r="Q38" i="3"/>
  <c r="R38" i="3"/>
  <c r="S38" i="3"/>
  <c r="T38" i="3"/>
  <c r="U38" i="3"/>
  <c r="V38" i="3"/>
  <c r="W38" i="3"/>
  <c r="X38" i="3"/>
  <c r="Y38" i="3"/>
  <c r="Z38" i="3"/>
  <c r="AA38" i="3"/>
  <c r="AB38" i="3"/>
  <c r="AC38" i="3"/>
  <c r="AD38" i="3"/>
  <c r="AE38" i="3"/>
  <c r="AF38" i="3"/>
  <c r="AG38" i="3"/>
  <c r="AH38" i="3"/>
  <c r="AI38" i="3"/>
  <c r="AJ38" i="3"/>
  <c r="B39" i="3"/>
  <c r="C39" i="3"/>
  <c r="D39" i="3"/>
  <c r="E39" i="3"/>
  <c r="F39" i="3"/>
  <c r="G39" i="3"/>
  <c r="H39" i="3"/>
  <c r="I39" i="3"/>
  <c r="J39" i="3"/>
  <c r="K39" i="3"/>
  <c r="L39" i="3"/>
  <c r="M39" i="3"/>
  <c r="N39" i="3"/>
  <c r="O39" i="3"/>
  <c r="P39" i="3"/>
  <c r="Q39" i="3"/>
  <c r="R39" i="3"/>
  <c r="S39" i="3"/>
  <c r="T39" i="3"/>
  <c r="U39" i="3"/>
  <c r="V39" i="3"/>
  <c r="W39" i="3"/>
  <c r="X39" i="3"/>
  <c r="Y39" i="3"/>
  <c r="Z39" i="3"/>
  <c r="AA39" i="3"/>
  <c r="AB39" i="3"/>
  <c r="AC39" i="3"/>
  <c r="AD39" i="3"/>
  <c r="AE39" i="3"/>
  <c r="AF39" i="3"/>
  <c r="AG39" i="3"/>
  <c r="AH39" i="3"/>
  <c r="AI39" i="3"/>
  <c r="AJ39" i="3"/>
  <c r="B40" i="3"/>
  <c r="C40"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AH40" i="3"/>
  <c r="AI40" i="3"/>
  <c r="AJ40" i="3"/>
  <c r="B41" i="3"/>
  <c r="C41" i="3"/>
  <c r="D41" i="3"/>
  <c r="E41" i="3"/>
  <c r="F41" i="3"/>
  <c r="G41" i="3"/>
  <c r="H41" i="3"/>
  <c r="I41" i="3"/>
  <c r="J41" i="3"/>
  <c r="K41" i="3"/>
  <c r="L41" i="3"/>
  <c r="M41" i="3"/>
  <c r="N41" i="3"/>
  <c r="O41" i="3"/>
  <c r="P41" i="3"/>
  <c r="Q41" i="3"/>
  <c r="R41" i="3"/>
  <c r="S41" i="3"/>
  <c r="T41" i="3"/>
  <c r="U41" i="3"/>
  <c r="V41" i="3"/>
  <c r="W41" i="3"/>
  <c r="X41" i="3"/>
  <c r="Y41" i="3"/>
  <c r="Z41" i="3"/>
  <c r="AA41" i="3"/>
  <c r="AB41" i="3"/>
  <c r="AC41" i="3"/>
  <c r="AD41" i="3"/>
  <c r="AE41" i="3"/>
  <c r="AF41" i="3"/>
  <c r="AG41" i="3"/>
  <c r="AH41" i="3"/>
  <c r="AI41" i="3"/>
  <c r="AJ41" i="3"/>
  <c r="B42" i="3"/>
  <c r="C42" i="3"/>
  <c r="D42" i="3"/>
  <c r="E42" i="3"/>
  <c r="F42" i="3"/>
  <c r="G42" i="3"/>
  <c r="H42" i="3"/>
  <c r="I42" i="3"/>
  <c r="J42" i="3"/>
  <c r="K42" i="3"/>
  <c r="L42" i="3"/>
  <c r="M42" i="3"/>
  <c r="N42" i="3"/>
  <c r="O42" i="3"/>
  <c r="P42" i="3"/>
  <c r="Q42" i="3"/>
  <c r="R42" i="3"/>
  <c r="S42" i="3"/>
  <c r="T42" i="3"/>
  <c r="U42" i="3"/>
  <c r="V42" i="3"/>
  <c r="W42" i="3"/>
  <c r="X42" i="3"/>
  <c r="Y42" i="3"/>
  <c r="Z42" i="3"/>
  <c r="AA42" i="3"/>
  <c r="AB42" i="3"/>
  <c r="AC42" i="3"/>
  <c r="AD42" i="3"/>
  <c r="AE42" i="3"/>
  <c r="AF42" i="3"/>
  <c r="AG42" i="3"/>
  <c r="AH42" i="3"/>
  <c r="AI42" i="3"/>
  <c r="AJ42" i="3"/>
  <c r="B43" i="3"/>
  <c r="C43" i="3"/>
  <c r="D43" i="3"/>
  <c r="E43" i="3"/>
  <c r="F43" i="3"/>
  <c r="G43" i="3"/>
  <c r="H43" i="3"/>
  <c r="I43" i="3"/>
  <c r="J43" i="3"/>
  <c r="K43" i="3"/>
  <c r="L43" i="3"/>
  <c r="M43" i="3"/>
  <c r="N43" i="3"/>
  <c r="O43" i="3"/>
  <c r="P43" i="3"/>
  <c r="Q43" i="3"/>
  <c r="R43" i="3"/>
  <c r="S43" i="3"/>
  <c r="T43" i="3"/>
  <c r="U43" i="3"/>
  <c r="V43" i="3"/>
  <c r="W43" i="3"/>
  <c r="X43" i="3"/>
  <c r="Y43" i="3"/>
  <c r="Z43" i="3"/>
  <c r="AA43" i="3"/>
  <c r="AB43" i="3"/>
  <c r="AC43" i="3"/>
  <c r="AD43" i="3"/>
  <c r="AE43" i="3"/>
  <c r="AF43" i="3"/>
  <c r="AG43" i="3"/>
  <c r="AH43" i="3"/>
  <c r="AI43" i="3"/>
  <c r="AJ43" i="3"/>
  <c r="B44" i="3"/>
  <c r="C44" i="3"/>
  <c r="D44" i="3"/>
  <c r="E44" i="3"/>
  <c r="F44" i="3"/>
  <c r="G44" i="3"/>
  <c r="H44" i="3"/>
  <c r="I44" i="3"/>
  <c r="J44" i="3"/>
  <c r="K44" i="3"/>
  <c r="L44" i="3"/>
  <c r="M44" i="3"/>
  <c r="N44" i="3"/>
  <c r="O44" i="3"/>
  <c r="P44" i="3"/>
  <c r="Q44" i="3"/>
  <c r="R44" i="3"/>
  <c r="S44" i="3"/>
  <c r="T44" i="3"/>
  <c r="U44" i="3"/>
  <c r="V44" i="3"/>
  <c r="W44" i="3"/>
  <c r="X44" i="3"/>
  <c r="Y44" i="3"/>
  <c r="Z44" i="3"/>
  <c r="AA44" i="3"/>
  <c r="AB44" i="3"/>
  <c r="AC44" i="3"/>
  <c r="AD44" i="3"/>
  <c r="AE44" i="3"/>
  <c r="AF44" i="3"/>
  <c r="AG44" i="3"/>
  <c r="AH44" i="3"/>
  <c r="AI44" i="3"/>
  <c r="AJ44" i="3"/>
  <c r="B45" i="3"/>
  <c r="C45" i="3"/>
  <c r="D45" i="3"/>
  <c r="E45" i="3"/>
  <c r="F45" i="3"/>
  <c r="G45" i="3"/>
  <c r="H45" i="3"/>
  <c r="I45" i="3"/>
  <c r="J45" i="3"/>
  <c r="K45" i="3"/>
  <c r="L45" i="3"/>
  <c r="M45" i="3"/>
  <c r="N45" i="3"/>
  <c r="O45" i="3"/>
  <c r="P45" i="3"/>
  <c r="Q45" i="3"/>
  <c r="R45" i="3"/>
  <c r="S45" i="3"/>
  <c r="T45" i="3"/>
  <c r="U45" i="3"/>
  <c r="V45" i="3"/>
  <c r="W45" i="3"/>
  <c r="X45" i="3"/>
  <c r="Y45" i="3"/>
  <c r="Z45" i="3"/>
  <c r="AA45" i="3"/>
  <c r="AB45" i="3"/>
  <c r="AC45" i="3"/>
  <c r="AD45" i="3"/>
  <c r="AE45" i="3"/>
  <c r="AF45" i="3"/>
  <c r="AG45" i="3"/>
  <c r="AH45" i="3"/>
  <c r="AI45" i="3"/>
  <c r="AJ45" i="3"/>
  <c r="B46" i="3"/>
  <c r="C46" i="3"/>
  <c r="D46" i="3"/>
  <c r="E46" i="3"/>
  <c r="F46" i="3"/>
  <c r="G46" i="3"/>
  <c r="H46" i="3"/>
  <c r="I46" i="3"/>
  <c r="J46" i="3"/>
  <c r="K46" i="3"/>
  <c r="L46" i="3"/>
  <c r="M46" i="3"/>
  <c r="N46" i="3"/>
  <c r="O46" i="3"/>
  <c r="P46" i="3"/>
  <c r="Q46" i="3"/>
  <c r="R46" i="3"/>
  <c r="S46" i="3"/>
  <c r="T46" i="3"/>
  <c r="U46" i="3"/>
  <c r="V46" i="3"/>
  <c r="W46" i="3"/>
  <c r="X46" i="3"/>
  <c r="Y46" i="3"/>
  <c r="Z46" i="3"/>
  <c r="AA46" i="3"/>
  <c r="AB46" i="3"/>
  <c r="AC46" i="3"/>
  <c r="AD46" i="3"/>
  <c r="AE46" i="3"/>
  <c r="AF46" i="3"/>
  <c r="AG46" i="3"/>
  <c r="AH46" i="3"/>
  <c r="AI46" i="3"/>
  <c r="AJ46" i="3"/>
  <c r="B47" i="3"/>
  <c r="C47" i="3"/>
  <c r="D47" i="3"/>
  <c r="E47" i="3"/>
  <c r="F47" i="3"/>
  <c r="G47" i="3"/>
  <c r="H47" i="3"/>
  <c r="I47" i="3"/>
  <c r="J47" i="3"/>
  <c r="K47" i="3"/>
  <c r="L47" i="3"/>
  <c r="M47" i="3"/>
  <c r="N47" i="3"/>
  <c r="O47" i="3"/>
  <c r="P47" i="3"/>
  <c r="Q47" i="3"/>
  <c r="R47" i="3"/>
  <c r="S47" i="3"/>
  <c r="T47" i="3"/>
  <c r="U47" i="3"/>
  <c r="V47" i="3"/>
  <c r="W47" i="3"/>
  <c r="X47" i="3"/>
  <c r="Y47" i="3"/>
  <c r="Z47" i="3"/>
  <c r="AA47" i="3"/>
  <c r="AB47" i="3"/>
  <c r="AC47" i="3"/>
  <c r="AD47" i="3"/>
  <c r="AE47" i="3"/>
  <c r="AF47" i="3"/>
  <c r="AG47" i="3"/>
  <c r="AH47" i="3"/>
  <c r="AI47" i="3"/>
  <c r="AJ47" i="3"/>
  <c r="B48" i="3"/>
  <c r="C48" i="3"/>
  <c r="D48" i="3"/>
  <c r="E48" i="3"/>
  <c r="F48" i="3"/>
  <c r="G48" i="3"/>
  <c r="H48" i="3"/>
  <c r="I48" i="3"/>
  <c r="J48" i="3"/>
  <c r="K48" i="3"/>
  <c r="L48" i="3"/>
  <c r="M48" i="3"/>
  <c r="N48" i="3"/>
  <c r="O48" i="3"/>
  <c r="P48" i="3"/>
  <c r="Q48" i="3"/>
  <c r="R48" i="3"/>
  <c r="S48" i="3"/>
  <c r="T48" i="3"/>
  <c r="U48" i="3"/>
  <c r="V48" i="3"/>
  <c r="W48" i="3"/>
  <c r="X48" i="3"/>
  <c r="Y48" i="3"/>
  <c r="Z48" i="3"/>
  <c r="AA48" i="3"/>
  <c r="AB48" i="3"/>
  <c r="AC48" i="3"/>
  <c r="AD48" i="3"/>
  <c r="AE48" i="3"/>
  <c r="AF48" i="3"/>
  <c r="AG48" i="3"/>
  <c r="AH48" i="3"/>
  <c r="AI48" i="3"/>
  <c r="AJ48" i="3"/>
  <c r="B49" i="3"/>
  <c r="C49" i="3"/>
  <c r="D49" i="3"/>
  <c r="E49" i="3"/>
  <c r="F49" i="3"/>
  <c r="G49" i="3"/>
  <c r="H49" i="3"/>
  <c r="I49" i="3"/>
  <c r="J49" i="3"/>
  <c r="K49" i="3"/>
  <c r="L49" i="3"/>
  <c r="M49" i="3"/>
  <c r="N49" i="3"/>
  <c r="O49" i="3"/>
  <c r="P49" i="3"/>
  <c r="Q49" i="3"/>
  <c r="R49" i="3"/>
  <c r="S49" i="3"/>
  <c r="T49" i="3"/>
  <c r="U49" i="3"/>
  <c r="V49" i="3"/>
  <c r="W49" i="3"/>
  <c r="X49" i="3"/>
  <c r="Y49" i="3"/>
  <c r="Z49" i="3"/>
  <c r="AA49" i="3"/>
  <c r="AB49" i="3"/>
  <c r="AC49" i="3"/>
  <c r="AD49" i="3"/>
  <c r="AE49" i="3"/>
  <c r="AF49" i="3"/>
  <c r="AG49" i="3"/>
  <c r="AH49" i="3"/>
  <c r="AI49" i="3"/>
  <c r="AJ49" i="3"/>
  <c r="B50" i="3"/>
  <c r="C50" i="3"/>
  <c r="D50" i="3"/>
  <c r="E50" i="3"/>
  <c r="F50" i="3"/>
  <c r="G50" i="3"/>
  <c r="H50" i="3"/>
  <c r="I50" i="3"/>
  <c r="J50" i="3"/>
  <c r="K50" i="3"/>
  <c r="L50" i="3"/>
  <c r="M50" i="3"/>
  <c r="N50" i="3"/>
  <c r="O50" i="3"/>
  <c r="P50" i="3"/>
  <c r="Q50" i="3"/>
  <c r="R50" i="3"/>
  <c r="S50" i="3"/>
  <c r="T50" i="3"/>
  <c r="U50" i="3"/>
  <c r="V50" i="3"/>
  <c r="W50" i="3"/>
  <c r="X50" i="3"/>
  <c r="Y50" i="3"/>
  <c r="Z50" i="3"/>
  <c r="AA50" i="3"/>
  <c r="AB50" i="3"/>
  <c r="AC50" i="3"/>
  <c r="AD50" i="3"/>
  <c r="AE50" i="3"/>
  <c r="AF50" i="3"/>
  <c r="AG50" i="3"/>
  <c r="AH50" i="3"/>
  <c r="AI50" i="3"/>
  <c r="AJ50" i="3"/>
  <c r="B51" i="3"/>
  <c r="C51" i="3"/>
  <c r="D51" i="3"/>
  <c r="E51" i="3"/>
  <c r="F51" i="3"/>
  <c r="G51" i="3"/>
  <c r="H51" i="3"/>
  <c r="I51" i="3"/>
  <c r="J51" i="3"/>
  <c r="K51" i="3"/>
  <c r="L51" i="3"/>
  <c r="M51" i="3"/>
  <c r="N51" i="3"/>
  <c r="O51" i="3"/>
  <c r="P51" i="3"/>
  <c r="Q51" i="3"/>
  <c r="R51" i="3"/>
  <c r="S51" i="3"/>
  <c r="T51" i="3"/>
  <c r="U51" i="3"/>
  <c r="V51" i="3"/>
  <c r="W51" i="3"/>
  <c r="X51" i="3"/>
  <c r="Y51" i="3"/>
  <c r="Z51" i="3"/>
  <c r="AA51" i="3"/>
  <c r="AB51" i="3"/>
  <c r="AC51" i="3"/>
  <c r="AD51" i="3"/>
  <c r="AE51" i="3"/>
  <c r="AF51" i="3"/>
  <c r="AG51" i="3"/>
  <c r="AH51" i="3"/>
  <c r="AI51" i="3"/>
  <c r="AJ51" i="3"/>
  <c r="B52" i="3"/>
  <c r="C52" i="3"/>
  <c r="D52" i="3"/>
  <c r="E52" i="3"/>
  <c r="F52" i="3"/>
  <c r="G52" i="3"/>
  <c r="H52" i="3"/>
  <c r="I52" i="3"/>
  <c r="J52" i="3"/>
  <c r="K52" i="3"/>
  <c r="L52" i="3"/>
  <c r="M52" i="3"/>
  <c r="N52" i="3"/>
  <c r="O52" i="3"/>
  <c r="P52" i="3"/>
  <c r="Q52" i="3"/>
  <c r="R52" i="3"/>
  <c r="S52" i="3"/>
  <c r="T52" i="3"/>
  <c r="U52" i="3"/>
  <c r="V52" i="3"/>
  <c r="W52" i="3"/>
  <c r="X52" i="3"/>
  <c r="Y52" i="3"/>
  <c r="Z52" i="3"/>
  <c r="AA52" i="3"/>
  <c r="AB52" i="3"/>
  <c r="AC52" i="3"/>
  <c r="AD52" i="3"/>
  <c r="AE52" i="3"/>
  <c r="AF52" i="3"/>
  <c r="AG52" i="3"/>
  <c r="AH52" i="3"/>
  <c r="AI52" i="3"/>
  <c r="AJ52" i="3"/>
  <c r="B53" i="3"/>
  <c r="C53" i="3"/>
  <c r="D53" i="3"/>
  <c r="E53" i="3"/>
  <c r="F53" i="3"/>
  <c r="G53" i="3"/>
  <c r="H53" i="3"/>
  <c r="I53" i="3"/>
  <c r="J53" i="3"/>
  <c r="K53" i="3"/>
  <c r="L53" i="3"/>
  <c r="M53" i="3"/>
  <c r="N53" i="3"/>
  <c r="O53" i="3"/>
  <c r="P53" i="3"/>
  <c r="Q53" i="3"/>
  <c r="R53" i="3"/>
  <c r="S53" i="3"/>
  <c r="T53" i="3"/>
  <c r="U53" i="3"/>
  <c r="V53" i="3"/>
  <c r="W53" i="3"/>
  <c r="X53" i="3"/>
  <c r="Y53" i="3"/>
  <c r="Z53" i="3"/>
  <c r="AA53" i="3"/>
  <c r="AB53" i="3"/>
  <c r="AC53" i="3"/>
  <c r="AD53" i="3"/>
  <c r="AE53" i="3"/>
  <c r="AF53" i="3"/>
  <c r="AG53" i="3"/>
  <c r="AH53" i="3"/>
  <c r="AI53" i="3"/>
  <c r="AJ53" i="3"/>
  <c r="B54" i="3"/>
  <c r="C54" i="3"/>
  <c r="D54" i="3"/>
  <c r="E54" i="3"/>
  <c r="F54" i="3"/>
  <c r="G54" i="3"/>
  <c r="H54" i="3"/>
  <c r="I54" i="3"/>
  <c r="J54" i="3"/>
  <c r="K54" i="3"/>
  <c r="L54" i="3"/>
  <c r="M54" i="3"/>
  <c r="N54" i="3"/>
  <c r="O54" i="3"/>
  <c r="P54" i="3"/>
  <c r="Q54" i="3"/>
  <c r="R54" i="3"/>
  <c r="S54" i="3"/>
  <c r="T54" i="3"/>
  <c r="U54" i="3"/>
  <c r="V54" i="3"/>
  <c r="W54" i="3"/>
  <c r="X54" i="3"/>
  <c r="Y54" i="3"/>
  <c r="Z54" i="3"/>
  <c r="AA54" i="3"/>
  <c r="AB54" i="3"/>
  <c r="AC54" i="3"/>
  <c r="AD54" i="3"/>
  <c r="AE54" i="3"/>
  <c r="AF54" i="3"/>
  <c r="AG54" i="3"/>
  <c r="AH54" i="3"/>
  <c r="AI54" i="3"/>
  <c r="AJ54" i="3"/>
  <c r="B55" i="3"/>
  <c r="C55" i="3"/>
  <c r="D55" i="3"/>
  <c r="E55" i="3"/>
  <c r="F55" i="3"/>
  <c r="G55" i="3"/>
  <c r="H55" i="3"/>
  <c r="I55" i="3"/>
  <c r="J55" i="3"/>
  <c r="K55" i="3"/>
  <c r="L55" i="3"/>
  <c r="M55" i="3"/>
  <c r="N55" i="3"/>
  <c r="O55" i="3"/>
  <c r="P55" i="3"/>
  <c r="Q55" i="3"/>
  <c r="R55" i="3"/>
  <c r="S55" i="3"/>
  <c r="T55" i="3"/>
  <c r="U55" i="3"/>
  <c r="V55" i="3"/>
  <c r="W55" i="3"/>
  <c r="X55" i="3"/>
  <c r="Y55" i="3"/>
  <c r="Z55" i="3"/>
  <c r="AA55" i="3"/>
  <c r="AB55" i="3"/>
  <c r="AC55" i="3"/>
  <c r="AD55" i="3"/>
  <c r="AE55" i="3"/>
  <c r="AF55" i="3"/>
  <c r="AG55" i="3"/>
  <c r="AH55" i="3"/>
  <c r="AI55" i="3"/>
  <c r="AJ55" i="3"/>
  <c r="B56" i="3"/>
  <c r="C56" i="3"/>
  <c r="D56" i="3"/>
  <c r="E56" i="3"/>
  <c r="F56" i="3"/>
  <c r="G56" i="3"/>
  <c r="H56" i="3"/>
  <c r="I56" i="3"/>
  <c r="J56" i="3"/>
  <c r="K56" i="3"/>
  <c r="L56" i="3"/>
  <c r="M56" i="3"/>
  <c r="N56" i="3"/>
  <c r="O56" i="3"/>
  <c r="P56" i="3"/>
  <c r="Q56" i="3"/>
  <c r="R56" i="3"/>
  <c r="S56" i="3"/>
  <c r="T56" i="3"/>
  <c r="U56" i="3"/>
  <c r="V56" i="3"/>
  <c r="W56" i="3"/>
  <c r="X56" i="3"/>
  <c r="Y56" i="3"/>
  <c r="Z56" i="3"/>
  <c r="AA56" i="3"/>
  <c r="AB56" i="3"/>
  <c r="AC56" i="3"/>
  <c r="AD56" i="3"/>
  <c r="AE56" i="3"/>
  <c r="AF56" i="3"/>
  <c r="AG56" i="3"/>
  <c r="AH56" i="3"/>
  <c r="AI56" i="3"/>
  <c r="AJ56" i="3"/>
  <c r="B57" i="3"/>
  <c r="C57" i="3"/>
  <c r="D57" i="3"/>
  <c r="E57" i="3"/>
  <c r="F57" i="3"/>
  <c r="G57" i="3"/>
  <c r="H57" i="3"/>
  <c r="I57" i="3"/>
  <c r="J57" i="3"/>
  <c r="K57" i="3"/>
  <c r="L57" i="3"/>
  <c r="M57" i="3"/>
  <c r="N57" i="3"/>
  <c r="O57" i="3"/>
  <c r="P57" i="3"/>
  <c r="Q57" i="3"/>
  <c r="R57" i="3"/>
  <c r="S57" i="3"/>
  <c r="T57" i="3"/>
  <c r="U57" i="3"/>
  <c r="V57" i="3"/>
  <c r="W57" i="3"/>
  <c r="X57" i="3"/>
  <c r="Y57" i="3"/>
  <c r="Z57" i="3"/>
  <c r="AA57" i="3"/>
  <c r="AB57" i="3"/>
  <c r="AC57" i="3"/>
  <c r="AD57" i="3"/>
  <c r="AE57" i="3"/>
  <c r="AF57" i="3"/>
  <c r="AG57" i="3"/>
  <c r="AH57" i="3"/>
  <c r="AI57" i="3"/>
  <c r="AJ57" i="3"/>
  <c r="B58" i="3"/>
  <c r="C58" i="3"/>
  <c r="D58" i="3"/>
  <c r="E58" i="3"/>
  <c r="F58" i="3"/>
  <c r="G58" i="3"/>
  <c r="H58" i="3"/>
  <c r="I58" i="3"/>
  <c r="J58" i="3"/>
  <c r="K58" i="3"/>
  <c r="L58" i="3"/>
  <c r="M58" i="3"/>
  <c r="N58" i="3"/>
  <c r="O58" i="3"/>
  <c r="P58" i="3"/>
  <c r="Q58" i="3"/>
  <c r="R58" i="3"/>
  <c r="S58" i="3"/>
  <c r="T58" i="3"/>
  <c r="U58" i="3"/>
  <c r="V58" i="3"/>
  <c r="W58" i="3"/>
  <c r="X58" i="3"/>
  <c r="Y58" i="3"/>
  <c r="Z58" i="3"/>
  <c r="AA58" i="3"/>
  <c r="AB58" i="3"/>
  <c r="AC58" i="3"/>
  <c r="AD58" i="3"/>
  <c r="AE58" i="3"/>
  <c r="AF58" i="3"/>
  <c r="AG58" i="3"/>
  <c r="AH58" i="3"/>
  <c r="AI58" i="3"/>
  <c r="AJ58" i="3"/>
  <c r="B59" i="3"/>
  <c r="C59" i="3"/>
  <c r="D59" i="3"/>
  <c r="E59" i="3"/>
  <c r="F59" i="3"/>
  <c r="G59" i="3"/>
  <c r="H59"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B60" i="3"/>
  <c r="C60" i="3"/>
  <c r="D60" i="3"/>
  <c r="E60" i="3"/>
  <c r="F60" i="3"/>
  <c r="G60" i="3"/>
  <c r="H60" i="3"/>
  <c r="I60" i="3"/>
  <c r="J60" i="3"/>
  <c r="K60" i="3"/>
  <c r="L60" i="3"/>
  <c r="M60" i="3"/>
  <c r="N60" i="3"/>
  <c r="O60" i="3"/>
  <c r="P60" i="3"/>
  <c r="Q60" i="3"/>
  <c r="R60" i="3"/>
  <c r="S60" i="3"/>
  <c r="T60" i="3"/>
  <c r="U60" i="3"/>
  <c r="V60" i="3"/>
  <c r="W60" i="3"/>
  <c r="X60" i="3"/>
  <c r="Y60" i="3"/>
  <c r="Z60" i="3"/>
  <c r="AA60" i="3"/>
  <c r="AB60" i="3"/>
  <c r="AC60" i="3"/>
  <c r="AD60" i="3"/>
  <c r="AE60" i="3"/>
  <c r="AF60" i="3"/>
  <c r="AG60" i="3"/>
  <c r="AH60" i="3"/>
  <c r="AI60" i="3"/>
  <c r="AJ60" i="3"/>
  <c r="B61" i="3"/>
  <c r="C61" i="3"/>
  <c r="D61" i="3"/>
  <c r="E61" i="3"/>
  <c r="F61" i="3"/>
  <c r="G61" i="3"/>
  <c r="H61" i="3"/>
  <c r="I61" i="3"/>
  <c r="J61" i="3"/>
  <c r="K61" i="3"/>
  <c r="L61" i="3"/>
  <c r="M61" i="3"/>
  <c r="N61" i="3"/>
  <c r="O61" i="3"/>
  <c r="P61" i="3"/>
  <c r="Q61" i="3"/>
  <c r="R61" i="3"/>
  <c r="S61" i="3"/>
  <c r="T61" i="3"/>
  <c r="U61" i="3"/>
  <c r="V61" i="3"/>
  <c r="W61" i="3"/>
  <c r="X61" i="3"/>
  <c r="Y61" i="3"/>
  <c r="Z61" i="3"/>
  <c r="AA61" i="3"/>
  <c r="AB61" i="3"/>
  <c r="AC61" i="3"/>
  <c r="AD61" i="3"/>
  <c r="AE61" i="3"/>
  <c r="AF61" i="3"/>
  <c r="AG61" i="3"/>
  <c r="AH61" i="3"/>
  <c r="AI61" i="3"/>
  <c r="AJ61" i="3"/>
  <c r="B62" i="3"/>
  <c r="C62" i="3"/>
  <c r="D62" i="3"/>
  <c r="E62" i="3"/>
  <c r="F62" i="3"/>
  <c r="G62" i="3"/>
  <c r="H62" i="3"/>
  <c r="I62" i="3"/>
  <c r="J62" i="3"/>
  <c r="K62" i="3"/>
  <c r="L62" i="3"/>
  <c r="M62" i="3"/>
  <c r="N62" i="3"/>
  <c r="O62" i="3"/>
  <c r="P62" i="3"/>
  <c r="Q62" i="3"/>
  <c r="R62" i="3"/>
  <c r="S62" i="3"/>
  <c r="T62" i="3"/>
  <c r="U62" i="3"/>
  <c r="V62" i="3"/>
  <c r="W62" i="3"/>
  <c r="X62" i="3"/>
  <c r="Y62" i="3"/>
  <c r="Z62" i="3"/>
  <c r="AA62" i="3"/>
  <c r="AB62" i="3"/>
  <c r="AC62" i="3"/>
  <c r="AD62" i="3"/>
  <c r="AE62" i="3"/>
  <c r="AF62" i="3"/>
  <c r="AG62" i="3"/>
  <c r="AH62" i="3"/>
  <c r="AI62" i="3"/>
  <c r="AJ62" i="3"/>
  <c r="B63" i="3"/>
  <c r="C63" i="3"/>
  <c r="D63" i="3"/>
  <c r="E63" i="3"/>
  <c r="F63" i="3"/>
  <c r="G63" i="3"/>
  <c r="H63" i="3"/>
  <c r="I63" i="3"/>
  <c r="J63" i="3"/>
  <c r="K63" i="3"/>
  <c r="L63" i="3"/>
  <c r="M63" i="3"/>
  <c r="N63" i="3"/>
  <c r="O63" i="3"/>
  <c r="P63" i="3"/>
  <c r="Q63" i="3"/>
  <c r="R63" i="3"/>
  <c r="S63" i="3"/>
  <c r="T63" i="3"/>
  <c r="U63" i="3"/>
  <c r="V63" i="3"/>
  <c r="W63" i="3"/>
  <c r="X63" i="3"/>
  <c r="Y63" i="3"/>
  <c r="Z63" i="3"/>
  <c r="AA63" i="3"/>
  <c r="AB63" i="3"/>
  <c r="AC63" i="3"/>
  <c r="AD63" i="3"/>
  <c r="AE63" i="3"/>
  <c r="AF63" i="3"/>
  <c r="AG63" i="3"/>
  <c r="AH63" i="3"/>
  <c r="AI63" i="3"/>
  <c r="AJ63" i="3"/>
  <c r="B64" i="3"/>
  <c r="C64" i="3"/>
  <c r="D64" i="3"/>
  <c r="E64" i="3"/>
  <c r="F64" i="3"/>
  <c r="G64" i="3"/>
  <c r="H64" i="3"/>
  <c r="I64" i="3"/>
  <c r="J64" i="3"/>
  <c r="K64" i="3"/>
  <c r="L64" i="3"/>
  <c r="M64" i="3"/>
  <c r="N64" i="3"/>
  <c r="O64" i="3"/>
  <c r="P64" i="3"/>
  <c r="Q64" i="3"/>
  <c r="R64" i="3"/>
  <c r="S64" i="3"/>
  <c r="T64" i="3"/>
  <c r="U64" i="3"/>
  <c r="V64" i="3"/>
  <c r="W64" i="3"/>
  <c r="X64" i="3"/>
  <c r="Y64" i="3"/>
  <c r="Z64" i="3"/>
  <c r="AA64" i="3"/>
  <c r="AB64" i="3"/>
  <c r="AC64" i="3"/>
  <c r="AD64" i="3"/>
  <c r="AE64" i="3"/>
  <c r="AF64" i="3"/>
  <c r="AG64" i="3"/>
  <c r="AH64" i="3"/>
  <c r="AI64" i="3"/>
  <c r="AJ64" i="3"/>
  <c r="B65" i="3"/>
  <c r="C65" i="3"/>
  <c r="D65" i="3"/>
  <c r="E65" i="3"/>
  <c r="F65" i="3"/>
  <c r="G65" i="3"/>
  <c r="H65" i="3"/>
  <c r="I65" i="3"/>
  <c r="J65" i="3"/>
  <c r="K65" i="3"/>
  <c r="L65" i="3"/>
  <c r="M65" i="3"/>
  <c r="N65" i="3"/>
  <c r="O65" i="3"/>
  <c r="P65" i="3"/>
  <c r="Q65" i="3"/>
  <c r="R65" i="3"/>
  <c r="S65" i="3"/>
  <c r="T65" i="3"/>
  <c r="U65" i="3"/>
  <c r="V65" i="3"/>
  <c r="W65" i="3"/>
  <c r="X65" i="3"/>
  <c r="Y65" i="3"/>
  <c r="Z65" i="3"/>
  <c r="AA65" i="3"/>
  <c r="AB65" i="3"/>
  <c r="AC65" i="3"/>
  <c r="AD65" i="3"/>
  <c r="AE65" i="3"/>
  <c r="AF65" i="3"/>
  <c r="AG65" i="3"/>
  <c r="AH65" i="3"/>
  <c r="AI65" i="3"/>
  <c r="AJ65" i="3"/>
  <c r="B66" i="3"/>
  <c r="C66" i="3"/>
  <c r="D66" i="3"/>
  <c r="E66" i="3"/>
  <c r="F66" i="3"/>
  <c r="G66" i="3"/>
  <c r="H66" i="3"/>
  <c r="I66" i="3"/>
  <c r="J66" i="3"/>
  <c r="K66" i="3"/>
  <c r="L66" i="3"/>
  <c r="M66" i="3"/>
  <c r="N66" i="3"/>
  <c r="O66" i="3"/>
  <c r="P66" i="3"/>
  <c r="Q66" i="3"/>
  <c r="R66" i="3"/>
  <c r="S66" i="3"/>
  <c r="T66" i="3"/>
  <c r="U66" i="3"/>
  <c r="V66" i="3"/>
  <c r="W66" i="3"/>
  <c r="X66" i="3"/>
  <c r="Y66" i="3"/>
  <c r="Z66" i="3"/>
  <c r="AA66" i="3"/>
  <c r="AB66" i="3"/>
  <c r="AC66" i="3"/>
  <c r="AD66" i="3"/>
  <c r="AE66" i="3"/>
  <c r="AF66" i="3"/>
  <c r="AG66" i="3"/>
  <c r="AH66" i="3"/>
  <c r="AI66" i="3"/>
  <c r="AJ66" i="3"/>
  <c r="B67" i="3"/>
  <c r="C67" i="3"/>
  <c r="D67" i="3"/>
  <c r="E67" i="3"/>
  <c r="F67" i="3"/>
  <c r="G67" i="3"/>
  <c r="H67" i="3"/>
  <c r="I67" i="3"/>
  <c r="J67" i="3"/>
  <c r="K67" i="3"/>
  <c r="L67" i="3"/>
  <c r="M67" i="3"/>
  <c r="N67" i="3"/>
  <c r="O67" i="3"/>
  <c r="P67" i="3"/>
  <c r="Q67" i="3"/>
  <c r="R67" i="3"/>
  <c r="S67" i="3"/>
  <c r="T67" i="3"/>
  <c r="U67" i="3"/>
  <c r="V67" i="3"/>
  <c r="W67" i="3"/>
  <c r="X67" i="3"/>
  <c r="Y67" i="3"/>
  <c r="Z67" i="3"/>
  <c r="AA67" i="3"/>
  <c r="AB67" i="3"/>
  <c r="AC67" i="3"/>
  <c r="AD67" i="3"/>
  <c r="AE67" i="3"/>
  <c r="AF67" i="3"/>
  <c r="AG67" i="3"/>
  <c r="AH67" i="3"/>
  <c r="AI67" i="3"/>
  <c r="AJ67" i="3"/>
  <c r="B68" i="3"/>
  <c r="C68" i="3"/>
  <c r="D68" i="3"/>
  <c r="E68" i="3"/>
  <c r="F68" i="3"/>
  <c r="G68" i="3"/>
  <c r="H68" i="3"/>
  <c r="I68" i="3"/>
  <c r="J68" i="3"/>
  <c r="K68" i="3"/>
  <c r="L68" i="3"/>
  <c r="M68" i="3"/>
  <c r="N68" i="3"/>
  <c r="O68" i="3"/>
  <c r="P68" i="3"/>
  <c r="Q68" i="3"/>
  <c r="R68" i="3"/>
  <c r="S68" i="3"/>
  <c r="T68" i="3"/>
  <c r="U68" i="3"/>
  <c r="V68" i="3"/>
  <c r="W68" i="3"/>
  <c r="X68" i="3"/>
  <c r="Y68" i="3"/>
  <c r="Z68" i="3"/>
  <c r="AA68" i="3"/>
  <c r="AB68" i="3"/>
  <c r="AC68" i="3"/>
  <c r="AD68" i="3"/>
  <c r="AE68" i="3"/>
  <c r="AF68" i="3"/>
  <c r="AG68" i="3"/>
  <c r="AH68" i="3"/>
  <c r="AI68" i="3"/>
  <c r="AJ68" i="3"/>
  <c r="B69" i="3"/>
  <c r="C69" i="3"/>
  <c r="D69" i="3"/>
  <c r="E69" i="3"/>
  <c r="F69" i="3"/>
  <c r="G69" i="3"/>
  <c r="H69" i="3"/>
  <c r="I69" i="3"/>
  <c r="J69" i="3"/>
  <c r="K69" i="3"/>
  <c r="L69" i="3"/>
  <c r="M69" i="3"/>
  <c r="N69" i="3"/>
  <c r="O69" i="3"/>
  <c r="P69" i="3"/>
  <c r="Q69" i="3"/>
  <c r="R69" i="3"/>
  <c r="S69" i="3"/>
  <c r="T69" i="3"/>
  <c r="U69" i="3"/>
  <c r="V69" i="3"/>
  <c r="W69" i="3"/>
  <c r="X69" i="3"/>
  <c r="Y69" i="3"/>
  <c r="Z69" i="3"/>
  <c r="AA69" i="3"/>
  <c r="AB69" i="3"/>
  <c r="AC69" i="3"/>
  <c r="AD69" i="3"/>
  <c r="AE69" i="3"/>
  <c r="AF69" i="3"/>
  <c r="AG69" i="3"/>
  <c r="AH69" i="3"/>
  <c r="AI69" i="3"/>
  <c r="AJ69" i="3"/>
  <c r="B70" i="3"/>
  <c r="C70" i="3"/>
  <c r="D70" i="3"/>
  <c r="E70" i="3"/>
  <c r="F70" i="3"/>
  <c r="G70" i="3"/>
  <c r="H70" i="3"/>
  <c r="I70" i="3"/>
  <c r="J70" i="3"/>
  <c r="K70" i="3"/>
  <c r="L70" i="3"/>
  <c r="M70" i="3"/>
  <c r="N70" i="3"/>
  <c r="O70" i="3"/>
  <c r="P70" i="3"/>
  <c r="Q70" i="3"/>
  <c r="R70" i="3"/>
  <c r="S70" i="3"/>
  <c r="T70" i="3"/>
  <c r="U70" i="3"/>
  <c r="V70" i="3"/>
  <c r="W70" i="3"/>
  <c r="X70" i="3"/>
  <c r="Y70" i="3"/>
  <c r="Z70" i="3"/>
  <c r="AA70" i="3"/>
  <c r="AB70" i="3"/>
  <c r="AC70" i="3"/>
  <c r="AD70" i="3"/>
  <c r="AE70" i="3"/>
  <c r="AF70" i="3"/>
  <c r="AG70" i="3"/>
  <c r="AH70" i="3"/>
  <c r="AI70" i="3"/>
  <c r="AJ70" i="3"/>
  <c r="B71" i="3"/>
  <c r="C71" i="3"/>
  <c r="D71" i="3"/>
  <c r="E71" i="3"/>
  <c r="F71" i="3"/>
  <c r="G71" i="3"/>
  <c r="H71" i="3"/>
  <c r="I71" i="3"/>
  <c r="J71" i="3"/>
  <c r="K71" i="3"/>
  <c r="L71" i="3"/>
  <c r="M71" i="3"/>
  <c r="N71" i="3"/>
  <c r="O71" i="3"/>
  <c r="P71" i="3"/>
  <c r="Q71" i="3"/>
  <c r="R71" i="3"/>
  <c r="S71" i="3"/>
  <c r="T71" i="3"/>
  <c r="U71" i="3"/>
  <c r="V71" i="3"/>
  <c r="W71" i="3"/>
  <c r="X71" i="3"/>
  <c r="Y71" i="3"/>
  <c r="Z71" i="3"/>
  <c r="AA71" i="3"/>
  <c r="AB71" i="3"/>
  <c r="AC71" i="3"/>
  <c r="AD71" i="3"/>
  <c r="AE71" i="3"/>
  <c r="AF71" i="3"/>
  <c r="AG71" i="3"/>
  <c r="AH71" i="3"/>
  <c r="AI71" i="3"/>
  <c r="AJ71" i="3"/>
  <c r="B72" i="3"/>
  <c r="C72" i="3"/>
  <c r="D72" i="3"/>
  <c r="E72" i="3"/>
  <c r="F72" i="3"/>
  <c r="G72" i="3"/>
  <c r="H72" i="3"/>
  <c r="I72" i="3"/>
  <c r="J72" i="3"/>
  <c r="K72" i="3"/>
  <c r="L72" i="3"/>
  <c r="M72" i="3"/>
  <c r="N72" i="3"/>
  <c r="O72" i="3"/>
  <c r="P72" i="3"/>
  <c r="Q72" i="3"/>
  <c r="R72" i="3"/>
  <c r="S72" i="3"/>
  <c r="T72" i="3"/>
  <c r="U72" i="3"/>
  <c r="V72" i="3"/>
  <c r="W72" i="3"/>
  <c r="X72" i="3"/>
  <c r="Y72" i="3"/>
  <c r="Z72" i="3"/>
  <c r="AA72" i="3"/>
  <c r="AB72" i="3"/>
  <c r="AC72" i="3"/>
  <c r="AD72" i="3"/>
  <c r="AE72" i="3"/>
  <c r="AF72" i="3"/>
  <c r="AG72" i="3"/>
  <c r="AH72" i="3"/>
  <c r="AI72" i="3"/>
  <c r="AJ72" i="3"/>
  <c r="B73" i="3"/>
  <c r="C73" i="3"/>
  <c r="D73" i="3"/>
  <c r="E73" i="3"/>
  <c r="F73" i="3"/>
  <c r="G73" i="3"/>
  <c r="H73" i="3"/>
  <c r="I73" i="3"/>
  <c r="J73" i="3"/>
  <c r="K73" i="3"/>
  <c r="L73" i="3"/>
  <c r="M73" i="3"/>
  <c r="N73" i="3"/>
  <c r="O73" i="3"/>
  <c r="P73" i="3"/>
  <c r="Q73" i="3"/>
  <c r="R73" i="3"/>
  <c r="S73" i="3"/>
  <c r="T73" i="3"/>
  <c r="U73" i="3"/>
  <c r="V73" i="3"/>
  <c r="W73" i="3"/>
  <c r="X73" i="3"/>
  <c r="Y73" i="3"/>
  <c r="Z73" i="3"/>
  <c r="AA73" i="3"/>
  <c r="AB73" i="3"/>
  <c r="AC73" i="3"/>
  <c r="AD73" i="3"/>
  <c r="AE73" i="3"/>
  <c r="AF73" i="3"/>
  <c r="AG73" i="3"/>
  <c r="AH73" i="3"/>
  <c r="AI73" i="3"/>
  <c r="AJ73" i="3"/>
  <c r="B74" i="3"/>
  <c r="C74" i="3"/>
  <c r="D74" i="3"/>
  <c r="E74" i="3"/>
  <c r="F74" i="3"/>
  <c r="G74" i="3"/>
  <c r="H74" i="3"/>
  <c r="I74" i="3"/>
  <c r="J74" i="3"/>
  <c r="K74" i="3"/>
  <c r="L74" i="3"/>
  <c r="M74" i="3"/>
  <c r="N74" i="3"/>
  <c r="O74" i="3"/>
  <c r="P74" i="3"/>
  <c r="Q74" i="3"/>
  <c r="R74" i="3"/>
  <c r="S74" i="3"/>
  <c r="T74" i="3"/>
  <c r="U74" i="3"/>
  <c r="V74" i="3"/>
  <c r="W74" i="3"/>
  <c r="X74" i="3"/>
  <c r="Y74" i="3"/>
  <c r="Z74" i="3"/>
  <c r="AA74" i="3"/>
  <c r="AB74" i="3"/>
  <c r="AC74" i="3"/>
  <c r="AD74" i="3"/>
  <c r="AE74" i="3"/>
  <c r="AF74" i="3"/>
  <c r="AG74" i="3"/>
  <c r="AH74" i="3"/>
  <c r="AI74" i="3"/>
  <c r="AJ74" i="3"/>
  <c r="B75" i="3"/>
  <c r="C75" i="3"/>
  <c r="D75" i="3"/>
  <c r="E75" i="3"/>
  <c r="F75" i="3"/>
  <c r="G75" i="3"/>
  <c r="H75" i="3"/>
  <c r="I75" i="3"/>
  <c r="J75" i="3"/>
  <c r="K75" i="3"/>
  <c r="L75" i="3"/>
  <c r="M75" i="3"/>
  <c r="N75" i="3"/>
  <c r="O75" i="3"/>
  <c r="P75" i="3"/>
  <c r="Q75" i="3"/>
  <c r="R75" i="3"/>
  <c r="S75" i="3"/>
  <c r="T75" i="3"/>
  <c r="U75" i="3"/>
  <c r="V75" i="3"/>
  <c r="W75" i="3"/>
  <c r="X75" i="3"/>
  <c r="Y75" i="3"/>
  <c r="Z75" i="3"/>
  <c r="AA75" i="3"/>
  <c r="AB75" i="3"/>
  <c r="AC75" i="3"/>
  <c r="AD75" i="3"/>
  <c r="AE75" i="3"/>
  <c r="AF75" i="3"/>
  <c r="AG75" i="3"/>
  <c r="AH75" i="3"/>
  <c r="AI75" i="3"/>
  <c r="AJ75" i="3"/>
  <c r="B76" i="3"/>
  <c r="C76" i="3"/>
  <c r="D76" i="3"/>
  <c r="E76" i="3"/>
  <c r="F76" i="3"/>
  <c r="G76" i="3"/>
  <c r="H76" i="3"/>
  <c r="I76" i="3"/>
  <c r="J76" i="3"/>
  <c r="K76" i="3"/>
  <c r="L76" i="3"/>
  <c r="M76" i="3"/>
  <c r="N76" i="3"/>
  <c r="O76" i="3"/>
  <c r="P76" i="3"/>
  <c r="Q76" i="3"/>
  <c r="R76" i="3"/>
  <c r="S76" i="3"/>
  <c r="T76" i="3"/>
  <c r="U76" i="3"/>
  <c r="V76" i="3"/>
  <c r="W76" i="3"/>
  <c r="X76" i="3"/>
  <c r="Y76" i="3"/>
  <c r="Z76" i="3"/>
  <c r="AA76" i="3"/>
  <c r="AB76" i="3"/>
  <c r="AC76" i="3"/>
  <c r="AD76" i="3"/>
  <c r="AE76" i="3"/>
  <c r="AF76" i="3"/>
  <c r="AG76" i="3"/>
  <c r="AH76" i="3"/>
  <c r="AI76" i="3"/>
  <c r="AJ76" i="3"/>
  <c r="B77" i="3"/>
  <c r="C77" i="3"/>
  <c r="D77" i="3"/>
  <c r="E77" i="3"/>
  <c r="F77" i="3"/>
  <c r="G77" i="3"/>
  <c r="H77" i="3"/>
  <c r="I77" i="3"/>
  <c r="J77" i="3"/>
  <c r="K77" i="3"/>
  <c r="L77" i="3"/>
  <c r="M77" i="3"/>
  <c r="N77" i="3"/>
  <c r="O77" i="3"/>
  <c r="P77" i="3"/>
  <c r="Q77" i="3"/>
  <c r="R77" i="3"/>
  <c r="S77" i="3"/>
  <c r="T77" i="3"/>
  <c r="U77" i="3"/>
  <c r="V77" i="3"/>
  <c r="W77" i="3"/>
  <c r="X77" i="3"/>
  <c r="Y77" i="3"/>
  <c r="Z77" i="3"/>
  <c r="AA77" i="3"/>
  <c r="AB77" i="3"/>
  <c r="AC77" i="3"/>
  <c r="AD77" i="3"/>
  <c r="AE77" i="3"/>
  <c r="AF77" i="3"/>
  <c r="AG77" i="3"/>
  <c r="AH77" i="3"/>
  <c r="AI77" i="3"/>
  <c r="AJ77" i="3"/>
  <c r="B78" i="3"/>
  <c r="C78" i="3"/>
  <c r="D78" i="3"/>
  <c r="E78" i="3"/>
  <c r="F78" i="3"/>
  <c r="G78" i="3"/>
  <c r="H78" i="3"/>
  <c r="I78" i="3"/>
  <c r="J78" i="3"/>
  <c r="K78" i="3"/>
  <c r="L78" i="3"/>
  <c r="M78" i="3"/>
  <c r="N78" i="3"/>
  <c r="O78" i="3"/>
  <c r="P78" i="3"/>
  <c r="Q78" i="3"/>
  <c r="R78" i="3"/>
  <c r="S78" i="3"/>
  <c r="T78" i="3"/>
  <c r="U78" i="3"/>
  <c r="V78" i="3"/>
  <c r="W78" i="3"/>
  <c r="X78" i="3"/>
  <c r="Y78" i="3"/>
  <c r="Z78" i="3"/>
  <c r="AA78" i="3"/>
  <c r="AB78" i="3"/>
  <c r="AC78" i="3"/>
  <c r="AD78" i="3"/>
  <c r="AE78" i="3"/>
  <c r="AF78" i="3"/>
  <c r="AG78" i="3"/>
  <c r="AH78" i="3"/>
  <c r="AI78" i="3"/>
  <c r="AJ78" i="3"/>
  <c r="B79" i="3"/>
  <c r="C79" i="3"/>
  <c r="D79" i="3"/>
  <c r="E79" i="3"/>
  <c r="F79" i="3"/>
  <c r="G79" i="3"/>
  <c r="H79" i="3"/>
  <c r="I79" i="3"/>
  <c r="J79" i="3"/>
  <c r="K79" i="3"/>
  <c r="L79" i="3"/>
  <c r="M79" i="3"/>
  <c r="N79" i="3"/>
  <c r="O79" i="3"/>
  <c r="P79" i="3"/>
  <c r="Q79" i="3"/>
  <c r="R79" i="3"/>
  <c r="S79" i="3"/>
  <c r="T79" i="3"/>
  <c r="U79" i="3"/>
  <c r="V79" i="3"/>
  <c r="W79" i="3"/>
  <c r="X79" i="3"/>
  <c r="Y79" i="3"/>
  <c r="Z79" i="3"/>
  <c r="AA79" i="3"/>
  <c r="AB79" i="3"/>
  <c r="AC79" i="3"/>
  <c r="AD79" i="3"/>
  <c r="AE79" i="3"/>
  <c r="AF79" i="3"/>
  <c r="AG79" i="3"/>
  <c r="AH79" i="3"/>
  <c r="AI79" i="3"/>
  <c r="AJ79" i="3"/>
  <c r="B80" i="3"/>
  <c r="C80" i="3"/>
  <c r="D80" i="3"/>
  <c r="E80" i="3"/>
  <c r="F80" i="3"/>
  <c r="G80" i="3"/>
  <c r="H80" i="3"/>
  <c r="I80" i="3"/>
  <c r="J80" i="3"/>
  <c r="K80" i="3"/>
  <c r="L80" i="3"/>
  <c r="M80" i="3"/>
  <c r="N80" i="3"/>
  <c r="O80" i="3"/>
  <c r="P80" i="3"/>
  <c r="Q80" i="3"/>
  <c r="R80" i="3"/>
  <c r="S80" i="3"/>
  <c r="T80" i="3"/>
  <c r="U80" i="3"/>
  <c r="V80" i="3"/>
  <c r="W80" i="3"/>
  <c r="X80" i="3"/>
  <c r="Y80" i="3"/>
  <c r="Z80" i="3"/>
  <c r="AA80" i="3"/>
  <c r="AB80" i="3"/>
  <c r="AC80" i="3"/>
  <c r="AD80" i="3"/>
  <c r="AE80" i="3"/>
  <c r="AF80" i="3"/>
  <c r="AG80" i="3"/>
  <c r="AH80" i="3"/>
  <c r="AI80" i="3"/>
  <c r="AJ80" i="3"/>
  <c r="B81" i="3"/>
  <c r="C81" i="3"/>
  <c r="D81" i="3"/>
  <c r="E81" i="3"/>
  <c r="F81" i="3"/>
  <c r="G81" i="3"/>
  <c r="H81" i="3"/>
  <c r="I81" i="3"/>
  <c r="J81" i="3"/>
  <c r="K81" i="3"/>
  <c r="L81" i="3"/>
  <c r="M81" i="3"/>
  <c r="N81" i="3"/>
  <c r="O81" i="3"/>
  <c r="P81" i="3"/>
  <c r="Q81" i="3"/>
  <c r="R81" i="3"/>
  <c r="S81" i="3"/>
  <c r="T81" i="3"/>
  <c r="U81" i="3"/>
  <c r="V81" i="3"/>
  <c r="W81" i="3"/>
  <c r="X81" i="3"/>
  <c r="Y81" i="3"/>
  <c r="Z81" i="3"/>
  <c r="AA81" i="3"/>
  <c r="AB81" i="3"/>
  <c r="AC81" i="3"/>
  <c r="AD81" i="3"/>
  <c r="AE81" i="3"/>
  <c r="AF81" i="3"/>
  <c r="AG81" i="3"/>
  <c r="AH81" i="3"/>
  <c r="AI81" i="3"/>
  <c r="AJ81" i="3"/>
  <c r="B82" i="3"/>
  <c r="C82" i="3"/>
  <c r="D82" i="3"/>
  <c r="E82" i="3"/>
  <c r="F82" i="3"/>
  <c r="G82" i="3"/>
  <c r="H82" i="3"/>
  <c r="I82" i="3"/>
  <c r="J82" i="3"/>
  <c r="K82" i="3"/>
  <c r="L82" i="3"/>
  <c r="M82" i="3"/>
  <c r="N82" i="3"/>
  <c r="O82" i="3"/>
  <c r="P82" i="3"/>
  <c r="Q82" i="3"/>
  <c r="R82" i="3"/>
  <c r="S82" i="3"/>
  <c r="T82" i="3"/>
  <c r="U82" i="3"/>
  <c r="V82" i="3"/>
  <c r="W82" i="3"/>
  <c r="X82" i="3"/>
  <c r="Y82" i="3"/>
  <c r="Z82" i="3"/>
  <c r="AA82" i="3"/>
  <c r="AB82" i="3"/>
  <c r="AC82" i="3"/>
  <c r="AD82" i="3"/>
  <c r="AE82" i="3"/>
  <c r="AF82" i="3"/>
  <c r="AG82" i="3"/>
  <c r="AH82" i="3"/>
  <c r="AI82" i="3"/>
  <c r="AJ82" i="3"/>
  <c r="B83" i="3"/>
  <c r="C83" i="3"/>
  <c r="D83" i="3"/>
  <c r="E83" i="3"/>
  <c r="F83" i="3"/>
  <c r="G83" i="3"/>
  <c r="H83" i="3"/>
  <c r="I83" i="3"/>
  <c r="J83" i="3"/>
  <c r="K83" i="3"/>
  <c r="L83" i="3"/>
  <c r="M83" i="3"/>
  <c r="N83" i="3"/>
  <c r="O83" i="3"/>
  <c r="P83" i="3"/>
  <c r="Q83" i="3"/>
  <c r="R83" i="3"/>
  <c r="S83" i="3"/>
  <c r="T83" i="3"/>
  <c r="U83" i="3"/>
  <c r="V83" i="3"/>
  <c r="W83" i="3"/>
  <c r="X83" i="3"/>
  <c r="Y83" i="3"/>
  <c r="Z83" i="3"/>
  <c r="AA83" i="3"/>
  <c r="AB83" i="3"/>
  <c r="AC83" i="3"/>
  <c r="AD83" i="3"/>
  <c r="AE83" i="3"/>
  <c r="AF83" i="3"/>
  <c r="AG83" i="3"/>
  <c r="AH83" i="3"/>
  <c r="AI83" i="3"/>
  <c r="AJ83" i="3"/>
  <c r="B84" i="3"/>
  <c r="C84" i="3"/>
  <c r="D84" i="3"/>
  <c r="E84" i="3"/>
  <c r="F84" i="3"/>
  <c r="G84" i="3"/>
  <c r="H84" i="3"/>
  <c r="I84" i="3"/>
  <c r="J84" i="3"/>
  <c r="K84" i="3"/>
  <c r="L84" i="3"/>
  <c r="M84" i="3"/>
  <c r="N84" i="3"/>
  <c r="O84" i="3"/>
  <c r="P84" i="3"/>
  <c r="Q84" i="3"/>
  <c r="R84" i="3"/>
  <c r="S84" i="3"/>
  <c r="T84" i="3"/>
  <c r="U84" i="3"/>
  <c r="V84" i="3"/>
  <c r="W84" i="3"/>
  <c r="X84" i="3"/>
  <c r="Y84" i="3"/>
  <c r="Z84" i="3"/>
  <c r="AA84" i="3"/>
  <c r="AB84" i="3"/>
  <c r="AC84" i="3"/>
  <c r="AD84" i="3"/>
  <c r="AE84" i="3"/>
  <c r="AF84" i="3"/>
  <c r="AG84" i="3"/>
  <c r="AH84" i="3"/>
  <c r="AI84" i="3"/>
  <c r="AJ84" i="3"/>
  <c r="B85" i="3"/>
  <c r="C85" i="3"/>
  <c r="D85" i="3"/>
  <c r="E85" i="3"/>
  <c r="F85" i="3"/>
  <c r="G85" i="3"/>
  <c r="H85" i="3"/>
  <c r="I85" i="3"/>
  <c r="J85" i="3"/>
  <c r="K85" i="3"/>
  <c r="L85" i="3"/>
  <c r="M85" i="3"/>
  <c r="N85" i="3"/>
  <c r="O85" i="3"/>
  <c r="P85" i="3"/>
  <c r="Q85" i="3"/>
  <c r="R85" i="3"/>
  <c r="S85" i="3"/>
  <c r="T85" i="3"/>
  <c r="U85" i="3"/>
  <c r="V85" i="3"/>
  <c r="W85" i="3"/>
  <c r="X85" i="3"/>
  <c r="Y85" i="3"/>
  <c r="Z85" i="3"/>
  <c r="AA85" i="3"/>
  <c r="AB85" i="3"/>
  <c r="AC85" i="3"/>
  <c r="AD85" i="3"/>
  <c r="AE85" i="3"/>
  <c r="AF85" i="3"/>
  <c r="AG85" i="3"/>
  <c r="AH85" i="3"/>
  <c r="AI85" i="3"/>
  <c r="AJ85" i="3"/>
  <c r="B86" i="3"/>
  <c r="C86" i="3"/>
  <c r="D86" i="3"/>
  <c r="E86" i="3"/>
  <c r="F86" i="3"/>
  <c r="G86" i="3"/>
  <c r="H86" i="3"/>
  <c r="I86" i="3"/>
  <c r="J86" i="3"/>
  <c r="K86" i="3"/>
  <c r="L86" i="3"/>
  <c r="M86" i="3"/>
  <c r="N86" i="3"/>
  <c r="O86" i="3"/>
  <c r="P86" i="3"/>
  <c r="Q86" i="3"/>
  <c r="R86" i="3"/>
  <c r="S86" i="3"/>
  <c r="T86" i="3"/>
  <c r="U86" i="3"/>
  <c r="V86" i="3"/>
  <c r="W86" i="3"/>
  <c r="X86" i="3"/>
  <c r="Y86" i="3"/>
  <c r="Z86" i="3"/>
  <c r="AA86" i="3"/>
  <c r="AB86" i="3"/>
  <c r="AC86" i="3"/>
  <c r="AD86" i="3"/>
  <c r="AE86" i="3"/>
  <c r="AF86" i="3"/>
  <c r="AG86" i="3"/>
  <c r="AH86" i="3"/>
  <c r="AI86" i="3"/>
  <c r="AJ86" i="3"/>
  <c r="B87" i="3"/>
  <c r="C87" i="3"/>
  <c r="D87" i="3"/>
  <c r="E87" i="3"/>
  <c r="F87" i="3"/>
  <c r="G87" i="3"/>
  <c r="H87" i="3"/>
  <c r="I87" i="3"/>
  <c r="J87" i="3"/>
  <c r="K87" i="3"/>
  <c r="L87" i="3"/>
  <c r="M87" i="3"/>
  <c r="N87" i="3"/>
  <c r="O87" i="3"/>
  <c r="P87" i="3"/>
  <c r="Q87" i="3"/>
  <c r="R87" i="3"/>
  <c r="S87" i="3"/>
  <c r="T87" i="3"/>
  <c r="U87" i="3"/>
  <c r="V87" i="3"/>
  <c r="W87" i="3"/>
  <c r="X87" i="3"/>
  <c r="Y87" i="3"/>
  <c r="Z87" i="3"/>
  <c r="AA87" i="3"/>
  <c r="AB87" i="3"/>
  <c r="AC87" i="3"/>
  <c r="AD87" i="3"/>
  <c r="AE87" i="3"/>
  <c r="AF87" i="3"/>
  <c r="AG87" i="3"/>
  <c r="AH87" i="3"/>
  <c r="AI87" i="3"/>
  <c r="AJ87" i="3"/>
  <c r="B88" i="3"/>
  <c r="C88" i="3"/>
  <c r="D88" i="3"/>
  <c r="E88" i="3"/>
  <c r="F88" i="3"/>
  <c r="G88" i="3"/>
  <c r="H88" i="3"/>
  <c r="I88" i="3"/>
  <c r="J88" i="3"/>
  <c r="K88" i="3"/>
  <c r="L88" i="3"/>
  <c r="M88" i="3"/>
  <c r="N88" i="3"/>
  <c r="O88" i="3"/>
  <c r="P88" i="3"/>
  <c r="Q88" i="3"/>
  <c r="R88" i="3"/>
  <c r="S88" i="3"/>
  <c r="T88" i="3"/>
  <c r="U88" i="3"/>
  <c r="V88" i="3"/>
  <c r="W88" i="3"/>
  <c r="X88" i="3"/>
  <c r="Y88" i="3"/>
  <c r="Z88" i="3"/>
  <c r="AA88" i="3"/>
  <c r="AB88" i="3"/>
  <c r="AC88" i="3"/>
  <c r="AD88" i="3"/>
  <c r="AE88" i="3"/>
  <c r="AF88" i="3"/>
  <c r="AG88" i="3"/>
  <c r="AH88" i="3"/>
  <c r="AI88" i="3"/>
  <c r="AJ88" i="3"/>
  <c r="B89" i="3"/>
  <c r="C89" i="3"/>
  <c r="D89" i="3"/>
  <c r="E89" i="3"/>
  <c r="F89" i="3"/>
  <c r="G89" i="3"/>
  <c r="H89" i="3"/>
  <c r="I89" i="3"/>
  <c r="J89" i="3"/>
  <c r="K89" i="3"/>
  <c r="L89" i="3"/>
  <c r="M89" i="3"/>
  <c r="N89" i="3"/>
  <c r="O89" i="3"/>
  <c r="P89" i="3"/>
  <c r="Q89" i="3"/>
  <c r="R89" i="3"/>
  <c r="S89" i="3"/>
  <c r="T89" i="3"/>
  <c r="U89" i="3"/>
  <c r="V89" i="3"/>
  <c r="W89" i="3"/>
  <c r="X89" i="3"/>
  <c r="Y89" i="3"/>
  <c r="Z89" i="3"/>
  <c r="AA89" i="3"/>
  <c r="AB89" i="3"/>
  <c r="AC89" i="3"/>
  <c r="AD89" i="3"/>
  <c r="AE89" i="3"/>
  <c r="AF89" i="3"/>
  <c r="AG89" i="3"/>
  <c r="AH89" i="3"/>
  <c r="AI89" i="3"/>
  <c r="AJ89" i="3"/>
  <c r="B90" i="3"/>
  <c r="C90" i="3"/>
  <c r="D90" i="3"/>
  <c r="E90" i="3"/>
  <c r="F90" i="3"/>
  <c r="G90" i="3"/>
  <c r="H90" i="3"/>
  <c r="I90" i="3"/>
  <c r="J90" i="3"/>
  <c r="K90" i="3"/>
  <c r="L90" i="3"/>
  <c r="M90" i="3"/>
  <c r="N90" i="3"/>
  <c r="O90" i="3"/>
  <c r="P90" i="3"/>
  <c r="Q90" i="3"/>
  <c r="R90" i="3"/>
  <c r="S90" i="3"/>
  <c r="T90" i="3"/>
  <c r="U90" i="3"/>
  <c r="V90" i="3"/>
  <c r="W90" i="3"/>
  <c r="X90" i="3"/>
  <c r="Y90" i="3"/>
  <c r="Z90" i="3"/>
  <c r="AA90" i="3"/>
  <c r="AB90" i="3"/>
  <c r="AC90" i="3"/>
  <c r="AD90" i="3"/>
  <c r="AE90" i="3"/>
  <c r="AF90" i="3"/>
  <c r="AG90" i="3"/>
  <c r="AH90" i="3"/>
  <c r="AI90" i="3"/>
  <c r="AJ90" i="3"/>
  <c r="B91" i="3"/>
  <c r="C91" i="3"/>
  <c r="D91" i="3"/>
  <c r="E91" i="3"/>
  <c r="F91" i="3"/>
  <c r="G91" i="3"/>
  <c r="H91" i="3"/>
  <c r="I91" i="3"/>
  <c r="J91" i="3"/>
  <c r="K91" i="3"/>
  <c r="L91" i="3"/>
  <c r="M91" i="3"/>
  <c r="N91" i="3"/>
  <c r="O91" i="3"/>
  <c r="P91" i="3"/>
  <c r="Q91" i="3"/>
  <c r="R91" i="3"/>
  <c r="S91" i="3"/>
  <c r="T91" i="3"/>
  <c r="U91" i="3"/>
  <c r="V91" i="3"/>
  <c r="W91" i="3"/>
  <c r="X91" i="3"/>
  <c r="Y91" i="3"/>
  <c r="Z91" i="3"/>
  <c r="AA91" i="3"/>
  <c r="AB91" i="3"/>
  <c r="AC91" i="3"/>
  <c r="AD91" i="3"/>
  <c r="AE91" i="3"/>
  <c r="AF91" i="3"/>
  <c r="AG91" i="3"/>
  <c r="AH91" i="3"/>
  <c r="AI91" i="3"/>
  <c r="AJ91" i="3"/>
  <c r="B92" i="3"/>
  <c r="C92" i="3"/>
  <c r="D92" i="3"/>
  <c r="E92"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B93" i="3"/>
  <c r="C93" i="3"/>
  <c r="D93" i="3"/>
  <c r="E93" i="3"/>
  <c r="F93" i="3"/>
  <c r="G93" i="3"/>
  <c r="H93" i="3"/>
  <c r="I93" i="3"/>
  <c r="J93" i="3"/>
  <c r="K93" i="3"/>
  <c r="L93" i="3"/>
  <c r="M93" i="3"/>
  <c r="N93" i="3"/>
  <c r="O93" i="3"/>
  <c r="P93" i="3"/>
  <c r="Q93" i="3"/>
  <c r="R93" i="3"/>
  <c r="S93" i="3"/>
  <c r="T93" i="3"/>
  <c r="U93" i="3"/>
  <c r="V93" i="3"/>
  <c r="W93" i="3"/>
  <c r="X93" i="3"/>
  <c r="Y93" i="3"/>
  <c r="Z93" i="3"/>
  <c r="AA93" i="3"/>
  <c r="AB93" i="3"/>
  <c r="AC93" i="3"/>
  <c r="AD93" i="3"/>
  <c r="AE93" i="3"/>
  <c r="AF93" i="3"/>
  <c r="AG93" i="3"/>
  <c r="AH93" i="3"/>
  <c r="AI93" i="3"/>
  <c r="AJ93" i="3"/>
  <c r="B94" i="3"/>
  <c r="C94" i="3"/>
  <c r="D94" i="3"/>
  <c r="E94" i="3"/>
  <c r="F94" i="3"/>
  <c r="G94" i="3"/>
  <c r="H94" i="3"/>
  <c r="I94" i="3"/>
  <c r="J94" i="3"/>
  <c r="K94" i="3"/>
  <c r="L94" i="3"/>
  <c r="M94" i="3"/>
  <c r="N94" i="3"/>
  <c r="O94" i="3"/>
  <c r="P94" i="3"/>
  <c r="Q94" i="3"/>
  <c r="R94" i="3"/>
  <c r="S94" i="3"/>
  <c r="T94" i="3"/>
  <c r="U94" i="3"/>
  <c r="V94" i="3"/>
  <c r="W94" i="3"/>
  <c r="X94" i="3"/>
  <c r="Y94" i="3"/>
  <c r="Z94" i="3"/>
  <c r="AA94" i="3"/>
  <c r="AB94" i="3"/>
  <c r="AC94" i="3"/>
  <c r="AD94" i="3"/>
  <c r="AE94" i="3"/>
  <c r="AF94" i="3"/>
  <c r="AG94" i="3"/>
  <c r="AH94" i="3"/>
  <c r="AI94" i="3"/>
  <c r="AJ94" i="3"/>
  <c r="B95" i="3"/>
  <c r="C95" i="3"/>
  <c r="D95" i="3"/>
  <c r="E95" i="3"/>
  <c r="F95" i="3"/>
  <c r="G95" i="3"/>
  <c r="H95" i="3"/>
  <c r="I95" i="3"/>
  <c r="J95" i="3"/>
  <c r="K95" i="3"/>
  <c r="L95" i="3"/>
  <c r="M95" i="3"/>
  <c r="N95" i="3"/>
  <c r="O95" i="3"/>
  <c r="P95" i="3"/>
  <c r="Q95" i="3"/>
  <c r="R95" i="3"/>
  <c r="S95" i="3"/>
  <c r="T95" i="3"/>
  <c r="U95" i="3"/>
  <c r="V95" i="3"/>
  <c r="W95" i="3"/>
  <c r="X95" i="3"/>
  <c r="Y95" i="3"/>
  <c r="Z95" i="3"/>
  <c r="AA95" i="3"/>
  <c r="AB95" i="3"/>
  <c r="AC95" i="3"/>
  <c r="AD95" i="3"/>
  <c r="AE95" i="3"/>
  <c r="AF95" i="3"/>
  <c r="AG95" i="3"/>
  <c r="AH95" i="3"/>
  <c r="AI95" i="3"/>
  <c r="AJ95" i="3"/>
  <c r="B96" i="3"/>
  <c r="C96" i="3"/>
  <c r="D96" i="3"/>
  <c r="E96" i="3"/>
  <c r="F96" i="3"/>
  <c r="G96" i="3"/>
  <c r="H96" i="3"/>
  <c r="I96" i="3"/>
  <c r="J96" i="3"/>
  <c r="K96" i="3"/>
  <c r="L96" i="3"/>
  <c r="M96" i="3"/>
  <c r="N96" i="3"/>
  <c r="O96" i="3"/>
  <c r="P96" i="3"/>
  <c r="Q96" i="3"/>
  <c r="R96" i="3"/>
  <c r="S96" i="3"/>
  <c r="T96" i="3"/>
  <c r="U96" i="3"/>
  <c r="V96" i="3"/>
  <c r="W96" i="3"/>
  <c r="X96" i="3"/>
  <c r="Y96" i="3"/>
  <c r="Z96" i="3"/>
  <c r="AA96" i="3"/>
  <c r="AB96" i="3"/>
  <c r="AC96" i="3"/>
  <c r="AD96" i="3"/>
  <c r="AE96" i="3"/>
  <c r="AF96" i="3"/>
  <c r="AG96" i="3"/>
  <c r="AH96" i="3"/>
  <c r="AI96" i="3"/>
  <c r="AJ96" i="3"/>
  <c r="B97" i="3"/>
  <c r="C97" i="3"/>
  <c r="D97" i="3"/>
  <c r="E97" i="3"/>
  <c r="F97" i="3"/>
  <c r="G97"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AI97" i="3"/>
  <c r="AJ97" i="3"/>
  <c r="B98" i="3"/>
  <c r="C98" i="3"/>
  <c r="D98" i="3"/>
  <c r="E98" i="3"/>
  <c r="F98" i="3"/>
  <c r="G98" i="3"/>
  <c r="H98" i="3"/>
  <c r="I98" i="3"/>
  <c r="J98" i="3"/>
  <c r="K98" i="3"/>
  <c r="L98" i="3"/>
  <c r="M98" i="3"/>
  <c r="N98" i="3"/>
  <c r="O98" i="3"/>
  <c r="P98" i="3"/>
  <c r="Q98" i="3"/>
  <c r="R98" i="3"/>
  <c r="S98" i="3"/>
  <c r="T98" i="3"/>
  <c r="U98" i="3"/>
  <c r="V98" i="3"/>
  <c r="W98" i="3"/>
  <c r="X98" i="3"/>
  <c r="Y98" i="3"/>
  <c r="Z98" i="3"/>
  <c r="AA98" i="3"/>
  <c r="AB98" i="3"/>
  <c r="AC98" i="3"/>
  <c r="AD98" i="3"/>
  <c r="AE98" i="3"/>
  <c r="AF98" i="3"/>
  <c r="AG98" i="3"/>
  <c r="AH98" i="3"/>
  <c r="AI98" i="3"/>
  <c r="AJ98" i="3"/>
  <c r="B99" i="3"/>
  <c r="C99" i="3"/>
  <c r="D99" i="3"/>
  <c r="E99" i="3"/>
  <c r="F99" i="3"/>
  <c r="G99" i="3"/>
  <c r="H99" i="3"/>
  <c r="I99" i="3"/>
  <c r="J99" i="3"/>
  <c r="K99" i="3"/>
  <c r="L99" i="3"/>
  <c r="M99" i="3"/>
  <c r="N99" i="3"/>
  <c r="O99" i="3"/>
  <c r="P99" i="3"/>
  <c r="Q99" i="3"/>
  <c r="R99" i="3"/>
  <c r="S99" i="3"/>
  <c r="T99" i="3"/>
  <c r="U99" i="3"/>
  <c r="V99" i="3"/>
  <c r="W99" i="3"/>
  <c r="X99" i="3"/>
  <c r="Y99" i="3"/>
  <c r="Z99" i="3"/>
  <c r="AA99" i="3"/>
  <c r="AB99" i="3"/>
  <c r="AC99" i="3"/>
  <c r="AD99" i="3"/>
  <c r="AE99" i="3"/>
  <c r="AF99" i="3"/>
  <c r="AG99" i="3"/>
  <c r="AH99" i="3"/>
  <c r="AI99" i="3"/>
  <c r="AJ99" i="3"/>
  <c r="B100" i="3"/>
  <c r="C100" i="3"/>
  <c r="D100" i="3"/>
  <c r="E100" i="3"/>
  <c r="F100" i="3"/>
  <c r="G100" i="3"/>
  <c r="H100" i="3"/>
  <c r="I100" i="3"/>
  <c r="J100" i="3"/>
  <c r="K100"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B101" i="3"/>
  <c r="C101" i="3"/>
  <c r="D101" i="3"/>
  <c r="E101" i="3"/>
  <c r="F101" i="3"/>
  <c r="G101" i="3"/>
  <c r="H101" i="3"/>
  <c r="I101" i="3"/>
  <c r="J101" i="3"/>
  <c r="K101"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B102" i="3"/>
  <c r="C102" i="3"/>
  <c r="D102" i="3"/>
  <c r="E102" i="3"/>
  <c r="F102" i="3"/>
  <c r="G102" i="3"/>
  <c r="H102" i="3"/>
  <c r="I102" i="3"/>
  <c r="J102" i="3"/>
  <c r="K102"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B103" i="3"/>
  <c r="C103" i="3"/>
  <c r="D103" i="3"/>
  <c r="E103" i="3"/>
  <c r="F103" i="3"/>
  <c r="G103" i="3"/>
  <c r="H103" i="3"/>
  <c r="I103" i="3"/>
  <c r="J103" i="3"/>
  <c r="K103"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B104" i="3"/>
  <c r="C104" i="3"/>
  <c r="D104" i="3"/>
  <c r="E104" i="3"/>
  <c r="F104" i="3"/>
  <c r="G104" i="3"/>
  <c r="H104" i="3"/>
  <c r="I104" i="3"/>
  <c r="J104" i="3"/>
  <c r="K104"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B105" i="3"/>
  <c r="C105" i="3"/>
  <c r="D105" i="3"/>
  <c r="E105" i="3"/>
  <c r="F105" i="3"/>
  <c r="G105" i="3"/>
  <c r="H105" i="3"/>
  <c r="I105" i="3"/>
  <c r="J105" i="3"/>
  <c r="K105"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B106" i="3"/>
  <c r="C106" i="3"/>
  <c r="D106" i="3"/>
  <c r="E106" i="3"/>
  <c r="F106" i="3"/>
  <c r="G106" i="3"/>
  <c r="H106" i="3"/>
  <c r="I106" i="3"/>
  <c r="J106" i="3"/>
  <c r="K106"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B107" i="3"/>
  <c r="C107" i="3"/>
  <c r="D107" i="3"/>
  <c r="E107" i="3"/>
  <c r="F107" i="3"/>
  <c r="G107" i="3"/>
  <c r="H107" i="3"/>
  <c r="I107" i="3"/>
  <c r="J107" i="3"/>
  <c r="K107"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B108" i="3"/>
  <c r="C108" i="3"/>
  <c r="D108" i="3"/>
  <c r="E108" i="3"/>
  <c r="F108" i="3"/>
  <c r="G108" i="3"/>
  <c r="H108" i="3"/>
  <c r="I108" i="3"/>
  <c r="J108" i="3"/>
  <c r="K108"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B109" i="3"/>
  <c r="C109" i="3"/>
  <c r="D109" i="3"/>
  <c r="E109" i="3"/>
  <c r="F109" i="3"/>
  <c r="G109" i="3"/>
  <c r="H109" i="3"/>
  <c r="I109" i="3"/>
  <c r="J109" i="3"/>
  <c r="K109"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B110" i="3"/>
  <c r="C110" i="3"/>
  <c r="D110" i="3"/>
  <c r="E110" i="3"/>
  <c r="F110" i="3"/>
  <c r="G110" i="3"/>
  <c r="H110" i="3"/>
  <c r="I110" i="3"/>
  <c r="J110" i="3"/>
  <c r="K110"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B111" i="3"/>
  <c r="C111" i="3"/>
  <c r="D111" i="3"/>
  <c r="E111" i="3"/>
  <c r="F111" i="3"/>
  <c r="G111" i="3"/>
  <c r="H111" i="3"/>
  <c r="I111" i="3"/>
  <c r="J111" i="3"/>
  <c r="K111"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B112" i="3"/>
  <c r="C112" i="3"/>
  <c r="D112" i="3"/>
  <c r="E112" i="3"/>
  <c r="F112" i="3"/>
  <c r="G112" i="3"/>
  <c r="H112" i="3"/>
  <c r="I112" i="3"/>
  <c r="J112" i="3"/>
  <c r="K112"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B113" i="3"/>
  <c r="C113" i="3"/>
  <c r="D113" i="3"/>
  <c r="E113" i="3"/>
  <c r="F113" i="3"/>
  <c r="G113" i="3"/>
  <c r="H113" i="3"/>
  <c r="I113" i="3"/>
  <c r="J113" i="3"/>
  <c r="K113"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B114" i="3"/>
  <c r="C114" i="3"/>
  <c r="D114" i="3"/>
  <c r="E114" i="3"/>
  <c r="F114" i="3"/>
  <c r="G114" i="3"/>
  <c r="H114" i="3"/>
  <c r="I114" i="3"/>
  <c r="J114" i="3"/>
  <c r="K114"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B115" i="3"/>
  <c r="C115" i="3"/>
  <c r="D115" i="3"/>
  <c r="E115" i="3"/>
  <c r="F115" i="3"/>
  <c r="G115" i="3"/>
  <c r="H115" i="3"/>
  <c r="I115" i="3"/>
  <c r="J115" i="3"/>
  <c r="K115"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B116" i="3"/>
  <c r="C116" i="3"/>
  <c r="D116" i="3"/>
  <c r="E116" i="3"/>
  <c r="F116" i="3"/>
  <c r="G116" i="3"/>
  <c r="H116" i="3"/>
  <c r="I116" i="3"/>
  <c r="J116" i="3"/>
  <c r="K116"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B117" i="3"/>
  <c r="C117" i="3"/>
  <c r="D117" i="3"/>
  <c r="E117" i="3"/>
  <c r="F117" i="3"/>
  <c r="G117" i="3"/>
  <c r="H117" i="3"/>
  <c r="I117" i="3"/>
  <c r="J117" i="3"/>
  <c r="K117"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B118" i="3"/>
  <c r="C118" i="3"/>
  <c r="D118" i="3"/>
  <c r="E118" i="3"/>
  <c r="F118" i="3"/>
  <c r="G118" i="3"/>
  <c r="H118" i="3"/>
  <c r="I118" i="3"/>
  <c r="J118" i="3"/>
  <c r="K118"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B119" i="3"/>
  <c r="C119" i="3"/>
  <c r="D119" i="3"/>
  <c r="E119" i="3"/>
  <c r="F119" i="3"/>
  <c r="G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B120" i="3"/>
  <c r="C120" i="3"/>
  <c r="D120" i="3"/>
  <c r="E120" i="3"/>
  <c r="F120" i="3"/>
  <c r="G120" i="3"/>
  <c r="H120" i="3"/>
  <c r="I120" i="3"/>
  <c r="J120" i="3"/>
  <c r="K120"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B121" i="3"/>
  <c r="C121" i="3"/>
  <c r="D121" i="3"/>
  <c r="E121" i="3"/>
  <c r="F121" i="3"/>
  <c r="G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B122" i="3"/>
  <c r="C122" i="3"/>
  <c r="D122" i="3"/>
  <c r="E122" i="3"/>
  <c r="F122" i="3"/>
  <c r="G122" i="3"/>
  <c r="H122" i="3"/>
  <c r="I122" i="3"/>
  <c r="J122" i="3"/>
  <c r="K122"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B123" i="3"/>
  <c r="C123" i="3"/>
  <c r="D123" i="3"/>
  <c r="E123" i="3"/>
  <c r="F123" i="3"/>
  <c r="G123" i="3"/>
  <c r="H123" i="3"/>
  <c r="I123" i="3"/>
  <c r="J123" i="3"/>
  <c r="K123"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B124" i="3"/>
  <c r="C124" i="3"/>
  <c r="D124" i="3"/>
  <c r="E124" i="3"/>
  <c r="F124" i="3"/>
  <c r="G124" i="3"/>
  <c r="H124" i="3"/>
  <c r="I124" i="3"/>
  <c r="J124" i="3"/>
  <c r="K124"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B125" i="3"/>
  <c r="C125" i="3"/>
  <c r="D125" i="3"/>
  <c r="E125" i="3"/>
  <c r="F125" i="3"/>
  <c r="G125" i="3"/>
  <c r="H125" i="3"/>
  <c r="I125" i="3"/>
  <c r="J125" i="3"/>
  <c r="K125"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B126" i="3"/>
  <c r="C126" i="3"/>
  <c r="D126" i="3"/>
  <c r="E126" i="3"/>
  <c r="F126" i="3"/>
  <c r="G126" i="3"/>
  <c r="H126" i="3"/>
  <c r="I126" i="3"/>
  <c r="J126" i="3"/>
  <c r="K126"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B127" i="3"/>
  <c r="C127" i="3"/>
  <c r="D127" i="3"/>
  <c r="E127" i="3"/>
  <c r="F127" i="3"/>
  <c r="G127" i="3"/>
  <c r="H127" i="3"/>
  <c r="I127" i="3"/>
  <c r="J127" i="3"/>
  <c r="K127"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B128" i="3"/>
  <c r="C128" i="3"/>
  <c r="D128" i="3"/>
  <c r="E128" i="3"/>
  <c r="F128" i="3"/>
  <c r="G128" i="3"/>
  <c r="H128" i="3"/>
  <c r="I128" i="3"/>
  <c r="J128" i="3"/>
  <c r="K128"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B129" i="3"/>
  <c r="C129" i="3"/>
  <c r="D129" i="3"/>
  <c r="E129" i="3"/>
  <c r="F129" i="3"/>
  <c r="G129" i="3"/>
  <c r="H129" i="3"/>
  <c r="I129" i="3"/>
  <c r="J129" i="3"/>
  <c r="K129" i="3"/>
  <c r="L129" i="3"/>
  <c r="M129" i="3"/>
  <c r="N129" i="3"/>
  <c r="O129" i="3"/>
  <c r="P129" i="3"/>
  <c r="Q129" i="3"/>
  <c r="R129" i="3"/>
  <c r="S129" i="3"/>
  <c r="T129" i="3"/>
  <c r="U129" i="3"/>
  <c r="V129" i="3"/>
  <c r="W129" i="3"/>
  <c r="X129" i="3"/>
  <c r="Y129" i="3"/>
  <c r="Z129" i="3"/>
  <c r="AA129" i="3"/>
  <c r="AB129" i="3"/>
  <c r="AC129" i="3"/>
  <c r="AD129" i="3"/>
  <c r="AE129" i="3"/>
  <c r="AF129" i="3"/>
  <c r="AG129" i="3"/>
  <c r="AH129" i="3"/>
  <c r="AI129" i="3"/>
  <c r="AJ129" i="3"/>
  <c r="B130" i="3"/>
  <c r="C130" i="3"/>
  <c r="D130" i="3"/>
  <c r="E130" i="3"/>
  <c r="F130" i="3"/>
  <c r="G130" i="3"/>
  <c r="H130" i="3"/>
  <c r="I130" i="3"/>
  <c r="J130" i="3"/>
  <c r="K130" i="3"/>
  <c r="L130" i="3"/>
  <c r="M130" i="3"/>
  <c r="N130" i="3"/>
  <c r="O130" i="3"/>
  <c r="P130" i="3"/>
  <c r="Q130" i="3"/>
  <c r="R130" i="3"/>
  <c r="S130" i="3"/>
  <c r="T130" i="3"/>
  <c r="U130" i="3"/>
  <c r="V130" i="3"/>
  <c r="W130" i="3"/>
  <c r="X130" i="3"/>
  <c r="Y130" i="3"/>
  <c r="Z130" i="3"/>
  <c r="AA130" i="3"/>
  <c r="AB130" i="3"/>
  <c r="AC130" i="3"/>
  <c r="AD130" i="3"/>
  <c r="AE130" i="3"/>
  <c r="AF130" i="3"/>
  <c r="AG130" i="3"/>
  <c r="AH130" i="3"/>
  <c r="AI130" i="3"/>
  <c r="AJ130" i="3"/>
  <c r="B131" i="3"/>
  <c r="C131" i="3"/>
  <c r="D131" i="3"/>
  <c r="E131" i="3"/>
  <c r="F131" i="3"/>
  <c r="G131" i="3"/>
  <c r="H131" i="3"/>
  <c r="I131" i="3"/>
  <c r="J131" i="3"/>
  <c r="K131"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B132" i="3"/>
  <c r="C132" i="3"/>
  <c r="D132" i="3"/>
  <c r="E132" i="3"/>
  <c r="F132" i="3"/>
  <c r="G132" i="3"/>
  <c r="H132" i="3"/>
  <c r="I132" i="3"/>
  <c r="J132" i="3"/>
  <c r="K132" i="3"/>
  <c r="L132" i="3"/>
  <c r="M132" i="3"/>
  <c r="N132" i="3"/>
  <c r="O132" i="3"/>
  <c r="P132" i="3"/>
  <c r="Q132" i="3"/>
  <c r="R132" i="3"/>
  <c r="S132" i="3"/>
  <c r="T132" i="3"/>
  <c r="U132" i="3"/>
  <c r="V132" i="3"/>
  <c r="W132" i="3"/>
  <c r="X132" i="3"/>
  <c r="Y132" i="3"/>
  <c r="Z132" i="3"/>
  <c r="AA132" i="3"/>
  <c r="AB132" i="3"/>
  <c r="AC132" i="3"/>
  <c r="AD132" i="3"/>
  <c r="AE132" i="3"/>
  <c r="AF132" i="3"/>
  <c r="AG132" i="3"/>
  <c r="AH132" i="3"/>
  <c r="AI132" i="3"/>
  <c r="AJ132" i="3"/>
  <c r="B133" i="3"/>
  <c r="C133" i="3"/>
  <c r="D133" i="3"/>
  <c r="E133" i="3"/>
  <c r="F133" i="3"/>
  <c r="G133" i="3"/>
  <c r="H133" i="3"/>
  <c r="I133" i="3"/>
  <c r="J133" i="3"/>
  <c r="K133"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B134" i="3"/>
  <c r="C134" i="3"/>
  <c r="D134" i="3"/>
  <c r="E134" i="3"/>
  <c r="F134" i="3"/>
  <c r="G134" i="3"/>
  <c r="H134" i="3"/>
  <c r="I134" i="3"/>
  <c r="J134" i="3"/>
  <c r="K134"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B135" i="3"/>
  <c r="C135" i="3"/>
  <c r="D135" i="3"/>
  <c r="E135" i="3"/>
  <c r="F135" i="3"/>
  <c r="G135" i="3"/>
  <c r="H135" i="3"/>
  <c r="I135" i="3"/>
  <c r="J135" i="3"/>
  <c r="K135"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B136" i="3"/>
  <c r="C136" i="3"/>
  <c r="D136" i="3"/>
  <c r="E136" i="3"/>
  <c r="F136" i="3"/>
  <c r="G136" i="3"/>
  <c r="H136" i="3"/>
  <c r="I136" i="3"/>
  <c r="J136" i="3"/>
  <c r="K136"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B137" i="3"/>
  <c r="C137" i="3"/>
  <c r="D137" i="3"/>
  <c r="E137" i="3"/>
  <c r="F137" i="3"/>
  <c r="G137" i="3"/>
  <c r="H137" i="3"/>
  <c r="I137" i="3"/>
  <c r="J137" i="3"/>
  <c r="K137"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B138" i="3"/>
  <c r="C138" i="3"/>
  <c r="D138" i="3"/>
  <c r="E138" i="3"/>
  <c r="F138" i="3"/>
  <c r="G138" i="3"/>
  <c r="H138" i="3"/>
  <c r="I138" i="3"/>
  <c r="J138" i="3"/>
  <c r="K138"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B139" i="3"/>
  <c r="C139" i="3"/>
  <c r="D139" i="3"/>
  <c r="E139" i="3"/>
  <c r="F139" i="3"/>
  <c r="G139" i="3"/>
  <c r="H139" i="3"/>
  <c r="I139" i="3"/>
  <c r="J139" i="3"/>
  <c r="K139"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B140" i="3"/>
  <c r="C140" i="3"/>
  <c r="D140" i="3"/>
  <c r="E140" i="3"/>
  <c r="F140" i="3"/>
  <c r="G140" i="3"/>
  <c r="H140" i="3"/>
  <c r="I140" i="3"/>
  <c r="J140" i="3"/>
  <c r="K140"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B141" i="3"/>
  <c r="C141" i="3"/>
  <c r="D141" i="3"/>
  <c r="E141" i="3"/>
  <c r="F141" i="3"/>
  <c r="G141" i="3"/>
  <c r="H141" i="3"/>
  <c r="I141" i="3"/>
  <c r="J141" i="3"/>
  <c r="K141"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B142" i="3"/>
  <c r="C142" i="3"/>
  <c r="D142" i="3"/>
  <c r="E142" i="3"/>
  <c r="F142" i="3"/>
  <c r="G142" i="3"/>
  <c r="H142" i="3"/>
  <c r="I142" i="3"/>
  <c r="J142" i="3"/>
  <c r="K142"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B143" i="3"/>
  <c r="C143" i="3"/>
  <c r="D143" i="3"/>
  <c r="E143" i="3"/>
  <c r="F143" i="3"/>
  <c r="G143" i="3"/>
  <c r="H143" i="3"/>
  <c r="I143" i="3"/>
  <c r="J143" i="3"/>
  <c r="K143"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B144" i="3"/>
  <c r="C144" i="3"/>
  <c r="D144" i="3"/>
  <c r="E144" i="3"/>
  <c r="F144" i="3"/>
  <c r="G144" i="3"/>
  <c r="H144" i="3"/>
  <c r="I144" i="3"/>
  <c r="J144" i="3"/>
  <c r="K144" i="3"/>
  <c r="L144" i="3"/>
  <c r="M144" i="3"/>
  <c r="N144" i="3"/>
  <c r="O144" i="3"/>
  <c r="P144" i="3"/>
  <c r="Q144" i="3"/>
  <c r="R144" i="3"/>
  <c r="S144" i="3"/>
  <c r="T144" i="3"/>
  <c r="U144" i="3"/>
  <c r="V144" i="3"/>
  <c r="W144" i="3"/>
  <c r="X144" i="3"/>
  <c r="Y144" i="3"/>
  <c r="Z144" i="3"/>
  <c r="AA144" i="3"/>
  <c r="AB144" i="3"/>
  <c r="AC144" i="3"/>
  <c r="AD144" i="3"/>
  <c r="AE144" i="3"/>
  <c r="AF144" i="3"/>
  <c r="AG144" i="3"/>
  <c r="AH144" i="3"/>
  <c r="AI144" i="3"/>
  <c r="AJ144" i="3"/>
  <c r="B145" i="3"/>
  <c r="C145" i="3"/>
  <c r="D145" i="3"/>
  <c r="E145" i="3"/>
  <c r="F145" i="3"/>
  <c r="G145" i="3"/>
  <c r="H145" i="3"/>
  <c r="I145" i="3"/>
  <c r="J145" i="3"/>
  <c r="K145"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B146" i="3"/>
  <c r="C146" i="3"/>
  <c r="D146" i="3"/>
  <c r="E146" i="3"/>
  <c r="F146" i="3"/>
  <c r="G146" i="3"/>
  <c r="H146" i="3"/>
  <c r="I146" i="3"/>
  <c r="J146" i="3"/>
  <c r="K146" i="3"/>
  <c r="L146" i="3"/>
  <c r="M146" i="3"/>
  <c r="N146" i="3"/>
  <c r="O146" i="3"/>
  <c r="P146" i="3"/>
  <c r="Q146" i="3"/>
  <c r="R146" i="3"/>
  <c r="S146" i="3"/>
  <c r="T146" i="3"/>
  <c r="U146" i="3"/>
  <c r="V146" i="3"/>
  <c r="W146" i="3"/>
  <c r="X146" i="3"/>
  <c r="Y146" i="3"/>
  <c r="Z146" i="3"/>
  <c r="AA146" i="3"/>
  <c r="AB146" i="3"/>
  <c r="AC146" i="3"/>
  <c r="AD146" i="3"/>
  <c r="AE146" i="3"/>
  <c r="AF146" i="3"/>
  <c r="AG146" i="3"/>
  <c r="AH146" i="3"/>
  <c r="AI146" i="3"/>
  <c r="AJ146" i="3"/>
  <c r="B147" i="3"/>
  <c r="C147" i="3"/>
  <c r="D147" i="3"/>
  <c r="E147" i="3"/>
  <c r="F147" i="3"/>
  <c r="G147" i="3"/>
  <c r="H147" i="3"/>
  <c r="I147" i="3"/>
  <c r="J147" i="3"/>
  <c r="K147" i="3"/>
  <c r="L147" i="3"/>
  <c r="M147" i="3"/>
  <c r="N147" i="3"/>
  <c r="O147" i="3"/>
  <c r="P147" i="3"/>
  <c r="Q147" i="3"/>
  <c r="R147" i="3"/>
  <c r="S147" i="3"/>
  <c r="T147" i="3"/>
  <c r="U147" i="3"/>
  <c r="V147" i="3"/>
  <c r="W147" i="3"/>
  <c r="X147" i="3"/>
  <c r="Y147" i="3"/>
  <c r="Z147" i="3"/>
  <c r="AA147" i="3"/>
  <c r="AB147" i="3"/>
  <c r="AC147" i="3"/>
  <c r="AD147" i="3"/>
  <c r="AE147" i="3"/>
  <c r="AF147" i="3"/>
  <c r="AG147" i="3"/>
  <c r="AH147" i="3"/>
  <c r="AI147" i="3"/>
  <c r="AJ147" i="3"/>
  <c r="B148" i="3"/>
  <c r="C148" i="3"/>
  <c r="D148" i="3"/>
  <c r="E148" i="3"/>
  <c r="F148" i="3"/>
  <c r="G148" i="3"/>
  <c r="H148" i="3"/>
  <c r="I148" i="3"/>
  <c r="J148" i="3"/>
  <c r="K148" i="3"/>
  <c r="L148" i="3"/>
  <c r="M148" i="3"/>
  <c r="N148" i="3"/>
  <c r="O148" i="3"/>
  <c r="P148" i="3"/>
  <c r="Q148" i="3"/>
  <c r="R148" i="3"/>
  <c r="S148" i="3"/>
  <c r="T148" i="3"/>
  <c r="U148" i="3"/>
  <c r="V148" i="3"/>
  <c r="W148" i="3"/>
  <c r="X148" i="3"/>
  <c r="Y148" i="3"/>
  <c r="Z148" i="3"/>
  <c r="AA148" i="3"/>
  <c r="AB148" i="3"/>
  <c r="AC148" i="3"/>
  <c r="AD148" i="3"/>
  <c r="AE148" i="3"/>
  <c r="AF148" i="3"/>
  <c r="AG148" i="3"/>
  <c r="AH148" i="3"/>
  <c r="AI148" i="3"/>
  <c r="AJ148" i="3"/>
  <c r="B149" i="3"/>
  <c r="C149" i="3"/>
  <c r="D149" i="3"/>
  <c r="E149" i="3"/>
  <c r="F149" i="3"/>
  <c r="G149" i="3"/>
  <c r="H149" i="3"/>
  <c r="I149" i="3"/>
  <c r="J149" i="3"/>
  <c r="K149" i="3"/>
  <c r="L149" i="3"/>
  <c r="M149" i="3"/>
  <c r="N149" i="3"/>
  <c r="O149" i="3"/>
  <c r="P149" i="3"/>
  <c r="Q149" i="3"/>
  <c r="R149" i="3"/>
  <c r="S149" i="3"/>
  <c r="T149" i="3"/>
  <c r="U149" i="3"/>
  <c r="V149" i="3"/>
  <c r="W149" i="3"/>
  <c r="X149" i="3"/>
  <c r="Y149" i="3"/>
  <c r="Z149" i="3"/>
  <c r="AA149" i="3"/>
  <c r="AB149" i="3"/>
  <c r="AC149" i="3"/>
  <c r="AD149" i="3"/>
  <c r="AE149" i="3"/>
  <c r="AF149" i="3"/>
  <c r="AG149" i="3"/>
  <c r="AH149" i="3"/>
  <c r="AI149" i="3"/>
  <c r="AJ149" i="3"/>
  <c r="B150" i="3"/>
  <c r="C150" i="3"/>
  <c r="D150" i="3"/>
  <c r="E150" i="3"/>
  <c r="F150" i="3"/>
  <c r="G150" i="3"/>
  <c r="H150" i="3"/>
  <c r="I150" i="3"/>
  <c r="J150" i="3"/>
  <c r="K150"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B151" i="3"/>
  <c r="C151" i="3"/>
  <c r="D151" i="3"/>
  <c r="E151" i="3"/>
  <c r="F151" i="3"/>
  <c r="G151" i="3"/>
  <c r="H151" i="3"/>
  <c r="I151" i="3"/>
  <c r="J151" i="3"/>
  <c r="K151" i="3"/>
  <c r="L151" i="3"/>
  <c r="M151" i="3"/>
  <c r="N151" i="3"/>
  <c r="O151" i="3"/>
  <c r="P151" i="3"/>
  <c r="Q151" i="3"/>
  <c r="R151" i="3"/>
  <c r="S151" i="3"/>
  <c r="T151" i="3"/>
  <c r="U151" i="3"/>
  <c r="V151" i="3"/>
  <c r="W151" i="3"/>
  <c r="X151" i="3"/>
  <c r="Y151" i="3"/>
  <c r="Z151" i="3"/>
  <c r="AA151" i="3"/>
  <c r="AB151" i="3"/>
  <c r="AC151" i="3"/>
  <c r="AD151" i="3"/>
  <c r="AE151" i="3"/>
  <c r="AF151" i="3"/>
  <c r="AG151" i="3"/>
  <c r="AH151" i="3"/>
  <c r="AI151" i="3"/>
  <c r="AJ151" i="3"/>
  <c r="B152" i="3"/>
  <c r="C152" i="3"/>
  <c r="D152" i="3"/>
  <c r="E152" i="3"/>
  <c r="F152" i="3"/>
  <c r="G152" i="3"/>
  <c r="H152" i="3"/>
  <c r="I152" i="3"/>
  <c r="J152" i="3"/>
  <c r="K152" i="3"/>
  <c r="L152" i="3"/>
  <c r="M152" i="3"/>
  <c r="N152" i="3"/>
  <c r="O152" i="3"/>
  <c r="P152" i="3"/>
  <c r="Q152" i="3"/>
  <c r="R152" i="3"/>
  <c r="S152" i="3"/>
  <c r="T152" i="3"/>
  <c r="U152" i="3"/>
  <c r="V152" i="3"/>
  <c r="W152" i="3"/>
  <c r="X152" i="3"/>
  <c r="Y152" i="3"/>
  <c r="Z152" i="3"/>
  <c r="AA152" i="3"/>
  <c r="AB152" i="3"/>
  <c r="AC152" i="3"/>
  <c r="AD152" i="3"/>
  <c r="AE152" i="3"/>
  <c r="AF152" i="3"/>
  <c r="AG152" i="3"/>
  <c r="AH152" i="3"/>
  <c r="AI152" i="3"/>
  <c r="AJ152" i="3"/>
  <c r="B153" i="3"/>
  <c r="C153" i="3"/>
  <c r="D153" i="3"/>
  <c r="E153" i="3"/>
  <c r="F153" i="3"/>
  <c r="G153" i="3"/>
  <c r="H153" i="3"/>
  <c r="I153" i="3"/>
  <c r="J153" i="3"/>
  <c r="K153" i="3"/>
  <c r="L153" i="3"/>
  <c r="M153" i="3"/>
  <c r="N153" i="3"/>
  <c r="O153" i="3"/>
  <c r="P153" i="3"/>
  <c r="Q153" i="3"/>
  <c r="R153" i="3"/>
  <c r="S153" i="3"/>
  <c r="T153" i="3"/>
  <c r="U153" i="3"/>
  <c r="V153" i="3"/>
  <c r="W153" i="3"/>
  <c r="X153" i="3"/>
  <c r="Y153" i="3"/>
  <c r="Z153" i="3"/>
  <c r="AA153" i="3"/>
  <c r="AB153" i="3"/>
  <c r="AC153" i="3"/>
  <c r="AD153" i="3"/>
  <c r="AE153" i="3"/>
  <c r="AF153" i="3"/>
  <c r="AG153" i="3"/>
  <c r="AH153" i="3"/>
  <c r="AI153" i="3"/>
  <c r="AJ153" i="3"/>
  <c r="B154" i="3"/>
  <c r="C154" i="3"/>
  <c r="D154" i="3"/>
  <c r="E154" i="3"/>
  <c r="F154" i="3"/>
  <c r="G154" i="3"/>
  <c r="H154" i="3"/>
  <c r="I154" i="3"/>
  <c r="J154" i="3"/>
  <c r="K154" i="3"/>
  <c r="L154" i="3"/>
  <c r="M154" i="3"/>
  <c r="N154" i="3"/>
  <c r="O154" i="3"/>
  <c r="P154" i="3"/>
  <c r="Q154" i="3"/>
  <c r="R154" i="3"/>
  <c r="S154" i="3"/>
  <c r="T154" i="3"/>
  <c r="U154" i="3"/>
  <c r="V154" i="3"/>
  <c r="W154" i="3"/>
  <c r="X154" i="3"/>
  <c r="Y154" i="3"/>
  <c r="Z154" i="3"/>
  <c r="AA154" i="3"/>
  <c r="AB154" i="3"/>
  <c r="AC154" i="3"/>
  <c r="AD154" i="3"/>
  <c r="AE154" i="3"/>
  <c r="AF154" i="3"/>
  <c r="AG154" i="3"/>
  <c r="AH154" i="3"/>
  <c r="AI154" i="3"/>
  <c r="AJ154" i="3"/>
  <c r="B155" i="3"/>
  <c r="C155" i="3"/>
  <c r="D155" i="3"/>
  <c r="E155" i="3"/>
  <c r="F155" i="3"/>
  <c r="G155" i="3"/>
  <c r="H155" i="3"/>
  <c r="I155" i="3"/>
  <c r="J155" i="3"/>
  <c r="K155"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B156" i="3"/>
  <c r="C156" i="3"/>
  <c r="D156" i="3"/>
  <c r="E156" i="3"/>
  <c r="F156" i="3"/>
  <c r="G156" i="3"/>
  <c r="H156" i="3"/>
  <c r="I156" i="3"/>
  <c r="J156" i="3"/>
  <c r="K156" i="3"/>
  <c r="L156" i="3"/>
  <c r="M156" i="3"/>
  <c r="N156" i="3"/>
  <c r="O156" i="3"/>
  <c r="P156" i="3"/>
  <c r="Q156" i="3"/>
  <c r="R156" i="3"/>
  <c r="S156" i="3"/>
  <c r="T156" i="3"/>
  <c r="U156" i="3"/>
  <c r="V156" i="3"/>
  <c r="W156" i="3"/>
  <c r="X156" i="3"/>
  <c r="Y156" i="3"/>
  <c r="Z156" i="3"/>
  <c r="AA156" i="3"/>
  <c r="AB156" i="3"/>
  <c r="AC156" i="3"/>
  <c r="AD156" i="3"/>
  <c r="AE156" i="3"/>
  <c r="AF156" i="3"/>
  <c r="AG156" i="3"/>
  <c r="AH156" i="3"/>
  <c r="AI156" i="3"/>
  <c r="AJ156" i="3"/>
  <c r="B157" i="3"/>
  <c r="C157" i="3"/>
  <c r="D157" i="3"/>
  <c r="E157" i="3"/>
  <c r="F157" i="3"/>
  <c r="G157" i="3"/>
  <c r="H157" i="3"/>
  <c r="I157" i="3"/>
  <c r="J157" i="3"/>
  <c r="K157" i="3"/>
  <c r="L157" i="3"/>
  <c r="M157" i="3"/>
  <c r="N157" i="3"/>
  <c r="O157" i="3"/>
  <c r="P157" i="3"/>
  <c r="Q157" i="3"/>
  <c r="R157" i="3"/>
  <c r="S157" i="3"/>
  <c r="T157" i="3"/>
  <c r="U157" i="3"/>
  <c r="V157" i="3"/>
  <c r="W157" i="3"/>
  <c r="X157" i="3"/>
  <c r="Y157" i="3"/>
  <c r="Z157" i="3"/>
  <c r="AA157" i="3"/>
  <c r="AB157" i="3"/>
  <c r="AC157" i="3"/>
  <c r="AD157" i="3"/>
  <c r="AE157" i="3"/>
  <c r="AF157" i="3"/>
  <c r="AG157" i="3"/>
  <c r="AH157" i="3"/>
  <c r="AI157" i="3"/>
  <c r="AJ157" i="3"/>
  <c r="B158" i="3"/>
  <c r="C158" i="3"/>
  <c r="D158" i="3"/>
  <c r="E158" i="3"/>
  <c r="F158" i="3"/>
  <c r="G158" i="3"/>
  <c r="H158" i="3"/>
  <c r="I158" i="3"/>
  <c r="J158" i="3"/>
  <c r="K158"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B159" i="3"/>
  <c r="C159" i="3"/>
  <c r="D159" i="3"/>
  <c r="E159" i="3"/>
  <c r="F159" i="3"/>
  <c r="G159" i="3"/>
  <c r="H159" i="3"/>
  <c r="I159" i="3"/>
  <c r="J159" i="3"/>
  <c r="K159" i="3"/>
  <c r="L159" i="3"/>
  <c r="M159" i="3"/>
  <c r="N159" i="3"/>
  <c r="O159" i="3"/>
  <c r="P159" i="3"/>
  <c r="Q159" i="3"/>
  <c r="R159" i="3"/>
  <c r="S159" i="3"/>
  <c r="T159" i="3"/>
  <c r="U159" i="3"/>
  <c r="V159" i="3"/>
  <c r="W159" i="3"/>
  <c r="X159" i="3"/>
  <c r="Y159" i="3"/>
  <c r="Z159" i="3"/>
  <c r="AA159" i="3"/>
  <c r="AB159" i="3"/>
  <c r="AC159" i="3"/>
  <c r="AD159" i="3"/>
  <c r="AE159" i="3"/>
  <c r="AF159" i="3"/>
  <c r="AG159" i="3"/>
  <c r="AH159" i="3"/>
  <c r="AI159" i="3"/>
  <c r="AJ159" i="3"/>
  <c r="B160" i="3"/>
  <c r="C160" i="3"/>
  <c r="D160" i="3"/>
  <c r="E160" i="3"/>
  <c r="F160" i="3"/>
  <c r="G160" i="3"/>
  <c r="H160" i="3"/>
  <c r="I160" i="3"/>
  <c r="J160" i="3"/>
  <c r="K160" i="3"/>
  <c r="L160" i="3"/>
  <c r="M160" i="3"/>
  <c r="N160" i="3"/>
  <c r="O160" i="3"/>
  <c r="P160" i="3"/>
  <c r="Q160" i="3"/>
  <c r="R160" i="3"/>
  <c r="S160" i="3"/>
  <c r="T160" i="3"/>
  <c r="U160" i="3"/>
  <c r="V160" i="3"/>
  <c r="W160" i="3"/>
  <c r="X160" i="3"/>
  <c r="Y160" i="3"/>
  <c r="Z160" i="3"/>
  <c r="AA160" i="3"/>
  <c r="AB160" i="3"/>
  <c r="AC160" i="3"/>
  <c r="AD160" i="3"/>
  <c r="AE160" i="3"/>
  <c r="AF160" i="3"/>
  <c r="AG160" i="3"/>
  <c r="AH160" i="3"/>
  <c r="AI160" i="3"/>
  <c r="AJ160" i="3"/>
  <c r="B161" i="3"/>
  <c r="C161" i="3"/>
  <c r="D161" i="3"/>
  <c r="E161" i="3"/>
  <c r="F161" i="3"/>
  <c r="G161" i="3"/>
  <c r="H161" i="3"/>
  <c r="I161" i="3"/>
  <c r="J161" i="3"/>
  <c r="K161" i="3"/>
  <c r="L161" i="3"/>
  <c r="M161" i="3"/>
  <c r="N161" i="3"/>
  <c r="O161" i="3"/>
  <c r="P161" i="3"/>
  <c r="Q161" i="3"/>
  <c r="R161" i="3"/>
  <c r="S161" i="3"/>
  <c r="T161" i="3"/>
  <c r="U161" i="3"/>
  <c r="V161" i="3"/>
  <c r="W161" i="3"/>
  <c r="X161" i="3"/>
  <c r="Y161" i="3"/>
  <c r="Z161" i="3"/>
  <c r="AA161" i="3"/>
  <c r="AB161" i="3"/>
  <c r="AC161" i="3"/>
  <c r="AD161" i="3"/>
  <c r="AE161" i="3"/>
  <c r="AF161" i="3"/>
  <c r="AG161" i="3"/>
  <c r="AH161" i="3"/>
  <c r="AI161" i="3"/>
  <c r="AJ161" i="3"/>
  <c r="B162" i="3"/>
  <c r="C162" i="3"/>
  <c r="D162" i="3"/>
  <c r="E162" i="3"/>
  <c r="F162" i="3"/>
  <c r="G162" i="3"/>
  <c r="H162" i="3"/>
  <c r="I162" i="3"/>
  <c r="J162" i="3"/>
  <c r="K162" i="3"/>
  <c r="L162" i="3"/>
  <c r="M162" i="3"/>
  <c r="N162" i="3"/>
  <c r="O162" i="3"/>
  <c r="P162" i="3"/>
  <c r="Q162" i="3"/>
  <c r="R162" i="3"/>
  <c r="S162" i="3"/>
  <c r="T162" i="3"/>
  <c r="U162" i="3"/>
  <c r="V162" i="3"/>
  <c r="W162" i="3"/>
  <c r="X162" i="3"/>
  <c r="Y162" i="3"/>
  <c r="Z162" i="3"/>
  <c r="AA162" i="3"/>
  <c r="AB162" i="3"/>
  <c r="AC162" i="3"/>
  <c r="AD162" i="3"/>
  <c r="AE162" i="3"/>
  <c r="AF162" i="3"/>
  <c r="AG162" i="3"/>
  <c r="AH162" i="3"/>
  <c r="AI162" i="3"/>
  <c r="AJ162" i="3"/>
  <c r="B163" i="3"/>
  <c r="C163" i="3"/>
  <c r="D163" i="3"/>
  <c r="E163" i="3"/>
  <c r="F163" i="3"/>
  <c r="G163" i="3"/>
  <c r="H163" i="3"/>
  <c r="I163" i="3"/>
  <c r="J163" i="3"/>
  <c r="K163" i="3"/>
  <c r="L163" i="3"/>
  <c r="M163" i="3"/>
  <c r="N163" i="3"/>
  <c r="O163" i="3"/>
  <c r="P163" i="3"/>
  <c r="Q163" i="3"/>
  <c r="R163" i="3"/>
  <c r="S163" i="3"/>
  <c r="T163" i="3"/>
  <c r="U163" i="3"/>
  <c r="V163" i="3"/>
  <c r="W163" i="3"/>
  <c r="X163" i="3"/>
  <c r="Y163" i="3"/>
  <c r="Z163" i="3"/>
  <c r="AA163" i="3"/>
  <c r="AB163" i="3"/>
  <c r="AC163" i="3"/>
  <c r="AD163" i="3"/>
  <c r="AE163" i="3"/>
  <c r="AF163" i="3"/>
  <c r="AG163" i="3"/>
  <c r="AH163" i="3"/>
  <c r="AI163" i="3"/>
  <c r="AJ163" i="3"/>
  <c r="B164" i="3"/>
  <c r="C164" i="3"/>
  <c r="D164" i="3"/>
  <c r="E164" i="3"/>
  <c r="F164" i="3"/>
  <c r="G164" i="3"/>
  <c r="H164" i="3"/>
  <c r="I164" i="3"/>
  <c r="J164" i="3"/>
  <c r="K164" i="3"/>
  <c r="L164" i="3"/>
  <c r="M164" i="3"/>
  <c r="N164" i="3"/>
  <c r="O164" i="3"/>
  <c r="P164" i="3"/>
  <c r="Q164" i="3"/>
  <c r="R164" i="3"/>
  <c r="S164" i="3"/>
  <c r="T164" i="3"/>
  <c r="U164" i="3"/>
  <c r="V164" i="3"/>
  <c r="W164" i="3"/>
  <c r="X164" i="3"/>
  <c r="Y164" i="3"/>
  <c r="Z164" i="3"/>
  <c r="AA164" i="3"/>
  <c r="AB164" i="3"/>
  <c r="AC164" i="3"/>
  <c r="AD164" i="3"/>
  <c r="AE164" i="3"/>
  <c r="AF164" i="3"/>
  <c r="AG164" i="3"/>
  <c r="AH164" i="3"/>
  <c r="AI164" i="3"/>
  <c r="AJ164" i="3"/>
  <c r="B165" i="3"/>
  <c r="C165" i="3"/>
  <c r="D165" i="3"/>
  <c r="E165" i="3"/>
  <c r="F165" i="3"/>
  <c r="G165" i="3"/>
  <c r="H165" i="3"/>
  <c r="I165" i="3"/>
  <c r="J165" i="3"/>
  <c r="K165"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B166" i="3"/>
  <c r="C166" i="3"/>
  <c r="D166" i="3"/>
  <c r="E166" i="3"/>
  <c r="F166" i="3"/>
  <c r="G166" i="3"/>
  <c r="H166" i="3"/>
  <c r="I166" i="3"/>
  <c r="J166" i="3"/>
  <c r="K166"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B167" i="3"/>
  <c r="C167" i="3"/>
  <c r="D167" i="3"/>
  <c r="E167" i="3"/>
  <c r="F167" i="3"/>
  <c r="G167" i="3"/>
  <c r="H167" i="3"/>
  <c r="I167" i="3"/>
  <c r="J167" i="3"/>
  <c r="K167" i="3"/>
  <c r="L167" i="3"/>
  <c r="M167" i="3"/>
  <c r="N167" i="3"/>
  <c r="O167" i="3"/>
  <c r="P167" i="3"/>
  <c r="Q167" i="3"/>
  <c r="R167" i="3"/>
  <c r="S167" i="3"/>
  <c r="T167" i="3"/>
  <c r="U167" i="3"/>
  <c r="V167" i="3"/>
  <c r="W167" i="3"/>
  <c r="X167" i="3"/>
  <c r="Y167" i="3"/>
  <c r="Z167" i="3"/>
  <c r="AA167" i="3"/>
  <c r="AB167" i="3"/>
  <c r="AC167" i="3"/>
  <c r="AD167" i="3"/>
  <c r="AE167" i="3"/>
  <c r="AF167" i="3"/>
  <c r="AG167" i="3"/>
  <c r="AH167" i="3"/>
  <c r="AI167" i="3"/>
  <c r="AJ167" i="3"/>
  <c r="B168" i="3"/>
  <c r="C168" i="3"/>
  <c r="D168" i="3"/>
  <c r="E168" i="3"/>
  <c r="F168" i="3"/>
  <c r="G168" i="3"/>
  <c r="H168" i="3"/>
  <c r="I168" i="3"/>
  <c r="J168" i="3"/>
  <c r="K168" i="3"/>
  <c r="L168" i="3"/>
  <c r="M168" i="3"/>
  <c r="N168" i="3"/>
  <c r="O168" i="3"/>
  <c r="P168" i="3"/>
  <c r="Q168" i="3"/>
  <c r="R168" i="3"/>
  <c r="S168" i="3"/>
  <c r="T168" i="3"/>
  <c r="U168" i="3"/>
  <c r="V168" i="3"/>
  <c r="W168" i="3"/>
  <c r="X168" i="3"/>
  <c r="Y168" i="3"/>
  <c r="Z168" i="3"/>
  <c r="AA168" i="3"/>
  <c r="AB168" i="3"/>
  <c r="AC168" i="3"/>
  <c r="AD168" i="3"/>
  <c r="AE168" i="3"/>
  <c r="AF168" i="3"/>
  <c r="AG168" i="3"/>
  <c r="AH168" i="3"/>
  <c r="AI168" i="3"/>
  <c r="AJ168" i="3"/>
  <c r="B169" i="3"/>
  <c r="C169" i="3"/>
  <c r="D169" i="3"/>
  <c r="E169" i="3"/>
  <c r="F169" i="3"/>
  <c r="G169" i="3"/>
  <c r="H169" i="3"/>
  <c r="I169" i="3"/>
  <c r="J169" i="3"/>
  <c r="K169" i="3"/>
  <c r="L169" i="3"/>
  <c r="M169" i="3"/>
  <c r="N169" i="3"/>
  <c r="O169" i="3"/>
  <c r="P169" i="3"/>
  <c r="Q169" i="3"/>
  <c r="R169" i="3"/>
  <c r="S169" i="3"/>
  <c r="T169" i="3"/>
  <c r="U169" i="3"/>
  <c r="V169" i="3"/>
  <c r="W169" i="3"/>
  <c r="X169" i="3"/>
  <c r="Y169" i="3"/>
  <c r="Z169" i="3"/>
  <c r="AA169" i="3"/>
  <c r="AB169" i="3"/>
  <c r="AC169" i="3"/>
  <c r="AD169" i="3"/>
  <c r="AE169" i="3"/>
  <c r="AF169" i="3"/>
  <c r="AG169" i="3"/>
  <c r="AH169" i="3"/>
  <c r="AI169" i="3"/>
  <c r="AJ169" i="3"/>
  <c r="B170" i="3"/>
  <c r="C170" i="3"/>
  <c r="D170" i="3"/>
  <c r="E170" i="3"/>
  <c r="F170" i="3"/>
  <c r="G170" i="3"/>
  <c r="H170" i="3"/>
  <c r="I170" i="3"/>
  <c r="J170" i="3"/>
  <c r="K170" i="3"/>
  <c r="L170" i="3"/>
  <c r="M170" i="3"/>
  <c r="N170" i="3"/>
  <c r="O170" i="3"/>
  <c r="P170" i="3"/>
  <c r="Q170" i="3"/>
  <c r="R170" i="3"/>
  <c r="S170" i="3"/>
  <c r="T170" i="3"/>
  <c r="U170" i="3"/>
  <c r="V170" i="3"/>
  <c r="W170" i="3"/>
  <c r="X170" i="3"/>
  <c r="Y170" i="3"/>
  <c r="Z170" i="3"/>
  <c r="AA170" i="3"/>
  <c r="AB170" i="3"/>
  <c r="AC170" i="3"/>
  <c r="AD170" i="3"/>
  <c r="AE170" i="3"/>
  <c r="AF170" i="3"/>
  <c r="AG170" i="3"/>
  <c r="AH170" i="3"/>
  <c r="AI170" i="3"/>
  <c r="AJ170" i="3"/>
  <c r="B171" i="3"/>
  <c r="C171" i="3"/>
  <c r="D171" i="3"/>
  <c r="E171" i="3"/>
  <c r="F171" i="3"/>
  <c r="G171" i="3"/>
  <c r="H171" i="3"/>
  <c r="I171" i="3"/>
  <c r="J171" i="3"/>
  <c r="K171" i="3"/>
  <c r="L171" i="3"/>
  <c r="M171" i="3"/>
  <c r="N171" i="3"/>
  <c r="O171" i="3"/>
  <c r="P171" i="3"/>
  <c r="Q171" i="3"/>
  <c r="R171" i="3"/>
  <c r="S171" i="3"/>
  <c r="T171" i="3"/>
  <c r="U171" i="3"/>
  <c r="V171" i="3"/>
  <c r="W171" i="3"/>
  <c r="X171" i="3"/>
  <c r="Y171" i="3"/>
  <c r="Z171" i="3"/>
  <c r="AA171" i="3"/>
  <c r="AB171" i="3"/>
  <c r="AC171" i="3"/>
  <c r="AD171" i="3"/>
  <c r="AE171" i="3"/>
  <c r="AF171" i="3"/>
  <c r="AG171" i="3"/>
  <c r="AH171" i="3"/>
  <c r="AI171" i="3"/>
  <c r="AJ171" i="3"/>
  <c r="B172" i="3"/>
  <c r="C172" i="3"/>
  <c r="D172" i="3"/>
  <c r="E172" i="3"/>
  <c r="F172" i="3"/>
  <c r="G172" i="3"/>
  <c r="H172" i="3"/>
  <c r="I172" i="3"/>
  <c r="J172" i="3"/>
  <c r="K172" i="3"/>
  <c r="L172" i="3"/>
  <c r="M172" i="3"/>
  <c r="N172" i="3"/>
  <c r="O172" i="3"/>
  <c r="P172" i="3"/>
  <c r="Q172" i="3"/>
  <c r="R172" i="3"/>
  <c r="S172" i="3"/>
  <c r="T172" i="3"/>
  <c r="U172" i="3"/>
  <c r="V172" i="3"/>
  <c r="W172" i="3"/>
  <c r="X172" i="3"/>
  <c r="Y172" i="3"/>
  <c r="Z172" i="3"/>
  <c r="AA172" i="3"/>
  <c r="AB172" i="3"/>
  <c r="AC172" i="3"/>
  <c r="AD172" i="3"/>
  <c r="AE172" i="3"/>
  <c r="AF172" i="3"/>
  <c r="AG172" i="3"/>
  <c r="AH172" i="3"/>
  <c r="AI172" i="3"/>
  <c r="AJ172" i="3"/>
  <c r="B173" i="3"/>
  <c r="C173" i="3"/>
  <c r="D173" i="3"/>
  <c r="E173" i="3"/>
  <c r="F173" i="3"/>
  <c r="G173" i="3"/>
  <c r="H173" i="3"/>
  <c r="I173" i="3"/>
  <c r="J173" i="3"/>
  <c r="K173" i="3"/>
  <c r="L173" i="3"/>
  <c r="M173" i="3"/>
  <c r="N173" i="3"/>
  <c r="O173" i="3"/>
  <c r="P173" i="3"/>
  <c r="Q173" i="3"/>
  <c r="R173" i="3"/>
  <c r="S173" i="3"/>
  <c r="T173" i="3"/>
  <c r="U173" i="3"/>
  <c r="V173" i="3"/>
  <c r="W173" i="3"/>
  <c r="X173" i="3"/>
  <c r="Y173" i="3"/>
  <c r="Z173" i="3"/>
  <c r="AA173" i="3"/>
  <c r="AB173" i="3"/>
  <c r="AC173" i="3"/>
  <c r="AD173" i="3"/>
  <c r="AE173" i="3"/>
  <c r="AF173" i="3"/>
  <c r="AG173" i="3"/>
  <c r="AH173" i="3"/>
  <c r="AI173" i="3"/>
  <c r="AJ173" i="3"/>
  <c r="B174" i="3"/>
  <c r="C174" i="3"/>
  <c r="D174" i="3"/>
  <c r="E174" i="3"/>
  <c r="F174" i="3"/>
  <c r="G174" i="3"/>
  <c r="H174" i="3"/>
  <c r="I174" i="3"/>
  <c r="J174" i="3"/>
  <c r="K174" i="3"/>
  <c r="L174" i="3"/>
  <c r="M174" i="3"/>
  <c r="N174" i="3"/>
  <c r="O174" i="3"/>
  <c r="P174" i="3"/>
  <c r="Q174" i="3"/>
  <c r="R174" i="3"/>
  <c r="S174" i="3"/>
  <c r="T174" i="3"/>
  <c r="U174" i="3"/>
  <c r="V174" i="3"/>
  <c r="W174" i="3"/>
  <c r="X174" i="3"/>
  <c r="Y174" i="3"/>
  <c r="Z174" i="3"/>
  <c r="AA174" i="3"/>
  <c r="AB174" i="3"/>
  <c r="AC174" i="3"/>
  <c r="AD174" i="3"/>
  <c r="AE174" i="3"/>
  <c r="AF174" i="3"/>
  <c r="AG174" i="3"/>
  <c r="AH174" i="3"/>
  <c r="AI174" i="3"/>
  <c r="AJ174" i="3"/>
  <c r="B175" i="3"/>
  <c r="C175" i="3"/>
  <c r="D175" i="3"/>
  <c r="E175" i="3"/>
  <c r="F175" i="3"/>
  <c r="G175" i="3"/>
  <c r="H175" i="3"/>
  <c r="I175" i="3"/>
  <c r="J175" i="3"/>
  <c r="K175" i="3"/>
  <c r="L175" i="3"/>
  <c r="M175" i="3"/>
  <c r="N175" i="3"/>
  <c r="O175" i="3"/>
  <c r="P175" i="3"/>
  <c r="Q175" i="3"/>
  <c r="R175" i="3"/>
  <c r="S175" i="3"/>
  <c r="T175" i="3"/>
  <c r="U175" i="3"/>
  <c r="V175" i="3"/>
  <c r="W175" i="3"/>
  <c r="X175" i="3"/>
  <c r="Y175" i="3"/>
  <c r="Z175" i="3"/>
  <c r="AA175" i="3"/>
  <c r="AB175" i="3"/>
  <c r="AC175" i="3"/>
  <c r="AD175" i="3"/>
  <c r="AE175" i="3"/>
  <c r="AF175" i="3"/>
  <c r="AG175" i="3"/>
  <c r="AH175" i="3"/>
  <c r="AI175" i="3"/>
  <c r="AJ175" i="3"/>
  <c r="B176" i="3"/>
  <c r="C176" i="3"/>
  <c r="D176" i="3"/>
  <c r="E176" i="3"/>
  <c r="F176" i="3"/>
  <c r="G176" i="3"/>
  <c r="H176" i="3"/>
  <c r="I176" i="3"/>
  <c r="J176" i="3"/>
  <c r="K176" i="3"/>
  <c r="L176" i="3"/>
  <c r="M176" i="3"/>
  <c r="N176" i="3"/>
  <c r="O176" i="3"/>
  <c r="P176" i="3"/>
  <c r="Q176" i="3"/>
  <c r="R176" i="3"/>
  <c r="S176" i="3"/>
  <c r="T176" i="3"/>
  <c r="U176" i="3"/>
  <c r="V176" i="3"/>
  <c r="W176" i="3"/>
  <c r="X176" i="3"/>
  <c r="Y176" i="3"/>
  <c r="Z176" i="3"/>
  <c r="AA176" i="3"/>
  <c r="AB176" i="3"/>
  <c r="AC176" i="3"/>
  <c r="AD176" i="3"/>
  <c r="AE176" i="3"/>
  <c r="AF176" i="3"/>
  <c r="AG176" i="3"/>
  <c r="AH176" i="3"/>
  <c r="AI176" i="3"/>
  <c r="AJ176" i="3"/>
  <c r="B177" i="3"/>
  <c r="C177" i="3"/>
  <c r="D177" i="3"/>
  <c r="E177" i="3"/>
  <c r="F177" i="3"/>
  <c r="G177" i="3"/>
  <c r="H177" i="3"/>
  <c r="I177" i="3"/>
  <c r="J177" i="3"/>
  <c r="K177" i="3"/>
  <c r="L177" i="3"/>
  <c r="M177" i="3"/>
  <c r="N177" i="3"/>
  <c r="O177" i="3"/>
  <c r="P177" i="3"/>
  <c r="Q177" i="3"/>
  <c r="R177" i="3"/>
  <c r="S177" i="3"/>
  <c r="T177" i="3"/>
  <c r="U177" i="3"/>
  <c r="V177" i="3"/>
  <c r="W177" i="3"/>
  <c r="X177" i="3"/>
  <c r="Y177" i="3"/>
  <c r="Z177" i="3"/>
  <c r="AA177" i="3"/>
  <c r="AB177" i="3"/>
  <c r="AC177" i="3"/>
  <c r="AD177" i="3"/>
  <c r="AE177" i="3"/>
  <c r="AF177" i="3"/>
  <c r="AG177" i="3"/>
  <c r="AH177" i="3"/>
  <c r="AI177" i="3"/>
  <c r="AJ177" i="3"/>
  <c r="B178" i="3"/>
  <c r="C178" i="3"/>
  <c r="D178" i="3"/>
  <c r="E178" i="3"/>
  <c r="F178" i="3"/>
  <c r="G178" i="3"/>
  <c r="H178" i="3"/>
  <c r="I178" i="3"/>
  <c r="J178" i="3"/>
  <c r="K178" i="3"/>
  <c r="L178" i="3"/>
  <c r="M178" i="3"/>
  <c r="N178" i="3"/>
  <c r="O178" i="3"/>
  <c r="P178" i="3"/>
  <c r="Q178" i="3"/>
  <c r="R178" i="3"/>
  <c r="S178" i="3"/>
  <c r="T178" i="3"/>
  <c r="U178" i="3"/>
  <c r="V178" i="3"/>
  <c r="W178" i="3"/>
  <c r="X178" i="3"/>
  <c r="Y178" i="3"/>
  <c r="Z178" i="3"/>
  <c r="AA178" i="3"/>
  <c r="AB178" i="3"/>
  <c r="AC178" i="3"/>
  <c r="AD178" i="3"/>
  <c r="AE178" i="3"/>
  <c r="AF178" i="3"/>
  <c r="AG178" i="3"/>
  <c r="AH178" i="3"/>
  <c r="AI178" i="3"/>
  <c r="AJ178" i="3"/>
  <c r="B179" i="3"/>
  <c r="C179" i="3"/>
  <c r="D179" i="3"/>
  <c r="E179" i="3"/>
  <c r="F179" i="3"/>
  <c r="G179" i="3"/>
  <c r="H179" i="3"/>
  <c r="I179" i="3"/>
  <c r="J179" i="3"/>
  <c r="K179" i="3"/>
  <c r="L179" i="3"/>
  <c r="M179" i="3"/>
  <c r="N179" i="3"/>
  <c r="O179" i="3"/>
  <c r="P179" i="3"/>
  <c r="Q179" i="3"/>
  <c r="R179" i="3"/>
  <c r="S179" i="3"/>
  <c r="T179" i="3"/>
  <c r="U179" i="3"/>
  <c r="V179" i="3"/>
  <c r="W179" i="3"/>
  <c r="X179" i="3"/>
  <c r="Y179" i="3"/>
  <c r="Z179" i="3"/>
  <c r="AA179" i="3"/>
  <c r="AB179" i="3"/>
  <c r="AC179" i="3"/>
  <c r="AD179" i="3"/>
  <c r="AE179" i="3"/>
  <c r="AF179" i="3"/>
  <c r="AG179" i="3"/>
  <c r="AH179" i="3"/>
  <c r="AI179" i="3"/>
  <c r="AJ179" i="3"/>
  <c r="B180" i="3"/>
  <c r="C180" i="3"/>
  <c r="D180" i="3"/>
  <c r="E180" i="3"/>
  <c r="F180" i="3"/>
  <c r="G180" i="3"/>
  <c r="H180" i="3"/>
  <c r="I180" i="3"/>
  <c r="J180" i="3"/>
  <c r="K180" i="3"/>
  <c r="L180" i="3"/>
  <c r="M180" i="3"/>
  <c r="N180" i="3"/>
  <c r="O180" i="3"/>
  <c r="P180" i="3"/>
  <c r="Q180" i="3"/>
  <c r="R180" i="3"/>
  <c r="S180" i="3"/>
  <c r="T180" i="3"/>
  <c r="U180" i="3"/>
  <c r="V180" i="3"/>
  <c r="W180" i="3"/>
  <c r="X180" i="3"/>
  <c r="Y180" i="3"/>
  <c r="Z180" i="3"/>
  <c r="AA180" i="3"/>
  <c r="AB180" i="3"/>
  <c r="AC180" i="3"/>
  <c r="AD180" i="3"/>
  <c r="AE180" i="3"/>
  <c r="AF180" i="3"/>
  <c r="AG180" i="3"/>
  <c r="AH180" i="3"/>
  <c r="AI180" i="3"/>
  <c r="AJ180" i="3"/>
  <c r="B181" i="3"/>
  <c r="C181" i="3"/>
  <c r="D181" i="3"/>
  <c r="E181" i="3"/>
  <c r="F181" i="3"/>
  <c r="G181" i="3"/>
  <c r="H181" i="3"/>
  <c r="I181" i="3"/>
  <c r="J181" i="3"/>
  <c r="K181" i="3"/>
  <c r="L181" i="3"/>
  <c r="M181" i="3"/>
  <c r="N181" i="3"/>
  <c r="O181" i="3"/>
  <c r="P181" i="3"/>
  <c r="Q181" i="3"/>
  <c r="R181" i="3"/>
  <c r="S181" i="3"/>
  <c r="T181" i="3"/>
  <c r="U181" i="3"/>
  <c r="V181" i="3"/>
  <c r="W181" i="3"/>
  <c r="X181" i="3"/>
  <c r="Y181" i="3"/>
  <c r="Z181" i="3"/>
  <c r="AA181" i="3"/>
  <c r="AB181" i="3"/>
  <c r="AC181" i="3"/>
  <c r="AD181" i="3"/>
  <c r="AE181" i="3"/>
  <c r="AF181" i="3"/>
  <c r="AG181" i="3"/>
  <c r="AH181" i="3"/>
  <c r="AI181" i="3"/>
  <c r="AJ181" i="3"/>
  <c r="B182" i="3"/>
  <c r="C182" i="3"/>
  <c r="D182" i="3"/>
  <c r="E182" i="3"/>
  <c r="F182" i="3"/>
  <c r="G182" i="3"/>
  <c r="H182" i="3"/>
  <c r="I182" i="3"/>
  <c r="J182" i="3"/>
  <c r="K182" i="3"/>
  <c r="L182" i="3"/>
  <c r="M182" i="3"/>
  <c r="N182" i="3"/>
  <c r="O182" i="3"/>
  <c r="P182" i="3"/>
  <c r="Q182" i="3"/>
  <c r="R182" i="3"/>
  <c r="S182" i="3"/>
  <c r="T182" i="3"/>
  <c r="U182" i="3"/>
  <c r="V182" i="3"/>
  <c r="W182" i="3"/>
  <c r="X182" i="3"/>
  <c r="Y182" i="3"/>
  <c r="Z182" i="3"/>
  <c r="AA182" i="3"/>
  <c r="AB182" i="3"/>
  <c r="AC182" i="3"/>
  <c r="AD182" i="3"/>
  <c r="AE182" i="3"/>
  <c r="AF182" i="3"/>
  <c r="AG182" i="3"/>
  <c r="AH182" i="3"/>
  <c r="AI182" i="3"/>
  <c r="AJ182" i="3"/>
  <c r="B183" i="3"/>
  <c r="C183" i="3"/>
  <c r="D183" i="3"/>
  <c r="E183" i="3"/>
  <c r="F183" i="3"/>
  <c r="G183" i="3"/>
  <c r="H183" i="3"/>
  <c r="I183" i="3"/>
  <c r="J183" i="3"/>
  <c r="K183" i="3"/>
  <c r="L183" i="3"/>
  <c r="M183" i="3"/>
  <c r="N183" i="3"/>
  <c r="O183" i="3"/>
  <c r="P183" i="3"/>
  <c r="Q183" i="3"/>
  <c r="R183" i="3"/>
  <c r="S183" i="3"/>
  <c r="T183" i="3"/>
  <c r="U183" i="3"/>
  <c r="V183" i="3"/>
  <c r="W183" i="3"/>
  <c r="X183" i="3"/>
  <c r="Y183" i="3"/>
  <c r="Z183" i="3"/>
  <c r="AA183" i="3"/>
  <c r="AB183" i="3"/>
  <c r="AC183" i="3"/>
  <c r="AD183" i="3"/>
  <c r="AE183" i="3"/>
  <c r="AF183" i="3"/>
  <c r="AG183" i="3"/>
  <c r="AH183" i="3"/>
  <c r="AI183" i="3"/>
  <c r="AJ183" i="3"/>
  <c r="B184" i="3"/>
  <c r="C184" i="3"/>
  <c r="D184" i="3"/>
  <c r="E184" i="3"/>
  <c r="F184" i="3"/>
  <c r="G184" i="3"/>
  <c r="H184" i="3"/>
  <c r="I184" i="3"/>
  <c r="J184" i="3"/>
  <c r="K184" i="3"/>
  <c r="L184" i="3"/>
  <c r="M184" i="3"/>
  <c r="N184" i="3"/>
  <c r="O184" i="3"/>
  <c r="P184" i="3"/>
  <c r="Q184" i="3"/>
  <c r="R184" i="3"/>
  <c r="S184" i="3"/>
  <c r="T184" i="3"/>
  <c r="U184" i="3"/>
  <c r="V184" i="3"/>
  <c r="W184" i="3"/>
  <c r="X184" i="3"/>
  <c r="Y184" i="3"/>
  <c r="Z184" i="3"/>
  <c r="AA184" i="3"/>
  <c r="AB184" i="3"/>
  <c r="AC184" i="3"/>
  <c r="AD184" i="3"/>
  <c r="AE184" i="3"/>
  <c r="AF184" i="3"/>
  <c r="AG184" i="3"/>
  <c r="AH184" i="3"/>
  <c r="AI184" i="3"/>
  <c r="AJ184" i="3"/>
  <c r="B185" i="3"/>
  <c r="C185" i="3"/>
  <c r="D185" i="3"/>
  <c r="E185" i="3"/>
  <c r="F185" i="3"/>
  <c r="G185" i="3"/>
  <c r="H185" i="3"/>
  <c r="I185" i="3"/>
  <c r="J185" i="3"/>
  <c r="K185" i="3"/>
  <c r="L185" i="3"/>
  <c r="M185" i="3"/>
  <c r="N185" i="3"/>
  <c r="O185" i="3"/>
  <c r="P185" i="3"/>
  <c r="Q185" i="3"/>
  <c r="R185" i="3"/>
  <c r="S185" i="3"/>
  <c r="T185" i="3"/>
  <c r="U185" i="3"/>
  <c r="V185" i="3"/>
  <c r="W185" i="3"/>
  <c r="X185" i="3"/>
  <c r="Y185" i="3"/>
  <c r="Z185" i="3"/>
  <c r="AA185" i="3"/>
  <c r="AB185" i="3"/>
  <c r="AC185" i="3"/>
  <c r="AD185" i="3"/>
  <c r="AE185" i="3"/>
  <c r="AF185" i="3"/>
  <c r="AG185" i="3"/>
  <c r="AH185" i="3"/>
  <c r="AI185" i="3"/>
  <c r="AJ185" i="3"/>
  <c r="B186" i="3"/>
  <c r="C186" i="3"/>
  <c r="D186" i="3"/>
  <c r="E186" i="3"/>
  <c r="F186" i="3"/>
  <c r="G186" i="3"/>
  <c r="H186" i="3"/>
  <c r="I186" i="3"/>
  <c r="J186" i="3"/>
  <c r="K186" i="3"/>
  <c r="L186" i="3"/>
  <c r="M186" i="3"/>
  <c r="N186" i="3"/>
  <c r="O186" i="3"/>
  <c r="P186" i="3"/>
  <c r="Q186" i="3"/>
  <c r="R186" i="3"/>
  <c r="S186" i="3"/>
  <c r="T186" i="3"/>
  <c r="U186" i="3"/>
  <c r="V186" i="3"/>
  <c r="W186" i="3"/>
  <c r="X186" i="3"/>
  <c r="Y186" i="3"/>
  <c r="Z186" i="3"/>
  <c r="AA186" i="3"/>
  <c r="AB186" i="3"/>
  <c r="AC186" i="3"/>
  <c r="AD186" i="3"/>
  <c r="AE186" i="3"/>
  <c r="AF186" i="3"/>
  <c r="AG186" i="3"/>
  <c r="AH186" i="3"/>
  <c r="AI186" i="3"/>
  <c r="AJ186" i="3"/>
  <c r="B187" i="3"/>
  <c r="C187" i="3"/>
  <c r="D187" i="3"/>
  <c r="E187" i="3"/>
  <c r="F187" i="3"/>
  <c r="G187" i="3"/>
  <c r="H187" i="3"/>
  <c r="I187" i="3"/>
  <c r="J187" i="3"/>
  <c r="K187" i="3"/>
  <c r="L187" i="3"/>
  <c r="M187" i="3"/>
  <c r="N187" i="3"/>
  <c r="O187" i="3"/>
  <c r="P187" i="3"/>
  <c r="Q187" i="3"/>
  <c r="R187" i="3"/>
  <c r="S187" i="3"/>
  <c r="T187" i="3"/>
  <c r="U187" i="3"/>
  <c r="V187" i="3"/>
  <c r="W187" i="3"/>
  <c r="X187" i="3"/>
  <c r="Y187" i="3"/>
  <c r="Z187" i="3"/>
  <c r="AA187" i="3"/>
  <c r="AB187" i="3"/>
  <c r="AC187" i="3"/>
  <c r="AD187" i="3"/>
  <c r="AE187" i="3"/>
  <c r="AF187" i="3"/>
  <c r="AG187" i="3"/>
  <c r="AH187" i="3"/>
  <c r="AI187" i="3"/>
  <c r="AJ187" i="3"/>
  <c r="B188" i="3"/>
  <c r="C188" i="3"/>
  <c r="D188" i="3"/>
  <c r="E188" i="3"/>
  <c r="F188" i="3"/>
  <c r="G188" i="3"/>
  <c r="H188" i="3"/>
  <c r="I188" i="3"/>
  <c r="J188" i="3"/>
  <c r="K188" i="3"/>
  <c r="L188" i="3"/>
  <c r="M188" i="3"/>
  <c r="N188" i="3"/>
  <c r="O188" i="3"/>
  <c r="P188" i="3"/>
  <c r="Q188" i="3"/>
  <c r="R188" i="3"/>
  <c r="S188" i="3"/>
  <c r="T188" i="3"/>
  <c r="U188" i="3"/>
  <c r="V188" i="3"/>
  <c r="W188" i="3"/>
  <c r="X188" i="3"/>
  <c r="Y188" i="3"/>
  <c r="Z188" i="3"/>
  <c r="AA188" i="3"/>
  <c r="AB188" i="3"/>
  <c r="AC188" i="3"/>
  <c r="AD188" i="3"/>
  <c r="AE188" i="3"/>
  <c r="AF188" i="3"/>
  <c r="AG188" i="3"/>
  <c r="AH188" i="3"/>
  <c r="AI188" i="3"/>
  <c r="AJ188" i="3"/>
  <c r="B189" i="3"/>
  <c r="C189" i="3"/>
  <c r="D189" i="3"/>
  <c r="E189" i="3"/>
  <c r="F189" i="3"/>
  <c r="G189" i="3"/>
  <c r="H189" i="3"/>
  <c r="I189" i="3"/>
  <c r="J189" i="3"/>
  <c r="K189"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B190" i="3"/>
  <c r="C190" i="3"/>
  <c r="D190" i="3"/>
  <c r="E190" i="3"/>
  <c r="F190" i="3"/>
  <c r="G190" i="3"/>
  <c r="H190" i="3"/>
  <c r="I190" i="3"/>
  <c r="J190" i="3"/>
  <c r="K190" i="3"/>
  <c r="L190" i="3"/>
  <c r="M190" i="3"/>
  <c r="N190" i="3"/>
  <c r="O190" i="3"/>
  <c r="P190" i="3"/>
  <c r="Q190" i="3"/>
  <c r="R190" i="3"/>
  <c r="S190" i="3"/>
  <c r="T190" i="3"/>
  <c r="U190" i="3"/>
  <c r="V190" i="3"/>
  <c r="W190" i="3"/>
  <c r="X190" i="3"/>
  <c r="Y190" i="3"/>
  <c r="Z190" i="3"/>
  <c r="AA190" i="3"/>
  <c r="AB190" i="3"/>
  <c r="AC190" i="3"/>
  <c r="AD190" i="3"/>
  <c r="AE190" i="3"/>
  <c r="AF190" i="3"/>
  <c r="AG190" i="3"/>
  <c r="AH190" i="3"/>
  <c r="AI190" i="3"/>
  <c r="AJ190" i="3"/>
  <c r="B191" i="3"/>
  <c r="C191" i="3"/>
  <c r="D191" i="3"/>
  <c r="E191" i="3"/>
  <c r="F191" i="3"/>
  <c r="G191" i="3"/>
  <c r="H191" i="3"/>
  <c r="I191" i="3"/>
  <c r="J191" i="3"/>
  <c r="K191" i="3"/>
  <c r="L191" i="3"/>
  <c r="M191" i="3"/>
  <c r="N191" i="3"/>
  <c r="O191" i="3"/>
  <c r="P191" i="3"/>
  <c r="Q191" i="3"/>
  <c r="R191" i="3"/>
  <c r="S191" i="3"/>
  <c r="T191" i="3"/>
  <c r="U191" i="3"/>
  <c r="V191" i="3"/>
  <c r="W191" i="3"/>
  <c r="X191" i="3"/>
  <c r="Y191" i="3"/>
  <c r="Z191" i="3"/>
  <c r="AA191" i="3"/>
  <c r="AB191" i="3"/>
  <c r="AC191" i="3"/>
  <c r="AD191" i="3"/>
  <c r="AE191" i="3"/>
  <c r="AF191" i="3"/>
  <c r="AG191" i="3"/>
  <c r="AH191" i="3"/>
  <c r="AI191" i="3"/>
  <c r="AJ191" i="3"/>
  <c r="B192" i="3"/>
  <c r="C192" i="3"/>
  <c r="D192" i="3"/>
  <c r="E192" i="3"/>
  <c r="F192" i="3"/>
  <c r="G192" i="3"/>
  <c r="H192" i="3"/>
  <c r="I192" i="3"/>
  <c r="J192" i="3"/>
  <c r="K192" i="3"/>
  <c r="L192" i="3"/>
  <c r="M192" i="3"/>
  <c r="N192" i="3"/>
  <c r="O192" i="3"/>
  <c r="P192" i="3"/>
  <c r="Q192" i="3"/>
  <c r="R192" i="3"/>
  <c r="S192" i="3"/>
  <c r="T192" i="3"/>
  <c r="U192" i="3"/>
  <c r="V192" i="3"/>
  <c r="W192" i="3"/>
  <c r="X192" i="3"/>
  <c r="Y192" i="3"/>
  <c r="Z192" i="3"/>
  <c r="AA192" i="3"/>
  <c r="AB192" i="3"/>
  <c r="AC192" i="3"/>
  <c r="AD192" i="3"/>
  <c r="AE192" i="3"/>
  <c r="AF192" i="3"/>
  <c r="AG192" i="3"/>
  <c r="AH192" i="3"/>
  <c r="AI192" i="3"/>
  <c r="AJ192" i="3"/>
  <c r="B193" i="3"/>
  <c r="C193" i="3"/>
  <c r="D193" i="3"/>
  <c r="E193" i="3"/>
  <c r="F193" i="3"/>
  <c r="G193" i="3"/>
  <c r="H193" i="3"/>
  <c r="I193" i="3"/>
  <c r="J193" i="3"/>
  <c r="K193" i="3"/>
  <c r="L193" i="3"/>
  <c r="M193" i="3"/>
  <c r="N193" i="3"/>
  <c r="O193" i="3"/>
  <c r="P193" i="3"/>
  <c r="Q193" i="3"/>
  <c r="R193" i="3"/>
  <c r="S193" i="3"/>
  <c r="T193" i="3"/>
  <c r="U193" i="3"/>
  <c r="V193" i="3"/>
  <c r="W193" i="3"/>
  <c r="X193" i="3"/>
  <c r="Y193" i="3"/>
  <c r="Z193" i="3"/>
  <c r="AA193" i="3"/>
  <c r="AB193" i="3"/>
  <c r="AC193" i="3"/>
  <c r="AD193" i="3"/>
  <c r="AE193" i="3"/>
  <c r="AF193" i="3"/>
  <c r="AG193" i="3"/>
  <c r="AH193" i="3"/>
  <c r="AI193" i="3"/>
  <c r="AJ193" i="3"/>
  <c r="B194" i="3"/>
  <c r="C194" i="3"/>
  <c r="D194" i="3"/>
  <c r="E194" i="3"/>
  <c r="F194" i="3"/>
  <c r="G194" i="3"/>
  <c r="H194" i="3"/>
  <c r="I194" i="3"/>
  <c r="J194" i="3"/>
  <c r="K194" i="3"/>
  <c r="L194" i="3"/>
  <c r="M194" i="3"/>
  <c r="N194" i="3"/>
  <c r="O194" i="3"/>
  <c r="P194" i="3"/>
  <c r="Q194" i="3"/>
  <c r="R194" i="3"/>
  <c r="S194" i="3"/>
  <c r="T194" i="3"/>
  <c r="U194" i="3"/>
  <c r="V194" i="3"/>
  <c r="W194" i="3"/>
  <c r="X194" i="3"/>
  <c r="Y194" i="3"/>
  <c r="Z194" i="3"/>
  <c r="AA194" i="3"/>
  <c r="AB194" i="3"/>
  <c r="AC194" i="3"/>
  <c r="AD194" i="3"/>
  <c r="AE194" i="3"/>
  <c r="AF194" i="3"/>
  <c r="AG194" i="3"/>
  <c r="AH194" i="3"/>
  <c r="AI194" i="3"/>
  <c r="AJ194" i="3"/>
  <c r="B195" i="3"/>
  <c r="C195" i="3"/>
  <c r="D195" i="3"/>
  <c r="E195" i="3"/>
  <c r="F195" i="3"/>
  <c r="G195" i="3"/>
  <c r="H195" i="3"/>
  <c r="I195" i="3"/>
  <c r="J195" i="3"/>
  <c r="K195" i="3"/>
  <c r="L195" i="3"/>
  <c r="M195" i="3"/>
  <c r="N195" i="3"/>
  <c r="O195" i="3"/>
  <c r="P195" i="3"/>
  <c r="Q195" i="3"/>
  <c r="R195" i="3"/>
  <c r="S195" i="3"/>
  <c r="T195" i="3"/>
  <c r="U195" i="3"/>
  <c r="V195" i="3"/>
  <c r="W195" i="3"/>
  <c r="X195" i="3"/>
  <c r="Y195" i="3"/>
  <c r="Z195" i="3"/>
  <c r="AA195" i="3"/>
  <c r="AB195" i="3"/>
  <c r="AC195" i="3"/>
  <c r="AD195" i="3"/>
  <c r="AE195" i="3"/>
  <c r="AF195" i="3"/>
  <c r="AG195" i="3"/>
  <c r="AH195" i="3"/>
  <c r="AI195" i="3"/>
  <c r="AJ195" i="3"/>
  <c r="B196" i="3"/>
  <c r="C196" i="3"/>
  <c r="D196" i="3"/>
  <c r="E196" i="3"/>
  <c r="F196" i="3"/>
  <c r="G196" i="3"/>
  <c r="H196" i="3"/>
  <c r="I196" i="3"/>
  <c r="J196" i="3"/>
  <c r="K196" i="3"/>
  <c r="L196" i="3"/>
  <c r="M196" i="3"/>
  <c r="N196" i="3"/>
  <c r="O196" i="3"/>
  <c r="P196" i="3"/>
  <c r="Q196" i="3"/>
  <c r="R196" i="3"/>
  <c r="S196" i="3"/>
  <c r="T196" i="3"/>
  <c r="U196" i="3"/>
  <c r="V196" i="3"/>
  <c r="W196" i="3"/>
  <c r="X196" i="3"/>
  <c r="Y196" i="3"/>
  <c r="Z196" i="3"/>
  <c r="AA196" i="3"/>
  <c r="AB196" i="3"/>
  <c r="AC196" i="3"/>
  <c r="AD196" i="3"/>
  <c r="AE196" i="3"/>
  <c r="AF196" i="3"/>
  <c r="AG196" i="3"/>
  <c r="AH196" i="3"/>
  <c r="AI196" i="3"/>
  <c r="AJ196" i="3"/>
  <c r="B197" i="3"/>
  <c r="C197" i="3"/>
  <c r="D197" i="3"/>
  <c r="E197" i="3"/>
  <c r="F197" i="3"/>
  <c r="G197" i="3"/>
  <c r="H197" i="3"/>
  <c r="I197" i="3"/>
  <c r="J197" i="3"/>
  <c r="K197" i="3"/>
  <c r="L197" i="3"/>
  <c r="M197" i="3"/>
  <c r="N197" i="3"/>
  <c r="O197" i="3"/>
  <c r="P197" i="3"/>
  <c r="Q197" i="3"/>
  <c r="R197" i="3"/>
  <c r="S197" i="3"/>
  <c r="T197" i="3"/>
  <c r="U197" i="3"/>
  <c r="V197" i="3"/>
  <c r="W197" i="3"/>
  <c r="X197" i="3"/>
  <c r="Y197" i="3"/>
  <c r="Z197" i="3"/>
  <c r="AA197" i="3"/>
  <c r="AB197" i="3"/>
  <c r="AC197" i="3"/>
  <c r="AD197" i="3"/>
  <c r="AE197" i="3"/>
  <c r="AF197" i="3"/>
  <c r="AG197" i="3"/>
  <c r="AH197" i="3"/>
  <c r="AI197" i="3"/>
  <c r="AJ197" i="3"/>
  <c r="B198" i="3"/>
  <c r="C198" i="3"/>
  <c r="D198" i="3"/>
  <c r="E198" i="3"/>
  <c r="F198" i="3"/>
  <c r="G198" i="3"/>
  <c r="H198" i="3"/>
  <c r="I198" i="3"/>
  <c r="J198" i="3"/>
  <c r="K198" i="3"/>
  <c r="L198" i="3"/>
  <c r="M198" i="3"/>
  <c r="N198" i="3"/>
  <c r="O198" i="3"/>
  <c r="P198" i="3"/>
  <c r="Q198" i="3"/>
  <c r="R198" i="3"/>
  <c r="S198" i="3"/>
  <c r="T198" i="3"/>
  <c r="U198" i="3"/>
  <c r="V198" i="3"/>
  <c r="W198" i="3"/>
  <c r="X198" i="3"/>
  <c r="Y198" i="3"/>
  <c r="Z198" i="3"/>
  <c r="AA198" i="3"/>
  <c r="AB198" i="3"/>
  <c r="AC198" i="3"/>
  <c r="AD198" i="3"/>
  <c r="AE198" i="3"/>
  <c r="AF198" i="3"/>
  <c r="AG198" i="3"/>
  <c r="AH198" i="3"/>
  <c r="AI198" i="3"/>
  <c r="AJ198" i="3"/>
  <c r="B199" i="3"/>
  <c r="C199" i="3"/>
  <c r="D199" i="3"/>
  <c r="E199" i="3"/>
  <c r="F199" i="3"/>
  <c r="G199" i="3"/>
  <c r="H199" i="3"/>
  <c r="I199" i="3"/>
  <c r="J199" i="3"/>
  <c r="K199" i="3"/>
  <c r="L199" i="3"/>
  <c r="M199" i="3"/>
  <c r="N199" i="3"/>
  <c r="O199" i="3"/>
  <c r="P199" i="3"/>
  <c r="Q199" i="3"/>
  <c r="R199" i="3"/>
  <c r="S199" i="3"/>
  <c r="T199" i="3"/>
  <c r="U199" i="3"/>
  <c r="V199" i="3"/>
  <c r="W199" i="3"/>
  <c r="X199" i="3"/>
  <c r="Y199" i="3"/>
  <c r="Z199" i="3"/>
  <c r="AA199" i="3"/>
  <c r="AB199" i="3"/>
  <c r="AC199" i="3"/>
  <c r="AD199" i="3"/>
  <c r="AE199" i="3"/>
  <c r="AF199" i="3"/>
  <c r="AG199" i="3"/>
  <c r="AH199" i="3"/>
  <c r="AI199" i="3"/>
  <c r="AJ199" i="3"/>
  <c r="B200" i="3"/>
  <c r="C200" i="3"/>
  <c r="D200" i="3"/>
  <c r="E200" i="3"/>
  <c r="F200" i="3"/>
  <c r="G200" i="3"/>
  <c r="H200" i="3"/>
  <c r="I200" i="3"/>
  <c r="J200" i="3"/>
  <c r="K200" i="3"/>
  <c r="L200" i="3"/>
  <c r="M200" i="3"/>
  <c r="N200" i="3"/>
  <c r="O200" i="3"/>
  <c r="P200" i="3"/>
  <c r="Q200" i="3"/>
  <c r="R200" i="3"/>
  <c r="S200" i="3"/>
  <c r="T200" i="3"/>
  <c r="U200" i="3"/>
  <c r="V200" i="3"/>
  <c r="W200" i="3"/>
  <c r="X200" i="3"/>
  <c r="Y200" i="3"/>
  <c r="Z200" i="3"/>
  <c r="AA200" i="3"/>
  <c r="AB200" i="3"/>
  <c r="AC200" i="3"/>
  <c r="AD200" i="3"/>
  <c r="AE200" i="3"/>
  <c r="AF200" i="3"/>
  <c r="AG200" i="3"/>
  <c r="AH200" i="3"/>
  <c r="AI200" i="3"/>
  <c r="AJ200" i="3"/>
  <c r="B201" i="3"/>
  <c r="C201" i="3"/>
  <c r="D201" i="3"/>
  <c r="E201" i="3"/>
  <c r="F201" i="3"/>
  <c r="G201" i="3"/>
  <c r="H201" i="3"/>
  <c r="I201" i="3"/>
  <c r="J201" i="3"/>
  <c r="K201" i="3"/>
  <c r="L201" i="3"/>
  <c r="M201" i="3"/>
  <c r="N201" i="3"/>
  <c r="O201" i="3"/>
  <c r="P201" i="3"/>
  <c r="Q201" i="3"/>
  <c r="R201" i="3"/>
  <c r="S201" i="3"/>
  <c r="T201" i="3"/>
  <c r="U201" i="3"/>
  <c r="V201" i="3"/>
  <c r="W201" i="3"/>
  <c r="X201" i="3"/>
  <c r="Y201" i="3"/>
  <c r="Z201" i="3"/>
  <c r="AA201" i="3"/>
  <c r="AB201" i="3"/>
  <c r="AC201" i="3"/>
  <c r="AD201" i="3"/>
  <c r="AE201" i="3"/>
  <c r="AF201" i="3"/>
  <c r="AG201" i="3"/>
  <c r="AH201" i="3"/>
  <c r="AI201" i="3"/>
  <c r="AJ201" i="3"/>
  <c r="B202" i="3"/>
  <c r="C202" i="3"/>
  <c r="D202" i="3"/>
  <c r="E202" i="3"/>
  <c r="F202" i="3"/>
  <c r="G202" i="3"/>
  <c r="H202" i="3"/>
  <c r="I202" i="3"/>
  <c r="J202" i="3"/>
  <c r="K202" i="3"/>
  <c r="L202" i="3"/>
  <c r="M202" i="3"/>
  <c r="N202" i="3"/>
  <c r="O202" i="3"/>
  <c r="P202" i="3"/>
  <c r="Q202" i="3"/>
  <c r="R202" i="3"/>
  <c r="S202" i="3"/>
  <c r="T202" i="3"/>
  <c r="U202" i="3"/>
  <c r="V202" i="3"/>
  <c r="W202" i="3"/>
  <c r="X202" i="3"/>
  <c r="Y202" i="3"/>
  <c r="Z202" i="3"/>
  <c r="AA202" i="3"/>
  <c r="AB202" i="3"/>
  <c r="AC202" i="3"/>
  <c r="AD202" i="3"/>
  <c r="AE202" i="3"/>
  <c r="AF202" i="3"/>
  <c r="AG202" i="3"/>
  <c r="AH202" i="3"/>
  <c r="AI202" i="3"/>
  <c r="AJ202" i="3"/>
  <c r="B203" i="3"/>
  <c r="C203" i="3"/>
  <c r="D203" i="3"/>
  <c r="E203" i="3"/>
  <c r="F203" i="3"/>
  <c r="G203" i="3"/>
  <c r="H203" i="3"/>
  <c r="I203" i="3"/>
  <c r="J203" i="3"/>
  <c r="K203" i="3"/>
  <c r="L203" i="3"/>
  <c r="M203" i="3"/>
  <c r="N203" i="3"/>
  <c r="O203" i="3"/>
  <c r="P203" i="3"/>
  <c r="Q203" i="3"/>
  <c r="R203" i="3"/>
  <c r="S203" i="3"/>
  <c r="T203" i="3"/>
  <c r="U203" i="3"/>
  <c r="V203" i="3"/>
  <c r="W203" i="3"/>
  <c r="X203" i="3"/>
  <c r="Y203" i="3"/>
  <c r="Z203" i="3"/>
  <c r="AA203" i="3"/>
  <c r="AB203" i="3"/>
  <c r="AC203" i="3"/>
  <c r="AD203" i="3"/>
  <c r="AE203" i="3"/>
  <c r="AF203" i="3"/>
  <c r="AG203" i="3"/>
  <c r="AH203" i="3"/>
  <c r="AI203" i="3"/>
  <c r="AJ203" i="3"/>
  <c r="B204" i="3"/>
  <c r="C204" i="3"/>
  <c r="D204" i="3"/>
  <c r="E204" i="3"/>
  <c r="F204" i="3"/>
  <c r="G204" i="3"/>
  <c r="H204" i="3"/>
  <c r="I204" i="3"/>
  <c r="J204" i="3"/>
  <c r="K204" i="3"/>
  <c r="L204" i="3"/>
  <c r="M204" i="3"/>
  <c r="N204" i="3"/>
  <c r="O204" i="3"/>
  <c r="P204" i="3"/>
  <c r="Q204" i="3"/>
  <c r="R204" i="3"/>
  <c r="S204" i="3"/>
  <c r="T204" i="3"/>
  <c r="U204" i="3"/>
  <c r="V204" i="3"/>
  <c r="W204" i="3"/>
  <c r="X204" i="3"/>
  <c r="Y204" i="3"/>
  <c r="Z204" i="3"/>
  <c r="AA204" i="3"/>
  <c r="AB204" i="3"/>
  <c r="AC204" i="3"/>
  <c r="AD204" i="3"/>
  <c r="AE204" i="3"/>
  <c r="AF204" i="3"/>
  <c r="AG204" i="3"/>
  <c r="AH204" i="3"/>
  <c r="AI204" i="3"/>
  <c r="AJ204" i="3"/>
  <c r="B205" i="3"/>
  <c r="C205" i="3"/>
  <c r="D205" i="3"/>
  <c r="E205" i="3"/>
  <c r="F205" i="3"/>
  <c r="G205" i="3"/>
  <c r="H205" i="3"/>
  <c r="I205" i="3"/>
  <c r="J205" i="3"/>
  <c r="K205" i="3"/>
  <c r="L205" i="3"/>
  <c r="M205" i="3"/>
  <c r="N205" i="3"/>
  <c r="O205" i="3"/>
  <c r="P205" i="3"/>
  <c r="Q205" i="3"/>
  <c r="R205" i="3"/>
  <c r="S205" i="3"/>
  <c r="T205" i="3"/>
  <c r="U205" i="3"/>
  <c r="V205" i="3"/>
  <c r="W205" i="3"/>
  <c r="X205" i="3"/>
  <c r="Y205" i="3"/>
  <c r="Z205" i="3"/>
  <c r="AA205" i="3"/>
  <c r="AB205" i="3"/>
  <c r="AC205" i="3"/>
  <c r="AD205" i="3"/>
  <c r="AE205" i="3"/>
  <c r="AF205" i="3"/>
  <c r="AG205" i="3"/>
  <c r="AH205" i="3"/>
  <c r="AI205" i="3"/>
  <c r="AJ205" i="3"/>
  <c r="B206" i="3"/>
  <c r="C206" i="3"/>
  <c r="D206" i="3"/>
  <c r="E206" i="3"/>
  <c r="F206" i="3"/>
  <c r="G206" i="3"/>
  <c r="H206" i="3"/>
  <c r="I206" i="3"/>
  <c r="J206" i="3"/>
  <c r="K206" i="3"/>
  <c r="L206" i="3"/>
  <c r="M206" i="3"/>
  <c r="N206" i="3"/>
  <c r="O206" i="3"/>
  <c r="P206" i="3"/>
  <c r="Q206" i="3"/>
  <c r="R206" i="3"/>
  <c r="S206" i="3"/>
  <c r="T206" i="3"/>
  <c r="U206" i="3"/>
  <c r="V206" i="3"/>
  <c r="W206" i="3"/>
  <c r="X206" i="3"/>
  <c r="Y206" i="3"/>
  <c r="Z206" i="3"/>
  <c r="AA206" i="3"/>
  <c r="AB206" i="3"/>
  <c r="AC206" i="3"/>
  <c r="AD206" i="3"/>
  <c r="AE206" i="3"/>
  <c r="AF206" i="3"/>
  <c r="AG206" i="3"/>
  <c r="AH206" i="3"/>
  <c r="AI206" i="3"/>
  <c r="AJ206" i="3"/>
  <c r="B207" i="3"/>
  <c r="C207" i="3"/>
  <c r="D207" i="3"/>
  <c r="E207" i="3"/>
  <c r="F207" i="3"/>
  <c r="G207" i="3"/>
  <c r="H207" i="3"/>
  <c r="I207" i="3"/>
  <c r="J207" i="3"/>
  <c r="K207" i="3"/>
  <c r="L207" i="3"/>
  <c r="M207" i="3"/>
  <c r="N207" i="3"/>
  <c r="O207" i="3"/>
  <c r="P207" i="3"/>
  <c r="Q207" i="3"/>
  <c r="R207" i="3"/>
  <c r="S207" i="3"/>
  <c r="T207" i="3"/>
  <c r="U207" i="3"/>
  <c r="V207" i="3"/>
  <c r="W207" i="3"/>
  <c r="X207" i="3"/>
  <c r="Y207" i="3"/>
  <c r="Z207" i="3"/>
  <c r="AA207" i="3"/>
  <c r="AB207" i="3"/>
  <c r="AC207" i="3"/>
  <c r="AD207" i="3"/>
  <c r="AE207" i="3"/>
  <c r="AF207" i="3"/>
  <c r="AG207" i="3"/>
  <c r="AH207" i="3"/>
  <c r="AI207" i="3"/>
  <c r="AJ207" i="3"/>
  <c r="B208" i="3"/>
  <c r="C208" i="3"/>
  <c r="D208" i="3"/>
  <c r="E208" i="3"/>
  <c r="F208" i="3"/>
  <c r="G208" i="3"/>
  <c r="H208" i="3"/>
  <c r="I208" i="3"/>
  <c r="J208" i="3"/>
  <c r="K208" i="3"/>
  <c r="L208" i="3"/>
  <c r="M208" i="3"/>
  <c r="N208" i="3"/>
  <c r="O208" i="3"/>
  <c r="P208" i="3"/>
  <c r="Q208" i="3"/>
  <c r="R208" i="3"/>
  <c r="S208" i="3"/>
  <c r="T208" i="3"/>
  <c r="U208" i="3"/>
  <c r="V208" i="3"/>
  <c r="W208" i="3"/>
  <c r="X208" i="3"/>
  <c r="Y208" i="3"/>
  <c r="Z208" i="3"/>
  <c r="AA208" i="3"/>
  <c r="AB208" i="3"/>
  <c r="AC208" i="3"/>
  <c r="AD208" i="3"/>
  <c r="AE208" i="3"/>
  <c r="AF208" i="3"/>
  <c r="AG208" i="3"/>
  <c r="AH208" i="3"/>
  <c r="AI208" i="3"/>
  <c r="AJ208" i="3"/>
  <c r="B209" i="3"/>
  <c r="C209" i="3"/>
  <c r="D209" i="3"/>
  <c r="E209" i="3"/>
  <c r="F209" i="3"/>
  <c r="G209" i="3"/>
  <c r="H209" i="3"/>
  <c r="I209" i="3"/>
  <c r="J209" i="3"/>
  <c r="K209" i="3"/>
  <c r="L209" i="3"/>
  <c r="M209" i="3"/>
  <c r="N209" i="3"/>
  <c r="O209" i="3"/>
  <c r="P209" i="3"/>
  <c r="Q209" i="3"/>
  <c r="R209" i="3"/>
  <c r="S209" i="3"/>
  <c r="T209" i="3"/>
  <c r="U209" i="3"/>
  <c r="V209" i="3"/>
  <c r="W209" i="3"/>
  <c r="X209" i="3"/>
  <c r="Y209" i="3"/>
  <c r="Z209" i="3"/>
  <c r="AA209" i="3"/>
  <c r="AB209" i="3"/>
  <c r="AC209" i="3"/>
  <c r="AD209" i="3"/>
  <c r="AE209" i="3"/>
  <c r="AF209" i="3"/>
  <c r="AG209" i="3"/>
  <c r="AH209" i="3"/>
  <c r="AI209" i="3"/>
  <c r="AJ209" i="3"/>
  <c r="B210" i="3"/>
  <c r="C210" i="3"/>
  <c r="D210" i="3"/>
  <c r="E210" i="3"/>
  <c r="F210" i="3"/>
  <c r="G210" i="3"/>
  <c r="H210" i="3"/>
  <c r="I210" i="3"/>
  <c r="J210" i="3"/>
  <c r="K210" i="3"/>
  <c r="L210" i="3"/>
  <c r="M210" i="3"/>
  <c r="N210" i="3"/>
  <c r="O210" i="3"/>
  <c r="P210" i="3"/>
  <c r="Q210" i="3"/>
  <c r="R210" i="3"/>
  <c r="S210" i="3"/>
  <c r="T210" i="3"/>
  <c r="U210" i="3"/>
  <c r="V210" i="3"/>
  <c r="W210" i="3"/>
  <c r="X210" i="3"/>
  <c r="Y210" i="3"/>
  <c r="Z210" i="3"/>
  <c r="AA210" i="3"/>
  <c r="AB210" i="3"/>
  <c r="AC210" i="3"/>
  <c r="AD210" i="3"/>
  <c r="AE210" i="3"/>
  <c r="AF210" i="3"/>
  <c r="AG210" i="3"/>
  <c r="AH210" i="3"/>
  <c r="AI210" i="3"/>
  <c r="AJ210" i="3"/>
  <c r="B211" i="3"/>
  <c r="C211" i="3"/>
  <c r="D211" i="3"/>
  <c r="E211" i="3"/>
  <c r="F211" i="3"/>
  <c r="G211" i="3"/>
  <c r="H211" i="3"/>
  <c r="I211" i="3"/>
  <c r="J211" i="3"/>
  <c r="K211" i="3"/>
  <c r="L211" i="3"/>
  <c r="M211" i="3"/>
  <c r="N211" i="3"/>
  <c r="O211" i="3"/>
  <c r="P211" i="3"/>
  <c r="Q211" i="3"/>
  <c r="R211" i="3"/>
  <c r="S211" i="3"/>
  <c r="T211" i="3"/>
  <c r="U211" i="3"/>
  <c r="V211" i="3"/>
  <c r="W211" i="3"/>
  <c r="X211" i="3"/>
  <c r="Y211" i="3"/>
  <c r="Z211" i="3"/>
  <c r="AA211" i="3"/>
  <c r="AB211" i="3"/>
  <c r="AC211" i="3"/>
  <c r="AD211" i="3"/>
  <c r="AE211" i="3"/>
  <c r="AF211" i="3"/>
  <c r="AG211" i="3"/>
  <c r="AH211" i="3"/>
  <c r="AI211" i="3"/>
  <c r="AJ211" i="3"/>
  <c r="B212" i="3"/>
  <c r="C212" i="3"/>
  <c r="D212" i="3"/>
  <c r="E212" i="3"/>
  <c r="F212" i="3"/>
  <c r="G212" i="3"/>
  <c r="H212" i="3"/>
  <c r="I212" i="3"/>
  <c r="J212" i="3"/>
  <c r="K212" i="3"/>
  <c r="L212" i="3"/>
  <c r="M212" i="3"/>
  <c r="N212" i="3"/>
  <c r="O212" i="3"/>
  <c r="P212" i="3"/>
  <c r="Q212" i="3"/>
  <c r="R212" i="3"/>
  <c r="S212" i="3"/>
  <c r="T212" i="3"/>
  <c r="U212" i="3"/>
  <c r="V212" i="3"/>
  <c r="W212" i="3"/>
  <c r="X212" i="3"/>
  <c r="Y212" i="3"/>
  <c r="Z212" i="3"/>
  <c r="AA212" i="3"/>
  <c r="AB212" i="3"/>
  <c r="AC212" i="3"/>
  <c r="AD212" i="3"/>
  <c r="AE212" i="3"/>
  <c r="AF212" i="3"/>
  <c r="AG212" i="3"/>
  <c r="AH212" i="3"/>
  <c r="AI212" i="3"/>
  <c r="AJ212" i="3"/>
  <c r="B213" i="3"/>
  <c r="C213" i="3"/>
  <c r="D213" i="3"/>
  <c r="E213" i="3"/>
  <c r="F213" i="3"/>
  <c r="G213" i="3"/>
  <c r="H213" i="3"/>
  <c r="I213" i="3"/>
  <c r="J213" i="3"/>
  <c r="K213" i="3"/>
  <c r="L213" i="3"/>
  <c r="M213" i="3"/>
  <c r="N213" i="3"/>
  <c r="O213" i="3"/>
  <c r="P213" i="3"/>
  <c r="Q213" i="3"/>
  <c r="R213" i="3"/>
  <c r="S213" i="3"/>
  <c r="T213" i="3"/>
  <c r="U213" i="3"/>
  <c r="V213" i="3"/>
  <c r="W213" i="3"/>
  <c r="X213" i="3"/>
  <c r="Y213" i="3"/>
  <c r="Z213" i="3"/>
  <c r="AA213" i="3"/>
  <c r="AB213" i="3"/>
  <c r="AC213" i="3"/>
  <c r="AD213" i="3"/>
  <c r="AE213" i="3"/>
  <c r="AF213" i="3"/>
  <c r="AG213" i="3"/>
  <c r="AH213" i="3"/>
  <c r="AI213" i="3"/>
  <c r="AJ213" i="3"/>
  <c r="B214" i="3"/>
  <c r="C214" i="3"/>
  <c r="D214" i="3"/>
  <c r="E214" i="3"/>
  <c r="F214" i="3"/>
  <c r="G214" i="3"/>
  <c r="H214" i="3"/>
  <c r="I214" i="3"/>
  <c r="J214" i="3"/>
  <c r="K214" i="3"/>
  <c r="L214" i="3"/>
  <c r="M214" i="3"/>
  <c r="N214" i="3"/>
  <c r="O214" i="3"/>
  <c r="P214" i="3"/>
  <c r="Q214" i="3"/>
  <c r="R214" i="3"/>
  <c r="S214" i="3"/>
  <c r="T214" i="3"/>
  <c r="U214" i="3"/>
  <c r="V214" i="3"/>
  <c r="W214" i="3"/>
  <c r="X214" i="3"/>
  <c r="Y214" i="3"/>
  <c r="Z214" i="3"/>
  <c r="AA214" i="3"/>
  <c r="AB214" i="3"/>
  <c r="AC214" i="3"/>
  <c r="AD214" i="3"/>
  <c r="AE214" i="3"/>
  <c r="AF214" i="3"/>
  <c r="AG214" i="3"/>
  <c r="AH214" i="3"/>
  <c r="AI214" i="3"/>
  <c r="AJ214" i="3"/>
  <c r="B215" i="3"/>
  <c r="C215" i="3"/>
  <c r="D215" i="3"/>
  <c r="E215" i="3"/>
  <c r="F215" i="3"/>
  <c r="G215" i="3"/>
  <c r="H215" i="3"/>
  <c r="I215" i="3"/>
  <c r="J215" i="3"/>
  <c r="K215" i="3"/>
  <c r="L215" i="3"/>
  <c r="M215" i="3"/>
  <c r="N215" i="3"/>
  <c r="O215" i="3"/>
  <c r="P215" i="3"/>
  <c r="Q215" i="3"/>
  <c r="R215" i="3"/>
  <c r="S215" i="3"/>
  <c r="T215" i="3"/>
  <c r="U215" i="3"/>
  <c r="V215" i="3"/>
  <c r="W215" i="3"/>
  <c r="X215" i="3"/>
  <c r="Y215" i="3"/>
  <c r="Z215" i="3"/>
  <c r="AA215" i="3"/>
  <c r="AB215" i="3"/>
  <c r="AC215" i="3"/>
  <c r="AD215" i="3"/>
  <c r="AE215" i="3"/>
  <c r="AF215" i="3"/>
  <c r="AG215" i="3"/>
  <c r="AH215" i="3"/>
  <c r="AI215" i="3"/>
  <c r="AJ215" i="3"/>
  <c r="B216" i="3"/>
  <c r="C216" i="3"/>
  <c r="D216" i="3"/>
  <c r="E216" i="3"/>
  <c r="F216" i="3"/>
  <c r="G216" i="3"/>
  <c r="H216" i="3"/>
  <c r="I216" i="3"/>
  <c r="J216" i="3"/>
  <c r="K216" i="3"/>
  <c r="L216" i="3"/>
  <c r="M216" i="3"/>
  <c r="N216" i="3"/>
  <c r="O216" i="3"/>
  <c r="P216" i="3"/>
  <c r="Q216" i="3"/>
  <c r="R216" i="3"/>
  <c r="S216" i="3"/>
  <c r="T216" i="3"/>
  <c r="U216" i="3"/>
  <c r="V216" i="3"/>
  <c r="W216" i="3"/>
  <c r="X216" i="3"/>
  <c r="Y216" i="3"/>
  <c r="Z216" i="3"/>
  <c r="AA216" i="3"/>
  <c r="AB216" i="3"/>
  <c r="AC216" i="3"/>
  <c r="AD216" i="3"/>
  <c r="AE216" i="3"/>
  <c r="AF216" i="3"/>
  <c r="AG216" i="3"/>
  <c r="AH216" i="3"/>
  <c r="AI216" i="3"/>
  <c r="AJ216" i="3"/>
  <c r="B217" i="3"/>
  <c r="C217" i="3"/>
  <c r="D217" i="3"/>
  <c r="E217" i="3"/>
  <c r="F217" i="3"/>
  <c r="G217" i="3"/>
  <c r="H217" i="3"/>
  <c r="I217" i="3"/>
  <c r="J217" i="3"/>
  <c r="K217" i="3"/>
  <c r="L217" i="3"/>
  <c r="M217" i="3"/>
  <c r="N217" i="3"/>
  <c r="O217" i="3"/>
  <c r="P217" i="3"/>
  <c r="Q217" i="3"/>
  <c r="R217" i="3"/>
  <c r="S217" i="3"/>
  <c r="T217" i="3"/>
  <c r="U217" i="3"/>
  <c r="V217" i="3"/>
  <c r="W217" i="3"/>
  <c r="X217" i="3"/>
  <c r="Y217" i="3"/>
  <c r="Z217" i="3"/>
  <c r="AA217" i="3"/>
  <c r="AB217" i="3"/>
  <c r="AC217" i="3"/>
  <c r="AD217" i="3"/>
  <c r="AE217" i="3"/>
  <c r="AF217" i="3"/>
  <c r="AG217" i="3"/>
  <c r="AH217" i="3"/>
  <c r="AI217" i="3"/>
  <c r="AJ217" i="3"/>
  <c r="B218" i="3"/>
  <c r="C218" i="3"/>
  <c r="D218" i="3"/>
  <c r="E218" i="3"/>
  <c r="F218" i="3"/>
  <c r="G218" i="3"/>
  <c r="H218" i="3"/>
  <c r="I218" i="3"/>
  <c r="J218" i="3"/>
  <c r="K218" i="3"/>
  <c r="L218" i="3"/>
  <c r="M218" i="3"/>
  <c r="N218" i="3"/>
  <c r="O218" i="3"/>
  <c r="P218" i="3"/>
  <c r="Q218" i="3"/>
  <c r="R218" i="3"/>
  <c r="S218" i="3"/>
  <c r="T218" i="3"/>
  <c r="U218" i="3"/>
  <c r="V218" i="3"/>
  <c r="W218" i="3"/>
  <c r="X218" i="3"/>
  <c r="Y218" i="3"/>
  <c r="Z218" i="3"/>
  <c r="AA218" i="3"/>
  <c r="AB218" i="3"/>
  <c r="AC218" i="3"/>
  <c r="AD218" i="3"/>
  <c r="AE218" i="3"/>
  <c r="AF218" i="3"/>
  <c r="AG218" i="3"/>
  <c r="AH218" i="3"/>
  <c r="AI218" i="3"/>
  <c r="AJ218" i="3"/>
  <c r="B219" i="3"/>
  <c r="C219" i="3"/>
  <c r="D219" i="3"/>
  <c r="E219" i="3"/>
  <c r="F219" i="3"/>
  <c r="G219" i="3"/>
  <c r="H219" i="3"/>
  <c r="I219" i="3"/>
  <c r="J219" i="3"/>
  <c r="K219" i="3"/>
  <c r="L219" i="3"/>
  <c r="M219" i="3"/>
  <c r="N219" i="3"/>
  <c r="O219" i="3"/>
  <c r="P219" i="3"/>
  <c r="Q219" i="3"/>
  <c r="R219" i="3"/>
  <c r="S219" i="3"/>
  <c r="T219" i="3"/>
  <c r="U219" i="3"/>
  <c r="V219" i="3"/>
  <c r="W219" i="3"/>
  <c r="X219" i="3"/>
  <c r="Y219" i="3"/>
  <c r="Z219" i="3"/>
  <c r="AA219" i="3"/>
  <c r="AB219" i="3"/>
  <c r="AC219" i="3"/>
  <c r="AD219" i="3"/>
  <c r="AE219" i="3"/>
  <c r="AF219" i="3"/>
  <c r="AG219" i="3"/>
  <c r="AH219" i="3"/>
  <c r="AI219" i="3"/>
  <c r="AJ219" i="3"/>
  <c r="B220" i="3"/>
  <c r="C220" i="3"/>
  <c r="D220" i="3"/>
  <c r="E220" i="3"/>
  <c r="F220" i="3"/>
  <c r="G220" i="3"/>
  <c r="H220" i="3"/>
  <c r="I220" i="3"/>
  <c r="J220" i="3"/>
  <c r="K220"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B221" i="3"/>
  <c r="C221" i="3"/>
  <c r="D221" i="3"/>
  <c r="E221" i="3"/>
  <c r="F221" i="3"/>
  <c r="G221" i="3"/>
  <c r="H221" i="3"/>
  <c r="I221" i="3"/>
  <c r="J221" i="3"/>
  <c r="K221" i="3"/>
  <c r="L221" i="3"/>
  <c r="M221" i="3"/>
  <c r="N221" i="3"/>
  <c r="O221" i="3"/>
  <c r="P221" i="3"/>
  <c r="Q221" i="3"/>
  <c r="R221" i="3"/>
  <c r="S221" i="3"/>
  <c r="T221" i="3"/>
  <c r="U221" i="3"/>
  <c r="V221" i="3"/>
  <c r="W221" i="3"/>
  <c r="X221" i="3"/>
  <c r="Y221" i="3"/>
  <c r="Z221" i="3"/>
  <c r="AA221" i="3"/>
  <c r="AB221" i="3"/>
  <c r="AC221" i="3"/>
  <c r="AD221" i="3"/>
  <c r="AE221" i="3"/>
  <c r="AF221" i="3"/>
  <c r="AG221" i="3"/>
  <c r="AH221" i="3"/>
  <c r="AI221" i="3"/>
  <c r="AJ221" i="3"/>
  <c r="B222" i="3"/>
  <c r="C222" i="3"/>
  <c r="D222" i="3"/>
  <c r="E222" i="3"/>
  <c r="F222" i="3"/>
  <c r="G222" i="3"/>
  <c r="H222" i="3"/>
  <c r="I222" i="3"/>
  <c r="J222" i="3"/>
  <c r="K222"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B223" i="3"/>
  <c r="C223" i="3"/>
  <c r="D223" i="3"/>
  <c r="E223" i="3"/>
  <c r="F223" i="3"/>
  <c r="G223" i="3"/>
  <c r="H223" i="3"/>
  <c r="I223" i="3"/>
  <c r="J223" i="3"/>
  <c r="K223" i="3"/>
  <c r="L223" i="3"/>
  <c r="M223" i="3"/>
  <c r="N223" i="3"/>
  <c r="O223" i="3"/>
  <c r="P223" i="3"/>
  <c r="Q223" i="3"/>
  <c r="R223" i="3"/>
  <c r="S223" i="3"/>
  <c r="T223" i="3"/>
  <c r="U223" i="3"/>
  <c r="V223" i="3"/>
  <c r="W223" i="3"/>
  <c r="X223" i="3"/>
  <c r="Y223" i="3"/>
  <c r="Z223" i="3"/>
  <c r="AA223" i="3"/>
  <c r="AB223" i="3"/>
  <c r="AC223" i="3"/>
  <c r="AD223" i="3"/>
  <c r="AE223" i="3"/>
  <c r="AF223" i="3"/>
  <c r="AG223" i="3"/>
  <c r="AH223" i="3"/>
  <c r="AI223" i="3"/>
  <c r="AJ223" i="3"/>
  <c r="B224" i="3"/>
  <c r="C224" i="3"/>
  <c r="D224" i="3"/>
  <c r="E224" i="3"/>
  <c r="F224" i="3"/>
  <c r="G224" i="3"/>
  <c r="H224" i="3"/>
  <c r="I224" i="3"/>
  <c r="J224" i="3"/>
  <c r="K224" i="3"/>
  <c r="L224" i="3"/>
  <c r="M224" i="3"/>
  <c r="N224" i="3"/>
  <c r="O224" i="3"/>
  <c r="P224" i="3"/>
  <c r="Q224" i="3"/>
  <c r="R224" i="3"/>
  <c r="S224" i="3"/>
  <c r="T224" i="3"/>
  <c r="U224" i="3"/>
  <c r="V224" i="3"/>
  <c r="W224" i="3"/>
  <c r="X224" i="3"/>
  <c r="Y224" i="3"/>
  <c r="Z224" i="3"/>
  <c r="AA224" i="3"/>
  <c r="AB224" i="3"/>
  <c r="AC224" i="3"/>
  <c r="AD224" i="3"/>
  <c r="AE224" i="3"/>
  <c r="AF224" i="3"/>
  <c r="AG224" i="3"/>
  <c r="AH224" i="3"/>
  <c r="AI224" i="3"/>
  <c r="AJ224" i="3"/>
  <c r="B225" i="3"/>
  <c r="C225" i="3"/>
  <c r="D225" i="3"/>
  <c r="E225" i="3"/>
  <c r="F225" i="3"/>
  <c r="G225" i="3"/>
  <c r="H225" i="3"/>
  <c r="I225" i="3"/>
  <c r="J225" i="3"/>
  <c r="K225" i="3"/>
  <c r="L225" i="3"/>
  <c r="M225" i="3"/>
  <c r="N225" i="3"/>
  <c r="O225" i="3"/>
  <c r="P225" i="3"/>
  <c r="Q225" i="3"/>
  <c r="R225" i="3"/>
  <c r="S225" i="3"/>
  <c r="T225" i="3"/>
  <c r="U225" i="3"/>
  <c r="V225" i="3"/>
  <c r="W225" i="3"/>
  <c r="X225" i="3"/>
  <c r="Y225" i="3"/>
  <c r="Z225" i="3"/>
  <c r="AA225" i="3"/>
  <c r="AB225" i="3"/>
  <c r="AC225" i="3"/>
  <c r="AD225" i="3"/>
  <c r="AE225" i="3"/>
  <c r="AF225" i="3"/>
  <c r="AG225" i="3"/>
  <c r="AH225" i="3"/>
  <c r="AI225" i="3"/>
  <c r="AJ225" i="3"/>
  <c r="B226" i="3"/>
  <c r="C226" i="3"/>
  <c r="D226" i="3"/>
  <c r="E226" i="3"/>
  <c r="F226" i="3"/>
  <c r="G226" i="3"/>
  <c r="H226" i="3"/>
  <c r="I226" i="3"/>
  <c r="J226" i="3"/>
  <c r="K226" i="3"/>
  <c r="L226" i="3"/>
  <c r="M226" i="3"/>
  <c r="N226" i="3"/>
  <c r="O226" i="3"/>
  <c r="P226" i="3"/>
  <c r="Q226" i="3"/>
  <c r="R226" i="3"/>
  <c r="S226" i="3"/>
  <c r="T226" i="3"/>
  <c r="U226" i="3"/>
  <c r="V226" i="3"/>
  <c r="W226" i="3"/>
  <c r="X226" i="3"/>
  <c r="Y226" i="3"/>
  <c r="Z226" i="3"/>
  <c r="AA226" i="3"/>
  <c r="AB226" i="3"/>
  <c r="AC226" i="3"/>
  <c r="AD226" i="3"/>
  <c r="AE226" i="3"/>
  <c r="AF226" i="3"/>
  <c r="AG226" i="3"/>
  <c r="AH226" i="3"/>
  <c r="AI226" i="3"/>
  <c r="AJ226" i="3"/>
  <c r="B227" i="3"/>
  <c r="C227" i="3"/>
  <c r="D227" i="3"/>
  <c r="E227" i="3"/>
  <c r="F227" i="3"/>
  <c r="G227" i="3"/>
  <c r="H227" i="3"/>
  <c r="I227" i="3"/>
  <c r="J227" i="3"/>
  <c r="K227" i="3"/>
  <c r="L227" i="3"/>
  <c r="M227" i="3"/>
  <c r="N227" i="3"/>
  <c r="O227" i="3"/>
  <c r="P227" i="3"/>
  <c r="Q227" i="3"/>
  <c r="R227" i="3"/>
  <c r="S227" i="3"/>
  <c r="T227" i="3"/>
  <c r="U227" i="3"/>
  <c r="V227" i="3"/>
  <c r="W227" i="3"/>
  <c r="X227" i="3"/>
  <c r="Y227" i="3"/>
  <c r="Z227" i="3"/>
  <c r="AA227" i="3"/>
  <c r="AB227" i="3"/>
  <c r="AC227" i="3"/>
  <c r="AD227" i="3"/>
  <c r="AE227" i="3"/>
  <c r="AF227" i="3"/>
  <c r="AG227" i="3"/>
  <c r="AH227" i="3"/>
  <c r="AI227" i="3"/>
  <c r="AJ227" i="3"/>
  <c r="B228" i="3"/>
  <c r="C228" i="3"/>
  <c r="D228" i="3"/>
  <c r="E228" i="3"/>
  <c r="F228" i="3"/>
  <c r="G228" i="3"/>
  <c r="H228" i="3"/>
  <c r="I228" i="3"/>
  <c r="J228" i="3"/>
  <c r="K228" i="3"/>
  <c r="L228" i="3"/>
  <c r="M228" i="3"/>
  <c r="N228" i="3"/>
  <c r="O228" i="3"/>
  <c r="P228" i="3"/>
  <c r="Q228" i="3"/>
  <c r="R228" i="3"/>
  <c r="S228" i="3"/>
  <c r="T228" i="3"/>
  <c r="U228" i="3"/>
  <c r="V228" i="3"/>
  <c r="W228" i="3"/>
  <c r="X228" i="3"/>
  <c r="Y228" i="3"/>
  <c r="Z228" i="3"/>
  <c r="AA228" i="3"/>
  <c r="AB228" i="3"/>
  <c r="AC228" i="3"/>
  <c r="AD228" i="3"/>
  <c r="AE228" i="3"/>
  <c r="AF228" i="3"/>
  <c r="AG228" i="3"/>
  <c r="AH228" i="3"/>
  <c r="AI228" i="3"/>
  <c r="AJ228" i="3"/>
  <c r="B229" i="3"/>
  <c r="C229" i="3"/>
  <c r="D229" i="3"/>
  <c r="E229" i="3"/>
  <c r="F229" i="3"/>
  <c r="G229" i="3"/>
  <c r="H229" i="3"/>
  <c r="I229" i="3"/>
  <c r="J229" i="3"/>
  <c r="K229" i="3"/>
  <c r="L229" i="3"/>
  <c r="M229" i="3"/>
  <c r="N229" i="3"/>
  <c r="O229" i="3"/>
  <c r="P229" i="3"/>
  <c r="Q229" i="3"/>
  <c r="R229" i="3"/>
  <c r="S229" i="3"/>
  <c r="T229" i="3"/>
  <c r="U229" i="3"/>
  <c r="V229" i="3"/>
  <c r="W229" i="3"/>
  <c r="X229" i="3"/>
  <c r="Y229" i="3"/>
  <c r="Z229" i="3"/>
  <c r="AA229" i="3"/>
  <c r="AB229" i="3"/>
  <c r="AC229" i="3"/>
  <c r="AD229" i="3"/>
  <c r="AE229" i="3"/>
  <c r="AF229" i="3"/>
  <c r="AG229" i="3"/>
  <c r="AH229" i="3"/>
  <c r="AI229" i="3"/>
  <c r="AJ229" i="3"/>
  <c r="B230" i="3"/>
  <c r="C230" i="3"/>
  <c r="D230" i="3"/>
  <c r="E230" i="3"/>
  <c r="F230" i="3"/>
  <c r="G230" i="3"/>
  <c r="H230" i="3"/>
  <c r="I230" i="3"/>
  <c r="J230" i="3"/>
  <c r="K230" i="3"/>
  <c r="L230" i="3"/>
  <c r="M230" i="3"/>
  <c r="N230" i="3"/>
  <c r="O230" i="3"/>
  <c r="P230" i="3"/>
  <c r="Q230" i="3"/>
  <c r="R230" i="3"/>
  <c r="S230" i="3"/>
  <c r="T230" i="3"/>
  <c r="U230" i="3"/>
  <c r="V230" i="3"/>
  <c r="W230" i="3"/>
  <c r="X230" i="3"/>
  <c r="Y230" i="3"/>
  <c r="Z230" i="3"/>
  <c r="AA230" i="3"/>
  <c r="AB230" i="3"/>
  <c r="AC230" i="3"/>
  <c r="AD230" i="3"/>
  <c r="AE230" i="3"/>
  <c r="AF230" i="3"/>
  <c r="AG230" i="3"/>
  <c r="AH230" i="3"/>
  <c r="AI230" i="3"/>
  <c r="AJ230" i="3"/>
  <c r="B231" i="3"/>
  <c r="C231" i="3"/>
  <c r="D231" i="3"/>
  <c r="E231" i="3"/>
  <c r="F231" i="3"/>
  <c r="G231" i="3"/>
  <c r="H231" i="3"/>
  <c r="I231" i="3"/>
  <c r="J231" i="3"/>
  <c r="K231" i="3"/>
  <c r="L231" i="3"/>
  <c r="M231" i="3"/>
  <c r="N231" i="3"/>
  <c r="O231" i="3"/>
  <c r="P231" i="3"/>
  <c r="Q231" i="3"/>
  <c r="R231" i="3"/>
  <c r="S231" i="3"/>
  <c r="T231" i="3"/>
  <c r="U231" i="3"/>
  <c r="V231" i="3"/>
  <c r="W231" i="3"/>
  <c r="X231" i="3"/>
  <c r="Y231" i="3"/>
  <c r="Z231" i="3"/>
  <c r="AA231" i="3"/>
  <c r="AB231" i="3"/>
  <c r="AC231" i="3"/>
  <c r="AD231" i="3"/>
  <c r="AE231" i="3"/>
  <c r="AF231" i="3"/>
  <c r="AG231" i="3"/>
  <c r="AH231" i="3"/>
  <c r="AI231" i="3"/>
  <c r="AJ231" i="3"/>
  <c r="B232" i="3"/>
  <c r="C232" i="3"/>
  <c r="D232" i="3"/>
  <c r="E232" i="3"/>
  <c r="F232" i="3"/>
  <c r="G232" i="3"/>
  <c r="H232" i="3"/>
  <c r="I232" i="3"/>
  <c r="J232" i="3"/>
  <c r="K232" i="3"/>
  <c r="L232" i="3"/>
  <c r="M232" i="3"/>
  <c r="N232" i="3"/>
  <c r="O232" i="3"/>
  <c r="P232" i="3"/>
  <c r="Q232" i="3"/>
  <c r="R232" i="3"/>
  <c r="S232" i="3"/>
  <c r="T232" i="3"/>
  <c r="U232" i="3"/>
  <c r="V232" i="3"/>
  <c r="W232" i="3"/>
  <c r="X232" i="3"/>
  <c r="Y232" i="3"/>
  <c r="Z232" i="3"/>
  <c r="AA232" i="3"/>
  <c r="AB232" i="3"/>
  <c r="AC232" i="3"/>
  <c r="AD232" i="3"/>
  <c r="AE232" i="3"/>
  <c r="AF232" i="3"/>
  <c r="AG232" i="3"/>
  <c r="AH232" i="3"/>
  <c r="AI232" i="3"/>
  <c r="AJ232" i="3"/>
  <c r="B233" i="3"/>
  <c r="C233" i="3"/>
  <c r="D233" i="3"/>
  <c r="E233" i="3"/>
  <c r="F233" i="3"/>
  <c r="G233" i="3"/>
  <c r="H233" i="3"/>
  <c r="I233" i="3"/>
  <c r="J233" i="3"/>
  <c r="K233" i="3"/>
  <c r="L233" i="3"/>
  <c r="M233" i="3"/>
  <c r="N233" i="3"/>
  <c r="O233" i="3"/>
  <c r="P233" i="3"/>
  <c r="Q233" i="3"/>
  <c r="R233" i="3"/>
  <c r="S233" i="3"/>
  <c r="T233" i="3"/>
  <c r="U233" i="3"/>
  <c r="V233" i="3"/>
  <c r="W233" i="3"/>
  <c r="X233" i="3"/>
  <c r="Y233" i="3"/>
  <c r="Z233" i="3"/>
  <c r="AA233" i="3"/>
  <c r="AB233" i="3"/>
  <c r="AC233" i="3"/>
  <c r="AD233" i="3"/>
  <c r="AE233" i="3"/>
  <c r="AF233" i="3"/>
  <c r="AG233" i="3"/>
  <c r="AH233" i="3"/>
  <c r="AI233" i="3"/>
  <c r="AJ233" i="3"/>
  <c r="B234" i="3"/>
  <c r="C234" i="3"/>
  <c r="D234" i="3"/>
  <c r="E234" i="3"/>
  <c r="F234" i="3"/>
  <c r="G234" i="3"/>
  <c r="H234" i="3"/>
  <c r="I234" i="3"/>
  <c r="J234" i="3"/>
  <c r="K234" i="3"/>
  <c r="L234" i="3"/>
  <c r="M234" i="3"/>
  <c r="N234" i="3"/>
  <c r="O234" i="3"/>
  <c r="P234" i="3"/>
  <c r="Q234" i="3"/>
  <c r="R234" i="3"/>
  <c r="S234" i="3"/>
  <c r="T234" i="3"/>
  <c r="U234" i="3"/>
  <c r="V234" i="3"/>
  <c r="W234" i="3"/>
  <c r="X234" i="3"/>
  <c r="Y234" i="3"/>
  <c r="Z234" i="3"/>
  <c r="AA234" i="3"/>
  <c r="AB234" i="3"/>
  <c r="AC234" i="3"/>
  <c r="AD234" i="3"/>
  <c r="AE234" i="3"/>
  <c r="AF234" i="3"/>
  <c r="AG234" i="3"/>
  <c r="AH234" i="3"/>
  <c r="AI234" i="3"/>
  <c r="AJ234" i="3"/>
  <c r="B235" i="3"/>
  <c r="C235" i="3"/>
  <c r="D235" i="3"/>
  <c r="E235" i="3"/>
  <c r="F235" i="3"/>
  <c r="G235" i="3"/>
  <c r="H235" i="3"/>
  <c r="I235" i="3"/>
  <c r="J235" i="3"/>
  <c r="K235" i="3"/>
  <c r="L235" i="3"/>
  <c r="M235" i="3"/>
  <c r="N235" i="3"/>
  <c r="O235" i="3"/>
  <c r="P235" i="3"/>
  <c r="Q235" i="3"/>
  <c r="R235" i="3"/>
  <c r="S235" i="3"/>
  <c r="T235" i="3"/>
  <c r="U235" i="3"/>
  <c r="V235" i="3"/>
  <c r="W235" i="3"/>
  <c r="X235" i="3"/>
  <c r="Y235" i="3"/>
  <c r="Z235" i="3"/>
  <c r="AA235" i="3"/>
  <c r="AB235" i="3"/>
  <c r="AC235" i="3"/>
  <c r="AD235" i="3"/>
  <c r="AE235" i="3"/>
  <c r="AF235" i="3"/>
  <c r="AG235" i="3"/>
  <c r="AH235" i="3"/>
  <c r="AI235" i="3"/>
  <c r="AJ235" i="3"/>
  <c r="B236" i="3"/>
  <c r="C236" i="3"/>
  <c r="D236" i="3"/>
  <c r="E236" i="3"/>
  <c r="F236" i="3"/>
  <c r="G236" i="3"/>
  <c r="H236" i="3"/>
  <c r="I236" i="3"/>
  <c r="J236" i="3"/>
  <c r="K236" i="3"/>
  <c r="L236" i="3"/>
  <c r="M236" i="3"/>
  <c r="N236" i="3"/>
  <c r="O236" i="3"/>
  <c r="P236" i="3"/>
  <c r="Q236" i="3"/>
  <c r="R236" i="3"/>
  <c r="S236" i="3"/>
  <c r="T236" i="3"/>
  <c r="U236" i="3"/>
  <c r="V236" i="3"/>
  <c r="W236" i="3"/>
  <c r="X236" i="3"/>
  <c r="Y236" i="3"/>
  <c r="Z236" i="3"/>
  <c r="AA236" i="3"/>
  <c r="AB236" i="3"/>
  <c r="AC236" i="3"/>
  <c r="AD236" i="3"/>
  <c r="AE236" i="3"/>
  <c r="AF236" i="3"/>
  <c r="AG236" i="3"/>
  <c r="AH236" i="3"/>
  <c r="AI236" i="3"/>
  <c r="AJ236" i="3"/>
  <c r="B237" i="3"/>
  <c r="C237" i="3"/>
  <c r="D237" i="3"/>
  <c r="E237" i="3"/>
  <c r="F237" i="3"/>
  <c r="G237" i="3"/>
  <c r="H237" i="3"/>
  <c r="I237" i="3"/>
  <c r="J237" i="3"/>
  <c r="K237" i="3"/>
  <c r="L237" i="3"/>
  <c r="M237" i="3"/>
  <c r="N237" i="3"/>
  <c r="O237" i="3"/>
  <c r="P237" i="3"/>
  <c r="Q237" i="3"/>
  <c r="R237" i="3"/>
  <c r="S237" i="3"/>
  <c r="T237" i="3"/>
  <c r="U237" i="3"/>
  <c r="V237" i="3"/>
  <c r="W237" i="3"/>
  <c r="X237" i="3"/>
  <c r="Y237" i="3"/>
  <c r="Z237" i="3"/>
  <c r="AA237" i="3"/>
  <c r="AB237" i="3"/>
  <c r="AC237" i="3"/>
  <c r="AD237" i="3"/>
  <c r="AE237" i="3"/>
  <c r="AF237" i="3"/>
  <c r="AG237" i="3"/>
  <c r="AH237" i="3"/>
  <c r="AI237" i="3"/>
  <c r="AJ237" i="3"/>
  <c r="B238" i="3"/>
  <c r="C238" i="3"/>
  <c r="D238" i="3"/>
  <c r="E238" i="3"/>
  <c r="F238" i="3"/>
  <c r="G238" i="3"/>
  <c r="H238" i="3"/>
  <c r="I238" i="3"/>
  <c r="J238" i="3"/>
  <c r="K238" i="3"/>
  <c r="L238" i="3"/>
  <c r="M238" i="3"/>
  <c r="N238" i="3"/>
  <c r="O238" i="3"/>
  <c r="P238" i="3"/>
  <c r="Q238" i="3"/>
  <c r="R238" i="3"/>
  <c r="S238" i="3"/>
  <c r="T238" i="3"/>
  <c r="U238" i="3"/>
  <c r="V238" i="3"/>
  <c r="W238" i="3"/>
  <c r="X238" i="3"/>
  <c r="Y238" i="3"/>
  <c r="Z238" i="3"/>
  <c r="AA238" i="3"/>
  <c r="AB238" i="3"/>
  <c r="AC238" i="3"/>
  <c r="AD238" i="3"/>
  <c r="AE238" i="3"/>
  <c r="AF238" i="3"/>
  <c r="AG238" i="3"/>
  <c r="AH238" i="3"/>
  <c r="AI238" i="3"/>
  <c r="AJ238" i="3"/>
  <c r="B239" i="3"/>
  <c r="C239" i="3"/>
  <c r="D239" i="3"/>
  <c r="E239" i="3"/>
  <c r="F239" i="3"/>
  <c r="G239" i="3"/>
  <c r="H239" i="3"/>
  <c r="I239" i="3"/>
  <c r="J239" i="3"/>
  <c r="K239" i="3"/>
  <c r="L239" i="3"/>
  <c r="M239" i="3"/>
  <c r="N239" i="3"/>
  <c r="O239" i="3"/>
  <c r="P239" i="3"/>
  <c r="Q239" i="3"/>
  <c r="R239" i="3"/>
  <c r="S239" i="3"/>
  <c r="T239" i="3"/>
  <c r="U239" i="3"/>
  <c r="V239" i="3"/>
  <c r="W239" i="3"/>
  <c r="X239" i="3"/>
  <c r="Y239" i="3"/>
  <c r="Z239" i="3"/>
  <c r="AA239" i="3"/>
  <c r="AB239" i="3"/>
  <c r="AC239" i="3"/>
  <c r="AD239" i="3"/>
  <c r="AE239" i="3"/>
  <c r="AF239" i="3"/>
  <c r="AG239" i="3"/>
  <c r="AH239" i="3"/>
  <c r="AI239" i="3"/>
  <c r="AJ239" i="3"/>
  <c r="B240" i="3"/>
  <c r="C240" i="3"/>
  <c r="D240" i="3"/>
  <c r="E240" i="3"/>
  <c r="F240" i="3"/>
  <c r="G240" i="3"/>
  <c r="H240" i="3"/>
  <c r="I240" i="3"/>
  <c r="J240" i="3"/>
  <c r="K240" i="3"/>
  <c r="L240" i="3"/>
  <c r="M240" i="3"/>
  <c r="N240" i="3"/>
  <c r="O240" i="3"/>
  <c r="P240" i="3"/>
  <c r="Q240" i="3"/>
  <c r="R240" i="3"/>
  <c r="S240" i="3"/>
  <c r="T240" i="3"/>
  <c r="U240" i="3"/>
  <c r="V240" i="3"/>
  <c r="W240" i="3"/>
  <c r="X240" i="3"/>
  <c r="Y240" i="3"/>
  <c r="Z240" i="3"/>
  <c r="AA240" i="3"/>
  <c r="AB240" i="3"/>
  <c r="AC240" i="3"/>
  <c r="AD240" i="3"/>
  <c r="AE240" i="3"/>
  <c r="AF240" i="3"/>
  <c r="AG240" i="3"/>
  <c r="AH240" i="3"/>
  <c r="AI240" i="3"/>
  <c r="AJ240" i="3"/>
  <c r="B241" i="3"/>
  <c r="C241" i="3"/>
  <c r="D241" i="3"/>
  <c r="E241" i="3"/>
  <c r="F241" i="3"/>
  <c r="G241" i="3"/>
  <c r="H241" i="3"/>
  <c r="I241" i="3"/>
  <c r="J241" i="3"/>
  <c r="K241" i="3"/>
  <c r="L241" i="3"/>
  <c r="M241" i="3"/>
  <c r="N241" i="3"/>
  <c r="O241" i="3"/>
  <c r="P241" i="3"/>
  <c r="Q241" i="3"/>
  <c r="R241" i="3"/>
  <c r="S241" i="3"/>
  <c r="T241" i="3"/>
  <c r="U241" i="3"/>
  <c r="V241" i="3"/>
  <c r="W241" i="3"/>
  <c r="X241" i="3"/>
  <c r="Y241" i="3"/>
  <c r="Z241" i="3"/>
  <c r="AA241" i="3"/>
  <c r="AB241" i="3"/>
  <c r="AC241" i="3"/>
  <c r="AD241" i="3"/>
  <c r="AE241" i="3"/>
  <c r="AF241" i="3"/>
  <c r="AG241" i="3"/>
  <c r="AH241" i="3"/>
  <c r="AI241" i="3"/>
  <c r="AJ241" i="3"/>
  <c r="B242" i="3"/>
  <c r="C242" i="3"/>
  <c r="D242" i="3"/>
  <c r="E242" i="3"/>
  <c r="F242" i="3"/>
  <c r="G242" i="3"/>
  <c r="H242" i="3"/>
  <c r="I242" i="3"/>
  <c r="J242" i="3"/>
  <c r="K242" i="3"/>
  <c r="L242" i="3"/>
  <c r="M242" i="3"/>
  <c r="N242" i="3"/>
  <c r="O242" i="3"/>
  <c r="P242" i="3"/>
  <c r="Q242" i="3"/>
  <c r="R242" i="3"/>
  <c r="S242" i="3"/>
  <c r="T242" i="3"/>
  <c r="U242" i="3"/>
  <c r="V242" i="3"/>
  <c r="W242" i="3"/>
  <c r="X242" i="3"/>
  <c r="Y242" i="3"/>
  <c r="Z242" i="3"/>
  <c r="AA242" i="3"/>
  <c r="AB242" i="3"/>
  <c r="AC242" i="3"/>
  <c r="AD242" i="3"/>
  <c r="AE242" i="3"/>
  <c r="AF242" i="3"/>
  <c r="AG242" i="3"/>
  <c r="AH242" i="3"/>
  <c r="AI242" i="3"/>
  <c r="AJ242" i="3"/>
  <c r="B243" i="3"/>
  <c r="C243" i="3"/>
  <c r="D243" i="3"/>
  <c r="E243" i="3"/>
  <c r="F243" i="3"/>
  <c r="G243" i="3"/>
  <c r="H243" i="3"/>
  <c r="I243" i="3"/>
  <c r="J243" i="3"/>
  <c r="K243" i="3"/>
  <c r="L243" i="3"/>
  <c r="M243" i="3"/>
  <c r="N243" i="3"/>
  <c r="O243" i="3"/>
  <c r="P243" i="3"/>
  <c r="Q243" i="3"/>
  <c r="R243" i="3"/>
  <c r="S243" i="3"/>
  <c r="T243" i="3"/>
  <c r="U243" i="3"/>
  <c r="V243" i="3"/>
  <c r="W243" i="3"/>
  <c r="X243" i="3"/>
  <c r="Y243" i="3"/>
  <c r="Z243" i="3"/>
  <c r="AA243" i="3"/>
  <c r="AB243" i="3"/>
  <c r="AC243" i="3"/>
  <c r="AD243" i="3"/>
  <c r="AE243" i="3"/>
  <c r="AF243" i="3"/>
  <c r="AG243" i="3"/>
  <c r="AH243" i="3"/>
  <c r="AI243" i="3"/>
  <c r="AJ243" i="3"/>
  <c r="B244" i="3"/>
  <c r="C244" i="3"/>
  <c r="D244" i="3"/>
  <c r="E244" i="3"/>
  <c r="F244" i="3"/>
  <c r="G244" i="3"/>
  <c r="H244" i="3"/>
  <c r="I244" i="3"/>
  <c r="J244" i="3"/>
  <c r="K244" i="3"/>
  <c r="L244" i="3"/>
  <c r="M244" i="3"/>
  <c r="N244" i="3"/>
  <c r="O244" i="3"/>
  <c r="P244" i="3"/>
  <c r="Q244" i="3"/>
  <c r="R244" i="3"/>
  <c r="S244" i="3"/>
  <c r="T244" i="3"/>
  <c r="U244" i="3"/>
  <c r="V244" i="3"/>
  <c r="W244" i="3"/>
  <c r="X244" i="3"/>
  <c r="Y244" i="3"/>
  <c r="Z244" i="3"/>
  <c r="AA244" i="3"/>
  <c r="AB244" i="3"/>
  <c r="AC244" i="3"/>
  <c r="AD244" i="3"/>
  <c r="AE244" i="3"/>
  <c r="AF244" i="3"/>
  <c r="AG244" i="3"/>
  <c r="AH244" i="3"/>
  <c r="AI244" i="3"/>
  <c r="AJ244" i="3"/>
  <c r="B245" i="3"/>
  <c r="C245" i="3"/>
  <c r="D245" i="3"/>
  <c r="E245" i="3"/>
  <c r="F245" i="3"/>
  <c r="G245" i="3"/>
  <c r="H245" i="3"/>
  <c r="I245" i="3"/>
  <c r="J245" i="3"/>
  <c r="K245" i="3"/>
  <c r="L245" i="3"/>
  <c r="M245" i="3"/>
  <c r="N245" i="3"/>
  <c r="O245" i="3"/>
  <c r="P245" i="3"/>
  <c r="Q245" i="3"/>
  <c r="R245" i="3"/>
  <c r="S245" i="3"/>
  <c r="T245" i="3"/>
  <c r="U245" i="3"/>
  <c r="V245" i="3"/>
  <c r="W245" i="3"/>
  <c r="X245" i="3"/>
  <c r="Y245" i="3"/>
  <c r="Z245" i="3"/>
  <c r="AA245" i="3"/>
  <c r="AB245" i="3"/>
  <c r="AC245" i="3"/>
  <c r="AD245" i="3"/>
  <c r="AE245" i="3"/>
  <c r="AF245" i="3"/>
  <c r="AG245" i="3"/>
  <c r="AH245" i="3"/>
  <c r="AI245" i="3"/>
  <c r="AJ245" i="3"/>
  <c r="B246" i="3"/>
  <c r="C246" i="3"/>
  <c r="D246" i="3"/>
  <c r="E246" i="3"/>
  <c r="F246" i="3"/>
  <c r="G246" i="3"/>
  <c r="H246" i="3"/>
  <c r="I246" i="3"/>
  <c r="J246" i="3"/>
  <c r="K246" i="3"/>
  <c r="L246" i="3"/>
  <c r="M246" i="3"/>
  <c r="N246" i="3"/>
  <c r="O246" i="3"/>
  <c r="P246" i="3"/>
  <c r="Q246" i="3"/>
  <c r="R246" i="3"/>
  <c r="S246" i="3"/>
  <c r="T246" i="3"/>
  <c r="U246" i="3"/>
  <c r="V246" i="3"/>
  <c r="W246" i="3"/>
  <c r="X246" i="3"/>
  <c r="Y246" i="3"/>
  <c r="Z246" i="3"/>
  <c r="AA246" i="3"/>
  <c r="AB246" i="3"/>
  <c r="AC246" i="3"/>
  <c r="AD246" i="3"/>
  <c r="AE246" i="3"/>
  <c r="AF246" i="3"/>
  <c r="AG246" i="3"/>
  <c r="AH246" i="3"/>
  <c r="AI246" i="3"/>
  <c r="AJ246" i="3"/>
  <c r="B247" i="3"/>
  <c r="C247" i="3"/>
  <c r="D247" i="3"/>
  <c r="E247" i="3"/>
  <c r="F247" i="3"/>
  <c r="G247" i="3"/>
  <c r="H247" i="3"/>
  <c r="I247" i="3"/>
  <c r="J247" i="3"/>
  <c r="K247" i="3"/>
  <c r="L247" i="3"/>
  <c r="M247" i="3"/>
  <c r="N247" i="3"/>
  <c r="O247" i="3"/>
  <c r="P247" i="3"/>
  <c r="Q247" i="3"/>
  <c r="R247" i="3"/>
  <c r="S247" i="3"/>
  <c r="T247" i="3"/>
  <c r="U247" i="3"/>
  <c r="V247" i="3"/>
  <c r="W247" i="3"/>
  <c r="X247" i="3"/>
  <c r="Y247" i="3"/>
  <c r="Z247" i="3"/>
  <c r="AA247" i="3"/>
  <c r="AB247" i="3"/>
  <c r="AC247" i="3"/>
  <c r="AD247" i="3"/>
  <c r="AE247" i="3"/>
  <c r="AF247" i="3"/>
  <c r="AG247" i="3"/>
  <c r="AH247" i="3"/>
  <c r="AI247" i="3"/>
  <c r="AJ247" i="3"/>
  <c r="B248" i="3"/>
  <c r="C248" i="3"/>
  <c r="D248" i="3"/>
  <c r="E248" i="3"/>
  <c r="F248" i="3"/>
  <c r="G248" i="3"/>
  <c r="H248" i="3"/>
  <c r="I248" i="3"/>
  <c r="J248" i="3"/>
  <c r="K248" i="3"/>
  <c r="L248" i="3"/>
  <c r="M248" i="3"/>
  <c r="N248" i="3"/>
  <c r="O248" i="3"/>
  <c r="P248" i="3"/>
  <c r="Q248" i="3"/>
  <c r="R248" i="3"/>
  <c r="S248" i="3"/>
  <c r="T248" i="3"/>
  <c r="U248" i="3"/>
  <c r="V248" i="3"/>
  <c r="W248" i="3"/>
  <c r="X248" i="3"/>
  <c r="Y248" i="3"/>
  <c r="Z248" i="3"/>
  <c r="AA248" i="3"/>
  <c r="AB248" i="3"/>
  <c r="AC248" i="3"/>
  <c r="AD248" i="3"/>
  <c r="AE248" i="3"/>
  <c r="AF248" i="3"/>
  <c r="AG248" i="3"/>
  <c r="AH248" i="3"/>
  <c r="AI248" i="3"/>
  <c r="AJ248" i="3"/>
  <c r="B249" i="3"/>
  <c r="C249" i="3"/>
  <c r="D249" i="3"/>
  <c r="E249" i="3"/>
  <c r="F249" i="3"/>
  <c r="G249" i="3"/>
  <c r="H249" i="3"/>
  <c r="I249" i="3"/>
  <c r="J249" i="3"/>
  <c r="K249" i="3"/>
  <c r="L249" i="3"/>
  <c r="M249" i="3"/>
  <c r="N249" i="3"/>
  <c r="O249" i="3"/>
  <c r="P249" i="3"/>
  <c r="Q249" i="3"/>
  <c r="R249" i="3"/>
  <c r="S249" i="3"/>
  <c r="T249" i="3"/>
  <c r="U249" i="3"/>
  <c r="V249" i="3"/>
  <c r="W249" i="3"/>
  <c r="X249" i="3"/>
  <c r="Y249" i="3"/>
  <c r="Z249" i="3"/>
  <c r="AA249" i="3"/>
  <c r="AB249" i="3"/>
  <c r="AC249" i="3"/>
  <c r="AD249" i="3"/>
  <c r="AE249" i="3"/>
  <c r="AF249" i="3"/>
  <c r="AG249" i="3"/>
  <c r="AH249" i="3"/>
  <c r="AI249" i="3"/>
  <c r="AJ249" i="3"/>
  <c r="B250" i="3"/>
  <c r="C250" i="3"/>
  <c r="D250" i="3"/>
  <c r="E250" i="3"/>
  <c r="F250" i="3"/>
  <c r="G250" i="3"/>
  <c r="H250" i="3"/>
  <c r="I250" i="3"/>
  <c r="J250" i="3"/>
  <c r="K250" i="3"/>
  <c r="L250" i="3"/>
  <c r="M250" i="3"/>
  <c r="N250" i="3"/>
  <c r="O250" i="3"/>
  <c r="P250" i="3"/>
  <c r="Q250" i="3"/>
  <c r="R250" i="3"/>
  <c r="S250" i="3"/>
  <c r="T250" i="3"/>
  <c r="U250" i="3"/>
  <c r="V250" i="3"/>
  <c r="W250" i="3"/>
  <c r="X250" i="3"/>
  <c r="Y250" i="3"/>
  <c r="Z250" i="3"/>
  <c r="AA250" i="3"/>
  <c r="AB250" i="3"/>
  <c r="AC250" i="3"/>
  <c r="AD250" i="3"/>
  <c r="AE250" i="3"/>
  <c r="AF250" i="3"/>
  <c r="AG250" i="3"/>
  <c r="AH250" i="3"/>
  <c r="AI250" i="3"/>
  <c r="AJ250" i="3"/>
  <c r="B251" i="3"/>
  <c r="C251" i="3"/>
  <c r="D251" i="3"/>
  <c r="E251" i="3"/>
  <c r="F251" i="3"/>
  <c r="G251" i="3"/>
  <c r="H251" i="3"/>
  <c r="I251" i="3"/>
  <c r="J251" i="3"/>
  <c r="K251" i="3"/>
  <c r="L251" i="3"/>
  <c r="M251" i="3"/>
  <c r="N251" i="3"/>
  <c r="O251" i="3"/>
  <c r="P251" i="3"/>
  <c r="Q251" i="3"/>
  <c r="R251" i="3"/>
  <c r="S251" i="3"/>
  <c r="T251" i="3"/>
  <c r="U251" i="3"/>
  <c r="V251" i="3"/>
  <c r="W251" i="3"/>
  <c r="X251" i="3"/>
  <c r="Y251" i="3"/>
  <c r="Z251" i="3"/>
  <c r="AA251" i="3"/>
  <c r="AB251" i="3"/>
  <c r="AC251" i="3"/>
  <c r="AD251" i="3"/>
  <c r="AE251" i="3"/>
  <c r="AF251" i="3"/>
  <c r="AG251" i="3"/>
  <c r="AH251" i="3"/>
  <c r="AI251" i="3"/>
  <c r="AJ251" i="3"/>
  <c r="B252" i="3"/>
  <c r="C252" i="3"/>
  <c r="D252" i="3"/>
  <c r="E252" i="3"/>
  <c r="F252" i="3"/>
  <c r="G252" i="3"/>
  <c r="H252" i="3"/>
  <c r="I252" i="3"/>
  <c r="J252" i="3"/>
  <c r="K252" i="3"/>
  <c r="L252" i="3"/>
  <c r="M252" i="3"/>
  <c r="N252" i="3"/>
  <c r="O252" i="3"/>
  <c r="P252" i="3"/>
  <c r="Q252" i="3"/>
  <c r="R252" i="3"/>
  <c r="S252" i="3"/>
  <c r="T252" i="3"/>
  <c r="U252" i="3"/>
  <c r="V252" i="3"/>
  <c r="W252" i="3"/>
  <c r="X252" i="3"/>
  <c r="Y252" i="3"/>
  <c r="Z252" i="3"/>
  <c r="AA252" i="3"/>
  <c r="AB252" i="3"/>
  <c r="AC252" i="3"/>
  <c r="AD252" i="3"/>
  <c r="AE252" i="3"/>
  <c r="AF252" i="3"/>
  <c r="AG252" i="3"/>
  <c r="AH252" i="3"/>
  <c r="AI252" i="3"/>
  <c r="AJ252" i="3"/>
  <c r="B253" i="3"/>
  <c r="C253" i="3"/>
  <c r="D253" i="3"/>
  <c r="E253" i="3"/>
  <c r="F253" i="3"/>
  <c r="G253" i="3"/>
  <c r="H253" i="3"/>
  <c r="I253" i="3"/>
  <c r="J253" i="3"/>
  <c r="K253" i="3"/>
  <c r="L253" i="3"/>
  <c r="M253" i="3"/>
  <c r="N253" i="3"/>
  <c r="O253" i="3"/>
  <c r="P253" i="3"/>
  <c r="Q253" i="3"/>
  <c r="R253" i="3"/>
  <c r="S253" i="3"/>
  <c r="T253" i="3"/>
  <c r="U253" i="3"/>
  <c r="V253" i="3"/>
  <c r="W253" i="3"/>
  <c r="X253" i="3"/>
  <c r="Y253" i="3"/>
  <c r="Z253" i="3"/>
  <c r="AA253" i="3"/>
  <c r="AB253" i="3"/>
  <c r="AC253" i="3"/>
  <c r="AD253" i="3"/>
  <c r="AE253" i="3"/>
  <c r="AF253" i="3"/>
  <c r="AG253" i="3"/>
  <c r="AH253" i="3"/>
  <c r="AI253" i="3"/>
  <c r="AJ253" i="3"/>
  <c r="B254" i="3"/>
  <c r="C254" i="3"/>
  <c r="D254" i="3"/>
  <c r="E254" i="3"/>
  <c r="F254" i="3"/>
  <c r="G254" i="3"/>
  <c r="H254" i="3"/>
  <c r="I254" i="3"/>
  <c r="J254" i="3"/>
  <c r="K254" i="3"/>
  <c r="L254" i="3"/>
  <c r="M254" i="3"/>
  <c r="N254" i="3"/>
  <c r="O254" i="3"/>
  <c r="P254" i="3"/>
  <c r="Q254" i="3"/>
  <c r="R254" i="3"/>
  <c r="S254" i="3"/>
  <c r="T254" i="3"/>
  <c r="U254" i="3"/>
  <c r="V254" i="3"/>
  <c r="W254" i="3"/>
  <c r="X254" i="3"/>
  <c r="Y254" i="3"/>
  <c r="Z254" i="3"/>
  <c r="AA254" i="3"/>
  <c r="AB254" i="3"/>
  <c r="AC254" i="3"/>
  <c r="AD254" i="3"/>
  <c r="AE254" i="3"/>
  <c r="AF254" i="3"/>
  <c r="AG254" i="3"/>
  <c r="AH254" i="3"/>
  <c r="AI254" i="3"/>
  <c r="AJ254" i="3"/>
  <c r="B255" i="3"/>
  <c r="C255" i="3"/>
  <c r="D255" i="3"/>
  <c r="E255" i="3"/>
  <c r="F255" i="3"/>
  <c r="G255" i="3"/>
  <c r="H255" i="3"/>
  <c r="I255" i="3"/>
  <c r="J255" i="3"/>
  <c r="K255" i="3"/>
  <c r="L255" i="3"/>
  <c r="M255" i="3"/>
  <c r="N255" i="3"/>
  <c r="O255" i="3"/>
  <c r="P255" i="3"/>
  <c r="Q255" i="3"/>
  <c r="R255" i="3"/>
  <c r="S255" i="3"/>
  <c r="T255" i="3"/>
  <c r="U255" i="3"/>
  <c r="V255" i="3"/>
  <c r="W255" i="3"/>
  <c r="X255" i="3"/>
  <c r="Y255" i="3"/>
  <c r="Z255" i="3"/>
  <c r="AA255" i="3"/>
  <c r="AB255" i="3"/>
  <c r="AC255" i="3"/>
  <c r="AD255" i="3"/>
  <c r="AE255" i="3"/>
  <c r="AF255" i="3"/>
  <c r="AG255" i="3"/>
  <c r="AH255" i="3"/>
  <c r="AI255" i="3"/>
  <c r="AJ255" i="3"/>
  <c r="B256" i="3"/>
  <c r="C256" i="3"/>
  <c r="D256" i="3"/>
  <c r="E256" i="3"/>
  <c r="F256" i="3"/>
  <c r="G256" i="3"/>
  <c r="H256" i="3"/>
  <c r="I256" i="3"/>
  <c r="J256" i="3"/>
  <c r="K256" i="3"/>
  <c r="L256" i="3"/>
  <c r="M256" i="3"/>
  <c r="N256" i="3"/>
  <c r="O256" i="3"/>
  <c r="P256" i="3"/>
  <c r="Q256" i="3"/>
  <c r="R256" i="3"/>
  <c r="S256" i="3"/>
  <c r="T256" i="3"/>
  <c r="U256" i="3"/>
  <c r="V256" i="3"/>
  <c r="W256" i="3"/>
  <c r="X256" i="3"/>
  <c r="Y256" i="3"/>
  <c r="Z256" i="3"/>
  <c r="AA256" i="3"/>
  <c r="AB256" i="3"/>
  <c r="AC256" i="3"/>
  <c r="AD256" i="3"/>
  <c r="AE256" i="3"/>
  <c r="AF256" i="3"/>
  <c r="AG256" i="3"/>
  <c r="AH256" i="3"/>
  <c r="AI256" i="3"/>
  <c r="AJ256" i="3"/>
  <c r="B257" i="3"/>
  <c r="C257" i="3"/>
  <c r="D257" i="3"/>
  <c r="E257" i="3"/>
  <c r="F257" i="3"/>
  <c r="G257" i="3"/>
  <c r="H257" i="3"/>
  <c r="I257" i="3"/>
  <c r="J257" i="3"/>
  <c r="K257" i="3"/>
  <c r="L257" i="3"/>
  <c r="M257" i="3"/>
  <c r="N257" i="3"/>
  <c r="O257" i="3"/>
  <c r="P257" i="3"/>
  <c r="Q257" i="3"/>
  <c r="R257" i="3"/>
  <c r="S257" i="3"/>
  <c r="T257" i="3"/>
  <c r="U257" i="3"/>
  <c r="V257" i="3"/>
  <c r="W257" i="3"/>
  <c r="X257" i="3"/>
  <c r="Y257" i="3"/>
  <c r="Z257" i="3"/>
  <c r="AA257" i="3"/>
  <c r="AB257" i="3"/>
  <c r="AC257" i="3"/>
  <c r="AD257" i="3"/>
  <c r="AE257" i="3"/>
  <c r="AF257" i="3"/>
  <c r="AG257" i="3"/>
  <c r="AH257" i="3"/>
  <c r="AI257" i="3"/>
  <c r="AJ257" i="3"/>
  <c r="B258" i="3"/>
  <c r="C258" i="3"/>
  <c r="D258" i="3"/>
  <c r="E258" i="3"/>
  <c r="F258" i="3"/>
  <c r="G258" i="3"/>
  <c r="H258" i="3"/>
  <c r="I258" i="3"/>
  <c r="J258" i="3"/>
  <c r="K258" i="3"/>
  <c r="L258" i="3"/>
  <c r="M258" i="3"/>
  <c r="N258" i="3"/>
  <c r="O258" i="3"/>
  <c r="P258" i="3"/>
  <c r="Q258" i="3"/>
  <c r="R258" i="3"/>
  <c r="S258" i="3"/>
  <c r="T258" i="3"/>
  <c r="U258" i="3"/>
  <c r="V258" i="3"/>
  <c r="W258" i="3"/>
  <c r="X258" i="3"/>
  <c r="Y258" i="3"/>
  <c r="Z258" i="3"/>
  <c r="AA258" i="3"/>
  <c r="AB258" i="3"/>
  <c r="AC258" i="3"/>
  <c r="AD258" i="3"/>
  <c r="AE258" i="3"/>
  <c r="AF258" i="3"/>
  <c r="AG258" i="3"/>
  <c r="AH258" i="3"/>
  <c r="AI258" i="3"/>
  <c r="AJ258" i="3"/>
  <c r="B259" i="3"/>
  <c r="C259" i="3"/>
  <c r="D259" i="3"/>
  <c r="E259" i="3"/>
  <c r="F259" i="3"/>
  <c r="G259" i="3"/>
  <c r="H259" i="3"/>
  <c r="I259" i="3"/>
  <c r="J259" i="3"/>
  <c r="K259" i="3"/>
  <c r="L259" i="3"/>
  <c r="M259" i="3"/>
  <c r="N259" i="3"/>
  <c r="O259" i="3"/>
  <c r="P259" i="3"/>
  <c r="Q259" i="3"/>
  <c r="R259" i="3"/>
  <c r="S259" i="3"/>
  <c r="T259" i="3"/>
  <c r="U259" i="3"/>
  <c r="V259" i="3"/>
  <c r="W259" i="3"/>
  <c r="X259" i="3"/>
  <c r="Y259" i="3"/>
  <c r="Z259" i="3"/>
  <c r="AA259" i="3"/>
  <c r="AB259" i="3"/>
  <c r="AC259" i="3"/>
  <c r="AD259" i="3"/>
  <c r="AE259" i="3"/>
  <c r="AF259" i="3"/>
  <c r="AG259" i="3"/>
  <c r="AH259" i="3"/>
  <c r="AI259" i="3"/>
  <c r="AJ259" i="3"/>
  <c r="B260" i="3"/>
  <c r="C260" i="3"/>
  <c r="D260" i="3"/>
  <c r="E260" i="3"/>
  <c r="F260" i="3"/>
  <c r="G260" i="3"/>
  <c r="H260" i="3"/>
  <c r="I260" i="3"/>
  <c r="J260" i="3"/>
  <c r="K260"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B261" i="3"/>
  <c r="C261" i="3"/>
  <c r="D261" i="3"/>
  <c r="E261" i="3"/>
  <c r="F261" i="3"/>
  <c r="G261" i="3"/>
  <c r="H261" i="3"/>
  <c r="I261" i="3"/>
  <c r="J261" i="3"/>
  <c r="K261" i="3"/>
  <c r="L261" i="3"/>
  <c r="M261" i="3"/>
  <c r="N261" i="3"/>
  <c r="O261" i="3"/>
  <c r="P261" i="3"/>
  <c r="Q261" i="3"/>
  <c r="R261" i="3"/>
  <c r="S261" i="3"/>
  <c r="T261" i="3"/>
  <c r="U261" i="3"/>
  <c r="V261" i="3"/>
  <c r="W261" i="3"/>
  <c r="X261" i="3"/>
  <c r="Y261" i="3"/>
  <c r="Z261" i="3"/>
  <c r="AA261" i="3"/>
  <c r="AB261" i="3"/>
  <c r="AC261" i="3"/>
  <c r="AD261" i="3"/>
  <c r="AE261" i="3"/>
  <c r="AF261" i="3"/>
  <c r="AG261" i="3"/>
  <c r="AH261" i="3"/>
  <c r="AI261" i="3"/>
  <c r="AJ261" i="3"/>
  <c r="B262" i="3"/>
  <c r="C262" i="3"/>
  <c r="D262" i="3"/>
  <c r="E262" i="3"/>
  <c r="F262" i="3"/>
  <c r="G262" i="3"/>
  <c r="H262" i="3"/>
  <c r="I262" i="3"/>
  <c r="J262" i="3"/>
  <c r="K262" i="3"/>
  <c r="L262" i="3"/>
  <c r="M262" i="3"/>
  <c r="N262" i="3"/>
  <c r="O262" i="3"/>
  <c r="P262" i="3"/>
  <c r="Q262" i="3"/>
  <c r="R262" i="3"/>
  <c r="S262" i="3"/>
  <c r="T262" i="3"/>
  <c r="U262" i="3"/>
  <c r="V262" i="3"/>
  <c r="W262" i="3"/>
  <c r="X262" i="3"/>
  <c r="Y262" i="3"/>
  <c r="Z262" i="3"/>
  <c r="AA262" i="3"/>
  <c r="AB262" i="3"/>
  <c r="AC262" i="3"/>
  <c r="AD262" i="3"/>
  <c r="AE262" i="3"/>
  <c r="AF262" i="3"/>
  <c r="AG262" i="3"/>
  <c r="AH262" i="3"/>
  <c r="AI262" i="3"/>
  <c r="AJ262" i="3"/>
  <c r="B263" i="3"/>
  <c r="C263" i="3"/>
  <c r="D263" i="3"/>
  <c r="E263" i="3"/>
  <c r="F263" i="3"/>
  <c r="G263" i="3"/>
  <c r="H263" i="3"/>
  <c r="I263" i="3"/>
  <c r="J263" i="3"/>
  <c r="K263" i="3"/>
  <c r="L263" i="3"/>
  <c r="M263" i="3"/>
  <c r="N263" i="3"/>
  <c r="O263" i="3"/>
  <c r="P263" i="3"/>
  <c r="Q263" i="3"/>
  <c r="R263" i="3"/>
  <c r="S263" i="3"/>
  <c r="T263" i="3"/>
  <c r="U263" i="3"/>
  <c r="V263" i="3"/>
  <c r="W263" i="3"/>
  <c r="X263" i="3"/>
  <c r="Y263" i="3"/>
  <c r="Z263" i="3"/>
  <c r="AA263" i="3"/>
  <c r="AB263" i="3"/>
  <c r="AC263" i="3"/>
  <c r="AD263" i="3"/>
  <c r="AE263" i="3"/>
  <c r="AF263" i="3"/>
  <c r="AG263" i="3"/>
  <c r="AH263" i="3"/>
  <c r="AI263" i="3"/>
  <c r="AJ263" i="3"/>
  <c r="B264" i="3"/>
  <c r="C264" i="3"/>
  <c r="D264" i="3"/>
  <c r="E264" i="3"/>
  <c r="F264" i="3"/>
  <c r="G264" i="3"/>
  <c r="H264" i="3"/>
  <c r="I264" i="3"/>
  <c r="J264" i="3"/>
  <c r="K264" i="3"/>
  <c r="L264" i="3"/>
  <c r="M264" i="3"/>
  <c r="N264" i="3"/>
  <c r="O264" i="3"/>
  <c r="P264" i="3"/>
  <c r="Q264" i="3"/>
  <c r="R264" i="3"/>
  <c r="S264" i="3"/>
  <c r="T264" i="3"/>
  <c r="U264" i="3"/>
  <c r="V264" i="3"/>
  <c r="W264" i="3"/>
  <c r="X264" i="3"/>
  <c r="Y264" i="3"/>
  <c r="Z264" i="3"/>
  <c r="AA264" i="3"/>
  <c r="AB264" i="3"/>
  <c r="AC264" i="3"/>
  <c r="AD264" i="3"/>
  <c r="AE264" i="3"/>
  <c r="AF264" i="3"/>
  <c r="AG264" i="3"/>
  <c r="AH264" i="3"/>
  <c r="AI264" i="3"/>
  <c r="AJ264" i="3"/>
  <c r="B265" i="3"/>
  <c r="C265" i="3"/>
  <c r="D265" i="3"/>
  <c r="E265" i="3"/>
  <c r="F265" i="3"/>
  <c r="G265" i="3"/>
  <c r="H265" i="3"/>
  <c r="I265" i="3"/>
  <c r="J265" i="3"/>
  <c r="K265" i="3"/>
  <c r="L265" i="3"/>
  <c r="M265" i="3"/>
  <c r="N265" i="3"/>
  <c r="O265" i="3"/>
  <c r="P265" i="3"/>
  <c r="Q265" i="3"/>
  <c r="R265" i="3"/>
  <c r="S265" i="3"/>
  <c r="T265" i="3"/>
  <c r="U265" i="3"/>
  <c r="V265" i="3"/>
  <c r="W265" i="3"/>
  <c r="X265" i="3"/>
  <c r="Y265" i="3"/>
  <c r="Z265" i="3"/>
  <c r="AA265" i="3"/>
  <c r="AB265" i="3"/>
  <c r="AC265" i="3"/>
  <c r="AD265" i="3"/>
  <c r="AE265" i="3"/>
  <c r="AF265" i="3"/>
  <c r="AG265" i="3"/>
  <c r="AH265" i="3"/>
  <c r="AI265" i="3"/>
  <c r="AJ265" i="3"/>
  <c r="B266" i="3"/>
  <c r="C266" i="3"/>
  <c r="D266" i="3"/>
  <c r="E266" i="3"/>
  <c r="F266" i="3"/>
  <c r="G266" i="3"/>
  <c r="H266" i="3"/>
  <c r="I266" i="3"/>
  <c r="J266" i="3"/>
  <c r="K266" i="3"/>
  <c r="L266" i="3"/>
  <c r="M266" i="3"/>
  <c r="N266" i="3"/>
  <c r="O266" i="3"/>
  <c r="P266" i="3"/>
  <c r="Q266" i="3"/>
  <c r="R266" i="3"/>
  <c r="S266" i="3"/>
  <c r="T266" i="3"/>
  <c r="U266" i="3"/>
  <c r="V266" i="3"/>
  <c r="W266" i="3"/>
  <c r="X266" i="3"/>
  <c r="Y266" i="3"/>
  <c r="Z266" i="3"/>
  <c r="AA266" i="3"/>
  <c r="AB266" i="3"/>
  <c r="AC266" i="3"/>
  <c r="AD266" i="3"/>
  <c r="AE266" i="3"/>
  <c r="AF266" i="3"/>
  <c r="AG266" i="3"/>
  <c r="AH266" i="3"/>
  <c r="AI266" i="3"/>
  <c r="AJ266" i="3"/>
  <c r="B267" i="3"/>
  <c r="C267" i="3"/>
  <c r="D267" i="3"/>
  <c r="E267" i="3"/>
  <c r="F267" i="3"/>
  <c r="G267" i="3"/>
  <c r="H267" i="3"/>
  <c r="I267" i="3"/>
  <c r="J267" i="3"/>
  <c r="K267" i="3"/>
  <c r="L267" i="3"/>
  <c r="M267" i="3"/>
  <c r="N267" i="3"/>
  <c r="O267" i="3"/>
  <c r="P267" i="3"/>
  <c r="Q267" i="3"/>
  <c r="R267" i="3"/>
  <c r="S267" i="3"/>
  <c r="T267" i="3"/>
  <c r="U267" i="3"/>
  <c r="V267" i="3"/>
  <c r="W267" i="3"/>
  <c r="X267" i="3"/>
  <c r="Y267" i="3"/>
  <c r="Z267" i="3"/>
  <c r="AA267" i="3"/>
  <c r="AB267" i="3"/>
  <c r="AC267" i="3"/>
  <c r="AD267" i="3"/>
  <c r="AE267" i="3"/>
  <c r="AF267" i="3"/>
  <c r="AG267" i="3"/>
  <c r="AH267" i="3"/>
  <c r="AI267" i="3"/>
  <c r="AJ267" i="3"/>
  <c r="B268" i="3"/>
  <c r="C268" i="3"/>
  <c r="D268" i="3"/>
  <c r="E268" i="3"/>
  <c r="F268" i="3"/>
  <c r="G268" i="3"/>
  <c r="H268" i="3"/>
  <c r="I268" i="3"/>
  <c r="J268" i="3"/>
  <c r="K268" i="3"/>
  <c r="L268" i="3"/>
  <c r="M268" i="3"/>
  <c r="N268" i="3"/>
  <c r="O268" i="3"/>
  <c r="P268" i="3"/>
  <c r="Q268" i="3"/>
  <c r="R268" i="3"/>
  <c r="S268" i="3"/>
  <c r="T268" i="3"/>
  <c r="U268" i="3"/>
  <c r="V268" i="3"/>
  <c r="W268" i="3"/>
  <c r="X268" i="3"/>
  <c r="Y268" i="3"/>
  <c r="Z268" i="3"/>
  <c r="AA268" i="3"/>
  <c r="AB268" i="3"/>
  <c r="AC268" i="3"/>
  <c r="AD268" i="3"/>
  <c r="AE268" i="3"/>
  <c r="AF268" i="3"/>
  <c r="AG268" i="3"/>
  <c r="AH268" i="3"/>
  <c r="AI268" i="3"/>
  <c r="AJ268" i="3"/>
  <c r="B269" i="3"/>
  <c r="C269" i="3"/>
  <c r="D269" i="3"/>
  <c r="E269" i="3"/>
  <c r="F269" i="3"/>
  <c r="G269" i="3"/>
  <c r="H269" i="3"/>
  <c r="I269" i="3"/>
  <c r="J269" i="3"/>
  <c r="K269" i="3"/>
  <c r="L269" i="3"/>
  <c r="M269" i="3"/>
  <c r="N269" i="3"/>
  <c r="O269" i="3"/>
  <c r="P269" i="3"/>
  <c r="Q269" i="3"/>
  <c r="R269" i="3"/>
  <c r="S269" i="3"/>
  <c r="T269" i="3"/>
  <c r="U269" i="3"/>
  <c r="V269" i="3"/>
  <c r="W269" i="3"/>
  <c r="X269" i="3"/>
  <c r="Y269" i="3"/>
  <c r="Z269" i="3"/>
  <c r="AA269" i="3"/>
  <c r="AB269" i="3"/>
  <c r="AC269" i="3"/>
  <c r="AD269" i="3"/>
  <c r="AE269" i="3"/>
  <c r="AF269" i="3"/>
  <c r="AG269" i="3"/>
  <c r="AH269" i="3"/>
  <c r="AI269" i="3"/>
  <c r="AJ269" i="3"/>
  <c r="B270" i="3"/>
  <c r="C270" i="3"/>
  <c r="D270" i="3"/>
  <c r="E270" i="3"/>
  <c r="F270" i="3"/>
  <c r="G270" i="3"/>
  <c r="H270" i="3"/>
  <c r="I270" i="3"/>
  <c r="J270" i="3"/>
  <c r="K270" i="3"/>
  <c r="L270" i="3"/>
  <c r="M270" i="3"/>
  <c r="N270" i="3"/>
  <c r="O270" i="3"/>
  <c r="P270" i="3"/>
  <c r="Q270" i="3"/>
  <c r="R270" i="3"/>
  <c r="S270" i="3"/>
  <c r="T270" i="3"/>
  <c r="U270" i="3"/>
  <c r="V270" i="3"/>
  <c r="W270" i="3"/>
  <c r="X270" i="3"/>
  <c r="Y270" i="3"/>
  <c r="Z270" i="3"/>
  <c r="AA270" i="3"/>
  <c r="AB270" i="3"/>
  <c r="AC270" i="3"/>
  <c r="AD270" i="3"/>
  <c r="AE270" i="3"/>
  <c r="AF270" i="3"/>
  <c r="AG270" i="3"/>
  <c r="AH270" i="3"/>
  <c r="AI270" i="3"/>
  <c r="AJ270" i="3"/>
  <c r="B271" i="3"/>
  <c r="C271" i="3"/>
  <c r="D271" i="3"/>
  <c r="E271" i="3"/>
  <c r="F271" i="3"/>
  <c r="G271" i="3"/>
  <c r="H271" i="3"/>
  <c r="I271" i="3"/>
  <c r="J271" i="3"/>
  <c r="K271" i="3"/>
  <c r="L271" i="3"/>
  <c r="M271" i="3"/>
  <c r="N271" i="3"/>
  <c r="O271" i="3"/>
  <c r="P271" i="3"/>
  <c r="Q271" i="3"/>
  <c r="R271" i="3"/>
  <c r="S271" i="3"/>
  <c r="T271" i="3"/>
  <c r="U271" i="3"/>
  <c r="V271" i="3"/>
  <c r="W271" i="3"/>
  <c r="X271" i="3"/>
  <c r="Y271" i="3"/>
  <c r="Z271" i="3"/>
  <c r="AA271" i="3"/>
  <c r="AB271" i="3"/>
  <c r="AC271" i="3"/>
  <c r="AD271" i="3"/>
  <c r="AE271" i="3"/>
  <c r="AF271" i="3"/>
  <c r="AG271" i="3"/>
  <c r="AH271" i="3"/>
  <c r="AI271" i="3"/>
  <c r="AJ271" i="3"/>
  <c r="B272" i="3"/>
  <c r="C272" i="3"/>
  <c r="D272" i="3"/>
  <c r="E272" i="3"/>
  <c r="F272" i="3"/>
  <c r="G272" i="3"/>
  <c r="H272" i="3"/>
  <c r="I272" i="3"/>
  <c r="J272" i="3"/>
  <c r="K272" i="3"/>
  <c r="L272" i="3"/>
  <c r="M272" i="3"/>
  <c r="N272" i="3"/>
  <c r="O272" i="3"/>
  <c r="P272" i="3"/>
  <c r="Q272" i="3"/>
  <c r="R272" i="3"/>
  <c r="S272" i="3"/>
  <c r="T272" i="3"/>
  <c r="U272" i="3"/>
  <c r="V272" i="3"/>
  <c r="W272" i="3"/>
  <c r="X272" i="3"/>
  <c r="Y272" i="3"/>
  <c r="Z272" i="3"/>
  <c r="AA272" i="3"/>
  <c r="AB272" i="3"/>
  <c r="AC272" i="3"/>
  <c r="AD272" i="3"/>
  <c r="AE272" i="3"/>
  <c r="AF272" i="3"/>
  <c r="AG272" i="3"/>
  <c r="AH272" i="3"/>
  <c r="AI272" i="3"/>
  <c r="AJ272" i="3"/>
  <c r="B273" i="3"/>
  <c r="C273" i="3"/>
  <c r="D273" i="3"/>
  <c r="E273" i="3"/>
  <c r="F273" i="3"/>
  <c r="G273" i="3"/>
  <c r="H273" i="3"/>
  <c r="I273" i="3"/>
  <c r="J273" i="3"/>
  <c r="K273" i="3"/>
  <c r="L273" i="3"/>
  <c r="M273" i="3"/>
  <c r="N273" i="3"/>
  <c r="O273" i="3"/>
  <c r="P273" i="3"/>
  <c r="Q273" i="3"/>
  <c r="R273" i="3"/>
  <c r="S273" i="3"/>
  <c r="T273" i="3"/>
  <c r="U273" i="3"/>
  <c r="V273" i="3"/>
  <c r="W273" i="3"/>
  <c r="X273" i="3"/>
  <c r="Y273" i="3"/>
  <c r="Z273" i="3"/>
  <c r="AA273" i="3"/>
  <c r="AB273" i="3"/>
  <c r="AC273" i="3"/>
  <c r="AD273" i="3"/>
  <c r="AE273" i="3"/>
  <c r="AF273" i="3"/>
  <c r="AG273" i="3"/>
  <c r="AH273" i="3"/>
  <c r="AI273" i="3"/>
  <c r="AJ273" i="3"/>
  <c r="B274" i="3"/>
  <c r="C274" i="3"/>
  <c r="D274" i="3"/>
  <c r="E274" i="3"/>
  <c r="F274" i="3"/>
  <c r="G274" i="3"/>
  <c r="H274" i="3"/>
  <c r="I274" i="3"/>
  <c r="J274" i="3"/>
  <c r="K274" i="3"/>
  <c r="L274" i="3"/>
  <c r="M274" i="3"/>
  <c r="N274" i="3"/>
  <c r="O274" i="3"/>
  <c r="P274" i="3"/>
  <c r="Q274" i="3"/>
  <c r="R274" i="3"/>
  <c r="S274" i="3"/>
  <c r="T274" i="3"/>
  <c r="U274" i="3"/>
  <c r="V274" i="3"/>
  <c r="W274" i="3"/>
  <c r="X274" i="3"/>
  <c r="Y274" i="3"/>
  <c r="Z274" i="3"/>
  <c r="AA274" i="3"/>
  <c r="AB274" i="3"/>
  <c r="AC274" i="3"/>
  <c r="AD274" i="3"/>
  <c r="AE274" i="3"/>
  <c r="AF274" i="3"/>
  <c r="AG274" i="3"/>
  <c r="AH274" i="3"/>
  <c r="AI274" i="3"/>
  <c r="AJ274" i="3"/>
  <c r="B275" i="3"/>
  <c r="C275" i="3"/>
  <c r="D275" i="3"/>
  <c r="E275" i="3"/>
  <c r="F275" i="3"/>
  <c r="G275" i="3"/>
  <c r="H275" i="3"/>
  <c r="I275" i="3"/>
  <c r="J275" i="3"/>
  <c r="K275" i="3"/>
  <c r="L275" i="3"/>
  <c r="M275" i="3"/>
  <c r="N275" i="3"/>
  <c r="O275" i="3"/>
  <c r="P275" i="3"/>
  <c r="Q275" i="3"/>
  <c r="R275" i="3"/>
  <c r="S275" i="3"/>
  <c r="T275" i="3"/>
  <c r="U275" i="3"/>
  <c r="V275" i="3"/>
  <c r="W275" i="3"/>
  <c r="X275" i="3"/>
  <c r="Y275" i="3"/>
  <c r="Z275" i="3"/>
  <c r="AA275" i="3"/>
  <c r="AB275" i="3"/>
  <c r="AC275" i="3"/>
  <c r="AD275" i="3"/>
  <c r="AE275" i="3"/>
  <c r="AF275" i="3"/>
  <c r="AG275" i="3"/>
  <c r="AH275" i="3"/>
  <c r="AI275" i="3"/>
  <c r="AJ275" i="3"/>
  <c r="B276" i="3"/>
  <c r="C276" i="3"/>
  <c r="D276" i="3"/>
  <c r="E276" i="3"/>
  <c r="F276" i="3"/>
  <c r="G276" i="3"/>
  <c r="H276" i="3"/>
  <c r="I276" i="3"/>
  <c r="J276" i="3"/>
  <c r="K276" i="3"/>
  <c r="L276" i="3"/>
  <c r="M276" i="3"/>
  <c r="N276" i="3"/>
  <c r="O276" i="3"/>
  <c r="P276" i="3"/>
  <c r="Q276" i="3"/>
  <c r="R276" i="3"/>
  <c r="S276" i="3"/>
  <c r="T276" i="3"/>
  <c r="U276" i="3"/>
  <c r="V276" i="3"/>
  <c r="W276" i="3"/>
  <c r="X276" i="3"/>
  <c r="Y276" i="3"/>
  <c r="Z276" i="3"/>
  <c r="AA276" i="3"/>
  <c r="AB276" i="3"/>
  <c r="AC276" i="3"/>
  <c r="AD276" i="3"/>
  <c r="AE276" i="3"/>
  <c r="AF276" i="3"/>
  <c r="AG276" i="3"/>
  <c r="AH276" i="3"/>
  <c r="AI276" i="3"/>
  <c r="AJ276" i="3"/>
  <c r="B277" i="3"/>
  <c r="C277" i="3"/>
  <c r="D277" i="3"/>
  <c r="E277" i="3"/>
  <c r="F277" i="3"/>
  <c r="G277" i="3"/>
  <c r="H277" i="3"/>
  <c r="I277" i="3"/>
  <c r="J277" i="3"/>
  <c r="K277" i="3"/>
  <c r="L277" i="3"/>
  <c r="M277" i="3"/>
  <c r="N277" i="3"/>
  <c r="O277" i="3"/>
  <c r="P277" i="3"/>
  <c r="Q277" i="3"/>
  <c r="R277" i="3"/>
  <c r="S277" i="3"/>
  <c r="T277" i="3"/>
  <c r="U277" i="3"/>
  <c r="V277" i="3"/>
  <c r="W277" i="3"/>
  <c r="X277" i="3"/>
  <c r="Y277" i="3"/>
  <c r="Z277" i="3"/>
  <c r="AA277" i="3"/>
  <c r="AB277" i="3"/>
  <c r="AC277" i="3"/>
  <c r="AD277" i="3"/>
  <c r="AE277" i="3"/>
  <c r="AF277" i="3"/>
  <c r="AG277" i="3"/>
  <c r="AH277" i="3"/>
  <c r="AI277" i="3"/>
  <c r="AJ277" i="3"/>
  <c r="B278" i="3"/>
  <c r="C278" i="3"/>
  <c r="D278" i="3"/>
  <c r="E278" i="3"/>
  <c r="F278" i="3"/>
  <c r="G278" i="3"/>
  <c r="H278" i="3"/>
  <c r="I278" i="3"/>
  <c r="J278" i="3"/>
  <c r="K278" i="3"/>
  <c r="L278" i="3"/>
  <c r="M278" i="3"/>
  <c r="N278" i="3"/>
  <c r="O278" i="3"/>
  <c r="P278" i="3"/>
  <c r="Q278" i="3"/>
  <c r="R278" i="3"/>
  <c r="S278" i="3"/>
  <c r="T278" i="3"/>
  <c r="U278" i="3"/>
  <c r="V278" i="3"/>
  <c r="W278" i="3"/>
  <c r="X278" i="3"/>
  <c r="Y278" i="3"/>
  <c r="Z278" i="3"/>
  <c r="AA278" i="3"/>
  <c r="AB278" i="3"/>
  <c r="AC278" i="3"/>
  <c r="AD278" i="3"/>
  <c r="AE278" i="3"/>
  <c r="AF278" i="3"/>
  <c r="AG278" i="3"/>
  <c r="AH278" i="3"/>
  <c r="AI278" i="3"/>
  <c r="AJ278" i="3"/>
  <c r="B279" i="3"/>
  <c r="C279" i="3"/>
  <c r="D279" i="3"/>
  <c r="E279" i="3"/>
  <c r="F279" i="3"/>
  <c r="G279" i="3"/>
  <c r="H279" i="3"/>
  <c r="I279" i="3"/>
  <c r="J279" i="3"/>
  <c r="K279" i="3"/>
  <c r="L279" i="3"/>
  <c r="M279" i="3"/>
  <c r="N279" i="3"/>
  <c r="O279" i="3"/>
  <c r="P279" i="3"/>
  <c r="Q279" i="3"/>
  <c r="R279" i="3"/>
  <c r="S279" i="3"/>
  <c r="T279" i="3"/>
  <c r="U279" i="3"/>
  <c r="V279" i="3"/>
  <c r="W279" i="3"/>
  <c r="X279" i="3"/>
  <c r="Y279" i="3"/>
  <c r="Z279" i="3"/>
  <c r="AA279" i="3"/>
  <c r="AB279" i="3"/>
  <c r="AC279" i="3"/>
  <c r="AD279" i="3"/>
  <c r="AE279" i="3"/>
  <c r="AF279" i="3"/>
  <c r="AG279" i="3"/>
  <c r="AH279" i="3"/>
  <c r="AI279" i="3"/>
  <c r="AJ279" i="3"/>
  <c r="B280" i="3"/>
  <c r="C280" i="3"/>
  <c r="D280" i="3"/>
  <c r="E280" i="3"/>
  <c r="F280" i="3"/>
  <c r="G280" i="3"/>
  <c r="H280" i="3"/>
  <c r="I280" i="3"/>
  <c r="J280" i="3"/>
  <c r="K280" i="3"/>
  <c r="L280" i="3"/>
  <c r="M280" i="3"/>
  <c r="N280" i="3"/>
  <c r="O280" i="3"/>
  <c r="P280" i="3"/>
  <c r="Q280" i="3"/>
  <c r="R280" i="3"/>
  <c r="S280" i="3"/>
  <c r="T280" i="3"/>
  <c r="U280" i="3"/>
  <c r="V280" i="3"/>
  <c r="W280" i="3"/>
  <c r="X280" i="3"/>
  <c r="Y280" i="3"/>
  <c r="Z280" i="3"/>
  <c r="AA280" i="3"/>
  <c r="AB280" i="3"/>
  <c r="AC280" i="3"/>
  <c r="AD280" i="3"/>
  <c r="AE280" i="3"/>
  <c r="AF280" i="3"/>
  <c r="AG280" i="3"/>
  <c r="AH280" i="3"/>
  <c r="AI280" i="3"/>
  <c r="AJ280" i="3"/>
  <c r="B281" i="3"/>
  <c r="C281" i="3"/>
  <c r="D281" i="3"/>
  <c r="E281" i="3"/>
  <c r="F281" i="3"/>
  <c r="G281" i="3"/>
  <c r="H281" i="3"/>
  <c r="I281" i="3"/>
  <c r="J281" i="3"/>
  <c r="K281" i="3"/>
  <c r="L281" i="3"/>
  <c r="M281" i="3"/>
  <c r="N281" i="3"/>
  <c r="O281" i="3"/>
  <c r="P281" i="3"/>
  <c r="Q281" i="3"/>
  <c r="R281" i="3"/>
  <c r="S281" i="3"/>
  <c r="T281" i="3"/>
  <c r="U281" i="3"/>
  <c r="V281" i="3"/>
  <c r="W281" i="3"/>
  <c r="X281" i="3"/>
  <c r="Y281" i="3"/>
  <c r="Z281" i="3"/>
  <c r="AA281" i="3"/>
  <c r="AB281" i="3"/>
  <c r="AC281" i="3"/>
  <c r="AD281" i="3"/>
  <c r="AE281" i="3"/>
  <c r="AF281" i="3"/>
  <c r="AG281" i="3"/>
  <c r="AH281" i="3"/>
  <c r="AI281" i="3"/>
  <c r="AJ281" i="3"/>
  <c r="B282" i="3"/>
  <c r="C282" i="3"/>
  <c r="D282" i="3"/>
  <c r="E282" i="3"/>
  <c r="F282" i="3"/>
  <c r="G282" i="3"/>
  <c r="H282" i="3"/>
  <c r="I282" i="3"/>
  <c r="J282" i="3"/>
  <c r="K282" i="3"/>
  <c r="L282" i="3"/>
  <c r="M282" i="3"/>
  <c r="N282" i="3"/>
  <c r="O282" i="3"/>
  <c r="P282" i="3"/>
  <c r="Q282" i="3"/>
  <c r="R282" i="3"/>
  <c r="S282" i="3"/>
  <c r="T282" i="3"/>
  <c r="U282" i="3"/>
  <c r="V282" i="3"/>
  <c r="W282" i="3"/>
  <c r="X282" i="3"/>
  <c r="Y282" i="3"/>
  <c r="Z282" i="3"/>
  <c r="AA282" i="3"/>
  <c r="AB282" i="3"/>
  <c r="AC282" i="3"/>
  <c r="AD282" i="3"/>
  <c r="AE282" i="3"/>
  <c r="AF282" i="3"/>
  <c r="AG282" i="3"/>
  <c r="AH282" i="3"/>
  <c r="AI282" i="3"/>
  <c r="AJ282" i="3"/>
  <c r="B283" i="3"/>
  <c r="C283" i="3"/>
  <c r="D283" i="3"/>
  <c r="E283" i="3"/>
  <c r="F283" i="3"/>
  <c r="G283" i="3"/>
  <c r="H283" i="3"/>
  <c r="I283" i="3"/>
  <c r="J283" i="3"/>
  <c r="K283" i="3"/>
  <c r="L283" i="3"/>
  <c r="M283" i="3"/>
  <c r="N283" i="3"/>
  <c r="O283" i="3"/>
  <c r="P283" i="3"/>
  <c r="Q283" i="3"/>
  <c r="R283" i="3"/>
  <c r="S283" i="3"/>
  <c r="T283" i="3"/>
  <c r="U283" i="3"/>
  <c r="V283" i="3"/>
  <c r="W283" i="3"/>
  <c r="X283" i="3"/>
  <c r="Y283" i="3"/>
  <c r="Z283" i="3"/>
  <c r="AA283" i="3"/>
  <c r="AB283" i="3"/>
  <c r="AC283" i="3"/>
  <c r="AD283" i="3"/>
  <c r="AE283" i="3"/>
  <c r="AF283" i="3"/>
  <c r="AG283" i="3"/>
  <c r="AH283" i="3"/>
  <c r="AI283" i="3"/>
  <c r="AJ283" i="3"/>
  <c r="B284" i="3"/>
  <c r="C284" i="3"/>
  <c r="D284" i="3"/>
  <c r="E284" i="3"/>
  <c r="F284" i="3"/>
  <c r="G284" i="3"/>
  <c r="H284" i="3"/>
  <c r="I284" i="3"/>
  <c r="J284" i="3"/>
  <c r="K284" i="3"/>
  <c r="L284" i="3"/>
  <c r="M284" i="3"/>
  <c r="N284" i="3"/>
  <c r="O284" i="3"/>
  <c r="P284" i="3"/>
  <c r="Q284" i="3"/>
  <c r="R284" i="3"/>
  <c r="S284" i="3"/>
  <c r="T284" i="3"/>
  <c r="U284" i="3"/>
  <c r="V284" i="3"/>
  <c r="W284" i="3"/>
  <c r="X284" i="3"/>
  <c r="Y284" i="3"/>
  <c r="Z284" i="3"/>
  <c r="AA284" i="3"/>
  <c r="AB284" i="3"/>
  <c r="AC284" i="3"/>
  <c r="AD284" i="3"/>
  <c r="AE284" i="3"/>
  <c r="AF284" i="3"/>
  <c r="AG284" i="3"/>
  <c r="AH284" i="3"/>
  <c r="AI284" i="3"/>
  <c r="AJ284" i="3"/>
  <c r="B285" i="3"/>
  <c r="C285" i="3"/>
  <c r="D285" i="3"/>
  <c r="E285" i="3"/>
  <c r="F285" i="3"/>
  <c r="G285" i="3"/>
  <c r="H285" i="3"/>
  <c r="I285" i="3"/>
  <c r="J285" i="3"/>
  <c r="K285" i="3"/>
  <c r="L285" i="3"/>
  <c r="M285" i="3"/>
  <c r="N285" i="3"/>
  <c r="O285" i="3"/>
  <c r="P285" i="3"/>
  <c r="Q285" i="3"/>
  <c r="R285" i="3"/>
  <c r="S285" i="3"/>
  <c r="T285" i="3"/>
  <c r="U285" i="3"/>
  <c r="V285" i="3"/>
  <c r="W285" i="3"/>
  <c r="X285" i="3"/>
  <c r="Y285" i="3"/>
  <c r="Z285" i="3"/>
  <c r="AA285" i="3"/>
  <c r="AB285" i="3"/>
  <c r="AC285" i="3"/>
  <c r="AD285" i="3"/>
  <c r="AE285" i="3"/>
  <c r="AF285" i="3"/>
  <c r="AG285" i="3"/>
  <c r="AH285" i="3"/>
  <c r="AI285" i="3"/>
  <c r="AJ285" i="3"/>
  <c r="B286" i="3"/>
  <c r="C286" i="3"/>
  <c r="D286" i="3"/>
  <c r="E286" i="3"/>
  <c r="F286" i="3"/>
  <c r="G286" i="3"/>
  <c r="H286" i="3"/>
  <c r="I286" i="3"/>
  <c r="J286" i="3"/>
  <c r="K286" i="3"/>
  <c r="L286" i="3"/>
  <c r="M286" i="3"/>
  <c r="N286" i="3"/>
  <c r="O286" i="3"/>
  <c r="P286" i="3"/>
  <c r="Q286" i="3"/>
  <c r="R286" i="3"/>
  <c r="S286" i="3"/>
  <c r="T286" i="3"/>
  <c r="U286" i="3"/>
  <c r="V286" i="3"/>
  <c r="W286" i="3"/>
  <c r="X286" i="3"/>
  <c r="Y286" i="3"/>
  <c r="Z286" i="3"/>
  <c r="AA286" i="3"/>
  <c r="AB286" i="3"/>
  <c r="AC286" i="3"/>
  <c r="AD286" i="3"/>
  <c r="AE286" i="3"/>
  <c r="AF286" i="3"/>
  <c r="AG286" i="3"/>
  <c r="AH286" i="3"/>
  <c r="AI286" i="3"/>
  <c r="AJ286" i="3"/>
  <c r="B287" i="3"/>
  <c r="C287" i="3"/>
  <c r="D287" i="3"/>
  <c r="E287" i="3"/>
  <c r="F287" i="3"/>
  <c r="G287" i="3"/>
  <c r="H287" i="3"/>
  <c r="I287" i="3"/>
  <c r="J287" i="3"/>
  <c r="K287" i="3"/>
  <c r="L287" i="3"/>
  <c r="M287" i="3"/>
  <c r="N287" i="3"/>
  <c r="O287" i="3"/>
  <c r="P287" i="3"/>
  <c r="Q287" i="3"/>
  <c r="R287" i="3"/>
  <c r="S287" i="3"/>
  <c r="T287" i="3"/>
  <c r="U287" i="3"/>
  <c r="V287" i="3"/>
  <c r="W287" i="3"/>
  <c r="X287" i="3"/>
  <c r="Y287" i="3"/>
  <c r="Z287" i="3"/>
  <c r="AA287" i="3"/>
  <c r="AB287" i="3"/>
  <c r="AC287" i="3"/>
  <c r="AD287" i="3"/>
  <c r="AE287" i="3"/>
  <c r="AF287" i="3"/>
  <c r="AG287" i="3"/>
  <c r="AH287" i="3"/>
  <c r="AI287" i="3"/>
  <c r="AJ287" i="3"/>
  <c r="B288" i="3"/>
  <c r="C288" i="3"/>
  <c r="D288" i="3"/>
  <c r="E288" i="3"/>
  <c r="F288" i="3"/>
  <c r="G288" i="3"/>
  <c r="H288" i="3"/>
  <c r="I288" i="3"/>
  <c r="J288" i="3"/>
  <c r="K288" i="3"/>
  <c r="L288" i="3"/>
  <c r="M288" i="3"/>
  <c r="N288" i="3"/>
  <c r="O288" i="3"/>
  <c r="P288" i="3"/>
  <c r="Q288" i="3"/>
  <c r="R288" i="3"/>
  <c r="S288" i="3"/>
  <c r="T288" i="3"/>
  <c r="U288" i="3"/>
  <c r="V288" i="3"/>
  <c r="W288" i="3"/>
  <c r="X288" i="3"/>
  <c r="Y288" i="3"/>
  <c r="Z288" i="3"/>
  <c r="AA288" i="3"/>
  <c r="AB288" i="3"/>
  <c r="AC288" i="3"/>
  <c r="AD288" i="3"/>
  <c r="AE288" i="3"/>
  <c r="AF288" i="3"/>
  <c r="AG288" i="3"/>
  <c r="AH288" i="3"/>
  <c r="AI288" i="3"/>
  <c r="AJ288" i="3"/>
  <c r="B289" i="3"/>
  <c r="C289" i="3"/>
  <c r="D289" i="3"/>
  <c r="E289" i="3"/>
  <c r="F289" i="3"/>
  <c r="G289" i="3"/>
  <c r="H289" i="3"/>
  <c r="I289" i="3"/>
  <c r="J289" i="3"/>
  <c r="K289" i="3"/>
  <c r="L289" i="3"/>
  <c r="M289" i="3"/>
  <c r="N289" i="3"/>
  <c r="O289" i="3"/>
  <c r="P289" i="3"/>
  <c r="Q289" i="3"/>
  <c r="R289" i="3"/>
  <c r="S289" i="3"/>
  <c r="T289" i="3"/>
  <c r="U289" i="3"/>
  <c r="V289" i="3"/>
  <c r="W289" i="3"/>
  <c r="X289" i="3"/>
  <c r="Y289" i="3"/>
  <c r="Z289" i="3"/>
  <c r="AA289" i="3"/>
  <c r="AB289" i="3"/>
  <c r="AC289" i="3"/>
  <c r="AD289" i="3"/>
  <c r="AE289" i="3"/>
  <c r="AF289" i="3"/>
  <c r="AG289" i="3"/>
  <c r="AH289" i="3"/>
  <c r="AI289" i="3"/>
  <c r="AJ289" i="3"/>
  <c r="B290" i="3"/>
  <c r="C290" i="3"/>
  <c r="D290" i="3"/>
  <c r="E290" i="3"/>
  <c r="F290" i="3"/>
  <c r="G290" i="3"/>
  <c r="H290" i="3"/>
  <c r="I290" i="3"/>
  <c r="J290" i="3"/>
  <c r="K290" i="3"/>
  <c r="L290" i="3"/>
  <c r="M290" i="3"/>
  <c r="N290" i="3"/>
  <c r="O290" i="3"/>
  <c r="P290" i="3"/>
  <c r="Q290" i="3"/>
  <c r="R290" i="3"/>
  <c r="S290" i="3"/>
  <c r="T290" i="3"/>
  <c r="U290" i="3"/>
  <c r="V290" i="3"/>
  <c r="W290" i="3"/>
  <c r="X290" i="3"/>
  <c r="Y290" i="3"/>
  <c r="Z290" i="3"/>
  <c r="AA290" i="3"/>
  <c r="AB290" i="3"/>
  <c r="AC290" i="3"/>
  <c r="AD290" i="3"/>
  <c r="AE290" i="3"/>
  <c r="AF290" i="3"/>
  <c r="AG290" i="3"/>
  <c r="AH290" i="3"/>
  <c r="AI290" i="3"/>
  <c r="AJ290" i="3"/>
  <c r="B291" i="3"/>
  <c r="C291" i="3"/>
  <c r="D291" i="3"/>
  <c r="E291" i="3"/>
  <c r="F291" i="3"/>
  <c r="G291" i="3"/>
  <c r="H291" i="3"/>
  <c r="I291" i="3"/>
  <c r="J291" i="3"/>
  <c r="K291" i="3"/>
  <c r="L291" i="3"/>
  <c r="M291" i="3"/>
  <c r="N291" i="3"/>
  <c r="O291" i="3"/>
  <c r="P291" i="3"/>
  <c r="Q291" i="3"/>
  <c r="R291" i="3"/>
  <c r="S291" i="3"/>
  <c r="T291" i="3"/>
  <c r="U291" i="3"/>
  <c r="V291" i="3"/>
  <c r="W291" i="3"/>
  <c r="X291" i="3"/>
  <c r="Y291" i="3"/>
  <c r="Z291" i="3"/>
  <c r="AA291" i="3"/>
  <c r="AB291" i="3"/>
  <c r="AC291" i="3"/>
  <c r="AD291" i="3"/>
  <c r="AE291" i="3"/>
  <c r="AF291" i="3"/>
  <c r="AG291" i="3"/>
  <c r="AH291" i="3"/>
  <c r="AI291" i="3"/>
  <c r="AJ291" i="3"/>
  <c r="B292" i="3"/>
  <c r="C292" i="3"/>
  <c r="D292" i="3"/>
  <c r="E292" i="3"/>
  <c r="F292" i="3"/>
  <c r="G292" i="3"/>
  <c r="H292" i="3"/>
  <c r="I292" i="3"/>
  <c r="J292" i="3"/>
  <c r="K292" i="3"/>
  <c r="L292" i="3"/>
  <c r="M292" i="3"/>
  <c r="N292" i="3"/>
  <c r="O292" i="3"/>
  <c r="P292" i="3"/>
  <c r="Q292" i="3"/>
  <c r="R292" i="3"/>
  <c r="S292" i="3"/>
  <c r="T292" i="3"/>
  <c r="U292" i="3"/>
  <c r="V292" i="3"/>
  <c r="W292" i="3"/>
  <c r="X292" i="3"/>
  <c r="Y292" i="3"/>
  <c r="Z292" i="3"/>
  <c r="AA292" i="3"/>
  <c r="AB292" i="3"/>
  <c r="AC292" i="3"/>
  <c r="AD292" i="3"/>
  <c r="AE292" i="3"/>
  <c r="AF292" i="3"/>
  <c r="AG292" i="3"/>
  <c r="AH292" i="3"/>
  <c r="AI292" i="3"/>
  <c r="AJ292" i="3"/>
  <c r="B293" i="3"/>
  <c r="C293" i="3"/>
  <c r="D293" i="3"/>
  <c r="E293" i="3"/>
  <c r="F293" i="3"/>
  <c r="G293" i="3"/>
  <c r="H293" i="3"/>
  <c r="I293" i="3"/>
  <c r="J293" i="3"/>
  <c r="K293" i="3"/>
  <c r="L293" i="3"/>
  <c r="M293" i="3"/>
  <c r="N293" i="3"/>
  <c r="O293" i="3"/>
  <c r="P293" i="3"/>
  <c r="Q293" i="3"/>
  <c r="R293" i="3"/>
  <c r="S293" i="3"/>
  <c r="T293" i="3"/>
  <c r="U293" i="3"/>
  <c r="V293" i="3"/>
  <c r="W293" i="3"/>
  <c r="X293" i="3"/>
  <c r="Y293" i="3"/>
  <c r="Z293" i="3"/>
  <c r="AA293" i="3"/>
  <c r="AB293" i="3"/>
  <c r="AC293" i="3"/>
  <c r="AD293" i="3"/>
  <c r="AE293" i="3"/>
  <c r="AF293" i="3"/>
  <c r="AG293" i="3"/>
  <c r="AH293" i="3"/>
  <c r="AI293" i="3"/>
  <c r="AJ293" i="3"/>
  <c r="B294" i="3"/>
  <c r="C294" i="3"/>
  <c r="D294" i="3"/>
  <c r="E294" i="3"/>
  <c r="F294" i="3"/>
  <c r="G294" i="3"/>
  <c r="H294" i="3"/>
  <c r="I294" i="3"/>
  <c r="J294" i="3"/>
  <c r="K294" i="3"/>
  <c r="L294" i="3"/>
  <c r="M294" i="3"/>
  <c r="N294" i="3"/>
  <c r="O294" i="3"/>
  <c r="P294" i="3"/>
  <c r="Q294" i="3"/>
  <c r="R294" i="3"/>
  <c r="S294" i="3"/>
  <c r="T294" i="3"/>
  <c r="U294" i="3"/>
  <c r="V294" i="3"/>
  <c r="W294" i="3"/>
  <c r="X294" i="3"/>
  <c r="Y294" i="3"/>
  <c r="Z294" i="3"/>
  <c r="AA294" i="3"/>
  <c r="AB294" i="3"/>
  <c r="AC294" i="3"/>
  <c r="AD294" i="3"/>
  <c r="AE294" i="3"/>
  <c r="AF294" i="3"/>
  <c r="AG294" i="3"/>
  <c r="AH294" i="3"/>
  <c r="AI294" i="3"/>
  <c r="AJ294" i="3"/>
  <c r="B295" i="3"/>
  <c r="C295" i="3"/>
  <c r="D295" i="3"/>
  <c r="E295" i="3"/>
  <c r="F295" i="3"/>
  <c r="G295" i="3"/>
  <c r="H295" i="3"/>
  <c r="I295" i="3"/>
  <c r="J295" i="3"/>
  <c r="K295" i="3"/>
  <c r="L295" i="3"/>
  <c r="M295" i="3"/>
  <c r="N295" i="3"/>
  <c r="O295" i="3"/>
  <c r="P295" i="3"/>
  <c r="Q295" i="3"/>
  <c r="R295" i="3"/>
  <c r="S295" i="3"/>
  <c r="T295" i="3"/>
  <c r="U295" i="3"/>
  <c r="V295" i="3"/>
  <c r="W295" i="3"/>
  <c r="X295" i="3"/>
  <c r="Y295" i="3"/>
  <c r="Z295" i="3"/>
  <c r="AA295" i="3"/>
  <c r="AB295" i="3"/>
  <c r="AC295" i="3"/>
  <c r="AD295" i="3"/>
  <c r="AE295" i="3"/>
  <c r="AF295" i="3"/>
  <c r="AG295" i="3"/>
  <c r="AH295" i="3"/>
  <c r="AI295" i="3"/>
  <c r="AJ295" i="3"/>
  <c r="B296" i="3"/>
  <c r="C296" i="3"/>
  <c r="D296" i="3"/>
  <c r="E296" i="3"/>
  <c r="F296" i="3"/>
  <c r="G296" i="3"/>
  <c r="H296" i="3"/>
  <c r="I296" i="3"/>
  <c r="J296" i="3"/>
  <c r="K296" i="3"/>
  <c r="L296" i="3"/>
  <c r="M296" i="3"/>
  <c r="N296" i="3"/>
  <c r="O296" i="3"/>
  <c r="P296" i="3"/>
  <c r="Q296" i="3"/>
  <c r="R296" i="3"/>
  <c r="S296" i="3"/>
  <c r="T296" i="3"/>
  <c r="U296" i="3"/>
  <c r="V296" i="3"/>
  <c r="W296" i="3"/>
  <c r="X296" i="3"/>
  <c r="Y296" i="3"/>
  <c r="Z296" i="3"/>
  <c r="AA296" i="3"/>
  <c r="AB296" i="3"/>
  <c r="AC296" i="3"/>
  <c r="AD296" i="3"/>
  <c r="AE296" i="3"/>
  <c r="AF296" i="3"/>
  <c r="AG296" i="3"/>
  <c r="AH296" i="3"/>
  <c r="AI296" i="3"/>
  <c r="AJ296" i="3"/>
  <c r="B297" i="3"/>
  <c r="C297" i="3"/>
  <c r="D297" i="3"/>
  <c r="E297" i="3"/>
  <c r="F297" i="3"/>
  <c r="G297" i="3"/>
  <c r="H297" i="3"/>
  <c r="I297" i="3"/>
  <c r="J297" i="3"/>
  <c r="K297" i="3"/>
  <c r="L297" i="3"/>
  <c r="M297" i="3"/>
  <c r="N297" i="3"/>
  <c r="O297" i="3"/>
  <c r="P297" i="3"/>
  <c r="Q297" i="3"/>
  <c r="R297" i="3"/>
  <c r="S297" i="3"/>
  <c r="T297" i="3"/>
  <c r="U297" i="3"/>
  <c r="V297" i="3"/>
  <c r="W297" i="3"/>
  <c r="X297" i="3"/>
  <c r="Y297" i="3"/>
  <c r="Z297" i="3"/>
  <c r="AA297" i="3"/>
  <c r="AB297" i="3"/>
  <c r="AC297" i="3"/>
  <c r="AD297" i="3"/>
  <c r="AE297" i="3"/>
  <c r="AF297" i="3"/>
  <c r="AG297" i="3"/>
  <c r="AH297" i="3"/>
  <c r="AI297" i="3"/>
  <c r="AJ297" i="3"/>
  <c r="B298" i="3"/>
  <c r="C298" i="3"/>
  <c r="D298" i="3"/>
  <c r="E298" i="3"/>
  <c r="F298" i="3"/>
  <c r="G298" i="3"/>
  <c r="H298" i="3"/>
  <c r="I298" i="3"/>
  <c r="J298" i="3"/>
  <c r="K298" i="3"/>
  <c r="L298" i="3"/>
  <c r="M298" i="3"/>
  <c r="N298" i="3"/>
  <c r="O298" i="3"/>
  <c r="P298" i="3"/>
  <c r="Q298" i="3"/>
  <c r="R298" i="3"/>
  <c r="S298" i="3"/>
  <c r="T298" i="3"/>
  <c r="U298" i="3"/>
  <c r="V298" i="3"/>
  <c r="W298" i="3"/>
  <c r="X298" i="3"/>
  <c r="Y298" i="3"/>
  <c r="Z298" i="3"/>
  <c r="AA298" i="3"/>
  <c r="AB298" i="3"/>
  <c r="AC298" i="3"/>
  <c r="AD298" i="3"/>
  <c r="AE298" i="3"/>
  <c r="AF298" i="3"/>
  <c r="AG298" i="3"/>
  <c r="AH298" i="3"/>
  <c r="AI298" i="3"/>
  <c r="AJ298" i="3"/>
  <c r="B299" i="3"/>
  <c r="C299" i="3"/>
  <c r="D299" i="3"/>
  <c r="E299" i="3"/>
  <c r="F299" i="3"/>
  <c r="G299" i="3"/>
  <c r="H299" i="3"/>
  <c r="I299" i="3"/>
  <c r="J299" i="3"/>
  <c r="K299" i="3"/>
  <c r="L299" i="3"/>
  <c r="M299" i="3"/>
  <c r="N299" i="3"/>
  <c r="O299" i="3"/>
  <c r="P299" i="3"/>
  <c r="Q299" i="3"/>
  <c r="R299" i="3"/>
  <c r="S299" i="3"/>
  <c r="T299" i="3"/>
  <c r="U299" i="3"/>
  <c r="V299" i="3"/>
  <c r="W299" i="3"/>
  <c r="X299" i="3"/>
  <c r="Y299" i="3"/>
  <c r="Z299" i="3"/>
  <c r="AA299" i="3"/>
  <c r="AB299" i="3"/>
  <c r="AC299" i="3"/>
  <c r="AD299" i="3"/>
  <c r="AE299" i="3"/>
  <c r="AF299" i="3"/>
  <c r="AG299" i="3"/>
  <c r="AH299" i="3"/>
  <c r="AI299" i="3"/>
  <c r="AJ299" i="3"/>
  <c r="B300" i="3"/>
  <c r="C300" i="3"/>
  <c r="D300" i="3"/>
  <c r="E300" i="3"/>
  <c r="F300" i="3"/>
  <c r="G300" i="3"/>
  <c r="H300" i="3"/>
  <c r="I300" i="3"/>
  <c r="J300" i="3"/>
  <c r="K300" i="3"/>
  <c r="L300" i="3"/>
  <c r="M300" i="3"/>
  <c r="N300" i="3"/>
  <c r="O300" i="3"/>
  <c r="P300" i="3"/>
  <c r="Q300" i="3"/>
  <c r="R300" i="3"/>
  <c r="S300" i="3"/>
  <c r="T300" i="3"/>
  <c r="U300" i="3"/>
  <c r="V300" i="3"/>
  <c r="W300" i="3"/>
  <c r="X300" i="3"/>
  <c r="Y300" i="3"/>
  <c r="Z300" i="3"/>
  <c r="AA300" i="3"/>
  <c r="AB300" i="3"/>
  <c r="AC300" i="3"/>
  <c r="AD300" i="3"/>
  <c r="AE300" i="3"/>
  <c r="AF300" i="3"/>
  <c r="AG300" i="3"/>
  <c r="AH300" i="3"/>
  <c r="AI300" i="3"/>
  <c r="AJ300" i="3"/>
  <c r="B301" i="3"/>
  <c r="C301" i="3"/>
  <c r="D301" i="3"/>
  <c r="E301" i="3"/>
  <c r="F301" i="3"/>
  <c r="G301" i="3"/>
  <c r="H301" i="3"/>
  <c r="I301" i="3"/>
  <c r="J301" i="3"/>
  <c r="K301" i="3"/>
  <c r="L301" i="3"/>
  <c r="M301" i="3"/>
  <c r="N301" i="3"/>
  <c r="O301" i="3"/>
  <c r="P301" i="3"/>
  <c r="Q301" i="3"/>
  <c r="R301" i="3"/>
  <c r="S301" i="3"/>
  <c r="T301" i="3"/>
  <c r="U301" i="3"/>
  <c r="V301" i="3"/>
  <c r="W301" i="3"/>
  <c r="X301" i="3"/>
  <c r="Y301" i="3"/>
  <c r="Z301" i="3"/>
  <c r="AA301" i="3"/>
  <c r="AB301" i="3"/>
  <c r="AC301" i="3"/>
  <c r="AD301" i="3"/>
  <c r="AE301" i="3"/>
  <c r="AF301" i="3"/>
  <c r="AG301" i="3"/>
  <c r="AH301" i="3"/>
  <c r="AI301" i="3"/>
  <c r="AJ301" i="3"/>
  <c r="B302" i="3"/>
  <c r="C302" i="3"/>
  <c r="D302" i="3"/>
  <c r="E302" i="3"/>
  <c r="F302" i="3"/>
  <c r="G302" i="3"/>
  <c r="H302" i="3"/>
  <c r="I302" i="3"/>
  <c r="J302" i="3"/>
  <c r="K302" i="3"/>
  <c r="L302" i="3"/>
  <c r="M302" i="3"/>
  <c r="N302" i="3"/>
  <c r="O302" i="3"/>
  <c r="P302" i="3"/>
  <c r="Q302" i="3"/>
  <c r="R302" i="3"/>
  <c r="S302" i="3"/>
  <c r="T302" i="3"/>
  <c r="U302" i="3"/>
  <c r="V302" i="3"/>
  <c r="W302" i="3"/>
  <c r="X302" i="3"/>
  <c r="Y302" i="3"/>
  <c r="Z302" i="3"/>
  <c r="AA302" i="3"/>
  <c r="AB302" i="3"/>
  <c r="AC302" i="3"/>
  <c r="AD302" i="3"/>
  <c r="AE302" i="3"/>
  <c r="AF302" i="3"/>
  <c r="AG302" i="3"/>
  <c r="AH302" i="3"/>
  <c r="AI302" i="3"/>
  <c r="AJ302" i="3"/>
  <c r="B303" i="3"/>
  <c r="C303" i="3"/>
  <c r="D303" i="3"/>
  <c r="E303" i="3"/>
  <c r="F303" i="3"/>
  <c r="G303" i="3"/>
  <c r="H303" i="3"/>
  <c r="I303" i="3"/>
  <c r="J303" i="3"/>
  <c r="K303" i="3"/>
  <c r="L303" i="3"/>
  <c r="M303" i="3"/>
  <c r="N303" i="3"/>
  <c r="O303" i="3"/>
  <c r="P303" i="3"/>
  <c r="Q303" i="3"/>
  <c r="R303" i="3"/>
  <c r="S303" i="3"/>
  <c r="T303" i="3"/>
  <c r="U303" i="3"/>
  <c r="V303" i="3"/>
  <c r="W303" i="3"/>
  <c r="X303" i="3"/>
  <c r="Y303" i="3"/>
  <c r="Z303" i="3"/>
  <c r="AA303" i="3"/>
  <c r="AB303" i="3"/>
  <c r="AC303" i="3"/>
  <c r="AD303" i="3"/>
  <c r="AE303" i="3"/>
  <c r="AF303" i="3"/>
  <c r="AG303" i="3"/>
  <c r="AH303" i="3"/>
  <c r="AI303" i="3"/>
  <c r="AJ303" i="3"/>
  <c r="B304" i="3"/>
  <c r="C304" i="3"/>
  <c r="D304" i="3"/>
  <c r="E304" i="3"/>
  <c r="F304" i="3"/>
  <c r="G304" i="3"/>
  <c r="H304" i="3"/>
  <c r="I304" i="3"/>
  <c r="J304" i="3"/>
  <c r="K304" i="3"/>
  <c r="L304" i="3"/>
  <c r="M304" i="3"/>
  <c r="N304" i="3"/>
  <c r="O304" i="3"/>
  <c r="P304" i="3"/>
  <c r="Q304" i="3"/>
  <c r="R304" i="3"/>
  <c r="S304" i="3"/>
  <c r="T304" i="3"/>
  <c r="U304" i="3"/>
  <c r="V304" i="3"/>
  <c r="W304" i="3"/>
  <c r="X304" i="3"/>
  <c r="Y304" i="3"/>
  <c r="Z304" i="3"/>
  <c r="AA304" i="3"/>
  <c r="AB304" i="3"/>
  <c r="AC304" i="3"/>
  <c r="AD304" i="3"/>
  <c r="AE304" i="3"/>
  <c r="AF304" i="3"/>
  <c r="AG304" i="3"/>
  <c r="AH304" i="3"/>
  <c r="AI304" i="3"/>
  <c r="AJ304" i="3"/>
  <c r="B305" i="3"/>
  <c r="C305" i="3"/>
  <c r="D305" i="3"/>
  <c r="E305" i="3"/>
  <c r="F305" i="3"/>
  <c r="G305" i="3"/>
  <c r="H305" i="3"/>
  <c r="I305" i="3"/>
  <c r="J305" i="3"/>
  <c r="K305" i="3"/>
  <c r="L305" i="3"/>
  <c r="M305" i="3"/>
  <c r="N305" i="3"/>
  <c r="O305" i="3"/>
  <c r="P305" i="3"/>
  <c r="Q305" i="3"/>
  <c r="R305" i="3"/>
  <c r="S305" i="3"/>
  <c r="T305" i="3"/>
  <c r="U305" i="3"/>
  <c r="V305" i="3"/>
  <c r="W305" i="3"/>
  <c r="X305" i="3"/>
  <c r="Y305" i="3"/>
  <c r="Z305" i="3"/>
  <c r="AA305" i="3"/>
  <c r="AB305" i="3"/>
  <c r="AC305" i="3"/>
  <c r="AD305" i="3"/>
  <c r="AE305" i="3"/>
  <c r="AF305" i="3"/>
  <c r="AG305" i="3"/>
  <c r="AH305" i="3"/>
  <c r="AI305" i="3"/>
  <c r="AJ305" i="3"/>
  <c r="B306" i="3"/>
  <c r="C306" i="3"/>
  <c r="D306" i="3"/>
  <c r="E306" i="3"/>
  <c r="F306" i="3"/>
  <c r="G306" i="3"/>
  <c r="H306" i="3"/>
  <c r="I306" i="3"/>
  <c r="J306" i="3"/>
  <c r="K306" i="3"/>
  <c r="L306" i="3"/>
  <c r="M306" i="3"/>
  <c r="N306" i="3"/>
  <c r="O306" i="3"/>
  <c r="P306" i="3"/>
  <c r="Q306" i="3"/>
  <c r="R306" i="3"/>
  <c r="S306" i="3"/>
  <c r="T306" i="3"/>
  <c r="U306" i="3"/>
  <c r="V306" i="3"/>
  <c r="W306" i="3"/>
  <c r="X306" i="3"/>
  <c r="Y306" i="3"/>
  <c r="Z306" i="3"/>
  <c r="AA306" i="3"/>
  <c r="AB306" i="3"/>
  <c r="AC306" i="3"/>
  <c r="AD306" i="3"/>
  <c r="AE306" i="3"/>
  <c r="AF306" i="3"/>
  <c r="AG306" i="3"/>
  <c r="AH306" i="3"/>
  <c r="AI306" i="3"/>
  <c r="AJ306" i="3"/>
  <c r="B307" i="3"/>
  <c r="C307" i="3"/>
  <c r="D307" i="3"/>
  <c r="E307" i="3"/>
  <c r="F307" i="3"/>
  <c r="G307" i="3"/>
  <c r="H307" i="3"/>
  <c r="I307" i="3"/>
  <c r="J307" i="3"/>
  <c r="K307" i="3"/>
  <c r="L307" i="3"/>
  <c r="M307" i="3"/>
  <c r="N307" i="3"/>
  <c r="O307" i="3"/>
  <c r="P307" i="3"/>
  <c r="Q307" i="3"/>
  <c r="R307" i="3"/>
  <c r="S307" i="3"/>
  <c r="T307" i="3"/>
  <c r="U307" i="3"/>
  <c r="V307" i="3"/>
  <c r="W307" i="3"/>
  <c r="X307" i="3"/>
  <c r="Y307" i="3"/>
  <c r="Z307" i="3"/>
  <c r="AA307" i="3"/>
  <c r="AB307" i="3"/>
  <c r="AC307" i="3"/>
  <c r="AD307" i="3"/>
  <c r="AE307" i="3"/>
  <c r="AF307" i="3"/>
  <c r="AG307" i="3"/>
  <c r="AH307" i="3"/>
  <c r="AI307" i="3"/>
  <c r="AJ307" i="3"/>
  <c r="B308" i="3"/>
  <c r="C308" i="3"/>
  <c r="D308" i="3"/>
  <c r="E308" i="3"/>
  <c r="F308" i="3"/>
  <c r="G308" i="3"/>
  <c r="H308" i="3"/>
  <c r="I308" i="3"/>
  <c r="J308" i="3"/>
  <c r="K308" i="3"/>
  <c r="L308" i="3"/>
  <c r="M308" i="3"/>
  <c r="N308" i="3"/>
  <c r="O308" i="3"/>
  <c r="P308" i="3"/>
  <c r="Q308" i="3"/>
  <c r="R308" i="3"/>
  <c r="S308" i="3"/>
  <c r="T308" i="3"/>
  <c r="U308" i="3"/>
  <c r="V308" i="3"/>
  <c r="W308" i="3"/>
  <c r="X308" i="3"/>
  <c r="Y308" i="3"/>
  <c r="Z308" i="3"/>
  <c r="AA308" i="3"/>
  <c r="AB308" i="3"/>
  <c r="AC308" i="3"/>
  <c r="AD308" i="3"/>
  <c r="AE308" i="3"/>
  <c r="AF308" i="3"/>
  <c r="AG308" i="3"/>
  <c r="AH308" i="3"/>
  <c r="AI308" i="3"/>
  <c r="AJ308" i="3"/>
  <c r="B309" i="3"/>
  <c r="C309" i="3"/>
  <c r="D309" i="3"/>
  <c r="E309" i="3"/>
  <c r="F309" i="3"/>
  <c r="G309" i="3"/>
  <c r="H309" i="3"/>
  <c r="I309" i="3"/>
  <c r="J309" i="3"/>
  <c r="K309" i="3"/>
  <c r="L309" i="3"/>
  <c r="M309" i="3"/>
  <c r="N309" i="3"/>
  <c r="O309" i="3"/>
  <c r="P309" i="3"/>
  <c r="Q309" i="3"/>
  <c r="R309" i="3"/>
  <c r="S309" i="3"/>
  <c r="T309" i="3"/>
  <c r="U309" i="3"/>
  <c r="V309" i="3"/>
  <c r="W309" i="3"/>
  <c r="X309" i="3"/>
  <c r="Y309" i="3"/>
  <c r="Z309" i="3"/>
  <c r="AA309" i="3"/>
  <c r="AB309" i="3"/>
  <c r="AC309" i="3"/>
  <c r="AD309" i="3"/>
  <c r="AE309" i="3"/>
  <c r="AF309" i="3"/>
  <c r="AG309" i="3"/>
  <c r="AH309" i="3"/>
  <c r="AI309" i="3"/>
  <c r="AJ309" i="3"/>
  <c r="B310" i="3"/>
  <c r="C310" i="3"/>
  <c r="D310" i="3"/>
  <c r="E310" i="3"/>
  <c r="F310" i="3"/>
  <c r="G310" i="3"/>
  <c r="H310" i="3"/>
  <c r="I310" i="3"/>
  <c r="J310" i="3"/>
  <c r="K310" i="3"/>
  <c r="L310" i="3"/>
  <c r="M310" i="3"/>
  <c r="N310" i="3"/>
  <c r="O310" i="3"/>
  <c r="P310" i="3"/>
  <c r="Q310" i="3"/>
  <c r="R310" i="3"/>
  <c r="S310" i="3"/>
  <c r="T310" i="3"/>
  <c r="U310" i="3"/>
  <c r="V310" i="3"/>
  <c r="W310" i="3"/>
  <c r="X310" i="3"/>
  <c r="Y310" i="3"/>
  <c r="Z310" i="3"/>
  <c r="AA310" i="3"/>
  <c r="AB310" i="3"/>
  <c r="AC310" i="3"/>
  <c r="AD310" i="3"/>
  <c r="AE310" i="3"/>
  <c r="AF310" i="3"/>
  <c r="AG310" i="3"/>
  <c r="AH310" i="3"/>
  <c r="AI310" i="3"/>
  <c r="AJ310" i="3"/>
  <c r="B311" i="3"/>
  <c r="C311" i="3"/>
  <c r="D311" i="3"/>
  <c r="E311" i="3"/>
  <c r="F311" i="3"/>
  <c r="G311" i="3"/>
  <c r="H311" i="3"/>
  <c r="I311" i="3"/>
  <c r="J311" i="3"/>
  <c r="K311" i="3"/>
  <c r="L311" i="3"/>
  <c r="M311" i="3"/>
  <c r="N311" i="3"/>
  <c r="O311" i="3"/>
  <c r="P311" i="3"/>
  <c r="Q311" i="3"/>
  <c r="R311" i="3"/>
  <c r="S311" i="3"/>
  <c r="T311" i="3"/>
  <c r="U311" i="3"/>
  <c r="V311" i="3"/>
  <c r="W311" i="3"/>
  <c r="X311" i="3"/>
  <c r="Y311" i="3"/>
  <c r="Z311" i="3"/>
  <c r="AA311" i="3"/>
  <c r="AB311" i="3"/>
  <c r="AC311" i="3"/>
  <c r="AD311" i="3"/>
  <c r="AE311" i="3"/>
  <c r="AF311" i="3"/>
  <c r="AG311" i="3"/>
  <c r="AH311" i="3"/>
  <c r="AI311" i="3"/>
  <c r="AJ311" i="3"/>
  <c r="B312" i="3"/>
  <c r="C312" i="3"/>
  <c r="D312" i="3"/>
  <c r="E312" i="3"/>
  <c r="F312" i="3"/>
  <c r="G312" i="3"/>
  <c r="H312" i="3"/>
  <c r="I312" i="3"/>
  <c r="J312" i="3"/>
  <c r="K312" i="3"/>
  <c r="L312" i="3"/>
  <c r="M312" i="3"/>
  <c r="N312" i="3"/>
  <c r="O312" i="3"/>
  <c r="P312" i="3"/>
  <c r="Q312" i="3"/>
  <c r="R312" i="3"/>
  <c r="S312" i="3"/>
  <c r="T312" i="3"/>
  <c r="U312" i="3"/>
  <c r="V312" i="3"/>
  <c r="W312" i="3"/>
  <c r="X312" i="3"/>
  <c r="Y312" i="3"/>
  <c r="Z312" i="3"/>
  <c r="AA312" i="3"/>
  <c r="AB312" i="3"/>
  <c r="AC312" i="3"/>
  <c r="AD312" i="3"/>
  <c r="AE312" i="3"/>
  <c r="AF312" i="3"/>
  <c r="AG312" i="3"/>
  <c r="AH312" i="3"/>
  <c r="AI312" i="3"/>
  <c r="AJ312" i="3"/>
  <c r="B313" i="3"/>
  <c r="C313" i="3"/>
  <c r="D313" i="3"/>
  <c r="E313" i="3"/>
  <c r="F313" i="3"/>
  <c r="G313" i="3"/>
  <c r="H313" i="3"/>
  <c r="I313" i="3"/>
  <c r="J313" i="3"/>
  <c r="K313" i="3"/>
  <c r="L313" i="3"/>
  <c r="M313" i="3"/>
  <c r="N313" i="3"/>
  <c r="O313" i="3"/>
  <c r="P313" i="3"/>
  <c r="Q313" i="3"/>
  <c r="R313" i="3"/>
  <c r="S313" i="3"/>
  <c r="T313" i="3"/>
  <c r="U313" i="3"/>
  <c r="V313" i="3"/>
  <c r="W313" i="3"/>
  <c r="X313" i="3"/>
  <c r="Y313" i="3"/>
  <c r="Z313" i="3"/>
  <c r="AA313" i="3"/>
  <c r="AB313" i="3"/>
  <c r="AC313" i="3"/>
  <c r="AD313" i="3"/>
  <c r="AE313" i="3"/>
  <c r="AF313" i="3"/>
  <c r="AG313" i="3"/>
  <c r="AH313" i="3"/>
  <c r="AI313" i="3"/>
  <c r="AJ313" i="3"/>
  <c r="B314" i="3"/>
  <c r="C314" i="3"/>
  <c r="D314" i="3"/>
  <c r="E314" i="3"/>
  <c r="F314" i="3"/>
  <c r="G314" i="3"/>
  <c r="H314" i="3"/>
  <c r="I314" i="3"/>
  <c r="J314" i="3"/>
  <c r="K314" i="3"/>
  <c r="L314" i="3"/>
  <c r="M314" i="3"/>
  <c r="N314" i="3"/>
  <c r="O314" i="3"/>
  <c r="P314" i="3"/>
  <c r="Q314" i="3"/>
  <c r="R314" i="3"/>
  <c r="S314" i="3"/>
  <c r="T314" i="3"/>
  <c r="U314" i="3"/>
  <c r="V314" i="3"/>
  <c r="W314" i="3"/>
  <c r="X314" i="3"/>
  <c r="Y314" i="3"/>
  <c r="Z314" i="3"/>
  <c r="AA314" i="3"/>
  <c r="AB314" i="3"/>
  <c r="AC314" i="3"/>
  <c r="AD314" i="3"/>
  <c r="AE314" i="3"/>
  <c r="AF314" i="3"/>
  <c r="AG314" i="3"/>
  <c r="AH314" i="3"/>
  <c r="AI314" i="3"/>
  <c r="AJ314" i="3"/>
  <c r="B315" i="3"/>
  <c r="C315" i="3"/>
  <c r="D315" i="3"/>
  <c r="E315" i="3"/>
  <c r="F315" i="3"/>
  <c r="G315" i="3"/>
  <c r="H315" i="3"/>
  <c r="I315" i="3"/>
  <c r="J315" i="3"/>
  <c r="K315" i="3"/>
  <c r="L315" i="3"/>
  <c r="M315" i="3"/>
  <c r="N315" i="3"/>
  <c r="O315" i="3"/>
  <c r="P315" i="3"/>
  <c r="Q315" i="3"/>
  <c r="R315" i="3"/>
  <c r="S315" i="3"/>
  <c r="T315" i="3"/>
  <c r="U315" i="3"/>
  <c r="V315" i="3"/>
  <c r="W315" i="3"/>
  <c r="X315" i="3"/>
  <c r="Y315" i="3"/>
  <c r="Z315" i="3"/>
  <c r="AA315" i="3"/>
  <c r="AB315" i="3"/>
  <c r="AC315" i="3"/>
  <c r="AD315" i="3"/>
  <c r="AE315" i="3"/>
  <c r="AF315" i="3"/>
  <c r="AG315" i="3"/>
  <c r="AH315" i="3"/>
  <c r="AI315" i="3"/>
  <c r="AJ315" i="3"/>
  <c r="B316" i="3"/>
  <c r="C316" i="3"/>
  <c r="D316" i="3"/>
  <c r="E316" i="3"/>
  <c r="F316" i="3"/>
  <c r="G316" i="3"/>
  <c r="H316" i="3"/>
  <c r="I316" i="3"/>
  <c r="J316" i="3"/>
  <c r="K316" i="3"/>
  <c r="L316" i="3"/>
  <c r="M316" i="3"/>
  <c r="N316" i="3"/>
  <c r="O316" i="3"/>
  <c r="P316" i="3"/>
  <c r="Q316" i="3"/>
  <c r="R316" i="3"/>
  <c r="S316" i="3"/>
  <c r="T316" i="3"/>
  <c r="U316" i="3"/>
  <c r="V316" i="3"/>
  <c r="W316" i="3"/>
  <c r="X316" i="3"/>
  <c r="Y316" i="3"/>
  <c r="Z316" i="3"/>
  <c r="AA316" i="3"/>
  <c r="AB316" i="3"/>
  <c r="AC316" i="3"/>
  <c r="AD316" i="3"/>
  <c r="AE316" i="3"/>
  <c r="AF316" i="3"/>
  <c r="AG316" i="3"/>
  <c r="AH316" i="3"/>
  <c r="AI316" i="3"/>
  <c r="AJ316" i="3"/>
  <c r="B317" i="3"/>
  <c r="C317" i="3"/>
  <c r="D317" i="3"/>
  <c r="E317" i="3"/>
  <c r="F317" i="3"/>
  <c r="G317" i="3"/>
  <c r="H317" i="3"/>
  <c r="I317" i="3"/>
  <c r="J317" i="3"/>
  <c r="K317" i="3"/>
  <c r="L317" i="3"/>
  <c r="M317" i="3"/>
  <c r="N317" i="3"/>
  <c r="O317" i="3"/>
  <c r="P317" i="3"/>
  <c r="Q317" i="3"/>
  <c r="R317" i="3"/>
  <c r="S317" i="3"/>
  <c r="T317" i="3"/>
  <c r="U317" i="3"/>
  <c r="V317" i="3"/>
  <c r="W317" i="3"/>
  <c r="X317" i="3"/>
  <c r="Y317" i="3"/>
  <c r="Z317" i="3"/>
  <c r="AA317" i="3"/>
  <c r="AB317" i="3"/>
  <c r="AC317" i="3"/>
  <c r="AD317" i="3"/>
  <c r="AE317" i="3"/>
  <c r="AF317" i="3"/>
  <c r="AG317" i="3"/>
  <c r="AH317" i="3"/>
  <c r="AI317" i="3"/>
  <c r="AJ317" i="3"/>
  <c r="B318" i="3"/>
  <c r="C318" i="3"/>
  <c r="D318" i="3"/>
  <c r="E318" i="3"/>
  <c r="F318" i="3"/>
  <c r="G318" i="3"/>
  <c r="H318" i="3"/>
  <c r="I318" i="3"/>
  <c r="J318" i="3"/>
  <c r="K318" i="3"/>
  <c r="L318" i="3"/>
  <c r="M318" i="3"/>
  <c r="N318" i="3"/>
  <c r="O318" i="3"/>
  <c r="P318" i="3"/>
  <c r="Q318" i="3"/>
  <c r="R318" i="3"/>
  <c r="S318" i="3"/>
  <c r="T318" i="3"/>
  <c r="U318" i="3"/>
  <c r="V318" i="3"/>
  <c r="W318" i="3"/>
  <c r="X318" i="3"/>
  <c r="Y318" i="3"/>
  <c r="Z318" i="3"/>
  <c r="AA318" i="3"/>
  <c r="AB318" i="3"/>
  <c r="AC318" i="3"/>
  <c r="AD318" i="3"/>
  <c r="AE318" i="3"/>
  <c r="AF318" i="3"/>
  <c r="AG318" i="3"/>
  <c r="AH318" i="3"/>
  <c r="AI318" i="3"/>
  <c r="AJ318" i="3"/>
  <c r="B319" i="3"/>
  <c r="C319" i="3"/>
  <c r="D319" i="3"/>
  <c r="E319" i="3"/>
  <c r="F319" i="3"/>
  <c r="G319" i="3"/>
  <c r="H319" i="3"/>
  <c r="I319" i="3"/>
  <c r="J319" i="3"/>
  <c r="K319" i="3"/>
  <c r="L319" i="3"/>
  <c r="M319" i="3"/>
  <c r="N319" i="3"/>
  <c r="O319" i="3"/>
  <c r="P319" i="3"/>
  <c r="Q319" i="3"/>
  <c r="R319" i="3"/>
  <c r="S319" i="3"/>
  <c r="T319" i="3"/>
  <c r="U319" i="3"/>
  <c r="V319" i="3"/>
  <c r="W319" i="3"/>
  <c r="X319" i="3"/>
  <c r="Y319" i="3"/>
  <c r="Z319" i="3"/>
  <c r="AA319" i="3"/>
  <c r="AB319" i="3"/>
  <c r="AC319" i="3"/>
  <c r="AD319" i="3"/>
  <c r="AE319" i="3"/>
  <c r="AF319" i="3"/>
  <c r="AG319" i="3"/>
  <c r="AH319" i="3"/>
  <c r="AI319" i="3"/>
  <c r="AJ319" i="3"/>
  <c r="B320" i="3"/>
  <c r="C320" i="3"/>
  <c r="D320" i="3"/>
  <c r="E320" i="3"/>
  <c r="F320" i="3"/>
  <c r="G320" i="3"/>
  <c r="H320" i="3"/>
  <c r="I320" i="3"/>
  <c r="J320" i="3"/>
  <c r="K320" i="3"/>
  <c r="L320" i="3"/>
  <c r="M320" i="3"/>
  <c r="N320" i="3"/>
  <c r="O320" i="3"/>
  <c r="P320" i="3"/>
  <c r="Q320" i="3"/>
  <c r="R320" i="3"/>
  <c r="S320" i="3"/>
  <c r="T320" i="3"/>
  <c r="U320" i="3"/>
  <c r="V320" i="3"/>
  <c r="W320" i="3"/>
  <c r="X320" i="3"/>
  <c r="Y320" i="3"/>
  <c r="Z320" i="3"/>
  <c r="AA320" i="3"/>
  <c r="AB320" i="3"/>
  <c r="AC320" i="3"/>
  <c r="AD320" i="3"/>
  <c r="AE320" i="3"/>
  <c r="AF320" i="3"/>
  <c r="AG320" i="3"/>
  <c r="AH320" i="3"/>
  <c r="AI320" i="3"/>
  <c r="AJ320" i="3"/>
  <c r="B321" i="3"/>
  <c r="C321" i="3"/>
  <c r="D321" i="3"/>
  <c r="E321" i="3"/>
  <c r="F321" i="3"/>
  <c r="G321" i="3"/>
  <c r="H321" i="3"/>
  <c r="I321" i="3"/>
  <c r="J321" i="3"/>
  <c r="K321" i="3"/>
  <c r="L321" i="3"/>
  <c r="M321" i="3"/>
  <c r="N321" i="3"/>
  <c r="O321" i="3"/>
  <c r="P321" i="3"/>
  <c r="Q321" i="3"/>
  <c r="R321" i="3"/>
  <c r="S321" i="3"/>
  <c r="T321" i="3"/>
  <c r="U321" i="3"/>
  <c r="V321" i="3"/>
  <c r="W321" i="3"/>
  <c r="X321" i="3"/>
  <c r="Y321" i="3"/>
  <c r="Z321" i="3"/>
  <c r="AA321" i="3"/>
  <c r="AB321" i="3"/>
  <c r="AC321" i="3"/>
  <c r="AD321" i="3"/>
  <c r="AE321" i="3"/>
  <c r="AF321" i="3"/>
  <c r="AG321" i="3"/>
  <c r="AH321" i="3"/>
  <c r="AI321" i="3"/>
  <c r="AJ321" i="3"/>
  <c r="B322" i="3"/>
  <c r="C322" i="3"/>
  <c r="D322" i="3"/>
  <c r="E322" i="3"/>
  <c r="F322" i="3"/>
  <c r="G322" i="3"/>
  <c r="H322" i="3"/>
  <c r="I322" i="3"/>
  <c r="J322" i="3"/>
  <c r="K322" i="3"/>
  <c r="L322" i="3"/>
  <c r="M322" i="3"/>
  <c r="N322" i="3"/>
  <c r="O322" i="3"/>
  <c r="P322" i="3"/>
  <c r="Q322" i="3"/>
  <c r="R322" i="3"/>
  <c r="S322" i="3"/>
  <c r="T322" i="3"/>
  <c r="U322" i="3"/>
  <c r="V322" i="3"/>
  <c r="W322" i="3"/>
  <c r="X322" i="3"/>
  <c r="Y322" i="3"/>
  <c r="Z322" i="3"/>
  <c r="AA322" i="3"/>
  <c r="AB322" i="3"/>
  <c r="AC322" i="3"/>
  <c r="AD322" i="3"/>
  <c r="AE322" i="3"/>
  <c r="AF322" i="3"/>
  <c r="AG322" i="3"/>
  <c r="AH322" i="3"/>
  <c r="AI322" i="3"/>
  <c r="AJ322" i="3"/>
  <c r="B323" i="3"/>
  <c r="C323" i="3"/>
  <c r="D323" i="3"/>
  <c r="E323" i="3"/>
  <c r="F323" i="3"/>
  <c r="G323" i="3"/>
  <c r="H323" i="3"/>
  <c r="I323" i="3"/>
  <c r="J323" i="3"/>
  <c r="K323" i="3"/>
  <c r="L323" i="3"/>
  <c r="M323" i="3"/>
  <c r="N323" i="3"/>
  <c r="O323" i="3"/>
  <c r="P323" i="3"/>
  <c r="Q323" i="3"/>
  <c r="R323" i="3"/>
  <c r="S323" i="3"/>
  <c r="T323" i="3"/>
  <c r="U323" i="3"/>
  <c r="V323" i="3"/>
  <c r="W323" i="3"/>
  <c r="X323" i="3"/>
  <c r="Y323" i="3"/>
  <c r="Z323" i="3"/>
  <c r="AA323" i="3"/>
  <c r="AB323" i="3"/>
  <c r="AC323" i="3"/>
  <c r="AD323" i="3"/>
  <c r="AE323" i="3"/>
  <c r="AF323" i="3"/>
  <c r="AG323" i="3"/>
  <c r="AH323" i="3"/>
  <c r="AI323" i="3"/>
  <c r="AJ323" i="3"/>
  <c r="B324" i="3"/>
  <c r="C324" i="3"/>
  <c r="D324" i="3"/>
  <c r="E324" i="3"/>
  <c r="F324" i="3"/>
  <c r="G324" i="3"/>
  <c r="H324" i="3"/>
  <c r="I324" i="3"/>
  <c r="J324" i="3"/>
  <c r="K324" i="3"/>
  <c r="L324" i="3"/>
  <c r="M324" i="3"/>
  <c r="N324" i="3"/>
  <c r="O324" i="3"/>
  <c r="P324" i="3"/>
  <c r="Q324" i="3"/>
  <c r="R324" i="3"/>
  <c r="S324" i="3"/>
  <c r="T324" i="3"/>
  <c r="U324" i="3"/>
  <c r="V324" i="3"/>
  <c r="W324" i="3"/>
  <c r="X324" i="3"/>
  <c r="Y324" i="3"/>
  <c r="Z324" i="3"/>
  <c r="AA324" i="3"/>
  <c r="AB324" i="3"/>
  <c r="AC324" i="3"/>
  <c r="AD324" i="3"/>
  <c r="AE324" i="3"/>
  <c r="AF324" i="3"/>
  <c r="AG324" i="3"/>
  <c r="AH324" i="3"/>
  <c r="AI324" i="3"/>
  <c r="AJ324" i="3"/>
  <c r="B325" i="3"/>
  <c r="C325" i="3"/>
  <c r="D325" i="3"/>
  <c r="E325" i="3"/>
  <c r="F325" i="3"/>
  <c r="G325" i="3"/>
  <c r="H325" i="3"/>
  <c r="I325" i="3"/>
  <c r="J325" i="3"/>
  <c r="K325" i="3"/>
  <c r="L325" i="3"/>
  <c r="M325" i="3"/>
  <c r="N325" i="3"/>
  <c r="O325" i="3"/>
  <c r="P325" i="3"/>
  <c r="Q325" i="3"/>
  <c r="R325" i="3"/>
  <c r="S325" i="3"/>
  <c r="T325" i="3"/>
  <c r="U325" i="3"/>
  <c r="V325" i="3"/>
  <c r="W325" i="3"/>
  <c r="X325" i="3"/>
  <c r="Y325" i="3"/>
  <c r="Z325" i="3"/>
  <c r="AA325" i="3"/>
  <c r="AB325" i="3"/>
  <c r="AC325" i="3"/>
  <c r="AD325" i="3"/>
  <c r="AE325" i="3"/>
  <c r="AF325" i="3"/>
  <c r="AG325" i="3"/>
  <c r="AH325" i="3"/>
  <c r="AI325" i="3"/>
  <c r="AJ325" i="3"/>
  <c r="B326" i="3"/>
  <c r="C326" i="3"/>
  <c r="D326" i="3"/>
  <c r="E326" i="3"/>
  <c r="F326" i="3"/>
  <c r="G326" i="3"/>
  <c r="H326" i="3"/>
  <c r="I326" i="3"/>
  <c r="J326" i="3"/>
  <c r="K326" i="3"/>
  <c r="L326" i="3"/>
  <c r="M326" i="3"/>
  <c r="N326" i="3"/>
  <c r="O326" i="3"/>
  <c r="P326" i="3"/>
  <c r="Q326" i="3"/>
  <c r="R326" i="3"/>
  <c r="S326" i="3"/>
  <c r="T326" i="3"/>
  <c r="U326" i="3"/>
  <c r="V326" i="3"/>
  <c r="W326" i="3"/>
  <c r="X326" i="3"/>
  <c r="Y326" i="3"/>
  <c r="Z326" i="3"/>
  <c r="AA326" i="3"/>
  <c r="AB326" i="3"/>
  <c r="AC326" i="3"/>
  <c r="AD326" i="3"/>
  <c r="AE326" i="3"/>
  <c r="AF326" i="3"/>
  <c r="AG326" i="3"/>
  <c r="AH326" i="3"/>
  <c r="AI326" i="3"/>
  <c r="AJ326" i="3"/>
  <c r="B327" i="3"/>
  <c r="C327" i="3"/>
  <c r="D327" i="3"/>
  <c r="E327" i="3"/>
  <c r="F327" i="3"/>
  <c r="G327" i="3"/>
  <c r="H327" i="3"/>
  <c r="I327" i="3"/>
  <c r="J327" i="3"/>
  <c r="K327" i="3"/>
  <c r="L327" i="3"/>
  <c r="M327" i="3"/>
  <c r="N327" i="3"/>
  <c r="O327" i="3"/>
  <c r="P327" i="3"/>
  <c r="Q327" i="3"/>
  <c r="R327" i="3"/>
  <c r="S327" i="3"/>
  <c r="T327" i="3"/>
  <c r="U327" i="3"/>
  <c r="V327" i="3"/>
  <c r="W327" i="3"/>
  <c r="X327" i="3"/>
  <c r="Y327" i="3"/>
  <c r="Z327" i="3"/>
  <c r="AA327" i="3"/>
  <c r="AB327" i="3"/>
  <c r="AC327" i="3"/>
  <c r="AD327" i="3"/>
  <c r="AE327" i="3"/>
  <c r="AF327" i="3"/>
  <c r="AG327" i="3"/>
  <c r="AH327" i="3"/>
  <c r="AI327" i="3"/>
  <c r="AJ327" i="3"/>
  <c r="B328" i="3"/>
  <c r="C328" i="3"/>
  <c r="D328" i="3"/>
  <c r="E328" i="3"/>
  <c r="F328" i="3"/>
  <c r="G328" i="3"/>
  <c r="H328" i="3"/>
  <c r="I328" i="3"/>
  <c r="J328" i="3"/>
  <c r="K328" i="3"/>
  <c r="L328" i="3"/>
  <c r="M328" i="3"/>
  <c r="N328" i="3"/>
  <c r="O328" i="3"/>
  <c r="P328" i="3"/>
  <c r="Q328" i="3"/>
  <c r="R328" i="3"/>
  <c r="S328" i="3"/>
  <c r="T328" i="3"/>
  <c r="U328" i="3"/>
  <c r="V328" i="3"/>
  <c r="W328" i="3"/>
  <c r="X328" i="3"/>
  <c r="Y328" i="3"/>
  <c r="Z328" i="3"/>
  <c r="AA328" i="3"/>
  <c r="AB328" i="3"/>
  <c r="AC328" i="3"/>
  <c r="AD328" i="3"/>
  <c r="AE328" i="3"/>
  <c r="AF328" i="3"/>
  <c r="AG328" i="3"/>
  <c r="AH328" i="3"/>
  <c r="AI328" i="3"/>
  <c r="AJ328" i="3"/>
  <c r="B329" i="3"/>
  <c r="C329" i="3"/>
  <c r="D329" i="3"/>
  <c r="E329" i="3"/>
  <c r="F329" i="3"/>
  <c r="G329" i="3"/>
  <c r="H329" i="3"/>
  <c r="I329" i="3"/>
  <c r="J329" i="3"/>
  <c r="K329" i="3"/>
  <c r="L329" i="3"/>
  <c r="M329" i="3"/>
  <c r="N329" i="3"/>
  <c r="O329" i="3"/>
  <c r="P329" i="3"/>
  <c r="Q329" i="3"/>
  <c r="R329" i="3"/>
  <c r="S329" i="3"/>
  <c r="T329" i="3"/>
  <c r="U329" i="3"/>
  <c r="V329" i="3"/>
  <c r="W329" i="3"/>
  <c r="X329" i="3"/>
  <c r="Y329" i="3"/>
  <c r="Z329" i="3"/>
  <c r="AA329" i="3"/>
  <c r="AB329" i="3"/>
  <c r="AC329" i="3"/>
  <c r="AD329" i="3"/>
  <c r="AE329" i="3"/>
  <c r="AF329" i="3"/>
  <c r="AG329" i="3"/>
  <c r="AH329" i="3"/>
  <c r="AI329" i="3"/>
  <c r="AJ329" i="3"/>
  <c r="B330" i="3"/>
  <c r="C330" i="3"/>
  <c r="D330" i="3"/>
  <c r="E330" i="3"/>
  <c r="F330" i="3"/>
  <c r="G330" i="3"/>
  <c r="H330" i="3"/>
  <c r="I330" i="3"/>
  <c r="J330" i="3"/>
  <c r="K330" i="3"/>
  <c r="L330" i="3"/>
  <c r="M330" i="3"/>
  <c r="N330" i="3"/>
  <c r="O330" i="3"/>
  <c r="P330" i="3"/>
  <c r="Q330" i="3"/>
  <c r="R330" i="3"/>
  <c r="S330" i="3"/>
  <c r="T330" i="3"/>
  <c r="U330" i="3"/>
  <c r="V330" i="3"/>
  <c r="W330" i="3"/>
  <c r="X330" i="3"/>
  <c r="Y330" i="3"/>
  <c r="Z330" i="3"/>
  <c r="AA330" i="3"/>
  <c r="AB330" i="3"/>
  <c r="AC330" i="3"/>
  <c r="AD330" i="3"/>
  <c r="AE330" i="3"/>
  <c r="AF330" i="3"/>
  <c r="AG330" i="3"/>
  <c r="AH330" i="3"/>
  <c r="AI330" i="3"/>
  <c r="AJ330" i="3"/>
  <c r="B331" i="3"/>
  <c r="C331" i="3"/>
  <c r="D331" i="3"/>
  <c r="E331" i="3"/>
  <c r="F331" i="3"/>
  <c r="G331" i="3"/>
  <c r="H331" i="3"/>
  <c r="I331" i="3"/>
  <c r="J331" i="3"/>
  <c r="K331" i="3"/>
  <c r="L331" i="3"/>
  <c r="M331" i="3"/>
  <c r="N331" i="3"/>
  <c r="O331" i="3"/>
  <c r="P331" i="3"/>
  <c r="Q331" i="3"/>
  <c r="R331" i="3"/>
  <c r="S331" i="3"/>
  <c r="T331" i="3"/>
  <c r="U331" i="3"/>
  <c r="V331" i="3"/>
  <c r="W331" i="3"/>
  <c r="X331" i="3"/>
  <c r="Y331" i="3"/>
  <c r="Z331" i="3"/>
  <c r="AA331" i="3"/>
  <c r="AB331" i="3"/>
  <c r="AC331" i="3"/>
  <c r="AD331" i="3"/>
  <c r="AE331" i="3"/>
  <c r="AF331" i="3"/>
  <c r="AG331" i="3"/>
  <c r="AH331" i="3"/>
  <c r="AI331" i="3"/>
  <c r="AJ331" i="3"/>
  <c r="B332" i="3"/>
  <c r="C332" i="3"/>
  <c r="D332" i="3"/>
  <c r="E332" i="3"/>
  <c r="F332" i="3"/>
  <c r="G332" i="3"/>
  <c r="H332" i="3"/>
  <c r="I332" i="3"/>
  <c r="J332" i="3"/>
  <c r="K332" i="3"/>
  <c r="L332" i="3"/>
  <c r="M332" i="3"/>
  <c r="N332" i="3"/>
  <c r="O332" i="3"/>
  <c r="P332" i="3"/>
  <c r="Q332" i="3"/>
  <c r="R332" i="3"/>
  <c r="S332" i="3"/>
  <c r="T332" i="3"/>
  <c r="U332" i="3"/>
  <c r="V332" i="3"/>
  <c r="W332" i="3"/>
  <c r="X332" i="3"/>
  <c r="Y332" i="3"/>
  <c r="Z332" i="3"/>
  <c r="AA332" i="3"/>
  <c r="AB332" i="3"/>
  <c r="AC332" i="3"/>
  <c r="AD332" i="3"/>
  <c r="AE332" i="3"/>
  <c r="AF332" i="3"/>
  <c r="AG332" i="3"/>
  <c r="AH332" i="3"/>
  <c r="AI332" i="3"/>
  <c r="AJ332" i="3"/>
  <c r="B333" i="3"/>
  <c r="C333" i="3"/>
  <c r="D333" i="3"/>
  <c r="E333" i="3"/>
  <c r="F333" i="3"/>
  <c r="G333" i="3"/>
  <c r="H333" i="3"/>
  <c r="I333" i="3"/>
  <c r="J333" i="3"/>
  <c r="K333" i="3"/>
  <c r="L333" i="3"/>
  <c r="M333" i="3"/>
  <c r="N333" i="3"/>
  <c r="O333" i="3"/>
  <c r="P333" i="3"/>
  <c r="Q333" i="3"/>
  <c r="R333" i="3"/>
  <c r="S333" i="3"/>
  <c r="T333" i="3"/>
  <c r="U333" i="3"/>
  <c r="V333" i="3"/>
  <c r="W333" i="3"/>
  <c r="X333" i="3"/>
  <c r="Y333" i="3"/>
  <c r="Z333" i="3"/>
  <c r="AA333" i="3"/>
  <c r="AB333" i="3"/>
  <c r="AC333" i="3"/>
  <c r="AD333" i="3"/>
  <c r="AE333" i="3"/>
  <c r="AF333" i="3"/>
  <c r="AG333" i="3"/>
  <c r="AH333" i="3"/>
  <c r="AI333" i="3"/>
  <c r="AJ333" i="3"/>
  <c r="B334" i="3"/>
  <c r="C334" i="3"/>
  <c r="D334" i="3"/>
  <c r="E334" i="3"/>
  <c r="F334" i="3"/>
  <c r="G334" i="3"/>
  <c r="H334" i="3"/>
  <c r="I334" i="3"/>
  <c r="J334" i="3"/>
  <c r="K334" i="3"/>
  <c r="L334" i="3"/>
  <c r="M334" i="3"/>
  <c r="N334" i="3"/>
  <c r="O334" i="3"/>
  <c r="P334" i="3"/>
  <c r="Q334" i="3"/>
  <c r="R334" i="3"/>
  <c r="S334" i="3"/>
  <c r="T334" i="3"/>
  <c r="U334" i="3"/>
  <c r="V334" i="3"/>
  <c r="W334" i="3"/>
  <c r="X334" i="3"/>
  <c r="Y334" i="3"/>
  <c r="Z334" i="3"/>
  <c r="AA334" i="3"/>
  <c r="AB334" i="3"/>
  <c r="AC334" i="3"/>
  <c r="AD334" i="3"/>
  <c r="AE334" i="3"/>
  <c r="AF334" i="3"/>
  <c r="AG334" i="3"/>
  <c r="AH334" i="3"/>
  <c r="AI334" i="3"/>
  <c r="AJ334" i="3"/>
  <c r="B335" i="3"/>
  <c r="C335" i="3"/>
  <c r="D335" i="3"/>
  <c r="E335" i="3"/>
  <c r="F335" i="3"/>
  <c r="G335" i="3"/>
  <c r="H335" i="3"/>
  <c r="I335" i="3"/>
  <c r="J335" i="3"/>
  <c r="K335" i="3"/>
  <c r="L335" i="3"/>
  <c r="M335" i="3"/>
  <c r="N335" i="3"/>
  <c r="O335" i="3"/>
  <c r="P335" i="3"/>
  <c r="Q335" i="3"/>
  <c r="R335" i="3"/>
  <c r="S335" i="3"/>
  <c r="T335" i="3"/>
  <c r="U335" i="3"/>
  <c r="V335" i="3"/>
  <c r="W335" i="3"/>
  <c r="X335" i="3"/>
  <c r="Y335" i="3"/>
  <c r="Z335" i="3"/>
  <c r="AA335" i="3"/>
  <c r="AB335" i="3"/>
  <c r="AC335" i="3"/>
  <c r="AD335" i="3"/>
  <c r="AE335" i="3"/>
  <c r="AF335" i="3"/>
  <c r="AG335" i="3"/>
  <c r="AH335" i="3"/>
  <c r="AI335" i="3"/>
  <c r="AJ335" i="3"/>
  <c r="B336" i="3"/>
  <c r="C336" i="3"/>
  <c r="D336" i="3"/>
  <c r="E336" i="3"/>
  <c r="F336" i="3"/>
  <c r="G336" i="3"/>
  <c r="H336" i="3"/>
  <c r="I336" i="3"/>
  <c r="J336" i="3"/>
  <c r="K336" i="3"/>
  <c r="L336" i="3"/>
  <c r="M336" i="3"/>
  <c r="N336" i="3"/>
  <c r="O336" i="3"/>
  <c r="P336" i="3"/>
  <c r="Q336" i="3"/>
  <c r="R336" i="3"/>
  <c r="S336" i="3"/>
  <c r="T336" i="3"/>
  <c r="U336" i="3"/>
  <c r="V336" i="3"/>
  <c r="W336" i="3"/>
  <c r="X336" i="3"/>
  <c r="Y336" i="3"/>
  <c r="Z336" i="3"/>
  <c r="AA336" i="3"/>
  <c r="AB336" i="3"/>
  <c r="AC336" i="3"/>
  <c r="AD336" i="3"/>
  <c r="AE336" i="3"/>
  <c r="AF336" i="3"/>
  <c r="AG336" i="3"/>
  <c r="AH336" i="3"/>
  <c r="AI336" i="3"/>
  <c r="AJ336" i="3"/>
  <c r="Z3" i="3"/>
  <c r="AA3" i="3"/>
  <c r="AB3" i="3"/>
  <c r="Y3" i="3"/>
  <c r="W3" i="3"/>
  <c r="V3" i="3"/>
  <c r="K3" i="3"/>
  <c r="L3" i="3"/>
  <c r="M3" i="3"/>
  <c r="N3" i="3"/>
  <c r="O3" i="3"/>
  <c r="P3" i="3"/>
  <c r="Q3" i="3"/>
  <c r="R3" i="3"/>
  <c r="J3" i="3"/>
  <c r="J2" i="3"/>
  <c r="B3" i="3"/>
  <c r="C3" i="3"/>
  <c r="D3" i="3"/>
  <c r="E3" i="3"/>
  <c r="F3" i="3"/>
  <c r="G3" i="3"/>
  <c r="H3" i="3"/>
  <c r="I3" i="3"/>
  <c r="S3" i="3"/>
  <c r="T3" i="3"/>
  <c r="U3" i="3"/>
  <c r="X3" i="3"/>
  <c r="AC3" i="3"/>
  <c r="AD3" i="3"/>
  <c r="AE3" i="3"/>
  <c r="AF3" i="3"/>
  <c r="AG3" i="3"/>
  <c r="AH3" i="3"/>
  <c r="AI3" i="3"/>
  <c r="AJ3" i="3"/>
  <c r="B3" i="4"/>
  <c r="C3" i="4"/>
  <c r="D3" i="4"/>
  <c r="E3" i="4"/>
  <c r="F3" i="4"/>
  <c r="B4" i="4"/>
  <c r="C4" i="4"/>
  <c r="D4" i="4"/>
  <c r="E4" i="4"/>
  <c r="F4" i="4"/>
  <c r="B5" i="4"/>
  <c r="C5" i="4"/>
  <c r="D5" i="4"/>
  <c r="E5" i="4"/>
  <c r="F5" i="4"/>
  <c r="B6" i="4"/>
  <c r="C6" i="4"/>
  <c r="D6" i="4"/>
  <c r="E6" i="4"/>
  <c r="F6" i="4"/>
  <c r="B7" i="4"/>
  <c r="C7" i="4"/>
  <c r="D7" i="4"/>
  <c r="E7" i="4"/>
  <c r="F7" i="4"/>
  <c r="B8" i="4"/>
  <c r="C8" i="4"/>
  <c r="D8" i="4"/>
  <c r="E8" i="4"/>
  <c r="F8" i="4"/>
  <c r="B9" i="4"/>
  <c r="C9" i="4"/>
  <c r="D9" i="4"/>
  <c r="E9" i="4"/>
  <c r="F9" i="4"/>
  <c r="B10" i="4"/>
  <c r="C10" i="4"/>
  <c r="D10" i="4"/>
  <c r="E10" i="4"/>
  <c r="F10" i="4"/>
  <c r="B11" i="4"/>
  <c r="C11" i="4"/>
  <c r="D11" i="4"/>
  <c r="E11" i="4"/>
  <c r="F11" i="4"/>
  <c r="B12" i="4"/>
  <c r="C12" i="4"/>
  <c r="D12" i="4"/>
  <c r="E12" i="4"/>
  <c r="F12" i="4"/>
  <c r="B13" i="4"/>
  <c r="C13" i="4"/>
  <c r="D13" i="4"/>
  <c r="E13" i="4"/>
  <c r="F13" i="4"/>
  <c r="B14" i="4"/>
  <c r="C14" i="4"/>
  <c r="D14" i="4"/>
  <c r="E14" i="4"/>
  <c r="F14" i="4"/>
  <c r="B15" i="4"/>
  <c r="C15" i="4"/>
  <c r="D15" i="4"/>
  <c r="E15" i="4"/>
  <c r="F15" i="4"/>
  <c r="B16" i="4"/>
  <c r="C16" i="4"/>
  <c r="D16" i="4"/>
  <c r="E16" i="4"/>
  <c r="F16" i="4"/>
  <c r="B17" i="4"/>
  <c r="C17" i="4"/>
  <c r="D17" i="4"/>
  <c r="E17" i="4"/>
  <c r="F17" i="4"/>
  <c r="B18" i="4"/>
  <c r="C18" i="4"/>
  <c r="D18" i="4"/>
  <c r="E18" i="4"/>
  <c r="F18" i="4"/>
  <c r="B19" i="4"/>
  <c r="C19" i="4"/>
  <c r="D19" i="4"/>
  <c r="E19" i="4"/>
  <c r="F19" i="4"/>
  <c r="B20" i="4"/>
  <c r="C20" i="4"/>
  <c r="D20" i="4"/>
  <c r="E20" i="4"/>
  <c r="F20" i="4"/>
  <c r="B21" i="4"/>
  <c r="C21" i="4"/>
  <c r="D21" i="4"/>
  <c r="E21" i="4"/>
  <c r="F21" i="4"/>
  <c r="B22" i="4"/>
  <c r="C22" i="4"/>
  <c r="D22" i="4"/>
  <c r="E22" i="4"/>
  <c r="F22" i="4"/>
  <c r="B23" i="4"/>
  <c r="C23" i="4"/>
  <c r="D23" i="4"/>
  <c r="E23" i="4"/>
  <c r="F23" i="4"/>
  <c r="B24" i="4"/>
  <c r="C24" i="4"/>
  <c r="D24" i="4"/>
  <c r="E24" i="4"/>
  <c r="F24" i="4"/>
  <c r="B25" i="4"/>
  <c r="C25" i="4"/>
  <c r="D25" i="4"/>
  <c r="E25" i="4"/>
  <c r="F25" i="4"/>
  <c r="B26" i="4"/>
  <c r="C26" i="4"/>
  <c r="D26" i="4"/>
  <c r="E26" i="4"/>
  <c r="F26" i="4"/>
  <c r="B27" i="4"/>
  <c r="C27" i="4"/>
  <c r="D27" i="4"/>
  <c r="E27" i="4"/>
  <c r="F27" i="4"/>
  <c r="B28" i="4"/>
  <c r="C28" i="4"/>
  <c r="D28" i="4"/>
  <c r="E28" i="4"/>
  <c r="F28" i="4"/>
  <c r="B29" i="4"/>
  <c r="C29" i="4"/>
  <c r="D29" i="4"/>
  <c r="E29" i="4"/>
  <c r="F29" i="4"/>
  <c r="B30" i="4"/>
  <c r="C30" i="4"/>
  <c r="D30" i="4"/>
  <c r="E30" i="4"/>
  <c r="F30" i="4"/>
  <c r="B31" i="4"/>
  <c r="C31" i="4"/>
  <c r="D31" i="4"/>
  <c r="E31" i="4"/>
  <c r="F31" i="4"/>
  <c r="B32" i="4"/>
  <c r="C32" i="4"/>
  <c r="D32" i="4"/>
  <c r="E32" i="4"/>
  <c r="F32" i="4"/>
  <c r="B33" i="4"/>
  <c r="C33" i="4"/>
  <c r="D33" i="4"/>
  <c r="E33" i="4"/>
  <c r="F33" i="4"/>
  <c r="B34" i="4"/>
  <c r="C34" i="4"/>
  <c r="D34" i="4"/>
  <c r="E34" i="4"/>
  <c r="F34" i="4"/>
  <c r="B35" i="4"/>
  <c r="C35" i="4"/>
  <c r="D35" i="4"/>
  <c r="E35" i="4"/>
  <c r="F35" i="4"/>
  <c r="B36" i="4"/>
  <c r="C36" i="4"/>
  <c r="D36" i="4"/>
  <c r="E36" i="4"/>
  <c r="F36" i="4"/>
  <c r="B37" i="4"/>
  <c r="C37" i="4"/>
  <c r="D37" i="4"/>
  <c r="E37" i="4"/>
  <c r="F37" i="4"/>
  <c r="B38" i="4"/>
  <c r="C38" i="4"/>
  <c r="D38" i="4"/>
  <c r="E38" i="4"/>
  <c r="F38" i="4"/>
  <c r="B39" i="4"/>
  <c r="C39" i="4"/>
  <c r="D39" i="4"/>
  <c r="E39" i="4"/>
  <c r="F39" i="4"/>
  <c r="B40" i="4"/>
  <c r="C40" i="4"/>
  <c r="D40" i="4"/>
  <c r="E40" i="4"/>
  <c r="F40" i="4"/>
  <c r="B41" i="4"/>
  <c r="C41" i="4"/>
  <c r="D41" i="4"/>
  <c r="E41" i="4"/>
  <c r="F41" i="4"/>
  <c r="B42" i="4"/>
  <c r="C42" i="4"/>
  <c r="D42" i="4"/>
  <c r="E42" i="4"/>
  <c r="F42" i="4"/>
  <c r="B43" i="4"/>
  <c r="C43" i="4"/>
  <c r="D43" i="4"/>
  <c r="E43" i="4"/>
  <c r="F43" i="4"/>
  <c r="B44" i="4"/>
  <c r="C44" i="4"/>
  <c r="D44" i="4"/>
  <c r="E44" i="4"/>
  <c r="F44" i="4"/>
  <c r="B45" i="4"/>
  <c r="C45" i="4"/>
  <c r="D45" i="4"/>
  <c r="E45" i="4"/>
  <c r="F45" i="4"/>
  <c r="B46" i="4"/>
  <c r="C46" i="4"/>
  <c r="D46" i="4"/>
  <c r="E46" i="4"/>
  <c r="F46" i="4"/>
  <c r="B47" i="4"/>
  <c r="C47" i="4"/>
  <c r="D47" i="4"/>
  <c r="E47" i="4"/>
  <c r="F47" i="4"/>
  <c r="B48" i="4"/>
  <c r="C48" i="4"/>
  <c r="D48" i="4"/>
  <c r="E48" i="4"/>
  <c r="F48" i="4"/>
  <c r="B49" i="4"/>
  <c r="C49" i="4"/>
  <c r="D49" i="4"/>
  <c r="E49" i="4"/>
  <c r="F49" i="4"/>
  <c r="B50" i="4"/>
  <c r="C50" i="4"/>
  <c r="D50" i="4"/>
  <c r="E50" i="4"/>
  <c r="F50" i="4"/>
  <c r="B51" i="4"/>
  <c r="C51" i="4"/>
  <c r="D51" i="4"/>
  <c r="E51" i="4"/>
  <c r="F51" i="4"/>
  <c r="B52" i="4"/>
  <c r="C52" i="4"/>
  <c r="D52" i="4"/>
  <c r="E52" i="4"/>
  <c r="F52" i="4"/>
  <c r="B53" i="4"/>
  <c r="C53" i="4"/>
  <c r="D53" i="4"/>
  <c r="E53" i="4"/>
  <c r="F53" i="4"/>
  <c r="B54" i="4"/>
  <c r="C54" i="4"/>
  <c r="D54" i="4"/>
  <c r="E54" i="4"/>
  <c r="F54" i="4"/>
  <c r="B55" i="4"/>
  <c r="C55" i="4"/>
  <c r="D55" i="4"/>
  <c r="E55" i="4"/>
  <c r="F55" i="4"/>
  <c r="B56" i="4"/>
  <c r="C56" i="4"/>
  <c r="D56" i="4"/>
  <c r="E56" i="4"/>
  <c r="F56" i="4"/>
  <c r="B57" i="4"/>
  <c r="C57" i="4"/>
  <c r="D57" i="4"/>
  <c r="E57" i="4"/>
  <c r="F57" i="4"/>
  <c r="B58" i="4"/>
  <c r="C58" i="4"/>
  <c r="D58" i="4"/>
  <c r="E58" i="4"/>
  <c r="F58" i="4"/>
  <c r="B59" i="4"/>
  <c r="C59" i="4"/>
  <c r="D59" i="4"/>
  <c r="E59" i="4"/>
  <c r="F59" i="4"/>
  <c r="B60" i="4"/>
  <c r="C60" i="4"/>
  <c r="D60" i="4"/>
  <c r="E60" i="4"/>
  <c r="F60" i="4"/>
  <c r="B61" i="4"/>
  <c r="C61" i="4"/>
  <c r="D61" i="4"/>
  <c r="E61" i="4"/>
  <c r="F61" i="4"/>
  <c r="B62" i="4"/>
  <c r="C62" i="4"/>
  <c r="D62" i="4"/>
  <c r="E62" i="4"/>
  <c r="F62" i="4"/>
  <c r="B63" i="4"/>
  <c r="C63" i="4"/>
  <c r="D63" i="4"/>
  <c r="E63" i="4"/>
  <c r="F63" i="4"/>
  <c r="B64" i="4"/>
  <c r="C64" i="4"/>
  <c r="D64" i="4"/>
  <c r="E64" i="4"/>
  <c r="F64" i="4"/>
  <c r="B65" i="4"/>
  <c r="C65" i="4"/>
  <c r="D65" i="4"/>
  <c r="E65" i="4"/>
  <c r="F65" i="4"/>
  <c r="B66" i="4"/>
  <c r="C66" i="4"/>
  <c r="D66" i="4"/>
  <c r="E66" i="4"/>
  <c r="F66" i="4"/>
  <c r="B67" i="4"/>
  <c r="C67" i="4"/>
  <c r="D67" i="4"/>
  <c r="E67" i="4"/>
  <c r="F67" i="4"/>
  <c r="B68" i="4"/>
  <c r="C68" i="4"/>
  <c r="D68" i="4"/>
  <c r="E68" i="4"/>
  <c r="F68" i="4"/>
  <c r="B69" i="4"/>
  <c r="C69" i="4"/>
  <c r="D69" i="4"/>
  <c r="E69" i="4"/>
  <c r="F69" i="4"/>
  <c r="B70" i="4"/>
  <c r="C70" i="4"/>
  <c r="D70" i="4"/>
  <c r="E70" i="4"/>
  <c r="F70" i="4"/>
  <c r="B71" i="4"/>
  <c r="C71" i="4"/>
  <c r="D71" i="4"/>
  <c r="E71" i="4"/>
  <c r="F71" i="4"/>
  <c r="B72" i="4"/>
  <c r="C72" i="4"/>
  <c r="D72" i="4"/>
  <c r="E72" i="4"/>
  <c r="F72" i="4"/>
  <c r="B73" i="4"/>
  <c r="C73" i="4"/>
  <c r="D73" i="4"/>
  <c r="E73" i="4"/>
  <c r="F73" i="4"/>
  <c r="B74" i="4"/>
  <c r="C74" i="4"/>
  <c r="D74" i="4"/>
  <c r="E74" i="4"/>
  <c r="F74" i="4"/>
  <c r="B75" i="4"/>
  <c r="C75" i="4"/>
  <c r="D75" i="4"/>
  <c r="E75" i="4"/>
  <c r="F75" i="4"/>
  <c r="B76" i="4"/>
  <c r="C76" i="4"/>
  <c r="D76" i="4"/>
  <c r="E76" i="4"/>
  <c r="F76" i="4"/>
  <c r="B77" i="4"/>
  <c r="C77" i="4"/>
  <c r="D77" i="4"/>
  <c r="E77" i="4"/>
  <c r="F77" i="4"/>
  <c r="B78" i="4"/>
  <c r="C78" i="4"/>
  <c r="D78" i="4"/>
  <c r="E78" i="4"/>
  <c r="F78" i="4"/>
  <c r="B79" i="4"/>
  <c r="C79" i="4"/>
  <c r="D79" i="4"/>
  <c r="E79" i="4"/>
  <c r="F79" i="4"/>
  <c r="B80" i="4"/>
  <c r="C80" i="4"/>
  <c r="D80" i="4"/>
  <c r="E80" i="4"/>
  <c r="F80" i="4"/>
  <c r="B81" i="4"/>
  <c r="C81" i="4"/>
  <c r="D81" i="4"/>
  <c r="E81" i="4"/>
  <c r="F81" i="4"/>
  <c r="B82" i="4"/>
  <c r="C82" i="4"/>
  <c r="D82" i="4"/>
  <c r="E82" i="4"/>
  <c r="F82" i="4"/>
  <c r="B83" i="4"/>
  <c r="C83" i="4"/>
  <c r="D83" i="4"/>
  <c r="E83" i="4"/>
  <c r="F83" i="4"/>
  <c r="B84" i="4"/>
  <c r="C84" i="4"/>
  <c r="D84" i="4"/>
  <c r="E84" i="4"/>
  <c r="F84" i="4"/>
  <c r="B85" i="4"/>
  <c r="C85" i="4"/>
  <c r="D85" i="4"/>
  <c r="E85" i="4"/>
  <c r="F85" i="4"/>
  <c r="B86" i="4"/>
  <c r="C86" i="4"/>
  <c r="D86" i="4"/>
  <c r="E86" i="4"/>
  <c r="F86" i="4"/>
  <c r="B87" i="4"/>
  <c r="C87" i="4"/>
  <c r="D87" i="4"/>
  <c r="E87" i="4"/>
  <c r="F87" i="4"/>
  <c r="B88" i="4"/>
  <c r="C88" i="4"/>
  <c r="D88" i="4"/>
  <c r="E88" i="4"/>
  <c r="F88" i="4"/>
  <c r="B89" i="4"/>
  <c r="C89" i="4"/>
  <c r="D89" i="4"/>
  <c r="E89" i="4"/>
  <c r="F89" i="4"/>
  <c r="B90" i="4"/>
  <c r="C90" i="4"/>
  <c r="D90" i="4"/>
  <c r="E90" i="4"/>
  <c r="F90" i="4"/>
  <c r="B91" i="4"/>
  <c r="C91" i="4"/>
  <c r="D91" i="4"/>
  <c r="E91" i="4"/>
  <c r="F91" i="4"/>
  <c r="B92" i="4"/>
  <c r="C92" i="4"/>
  <c r="D92" i="4"/>
  <c r="E92" i="4"/>
  <c r="F92" i="4"/>
  <c r="B93" i="4"/>
  <c r="C93" i="4"/>
  <c r="D93" i="4"/>
  <c r="E93" i="4"/>
  <c r="F93" i="4"/>
  <c r="B94" i="4"/>
  <c r="C94" i="4"/>
  <c r="D94" i="4"/>
  <c r="E94" i="4"/>
  <c r="F94" i="4"/>
  <c r="B95" i="4"/>
  <c r="C95" i="4"/>
  <c r="D95" i="4"/>
  <c r="E95" i="4"/>
  <c r="F95" i="4"/>
  <c r="B96" i="4"/>
  <c r="C96" i="4"/>
  <c r="D96" i="4"/>
  <c r="E96" i="4"/>
  <c r="F96" i="4"/>
  <c r="B97" i="4"/>
  <c r="C97" i="4"/>
  <c r="D97" i="4"/>
  <c r="E97" i="4"/>
  <c r="F97" i="4"/>
  <c r="B98" i="4"/>
  <c r="C98" i="4"/>
  <c r="D98" i="4"/>
  <c r="E98" i="4"/>
  <c r="F98" i="4"/>
  <c r="B99" i="4"/>
  <c r="C99" i="4"/>
  <c r="D99" i="4"/>
  <c r="E99" i="4"/>
  <c r="F99" i="4"/>
  <c r="B100" i="4"/>
  <c r="C100" i="4"/>
  <c r="D100" i="4"/>
  <c r="E100" i="4"/>
  <c r="F100" i="4"/>
  <c r="B101" i="4"/>
  <c r="C101" i="4"/>
  <c r="D101" i="4"/>
  <c r="E101" i="4"/>
  <c r="F101" i="4"/>
  <c r="B102" i="4"/>
  <c r="C102" i="4"/>
  <c r="D102" i="4"/>
  <c r="E102" i="4"/>
  <c r="F102" i="4"/>
  <c r="B103" i="4"/>
  <c r="C103" i="4"/>
  <c r="D103" i="4"/>
  <c r="E103" i="4"/>
  <c r="F103" i="4"/>
  <c r="B104" i="4"/>
  <c r="C104" i="4"/>
  <c r="D104" i="4"/>
  <c r="E104" i="4"/>
  <c r="F104" i="4"/>
  <c r="B105" i="4"/>
  <c r="C105" i="4"/>
  <c r="D105" i="4"/>
  <c r="E105" i="4"/>
  <c r="F105" i="4"/>
  <c r="B106" i="4"/>
  <c r="C106" i="4"/>
  <c r="D106" i="4"/>
  <c r="E106" i="4"/>
  <c r="F106" i="4"/>
  <c r="B107" i="4"/>
  <c r="C107" i="4"/>
  <c r="D107" i="4"/>
  <c r="E107" i="4"/>
  <c r="F107" i="4"/>
  <c r="B108" i="4"/>
  <c r="C108" i="4"/>
  <c r="D108" i="4"/>
  <c r="E108" i="4"/>
  <c r="F108" i="4"/>
  <c r="B109" i="4"/>
  <c r="C109" i="4"/>
  <c r="D109" i="4"/>
  <c r="E109" i="4"/>
  <c r="F109" i="4"/>
  <c r="B110" i="4"/>
  <c r="C110" i="4"/>
  <c r="D110" i="4"/>
  <c r="E110" i="4"/>
  <c r="F110" i="4"/>
  <c r="B111" i="4"/>
  <c r="C111" i="4"/>
  <c r="D111" i="4"/>
  <c r="E111" i="4"/>
  <c r="F111" i="4"/>
  <c r="B112" i="4"/>
  <c r="C112" i="4"/>
  <c r="D112" i="4"/>
  <c r="E112" i="4"/>
  <c r="F112" i="4"/>
  <c r="B113" i="4"/>
  <c r="C113" i="4"/>
  <c r="D113" i="4"/>
  <c r="E113" i="4"/>
  <c r="F113" i="4"/>
  <c r="B114" i="4"/>
  <c r="C114" i="4"/>
  <c r="D114" i="4"/>
  <c r="E114" i="4"/>
  <c r="F114" i="4"/>
  <c r="B115" i="4"/>
  <c r="C115" i="4"/>
  <c r="D115" i="4"/>
  <c r="E115" i="4"/>
  <c r="F115" i="4"/>
  <c r="B116" i="4"/>
  <c r="C116" i="4"/>
  <c r="D116" i="4"/>
  <c r="E116" i="4"/>
  <c r="F116" i="4"/>
  <c r="B117" i="4"/>
  <c r="C117" i="4"/>
  <c r="D117" i="4"/>
  <c r="E117" i="4"/>
  <c r="F117" i="4"/>
  <c r="B118" i="4"/>
  <c r="C118" i="4"/>
  <c r="D118" i="4"/>
  <c r="E118" i="4"/>
  <c r="F118" i="4"/>
  <c r="B119" i="4"/>
  <c r="C119" i="4"/>
  <c r="D119" i="4"/>
  <c r="E119" i="4"/>
  <c r="F119" i="4"/>
  <c r="B120" i="4"/>
  <c r="C120" i="4"/>
  <c r="D120" i="4"/>
  <c r="E120" i="4"/>
  <c r="F120" i="4"/>
  <c r="B121" i="4"/>
  <c r="C121" i="4"/>
  <c r="D121" i="4"/>
  <c r="E121" i="4"/>
  <c r="F121" i="4"/>
  <c r="B122" i="4"/>
  <c r="C122" i="4"/>
  <c r="D122" i="4"/>
  <c r="E122" i="4"/>
  <c r="F122" i="4"/>
  <c r="B123" i="4"/>
  <c r="C123" i="4"/>
  <c r="D123" i="4"/>
  <c r="E123" i="4"/>
  <c r="F123" i="4"/>
  <c r="B124" i="4"/>
  <c r="C124" i="4"/>
  <c r="D124" i="4"/>
  <c r="E124" i="4"/>
  <c r="F124" i="4"/>
  <c r="B125" i="4"/>
  <c r="C125" i="4"/>
  <c r="D125" i="4"/>
  <c r="E125" i="4"/>
  <c r="F125" i="4"/>
  <c r="B126" i="4"/>
  <c r="C126" i="4"/>
  <c r="D126" i="4"/>
  <c r="E126" i="4"/>
  <c r="F126" i="4"/>
  <c r="B127" i="4"/>
  <c r="C127" i="4"/>
  <c r="D127" i="4"/>
  <c r="E127" i="4"/>
  <c r="F127" i="4"/>
  <c r="B128" i="4"/>
  <c r="C128" i="4"/>
  <c r="D128" i="4"/>
  <c r="E128" i="4"/>
  <c r="F128" i="4"/>
  <c r="B129" i="4"/>
  <c r="C129" i="4"/>
  <c r="D129" i="4"/>
  <c r="E129" i="4"/>
  <c r="F129" i="4"/>
  <c r="B130" i="4"/>
  <c r="C130" i="4"/>
  <c r="D130" i="4"/>
  <c r="E130" i="4"/>
  <c r="F130" i="4"/>
  <c r="B131" i="4"/>
  <c r="C131" i="4"/>
  <c r="D131" i="4"/>
  <c r="E131" i="4"/>
  <c r="F131" i="4"/>
  <c r="B132" i="4"/>
  <c r="C132" i="4"/>
  <c r="D132" i="4"/>
  <c r="E132" i="4"/>
  <c r="F132" i="4"/>
  <c r="B133" i="4"/>
  <c r="C133" i="4"/>
  <c r="D133" i="4"/>
  <c r="E133" i="4"/>
  <c r="F133" i="4"/>
  <c r="B134" i="4"/>
  <c r="C134" i="4"/>
  <c r="D134" i="4"/>
  <c r="E134" i="4"/>
  <c r="F134" i="4"/>
  <c r="B135" i="4"/>
  <c r="C135" i="4"/>
  <c r="D135" i="4"/>
  <c r="E135" i="4"/>
  <c r="F135" i="4"/>
  <c r="B136" i="4"/>
  <c r="C136" i="4"/>
  <c r="D136" i="4"/>
  <c r="E136" i="4"/>
  <c r="F136" i="4"/>
  <c r="B137" i="4"/>
  <c r="C137" i="4"/>
  <c r="D137" i="4"/>
  <c r="E137" i="4"/>
  <c r="F137" i="4"/>
  <c r="B138" i="4"/>
  <c r="C138" i="4"/>
  <c r="D138" i="4"/>
  <c r="E138" i="4"/>
  <c r="F138" i="4"/>
  <c r="B139" i="4"/>
  <c r="C139" i="4"/>
  <c r="D139" i="4"/>
  <c r="E139" i="4"/>
  <c r="F139" i="4"/>
  <c r="B140" i="4"/>
  <c r="C140" i="4"/>
  <c r="D140" i="4"/>
  <c r="E140" i="4"/>
  <c r="F140" i="4"/>
  <c r="B141" i="4"/>
  <c r="C141" i="4"/>
  <c r="D141" i="4"/>
  <c r="E141" i="4"/>
  <c r="F141" i="4"/>
  <c r="B142" i="4"/>
  <c r="C142" i="4"/>
  <c r="D142" i="4"/>
  <c r="E142" i="4"/>
  <c r="F142" i="4"/>
  <c r="B143" i="4"/>
  <c r="C143" i="4"/>
  <c r="D143" i="4"/>
  <c r="E143" i="4"/>
  <c r="F143" i="4"/>
  <c r="B144" i="4"/>
  <c r="C144" i="4"/>
  <c r="D144" i="4"/>
  <c r="E144" i="4"/>
  <c r="F144" i="4"/>
  <c r="B145" i="4"/>
  <c r="C145" i="4"/>
  <c r="D145" i="4"/>
  <c r="E145" i="4"/>
  <c r="F145" i="4"/>
  <c r="B146" i="4"/>
  <c r="C146" i="4"/>
  <c r="D146" i="4"/>
  <c r="E146" i="4"/>
  <c r="F146" i="4"/>
  <c r="B147" i="4"/>
  <c r="C147" i="4"/>
  <c r="D147" i="4"/>
  <c r="E147" i="4"/>
  <c r="F147" i="4"/>
  <c r="B148" i="4"/>
  <c r="C148" i="4"/>
  <c r="D148" i="4"/>
  <c r="E148" i="4"/>
  <c r="F148" i="4"/>
  <c r="B149" i="4"/>
  <c r="C149" i="4"/>
  <c r="D149" i="4"/>
  <c r="E149" i="4"/>
  <c r="F149" i="4"/>
  <c r="B150" i="4"/>
  <c r="C150" i="4"/>
  <c r="D150" i="4"/>
  <c r="E150" i="4"/>
  <c r="F150" i="4"/>
  <c r="B151" i="4"/>
  <c r="C151" i="4"/>
  <c r="D151" i="4"/>
  <c r="E151" i="4"/>
  <c r="F151" i="4"/>
  <c r="B152" i="4"/>
  <c r="C152" i="4"/>
  <c r="D152" i="4"/>
  <c r="E152" i="4"/>
  <c r="F152" i="4"/>
  <c r="B153" i="4"/>
  <c r="C153" i="4"/>
  <c r="D153" i="4"/>
  <c r="E153" i="4"/>
  <c r="F153" i="4"/>
  <c r="B154" i="4"/>
  <c r="C154" i="4"/>
  <c r="D154" i="4"/>
  <c r="E154" i="4"/>
  <c r="F154" i="4"/>
  <c r="B155" i="4"/>
  <c r="C155" i="4"/>
  <c r="D155" i="4"/>
  <c r="E155" i="4"/>
  <c r="F155" i="4"/>
  <c r="B156" i="4"/>
  <c r="C156" i="4"/>
  <c r="D156" i="4"/>
  <c r="E156" i="4"/>
  <c r="F156" i="4"/>
  <c r="B157" i="4"/>
  <c r="C157" i="4"/>
  <c r="D157" i="4"/>
  <c r="E157" i="4"/>
  <c r="F157" i="4"/>
  <c r="B158" i="4"/>
  <c r="C158" i="4"/>
  <c r="D158" i="4"/>
  <c r="E158" i="4"/>
  <c r="F158" i="4"/>
  <c r="B159" i="4"/>
  <c r="C159" i="4"/>
  <c r="D159" i="4"/>
  <c r="E159" i="4"/>
  <c r="F159" i="4"/>
  <c r="B160" i="4"/>
  <c r="C160" i="4"/>
  <c r="D160" i="4"/>
  <c r="E160" i="4"/>
  <c r="F160" i="4"/>
  <c r="B161" i="4"/>
  <c r="C161" i="4"/>
  <c r="D161" i="4"/>
  <c r="E161" i="4"/>
  <c r="F161" i="4"/>
  <c r="B162" i="4"/>
  <c r="C162" i="4"/>
  <c r="D162" i="4"/>
  <c r="E162" i="4"/>
  <c r="F162" i="4"/>
  <c r="B163" i="4"/>
  <c r="C163" i="4"/>
  <c r="D163" i="4"/>
  <c r="E163" i="4"/>
  <c r="F163" i="4"/>
  <c r="B164" i="4"/>
  <c r="C164" i="4"/>
  <c r="D164" i="4"/>
  <c r="E164" i="4"/>
  <c r="F164" i="4"/>
  <c r="B165" i="4"/>
  <c r="C165" i="4"/>
  <c r="D165" i="4"/>
  <c r="E165" i="4"/>
  <c r="F165" i="4"/>
  <c r="B166" i="4"/>
  <c r="C166" i="4"/>
  <c r="D166" i="4"/>
  <c r="E166" i="4"/>
  <c r="F166" i="4"/>
  <c r="B167" i="4"/>
  <c r="C167" i="4"/>
  <c r="D167" i="4"/>
  <c r="E167" i="4"/>
  <c r="F167" i="4"/>
  <c r="B168" i="4"/>
  <c r="C168" i="4"/>
  <c r="D168" i="4"/>
  <c r="E168" i="4"/>
  <c r="F168" i="4"/>
  <c r="B169" i="4"/>
  <c r="C169" i="4"/>
  <c r="D169" i="4"/>
  <c r="E169" i="4"/>
  <c r="F169" i="4"/>
  <c r="B170" i="4"/>
  <c r="C170" i="4"/>
  <c r="D170" i="4"/>
  <c r="E170" i="4"/>
  <c r="F170" i="4"/>
  <c r="B171" i="4"/>
  <c r="C171" i="4"/>
  <c r="D171" i="4"/>
  <c r="E171" i="4"/>
  <c r="F171" i="4"/>
  <c r="B172" i="4"/>
  <c r="C172" i="4"/>
  <c r="D172" i="4"/>
  <c r="E172" i="4"/>
  <c r="F172" i="4"/>
  <c r="B173" i="4"/>
  <c r="C173" i="4"/>
  <c r="D173" i="4"/>
  <c r="E173" i="4"/>
  <c r="F173" i="4"/>
  <c r="B174" i="4"/>
  <c r="C174" i="4"/>
  <c r="D174" i="4"/>
  <c r="E174" i="4"/>
  <c r="F174" i="4"/>
  <c r="B175" i="4"/>
  <c r="C175" i="4"/>
  <c r="D175" i="4"/>
  <c r="E175" i="4"/>
  <c r="F175" i="4"/>
  <c r="B176" i="4"/>
  <c r="C176" i="4"/>
  <c r="D176" i="4"/>
  <c r="E176" i="4"/>
  <c r="F176" i="4"/>
  <c r="B177" i="4"/>
  <c r="C177" i="4"/>
  <c r="D177" i="4"/>
  <c r="E177" i="4"/>
  <c r="F177" i="4"/>
  <c r="B178" i="4"/>
  <c r="C178" i="4"/>
  <c r="D178" i="4"/>
  <c r="E178" i="4"/>
  <c r="F178" i="4"/>
  <c r="B179" i="4"/>
  <c r="C179" i="4"/>
  <c r="D179" i="4"/>
  <c r="E179" i="4"/>
  <c r="F179" i="4"/>
  <c r="B180" i="4"/>
  <c r="C180" i="4"/>
  <c r="D180" i="4"/>
  <c r="E180" i="4"/>
  <c r="F180" i="4"/>
  <c r="B181" i="4"/>
  <c r="C181" i="4"/>
  <c r="D181" i="4"/>
  <c r="E181" i="4"/>
  <c r="F181" i="4"/>
  <c r="B182" i="4"/>
  <c r="C182" i="4"/>
  <c r="D182" i="4"/>
  <c r="E182" i="4"/>
  <c r="F182" i="4"/>
  <c r="B183" i="4"/>
  <c r="C183" i="4"/>
  <c r="D183" i="4"/>
  <c r="E183" i="4"/>
  <c r="F183" i="4"/>
  <c r="B184" i="4"/>
  <c r="C184" i="4"/>
  <c r="D184" i="4"/>
  <c r="E184" i="4"/>
  <c r="F184" i="4"/>
  <c r="B185" i="4"/>
  <c r="C185" i="4"/>
  <c r="D185" i="4"/>
  <c r="E185" i="4"/>
  <c r="F185" i="4"/>
  <c r="B186" i="4"/>
  <c r="C186" i="4"/>
  <c r="D186" i="4"/>
  <c r="E186" i="4"/>
  <c r="F186" i="4"/>
  <c r="B187" i="4"/>
  <c r="C187" i="4"/>
  <c r="D187" i="4"/>
  <c r="E187" i="4"/>
  <c r="F187" i="4"/>
  <c r="B188" i="4"/>
  <c r="C188" i="4"/>
  <c r="D188" i="4"/>
  <c r="E188" i="4"/>
  <c r="F188" i="4"/>
  <c r="B189" i="4"/>
  <c r="C189" i="4"/>
  <c r="D189" i="4"/>
  <c r="E189" i="4"/>
  <c r="F189" i="4"/>
  <c r="B190" i="4"/>
  <c r="C190" i="4"/>
  <c r="D190" i="4"/>
  <c r="E190" i="4"/>
  <c r="F190" i="4"/>
  <c r="B191" i="4"/>
  <c r="C191" i="4"/>
  <c r="D191" i="4"/>
  <c r="E191" i="4"/>
  <c r="F191" i="4"/>
  <c r="B192" i="4"/>
  <c r="C192" i="4"/>
  <c r="D192" i="4"/>
  <c r="E192" i="4"/>
  <c r="F192" i="4"/>
  <c r="B193" i="4"/>
  <c r="C193" i="4"/>
  <c r="D193" i="4"/>
  <c r="E193" i="4"/>
  <c r="F193" i="4"/>
  <c r="B194" i="4"/>
  <c r="C194" i="4"/>
  <c r="D194" i="4"/>
  <c r="E194" i="4"/>
  <c r="F194" i="4"/>
  <c r="B195" i="4"/>
  <c r="C195" i="4"/>
  <c r="D195" i="4"/>
  <c r="E195" i="4"/>
  <c r="F195" i="4"/>
  <c r="B196" i="4"/>
  <c r="C196" i="4"/>
  <c r="D196" i="4"/>
  <c r="E196" i="4"/>
  <c r="F196" i="4"/>
  <c r="B197" i="4"/>
  <c r="C197" i="4"/>
  <c r="D197" i="4"/>
  <c r="E197" i="4"/>
  <c r="F197" i="4"/>
  <c r="B198" i="4"/>
  <c r="C198" i="4"/>
  <c r="D198" i="4"/>
  <c r="E198" i="4"/>
  <c r="F198" i="4"/>
  <c r="B199" i="4"/>
  <c r="C199" i="4"/>
  <c r="D199" i="4"/>
  <c r="E199" i="4"/>
  <c r="F199" i="4"/>
  <c r="B200" i="4"/>
  <c r="C200" i="4"/>
  <c r="D200" i="4"/>
  <c r="E200" i="4"/>
  <c r="F200" i="4"/>
  <c r="B201" i="4"/>
  <c r="C201" i="4"/>
  <c r="D201" i="4"/>
  <c r="E201" i="4"/>
  <c r="F201" i="4"/>
  <c r="B202" i="4"/>
  <c r="C202" i="4"/>
  <c r="D202" i="4"/>
  <c r="E202" i="4"/>
  <c r="F202" i="4"/>
  <c r="B203" i="4"/>
  <c r="C203" i="4"/>
  <c r="D203" i="4"/>
  <c r="E203" i="4"/>
  <c r="F203" i="4"/>
  <c r="B204" i="4"/>
  <c r="C204" i="4"/>
  <c r="D204" i="4"/>
  <c r="E204" i="4"/>
  <c r="F204" i="4"/>
  <c r="B205" i="4"/>
  <c r="C205" i="4"/>
  <c r="D205" i="4"/>
  <c r="E205" i="4"/>
  <c r="F205" i="4"/>
  <c r="B206" i="4"/>
  <c r="C206" i="4"/>
  <c r="D206" i="4"/>
  <c r="E206" i="4"/>
  <c r="F206" i="4"/>
  <c r="B207" i="4"/>
  <c r="C207" i="4"/>
  <c r="D207" i="4"/>
  <c r="E207" i="4"/>
  <c r="F207" i="4"/>
  <c r="B208" i="4"/>
  <c r="C208" i="4"/>
  <c r="D208" i="4"/>
  <c r="E208" i="4"/>
  <c r="F208" i="4"/>
  <c r="B209" i="4"/>
  <c r="C209" i="4"/>
  <c r="D209" i="4"/>
  <c r="E209" i="4"/>
  <c r="F209" i="4"/>
  <c r="B210" i="4"/>
  <c r="C210" i="4"/>
  <c r="D210" i="4"/>
  <c r="E210" i="4"/>
  <c r="F210" i="4"/>
  <c r="B211" i="4"/>
  <c r="C211" i="4"/>
  <c r="D211" i="4"/>
  <c r="E211" i="4"/>
  <c r="F211" i="4"/>
  <c r="B212" i="4"/>
  <c r="C212" i="4"/>
  <c r="D212" i="4"/>
  <c r="E212" i="4"/>
  <c r="F212" i="4"/>
  <c r="B213" i="4"/>
  <c r="C213" i="4"/>
  <c r="D213" i="4"/>
  <c r="E213" i="4"/>
  <c r="F213" i="4"/>
  <c r="B214" i="4"/>
  <c r="C214" i="4"/>
  <c r="D214" i="4"/>
  <c r="E214" i="4"/>
  <c r="F214" i="4"/>
  <c r="B215" i="4"/>
  <c r="C215" i="4"/>
  <c r="D215" i="4"/>
  <c r="E215" i="4"/>
  <c r="F215" i="4"/>
  <c r="B216" i="4"/>
  <c r="C216" i="4"/>
  <c r="D216" i="4"/>
  <c r="E216" i="4"/>
  <c r="F216" i="4"/>
  <c r="B217" i="4"/>
  <c r="C217" i="4"/>
  <c r="D217" i="4"/>
  <c r="E217" i="4"/>
  <c r="F217" i="4"/>
  <c r="B218" i="4"/>
  <c r="C218" i="4"/>
  <c r="D218" i="4"/>
  <c r="E218" i="4"/>
  <c r="F218" i="4"/>
  <c r="B219" i="4"/>
  <c r="C219" i="4"/>
  <c r="D219" i="4"/>
  <c r="E219" i="4"/>
  <c r="F219" i="4"/>
  <c r="B220" i="4"/>
  <c r="C220" i="4"/>
  <c r="D220" i="4"/>
  <c r="E220" i="4"/>
  <c r="F220" i="4"/>
  <c r="B221" i="4"/>
  <c r="C221" i="4"/>
  <c r="D221" i="4"/>
  <c r="E221" i="4"/>
  <c r="F221" i="4"/>
  <c r="B222" i="4"/>
  <c r="C222" i="4"/>
  <c r="D222" i="4"/>
  <c r="E222" i="4"/>
  <c r="F222" i="4"/>
  <c r="B223" i="4"/>
  <c r="C223" i="4"/>
  <c r="D223" i="4"/>
  <c r="E223" i="4"/>
  <c r="F223" i="4"/>
  <c r="B224" i="4"/>
  <c r="C224" i="4"/>
  <c r="D224" i="4"/>
  <c r="E224" i="4"/>
  <c r="F224" i="4"/>
  <c r="B225" i="4"/>
  <c r="C225" i="4"/>
  <c r="D225" i="4"/>
  <c r="E225" i="4"/>
  <c r="F225" i="4"/>
  <c r="B226" i="4"/>
  <c r="C226" i="4"/>
  <c r="D226" i="4"/>
  <c r="E226" i="4"/>
  <c r="F226" i="4"/>
  <c r="B227" i="4"/>
  <c r="C227" i="4"/>
  <c r="D227" i="4"/>
  <c r="E227" i="4"/>
  <c r="F227" i="4"/>
  <c r="B228" i="4"/>
  <c r="C228" i="4"/>
  <c r="D228" i="4"/>
  <c r="E228" i="4"/>
  <c r="F228" i="4"/>
  <c r="B229" i="4"/>
  <c r="C229" i="4"/>
  <c r="D229" i="4"/>
  <c r="E229" i="4"/>
  <c r="F229" i="4"/>
  <c r="B230" i="4"/>
  <c r="C230" i="4"/>
  <c r="D230" i="4"/>
  <c r="E230" i="4"/>
  <c r="F230" i="4"/>
  <c r="B231" i="4"/>
  <c r="C231" i="4"/>
  <c r="D231" i="4"/>
  <c r="E231" i="4"/>
  <c r="F231" i="4"/>
  <c r="B232" i="4"/>
  <c r="C232" i="4"/>
  <c r="D232" i="4"/>
  <c r="E232" i="4"/>
  <c r="F232" i="4"/>
  <c r="B233" i="4"/>
  <c r="C233" i="4"/>
  <c r="D233" i="4"/>
  <c r="E233" i="4"/>
  <c r="F233" i="4"/>
  <c r="B234" i="4"/>
  <c r="C234" i="4"/>
  <c r="D234" i="4"/>
  <c r="E234" i="4"/>
  <c r="F234" i="4"/>
  <c r="B235" i="4"/>
  <c r="C235" i="4"/>
  <c r="D235" i="4"/>
  <c r="E235" i="4"/>
  <c r="F235" i="4"/>
  <c r="B236" i="4"/>
  <c r="C236" i="4"/>
  <c r="D236" i="4"/>
  <c r="E236" i="4"/>
  <c r="F236" i="4"/>
  <c r="B237" i="4"/>
  <c r="C237" i="4"/>
  <c r="D237" i="4"/>
  <c r="E237" i="4"/>
  <c r="F237" i="4"/>
  <c r="B238" i="4"/>
  <c r="C238" i="4"/>
  <c r="D238" i="4"/>
  <c r="E238" i="4"/>
  <c r="F238" i="4"/>
  <c r="B239" i="4"/>
  <c r="C239" i="4"/>
  <c r="D239" i="4"/>
  <c r="E239" i="4"/>
  <c r="F239" i="4"/>
  <c r="B240" i="4"/>
  <c r="C240" i="4"/>
  <c r="D240" i="4"/>
  <c r="E240" i="4"/>
  <c r="F240" i="4"/>
  <c r="B241" i="4"/>
  <c r="C241" i="4"/>
  <c r="D241" i="4"/>
  <c r="E241" i="4"/>
  <c r="F241" i="4"/>
  <c r="B242" i="4"/>
  <c r="C242" i="4"/>
  <c r="D242" i="4"/>
  <c r="E242" i="4"/>
  <c r="F242" i="4"/>
  <c r="B243" i="4"/>
  <c r="C243" i="4"/>
  <c r="D243" i="4"/>
  <c r="E243" i="4"/>
  <c r="F243" i="4"/>
  <c r="B244" i="4"/>
  <c r="C244" i="4"/>
  <c r="D244" i="4"/>
  <c r="E244" i="4"/>
  <c r="F244" i="4"/>
  <c r="B245" i="4"/>
  <c r="C245" i="4"/>
  <c r="D245" i="4"/>
  <c r="E245" i="4"/>
  <c r="F245" i="4"/>
  <c r="B246" i="4"/>
  <c r="C246" i="4"/>
  <c r="D246" i="4"/>
  <c r="E246" i="4"/>
  <c r="F246" i="4"/>
  <c r="B247" i="4"/>
  <c r="C247" i="4"/>
  <c r="D247" i="4"/>
  <c r="E247" i="4"/>
  <c r="F247" i="4"/>
  <c r="B248" i="4"/>
  <c r="C248" i="4"/>
  <c r="D248" i="4"/>
  <c r="E248" i="4"/>
  <c r="F248" i="4"/>
  <c r="B249" i="4"/>
  <c r="C249" i="4"/>
  <c r="D249" i="4"/>
  <c r="E249" i="4"/>
  <c r="F249" i="4"/>
  <c r="B250" i="4"/>
  <c r="C250" i="4"/>
  <c r="D250" i="4"/>
  <c r="E250" i="4"/>
  <c r="F250" i="4"/>
  <c r="B251" i="4"/>
  <c r="C251" i="4"/>
  <c r="D251" i="4"/>
  <c r="E251" i="4"/>
  <c r="F251" i="4"/>
  <c r="B252" i="4"/>
  <c r="C252" i="4"/>
  <c r="D252" i="4"/>
  <c r="E252" i="4"/>
  <c r="F252" i="4"/>
  <c r="B253" i="4"/>
  <c r="C253" i="4"/>
  <c r="D253" i="4"/>
  <c r="E253" i="4"/>
  <c r="F253" i="4"/>
  <c r="B254" i="4"/>
  <c r="C254" i="4"/>
  <c r="D254" i="4"/>
  <c r="E254" i="4"/>
  <c r="F254" i="4"/>
  <c r="B255" i="4"/>
  <c r="C255" i="4"/>
  <c r="D255" i="4"/>
  <c r="E255" i="4"/>
  <c r="F255" i="4"/>
  <c r="B256" i="4"/>
  <c r="C256" i="4"/>
  <c r="D256" i="4"/>
  <c r="E256" i="4"/>
  <c r="F256" i="4"/>
  <c r="B257" i="4"/>
  <c r="C257" i="4"/>
  <c r="D257" i="4"/>
  <c r="E257" i="4"/>
  <c r="F257" i="4"/>
  <c r="B258" i="4"/>
  <c r="C258" i="4"/>
  <c r="D258" i="4"/>
  <c r="E258" i="4"/>
  <c r="F258" i="4"/>
  <c r="B259" i="4"/>
  <c r="C259" i="4"/>
  <c r="D259" i="4"/>
  <c r="E259" i="4"/>
  <c r="F259" i="4"/>
  <c r="B260" i="4"/>
  <c r="C260" i="4"/>
  <c r="D260" i="4"/>
  <c r="E260" i="4"/>
  <c r="F260" i="4"/>
  <c r="B261" i="4"/>
  <c r="C261" i="4"/>
  <c r="D261" i="4"/>
  <c r="E261" i="4"/>
  <c r="F261" i="4"/>
  <c r="B262" i="4"/>
  <c r="C262" i="4"/>
  <c r="D262" i="4"/>
  <c r="E262" i="4"/>
  <c r="F262" i="4"/>
  <c r="B263" i="4"/>
  <c r="C263" i="4"/>
  <c r="D263" i="4"/>
  <c r="E263" i="4"/>
  <c r="F263" i="4"/>
  <c r="B264" i="4"/>
  <c r="C264" i="4"/>
  <c r="D264" i="4"/>
  <c r="E264" i="4"/>
  <c r="F264" i="4"/>
  <c r="B265" i="4"/>
  <c r="C265" i="4"/>
  <c r="D265" i="4"/>
  <c r="E265" i="4"/>
  <c r="F265" i="4"/>
  <c r="B266" i="4"/>
  <c r="C266" i="4"/>
  <c r="D266" i="4"/>
  <c r="E266" i="4"/>
  <c r="F266" i="4"/>
  <c r="B267" i="4"/>
  <c r="C267" i="4"/>
  <c r="D267" i="4"/>
  <c r="E267" i="4"/>
  <c r="F267" i="4"/>
  <c r="B268" i="4"/>
  <c r="C268" i="4"/>
  <c r="D268" i="4"/>
  <c r="E268" i="4"/>
  <c r="F268" i="4"/>
  <c r="B269" i="4"/>
  <c r="C269" i="4"/>
  <c r="D269" i="4"/>
  <c r="E269" i="4"/>
  <c r="F269" i="4"/>
  <c r="B270" i="4"/>
  <c r="C270" i="4"/>
  <c r="D270" i="4"/>
  <c r="E270" i="4"/>
  <c r="F270" i="4"/>
  <c r="B271" i="4"/>
  <c r="C271" i="4"/>
  <c r="D271" i="4"/>
  <c r="E271" i="4"/>
  <c r="F271" i="4"/>
  <c r="B272" i="4"/>
  <c r="C272" i="4"/>
  <c r="D272" i="4"/>
  <c r="E272" i="4"/>
  <c r="F272" i="4"/>
  <c r="B273" i="4"/>
  <c r="C273" i="4"/>
  <c r="D273" i="4"/>
  <c r="E273" i="4"/>
  <c r="F273" i="4"/>
  <c r="B274" i="4"/>
  <c r="C274" i="4"/>
  <c r="D274" i="4"/>
  <c r="E274" i="4"/>
  <c r="F274" i="4"/>
  <c r="B275" i="4"/>
  <c r="C275" i="4"/>
  <c r="D275" i="4"/>
  <c r="E275" i="4"/>
  <c r="F275" i="4"/>
  <c r="B276" i="4"/>
  <c r="C276" i="4"/>
  <c r="D276" i="4"/>
  <c r="E276" i="4"/>
  <c r="F276" i="4"/>
  <c r="B277" i="4"/>
  <c r="C277" i="4"/>
  <c r="D277" i="4"/>
  <c r="E277" i="4"/>
  <c r="F277" i="4"/>
  <c r="B278" i="4"/>
  <c r="C278" i="4"/>
  <c r="D278" i="4"/>
  <c r="E278" i="4"/>
  <c r="F278" i="4"/>
  <c r="B279" i="4"/>
  <c r="C279" i="4"/>
  <c r="D279" i="4"/>
  <c r="E279" i="4"/>
  <c r="F279" i="4"/>
  <c r="B280" i="4"/>
  <c r="C280" i="4"/>
  <c r="D280" i="4"/>
  <c r="E280" i="4"/>
  <c r="F280" i="4"/>
  <c r="B281" i="4"/>
  <c r="C281" i="4"/>
  <c r="D281" i="4"/>
  <c r="E281" i="4"/>
  <c r="F281" i="4"/>
  <c r="B282" i="4"/>
  <c r="C282" i="4"/>
  <c r="D282" i="4"/>
  <c r="E282" i="4"/>
  <c r="F282" i="4"/>
  <c r="B283" i="4"/>
  <c r="C283" i="4"/>
  <c r="D283" i="4"/>
  <c r="E283" i="4"/>
  <c r="F283" i="4"/>
  <c r="B284" i="4"/>
  <c r="C284" i="4"/>
  <c r="D284" i="4"/>
  <c r="E284" i="4"/>
  <c r="F284" i="4"/>
  <c r="B285" i="4"/>
  <c r="C285" i="4"/>
  <c r="D285" i="4"/>
  <c r="E285" i="4"/>
  <c r="F285" i="4"/>
  <c r="B286" i="4"/>
  <c r="C286" i="4"/>
  <c r="D286" i="4"/>
  <c r="E286" i="4"/>
  <c r="F286" i="4"/>
  <c r="B287" i="4"/>
  <c r="C287" i="4"/>
  <c r="D287" i="4"/>
  <c r="E287" i="4"/>
  <c r="F287" i="4"/>
  <c r="B288" i="4"/>
  <c r="C288" i="4"/>
  <c r="D288" i="4"/>
  <c r="E288" i="4"/>
  <c r="F288" i="4"/>
  <c r="B289" i="4"/>
  <c r="C289" i="4"/>
  <c r="D289" i="4"/>
  <c r="E289" i="4"/>
  <c r="F289" i="4"/>
  <c r="B290" i="4"/>
  <c r="C290" i="4"/>
  <c r="D290" i="4"/>
  <c r="E290" i="4"/>
  <c r="F290" i="4"/>
  <c r="B291" i="4"/>
  <c r="C291" i="4"/>
  <c r="D291" i="4"/>
  <c r="E291" i="4"/>
  <c r="F291" i="4"/>
  <c r="B292" i="4"/>
  <c r="C292" i="4"/>
  <c r="D292" i="4"/>
  <c r="E292" i="4"/>
  <c r="F292" i="4"/>
  <c r="B293" i="4"/>
  <c r="C293" i="4"/>
  <c r="D293" i="4"/>
  <c r="E293" i="4"/>
  <c r="F293" i="4"/>
  <c r="B294" i="4"/>
  <c r="C294" i="4"/>
  <c r="D294" i="4"/>
  <c r="E294" i="4"/>
  <c r="F294" i="4"/>
  <c r="B295" i="4"/>
  <c r="C295" i="4"/>
  <c r="D295" i="4"/>
  <c r="E295" i="4"/>
  <c r="F295" i="4"/>
  <c r="B296" i="4"/>
  <c r="C296" i="4"/>
  <c r="D296" i="4"/>
  <c r="E296" i="4"/>
  <c r="F296" i="4"/>
  <c r="B297" i="4"/>
  <c r="C297" i="4"/>
  <c r="D297" i="4"/>
  <c r="E297" i="4"/>
  <c r="F297" i="4"/>
  <c r="B298" i="4"/>
  <c r="C298" i="4"/>
  <c r="D298" i="4"/>
  <c r="E298" i="4"/>
  <c r="F298" i="4"/>
  <c r="B299" i="4"/>
  <c r="C299" i="4"/>
  <c r="D299" i="4"/>
  <c r="E299" i="4"/>
  <c r="F299" i="4"/>
  <c r="B300" i="4"/>
  <c r="C300" i="4"/>
  <c r="D300" i="4"/>
  <c r="E300" i="4"/>
  <c r="F300" i="4"/>
  <c r="B301" i="4"/>
  <c r="C301" i="4"/>
  <c r="D301" i="4"/>
  <c r="E301" i="4"/>
  <c r="F301" i="4"/>
  <c r="B302" i="4"/>
  <c r="C302" i="4"/>
  <c r="D302" i="4"/>
  <c r="E302" i="4"/>
  <c r="F302" i="4"/>
  <c r="B303" i="4"/>
  <c r="C303" i="4"/>
  <c r="D303" i="4"/>
  <c r="E303" i="4"/>
  <c r="F303" i="4"/>
  <c r="B304" i="4"/>
  <c r="C304" i="4"/>
  <c r="D304" i="4"/>
  <c r="E304" i="4"/>
  <c r="F304" i="4"/>
  <c r="B305" i="4"/>
  <c r="C305" i="4"/>
  <c r="D305" i="4"/>
  <c r="E305" i="4"/>
  <c r="F305" i="4"/>
  <c r="B306" i="4"/>
  <c r="C306" i="4"/>
  <c r="D306" i="4"/>
  <c r="E306" i="4"/>
  <c r="F306" i="4"/>
  <c r="B307" i="4"/>
  <c r="C307" i="4"/>
  <c r="D307" i="4"/>
  <c r="E307" i="4"/>
  <c r="F307" i="4"/>
  <c r="B308" i="4"/>
  <c r="C308" i="4"/>
  <c r="D308" i="4"/>
  <c r="E308" i="4"/>
  <c r="F308" i="4"/>
  <c r="B309" i="4"/>
  <c r="C309" i="4"/>
  <c r="D309" i="4"/>
  <c r="E309" i="4"/>
  <c r="F309" i="4"/>
  <c r="B310" i="4"/>
  <c r="C310" i="4"/>
  <c r="D310" i="4"/>
  <c r="E310" i="4"/>
  <c r="F310" i="4"/>
  <c r="B311" i="4"/>
  <c r="C311" i="4"/>
  <c r="D311" i="4"/>
  <c r="E311" i="4"/>
  <c r="F311" i="4"/>
  <c r="B312" i="4"/>
  <c r="C312" i="4"/>
  <c r="D312" i="4"/>
  <c r="E312" i="4"/>
  <c r="F312" i="4"/>
  <c r="B313" i="4"/>
  <c r="C313" i="4"/>
  <c r="D313" i="4"/>
  <c r="E313" i="4"/>
  <c r="F313" i="4"/>
  <c r="B314" i="4"/>
  <c r="C314" i="4"/>
  <c r="D314" i="4"/>
  <c r="E314" i="4"/>
  <c r="F314" i="4"/>
  <c r="B315" i="4"/>
  <c r="C315" i="4"/>
  <c r="D315" i="4"/>
  <c r="E315" i="4"/>
  <c r="F315" i="4"/>
  <c r="B316" i="4"/>
  <c r="C316" i="4"/>
  <c r="D316" i="4"/>
  <c r="E316" i="4"/>
  <c r="F316" i="4"/>
  <c r="B317" i="4"/>
  <c r="C317" i="4"/>
  <c r="D317" i="4"/>
  <c r="E317" i="4"/>
  <c r="F317" i="4"/>
  <c r="B318" i="4"/>
  <c r="C318" i="4"/>
  <c r="D318" i="4"/>
  <c r="E318" i="4"/>
  <c r="F318" i="4"/>
  <c r="B319" i="4"/>
  <c r="C319" i="4"/>
  <c r="D319" i="4"/>
  <c r="E319" i="4"/>
  <c r="F319" i="4"/>
  <c r="B320" i="4"/>
  <c r="C320" i="4"/>
  <c r="D320" i="4"/>
  <c r="E320" i="4"/>
  <c r="F320" i="4"/>
  <c r="B321" i="4"/>
  <c r="C321" i="4"/>
  <c r="D321" i="4"/>
  <c r="E321" i="4"/>
  <c r="F321" i="4"/>
  <c r="B322" i="4"/>
  <c r="C322" i="4"/>
  <c r="D322" i="4"/>
  <c r="E322" i="4"/>
  <c r="F322" i="4"/>
  <c r="B323" i="4"/>
  <c r="C323" i="4"/>
  <c r="D323" i="4"/>
  <c r="E323" i="4"/>
  <c r="F323" i="4"/>
  <c r="B324" i="4"/>
  <c r="C324" i="4"/>
  <c r="D324" i="4"/>
  <c r="E324" i="4"/>
  <c r="F324" i="4"/>
  <c r="B325" i="4"/>
  <c r="C325" i="4"/>
  <c r="D325" i="4"/>
  <c r="E325" i="4"/>
  <c r="F325" i="4"/>
  <c r="B326" i="4"/>
  <c r="C326" i="4"/>
  <c r="D326" i="4"/>
  <c r="E326" i="4"/>
  <c r="F326" i="4"/>
  <c r="B327" i="4"/>
  <c r="C327" i="4"/>
  <c r="D327" i="4"/>
  <c r="E327" i="4"/>
  <c r="F327" i="4"/>
  <c r="B328" i="4"/>
  <c r="C328" i="4"/>
  <c r="D328" i="4"/>
  <c r="E328" i="4"/>
  <c r="F328" i="4"/>
  <c r="B329" i="4"/>
  <c r="C329" i="4"/>
  <c r="D329" i="4"/>
  <c r="E329" i="4"/>
  <c r="F329" i="4"/>
  <c r="B330" i="4"/>
  <c r="C330" i="4"/>
  <c r="D330" i="4"/>
  <c r="E330" i="4"/>
  <c r="F330" i="4"/>
  <c r="B331" i="4"/>
  <c r="C331" i="4"/>
  <c r="D331" i="4"/>
  <c r="E331" i="4"/>
  <c r="F331" i="4"/>
  <c r="B332" i="4"/>
  <c r="C332" i="4"/>
  <c r="D332" i="4"/>
  <c r="E332" i="4"/>
  <c r="F332" i="4"/>
  <c r="B333" i="4"/>
  <c r="C333" i="4"/>
  <c r="D333" i="4"/>
  <c r="E333" i="4"/>
  <c r="F333" i="4"/>
  <c r="B334" i="4"/>
  <c r="C334" i="4"/>
  <c r="D334" i="4"/>
  <c r="E334" i="4"/>
  <c r="F334" i="4"/>
  <c r="B335" i="4"/>
  <c r="C335" i="4"/>
  <c r="D335" i="4"/>
  <c r="E335" i="4"/>
  <c r="F335" i="4"/>
  <c r="B336" i="4"/>
  <c r="C336" i="4"/>
  <c r="D336" i="4"/>
  <c r="E336" i="4"/>
  <c r="F336" i="4"/>
  <c r="B4" i="2"/>
  <c r="C4" i="2"/>
  <c r="D4" i="2"/>
  <c r="E4" i="2"/>
  <c r="F4" i="2"/>
  <c r="G4" i="2"/>
  <c r="H4" i="2"/>
  <c r="I4" i="2"/>
  <c r="J4" i="2"/>
  <c r="K4" i="2"/>
  <c r="L4" i="2"/>
  <c r="M4" i="2"/>
  <c r="N4" i="2"/>
  <c r="O4" i="2"/>
  <c r="P4" i="2"/>
  <c r="Q4" i="2"/>
  <c r="R4" i="2"/>
  <c r="S4" i="2"/>
  <c r="T4" i="2"/>
  <c r="U4" i="2"/>
  <c r="V4" i="2"/>
  <c r="W4" i="2"/>
  <c r="X4" i="2"/>
  <c r="Y4" i="2"/>
  <c r="B5" i="2"/>
  <c r="C5" i="2"/>
  <c r="D5" i="2"/>
  <c r="E5" i="2"/>
  <c r="F5" i="2"/>
  <c r="G5" i="2"/>
  <c r="H5" i="2"/>
  <c r="I5" i="2"/>
  <c r="J5" i="2"/>
  <c r="K5" i="2"/>
  <c r="L5" i="2"/>
  <c r="M5" i="2"/>
  <c r="N5" i="2"/>
  <c r="O5" i="2"/>
  <c r="P5" i="2"/>
  <c r="Q5" i="2"/>
  <c r="R5" i="2"/>
  <c r="S5" i="2"/>
  <c r="T5" i="2"/>
  <c r="U5" i="2"/>
  <c r="V5" i="2"/>
  <c r="W5" i="2"/>
  <c r="X5" i="2"/>
  <c r="Y5" i="2"/>
  <c r="B6" i="2"/>
  <c r="C6" i="2"/>
  <c r="D6" i="2"/>
  <c r="E6" i="2"/>
  <c r="F6" i="2"/>
  <c r="G6" i="2"/>
  <c r="H6" i="2"/>
  <c r="I6" i="2"/>
  <c r="J6" i="2"/>
  <c r="K6" i="2"/>
  <c r="L6" i="2"/>
  <c r="M6" i="2"/>
  <c r="N6" i="2"/>
  <c r="O6" i="2"/>
  <c r="P6" i="2"/>
  <c r="Q6" i="2"/>
  <c r="R6" i="2"/>
  <c r="S6" i="2"/>
  <c r="T6" i="2"/>
  <c r="U6" i="2"/>
  <c r="V6" i="2"/>
  <c r="W6" i="2"/>
  <c r="X6" i="2"/>
  <c r="Y6" i="2"/>
  <c r="B7" i="2"/>
  <c r="C7" i="2"/>
  <c r="D7" i="2"/>
  <c r="E7" i="2"/>
  <c r="F7" i="2"/>
  <c r="G7" i="2"/>
  <c r="H7" i="2"/>
  <c r="I7" i="2"/>
  <c r="J7" i="2"/>
  <c r="K7" i="2"/>
  <c r="L7" i="2"/>
  <c r="M7" i="2"/>
  <c r="N7" i="2"/>
  <c r="O7" i="2"/>
  <c r="P7" i="2"/>
  <c r="Q7" i="2"/>
  <c r="R7" i="2"/>
  <c r="S7" i="2"/>
  <c r="T7" i="2"/>
  <c r="U7" i="2"/>
  <c r="V7" i="2"/>
  <c r="W7" i="2"/>
  <c r="X7" i="2"/>
  <c r="Y7" i="2"/>
  <c r="B8" i="2"/>
  <c r="C8" i="2"/>
  <c r="D8" i="2"/>
  <c r="E8" i="2"/>
  <c r="F8" i="2"/>
  <c r="G8" i="2"/>
  <c r="H8" i="2"/>
  <c r="I8" i="2"/>
  <c r="J8" i="2"/>
  <c r="K8" i="2"/>
  <c r="L8" i="2"/>
  <c r="M8" i="2"/>
  <c r="N8" i="2"/>
  <c r="O8" i="2"/>
  <c r="P8" i="2"/>
  <c r="Q8" i="2"/>
  <c r="R8" i="2"/>
  <c r="S8" i="2"/>
  <c r="T8" i="2"/>
  <c r="U8" i="2"/>
  <c r="V8" i="2"/>
  <c r="W8" i="2"/>
  <c r="X8" i="2"/>
  <c r="Y8" i="2"/>
  <c r="B9" i="2"/>
  <c r="C9" i="2"/>
  <c r="D9" i="2"/>
  <c r="E9" i="2"/>
  <c r="F9" i="2"/>
  <c r="G9" i="2"/>
  <c r="H9" i="2"/>
  <c r="I9" i="2"/>
  <c r="J9" i="2"/>
  <c r="K9" i="2"/>
  <c r="L9" i="2"/>
  <c r="M9" i="2"/>
  <c r="N9" i="2"/>
  <c r="O9" i="2"/>
  <c r="P9" i="2"/>
  <c r="Q9" i="2"/>
  <c r="R9" i="2"/>
  <c r="S9" i="2"/>
  <c r="T9" i="2"/>
  <c r="U9" i="2"/>
  <c r="V9" i="2"/>
  <c r="W9" i="2"/>
  <c r="X9" i="2"/>
  <c r="Y9" i="2"/>
  <c r="B10" i="2"/>
  <c r="C10" i="2"/>
  <c r="D10" i="2"/>
  <c r="E10" i="2"/>
  <c r="F10" i="2"/>
  <c r="G10" i="2"/>
  <c r="H10" i="2"/>
  <c r="I10" i="2"/>
  <c r="J10" i="2"/>
  <c r="K10" i="2"/>
  <c r="L10" i="2"/>
  <c r="M10" i="2"/>
  <c r="N10" i="2"/>
  <c r="O10" i="2"/>
  <c r="P10" i="2"/>
  <c r="Q10" i="2"/>
  <c r="R10" i="2"/>
  <c r="S10" i="2"/>
  <c r="T10" i="2"/>
  <c r="U10" i="2"/>
  <c r="V10" i="2"/>
  <c r="W10" i="2"/>
  <c r="X10" i="2"/>
  <c r="Y10" i="2"/>
  <c r="B11" i="2"/>
  <c r="C11" i="2"/>
  <c r="D11" i="2"/>
  <c r="E11" i="2"/>
  <c r="F11" i="2"/>
  <c r="G11" i="2"/>
  <c r="H11" i="2"/>
  <c r="I11" i="2"/>
  <c r="J11" i="2"/>
  <c r="K11" i="2"/>
  <c r="L11" i="2"/>
  <c r="M11" i="2"/>
  <c r="N11" i="2"/>
  <c r="O11" i="2"/>
  <c r="P11" i="2"/>
  <c r="Q11" i="2"/>
  <c r="R11" i="2"/>
  <c r="S11" i="2"/>
  <c r="T11" i="2"/>
  <c r="U11" i="2"/>
  <c r="V11" i="2"/>
  <c r="W11" i="2"/>
  <c r="X11" i="2"/>
  <c r="Y11" i="2"/>
  <c r="B12" i="2"/>
  <c r="C12" i="2"/>
  <c r="D12" i="2"/>
  <c r="E12" i="2"/>
  <c r="F12" i="2"/>
  <c r="G12" i="2"/>
  <c r="H12" i="2"/>
  <c r="I12" i="2"/>
  <c r="J12" i="2"/>
  <c r="K12" i="2"/>
  <c r="L12" i="2"/>
  <c r="M12" i="2"/>
  <c r="N12" i="2"/>
  <c r="O12" i="2"/>
  <c r="P12" i="2"/>
  <c r="Q12" i="2"/>
  <c r="R12" i="2"/>
  <c r="S12" i="2"/>
  <c r="T12" i="2"/>
  <c r="U12" i="2"/>
  <c r="V12" i="2"/>
  <c r="W12" i="2"/>
  <c r="X12" i="2"/>
  <c r="Y12" i="2"/>
  <c r="B13" i="2"/>
  <c r="C13" i="2"/>
  <c r="D13" i="2"/>
  <c r="E13" i="2"/>
  <c r="F13" i="2"/>
  <c r="G13" i="2"/>
  <c r="H13" i="2"/>
  <c r="I13" i="2"/>
  <c r="J13" i="2"/>
  <c r="K13" i="2"/>
  <c r="L13" i="2"/>
  <c r="M13" i="2"/>
  <c r="N13" i="2"/>
  <c r="O13" i="2"/>
  <c r="P13" i="2"/>
  <c r="Q13" i="2"/>
  <c r="R13" i="2"/>
  <c r="S13" i="2"/>
  <c r="T13" i="2"/>
  <c r="U13" i="2"/>
  <c r="V13" i="2"/>
  <c r="W13" i="2"/>
  <c r="X13" i="2"/>
  <c r="Y13" i="2"/>
  <c r="B14" i="2"/>
  <c r="C14" i="2"/>
  <c r="D14" i="2"/>
  <c r="E14" i="2"/>
  <c r="F14" i="2"/>
  <c r="G14" i="2"/>
  <c r="H14" i="2"/>
  <c r="I14" i="2"/>
  <c r="J14" i="2"/>
  <c r="K14" i="2"/>
  <c r="L14" i="2"/>
  <c r="M14" i="2"/>
  <c r="N14" i="2"/>
  <c r="O14" i="2"/>
  <c r="P14" i="2"/>
  <c r="Q14" i="2"/>
  <c r="R14" i="2"/>
  <c r="S14" i="2"/>
  <c r="T14" i="2"/>
  <c r="U14" i="2"/>
  <c r="V14" i="2"/>
  <c r="W14" i="2"/>
  <c r="X14" i="2"/>
  <c r="Y14" i="2"/>
  <c r="B15" i="2"/>
  <c r="C15" i="2"/>
  <c r="D15" i="2"/>
  <c r="E15" i="2"/>
  <c r="F15" i="2"/>
  <c r="G15" i="2"/>
  <c r="H15" i="2"/>
  <c r="I15" i="2"/>
  <c r="J15" i="2"/>
  <c r="K15" i="2"/>
  <c r="L15" i="2"/>
  <c r="M15" i="2"/>
  <c r="N15" i="2"/>
  <c r="O15" i="2"/>
  <c r="P15" i="2"/>
  <c r="Q15" i="2"/>
  <c r="R15" i="2"/>
  <c r="S15" i="2"/>
  <c r="T15" i="2"/>
  <c r="U15" i="2"/>
  <c r="V15" i="2"/>
  <c r="W15" i="2"/>
  <c r="X15" i="2"/>
  <c r="Y15" i="2"/>
  <c r="B16" i="2"/>
  <c r="C16" i="2"/>
  <c r="D16" i="2"/>
  <c r="E16" i="2"/>
  <c r="F16" i="2"/>
  <c r="G16" i="2"/>
  <c r="H16" i="2"/>
  <c r="I16" i="2"/>
  <c r="J16" i="2"/>
  <c r="K16" i="2"/>
  <c r="L16" i="2"/>
  <c r="M16" i="2"/>
  <c r="N16" i="2"/>
  <c r="O16" i="2"/>
  <c r="P16" i="2"/>
  <c r="Q16" i="2"/>
  <c r="R16" i="2"/>
  <c r="S16" i="2"/>
  <c r="T16" i="2"/>
  <c r="U16" i="2"/>
  <c r="V16" i="2"/>
  <c r="W16" i="2"/>
  <c r="X16" i="2"/>
  <c r="Y16" i="2"/>
  <c r="B17" i="2"/>
  <c r="C17" i="2"/>
  <c r="D17" i="2"/>
  <c r="E17" i="2"/>
  <c r="F17" i="2"/>
  <c r="G17" i="2"/>
  <c r="H17" i="2"/>
  <c r="I17" i="2"/>
  <c r="J17" i="2"/>
  <c r="K17" i="2"/>
  <c r="L17" i="2"/>
  <c r="M17" i="2"/>
  <c r="N17" i="2"/>
  <c r="O17" i="2"/>
  <c r="P17" i="2"/>
  <c r="Q17" i="2"/>
  <c r="R17" i="2"/>
  <c r="S17" i="2"/>
  <c r="T17" i="2"/>
  <c r="U17" i="2"/>
  <c r="V17" i="2"/>
  <c r="W17" i="2"/>
  <c r="X17" i="2"/>
  <c r="Y17" i="2"/>
  <c r="B18" i="2"/>
  <c r="C18" i="2"/>
  <c r="D18" i="2"/>
  <c r="E18" i="2"/>
  <c r="F18" i="2"/>
  <c r="G18" i="2"/>
  <c r="H18" i="2"/>
  <c r="I18" i="2"/>
  <c r="J18" i="2"/>
  <c r="K18" i="2"/>
  <c r="L18" i="2"/>
  <c r="M18" i="2"/>
  <c r="N18" i="2"/>
  <c r="O18" i="2"/>
  <c r="P18" i="2"/>
  <c r="Q18" i="2"/>
  <c r="R18" i="2"/>
  <c r="S18" i="2"/>
  <c r="T18" i="2"/>
  <c r="U18" i="2"/>
  <c r="V18" i="2"/>
  <c r="W18" i="2"/>
  <c r="X18" i="2"/>
  <c r="Y18" i="2"/>
  <c r="B19" i="2"/>
  <c r="C19" i="2"/>
  <c r="D19" i="2"/>
  <c r="E19" i="2"/>
  <c r="F19" i="2"/>
  <c r="G19" i="2"/>
  <c r="H19" i="2"/>
  <c r="I19" i="2"/>
  <c r="J19" i="2"/>
  <c r="K19" i="2"/>
  <c r="L19" i="2"/>
  <c r="M19" i="2"/>
  <c r="N19" i="2"/>
  <c r="O19" i="2"/>
  <c r="P19" i="2"/>
  <c r="Q19" i="2"/>
  <c r="R19" i="2"/>
  <c r="S19" i="2"/>
  <c r="T19" i="2"/>
  <c r="U19" i="2"/>
  <c r="V19" i="2"/>
  <c r="W19" i="2"/>
  <c r="X19" i="2"/>
  <c r="Y19" i="2"/>
  <c r="B20" i="2"/>
  <c r="C20" i="2"/>
  <c r="D20" i="2"/>
  <c r="E20" i="2"/>
  <c r="F20" i="2"/>
  <c r="G20" i="2"/>
  <c r="H20" i="2"/>
  <c r="I20" i="2"/>
  <c r="J20" i="2"/>
  <c r="K20" i="2"/>
  <c r="L20" i="2"/>
  <c r="M20" i="2"/>
  <c r="N20" i="2"/>
  <c r="O20" i="2"/>
  <c r="P20" i="2"/>
  <c r="Q20" i="2"/>
  <c r="R20" i="2"/>
  <c r="S20" i="2"/>
  <c r="T20" i="2"/>
  <c r="U20" i="2"/>
  <c r="V20" i="2"/>
  <c r="W20" i="2"/>
  <c r="X20" i="2"/>
  <c r="Y20" i="2"/>
  <c r="B21" i="2"/>
  <c r="C21" i="2"/>
  <c r="D21" i="2"/>
  <c r="E21" i="2"/>
  <c r="F21" i="2"/>
  <c r="G21" i="2"/>
  <c r="H21" i="2"/>
  <c r="I21" i="2"/>
  <c r="J21" i="2"/>
  <c r="K21" i="2"/>
  <c r="L21" i="2"/>
  <c r="M21" i="2"/>
  <c r="N21" i="2"/>
  <c r="O21" i="2"/>
  <c r="P21" i="2"/>
  <c r="Q21" i="2"/>
  <c r="R21" i="2"/>
  <c r="S21" i="2"/>
  <c r="T21" i="2"/>
  <c r="U21" i="2"/>
  <c r="V21" i="2"/>
  <c r="W21" i="2"/>
  <c r="X21" i="2"/>
  <c r="Y21" i="2"/>
  <c r="B22" i="2"/>
  <c r="C22" i="2"/>
  <c r="D22" i="2"/>
  <c r="E22" i="2"/>
  <c r="F22" i="2"/>
  <c r="G22" i="2"/>
  <c r="H22" i="2"/>
  <c r="I22" i="2"/>
  <c r="J22" i="2"/>
  <c r="K22" i="2"/>
  <c r="L22" i="2"/>
  <c r="M22" i="2"/>
  <c r="N22" i="2"/>
  <c r="O22" i="2"/>
  <c r="P22" i="2"/>
  <c r="Q22" i="2"/>
  <c r="R22" i="2"/>
  <c r="S22" i="2"/>
  <c r="T22" i="2"/>
  <c r="U22" i="2"/>
  <c r="V22" i="2"/>
  <c r="W22" i="2"/>
  <c r="X22" i="2"/>
  <c r="Y22" i="2"/>
  <c r="B23" i="2"/>
  <c r="C23" i="2"/>
  <c r="D23" i="2"/>
  <c r="E23" i="2"/>
  <c r="F23" i="2"/>
  <c r="G23" i="2"/>
  <c r="H23" i="2"/>
  <c r="I23" i="2"/>
  <c r="J23" i="2"/>
  <c r="K23" i="2"/>
  <c r="L23" i="2"/>
  <c r="M23" i="2"/>
  <c r="N23" i="2"/>
  <c r="O23" i="2"/>
  <c r="P23" i="2"/>
  <c r="Q23" i="2"/>
  <c r="R23" i="2"/>
  <c r="S23" i="2"/>
  <c r="T23" i="2"/>
  <c r="U23" i="2"/>
  <c r="V23" i="2"/>
  <c r="W23" i="2"/>
  <c r="X23" i="2"/>
  <c r="Y23" i="2"/>
  <c r="B24" i="2"/>
  <c r="C24" i="2"/>
  <c r="D24" i="2"/>
  <c r="E24" i="2"/>
  <c r="F24" i="2"/>
  <c r="G24" i="2"/>
  <c r="H24" i="2"/>
  <c r="I24" i="2"/>
  <c r="J24" i="2"/>
  <c r="K24" i="2"/>
  <c r="L24" i="2"/>
  <c r="M24" i="2"/>
  <c r="N24" i="2"/>
  <c r="O24" i="2"/>
  <c r="P24" i="2"/>
  <c r="Q24" i="2"/>
  <c r="R24" i="2"/>
  <c r="S24" i="2"/>
  <c r="T24" i="2"/>
  <c r="U24" i="2"/>
  <c r="V24" i="2"/>
  <c r="W24" i="2"/>
  <c r="X24" i="2"/>
  <c r="Y24" i="2"/>
  <c r="B25" i="2"/>
  <c r="C25" i="2"/>
  <c r="D25" i="2"/>
  <c r="E25" i="2"/>
  <c r="F25" i="2"/>
  <c r="G25" i="2"/>
  <c r="H25" i="2"/>
  <c r="I25" i="2"/>
  <c r="J25" i="2"/>
  <c r="K25" i="2"/>
  <c r="L25" i="2"/>
  <c r="M25" i="2"/>
  <c r="N25" i="2"/>
  <c r="O25" i="2"/>
  <c r="P25" i="2"/>
  <c r="Q25" i="2"/>
  <c r="R25" i="2"/>
  <c r="S25" i="2"/>
  <c r="T25" i="2"/>
  <c r="U25" i="2"/>
  <c r="V25" i="2"/>
  <c r="W25" i="2"/>
  <c r="X25" i="2"/>
  <c r="Y25" i="2"/>
  <c r="B26" i="2"/>
  <c r="C26" i="2"/>
  <c r="D26" i="2"/>
  <c r="E26" i="2"/>
  <c r="F26" i="2"/>
  <c r="G26" i="2"/>
  <c r="H26" i="2"/>
  <c r="I26" i="2"/>
  <c r="J26" i="2"/>
  <c r="K26" i="2"/>
  <c r="L26" i="2"/>
  <c r="M26" i="2"/>
  <c r="N26" i="2"/>
  <c r="O26" i="2"/>
  <c r="P26" i="2"/>
  <c r="Q26" i="2"/>
  <c r="R26" i="2"/>
  <c r="S26" i="2"/>
  <c r="T26" i="2"/>
  <c r="U26" i="2"/>
  <c r="V26" i="2"/>
  <c r="W26" i="2"/>
  <c r="X26" i="2"/>
  <c r="Y26" i="2"/>
  <c r="B27" i="2"/>
  <c r="C27" i="2"/>
  <c r="D27" i="2"/>
  <c r="E27" i="2"/>
  <c r="F27" i="2"/>
  <c r="G27" i="2"/>
  <c r="H27" i="2"/>
  <c r="I27" i="2"/>
  <c r="J27" i="2"/>
  <c r="K27" i="2"/>
  <c r="L27" i="2"/>
  <c r="M27" i="2"/>
  <c r="N27" i="2"/>
  <c r="O27" i="2"/>
  <c r="P27" i="2"/>
  <c r="Q27" i="2"/>
  <c r="R27" i="2"/>
  <c r="S27" i="2"/>
  <c r="T27" i="2"/>
  <c r="U27" i="2"/>
  <c r="V27" i="2"/>
  <c r="W27" i="2"/>
  <c r="X27" i="2"/>
  <c r="Y27" i="2"/>
  <c r="B28" i="2"/>
  <c r="C28" i="2"/>
  <c r="D28" i="2"/>
  <c r="E28" i="2"/>
  <c r="F28" i="2"/>
  <c r="G28" i="2"/>
  <c r="H28" i="2"/>
  <c r="I28" i="2"/>
  <c r="J28" i="2"/>
  <c r="K28" i="2"/>
  <c r="L28" i="2"/>
  <c r="M28" i="2"/>
  <c r="N28" i="2"/>
  <c r="O28" i="2"/>
  <c r="P28" i="2"/>
  <c r="Q28" i="2"/>
  <c r="R28" i="2"/>
  <c r="S28" i="2"/>
  <c r="T28" i="2"/>
  <c r="U28" i="2"/>
  <c r="V28" i="2"/>
  <c r="W28" i="2"/>
  <c r="X28" i="2"/>
  <c r="Y28" i="2"/>
  <c r="B29" i="2"/>
  <c r="C29" i="2"/>
  <c r="D29" i="2"/>
  <c r="E29" i="2"/>
  <c r="F29" i="2"/>
  <c r="G29" i="2"/>
  <c r="H29" i="2"/>
  <c r="I29" i="2"/>
  <c r="J29" i="2"/>
  <c r="K29" i="2"/>
  <c r="L29" i="2"/>
  <c r="M29" i="2"/>
  <c r="N29" i="2"/>
  <c r="O29" i="2"/>
  <c r="P29" i="2"/>
  <c r="Q29" i="2"/>
  <c r="R29" i="2"/>
  <c r="S29" i="2"/>
  <c r="T29" i="2"/>
  <c r="U29" i="2"/>
  <c r="V29" i="2"/>
  <c r="W29" i="2"/>
  <c r="X29" i="2"/>
  <c r="Y29" i="2"/>
  <c r="B30" i="2"/>
  <c r="C30" i="2"/>
  <c r="D30" i="2"/>
  <c r="E30" i="2"/>
  <c r="F30" i="2"/>
  <c r="G30" i="2"/>
  <c r="H30" i="2"/>
  <c r="I30" i="2"/>
  <c r="J30" i="2"/>
  <c r="K30" i="2"/>
  <c r="L30" i="2"/>
  <c r="M30" i="2"/>
  <c r="N30" i="2"/>
  <c r="O30" i="2"/>
  <c r="P30" i="2"/>
  <c r="Q30" i="2"/>
  <c r="R30" i="2"/>
  <c r="S30" i="2"/>
  <c r="T30" i="2"/>
  <c r="U30" i="2"/>
  <c r="V30" i="2"/>
  <c r="W30" i="2"/>
  <c r="X30" i="2"/>
  <c r="Y30" i="2"/>
  <c r="B31" i="2"/>
  <c r="C31" i="2"/>
  <c r="D31" i="2"/>
  <c r="E31" i="2"/>
  <c r="F31" i="2"/>
  <c r="G31" i="2"/>
  <c r="H31" i="2"/>
  <c r="I31" i="2"/>
  <c r="J31" i="2"/>
  <c r="K31" i="2"/>
  <c r="L31" i="2"/>
  <c r="M31" i="2"/>
  <c r="N31" i="2"/>
  <c r="O31" i="2"/>
  <c r="P31" i="2"/>
  <c r="Q31" i="2"/>
  <c r="R31" i="2"/>
  <c r="S31" i="2"/>
  <c r="T31" i="2"/>
  <c r="U31" i="2"/>
  <c r="V31" i="2"/>
  <c r="W31" i="2"/>
  <c r="X31" i="2"/>
  <c r="Y31" i="2"/>
  <c r="B32" i="2"/>
  <c r="C32" i="2"/>
  <c r="D32" i="2"/>
  <c r="E32" i="2"/>
  <c r="F32" i="2"/>
  <c r="G32" i="2"/>
  <c r="H32" i="2"/>
  <c r="I32" i="2"/>
  <c r="J32" i="2"/>
  <c r="K32" i="2"/>
  <c r="L32" i="2"/>
  <c r="M32" i="2"/>
  <c r="N32" i="2"/>
  <c r="O32" i="2"/>
  <c r="P32" i="2"/>
  <c r="Q32" i="2"/>
  <c r="R32" i="2"/>
  <c r="S32" i="2"/>
  <c r="T32" i="2"/>
  <c r="U32" i="2"/>
  <c r="V32" i="2"/>
  <c r="W32" i="2"/>
  <c r="X32" i="2"/>
  <c r="Y32" i="2"/>
  <c r="B33" i="2"/>
  <c r="C33" i="2"/>
  <c r="D33" i="2"/>
  <c r="E33" i="2"/>
  <c r="F33" i="2"/>
  <c r="G33" i="2"/>
  <c r="H33" i="2"/>
  <c r="I33" i="2"/>
  <c r="J33" i="2"/>
  <c r="K33" i="2"/>
  <c r="L33" i="2"/>
  <c r="M33" i="2"/>
  <c r="N33" i="2"/>
  <c r="O33" i="2"/>
  <c r="P33" i="2"/>
  <c r="Q33" i="2"/>
  <c r="R33" i="2"/>
  <c r="S33" i="2"/>
  <c r="T33" i="2"/>
  <c r="U33" i="2"/>
  <c r="V33" i="2"/>
  <c r="W33" i="2"/>
  <c r="X33" i="2"/>
  <c r="Y33" i="2"/>
  <c r="B34" i="2"/>
  <c r="C34" i="2"/>
  <c r="D34" i="2"/>
  <c r="E34" i="2"/>
  <c r="F34" i="2"/>
  <c r="G34" i="2"/>
  <c r="H34" i="2"/>
  <c r="I34" i="2"/>
  <c r="J34" i="2"/>
  <c r="K34" i="2"/>
  <c r="L34" i="2"/>
  <c r="M34" i="2"/>
  <c r="N34" i="2"/>
  <c r="O34" i="2"/>
  <c r="P34" i="2"/>
  <c r="Q34" i="2"/>
  <c r="R34" i="2"/>
  <c r="S34" i="2"/>
  <c r="T34" i="2"/>
  <c r="U34" i="2"/>
  <c r="V34" i="2"/>
  <c r="W34" i="2"/>
  <c r="X34" i="2"/>
  <c r="Y34" i="2"/>
  <c r="B35" i="2"/>
  <c r="C35" i="2"/>
  <c r="D35" i="2"/>
  <c r="E35" i="2"/>
  <c r="F35" i="2"/>
  <c r="G35" i="2"/>
  <c r="H35" i="2"/>
  <c r="I35" i="2"/>
  <c r="J35" i="2"/>
  <c r="K35" i="2"/>
  <c r="L35" i="2"/>
  <c r="M35" i="2"/>
  <c r="N35" i="2"/>
  <c r="O35" i="2"/>
  <c r="P35" i="2"/>
  <c r="Q35" i="2"/>
  <c r="R35" i="2"/>
  <c r="S35" i="2"/>
  <c r="T35" i="2"/>
  <c r="U35" i="2"/>
  <c r="V35" i="2"/>
  <c r="W35" i="2"/>
  <c r="X35" i="2"/>
  <c r="Y35" i="2"/>
  <c r="B36" i="2"/>
  <c r="C36" i="2"/>
  <c r="D36" i="2"/>
  <c r="E36" i="2"/>
  <c r="F36" i="2"/>
  <c r="G36" i="2"/>
  <c r="H36" i="2"/>
  <c r="I36" i="2"/>
  <c r="J36" i="2"/>
  <c r="K36" i="2"/>
  <c r="L36" i="2"/>
  <c r="M36" i="2"/>
  <c r="N36" i="2"/>
  <c r="O36" i="2"/>
  <c r="P36" i="2"/>
  <c r="Q36" i="2"/>
  <c r="R36" i="2"/>
  <c r="S36" i="2"/>
  <c r="T36" i="2"/>
  <c r="U36" i="2"/>
  <c r="V36" i="2"/>
  <c r="W36" i="2"/>
  <c r="X36" i="2"/>
  <c r="Y36" i="2"/>
  <c r="B37" i="2"/>
  <c r="C37" i="2"/>
  <c r="D37" i="2"/>
  <c r="E37" i="2"/>
  <c r="F37" i="2"/>
  <c r="G37" i="2"/>
  <c r="H37" i="2"/>
  <c r="I37" i="2"/>
  <c r="J37" i="2"/>
  <c r="K37" i="2"/>
  <c r="L37" i="2"/>
  <c r="M37" i="2"/>
  <c r="N37" i="2"/>
  <c r="O37" i="2"/>
  <c r="P37" i="2"/>
  <c r="Q37" i="2"/>
  <c r="R37" i="2"/>
  <c r="S37" i="2"/>
  <c r="T37" i="2"/>
  <c r="U37" i="2"/>
  <c r="V37" i="2"/>
  <c r="W37" i="2"/>
  <c r="X37" i="2"/>
  <c r="Y37" i="2"/>
  <c r="B38" i="2"/>
  <c r="C38" i="2"/>
  <c r="D38" i="2"/>
  <c r="E38" i="2"/>
  <c r="F38" i="2"/>
  <c r="G38" i="2"/>
  <c r="H38" i="2"/>
  <c r="I38" i="2"/>
  <c r="J38" i="2"/>
  <c r="K38" i="2"/>
  <c r="L38" i="2"/>
  <c r="M38" i="2"/>
  <c r="N38" i="2"/>
  <c r="O38" i="2"/>
  <c r="P38" i="2"/>
  <c r="Q38" i="2"/>
  <c r="R38" i="2"/>
  <c r="S38" i="2"/>
  <c r="T38" i="2"/>
  <c r="U38" i="2"/>
  <c r="V38" i="2"/>
  <c r="W38" i="2"/>
  <c r="X38" i="2"/>
  <c r="Y38" i="2"/>
  <c r="B39" i="2"/>
  <c r="C39" i="2"/>
  <c r="D39" i="2"/>
  <c r="E39" i="2"/>
  <c r="F39" i="2"/>
  <c r="G39" i="2"/>
  <c r="H39" i="2"/>
  <c r="I39" i="2"/>
  <c r="J39" i="2"/>
  <c r="K39" i="2"/>
  <c r="L39" i="2"/>
  <c r="M39" i="2"/>
  <c r="N39" i="2"/>
  <c r="O39" i="2"/>
  <c r="P39" i="2"/>
  <c r="Q39" i="2"/>
  <c r="R39" i="2"/>
  <c r="S39" i="2"/>
  <c r="T39" i="2"/>
  <c r="U39" i="2"/>
  <c r="V39" i="2"/>
  <c r="W39" i="2"/>
  <c r="X39" i="2"/>
  <c r="Y39" i="2"/>
  <c r="B40" i="2"/>
  <c r="C40" i="2"/>
  <c r="D40" i="2"/>
  <c r="E40" i="2"/>
  <c r="F40" i="2"/>
  <c r="G40" i="2"/>
  <c r="H40" i="2"/>
  <c r="I40" i="2"/>
  <c r="J40" i="2"/>
  <c r="K40" i="2"/>
  <c r="L40" i="2"/>
  <c r="M40" i="2"/>
  <c r="N40" i="2"/>
  <c r="O40" i="2"/>
  <c r="P40" i="2"/>
  <c r="Q40" i="2"/>
  <c r="R40" i="2"/>
  <c r="S40" i="2"/>
  <c r="T40" i="2"/>
  <c r="U40" i="2"/>
  <c r="V40" i="2"/>
  <c r="W40" i="2"/>
  <c r="X40" i="2"/>
  <c r="Y40" i="2"/>
  <c r="B41" i="2"/>
  <c r="C41" i="2"/>
  <c r="D41" i="2"/>
  <c r="E41" i="2"/>
  <c r="F41" i="2"/>
  <c r="G41" i="2"/>
  <c r="H41" i="2"/>
  <c r="I41" i="2"/>
  <c r="J41" i="2"/>
  <c r="K41" i="2"/>
  <c r="L41" i="2"/>
  <c r="M41" i="2"/>
  <c r="N41" i="2"/>
  <c r="O41" i="2"/>
  <c r="P41" i="2"/>
  <c r="Q41" i="2"/>
  <c r="R41" i="2"/>
  <c r="S41" i="2"/>
  <c r="T41" i="2"/>
  <c r="U41" i="2"/>
  <c r="V41" i="2"/>
  <c r="W41" i="2"/>
  <c r="X41" i="2"/>
  <c r="Y41" i="2"/>
  <c r="B42" i="2"/>
  <c r="C42" i="2"/>
  <c r="D42" i="2"/>
  <c r="E42" i="2"/>
  <c r="F42" i="2"/>
  <c r="G42" i="2"/>
  <c r="H42" i="2"/>
  <c r="I42" i="2"/>
  <c r="J42" i="2"/>
  <c r="K42" i="2"/>
  <c r="L42" i="2"/>
  <c r="M42" i="2"/>
  <c r="N42" i="2"/>
  <c r="O42" i="2"/>
  <c r="P42" i="2"/>
  <c r="Q42" i="2"/>
  <c r="R42" i="2"/>
  <c r="S42" i="2"/>
  <c r="T42" i="2"/>
  <c r="U42" i="2"/>
  <c r="V42" i="2"/>
  <c r="W42" i="2"/>
  <c r="X42" i="2"/>
  <c r="Y42" i="2"/>
  <c r="B43" i="2"/>
  <c r="C43" i="2"/>
  <c r="D43" i="2"/>
  <c r="E43" i="2"/>
  <c r="F43" i="2"/>
  <c r="G43" i="2"/>
  <c r="H43" i="2"/>
  <c r="I43" i="2"/>
  <c r="J43" i="2"/>
  <c r="K43" i="2"/>
  <c r="L43" i="2"/>
  <c r="M43" i="2"/>
  <c r="N43" i="2"/>
  <c r="O43" i="2"/>
  <c r="P43" i="2"/>
  <c r="Q43" i="2"/>
  <c r="R43" i="2"/>
  <c r="S43" i="2"/>
  <c r="T43" i="2"/>
  <c r="U43" i="2"/>
  <c r="V43" i="2"/>
  <c r="W43" i="2"/>
  <c r="X43" i="2"/>
  <c r="Y43" i="2"/>
  <c r="B44" i="2"/>
  <c r="C44" i="2"/>
  <c r="D44" i="2"/>
  <c r="E44" i="2"/>
  <c r="F44" i="2"/>
  <c r="G44" i="2"/>
  <c r="H44" i="2"/>
  <c r="I44" i="2"/>
  <c r="J44" i="2"/>
  <c r="K44" i="2"/>
  <c r="L44" i="2"/>
  <c r="M44" i="2"/>
  <c r="N44" i="2"/>
  <c r="O44" i="2"/>
  <c r="P44" i="2"/>
  <c r="Q44" i="2"/>
  <c r="R44" i="2"/>
  <c r="S44" i="2"/>
  <c r="T44" i="2"/>
  <c r="U44" i="2"/>
  <c r="V44" i="2"/>
  <c r="W44" i="2"/>
  <c r="X44" i="2"/>
  <c r="Y44" i="2"/>
  <c r="B45" i="2"/>
  <c r="C45" i="2"/>
  <c r="D45" i="2"/>
  <c r="E45" i="2"/>
  <c r="F45" i="2"/>
  <c r="G45" i="2"/>
  <c r="H45" i="2"/>
  <c r="I45" i="2"/>
  <c r="J45" i="2"/>
  <c r="K45" i="2"/>
  <c r="L45" i="2"/>
  <c r="M45" i="2"/>
  <c r="N45" i="2"/>
  <c r="O45" i="2"/>
  <c r="P45" i="2"/>
  <c r="Q45" i="2"/>
  <c r="R45" i="2"/>
  <c r="S45" i="2"/>
  <c r="T45" i="2"/>
  <c r="U45" i="2"/>
  <c r="V45" i="2"/>
  <c r="W45" i="2"/>
  <c r="X45" i="2"/>
  <c r="Y45" i="2"/>
  <c r="B46" i="2"/>
  <c r="C46" i="2"/>
  <c r="D46" i="2"/>
  <c r="E46" i="2"/>
  <c r="F46" i="2"/>
  <c r="G46" i="2"/>
  <c r="H46" i="2"/>
  <c r="I46" i="2"/>
  <c r="J46" i="2"/>
  <c r="K46" i="2"/>
  <c r="L46" i="2"/>
  <c r="M46" i="2"/>
  <c r="N46" i="2"/>
  <c r="O46" i="2"/>
  <c r="P46" i="2"/>
  <c r="Q46" i="2"/>
  <c r="R46" i="2"/>
  <c r="S46" i="2"/>
  <c r="T46" i="2"/>
  <c r="U46" i="2"/>
  <c r="V46" i="2"/>
  <c r="W46" i="2"/>
  <c r="X46" i="2"/>
  <c r="Y46" i="2"/>
  <c r="B47" i="2"/>
  <c r="C47" i="2"/>
  <c r="D47" i="2"/>
  <c r="E47" i="2"/>
  <c r="F47" i="2"/>
  <c r="G47" i="2"/>
  <c r="H47" i="2"/>
  <c r="I47" i="2"/>
  <c r="J47" i="2"/>
  <c r="K47" i="2"/>
  <c r="L47" i="2"/>
  <c r="M47" i="2"/>
  <c r="N47" i="2"/>
  <c r="O47" i="2"/>
  <c r="P47" i="2"/>
  <c r="Q47" i="2"/>
  <c r="R47" i="2"/>
  <c r="S47" i="2"/>
  <c r="T47" i="2"/>
  <c r="U47" i="2"/>
  <c r="V47" i="2"/>
  <c r="W47" i="2"/>
  <c r="X47" i="2"/>
  <c r="Y47" i="2"/>
  <c r="B48" i="2"/>
  <c r="C48" i="2"/>
  <c r="D48" i="2"/>
  <c r="E48" i="2"/>
  <c r="F48" i="2"/>
  <c r="G48" i="2"/>
  <c r="H48" i="2"/>
  <c r="I48" i="2"/>
  <c r="J48" i="2"/>
  <c r="K48" i="2"/>
  <c r="L48" i="2"/>
  <c r="M48" i="2"/>
  <c r="N48" i="2"/>
  <c r="O48" i="2"/>
  <c r="P48" i="2"/>
  <c r="Q48" i="2"/>
  <c r="R48" i="2"/>
  <c r="S48" i="2"/>
  <c r="T48" i="2"/>
  <c r="U48" i="2"/>
  <c r="V48" i="2"/>
  <c r="W48" i="2"/>
  <c r="X48" i="2"/>
  <c r="Y48" i="2"/>
  <c r="B49" i="2"/>
  <c r="C49" i="2"/>
  <c r="D49" i="2"/>
  <c r="E49" i="2"/>
  <c r="F49" i="2"/>
  <c r="G49" i="2"/>
  <c r="H49" i="2"/>
  <c r="I49" i="2"/>
  <c r="J49" i="2"/>
  <c r="K49" i="2"/>
  <c r="L49" i="2"/>
  <c r="M49" i="2"/>
  <c r="N49" i="2"/>
  <c r="O49" i="2"/>
  <c r="P49" i="2"/>
  <c r="Q49" i="2"/>
  <c r="R49" i="2"/>
  <c r="S49" i="2"/>
  <c r="T49" i="2"/>
  <c r="U49" i="2"/>
  <c r="V49" i="2"/>
  <c r="W49" i="2"/>
  <c r="X49" i="2"/>
  <c r="Y49" i="2"/>
  <c r="B50" i="2"/>
  <c r="C50" i="2"/>
  <c r="D50" i="2"/>
  <c r="E50" i="2"/>
  <c r="F50" i="2"/>
  <c r="G50" i="2"/>
  <c r="H50" i="2"/>
  <c r="I50" i="2"/>
  <c r="J50" i="2"/>
  <c r="K50" i="2"/>
  <c r="L50" i="2"/>
  <c r="M50" i="2"/>
  <c r="N50" i="2"/>
  <c r="O50" i="2"/>
  <c r="P50" i="2"/>
  <c r="Q50" i="2"/>
  <c r="R50" i="2"/>
  <c r="S50" i="2"/>
  <c r="T50" i="2"/>
  <c r="U50" i="2"/>
  <c r="V50" i="2"/>
  <c r="W50" i="2"/>
  <c r="X50" i="2"/>
  <c r="Y50" i="2"/>
  <c r="B51" i="2"/>
  <c r="C51" i="2"/>
  <c r="D51" i="2"/>
  <c r="E51" i="2"/>
  <c r="F51" i="2"/>
  <c r="G51" i="2"/>
  <c r="H51" i="2"/>
  <c r="I51" i="2"/>
  <c r="J51" i="2"/>
  <c r="K51" i="2"/>
  <c r="L51" i="2"/>
  <c r="M51" i="2"/>
  <c r="N51" i="2"/>
  <c r="O51" i="2"/>
  <c r="P51" i="2"/>
  <c r="Q51" i="2"/>
  <c r="R51" i="2"/>
  <c r="S51" i="2"/>
  <c r="T51" i="2"/>
  <c r="U51" i="2"/>
  <c r="V51" i="2"/>
  <c r="W51" i="2"/>
  <c r="X51" i="2"/>
  <c r="Y51" i="2"/>
  <c r="B52" i="2"/>
  <c r="C52" i="2"/>
  <c r="D52" i="2"/>
  <c r="E52" i="2"/>
  <c r="F52" i="2"/>
  <c r="G52" i="2"/>
  <c r="H52" i="2"/>
  <c r="I52" i="2"/>
  <c r="J52" i="2"/>
  <c r="K52" i="2"/>
  <c r="L52" i="2"/>
  <c r="M52" i="2"/>
  <c r="N52" i="2"/>
  <c r="O52" i="2"/>
  <c r="P52" i="2"/>
  <c r="Q52" i="2"/>
  <c r="R52" i="2"/>
  <c r="S52" i="2"/>
  <c r="T52" i="2"/>
  <c r="U52" i="2"/>
  <c r="V52" i="2"/>
  <c r="W52" i="2"/>
  <c r="X52" i="2"/>
  <c r="Y52" i="2"/>
  <c r="B53" i="2"/>
  <c r="C53" i="2"/>
  <c r="D53" i="2"/>
  <c r="E53" i="2"/>
  <c r="F53" i="2"/>
  <c r="G53" i="2"/>
  <c r="H53" i="2"/>
  <c r="I53" i="2"/>
  <c r="J53" i="2"/>
  <c r="K53" i="2"/>
  <c r="L53" i="2"/>
  <c r="M53" i="2"/>
  <c r="N53" i="2"/>
  <c r="O53" i="2"/>
  <c r="P53" i="2"/>
  <c r="Q53" i="2"/>
  <c r="R53" i="2"/>
  <c r="S53" i="2"/>
  <c r="T53" i="2"/>
  <c r="U53" i="2"/>
  <c r="V53" i="2"/>
  <c r="W53" i="2"/>
  <c r="X53" i="2"/>
  <c r="Y53" i="2"/>
  <c r="B54" i="2"/>
  <c r="C54" i="2"/>
  <c r="D54" i="2"/>
  <c r="E54" i="2"/>
  <c r="F54" i="2"/>
  <c r="G54" i="2"/>
  <c r="H54" i="2"/>
  <c r="I54" i="2"/>
  <c r="J54" i="2"/>
  <c r="K54" i="2"/>
  <c r="L54" i="2"/>
  <c r="M54" i="2"/>
  <c r="N54" i="2"/>
  <c r="O54" i="2"/>
  <c r="P54" i="2"/>
  <c r="Q54" i="2"/>
  <c r="R54" i="2"/>
  <c r="S54" i="2"/>
  <c r="T54" i="2"/>
  <c r="U54" i="2"/>
  <c r="V54" i="2"/>
  <c r="W54" i="2"/>
  <c r="X54" i="2"/>
  <c r="Y54" i="2"/>
  <c r="B55" i="2"/>
  <c r="C55" i="2"/>
  <c r="D55" i="2"/>
  <c r="E55" i="2"/>
  <c r="F55" i="2"/>
  <c r="G55" i="2"/>
  <c r="H55" i="2"/>
  <c r="I55" i="2"/>
  <c r="J55" i="2"/>
  <c r="K55" i="2"/>
  <c r="L55" i="2"/>
  <c r="M55" i="2"/>
  <c r="N55" i="2"/>
  <c r="O55" i="2"/>
  <c r="P55" i="2"/>
  <c r="Q55" i="2"/>
  <c r="R55" i="2"/>
  <c r="S55" i="2"/>
  <c r="T55" i="2"/>
  <c r="U55" i="2"/>
  <c r="V55" i="2"/>
  <c r="W55" i="2"/>
  <c r="X55" i="2"/>
  <c r="Y55" i="2"/>
  <c r="B56" i="2"/>
  <c r="C56" i="2"/>
  <c r="D56" i="2"/>
  <c r="E56" i="2"/>
  <c r="F56" i="2"/>
  <c r="G56" i="2"/>
  <c r="H56" i="2"/>
  <c r="I56" i="2"/>
  <c r="J56" i="2"/>
  <c r="K56" i="2"/>
  <c r="L56" i="2"/>
  <c r="M56" i="2"/>
  <c r="N56" i="2"/>
  <c r="O56" i="2"/>
  <c r="P56" i="2"/>
  <c r="Q56" i="2"/>
  <c r="R56" i="2"/>
  <c r="S56" i="2"/>
  <c r="T56" i="2"/>
  <c r="U56" i="2"/>
  <c r="V56" i="2"/>
  <c r="W56" i="2"/>
  <c r="X56" i="2"/>
  <c r="Y56" i="2"/>
  <c r="B57" i="2"/>
  <c r="C57" i="2"/>
  <c r="D57" i="2"/>
  <c r="E57" i="2"/>
  <c r="F57" i="2"/>
  <c r="G57" i="2"/>
  <c r="H57" i="2"/>
  <c r="I57" i="2"/>
  <c r="J57" i="2"/>
  <c r="K57" i="2"/>
  <c r="L57" i="2"/>
  <c r="M57" i="2"/>
  <c r="N57" i="2"/>
  <c r="O57" i="2"/>
  <c r="P57" i="2"/>
  <c r="Q57" i="2"/>
  <c r="R57" i="2"/>
  <c r="S57" i="2"/>
  <c r="T57" i="2"/>
  <c r="U57" i="2"/>
  <c r="V57" i="2"/>
  <c r="W57" i="2"/>
  <c r="X57" i="2"/>
  <c r="Y57" i="2"/>
  <c r="B58" i="2"/>
  <c r="C58" i="2"/>
  <c r="D58" i="2"/>
  <c r="E58" i="2"/>
  <c r="F58" i="2"/>
  <c r="G58" i="2"/>
  <c r="H58" i="2"/>
  <c r="I58" i="2"/>
  <c r="J58" i="2"/>
  <c r="K58" i="2"/>
  <c r="L58" i="2"/>
  <c r="M58" i="2"/>
  <c r="N58" i="2"/>
  <c r="O58" i="2"/>
  <c r="P58" i="2"/>
  <c r="Q58" i="2"/>
  <c r="R58" i="2"/>
  <c r="S58" i="2"/>
  <c r="T58" i="2"/>
  <c r="U58" i="2"/>
  <c r="V58" i="2"/>
  <c r="W58" i="2"/>
  <c r="X58" i="2"/>
  <c r="Y58" i="2"/>
  <c r="B59" i="2"/>
  <c r="C59" i="2"/>
  <c r="D59" i="2"/>
  <c r="E59" i="2"/>
  <c r="F59" i="2"/>
  <c r="G59" i="2"/>
  <c r="H59" i="2"/>
  <c r="I59" i="2"/>
  <c r="J59" i="2"/>
  <c r="K59" i="2"/>
  <c r="L59" i="2"/>
  <c r="M59" i="2"/>
  <c r="N59" i="2"/>
  <c r="O59" i="2"/>
  <c r="P59" i="2"/>
  <c r="Q59" i="2"/>
  <c r="R59" i="2"/>
  <c r="S59" i="2"/>
  <c r="T59" i="2"/>
  <c r="U59" i="2"/>
  <c r="V59" i="2"/>
  <c r="W59" i="2"/>
  <c r="X59" i="2"/>
  <c r="Y59" i="2"/>
  <c r="B60" i="2"/>
  <c r="C60" i="2"/>
  <c r="D60" i="2"/>
  <c r="E60" i="2"/>
  <c r="F60" i="2"/>
  <c r="G60" i="2"/>
  <c r="H60" i="2"/>
  <c r="I60" i="2"/>
  <c r="J60" i="2"/>
  <c r="K60" i="2"/>
  <c r="L60" i="2"/>
  <c r="M60" i="2"/>
  <c r="N60" i="2"/>
  <c r="O60" i="2"/>
  <c r="P60" i="2"/>
  <c r="Q60" i="2"/>
  <c r="R60" i="2"/>
  <c r="S60" i="2"/>
  <c r="T60" i="2"/>
  <c r="U60" i="2"/>
  <c r="V60" i="2"/>
  <c r="W60" i="2"/>
  <c r="X60" i="2"/>
  <c r="Y60" i="2"/>
  <c r="B61" i="2"/>
  <c r="C61" i="2"/>
  <c r="D61" i="2"/>
  <c r="E61" i="2"/>
  <c r="F61" i="2"/>
  <c r="G61" i="2"/>
  <c r="H61" i="2"/>
  <c r="I61" i="2"/>
  <c r="J61" i="2"/>
  <c r="K61" i="2"/>
  <c r="L61" i="2"/>
  <c r="M61" i="2"/>
  <c r="N61" i="2"/>
  <c r="O61" i="2"/>
  <c r="P61" i="2"/>
  <c r="Q61" i="2"/>
  <c r="R61" i="2"/>
  <c r="S61" i="2"/>
  <c r="T61" i="2"/>
  <c r="U61" i="2"/>
  <c r="V61" i="2"/>
  <c r="W61" i="2"/>
  <c r="X61" i="2"/>
  <c r="Y61" i="2"/>
  <c r="B62" i="2"/>
  <c r="C62" i="2"/>
  <c r="D62" i="2"/>
  <c r="E62" i="2"/>
  <c r="F62" i="2"/>
  <c r="G62" i="2"/>
  <c r="H62" i="2"/>
  <c r="I62" i="2"/>
  <c r="J62" i="2"/>
  <c r="K62" i="2"/>
  <c r="L62" i="2"/>
  <c r="M62" i="2"/>
  <c r="N62" i="2"/>
  <c r="O62" i="2"/>
  <c r="P62" i="2"/>
  <c r="Q62" i="2"/>
  <c r="R62" i="2"/>
  <c r="S62" i="2"/>
  <c r="T62" i="2"/>
  <c r="U62" i="2"/>
  <c r="V62" i="2"/>
  <c r="W62" i="2"/>
  <c r="X62" i="2"/>
  <c r="Y62" i="2"/>
  <c r="B63" i="2"/>
  <c r="C63" i="2"/>
  <c r="D63" i="2"/>
  <c r="E63" i="2"/>
  <c r="F63" i="2"/>
  <c r="G63" i="2"/>
  <c r="H63" i="2"/>
  <c r="I63" i="2"/>
  <c r="J63" i="2"/>
  <c r="K63" i="2"/>
  <c r="L63" i="2"/>
  <c r="M63" i="2"/>
  <c r="N63" i="2"/>
  <c r="O63" i="2"/>
  <c r="P63" i="2"/>
  <c r="Q63" i="2"/>
  <c r="R63" i="2"/>
  <c r="S63" i="2"/>
  <c r="T63" i="2"/>
  <c r="U63" i="2"/>
  <c r="V63" i="2"/>
  <c r="W63" i="2"/>
  <c r="X63" i="2"/>
  <c r="Y63" i="2"/>
  <c r="B64" i="2"/>
  <c r="C64" i="2"/>
  <c r="D64" i="2"/>
  <c r="E64" i="2"/>
  <c r="F64" i="2"/>
  <c r="G64" i="2"/>
  <c r="H64" i="2"/>
  <c r="I64" i="2"/>
  <c r="J64" i="2"/>
  <c r="K64" i="2"/>
  <c r="L64" i="2"/>
  <c r="M64" i="2"/>
  <c r="N64" i="2"/>
  <c r="O64" i="2"/>
  <c r="P64" i="2"/>
  <c r="Q64" i="2"/>
  <c r="R64" i="2"/>
  <c r="S64" i="2"/>
  <c r="T64" i="2"/>
  <c r="U64" i="2"/>
  <c r="V64" i="2"/>
  <c r="W64" i="2"/>
  <c r="X64" i="2"/>
  <c r="Y64" i="2"/>
  <c r="B65" i="2"/>
  <c r="C65" i="2"/>
  <c r="D65" i="2"/>
  <c r="E65" i="2"/>
  <c r="F65" i="2"/>
  <c r="G65" i="2"/>
  <c r="H65" i="2"/>
  <c r="I65" i="2"/>
  <c r="J65" i="2"/>
  <c r="K65" i="2"/>
  <c r="L65" i="2"/>
  <c r="M65" i="2"/>
  <c r="N65" i="2"/>
  <c r="O65" i="2"/>
  <c r="P65" i="2"/>
  <c r="Q65" i="2"/>
  <c r="R65" i="2"/>
  <c r="S65" i="2"/>
  <c r="T65" i="2"/>
  <c r="U65" i="2"/>
  <c r="V65" i="2"/>
  <c r="W65" i="2"/>
  <c r="X65" i="2"/>
  <c r="Y65" i="2"/>
  <c r="B66" i="2"/>
  <c r="C66" i="2"/>
  <c r="D66" i="2"/>
  <c r="E66" i="2"/>
  <c r="F66" i="2"/>
  <c r="G66" i="2"/>
  <c r="H66" i="2"/>
  <c r="I66" i="2"/>
  <c r="J66" i="2"/>
  <c r="K66" i="2"/>
  <c r="L66" i="2"/>
  <c r="M66" i="2"/>
  <c r="N66" i="2"/>
  <c r="O66" i="2"/>
  <c r="P66" i="2"/>
  <c r="Q66" i="2"/>
  <c r="R66" i="2"/>
  <c r="S66" i="2"/>
  <c r="T66" i="2"/>
  <c r="U66" i="2"/>
  <c r="V66" i="2"/>
  <c r="W66" i="2"/>
  <c r="X66" i="2"/>
  <c r="Y66" i="2"/>
  <c r="B67" i="2"/>
  <c r="C67" i="2"/>
  <c r="D67" i="2"/>
  <c r="E67" i="2"/>
  <c r="F67" i="2"/>
  <c r="G67" i="2"/>
  <c r="H67" i="2"/>
  <c r="I67" i="2"/>
  <c r="J67" i="2"/>
  <c r="K67" i="2"/>
  <c r="L67" i="2"/>
  <c r="M67" i="2"/>
  <c r="N67" i="2"/>
  <c r="O67" i="2"/>
  <c r="P67" i="2"/>
  <c r="Q67" i="2"/>
  <c r="R67" i="2"/>
  <c r="S67" i="2"/>
  <c r="T67" i="2"/>
  <c r="U67" i="2"/>
  <c r="V67" i="2"/>
  <c r="W67" i="2"/>
  <c r="X67" i="2"/>
  <c r="Y67" i="2"/>
  <c r="B68" i="2"/>
  <c r="C68" i="2"/>
  <c r="D68" i="2"/>
  <c r="E68" i="2"/>
  <c r="F68" i="2"/>
  <c r="G68" i="2"/>
  <c r="H68" i="2"/>
  <c r="I68" i="2"/>
  <c r="J68" i="2"/>
  <c r="K68" i="2"/>
  <c r="L68" i="2"/>
  <c r="M68" i="2"/>
  <c r="N68" i="2"/>
  <c r="O68" i="2"/>
  <c r="P68" i="2"/>
  <c r="Q68" i="2"/>
  <c r="R68" i="2"/>
  <c r="S68" i="2"/>
  <c r="T68" i="2"/>
  <c r="U68" i="2"/>
  <c r="V68" i="2"/>
  <c r="W68" i="2"/>
  <c r="X68" i="2"/>
  <c r="Y68" i="2"/>
  <c r="B69" i="2"/>
  <c r="C69" i="2"/>
  <c r="D69" i="2"/>
  <c r="E69" i="2"/>
  <c r="F69" i="2"/>
  <c r="G69" i="2"/>
  <c r="H69" i="2"/>
  <c r="I69" i="2"/>
  <c r="J69" i="2"/>
  <c r="K69" i="2"/>
  <c r="L69" i="2"/>
  <c r="M69" i="2"/>
  <c r="N69" i="2"/>
  <c r="O69" i="2"/>
  <c r="P69" i="2"/>
  <c r="Q69" i="2"/>
  <c r="R69" i="2"/>
  <c r="S69" i="2"/>
  <c r="T69" i="2"/>
  <c r="U69" i="2"/>
  <c r="V69" i="2"/>
  <c r="W69" i="2"/>
  <c r="X69" i="2"/>
  <c r="Y69" i="2"/>
  <c r="B70" i="2"/>
  <c r="C70" i="2"/>
  <c r="D70" i="2"/>
  <c r="E70" i="2"/>
  <c r="F70" i="2"/>
  <c r="G70" i="2"/>
  <c r="H70" i="2"/>
  <c r="I70" i="2"/>
  <c r="J70" i="2"/>
  <c r="K70" i="2"/>
  <c r="L70" i="2"/>
  <c r="M70" i="2"/>
  <c r="N70" i="2"/>
  <c r="O70" i="2"/>
  <c r="P70" i="2"/>
  <c r="Q70" i="2"/>
  <c r="R70" i="2"/>
  <c r="S70" i="2"/>
  <c r="T70" i="2"/>
  <c r="U70" i="2"/>
  <c r="V70" i="2"/>
  <c r="W70" i="2"/>
  <c r="X70" i="2"/>
  <c r="Y70" i="2"/>
  <c r="B71" i="2"/>
  <c r="C71" i="2"/>
  <c r="D71" i="2"/>
  <c r="E71" i="2"/>
  <c r="F71" i="2"/>
  <c r="G71" i="2"/>
  <c r="H71" i="2"/>
  <c r="I71" i="2"/>
  <c r="J71" i="2"/>
  <c r="K71" i="2"/>
  <c r="L71" i="2"/>
  <c r="M71" i="2"/>
  <c r="N71" i="2"/>
  <c r="O71" i="2"/>
  <c r="P71" i="2"/>
  <c r="Q71" i="2"/>
  <c r="R71" i="2"/>
  <c r="S71" i="2"/>
  <c r="T71" i="2"/>
  <c r="U71" i="2"/>
  <c r="V71" i="2"/>
  <c r="W71" i="2"/>
  <c r="X71" i="2"/>
  <c r="Y71" i="2"/>
  <c r="B72" i="2"/>
  <c r="C72" i="2"/>
  <c r="D72" i="2"/>
  <c r="E72" i="2"/>
  <c r="F72" i="2"/>
  <c r="G72" i="2"/>
  <c r="H72" i="2"/>
  <c r="I72" i="2"/>
  <c r="J72" i="2"/>
  <c r="K72" i="2"/>
  <c r="L72" i="2"/>
  <c r="M72" i="2"/>
  <c r="N72" i="2"/>
  <c r="O72" i="2"/>
  <c r="P72" i="2"/>
  <c r="Q72" i="2"/>
  <c r="R72" i="2"/>
  <c r="S72" i="2"/>
  <c r="T72" i="2"/>
  <c r="U72" i="2"/>
  <c r="V72" i="2"/>
  <c r="W72" i="2"/>
  <c r="X72" i="2"/>
  <c r="Y72" i="2"/>
  <c r="B73" i="2"/>
  <c r="C73" i="2"/>
  <c r="D73" i="2"/>
  <c r="E73" i="2"/>
  <c r="F73" i="2"/>
  <c r="G73" i="2"/>
  <c r="H73" i="2"/>
  <c r="I73" i="2"/>
  <c r="J73" i="2"/>
  <c r="K73" i="2"/>
  <c r="L73" i="2"/>
  <c r="M73" i="2"/>
  <c r="N73" i="2"/>
  <c r="O73" i="2"/>
  <c r="P73" i="2"/>
  <c r="Q73" i="2"/>
  <c r="R73" i="2"/>
  <c r="S73" i="2"/>
  <c r="T73" i="2"/>
  <c r="U73" i="2"/>
  <c r="V73" i="2"/>
  <c r="W73" i="2"/>
  <c r="X73" i="2"/>
  <c r="Y73" i="2"/>
  <c r="B74" i="2"/>
  <c r="C74" i="2"/>
  <c r="D74" i="2"/>
  <c r="E74" i="2"/>
  <c r="F74" i="2"/>
  <c r="G74" i="2"/>
  <c r="H74" i="2"/>
  <c r="I74" i="2"/>
  <c r="J74" i="2"/>
  <c r="K74" i="2"/>
  <c r="L74" i="2"/>
  <c r="M74" i="2"/>
  <c r="N74" i="2"/>
  <c r="O74" i="2"/>
  <c r="P74" i="2"/>
  <c r="Q74" i="2"/>
  <c r="R74" i="2"/>
  <c r="S74" i="2"/>
  <c r="T74" i="2"/>
  <c r="U74" i="2"/>
  <c r="V74" i="2"/>
  <c r="W74" i="2"/>
  <c r="X74" i="2"/>
  <c r="Y74" i="2"/>
  <c r="B75" i="2"/>
  <c r="C75" i="2"/>
  <c r="D75" i="2"/>
  <c r="E75" i="2"/>
  <c r="F75" i="2"/>
  <c r="G75" i="2"/>
  <c r="H75" i="2"/>
  <c r="I75" i="2"/>
  <c r="J75" i="2"/>
  <c r="K75" i="2"/>
  <c r="L75" i="2"/>
  <c r="M75" i="2"/>
  <c r="N75" i="2"/>
  <c r="O75" i="2"/>
  <c r="P75" i="2"/>
  <c r="Q75" i="2"/>
  <c r="R75" i="2"/>
  <c r="S75" i="2"/>
  <c r="T75" i="2"/>
  <c r="U75" i="2"/>
  <c r="V75" i="2"/>
  <c r="W75" i="2"/>
  <c r="X75" i="2"/>
  <c r="Y75" i="2"/>
  <c r="B76" i="2"/>
  <c r="C76" i="2"/>
  <c r="D76" i="2"/>
  <c r="E76" i="2"/>
  <c r="F76" i="2"/>
  <c r="G76" i="2"/>
  <c r="H76" i="2"/>
  <c r="I76" i="2"/>
  <c r="J76" i="2"/>
  <c r="K76" i="2"/>
  <c r="L76" i="2"/>
  <c r="M76" i="2"/>
  <c r="N76" i="2"/>
  <c r="O76" i="2"/>
  <c r="P76" i="2"/>
  <c r="Q76" i="2"/>
  <c r="R76" i="2"/>
  <c r="S76" i="2"/>
  <c r="T76" i="2"/>
  <c r="U76" i="2"/>
  <c r="V76" i="2"/>
  <c r="W76" i="2"/>
  <c r="X76" i="2"/>
  <c r="Y76" i="2"/>
  <c r="B77" i="2"/>
  <c r="C77" i="2"/>
  <c r="D77" i="2"/>
  <c r="E77" i="2"/>
  <c r="F77" i="2"/>
  <c r="G77" i="2"/>
  <c r="H77" i="2"/>
  <c r="I77" i="2"/>
  <c r="J77" i="2"/>
  <c r="K77" i="2"/>
  <c r="L77" i="2"/>
  <c r="M77" i="2"/>
  <c r="N77" i="2"/>
  <c r="O77" i="2"/>
  <c r="P77" i="2"/>
  <c r="Q77" i="2"/>
  <c r="R77" i="2"/>
  <c r="S77" i="2"/>
  <c r="T77" i="2"/>
  <c r="U77" i="2"/>
  <c r="V77" i="2"/>
  <c r="W77" i="2"/>
  <c r="X77" i="2"/>
  <c r="Y77" i="2"/>
  <c r="B78" i="2"/>
  <c r="C78" i="2"/>
  <c r="D78" i="2"/>
  <c r="E78" i="2"/>
  <c r="F78" i="2"/>
  <c r="G78" i="2"/>
  <c r="H78" i="2"/>
  <c r="I78" i="2"/>
  <c r="J78" i="2"/>
  <c r="K78" i="2"/>
  <c r="L78" i="2"/>
  <c r="M78" i="2"/>
  <c r="N78" i="2"/>
  <c r="O78" i="2"/>
  <c r="P78" i="2"/>
  <c r="Q78" i="2"/>
  <c r="R78" i="2"/>
  <c r="S78" i="2"/>
  <c r="T78" i="2"/>
  <c r="U78" i="2"/>
  <c r="V78" i="2"/>
  <c r="W78" i="2"/>
  <c r="X78" i="2"/>
  <c r="Y78" i="2"/>
  <c r="B79" i="2"/>
  <c r="C79" i="2"/>
  <c r="D79" i="2"/>
  <c r="E79" i="2"/>
  <c r="F79" i="2"/>
  <c r="G79" i="2"/>
  <c r="H79" i="2"/>
  <c r="I79" i="2"/>
  <c r="J79" i="2"/>
  <c r="K79" i="2"/>
  <c r="L79" i="2"/>
  <c r="M79" i="2"/>
  <c r="N79" i="2"/>
  <c r="O79" i="2"/>
  <c r="P79" i="2"/>
  <c r="Q79" i="2"/>
  <c r="R79" i="2"/>
  <c r="S79" i="2"/>
  <c r="T79" i="2"/>
  <c r="U79" i="2"/>
  <c r="V79" i="2"/>
  <c r="W79" i="2"/>
  <c r="X79" i="2"/>
  <c r="Y79" i="2"/>
  <c r="B80" i="2"/>
  <c r="C80" i="2"/>
  <c r="D80" i="2"/>
  <c r="E80" i="2"/>
  <c r="F80" i="2"/>
  <c r="G80" i="2"/>
  <c r="H80" i="2"/>
  <c r="I80" i="2"/>
  <c r="J80" i="2"/>
  <c r="K80" i="2"/>
  <c r="L80" i="2"/>
  <c r="M80" i="2"/>
  <c r="N80" i="2"/>
  <c r="O80" i="2"/>
  <c r="P80" i="2"/>
  <c r="Q80" i="2"/>
  <c r="R80" i="2"/>
  <c r="S80" i="2"/>
  <c r="T80" i="2"/>
  <c r="U80" i="2"/>
  <c r="V80" i="2"/>
  <c r="W80" i="2"/>
  <c r="X80" i="2"/>
  <c r="Y80" i="2"/>
  <c r="B81" i="2"/>
  <c r="C81" i="2"/>
  <c r="D81" i="2"/>
  <c r="E81" i="2"/>
  <c r="F81" i="2"/>
  <c r="G81" i="2"/>
  <c r="H81" i="2"/>
  <c r="I81" i="2"/>
  <c r="J81" i="2"/>
  <c r="K81" i="2"/>
  <c r="L81" i="2"/>
  <c r="M81" i="2"/>
  <c r="N81" i="2"/>
  <c r="O81" i="2"/>
  <c r="P81" i="2"/>
  <c r="Q81" i="2"/>
  <c r="R81" i="2"/>
  <c r="S81" i="2"/>
  <c r="T81" i="2"/>
  <c r="U81" i="2"/>
  <c r="V81" i="2"/>
  <c r="W81" i="2"/>
  <c r="X81" i="2"/>
  <c r="Y81" i="2"/>
  <c r="B82" i="2"/>
  <c r="C82" i="2"/>
  <c r="D82" i="2"/>
  <c r="E82" i="2"/>
  <c r="F82" i="2"/>
  <c r="G82" i="2"/>
  <c r="H82" i="2"/>
  <c r="I82" i="2"/>
  <c r="J82" i="2"/>
  <c r="K82" i="2"/>
  <c r="L82" i="2"/>
  <c r="M82" i="2"/>
  <c r="N82" i="2"/>
  <c r="O82" i="2"/>
  <c r="P82" i="2"/>
  <c r="Q82" i="2"/>
  <c r="R82" i="2"/>
  <c r="S82" i="2"/>
  <c r="T82" i="2"/>
  <c r="U82" i="2"/>
  <c r="V82" i="2"/>
  <c r="W82" i="2"/>
  <c r="X82" i="2"/>
  <c r="Y82" i="2"/>
  <c r="B83" i="2"/>
  <c r="C83" i="2"/>
  <c r="D83" i="2"/>
  <c r="E83" i="2"/>
  <c r="F83" i="2"/>
  <c r="G83" i="2"/>
  <c r="H83" i="2"/>
  <c r="I83" i="2"/>
  <c r="J83" i="2"/>
  <c r="K83" i="2"/>
  <c r="L83" i="2"/>
  <c r="M83" i="2"/>
  <c r="N83" i="2"/>
  <c r="O83" i="2"/>
  <c r="P83" i="2"/>
  <c r="Q83" i="2"/>
  <c r="R83" i="2"/>
  <c r="S83" i="2"/>
  <c r="T83" i="2"/>
  <c r="U83" i="2"/>
  <c r="V83" i="2"/>
  <c r="W83" i="2"/>
  <c r="X83" i="2"/>
  <c r="Y83" i="2"/>
  <c r="B84" i="2"/>
  <c r="C84" i="2"/>
  <c r="D84" i="2"/>
  <c r="E84" i="2"/>
  <c r="F84" i="2"/>
  <c r="G84" i="2"/>
  <c r="H84" i="2"/>
  <c r="I84" i="2"/>
  <c r="J84" i="2"/>
  <c r="K84" i="2"/>
  <c r="L84" i="2"/>
  <c r="M84" i="2"/>
  <c r="N84" i="2"/>
  <c r="O84" i="2"/>
  <c r="P84" i="2"/>
  <c r="Q84" i="2"/>
  <c r="R84" i="2"/>
  <c r="S84" i="2"/>
  <c r="T84" i="2"/>
  <c r="U84" i="2"/>
  <c r="V84" i="2"/>
  <c r="W84" i="2"/>
  <c r="X84" i="2"/>
  <c r="Y84" i="2"/>
  <c r="B85" i="2"/>
  <c r="C85" i="2"/>
  <c r="D85" i="2"/>
  <c r="E85" i="2"/>
  <c r="F85" i="2"/>
  <c r="G85" i="2"/>
  <c r="H85" i="2"/>
  <c r="I85" i="2"/>
  <c r="J85" i="2"/>
  <c r="K85" i="2"/>
  <c r="L85" i="2"/>
  <c r="M85" i="2"/>
  <c r="N85" i="2"/>
  <c r="O85" i="2"/>
  <c r="P85" i="2"/>
  <c r="Q85" i="2"/>
  <c r="R85" i="2"/>
  <c r="S85" i="2"/>
  <c r="T85" i="2"/>
  <c r="U85" i="2"/>
  <c r="V85" i="2"/>
  <c r="W85" i="2"/>
  <c r="X85" i="2"/>
  <c r="Y85" i="2"/>
  <c r="B86" i="2"/>
  <c r="C86" i="2"/>
  <c r="D86" i="2"/>
  <c r="E86" i="2"/>
  <c r="F86" i="2"/>
  <c r="G86" i="2"/>
  <c r="H86" i="2"/>
  <c r="I86" i="2"/>
  <c r="J86" i="2"/>
  <c r="K86" i="2"/>
  <c r="L86" i="2"/>
  <c r="M86" i="2"/>
  <c r="N86" i="2"/>
  <c r="O86" i="2"/>
  <c r="P86" i="2"/>
  <c r="Q86" i="2"/>
  <c r="R86" i="2"/>
  <c r="S86" i="2"/>
  <c r="T86" i="2"/>
  <c r="U86" i="2"/>
  <c r="V86" i="2"/>
  <c r="W86" i="2"/>
  <c r="X86" i="2"/>
  <c r="Y86" i="2"/>
  <c r="B87" i="2"/>
  <c r="C87" i="2"/>
  <c r="D87" i="2"/>
  <c r="E87" i="2"/>
  <c r="F87" i="2"/>
  <c r="G87" i="2"/>
  <c r="H87" i="2"/>
  <c r="I87" i="2"/>
  <c r="J87" i="2"/>
  <c r="K87" i="2"/>
  <c r="L87" i="2"/>
  <c r="M87" i="2"/>
  <c r="N87" i="2"/>
  <c r="O87" i="2"/>
  <c r="P87" i="2"/>
  <c r="Q87" i="2"/>
  <c r="R87" i="2"/>
  <c r="S87" i="2"/>
  <c r="T87" i="2"/>
  <c r="U87" i="2"/>
  <c r="V87" i="2"/>
  <c r="W87" i="2"/>
  <c r="X87" i="2"/>
  <c r="Y87" i="2"/>
  <c r="B88" i="2"/>
  <c r="C88" i="2"/>
  <c r="D88" i="2"/>
  <c r="E88" i="2"/>
  <c r="F88" i="2"/>
  <c r="G88" i="2"/>
  <c r="H88" i="2"/>
  <c r="I88" i="2"/>
  <c r="J88" i="2"/>
  <c r="K88" i="2"/>
  <c r="L88" i="2"/>
  <c r="M88" i="2"/>
  <c r="N88" i="2"/>
  <c r="O88" i="2"/>
  <c r="P88" i="2"/>
  <c r="Q88" i="2"/>
  <c r="R88" i="2"/>
  <c r="S88" i="2"/>
  <c r="T88" i="2"/>
  <c r="U88" i="2"/>
  <c r="V88" i="2"/>
  <c r="W88" i="2"/>
  <c r="X88" i="2"/>
  <c r="Y88" i="2"/>
  <c r="B89" i="2"/>
  <c r="C89" i="2"/>
  <c r="D89" i="2"/>
  <c r="E89" i="2"/>
  <c r="F89" i="2"/>
  <c r="G89" i="2"/>
  <c r="H89" i="2"/>
  <c r="I89" i="2"/>
  <c r="J89" i="2"/>
  <c r="K89" i="2"/>
  <c r="L89" i="2"/>
  <c r="M89" i="2"/>
  <c r="N89" i="2"/>
  <c r="O89" i="2"/>
  <c r="P89" i="2"/>
  <c r="Q89" i="2"/>
  <c r="R89" i="2"/>
  <c r="S89" i="2"/>
  <c r="T89" i="2"/>
  <c r="U89" i="2"/>
  <c r="V89" i="2"/>
  <c r="W89" i="2"/>
  <c r="X89" i="2"/>
  <c r="Y89" i="2"/>
  <c r="B90" i="2"/>
  <c r="C90" i="2"/>
  <c r="D90" i="2"/>
  <c r="E90" i="2"/>
  <c r="F90" i="2"/>
  <c r="G90" i="2"/>
  <c r="H90" i="2"/>
  <c r="I90" i="2"/>
  <c r="J90" i="2"/>
  <c r="K90" i="2"/>
  <c r="L90" i="2"/>
  <c r="M90" i="2"/>
  <c r="N90" i="2"/>
  <c r="O90" i="2"/>
  <c r="P90" i="2"/>
  <c r="Q90" i="2"/>
  <c r="R90" i="2"/>
  <c r="S90" i="2"/>
  <c r="T90" i="2"/>
  <c r="U90" i="2"/>
  <c r="V90" i="2"/>
  <c r="W90" i="2"/>
  <c r="X90" i="2"/>
  <c r="Y90" i="2"/>
  <c r="B91" i="2"/>
  <c r="C91" i="2"/>
  <c r="D91" i="2"/>
  <c r="E91" i="2"/>
  <c r="F91" i="2"/>
  <c r="G91" i="2"/>
  <c r="H91" i="2"/>
  <c r="I91" i="2"/>
  <c r="J91" i="2"/>
  <c r="K91" i="2"/>
  <c r="L91" i="2"/>
  <c r="M91" i="2"/>
  <c r="N91" i="2"/>
  <c r="O91" i="2"/>
  <c r="P91" i="2"/>
  <c r="Q91" i="2"/>
  <c r="R91" i="2"/>
  <c r="S91" i="2"/>
  <c r="T91" i="2"/>
  <c r="U91" i="2"/>
  <c r="V91" i="2"/>
  <c r="W91" i="2"/>
  <c r="X91" i="2"/>
  <c r="Y91" i="2"/>
  <c r="B92" i="2"/>
  <c r="C92" i="2"/>
  <c r="D92" i="2"/>
  <c r="E92" i="2"/>
  <c r="F92" i="2"/>
  <c r="G92" i="2"/>
  <c r="H92" i="2"/>
  <c r="I92" i="2"/>
  <c r="J92" i="2"/>
  <c r="K92" i="2"/>
  <c r="L92" i="2"/>
  <c r="M92" i="2"/>
  <c r="N92" i="2"/>
  <c r="O92" i="2"/>
  <c r="P92" i="2"/>
  <c r="Q92" i="2"/>
  <c r="R92" i="2"/>
  <c r="S92" i="2"/>
  <c r="T92" i="2"/>
  <c r="U92" i="2"/>
  <c r="V92" i="2"/>
  <c r="W92" i="2"/>
  <c r="X92" i="2"/>
  <c r="Y92" i="2"/>
  <c r="B93" i="2"/>
  <c r="C93" i="2"/>
  <c r="D93" i="2"/>
  <c r="E93" i="2"/>
  <c r="F93" i="2"/>
  <c r="G93" i="2"/>
  <c r="H93" i="2"/>
  <c r="I93" i="2"/>
  <c r="J93" i="2"/>
  <c r="K93" i="2"/>
  <c r="L93" i="2"/>
  <c r="M93" i="2"/>
  <c r="N93" i="2"/>
  <c r="O93" i="2"/>
  <c r="P93" i="2"/>
  <c r="Q93" i="2"/>
  <c r="R93" i="2"/>
  <c r="S93" i="2"/>
  <c r="T93" i="2"/>
  <c r="U93" i="2"/>
  <c r="V93" i="2"/>
  <c r="W93" i="2"/>
  <c r="X93" i="2"/>
  <c r="Y93" i="2"/>
  <c r="B94" i="2"/>
  <c r="C94" i="2"/>
  <c r="D94" i="2"/>
  <c r="E94" i="2"/>
  <c r="F94" i="2"/>
  <c r="G94" i="2"/>
  <c r="H94" i="2"/>
  <c r="I94" i="2"/>
  <c r="J94" i="2"/>
  <c r="K94" i="2"/>
  <c r="L94" i="2"/>
  <c r="M94" i="2"/>
  <c r="N94" i="2"/>
  <c r="O94" i="2"/>
  <c r="P94" i="2"/>
  <c r="Q94" i="2"/>
  <c r="R94" i="2"/>
  <c r="S94" i="2"/>
  <c r="T94" i="2"/>
  <c r="U94" i="2"/>
  <c r="V94" i="2"/>
  <c r="W94" i="2"/>
  <c r="X94" i="2"/>
  <c r="Y94" i="2"/>
  <c r="B95" i="2"/>
  <c r="C95" i="2"/>
  <c r="D95" i="2"/>
  <c r="E95" i="2"/>
  <c r="F95" i="2"/>
  <c r="G95" i="2"/>
  <c r="H95" i="2"/>
  <c r="I95" i="2"/>
  <c r="J95" i="2"/>
  <c r="K95" i="2"/>
  <c r="L95" i="2"/>
  <c r="M95" i="2"/>
  <c r="N95" i="2"/>
  <c r="O95" i="2"/>
  <c r="P95" i="2"/>
  <c r="Q95" i="2"/>
  <c r="R95" i="2"/>
  <c r="S95" i="2"/>
  <c r="T95" i="2"/>
  <c r="U95" i="2"/>
  <c r="V95" i="2"/>
  <c r="W95" i="2"/>
  <c r="X95" i="2"/>
  <c r="Y95" i="2"/>
  <c r="B96" i="2"/>
  <c r="C96" i="2"/>
  <c r="D96" i="2"/>
  <c r="E96" i="2"/>
  <c r="F96" i="2"/>
  <c r="G96" i="2"/>
  <c r="H96" i="2"/>
  <c r="I96" i="2"/>
  <c r="J96" i="2"/>
  <c r="K96" i="2"/>
  <c r="L96" i="2"/>
  <c r="M96" i="2"/>
  <c r="N96" i="2"/>
  <c r="O96" i="2"/>
  <c r="P96" i="2"/>
  <c r="Q96" i="2"/>
  <c r="R96" i="2"/>
  <c r="S96" i="2"/>
  <c r="T96" i="2"/>
  <c r="U96" i="2"/>
  <c r="V96" i="2"/>
  <c r="W96" i="2"/>
  <c r="X96" i="2"/>
  <c r="Y96" i="2"/>
  <c r="B97" i="2"/>
  <c r="C97" i="2"/>
  <c r="D97" i="2"/>
  <c r="E97" i="2"/>
  <c r="F97" i="2"/>
  <c r="G97" i="2"/>
  <c r="H97" i="2"/>
  <c r="I97" i="2"/>
  <c r="J97" i="2"/>
  <c r="K97" i="2"/>
  <c r="L97" i="2"/>
  <c r="M97" i="2"/>
  <c r="N97" i="2"/>
  <c r="O97" i="2"/>
  <c r="P97" i="2"/>
  <c r="Q97" i="2"/>
  <c r="R97" i="2"/>
  <c r="S97" i="2"/>
  <c r="T97" i="2"/>
  <c r="U97" i="2"/>
  <c r="V97" i="2"/>
  <c r="W97" i="2"/>
  <c r="X97" i="2"/>
  <c r="Y97" i="2"/>
  <c r="B98" i="2"/>
  <c r="C98" i="2"/>
  <c r="D98" i="2"/>
  <c r="E98" i="2"/>
  <c r="F98" i="2"/>
  <c r="G98" i="2"/>
  <c r="H98" i="2"/>
  <c r="I98" i="2"/>
  <c r="J98" i="2"/>
  <c r="K98" i="2"/>
  <c r="L98" i="2"/>
  <c r="M98" i="2"/>
  <c r="N98" i="2"/>
  <c r="O98" i="2"/>
  <c r="P98" i="2"/>
  <c r="Q98" i="2"/>
  <c r="R98" i="2"/>
  <c r="S98" i="2"/>
  <c r="T98" i="2"/>
  <c r="U98" i="2"/>
  <c r="V98" i="2"/>
  <c r="W98" i="2"/>
  <c r="X98" i="2"/>
  <c r="Y98" i="2"/>
  <c r="B99" i="2"/>
  <c r="C99" i="2"/>
  <c r="D99" i="2"/>
  <c r="E99" i="2"/>
  <c r="F99" i="2"/>
  <c r="G99" i="2"/>
  <c r="H99" i="2"/>
  <c r="I99" i="2"/>
  <c r="J99" i="2"/>
  <c r="K99" i="2"/>
  <c r="L99" i="2"/>
  <c r="M99" i="2"/>
  <c r="N99" i="2"/>
  <c r="O99" i="2"/>
  <c r="P99" i="2"/>
  <c r="Q99" i="2"/>
  <c r="R99" i="2"/>
  <c r="S99" i="2"/>
  <c r="T99" i="2"/>
  <c r="U99" i="2"/>
  <c r="V99" i="2"/>
  <c r="W99" i="2"/>
  <c r="X99" i="2"/>
  <c r="Y99" i="2"/>
  <c r="B100" i="2"/>
  <c r="C100" i="2"/>
  <c r="D100" i="2"/>
  <c r="E100" i="2"/>
  <c r="F100" i="2"/>
  <c r="G100" i="2"/>
  <c r="H100" i="2"/>
  <c r="I100" i="2"/>
  <c r="J100" i="2"/>
  <c r="K100" i="2"/>
  <c r="L100" i="2"/>
  <c r="M100" i="2"/>
  <c r="N100" i="2"/>
  <c r="O100" i="2"/>
  <c r="P100" i="2"/>
  <c r="Q100" i="2"/>
  <c r="R100" i="2"/>
  <c r="S100" i="2"/>
  <c r="T100" i="2"/>
  <c r="U100" i="2"/>
  <c r="V100" i="2"/>
  <c r="W100" i="2"/>
  <c r="X100" i="2"/>
  <c r="Y100" i="2"/>
  <c r="B101" i="2"/>
  <c r="C101" i="2"/>
  <c r="D101" i="2"/>
  <c r="E101" i="2"/>
  <c r="F101" i="2"/>
  <c r="G101" i="2"/>
  <c r="H101" i="2"/>
  <c r="I101" i="2"/>
  <c r="J101" i="2"/>
  <c r="K101" i="2"/>
  <c r="L101" i="2"/>
  <c r="M101" i="2"/>
  <c r="N101" i="2"/>
  <c r="O101" i="2"/>
  <c r="P101" i="2"/>
  <c r="Q101" i="2"/>
  <c r="R101" i="2"/>
  <c r="S101" i="2"/>
  <c r="T101" i="2"/>
  <c r="U101" i="2"/>
  <c r="V101" i="2"/>
  <c r="W101" i="2"/>
  <c r="X101" i="2"/>
  <c r="Y101" i="2"/>
  <c r="B102" i="2"/>
  <c r="C102" i="2"/>
  <c r="D102" i="2"/>
  <c r="E102" i="2"/>
  <c r="F102" i="2"/>
  <c r="G102" i="2"/>
  <c r="H102" i="2"/>
  <c r="I102" i="2"/>
  <c r="J102" i="2"/>
  <c r="K102" i="2"/>
  <c r="L102" i="2"/>
  <c r="M102" i="2"/>
  <c r="N102" i="2"/>
  <c r="O102" i="2"/>
  <c r="P102" i="2"/>
  <c r="Q102" i="2"/>
  <c r="R102" i="2"/>
  <c r="S102" i="2"/>
  <c r="T102" i="2"/>
  <c r="U102" i="2"/>
  <c r="V102" i="2"/>
  <c r="W102" i="2"/>
  <c r="X102" i="2"/>
  <c r="Y102" i="2"/>
  <c r="B103" i="2"/>
  <c r="C103" i="2"/>
  <c r="D103" i="2"/>
  <c r="E103" i="2"/>
  <c r="F103" i="2"/>
  <c r="G103" i="2"/>
  <c r="H103" i="2"/>
  <c r="I103" i="2"/>
  <c r="J103" i="2"/>
  <c r="K103" i="2"/>
  <c r="L103" i="2"/>
  <c r="M103" i="2"/>
  <c r="N103" i="2"/>
  <c r="O103" i="2"/>
  <c r="P103" i="2"/>
  <c r="Q103" i="2"/>
  <c r="R103" i="2"/>
  <c r="S103" i="2"/>
  <c r="T103" i="2"/>
  <c r="U103" i="2"/>
  <c r="V103" i="2"/>
  <c r="W103" i="2"/>
  <c r="X103" i="2"/>
  <c r="Y103" i="2"/>
  <c r="B104" i="2"/>
  <c r="C104" i="2"/>
  <c r="D104" i="2"/>
  <c r="E104" i="2"/>
  <c r="F104" i="2"/>
  <c r="G104" i="2"/>
  <c r="H104" i="2"/>
  <c r="I104" i="2"/>
  <c r="J104" i="2"/>
  <c r="K104" i="2"/>
  <c r="L104" i="2"/>
  <c r="M104" i="2"/>
  <c r="N104" i="2"/>
  <c r="O104" i="2"/>
  <c r="P104" i="2"/>
  <c r="Q104" i="2"/>
  <c r="R104" i="2"/>
  <c r="S104" i="2"/>
  <c r="T104" i="2"/>
  <c r="U104" i="2"/>
  <c r="V104" i="2"/>
  <c r="W104" i="2"/>
  <c r="X104" i="2"/>
  <c r="Y104" i="2"/>
  <c r="B105" i="2"/>
  <c r="C105" i="2"/>
  <c r="D105" i="2"/>
  <c r="E105" i="2"/>
  <c r="F105" i="2"/>
  <c r="G105" i="2"/>
  <c r="H105" i="2"/>
  <c r="I105" i="2"/>
  <c r="J105" i="2"/>
  <c r="K105" i="2"/>
  <c r="L105" i="2"/>
  <c r="M105" i="2"/>
  <c r="N105" i="2"/>
  <c r="O105" i="2"/>
  <c r="P105" i="2"/>
  <c r="Q105" i="2"/>
  <c r="R105" i="2"/>
  <c r="S105" i="2"/>
  <c r="T105" i="2"/>
  <c r="U105" i="2"/>
  <c r="V105" i="2"/>
  <c r="W105" i="2"/>
  <c r="X105" i="2"/>
  <c r="Y105" i="2"/>
  <c r="B106" i="2"/>
  <c r="C106" i="2"/>
  <c r="D106" i="2"/>
  <c r="E106" i="2"/>
  <c r="F106" i="2"/>
  <c r="G106" i="2"/>
  <c r="H106" i="2"/>
  <c r="I106" i="2"/>
  <c r="J106" i="2"/>
  <c r="K106" i="2"/>
  <c r="L106" i="2"/>
  <c r="M106" i="2"/>
  <c r="N106" i="2"/>
  <c r="O106" i="2"/>
  <c r="P106" i="2"/>
  <c r="Q106" i="2"/>
  <c r="R106" i="2"/>
  <c r="S106" i="2"/>
  <c r="T106" i="2"/>
  <c r="U106" i="2"/>
  <c r="V106" i="2"/>
  <c r="W106" i="2"/>
  <c r="X106" i="2"/>
  <c r="Y106" i="2"/>
  <c r="B107" i="2"/>
  <c r="C107" i="2"/>
  <c r="D107" i="2"/>
  <c r="E107" i="2"/>
  <c r="F107" i="2"/>
  <c r="G107" i="2"/>
  <c r="H107" i="2"/>
  <c r="I107" i="2"/>
  <c r="J107" i="2"/>
  <c r="K107" i="2"/>
  <c r="L107" i="2"/>
  <c r="M107" i="2"/>
  <c r="N107" i="2"/>
  <c r="O107" i="2"/>
  <c r="P107" i="2"/>
  <c r="Q107" i="2"/>
  <c r="R107" i="2"/>
  <c r="S107" i="2"/>
  <c r="T107" i="2"/>
  <c r="U107" i="2"/>
  <c r="V107" i="2"/>
  <c r="W107" i="2"/>
  <c r="X107" i="2"/>
  <c r="Y107" i="2"/>
  <c r="B108" i="2"/>
  <c r="C108" i="2"/>
  <c r="D108" i="2"/>
  <c r="E108" i="2"/>
  <c r="F108" i="2"/>
  <c r="G108" i="2"/>
  <c r="H108" i="2"/>
  <c r="I108" i="2"/>
  <c r="J108" i="2"/>
  <c r="K108" i="2"/>
  <c r="L108" i="2"/>
  <c r="M108" i="2"/>
  <c r="N108" i="2"/>
  <c r="O108" i="2"/>
  <c r="P108" i="2"/>
  <c r="Q108" i="2"/>
  <c r="R108" i="2"/>
  <c r="S108" i="2"/>
  <c r="T108" i="2"/>
  <c r="U108" i="2"/>
  <c r="V108" i="2"/>
  <c r="W108" i="2"/>
  <c r="X108" i="2"/>
  <c r="Y108" i="2"/>
  <c r="B109" i="2"/>
  <c r="C109" i="2"/>
  <c r="D109" i="2"/>
  <c r="E109" i="2"/>
  <c r="F109" i="2"/>
  <c r="G109" i="2"/>
  <c r="H109" i="2"/>
  <c r="I109" i="2"/>
  <c r="J109" i="2"/>
  <c r="K109" i="2"/>
  <c r="L109" i="2"/>
  <c r="M109" i="2"/>
  <c r="N109" i="2"/>
  <c r="O109" i="2"/>
  <c r="P109" i="2"/>
  <c r="Q109" i="2"/>
  <c r="R109" i="2"/>
  <c r="S109" i="2"/>
  <c r="T109" i="2"/>
  <c r="U109" i="2"/>
  <c r="V109" i="2"/>
  <c r="W109" i="2"/>
  <c r="X109" i="2"/>
  <c r="Y109" i="2"/>
  <c r="B110" i="2"/>
  <c r="C110" i="2"/>
  <c r="D110" i="2"/>
  <c r="E110" i="2"/>
  <c r="F110" i="2"/>
  <c r="G110" i="2"/>
  <c r="H110" i="2"/>
  <c r="I110" i="2"/>
  <c r="J110" i="2"/>
  <c r="K110" i="2"/>
  <c r="L110" i="2"/>
  <c r="M110" i="2"/>
  <c r="N110" i="2"/>
  <c r="O110" i="2"/>
  <c r="P110" i="2"/>
  <c r="Q110" i="2"/>
  <c r="R110" i="2"/>
  <c r="S110" i="2"/>
  <c r="T110" i="2"/>
  <c r="U110" i="2"/>
  <c r="V110" i="2"/>
  <c r="W110" i="2"/>
  <c r="X110" i="2"/>
  <c r="Y110" i="2"/>
  <c r="B111" i="2"/>
  <c r="C111" i="2"/>
  <c r="D111" i="2"/>
  <c r="E111" i="2"/>
  <c r="F111" i="2"/>
  <c r="G111" i="2"/>
  <c r="H111" i="2"/>
  <c r="I111" i="2"/>
  <c r="J111" i="2"/>
  <c r="K111" i="2"/>
  <c r="L111" i="2"/>
  <c r="M111" i="2"/>
  <c r="N111" i="2"/>
  <c r="O111" i="2"/>
  <c r="P111" i="2"/>
  <c r="Q111" i="2"/>
  <c r="R111" i="2"/>
  <c r="S111" i="2"/>
  <c r="T111" i="2"/>
  <c r="U111" i="2"/>
  <c r="V111" i="2"/>
  <c r="W111" i="2"/>
  <c r="X111" i="2"/>
  <c r="Y111" i="2"/>
  <c r="B112" i="2"/>
  <c r="C112" i="2"/>
  <c r="D112" i="2"/>
  <c r="E112" i="2"/>
  <c r="F112" i="2"/>
  <c r="G112" i="2"/>
  <c r="H112" i="2"/>
  <c r="I112" i="2"/>
  <c r="J112" i="2"/>
  <c r="K112" i="2"/>
  <c r="L112" i="2"/>
  <c r="M112" i="2"/>
  <c r="N112" i="2"/>
  <c r="O112" i="2"/>
  <c r="P112" i="2"/>
  <c r="Q112" i="2"/>
  <c r="R112" i="2"/>
  <c r="S112" i="2"/>
  <c r="T112" i="2"/>
  <c r="U112" i="2"/>
  <c r="V112" i="2"/>
  <c r="W112" i="2"/>
  <c r="X112" i="2"/>
  <c r="Y112" i="2"/>
  <c r="B113" i="2"/>
  <c r="C113" i="2"/>
  <c r="D113" i="2"/>
  <c r="E113" i="2"/>
  <c r="F113" i="2"/>
  <c r="G113" i="2"/>
  <c r="H113" i="2"/>
  <c r="I113" i="2"/>
  <c r="J113" i="2"/>
  <c r="K113" i="2"/>
  <c r="L113" i="2"/>
  <c r="M113" i="2"/>
  <c r="N113" i="2"/>
  <c r="O113" i="2"/>
  <c r="P113" i="2"/>
  <c r="Q113" i="2"/>
  <c r="R113" i="2"/>
  <c r="S113" i="2"/>
  <c r="T113" i="2"/>
  <c r="U113" i="2"/>
  <c r="V113" i="2"/>
  <c r="W113" i="2"/>
  <c r="X113" i="2"/>
  <c r="Y113" i="2"/>
  <c r="B114" i="2"/>
  <c r="C114" i="2"/>
  <c r="D114" i="2"/>
  <c r="E114" i="2"/>
  <c r="F114" i="2"/>
  <c r="G114" i="2"/>
  <c r="H114" i="2"/>
  <c r="I114" i="2"/>
  <c r="J114" i="2"/>
  <c r="K114" i="2"/>
  <c r="L114" i="2"/>
  <c r="M114" i="2"/>
  <c r="N114" i="2"/>
  <c r="O114" i="2"/>
  <c r="P114" i="2"/>
  <c r="Q114" i="2"/>
  <c r="R114" i="2"/>
  <c r="S114" i="2"/>
  <c r="T114" i="2"/>
  <c r="U114" i="2"/>
  <c r="V114" i="2"/>
  <c r="W114" i="2"/>
  <c r="X114" i="2"/>
  <c r="Y114" i="2"/>
  <c r="B115" i="2"/>
  <c r="C115" i="2"/>
  <c r="D115" i="2"/>
  <c r="E115" i="2"/>
  <c r="F115" i="2"/>
  <c r="G115" i="2"/>
  <c r="H115" i="2"/>
  <c r="I115" i="2"/>
  <c r="J115" i="2"/>
  <c r="K115" i="2"/>
  <c r="L115" i="2"/>
  <c r="M115" i="2"/>
  <c r="N115" i="2"/>
  <c r="O115" i="2"/>
  <c r="P115" i="2"/>
  <c r="Q115" i="2"/>
  <c r="R115" i="2"/>
  <c r="S115" i="2"/>
  <c r="T115" i="2"/>
  <c r="U115" i="2"/>
  <c r="V115" i="2"/>
  <c r="W115" i="2"/>
  <c r="X115" i="2"/>
  <c r="Y115" i="2"/>
  <c r="B116" i="2"/>
  <c r="C116" i="2"/>
  <c r="D116" i="2"/>
  <c r="E116" i="2"/>
  <c r="F116" i="2"/>
  <c r="G116" i="2"/>
  <c r="H116" i="2"/>
  <c r="I116" i="2"/>
  <c r="J116" i="2"/>
  <c r="K116" i="2"/>
  <c r="L116" i="2"/>
  <c r="M116" i="2"/>
  <c r="N116" i="2"/>
  <c r="O116" i="2"/>
  <c r="P116" i="2"/>
  <c r="Q116" i="2"/>
  <c r="R116" i="2"/>
  <c r="S116" i="2"/>
  <c r="T116" i="2"/>
  <c r="U116" i="2"/>
  <c r="V116" i="2"/>
  <c r="W116" i="2"/>
  <c r="X116" i="2"/>
  <c r="Y116" i="2"/>
  <c r="B117" i="2"/>
  <c r="C117" i="2"/>
  <c r="D117" i="2"/>
  <c r="E117" i="2"/>
  <c r="F117" i="2"/>
  <c r="G117" i="2"/>
  <c r="H117" i="2"/>
  <c r="I117" i="2"/>
  <c r="J117" i="2"/>
  <c r="K117" i="2"/>
  <c r="L117" i="2"/>
  <c r="M117" i="2"/>
  <c r="N117" i="2"/>
  <c r="O117" i="2"/>
  <c r="P117" i="2"/>
  <c r="Q117" i="2"/>
  <c r="R117" i="2"/>
  <c r="S117" i="2"/>
  <c r="T117" i="2"/>
  <c r="U117" i="2"/>
  <c r="V117" i="2"/>
  <c r="W117" i="2"/>
  <c r="X117" i="2"/>
  <c r="Y117" i="2"/>
  <c r="B118" i="2"/>
  <c r="C118" i="2"/>
  <c r="D118" i="2"/>
  <c r="E118" i="2"/>
  <c r="F118" i="2"/>
  <c r="G118" i="2"/>
  <c r="H118" i="2"/>
  <c r="I118" i="2"/>
  <c r="J118" i="2"/>
  <c r="K118" i="2"/>
  <c r="L118" i="2"/>
  <c r="M118" i="2"/>
  <c r="N118" i="2"/>
  <c r="O118" i="2"/>
  <c r="P118" i="2"/>
  <c r="Q118" i="2"/>
  <c r="R118" i="2"/>
  <c r="S118" i="2"/>
  <c r="T118" i="2"/>
  <c r="U118" i="2"/>
  <c r="V118" i="2"/>
  <c r="W118" i="2"/>
  <c r="X118" i="2"/>
  <c r="Y118" i="2"/>
  <c r="B119" i="2"/>
  <c r="C119" i="2"/>
  <c r="D119" i="2"/>
  <c r="E119" i="2"/>
  <c r="F119" i="2"/>
  <c r="G119" i="2"/>
  <c r="H119" i="2"/>
  <c r="I119" i="2"/>
  <c r="J119" i="2"/>
  <c r="K119" i="2"/>
  <c r="L119" i="2"/>
  <c r="M119" i="2"/>
  <c r="N119" i="2"/>
  <c r="O119" i="2"/>
  <c r="P119" i="2"/>
  <c r="Q119" i="2"/>
  <c r="R119" i="2"/>
  <c r="S119" i="2"/>
  <c r="T119" i="2"/>
  <c r="U119" i="2"/>
  <c r="V119" i="2"/>
  <c r="W119" i="2"/>
  <c r="X119" i="2"/>
  <c r="Y119" i="2"/>
  <c r="B120" i="2"/>
  <c r="C120" i="2"/>
  <c r="D120" i="2"/>
  <c r="E120" i="2"/>
  <c r="F120" i="2"/>
  <c r="G120" i="2"/>
  <c r="H120" i="2"/>
  <c r="I120" i="2"/>
  <c r="J120" i="2"/>
  <c r="K120" i="2"/>
  <c r="L120" i="2"/>
  <c r="M120" i="2"/>
  <c r="N120" i="2"/>
  <c r="O120" i="2"/>
  <c r="P120" i="2"/>
  <c r="Q120" i="2"/>
  <c r="R120" i="2"/>
  <c r="S120" i="2"/>
  <c r="T120" i="2"/>
  <c r="U120" i="2"/>
  <c r="V120" i="2"/>
  <c r="W120" i="2"/>
  <c r="X120" i="2"/>
  <c r="Y120" i="2"/>
  <c r="B121" i="2"/>
  <c r="C121" i="2"/>
  <c r="D121" i="2"/>
  <c r="E121" i="2"/>
  <c r="F121" i="2"/>
  <c r="G121" i="2"/>
  <c r="H121" i="2"/>
  <c r="I121" i="2"/>
  <c r="J121" i="2"/>
  <c r="K121" i="2"/>
  <c r="L121" i="2"/>
  <c r="M121" i="2"/>
  <c r="N121" i="2"/>
  <c r="O121" i="2"/>
  <c r="P121" i="2"/>
  <c r="Q121" i="2"/>
  <c r="R121" i="2"/>
  <c r="S121" i="2"/>
  <c r="T121" i="2"/>
  <c r="U121" i="2"/>
  <c r="V121" i="2"/>
  <c r="W121" i="2"/>
  <c r="X121" i="2"/>
  <c r="Y121" i="2"/>
  <c r="B122" i="2"/>
  <c r="C122" i="2"/>
  <c r="D122" i="2"/>
  <c r="E122" i="2"/>
  <c r="F122" i="2"/>
  <c r="G122" i="2"/>
  <c r="H122" i="2"/>
  <c r="I122" i="2"/>
  <c r="J122" i="2"/>
  <c r="K122" i="2"/>
  <c r="L122" i="2"/>
  <c r="M122" i="2"/>
  <c r="N122" i="2"/>
  <c r="O122" i="2"/>
  <c r="P122" i="2"/>
  <c r="Q122" i="2"/>
  <c r="R122" i="2"/>
  <c r="S122" i="2"/>
  <c r="T122" i="2"/>
  <c r="U122" i="2"/>
  <c r="V122" i="2"/>
  <c r="W122" i="2"/>
  <c r="X122" i="2"/>
  <c r="Y122" i="2"/>
  <c r="B123" i="2"/>
  <c r="C123" i="2"/>
  <c r="D123" i="2"/>
  <c r="E123" i="2"/>
  <c r="F123" i="2"/>
  <c r="G123" i="2"/>
  <c r="H123" i="2"/>
  <c r="I123" i="2"/>
  <c r="J123" i="2"/>
  <c r="K123" i="2"/>
  <c r="L123" i="2"/>
  <c r="M123" i="2"/>
  <c r="N123" i="2"/>
  <c r="O123" i="2"/>
  <c r="P123" i="2"/>
  <c r="Q123" i="2"/>
  <c r="R123" i="2"/>
  <c r="S123" i="2"/>
  <c r="T123" i="2"/>
  <c r="U123" i="2"/>
  <c r="V123" i="2"/>
  <c r="W123" i="2"/>
  <c r="X123" i="2"/>
  <c r="Y123" i="2"/>
  <c r="B124" i="2"/>
  <c r="C124" i="2"/>
  <c r="D124" i="2"/>
  <c r="E124" i="2"/>
  <c r="F124" i="2"/>
  <c r="G124" i="2"/>
  <c r="H124" i="2"/>
  <c r="I124" i="2"/>
  <c r="J124" i="2"/>
  <c r="K124" i="2"/>
  <c r="L124" i="2"/>
  <c r="M124" i="2"/>
  <c r="N124" i="2"/>
  <c r="O124" i="2"/>
  <c r="P124" i="2"/>
  <c r="Q124" i="2"/>
  <c r="R124" i="2"/>
  <c r="S124" i="2"/>
  <c r="T124" i="2"/>
  <c r="U124" i="2"/>
  <c r="V124" i="2"/>
  <c r="W124" i="2"/>
  <c r="X124" i="2"/>
  <c r="Y124" i="2"/>
  <c r="B125" i="2"/>
  <c r="C125" i="2"/>
  <c r="D125" i="2"/>
  <c r="E125" i="2"/>
  <c r="F125" i="2"/>
  <c r="G125" i="2"/>
  <c r="H125" i="2"/>
  <c r="I125" i="2"/>
  <c r="J125" i="2"/>
  <c r="K125" i="2"/>
  <c r="L125" i="2"/>
  <c r="M125" i="2"/>
  <c r="N125" i="2"/>
  <c r="O125" i="2"/>
  <c r="P125" i="2"/>
  <c r="Q125" i="2"/>
  <c r="R125" i="2"/>
  <c r="S125" i="2"/>
  <c r="T125" i="2"/>
  <c r="U125" i="2"/>
  <c r="V125" i="2"/>
  <c r="W125" i="2"/>
  <c r="X125" i="2"/>
  <c r="Y125" i="2"/>
  <c r="B126" i="2"/>
  <c r="C126" i="2"/>
  <c r="D126" i="2"/>
  <c r="E126" i="2"/>
  <c r="F126" i="2"/>
  <c r="G126" i="2"/>
  <c r="H126" i="2"/>
  <c r="I126" i="2"/>
  <c r="J126" i="2"/>
  <c r="K126" i="2"/>
  <c r="L126" i="2"/>
  <c r="M126" i="2"/>
  <c r="N126" i="2"/>
  <c r="O126" i="2"/>
  <c r="P126" i="2"/>
  <c r="Q126" i="2"/>
  <c r="R126" i="2"/>
  <c r="S126" i="2"/>
  <c r="T126" i="2"/>
  <c r="U126" i="2"/>
  <c r="V126" i="2"/>
  <c r="W126" i="2"/>
  <c r="X126" i="2"/>
  <c r="Y126" i="2"/>
  <c r="B127" i="2"/>
  <c r="C127" i="2"/>
  <c r="D127" i="2"/>
  <c r="E127" i="2"/>
  <c r="F127" i="2"/>
  <c r="G127" i="2"/>
  <c r="H127" i="2"/>
  <c r="I127" i="2"/>
  <c r="J127" i="2"/>
  <c r="K127" i="2"/>
  <c r="L127" i="2"/>
  <c r="M127" i="2"/>
  <c r="N127" i="2"/>
  <c r="O127" i="2"/>
  <c r="P127" i="2"/>
  <c r="Q127" i="2"/>
  <c r="R127" i="2"/>
  <c r="S127" i="2"/>
  <c r="T127" i="2"/>
  <c r="U127" i="2"/>
  <c r="V127" i="2"/>
  <c r="W127" i="2"/>
  <c r="X127" i="2"/>
  <c r="Y127" i="2"/>
  <c r="B128" i="2"/>
  <c r="C128" i="2"/>
  <c r="D128" i="2"/>
  <c r="E128" i="2"/>
  <c r="F128" i="2"/>
  <c r="G128" i="2"/>
  <c r="H128" i="2"/>
  <c r="I128" i="2"/>
  <c r="J128" i="2"/>
  <c r="K128" i="2"/>
  <c r="L128" i="2"/>
  <c r="M128" i="2"/>
  <c r="N128" i="2"/>
  <c r="O128" i="2"/>
  <c r="P128" i="2"/>
  <c r="Q128" i="2"/>
  <c r="R128" i="2"/>
  <c r="S128" i="2"/>
  <c r="T128" i="2"/>
  <c r="U128" i="2"/>
  <c r="V128" i="2"/>
  <c r="W128" i="2"/>
  <c r="X128" i="2"/>
  <c r="Y128" i="2"/>
  <c r="B129" i="2"/>
  <c r="C129" i="2"/>
  <c r="D129" i="2"/>
  <c r="E129" i="2"/>
  <c r="F129" i="2"/>
  <c r="G129" i="2"/>
  <c r="H129" i="2"/>
  <c r="I129" i="2"/>
  <c r="J129" i="2"/>
  <c r="K129" i="2"/>
  <c r="L129" i="2"/>
  <c r="M129" i="2"/>
  <c r="N129" i="2"/>
  <c r="O129" i="2"/>
  <c r="P129" i="2"/>
  <c r="Q129" i="2"/>
  <c r="R129" i="2"/>
  <c r="S129" i="2"/>
  <c r="T129" i="2"/>
  <c r="U129" i="2"/>
  <c r="V129" i="2"/>
  <c r="W129" i="2"/>
  <c r="X129" i="2"/>
  <c r="Y129" i="2"/>
  <c r="B130" i="2"/>
  <c r="C130" i="2"/>
  <c r="D130" i="2"/>
  <c r="E130" i="2"/>
  <c r="F130" i="2"/>
  <c r="G130" i="2"/>
  <c r="H130" i="2"/>
  <c r="I130" i="2"/>
  <c r="J130" i="2"/>
  <c r="K130" i="2"/>
  <c r="L130" i="2"/>
  <c r="M130" i="2"/>
  <c r="N130" i="2"/>
  <c r="O130" i="2"/>
  <c r="P130" i="2"/>
  <c r="Q130" i="2"/>
  <c r="R130" i="2"/>
  <c r="S130" i="2"/>
  <c r="T130" i="2"/>
  <c r="U130" i="2"/>
  <c r="V130" i="2"/>
  <c r="W130" i="2"/>
  <c r="X130" i="2"/>
  <c r="Y130" i="2"/>
  <c r="B131" i="2"/>
  <c r="C131" i="2"/>
  <c r="D131" i="2"/>
  <c r="E131" i="2"/>
  <c r="F131" i="2"/>
  <c r="G131" i="2"/>
  <c r="H131" i="2"/>
  <c r="I131" i="2"/>
  <c r="J131" i="2"/>
  <c r="K131" i="2"/>
  <c r="L131" i="2"/>
  <c r="M131" i="2"/>
  <c r="N131" i="2"/>
  <c r="O131" i="2"/>
  <c r="P131" i="2"/>
  <c r="Q131" i="2"/>
  <c r="R131" i="2"/>
  <c r="S131" i="2"/>
  <c r="T131" i="2"/>
  <c r="U131" i="2"/>
  <c r="V131" i="2"/>
  <c r="W131" i="2"/>
  <c r="X131" i="2"/>
  <c r="Y131" i="2"/>
  <c r="B132" i="2"/>
  <c r="C132" i="2"/>
  <c r="D132" i="2"/>
  <c r="E132" i="2"/>
  <c r="F132" i="2"/>
  <c r="G132" i="2"/>
  <c r="H132" i="2"/>
  <c r="I132" i="2"/>
  <c r="J132" i="2"/>
  <c r="K132" i="2"/>
  <c r="L132" i="2"/>
  <c r="M132" i="2"/>
  <c r="N132" i="2"/>
  <c r="O132" i="2"/>
  <c r="P132" i="2"/>
  <c r="Q132" i="2"/>
  <c r="R132" i="2"/>
  <c r="S132" i="2"/>
  <c r="T132" i="2"/>
  <c r="U132" i="2"/>
  <c r="V132" i="2"/>
  <c r="W132" i="2"/>
  <c r="X132" i="2"/>
  <c r="Y132" i="2"/>
  <c r="B133" i="2"/>
  <c r="C133" i="2"/>
  <c r="D133" i="2"/>
  <c r="E133" i="2"/>
  <c r="F133" i="2"/>
  <c r="G133" i="2"/>
  <c r="H133" i="2"/>
  <c r="I133" i="2"/>
  <c r="J133" i="2"/>
  <c r="K133" i="2"/>
  <c r="L133" i="2"/>
  <c r="M133" i="2"/>
  <c r="N133" i="2"/>
  <c r="O133" i="2"/>
  <c r="P133" i="2"/>
  <c r="Q133" i="2"/>
  <c r="R133" i="2"/>
  <c r="S133" i="2"/>
  <c r="T133" i="2"/>
  <c r="U133" i="2"/>
  <c r="V133" i="2"/>
  <c r="W133" i="2"/>
  <c r="X133" i="2"/>
  <c r="Y133" i="2"/>
  <c r="B134" i="2"/>
  <c r="C134" i="2"/>
  <c r="D134" i="2"/>
  <c r="E134" i="2"/>
  <c r="F134" i="2"/>
  <c r="G134" i="2"/>
  <c r="H134" i="2"/>
  <c r="I134" i="2"/>
  <c r="J134" i="2"/>
  <c r="K134" i="2"/>
  <c r="L134" i="2"/>
  <c r="M134" i="2"/>
  <c r="N134" i="2"/>
  <c r="O134" i="2"/>
  <c r="P134" i="2"/>
  <c r="Q134" i="2"/>
  <c r="R134" i="2"/>
  <c r="S134" i="2"/>
  <c r="T134" i="2"/>
  <c r="U134" i="2"/>
  <c r="V134" i="2"/>
  <c r="W134" i="2"/>
  <c r="X134" i="2"/>
  <c r="Y134" i="2"/>
  <c r="B135" i="2"/>
  <c r="C135" i="2"/>
  <c r="D135" i="2"/>
  <c r="E135" i="2"/>
  <c r="F135" i="2"/>
  <c r="G135" i="2"/>
  <c r="H135" i="2"/>
  <c r="I135" i="2"/>
  <c r="J135" i="2"/>
  <c r="K135" i="2"/>
  <c r="L135" i="2"/>
  <c r="M135" i="2"/>
  <c r="N135" i="2"/>
  <c r="O135" i="2"/>
  <c r="P135" i="2"/>
  <c r="Q135" i="2"/>
  <c r="R135" i="2"/>
  <c r="S135" i="2"/>
  <c r="T135" i="2"/>
  <c r="U135" i="2"/>
  <c r="V135" i="2"/>
  <c r="W135" i="2"/>
  <c r="X135" i="2"/>
  <c r="Y135" i="2"/>
  <c r="B136" i="2"/>
  <c r="C136" i="2"/>
  <c r="D136" i="2"/>
  <c r="E136" i="2"/>
  <c r="F136" i="2"/>
  <c r="G136" i="2"/>
  <c r="H136" i="2"/>
  <c r="I136" i="2"/>
  <c r="J136" i="2"/>
  <c r="K136" i="2"/>
  <c r="L136" i="2"/>
  <c r="M136" i="2"/>
  <c r="N136" i="2"/>
  <c r="O136" i="2"/>
  <c r="P136" i="2"/>
  <c r="Q136" i="2"/>
  <c r="R136" i="2"/>
  <c r="S136" i="2"/>
  <c r="T136" i="2"/>
  <c r="U136" i="2"/>
  <c r="V136" i="2"/>
  <c r="W136" i="2"/>
  <c r="X136" i="2"/>
  <c r="Y136" i="2"/>
  <c r="B137" i="2"/>
  <c r="C137" i="2"/>
  <c r="D137" i="2"/>
  <c r="E137" i="2"/>
  <c r="F137" i="2"/>
  <c r="G137" i="2"/>
  <c r="H137" i="2"/>
  <c r="I137" i="2"/>
  <c r="J137" i="2"/>
  <c r="K137" i="2"/>
  <c r="L137" i="2"/>
  <c r="M137" i="2"/>
  <c r="N137" i="2"/>
  <c r="O137" i="2"/>
  <c r="P137" i="2"/>
  <c r="Q137" i="2"/>
  <c r="R137" i="2"/>
  <c r="S137" i="2"/>
  <c r="T137" i="2"/>
  <c r="U137" i="2"/>
  <c r="V137" i="2"/>
  <c r="W137" i="2"/>
  <c r="X137" i="2"/>
  <c r="Y137" i="2"/>
  <c r="B138" i="2"/>
  <c r="C138" i="2"/>
  <c r="D138" i="2"/>
  <c r="E138" i="2"/>
  <c r="F138" i="2"/>
  <c r="G138" i="2"/>
  <c r="H138" i="2"/>
  <c r="I138" i="2"/>
  <c r="J138" i="2"/>
  <c r="K138" i="2"/>
  <c r="L138" i="2"/>
  <c r="M138" i="2"/>
  <c r="N138" i="2"/>
  <c r="O138" i="2"/>
  <c r="P138" i="2"/>
  <c r="Q138" i="2"/>
  <c r="R138" i="2"/>
  <c r="S138" i="2"/>
  <c r="T138" i="2"/>
  <c r="U138" i="2"/>
  <c r="V138" i="2"/>
  <c r="W138" i="2"/>
  <c r="X138" i="2"/>
  <c r="Y138" i="2"/>
  <c r="B139" i="2"/>
  <c r="C139" i="2"/>
  <c r="D139" i="2"/>
  <c r="E139" i="2"/>
  <c r="F139" i="2"/>
  <c r="G139" i="2"/>
  <c r="H139" i="2"/>
  <c r="I139" i="2"/>
  <c r="J139" i="2"/>
  <c r="K139" i="2"/>
  <c r="L139" i="2"/>
  <c r="M139" i="2"/>
  <c r="N139" i="2"/>
  <c r="O139" i="2"/>
  <c r="P139" i="2"/>
  <c r="Q139" i="2"/>
  <c r="R139" i="2"/>
  <c r="S139" i="2"/>
  <c r="T139" i="2"/>
  <c r="U139" i="2"/>
  <c r="V139" i="2"/>
  <c r="W139" i="2"/>
  <c r="X139" i="2"/>
  <c r="Y139" i="2"/>
  <c r="B140" i="2"/>
  <c r="C140" i="2"/>
  <c r="D140" i="2"/>
  <c r="E140" i="2"/>
  <c r="F140" i="2"/>
  <c r="G140" i="2"/>
  <c r="H140" i="2"/>
  <c r="I140" i="2"/>
  <c r="J140" i="2"/>
  <c r="K140" i="2"/>
  <c r="L140" i="2"/>
  <c r="M140" i="2"/>
  <c r="N140" i="2"/>
  <c r="O140" i="2"/>
  <c r="P140" i="2"/>
  <c r="Q140" i="2"/>
  <c r="R140" i="2"/>
  <c r="S140" i="2"/>
  <c r="T140" i="2"/>
  <c r="U140" i="2"/>
  <c r="V140" i="2"/>
  <c r="W140" i="2"/>
  <c r="X140" i="2"/>
  <c r="Y140" i="2"/>
  <c r="B141" i="2"/>
  <c r="C141" i="2"/>
  <c r="D141" i="2"/>
  <c r="E141" i="2"/>
  <c r="F141" i="2"/>
  <c r="G141" i="2"/>
  <c r="H141" i="2"/>
  <c r="I141" i="2"/>
  <c r="J141" i="2"/>
  <c r="K141" i="2"/>
  <c r="L141" i="2"/>
  <c r="M141" i="2"/>
  <c r="N141" i="2"/>
  <c r="O141" i="2"/>
  <c r="P141" i="2"/>
  <c r="Q141" i="2"/>
  <c r="R141" i="2"/>
  <c r="S141" i="2"/>
  <c r="T141" i="2"/>
  <c r="U141" i="2"/>
  <c r="V141" i="2"/>
  <c r="W141" i="2"/>
  <c r="X141" i="2"/>
  <c r="Y141" i="2"/>
  <c r="B142" i="2"/>
  <c r="C142" i="2"/>
  <c r="D142" i="2"/>
  <c r="E142" i="2"/>
  <c r="F142" i="2"/>
  <c r="G142" i="2"/>
  <c r="H142" i="2"/>
  <c r="I142" i="2"/>
  <c r="J142" i="2"/>
  <c r="K142" i="2"/>
  <c r="L142" i="2"/>
  <c r="M142" i="2"/>
  <c r="N142" i="2"/>
  <c r="O142" i="2"/>
  <c r="P142" i="2"/>
  <c r="Q142" i="2"/>
  <c r="R142" i="2"/>
  <c r="S142" i="2"/>
  <c r="T142" i="2"/>
  <c r="U142" i="2"/>
  <c r="V142" i="2"/>
  <c r="W142" i="2"/>
  <c r="X142" i="2"/>
  <c r="Y142" i="2"/>
  <c r="B143" i="2"/>
  <c r="C143" i="2"/>
  <c r="D143" i="2"/>
  <c r="E143" i="2"/>
  <c r="F143" i="2"/>
  <c r="G143" i="2"/>
  <c r="H143" i="2"/>
  <c r="I143" i="2"/>
  <c r="J143" i="2"/>
  <c r="K143" i="2"/>
  <c r="L143" i="2"/>
  <c r="M143" i="2"/>
  <c r="N143" i="2"/>
  <c r="O143" i="2"/>
  <c r="P143" i="2"/>
  <c r="Q143" i="2"/>
  <c r="R143" i="2"/>
  <c r="S143" i="2"/>
  <c r="T143" i="2"/>
  <c r="U143" i="2"/>
  <c r="V143" i="2"/>
  <c r="W143" i="2"/>
  <c r="X143" i="2"/>
  <c r="Y143" i="2"/>
  <c r="B144" i="2"/>
  <c r="C144" i="2"/>
  <c r="D144" i="2"/>
  <c r="E144" i="2"/>
  <c r="F144" i="2"/>
  <c r="G144" i="2"/>
  <c r="H144" i="2"/>
  <c r="I144" i="2"/>
  <c r="J144" i="2"/>
  <c r="K144" i="2"/>
  <c r="L144" i="2"/>
  <c r="M144" i="2"/>
  <c r="N144" i="2"/>
  <c r="O144" i="2"/>
  <c r="P144" i="2"/>
  <c r="Q144" i="2"/>
  <c r="R144" i="2"/>
  <c r="S144" i="2"/>
  <c r="T144" i="2"/>
  <c r="U144" i="2"/>
  <c r="V144" i="2"/>
  <c r="W144" i="2"/>
  <c r="X144" i="2"/>
  <c r="Y144" i="2"/>
  <c r="B145" i="2"/>
  <c r="C145" i="2"/>
  <c r="D145" i="2"/>
  <c r="E145" i="2"/>
  <c r="F145" i="2"/>
  <c r="G145" i="2"/>
  <c r="H145" i="2"/>
  <c r="I145" i="2"/>
  <c r="J145" i="2"/>
  <c r="K145" i="2"/>
  <c r="L145" i="2"/>
  <c r="M145" i="2"/>
  <c r="N145" i="2"/>
  <c r="O145" i="2"/>
  <c r="P145" i="2"/>
  <c r="Q145" i="2"/>
  <c r="R145" i="2"/>
  <c r="S145" i="2"/>
  <c r="T145" i="2"/>
  <c r="U145" i="2"/>
  <c r="V145" i="2"/>
  <c r="W145" i="2"/>
  <c r="X145" i="2"/>
  <c r="Y145" i="2"/>
  <c r="B146" i="2"/>
  <c r="C146" i="2"/>
  <c r="D146" i="2"/>
  <c r="E146" i="2"/>
  <c r="F146" i="2"/>
  <c r="G146" i="2"/>
  <c r="H146" i="2"/>
  <c r="I146" i="2"/>
  <c r="J146" i="2"/>
  <c r="K146" i="2"/>
  <c r="L146" i="2"/>
  <c r="M146" i="2"/>
  <c r="N146" i="2"/>
  <c r="O146" i="2"/>
  <c r="P146" i="2"/>
  <c r="Q146" i="2"/>
  <c r="R146" i="2"/>
  <c r="S146" i="2"/>
  <c r="T146" i="2"/>
  <c r="U146" i="2"/>
  <c r="V146" i="2"/>
  <c r="W146" i="2"/>
  <c r="X146" i="2"/>
  <c r="Y146" i="2"/>
  <c r="B147" i="2"/>
  <c r="C147" i="2"/>
  <c r="D147" i="2"/>
  <c r="E147" i="2"/>
  <c r="F147" i="2"/>
  <c r="G147" i="2"/>
  <c r="H147" i="2"/>
  <c r="I147" i="2"/>
  <c r="J147" i="2"/>
  <c r="K147" i="2"/>
  <c r="L147" i="2"/>
  <c r="M147" i="2"/>
  <c r="N147" i="2"/>
  <c r="O147" i="2"/>
  <c r="P147" i="2"/>
  <c r="Q147" i="2"/>
  <c r="R147" i="2"/>
  <c r="S147" i="2"/>
  <c r="T147" i="2"/>
  <c r="U147" i="2"/>
  <c r="V147" i="2"/>
  <c r="W147" i="2"/>
  <c r="X147" i="2"/>
  <c r="Y147" i="2"/>
  <c r="B148" i="2"/>
  <c r="C148" i="2"/>
  <c r="D148" i="2"/>
  <c r="E148" i="2"/>
  <c r="F148" i="2"/>
  <c r="G148" i="2"/>
  <c r="H148" i="2"/>
  <c r="I148" i="2"/>
  <c r="J148" i="2"/>
  <c r="K148" i="2"/>
  <c r="L148" i="2"/>
  <c r="M148" i="2"/>
  <c r="N148" i="2"/>
  <c r="O148" i="2"/>
  <c r="P148" i="2"/>
  <c r="Q148" i="2"/>
  <c r="R148" i="2"/>
  <c r="S148" i="2"/>
  <c r="T148" i="2"/>
  <c r="U148" i="2"/>
  <c r="V148" i="2"/>
  <c r="W148" i="2"/>
  <c r="X148" i="2"/>
  <c r="Y148" i="2"/>
  <c r="B149" i="2"/>
  <c r="C149" i="2"/>
  <c r="D149" i="2"/>
  <c r="E149" i="2"/>
  <c r="F149" i="2"/>
  <c r="G149" i="2"/>
  <c r="H149" i="2"/>
  <c r="I149" i="2"/>
  <c r="J149" i="2"/>
  <c r="K149" i="2"/>
  <c r="L149" i="2"/>
  <c r="M149" i="2"/>
  <c r="N149" i="2"/>
  <c r="O149" i="2"/>
  <c r="P149" i="2"/>
  <c r="Q149" i="2"/>
  <c r="R149" i="2"/>
  <c r="S149" i="2"/>
  <c r="T149" i="2"/>
  <c r="U149" i="2"/>
  <c r="V149" i="2"/>
  <c r="W149" i="2"/>
  <c r="X149" i="2"/>
  <c r="Y149" i="2"/>
  <c r="B150" i="2"/>
  <c r="C150" i="2"/>
  <c r="D150" i="2"/>
  <c r="E150" i="2"/>
  <c r="F150" i="2"/>
  <c r="G150" i="2"/>
  <c r="H150" i="2"/>
  <c r="I150" i="2"/>
  <c r="J150" i="2"/>
  <c r="K150" i="2"/>
  <c r="L150" i="2"/>
  <c r="M150" i="2"/>
  <c r="N150" i="2"/>
  <c r="O150" i="2"/>
  <c r="P150" i="2"/>
  <c r="Q150" i="2"/>
  <c r="R150" i="2"/>
  <c r="S150" i="2"/>
  <c r="T150" i="2"/>
  <c r="U150" i="2"/>
  <c r="V150" i="2"/>
  <c r="W150" i="2"/>
  <c r="X150" i="2"/>
  <c r="Y150" i="2"/>
  <c r="B151" i="2"/>
  <c r="C151" i="2"/>
  <c r="D151" i="2"/>
  <c r="E151" i="2"/>
  <c r="F151" i="2"/>
  <c r="G151" i="2"/>
  <c r="H151" i="2"/>
  <c r="I151" i="2"/>
  <c r="J151" i="2"/>
  <c r="K151" i="2"/>
  <c r="L151" i="2"/>
  <c r="M151" i="2"/>
  <c r="N151" i="2"/>
  <c r="O151" i="2"/>
  <c r="P151" i="2"/>
  <c r="Q151" i="2"/>
  <c r="R151" i="2"/>
  <c r="S151" i="2"/>
  <c r="T151" i="2"/>
  <c r="U151" i="2"/>
  <c r="V151" i="2"/>
  <c r="W151" i="2"/>
  <c r="X151" i="2"/>
  <c r="Y151" i="2"/>
  <c r="B152" i="2"/>
  <c r="C152" i="2"/>
  <c r="D152" i="2"/>
  <c r="E152" i="2"/>
  <c r="F152" i="2"/>
  <c r="G152" i="2"/>
  <c r="H152" i="2"/>
  <c r="I152" i="2"/>
  <c r="J152" i="2"/>
  <c r="K152" i="2"/>
  <c r="L152" i="2"/>
  <c r="M152" i="2"/>
  <c r="N152" i="2"/>
  <c r="O152" i="2"/>
  <c r="P152" i="2"/>
  <c r="Q152" i="2"/>
  <c r="R152" i="2"/>
  <c r="S152" i="2"/>
  <c r="T152" i="2"/>
  <c r="U152" i="2"/>
  <c r="V152" i="2"/>
  <c r="W152" i="2"/>
  <c r="X152" i="2"/>
  <c r="Y152" i="2"/>
  <c r="B153" i="2"/>
  <c r="C153" i="2"/>
  <c r="D153" i="2"/>
  <c r="E153" i="2"/>
  <c r="F153" i="2"/>
  <c r="G153" i="2"/>
  <c r="H153" i="2"/>
  <c r="I153" i="2"/>
  <c r="J153" i="2"/>
  <c r="K153" i="2"/>
  <c r="L153" i="2"/>
  <c r="M153" i="2"/>
  <c r="N153" i="2"/>
  <c r="O153" i="2"/>
  <c r="P153" i="2"/>
  <c r="Q153" i="2"/>
  <c r="R153" i="2"/>
  <c r="S153" i="2"/>
  <c r="T153" i="2"/>
  <c r="U153" i="2"/>
  <c r="V153" i="2"/>
  <c r="W153" i="2"/>
  <c r="X153" i="2"/>
  <c r="Y153" i="2"/>
  <c r="B154" i="2"/>
  <c r="C154" i="2"/>
  <c r="D154" i="2"/>
  <c r="E154" i="2"/>
  <c r="F154" i="2"/>
  <c r="G154" i="2"/>
  <c r="H154" i="2"/>
  <c r="I154" i="2"/>
  <c r="J154" i="2"/>
  <c r="K154" i="2"/>
  <c r="L154" i="2"/>
  <c r="M154" i="2"/>
  <c r="N154" i="2"/>
  <c r="O154" i="2"/>
  <c r="P154" i="2"/>
  <c r="Q154" i="2"/>
  <c r="R154" i="2"/>
  <c r="S154" i="2"/>
  <c r="T154" i="2"/>
  <c r="U154" i="2"/>
  <c r="V154" i="2"/>
  <c r="W154" i="2"/>
  <c r="X154" i="2"/>
  <c r="Y154" i="2"/>
  <c r="B155" i="2"/>
  <c r="C155" i="2"/>
  <c r="D155" i="2"/>
  <c r="E155" i="2"/>
  <c r="F155" i="2"/>
  <c r="G155" i="2"/>
  <c r="H155" i="2"/>
  <c r="I155" i="2"/>
  <c r="J155" i="2"/>
  <c r="K155" i="2"/>
  <c r="L155" i="2"/>
  <c r="M155" i="2"/>
  <c r="N155" i="2"/>
  <c r="O155" i="2"/>
  <c r="P155" i="2"/>
  <c r="Q155" i="2"/>
  <c r="R155" i="2"/>
  <c r="S155" i="2"/>
  <c r="T155" i="2"/>
  <c r="U155" i="2"/>
  <c r="V155" i="2"/>
  <c r="W155" i="2"/>
  <c r="X155" i="2"/>
  <c r="Y155" i="2"/>
  <c r="B156" i="2"/>
  <c r="C156" i="2"/>
  <c r="D156" i="2"/>
  <c r="E156" i="2"/>
  <c r="F156" i="2"/>
  <c r="G156" i="2"/>
  <c r="H156" i="2"/>
  <c r="I156" i="2"/>
  <c r="J156" i="2"/>
  <c r="K156" i="2"/>
  <c r="L156" i="2"/>
  <c r="M156" i="2"/>
  <c r="N156" i="2"/>
  <c r="O156" i="2"/>
  <c r="P156" i="2"/>
  <c r="Q156" i="2"/>
  <c r="R156" i="2"/>
  <c r="S156" i="2"/>
  <c r="T156" i="2"/>
  <c r="U156" i="2"/>
  <c r="V156" i="2"/>
  <c r="W156" i="2"/>
  <c r="X156" i="2"/>
  <c r="Y156" i="2"/>
  <c r="B157" i="2"/>
  <c r="C157" i="2"/>
  <c r="D157" i="2"/>
  <c r="E157" i="2"/>
  <c r="F157" i="2"/>
  <c r="G157" i="2"/>
  <c r="H157" i="2"/>
  <c r="I157" i="2"/>
  <c r="J157" i="2"/>
  <c r="K157" i="2"/>
  <c r="L157" i="2"/>
  <c r="M157" i="2"/>
  <c r="N157" i="2"/>
  <c r="O157" i="2"/>
  <c r="P157" i="2"/>
  <c r="Q157" i="2"/>
  <c r="R157" i="2"/>
  <c r="S157" i="2"/>
  <c r="T157" i="2"/>
  <c r="U157" i="2"/>
  <c r="V157" i="2"/>
  <c r="W157" i="2"/>
  <c r="X157" i="2"/>
  <c r="Y157" i="2"/>
  <c r="B158" i="2"/>
  <c r="C158" i="2"/>
  <c r="D158" i="2"/>
  <c r="E158" i="2"/>
  <c r="F158" i="2"/>
  <c r="G158" i="2"/>
  <c r="H158" i="2"/>
  <c r="I158" i="2"/>
  <c r="J158" i="2"/>
  <c r="K158" i="2"/>
  <c r="L158" i="2"/>
  <c r="M158" i="2"/>
  <c r="N158" i="2"/>
  <c r="O158" i="2"/>
  <c r="P158" i="2"/>
  <c r="Q158" i="2"/>
  <c r="R158" i="2"/>
  <c r="S158" i="2"/>
  <c r="T158" i="2"/>
  <c r="U158" i="2"/>
  <c r="V158" i="2"/>
  <c r="W158" i="2"/>
  <c r="X158" i="2"/>
  <c r="Y158" i="2"/>
  <c r="B159" i="2"/>
  <c r="C159" i="2"/>
  <c r="D159" i="2"/>
  <c r="E159" i="2"/>
  <c r="F159" i="2"/>
  <c r="G159" i="2"/>
  <c r="H159" i="2"/>
  <c r="I159" i="2"/>
  <c r="J159" i="2"/>
  <c r="K159" i="2"/>
  <c r="L159" i="2"/>
  <c r="M159" i="2"/>
  <c r="N159" i="2"/>
  <c r="O159" i="2"/>
  <c r="P159" i="2"/>
  <c r="Q159" i="2"/>
  <c r="R159" i="2"/>
  <c r="S159" i="2"/>
  <c r="T159" i="2"/>
  <c r="U159" i="2"/>
  <c r="V159" i="2"/>
  <c r="W159" i="2"/>
  <c r="X159" i="2"/>
  <c r="Y159" i="2"/>
  <c r="B160" i="2"/>
  <c r="C160" i="2"/>
  <c r="D160" i="2"/>
  <c r="E160" i="2"/>
  <c r="F160" i="2"/>
  <c r="G160" i="2"/>
  <c r="H160" i="2"/>
  <c r="I160" i="2"/>
  <c r="J160" i="2"/>
  <c r="K160" i="2"/>
  <c r="L160" i="2"/>
  <c r="M160" i="2"/>
  <c r="N160" i="2"/>
  <c r="O160" i="2"/>
  <c r="P160" i="2"/>
  <c r="Q160" i="2"/>
  <c r="R160" i="2"/>
  <c r="S160" i="2"/>
  <c r="T160" i="2"/>
  <c r="U160" i="2"/>
  <c r="V160" i="2"/>
  <c r="W160" i="2"/>
  <c r="X160" i="2"/>
  <c r="Y160" i="2"/>
  <c r="B161" i="2"/>
  <c r="C161" i="2"/>
  <c r="D161" i="2"/>
  <c r="E161" i="2"/>
  <c r="F161" i="2"/>
  <c r="G161" i="2"/>
  <c r="H161" i="2"/>
  <c r="I161" i="2"/>
  <c r="J161" i="2"/>
  <c r="K161" i="2"/>
  <c r="L161" i="2"/>
  <c r="M161" i="2"/>
  <c r="N161" i="2"/>
  <c r="O161" i="2"/>
  <c r="P161" i="2"/>
  <c r="Q161" i="2"/>
  <c r="R161" i="2"/>
  <c r="S161" i="2"/>
  <c r="T161" i="2"/>
  <c r="U161" i="2"/>
  <c r="V161" i="2"/>
  <c r="W161" i="2"/>
  <c r="X161" i="2"/>
  <c r="Y161" i="2"/>
  <c r="B162" i="2"/>
  <c r="C162" i="2"/>
  <c r="D162" i="2"/>
  <c r="E162" i="2"/>
  <c r="F162" i="2"/>
  <c r="G162" i="2"/>
  <c r="H162" i="2"/>
  <c r="I162" i="2"/>
  <c r="J162" i="2"/>
  <c r="K162" i="2"/>
  <c r="L162" i="2"/>
  <c r="M162" i="2"/>
  <c r="N162" i="2"/>
  <c r="O162" i="2"/>
  <c r="P162" i="2"/>
  <c r="Q162" i="2"/>
  <c r="R162" i="2"/>
  <c r="S162" i="2"/>
  <c r="T162" i="2"/>
  <c r="U162" i="2"/>
  <c r="V162" i="2"/>
  <c r="W162" i="2"/>
  <c r="X162" i="2"/>
  <c r="Y162" i="2"/>
  <c r="B163" i="2"/>
  <c r="C163" i="2"/>
  <c r="D163" i="2"/>
  <c r="E163" i="2"/>
  <c r="F163" i="2"/>
  <c r="G163" i="2"/>
  <c r="H163" i="2"/>
  <c r="I163" i="2"/>
  <c r="J163" i="2"/>
  <c r="K163" i="2"/>
  <c r="L163" i="2"/>
  <c r="M163" i="2"/>
  <c r="N163" i="2"/>
  <c r="O163" i="2"/>
  <c r="P163" i="2"/>
  <c r="Q163" i="2"/>
  <c r="R163" i="2"/>
  <c r="S163" i="2"/>
  <c r="T163" i="2"/>
  <c r="U163" i="2"/>
  <c r="V163" i="2"/>
  <c r="W163" i="2"/>
  <c r="X163" i="2"/>
  <c r="Y163" i="2"/>
  <c r="B164" i="2"/>
  <c r="C164" i="2"/>
  <c r="D164" i="2"/>
  <c r="E164" i="2"/>
  <c r="F164" i="2"/>
  <c r="G164" i="2"/>
  <c r="H164" i="2"/>
  <c r="I164" i="2"/>
  <c r="J164" i="2"/>
  <c r="K164" i="2"/>
  <c r="L164" i="2"/>
  <c r="M164" i="2"/>
  <c r="N164" i="2"/>
  <c r="O164" i="2"/>
  <c r="P164" i="2"/>
  <c r="Q164" i="2"/>
  <c r="R164" i="2"/>
  <c r="S164" i="2"/>
  <c r="T164" i="2"/>
  <c r="U164" i="2"/>
  <c r="V164" i="2"/>
  <c r="W164" i="2"/>
  <c r="X164" i="2"/>
  <c r="Y164" i="2"/>
  <c r="B165" i="2"/>
  <c r="C165" i="2"/>
  <c r="D165" i="2"/>
  <c r="E165" i="2"/>
  <c r="F165" i="2"/>
  <c r="G165" i="2"/>
  <c r="H165" i="2"/>
  <c r="I165" i="2"/>
  <c r="J165" i="2"/>
  <c r="K165" i="2"/>
  <c r="L165" i="2"/>
  <c r="M165" i="2"/>
  <c r="N165" i="2"/>
  <c r="O165" i="2"/>
  <c r="P165" i="2"/>
  <c r="Q165" i="2"/>
  <c r="R165" i="2"/>
  <c r="S165" i="2"/>
  <c r="T165" i="2"/>
  <c r="U165" i="2"/>
  <c r="V165" i="2"/>
  <c r="W165" i="2"/>
  <c r="X165" i="2"/>
  <c r="Y165" i="2"/>
  <c r="B166" i="2"/>
  <c r="C166" i="2"/>
  <c r="D166" i="2"/>
  <c r="E166" i="2"/>
  <c r="F166" i="2"/>
  <c r="G166" i="2"/>
  <c r="H166" i="2"/>
  <c r="I166" i="2"/>
  <c r="J166" i="2"/>
  <c r="K166" i="2"/>
  <c r="L166" i="2"/>
  <c r="M166" i="2"/>
  <c r="N166" i="2"/>
  <c r="O166" i="2"/>
  <c r="P166" i="2"/>
  <c r="Q166" i="2"/>
  <c r="R166" i="2"/>
  <c r="S166" i="2"/>
  <c r="T166" i="2"/>
  <c r="U166" i="2"/>
  <c r="V166" i="2"/>
  <c r="W166" i="2"/>
  <c r="X166" i="2"/>
  <c r="Y166" i="2"/>
  <c r="B167" i="2"/>
  <c r="C167" i="2"/>
  <c r="D167" i="2"/>
  <c r="E167" i="2"/>
  <c r="F167" i="2"/>
  <c r="G167" i="2"/>
  <c r="H167" i="2"/>
  <c r="I167" i="2"/>
  <c r="J167" i="2"/>
  <c r="K167" i="2"/>
  <c r="L167" i="2"/>
  <c r="M167" i="2"/>
  <c r="N167" i="2"/>
  <c r="O167" i="2"/>
  <c r="P167" i="2"/>
  <c r="Q167" i="2"/>
  <c r="R167" i="2"/>
  <c r="S167" i="2"/>
  <c r="T167" i="2"/>
  <c r="U167" i="2"/>
  <c r="V167" i="2"/>
  <c r="W167" i="2"/>
  <c r="X167" i="2"/>
  <c r="Y167" i="2"/>
  <c r="B168" i="2"/>
  <c r="C168" i="2"/>
  <c r="D168" i="2"/>
  <c r="E168" i="2"/>
  <c r="F168" i="2"/>
  <c r="G168" i="2"/>
  <c r="H168" i="2"/>
  <c r="I168" i="2"/>
  <c r="J168" i="2"/>
  <c r="K168" i="2"/>
  <c r="L168" i="2"/>
  <c r="M168" i="2"/>
  <c r="N168" i="2"/>
  <c r="O168" i="2"/>
  <c r="P168" i="2"/>
  <c r="Q168" i="2"/>
  <c r="R168" i="2"/>
  <c r="S168" i="2"/>
  <c r="T168" i="2"/>
  <c r="U168" i="2"/>
  <c r="V168" i="2"/>
  <c r="W168" i="2"/>
  <c r="X168" i="2"/>
  <c r="Y168" i="2"/>
  <c r="B169" i="2"/>
  <c r="C169" i="2"/>
  <c r="D169" i="2"/>
  <c r="E169" i="2"/>
  <c r="F169" i="2"/>
  <c r="G169" i="2"/>
  <c r="H169" i="2"/>
  <c r="I169" i="2"/>
  <c r="J169" i="2"/>
  <c r="K169" i="2"/>
  <c r="L169" i="2"/>
  <c r="M169" i="2"/>
  <c r="N169" i="2"/>
  <c r="O169" i="2"/>
  <c r="P169" i="2"/>
  <c r="Q169" i="2"/>
  <c r="R169" i="2"/>
  <c r="S169" i="2"/>
  <c r="T169" i="2"/>
  <c r="U169" i="2"/>
  <c r="V169" i="2"/>
  <c r="W169" i="2"/>
  <c r="X169" i="2"/>
  <c r="Y169" i="2"/>
  <c r="B170" i="2"/>
  <c r="C170" i="2"/>
  <c r="D170" i="2"/>
  <c r="E170" i="2"/>
  <c r="F170" i="2"/>
  <c r="G170" i="2"/>
  <c r="H170" i="2"/>
  <c r="I170" i="2"/>
  <c r="J170" i="2"/>
  <c r="K170" i="2"/>
  <c r="L170" i="2"/>
  <c r="M170" i="2"/>
  <c r="N170" i="2"/>
  <c r="O170" i="2"/>
  <c r="P170" i="2"/>
  <c r="Q170" i="2"/>
  <c r="R170" i="2"/>
  <c r="S170" i="2"/>
  <c r="T170" i="2"/>
  <c r="U170" i="2"/>
  <c r="V170" i="2"/>
  <c r="W170" i="2"/>
  <c r="X170" i="2"/>
  <c r="Y170" i="2"/>
  <c r="B171" i="2"/>
  <c r="C171" i="2"/>
  <c r="D171" i="2"/>
  <c r="E171" i="2"/>
  <c r="F171" i="2"/>
  <c r="G171" i="2"/>
  <c r="H171" i="2"/>
  <c r="I171" i="2"/>
  <c r="J171" i="2"/>
  <c r="K171" i="2"/>
  <c r="L171" i="2"/>
  <c r="M171" i="2"/>
  <c r="N171" i="2"/>
  <c r="O171" i="2"/>
  <c r="P171" i="2"/>
  <c r="Q171" i="2"/>
  <c r="R171" i="2"/>
  <c r="S171" i="2"/>
  <c r="T171" i="2"/>
  <c r="U171" i="2"/>
  <c r="V171" i="2"/>
  <c r="W171" i="2"/>
  <c r="X171" i="2"/>
  <c r="Y171" i="2"/>
  <c r="B172" i="2"/>
  <c r="C172" i="2"/>
  <c r="D172" i="2"/>
  <c r="E172" i="2"/>
  <c r="F172" i="2"/>
  <c r="G172" i="2"/>
  <c r="H172" i="2"/>
  <c r="I172" i="2"/>
  <c r="J172" i="2"/>
  <c r="K172" i="2"/>
  <c r="L172" i="2"/>
  <c r="M172" i="2"/>
  <c r="N172" i="2"/>
  <c r="O172" i="2"/>
  <c r="P172" i="2"/>
  <c r="Q172" i="2"/>
  <c r="R172" i="2"/>
  <c r="S172" i="2"/>
  <c r="T172" i="2"/>
  <c r="U172" i="2"/>
  <c r="V172" i="2"/>
  <c r="W172" i="2"/>
  <c r="X172" i="2"/>
  <c r="Y172" i="2"/>
  <c r="B173" i="2"/>
  <c r="C173" i="2"/>
  <c r="D173" i="2"/>
  <c r="E173" i="2"/>
  <c r="F173" i="2"/>
  <c r="G173" i="2"/>
  <c r="H173" i="2"/>
  <c r="I173" i="2"/>
  <c r="J173" i="2"/>
  <c r="K173" i="2"/>
  <c r="L173" i="2"/>
  <c r="M173" i="2"/>
  <c r="N173" i="2"/>
  <c r="O173" i="2"/>
  <c r="P173" i="2"/>
  <c r="Q173" i="2"/>
  <c r="R173" i="2"/>
  <c r="S173" i="2"/>
  <c r="T173" i="2"/>
  <c r="U173" i="2"/>
  <c r="V173" i="2"/>
  <c r="W173" i="2"/>
  <c r="X173" i="2"/>
  <c r="Y173" i="2"/>
  <c r="B174" i="2"/>
  <c r="C174" i="2"/>
  <c r="D174" i="2"/>
  <c r="E174" i="2"/>
  <c r="F174" i="2"/>
  <c r="G174" i="2"/>
  <c r="H174" i="2"/>
  <c r="I174" i="2"/>
  <c r="J174" i="2"/>
  <c r="K174" i="2"/>
  <c r="L174" i="2"/>
  <c r="M174" i="2"/>
  <c r="N174" i="2"/>
  <c r="O174" i="2"/>
  <c r="P174" i="2"/>
  <c r="Q174" i="2"/>
  <c r="R174" i="2"/>
  <c r="S174" i="2"/>
  <c r="T174" i="2"/>
  <c r="U174" i="2"/>
  <c r="V174" i="2"/>
  <c r="W174" i="2"/>
  <c r="X174" i="2"/>
  <c r="Y174" i="2"/>
  <c r="B175" i="2"/>
  <c r="C175" i="2"/>
  <c r="D175" i="2"/>
  <c r="E175" i="2"/>
  <c r="F175" i="2"/>
  <c r="G175" i="2"/>
  <c r="H175" i="2"/>
  <c r="I175" i="2"/>
  <c r="J175" i="2"/>
  <c r="K175" i="2"/>
  <c r="L175" i="2"/>
  <c r="M175" i="2"/>
  <c r="N175" i="2"/>
  <c r="O175" i="2"/>
  <c r="P175" i="2"/>
  <c r="Q175" i="2"/>
  <c r="R175" i="2"/>
  <c r="S175" i="2"/>
  <c r="T175" i="2"/>
  <c r="U175" i="2"/>
  <c r="V175" i="2"/>
  <c r="W175" i="2"/>
  <c r="X175" i="2"/>
  <c r="Y175" i="2"/>
  <c r="B176" i="2"/>
  <c r="C176" i="2"/>
  <c r="D176" i="2"/>
  <c r="E176" i="2"/>
  <c r="F176" i="2"/>
  <c r="G176" i="2"/>
  <c r="H176" i="2"/>
  <c r="I176" i="2"/>
  <c r="J176" i="2"/>
  <c r="K176" i="2"/>
  <c r="L176" i="2"/>
  <c r="M176" i="2"/>
  <c r="N176" i="2"/>
  <c r="O176" i="2"/>
  <c r="P176" i="2"/>
  <c r="Q176" i="2"/>
  <c r="R176" i="2"/>
  <c r="S176" i="2"/>
  <c r="T176" i="2"/>
  <c r="U176" i="2"/>
  <c r="V176" i="2"/>
  <c r="W176" i="2"/>
  <c r="X176" i="2"/>
  <c r="Y176" i="2"/>
  <c r="B177" i="2"/>
  <c r="C177" i="2"/>
  <c r="D177" i="2"/>
  <c r="E177" i="2"/>
  <c r="F177" i="2"/>
  <c r="G177" i="2"/>
  <c r="H177" i="2"/>
  <c r="I177" i="2"/>
  <c r="J177" i="2"/>
  <c r="K177" i="2"/>
  <c r="L177" i="2"/>
  <c r="M177" i="2"/>
  <c r="N177" i="2"/>
  <c r="O177" i="2"/>
  <c r="P177" i="2"/>
  <c r="Q177" i="2"/>
  <c r="R177" i="2"/>
  <c r="S177" i="2"/>
  <c r="T177" i="2"/>
  <c r="U177" i="2"/>
  <c r="V177" i="2"/>
  <c r="W177" i="2"/>
  <c r="X177" i="2"/>
  <c r="Y177" i="2"/>
  <c r="B178" i="2"/>
  <c r="C178" i="2"/>
  <c r="D178" i="2"/>
  <c r="E178" i="2"/>
  <c r="F178" i="2"/>
  <c r="G178" i="2"/>
  <c r="H178" i="2"/>
  <c r="I178" i="2"/>
  <c r="J178" i="2"/>
  <c r="K178" i="2"/>
  <c r="L178" i="2"/>
  <c r="M178" i="2"/>
  <c r="N178" i="2"/>
  <c r="O178" i="2"/>
  <c r="P178" i="2"/>
  <c r="Q178" i="2"/>
  <c r="R178" i="2"/>
  <c r="S178" i="2"/>
  <c r="T178" i="2"/>
  <c r="U178" i="2"/>
  <c r="V178" i="2"/>
  <c r="W178" i="2"/>
  <c r="X178" i="2"/>
  <c r="Y178" i="2"/>
  <c r="B179" i="2"/>
  <c r="C179" i="2"/>
  <c r="D179" i="2"/>
  <c r="E179" i="2"/>
  <c r="F179" i="2"/>
  <c r="G179" i="2"/>
  <c r="H179" i="2"/>
  <c r="I179" i="2"/>
  <c r="J179" i="2"/>
  <c r="K179" i="2"/>
  <c r="L179" i="2"/>
  <c r="M179" i="2"/>
  <c r="N179" i="2"/>
  <c r="O179" i="2"/>
  <c r="P179" i="2"/>
  <c r="Q179" i="2"/>
  <c r="R179" i="2"/>
  <c r="S179" i="2"/>
  <c r="T179" i="2"/>
  <c r="U179" i="2"/>
  <c r="V179" i="2"/>
  <c r="W179" i="2"/>
  <c r="X179" i="2"/>
  <c r="Y179" i="2"/>
  <c r="B180" i="2"/>
  <c r="C180" i="2"/>
  <c r="D180" i="2"/>
  <c r="E180" i="2"/>
  <c r="F180" i="2"/>
  <c r="G180" i="2"/>
  <c r="H180" i="2"/>
  <c r="I180" i="2"/>
  <c r="J180" i="2"/>
  <c r="K180" i="2"/>
  <c r="L180" i="2"/>
  <c r="M180" i="2"/>
  <c r="N180" i="2"/>
  <c r="O180" i="2"/>
  <c r="P180" i="2"/>
  <c r="Q180" i="2"/>
  <c r="R180" i="2"/>
  <c r="S180" i="2"/>
  <c r="T180" i="2"/>
  <c r="U180" i="2"/>
  <c r="V180" i="2"/>
  <c r="W180" i="2"/>
  <c r="X180" i="2"/>
  <c r="Y180" i="2"/>
  <c r="B181" i="2"/>
  <c r="C181" i="2"/>
  <c r="D181" i="2"/>
  <c r="E181" i="2"/>
  <c r="F181" i="2"/>
  <c r="G181" i="2"/>
  <c r="H181" i="2"/>
  <c r="I181" i="2"/>
  <c r="J181" i="2"/>
  <c r="K181" i="2"/>
  <c r="L181" i="2"/>
  <c r="M181" i="2"/>
  <c r="N181" i="2"/>
  <c r="O181" i="2"/>
  <c r="P181" i="2"/>
  <c r="Q181" i="2"/>
  <c r="R181" i="2"/>
  <c r="S181" i="2"/>
  <c r="T181" i="2"/>
  <c r="U181" i="2"/>
  <c r="V181" i="2"/>
  <c r="W181" i="2"/>
  <c r="X181" i="2"/>
  <c r="Y181" i="2"/>
  <c r="B182" i="2"/>
  <c r="C182" i="2"/>
  <c r="D182" i="2"/>
  <c r="E182" i="2"/>
  <c r="F182" i="2"/>
  <c r="G182" i="2"/>
  <c r="H182" i="2"/>
  <c r="I182" i="2"/>
  <c r="J182" i="2"/>
  <c r="K182" i="2"/>
  <c r="L182" i="2"/>
  <c r="M182" i="2"/>
  <c r="N182" i="2"/>
  <c r="O182" i="2"/>
  <c r="P182" i="2"/>
  <c r="Q182" i="2"/>
  <c r="R182" i="2"/>
  <c r="S182" i="2"/>
  <c r="T182" i="2"/>
  <c r="U182" i="2"/>
  <c r="V182" i="2"/>
  <c r="W182" i="2"/>
  <c r="X182" i="2"/>
  <c r="Y182" i="2"/>
  <c r="B183" i="2"/>
  <c r="C183" i="2"/>
  <c r="D183" i="2"/>
  <c r="E183" i="2"/>
  <c r="F183" i="2"/>
  <c r="G183" i="2"/>
  <c r="H183" i="2"/>
  <c r="I183" i="2"/>
  <c r="J183" i="2"/>
  <c r="K183" i="2"/>
  <c r="L183" i="2"/>
  <c r="M183" i="2"/>
  <c r="N183" i="2"/>
  <c r="O183" i="2"/>
  <c r="P183" i="2"/>
  <c r="Q183" i="2"/>
  <c r="R183" i="2"/>
  <c r="S183" i="2"/>
  <c r="T183" i="2"/>
  <c r="U183" i="2"/>
  <c r="V183" i="2"/>
  <c r="W183" i="2"/>
  <c r="X183" i="2"/>
  <c r="Y183" i="2"/>
  <c r="B184" i="2"/>
  <c r="C184" i="2"/>
  <c r="D184" i="2"/>
  <c r="E184" i="2"/>
  <c r="F184" i="2"/>
  <c r="G184" i="2"/>
  <c r="H184" i="2"/>
  <c r="I184" i="2"/>
  <c r="J184" i="2"/>
  <c r="K184" i="2"/>
  <c r="L184" i="2"/>
  <c r="M184" i="2"/>
  <c r="N184" i="2"/>
  <c r="O184" i="2"/>
  <c r="P184" i="2"/>
  <c r="Q184" i="2"/>
  <c r="R184" i="2"/>
  <c r="S184" i="2"/>
  <c r="T184" i="2"/>
  <c r="U184" i="2"/>
  <c r="V184" i="2"/>
  <c r="W184" i="2"/>
  <c r="X184" i="2"/>
  <c r="Y184" i="2"/>
  <c r="B185" i="2"/>
  <c r="C185" i="2"/>
  <c r="D185" i="2"/>
  <c r="E185" i="2"/>
  <c r="F185" i="2"/>
  <c r="G185" i="2"/>
  <c r="H185" i="2"/>
  <c r="I185" i="2"/>
  <c r="J185" i="2"/>
  <c r="K185" i="2"/>
  <c r="L185" i="2"/>
  <c r="M185" i="2"/>
  <c r="N185" i="2"/>
  <c r="O185" i="2"/>
  <c r="P185" i="2"/>
  <c r="Q185" i="2"/>
  <c r="R185" i="2"/>
  <c r="S185" i="2"/>
  <c r="T185" i="2"/>
  <c r="U185" i="2"/>
  <c r="V185" i="2"/>
  <c r="W185" i="2"/>
  <c r="X185" i="2"/>
  <c r="Y185" i="2"/>
  <c r="B186" i="2"/>
  <c r="C186" i="2"/>
  <c r="D186" i="2"/>
  <c r="E186" i="2"/>
  <c r="F186" i="2"/>
  <c r="G186" i="2"/>
  <c r="H186" i="2"/>
  <c r="I186" i="2"/>
  <c r="J186" i="2"/>
  <c r="K186" i="2"/>
  <c r="L186" i="2"/>
  <c r="M186" i="2"/>
  <c r="N186" i="2"/>
  <c r="O186" i="2"/>
  <c r="P186" i="2"/>
  <c r="Q186" i="2"/>
  <c r="R186" i="2"/>
  <c r="S186" i="2"/>
  <c r="T186" i="2"/>
  <c r="U186" i="2"/>
  <c r="V186" i="2"/>
  <c r="W186" i="2"/>
  <c r="X186" i="2"/>
  <c r="Y186" i="2"/>
  <c r="B187" i="2"/>
  <c r="C187" i="2"/>
  <c r="D187" i="2"/>
  <c r="E187" i="2"/>
  <c r="F187" i="2"/>
  <c r="G187" i="2"/>
  <c r="H187" i="2"/>
  <c r="I187" i="2"/>
  <c r="J187" i="2"/>
  <c r="K187" i="2"/>
  <c r="L187" i="2"/>
  <c r="M187" i="2"/>
  <c r="N187" i="2"/>
  <c r="O187" i="2"/>
  <c r="P187" i="2"/>
  <c r="Q187" i="2"/>
  <c r="R187" i="2"/>
  <c r="S187" i="2"/>
  <c r="T187" i="2"/>
  <c r="U187" i="2"/>
  <c r="V187" i="2"/>
  <c r="W187" i="2"/>
  <c r="X187" i="2"/>
  <c r="Y187" i="2"/>
  <c r="B188" i="2"/>
  <c r="C188" i="2"/>
  <c r="D188" i="2"/>
  <c r="E188" i="2"/>
  <c r="F188" i="2"/>
  <c r="G188" i="2"/>
  <c r="H188" i="2"/>
  <c r="I188" i="2"/>
  <c r="J188" i="2"/>
  <c r="K188" i="2"/>
  <c r="L188" i="2"/>
  <c r="M188" i="2"/>
  <c r="N188" i="2"/>
  <c r="O188" i="2"/>
  <c r="P188" i="2"/>
  <c r="Q188" i="2"/>
  <c r="R188" i="2"/>
  <c r="S188" i="2"/>
  <c r="T188" i="2"/>
  <c r="U188" i="2"/>
  <c r="V188" i="2"/>
  <c r="W188" i="2"/>
  <c r="X188" i="2"/>
  <c r="Y188" i="2"/>
  <c r="B189" i="2"/>
  <c r="C189" i="2"/>
  <c r="D189" i="2"/>
  <c r="E189" i="2"/>
  <c r="F189" i="2"/>
  <c r="G189" i="2"/>
  <c r="H189" i="2"/>
  <c r="I189" i="2"/>
  <c r="J189" i="2"/>
  <c r="K189" i="2"/>
  <c r="L189" i="2"/>
  <c r="M189" i="2"/>
  <c r="N189" i="2"/>
  <c r="O189" i="2"/>
  <c r="P189" i="2"/>
  <c r="Q189" i="2"/>
  <c r="R189" i="2"/>
  <c r="S189" i="2"/>
  <c r="T189" i="2"/>
  <c r="U189" i="2"/>
  <c r="V189" i="2"/>
  <c r="W189" i="2"/>
  <c r="X189" i="2"/>
  <c r="Y189" i="2"/>
  <c r="B190" i="2"/>
  <c r="C190" i="2"/>
  <c r="D190" i="2"/>
  <c r="E190" i="2"/>
  <c r="F190" i="2"/>
  <c r="G190" i="2"/>
  <c r="H190" i="2"/>
  <c r="I190" i="2"/>
  <c r="J190" i="2"/>
  <c r="K190" i="2"/>
  <c r="L190" i="2"/>
  <c r="M190" i="2"/>
  <c r="N190" i="2"/>
  <c r="O190" i="2"/>
  <c r="P190" i="2"/>
  <c r="Q190" i="2"/>
  <c r="R190" i="2"/>
  <c r="S190" i="2"/>
  <c r="T190" i="2"/>
  <c r="U190" i="2"/>
  <c r="V190" i="2"/>
  <c r="W190" i="2"/>
  <c r="X190" i="2"/>
  <c r="Y190" i="2"/>
  <c r="B191" i="2"/>
  <c r="C191" i="2"/>
  <c r="D191" i="2"/>
  <c r="E191" i="2"/>
  <c r="F191" i="2"/>
  <c r="G191" i="2"/>
  <c r="H191" i="2"/>
  <c r="I191" i="2"/>
  <c r="J191" i="2"/>
  <c r="K191" i="2"/>
  <c r="L191" i="2"/>
  <c r="M191" i="2"/>
  <c r="N191" i="2"/>
  <c r="O191" i="2"/>
  <c r="P191" i="2"/>
  <c r="Q191" i="2"/>
  <c r="R191" i="2"/>
  <c r="S191" i="2"/>
  <c r="T191" i="2"/>
  <c r="U191" i="2"/>
  <c r="V191" i="2"/>
  <c r="W191" i="2"/>
  <c r="X191" i="2"/>
  <c r="Y191" i="2"/>
  <c r="B192" i="2"/>
  <c r="C192" i="2"/>
  <c r="D192" i="2"/>
  <c r="E192" i="2"/>
  <c r="F192" i="2"/>
  <c r="G192" i="2"/>
  <c r="H192" i="2"/>
  <c r="I192" i="2"/>
  <c r="J192" i="2"/>
  <c r="K192" i="2"/>
  <c r="L192" i="2"/>
  <c r="M192" i="2"/>
  <c r="N192" i="2"/>
  <c r="O192" i="2"/>
  <c r="P192" i="2"/>
  <c r="Q192" i="2"/>
  <c r="R192" i="2"/>
  <c r="S192" i="2"/>
  <c r="T192" i="2"/>
  <c r="U192" i="2"/>
  <c r="V192" i="2"/>
  <c r="W192" i="2"/>
  <c r="X192" i="2"/>
  <c r="Y192" i="2"/>
  <c r="B193" i="2"/>
  <c r="C193" i="2"/>
  <c r="D193" i="2"/>
  <c r="E193" i="2"/>
  <c r="F193" i="2"/>
  <c r="G193" i="2"/>
  <c r="H193" i="2"/>
  <c r="I193" i="2"/>
  <c r="J193" i="2"/>
  <c r="K193" i="2"/>
  <c r="L193" i="2"/>
  <c r="M193" i="2"/>
  <c r="N193" i="2"/>
  <c r="O193" i="2"/>
  <c r="P193" i="2"/>
  <c r="Q193" i="2"/>
  <c r="R193" i="2"/>
  <c r="S193" i="2"/>
  <c r="T193" i="2"/>
  <c r="U193" i="2"/>
  <c r="V193" i="2"/>
  <c r="W193" i="2"/>
  <c r="X193" i="2"/>
  <c r="Y193" i="2"/>
  <c r="B194" i="2"/>
  <c r="C194" i="2"/>
  <c r="D194" i="2"/>
  <c r="E194" i="2"/>
  <c r="F194" i="2"/>
  <c r="G194" i="2"/>
  <c r="H194" i="2"/>
  <c r="I194" i="2"/>
  <c r="J194" i="2"/>
  <c r="K194" i="2"/>
  <c r="L194" i="2"/>
  <c r="M194" i="2"/>
  <c r="N194" i="2"/>
  <c r="O194" i="2"/>
  <c r="P194" i="2"/>
  <c r="Q194" i="2"/>
  <c r="R194" i="2"/>
  <c r="S194" i="2"/>
  <c r="T194" i="2"/>
  <c r="U194" i="2"/>
  <c r="V194" i="2"/>
  <c r="W194" i="2"/>
  <c r="X194" i="2"/>
  <c r="Y194" i="2"/>
  <c r="B195" i="2"/>
  <c r="C195" i="2"/>
  <c r="D195" i="2"/>
  <c r="E195" i="2"/>
  <c r="F195" i="2"/>
  <c r="G195" i="2"/>
  <c r="H195" i="2"/>
  <c r="I195" i="2"/>
  <c r="J195" i="2"/>
  <c r="K195" i="2"/>
  <c r="L195" i="2"/>
  <c r="M195" i="2"/>
  <c r="N195" i="2"/>
  <c r="O195" i="2"/>
  <c r="P195" i="2"/>
  <c r="Q195" i="2"/>
  <c r="R195" i="2"/>
  <c r="S195" i="2"/>
  <c r="T195" i="2"/>
  <c r="U195" i="2"/>
  <c r="V195" i="2"/>
  <c r="W195" i="2"/>
  <c r="X195" i="2"/>
  <c r="Y195" i="2"/>
  <c r="B196" i="2"/>
  <c r="C196" i="2"/>
  <c r="D196" i="2"/>
  <c r="E196" i="2"/>
  <c r="F196" i="2"/>
  <c r="G196" i="2"/>
  <c r="H196" i="2"/>
  <c r="I196" i="2"/>
  <c r="J196" i="2"/>
  <c r="K196" i="2"/>
  <c r="L196" i="2"/>
  <c r="M196" i="2"/>
  <c r="N196" i="2"/>
  <c r="O196" i="2"/>
  <c r="P196" i="2"/>
  <c r="Q196" i="2"/>
  <c r="R196" i="2"/>
  <c r="S196" i="2"/>
  <c r="T196" i="2"/>
  <c r="U196" i="2"/>
  <c r="V196" i="2"/>
  <c r="W196" i="2"/>
  <c r="X196" i="2"/>
  <c r="Y196" i="2"/>
  <c r="B197" i="2"/>
  <c r="C197" i="2"/>
  <c r="D197" i="2"/>
  <c r="E197" i="2"/>
  <c r="F197" i="2"/>
  <c r="G197" i="2"/>
  <c r="H197" i="2"/>
  <c r="I197" i="2"/>
  <c r="J197" i="2"/>
  <c r="K197" i="2"/>
  <c r="L197" i="2"/>
  <c r="M197" i="2"/>
  <c r="N197" i="2"/>
  <c r="O197" i="2"/>
  <c r="P197" i="2"/>
  <c r="Q197" i="2"/>
  <c r="R197" i="2"/>
  <c r="S197" i="2"/>
  <c r="T197" i="2"/>
  <c r="U197" i="2"/>
  <c r="V197" i="2"/>
  <c r="W197" i="2"/>
  <c r="X197" i="2"/>
  <c r="Y197" i="2"/>
  <c r="B198" i="2"/>
  <c r="C198" i="2"/>
  <c r="D198" i="2"/>
  <c r="E198" i="2"/>
  <c r="F198" i="2"/>
  <c r="G198" i="2"/>
  <c r="H198" i="2"/>
  <c r="I198" i="2"/>
  <c r="J198" i="2"/>
  <c r="K198" i="2"/>
  <c r="L198" i="2"/>
  <c r="M198" i="2"/>
  <c r="N198" i="2"/>
  <c r="O198" i="2"/>
  <c r="P198" i="2"/>
  <c r="Q198" i="2"/>
  <c r="R198" i="2"/>
  <c r="S198" i="2"/>
  <c r="T198" i="2"/>
  <c r="U198" i="2"/>
  <c r="V198" i="2"/>
  <c r="W198" i="2"/>
  <c r="X198" i="2"/>
  <c r="Y198" i="2"/>
  <c r="B199" i="2"/>
  <c r="C199" i="2"/>
  <c r="D199" i="2"/>
  <c r="E199" i="2"/>
  <c r="F199" i="2"/>
  <c r="G199" i="2"/>
  <c r="H199" i="2"/>
  <c r="I199" i="2"/>
  <c r="J199" i="2"/>
  <c r="K199" i="2"/>
  <c r="L199" i="2"/>
  <c r="M199" i="2"/>
  <c r="N199" i="2"/>
  <c r="O199" i="2"/>
  <c r="P199" i="2"/>
  <c r="Q199" i="2"/>
  <c r="R199" i="2"/>
  <c r="S199" i="2"/>
  <c r="T199" i="2"/>
  <c r="U199" i="2"/>
  <c r="V199" i="2"/>
  <c r="W199" i="2"/>
  <c r="X199" i="2"/>
  <c r="Y199" i="2"/>
  <c r="B200" i="2"/>
  <c r="C200" i="2"/>
  <c r="D200" i="2"/>
  <c r="E200" i="2"/>
  <c r="F200" i="2"/>
  <c r="G200" i="2"/>
  <c r="H200" i="2"/>
  <c r="I200" i="2"/>
  <c r="J200" i="2"/>
  <c r="K200" i="2"/>
  <c r="L200" i="2"/>
  <c r="M200" i="2"/>
  <c r="N200" i="2"/>
  <c r="O200" i="2"/>
  <c r="P200" i="2"/>
  <c r="Q200" i="2"/>
  <c r="R200" i="2"/>
  <c r="S200" i="2"/>
  <c r="T200" i="2"/>
  <c r="U200" i="2"/>
  <c r="V200" i="2"/>
  <c r="W200" i="2"/>
  <c r="X200" i="2"/>
  <c r="Y200" i="2"/>
  <c r="B201" i="2"/>
  <c r="C201" i="2"/>
  <c r="D201" i="2"/>
  <c r="E201" i="2"/>
  <c r="F201" i="2"/>
  <c r="G201" i="2"/>
  <c r="H201" i="2"/>
  <c r="I201" i="2"/>
  <c r="J201" i="2"/>
  <c r="K201" i="2"/>
  <c r="L201" i="2"/>
  <c r="M201" i="2"/>
  <c r="N201" i="2"/>
  <c r="O201" i="2"/>
  <c r="P201" i="2"/>
  <c r="Q201" i="2"/>
  <c r="R201" i="2"/>
  <c r="S201" i="2"/>
  <c r="T201" i="2"/>
  <c r="U201" i="2"/>
  <c r="V201" i="2"/>
  <c r="W201" i="2"/>
  <c r="X201" i="2"/>
  <c r="Y201" i="2"/>
  <c r="B202" i="2"/>
  <c r="C202" i="2"/>
  <c r="D202" i="2"/>
  <c r="E202" i="2"/>
  <c r="F202" i="2"/>
  <c r="G202" i="2"/>
  <c r="H202" i="2"/>
  <c r="I202" i="2"/>
  <c r="J202" i="2"/>
  <c r="K202" i="2"/>
  <c r="L202" i="2"/>
  <c r="M202" i="2"/>
  <c r="N202" i="2"/>
  <c r="O202" i="2"/>
  <c r="P202" i="2"/>
  <c r="Q202" i="2"/>
  <c r="R202" i="2"/>
  <c r="S202" i="2"/>
  <c r="T202" i="2"/>
  <c r="U202" i="2"/>
  <c r="V202" i="2"/>
  <c r="W202" i="2"/>
  <c r="X202" i="2"/>
  <c r="Y202" i="2"/>
  <c r="B203" i="2"/>
  <c r="C203" i="2"/>
  <c r="D203" i="2"/>
  <c r="E203" i="2"/>
  <c r="F203" i="2"/>
  <c r="G203" i="2"/>
  <c r="H203" i="2"/>
  <c r="I203" i="2"/>
  <c r="J203" i="2"/>
  <c r="K203" i="2"/>
  <c r="L203" i="2"/>
  <c r="M203" i="2"/>
  <c r="N203" i="2"/>
  <c r="O203" i="2"/>
  <c r="P203" i="2"/>
  <c r="Q203" i="2"/>
  <c r="R203" i="2"/>
  <c r="S203" i="2"/>
  <c r="T203" i="2"/>
  <c r="U203" i="2"/>
  <c r="V203" i="2"/>
  <c r="W203" i="2"/>
  <c r="X203" i="2"/>
  <c r="Y203" i="2"/>
  <c r="B204" i="2"/>
  <c r="C204" i="2"/>
  <c r="D204" i="2"/>
  <c r="E204" i="2"/>
  <c r="F204" i="2"/>
  <c r="G204" i="2"/>
  <c r="H204" i="2"/>
  <c r="I204" i="2"/>
  <c r="J204" i="2"/>
  <c r="K204" i="2"/>
  <c r="L204" i="2"/>
  <c r="M204" i="2"/>
  <c r="N204" i="2"/>
  <c r="O204" i="2"/>
  <c r="P204" i="2"/>
  <c r="Q204" i="2"/>
  <c r="R204" i="2"/>
  <c r="S204" i="2"/>
  <c r="T204" i="2"/>
  <c r="U204" i="2"/>
  <c r="V204" i="2"/>
  <c r="W204" i="2"/>
  <c r="X204" i="2"/>
  <c r="Y204" i="2"/>
  <c r="B205" i="2"/>
  <c r="C205" i="2"/>
  <c r="D205" i="2"/>
  <c r="E205" i="2"/>
  <c r="F205" i="2"/>
  <c r="G205" i="2"/>
  <c r="H205" i="2"/>
  <c r="I205" i="2"/>
  <c r="J205" i="2"/>
  <c r="K205" i="2"/>
  <c r="L205" i="2"/>
  <c r="M205" i="2"/>
  <c r="N205" i="2"/>
  <c r="O205" i="2"/>
  <c r="P205" i="2"/>
  <c r="Q205" i="2"/>
  <c r="R205" i="2"/>
  <c r="S205" i="2"/>
  <c r="T205" i="2"/>
  <c r="U205" i="2"/>
  <c r="V205" i="2"/>
  <c r="W205" i="2"/>
  <c r="X205" i="2"/>
  <c r="Y205" i="2"/>
  <c r="B206" i="2"/>
  <c r="C206" i="2"/>
  <c r="D206" i="2"/>
  <c r="E206" i="2"/>
  <c r="F206" i="2"/>
  <c r="G206" i="2"/>
  <c r="H206" i="2"/>
  <c r="I206" i="2"/>
  <c r="J206" i="2"/>
  <c r="K206" i="2"/>
  <c r="L206" i="2"/>
  <c r="M206" i="2"/>
  <c r="N206" i="2"/>
  <c r="O206" i="2"/>
  <c r="P206" i="2"/>
  <c r="Q206" i="2"/>
  <c r="R206" i="2"/>
  <c r="S206" i="2"/>
  <c r="T206" i="2"/>
  <c r="U206" i="2"/>
  <c r="V206" i="2"/>
  <c r="W206" i="2"/>
  <c r="X206" i="2"/>
  <c r="Y206" i="2"/>
  <c r="B207" i="2"/>
  <c r="C207" i="2"/>
  <c r="D207" i="2"/>
  <c r="E207" i="2"/>
  <c r="F207" i="2"/>
  <c r="G207" i="2"/>
  <c r="H207" i="2"/>
  <c r="I207" i="2"/>
  <c r="J207" i="2"/>
  <c r="K207" i="2"/>
  <c r="L207" i="2"/>
  <c r="M207" i="2"/>
  <c r="N207" i="2"/>
  <c r="O207" i="2"/>
  <c r="P207" i="2"/>
  <c r="Q207" i="2"/>
  <c r="R207" i="2"/>
  <c r="S207" i="2"/>
  <c r="T207" i="2"/>
  <c r="U207" i="2"/>
  <c r="V207" i="2"/>
  <c r="W207" i="2"/>
  <c r="X207" i="2"/>
  <c r="Y207" i="2"/>
  <c r="B208" i="2"/>
  <c r="C208" i="2"/>
  <c r="D208" i="2"/>
  <c r="E208" i="2"/>
  <c r="F208" i="2"/>
  <c r="G208" i="2"/>
  <c r="H208" i="2"/>
  <c r="I208" i="2"/>
  <c r="J208" i="2"/>
  <c r="K208" i="2"/>
  <c r="L208" i="2"/>
  <c r="M208" i="2"/>
  <c r="N208" i="2"/>
  <c r="O208" i="2"/>
  <c r="P208" i="2"/>
  <c r="Q208" i="2"/>
  <c r="R208" i="2"/>
  <c r="S208" i="2"/>
  <c r="T208" i="2"/>
  <c r="U208" i="2"/>
  <c r="V208" i="2"/>
  <c r="W208" i="2"/>
  <c r="X208" i="2"/>
  <c r="Y208" i="2"/>
  <c r="B209" i="2"/>
  <c r="C209" i="2"/>
  <c r="D209" i="2"/>
  <c r="E209" i="2"/>
  <c r="F209" i="2"/>
  <c r="G209" i="2"/>
  <c r="H209" i="2"/>
  <c r="I209" i="2"/>
  <c r="J209" i="2"/>
  <c r="K209" i="2"/>
  <c r="L209" i="2"/>
  <c r="M209" i="2"/>
  <c r="N209" i="2"/>
  <c r="O209" i="2"/>
  <c r="P209" i="2"/>
  <c r="Q209" i="2"/>
  <c r="R209" i="2"/>
  <c r="S209" i="2"/>
  <c r="T209" i="2"/>
  <c r="U209" i="2"/>
  <c r="V209" i="2"/>
  <c r="W209" i="2"/>
  <c r="X209" i="2"/>
  <c r="Y209" i="2"/>
  <c r="B210" i="2"/>
  <c r="C210" i="2"/>
  <c r="D210" i="2"/>
  <c r="E210" i="2"/>
  <c r="F210" i="2"/>
  <c r="G210" i="2"/>
  <c r="H210" i="2"/>
  <c r="I210" i="2"/>
  <c r="J210" i="2"/>
  <c r="K210" i="2"/>
  <c r="L210" i="2"/>
  <c r="M210" i="2"/>
  <c r="N210" i="2"/>
  <c r="O210" i="2"/>
  <c r="P210" i="2"/>
  <c r="Q210" i="2"/>
  <c r="R210" i="2"/>
  <c r="S210" i="2"/>
  <c r="T210" i="2"/>
  <c r="U210" i="2"/>
  <c r="V210" i="2"/>
  <c r="W210" i="2"/>
  <c r="X210" i="2"/>
  <c r="Y210" i="2"/>
  <c r="B211" i="2"/>
  <c r="C211" i="2"/>
  <c r="D211" i="2"/>
  <c r="E211" i="2"/>
  <c r="F211" i="2"/>
  <c r="G211" i="2"/>
  <c r="H211" i="2"/>
  <c r="I211" i="2"/>
  <c r="J211" i="2"/>
  <c r="K211" i="2"/>
  <c r="L211" i="2"/>
  <c r="M211" i="2"/>
  <c r="N211" i="2"/>
  <c r="O211" i="2"/>
  <c r="P211" i="2"/>
  <c r="Q211" i="2"/>
  <c r="R211" i="2"/>
  <c r="S211" i="2"/>
  <c r="T211" i="2"/>
  <c r="U211" i="2"/>
  <c r="V211" i="2"/>
  <c r="W211" i="2"/>
  <c r="X211" i="2"/>
  <c r="Y211" i="2"/>
  <c r="B212" i="2"/>
  <c r="C212" i="2"/>
  <c r="D212" i="2"/>
  <c r="E212" i="2"/>
  <c r="F212" i="2"/>
  <c r="G212" i="2"/>
  <c r="H212" i="2"/>
  <c r="I212" i="2"/>
  <c r="J212" i="2"/>
  <c r="K212" i="2"/>
  <c r="L212" i="2"/>
  <c r="M212" i="2"/>
  <c r="N212" i="2"/>
  <c r="O212" i="2"/>
  <c r="P212" i="2"/>
  <c r="Q212" i="2"/>
  <c r="R212" i="2"/>
  <c r="S212" i="2"/>
  <c r="T212" i="2"/>
  <c r="U212" i="2"/>
  <c r="V212" i="2"/>
  <c r="W212" i="2"/>
  <c r="X212" i="2"/>
  <c r="Y212" i="2"/>
  <c r="B213" i="2"/>
  <c r="C213" i="2"/>
  <c r="D213" i="2"/>
  <c r="E213" i="2"/>
  <c r="F213" i="2"/>
  <c r="G213" i="2"/>
  <c r="H213" i="2"/>
  <c r="I213" i="2"/>
  <c r="J213" i="2"/>
  <c r="K213" i="2"/>
  <c r="L213" i="2"/>
  <c r="M213" i="2"/>
  <c r="N213" i="2"/>
  <c r="O213" i="2"/>
  <c r="P213" i="2"/>
  <c r="Q213" i="2"/>
  <c r="R213" i="2"/>
  <c r="S213" i="2"/>
  <c r="T213" i="2"/>
  <c r="U213" i="2"/>
  <c r="V213" i="2"/>
  <c r="W213" i="2"/>
  <c r="X213" i="2"/>
  <c r="Y213" i="2"/>
  <c r="B214" i="2"/>
  <c r="C214" i="2"/>
  <c r="D214" i="2"/>
  <c r="E214" i="2"/>
  <c r="F214" i="2"/>
  <c r="G214" i="2"/>
  <c r="H214" i="2"/>
  <c r="I214" i="2"/>
  <c r="J214" i="2"/>
  <c r="K214" i="2"/>
  <c r="L214" i="2"/>
  <c r="M214" i="2"/>
  <c r="N214" i="2"/>
  <c r="O214" i="2"/>
  <c r="P214" i="2"/>
  <c r="Q214" i="2"/>
  <c r="R214" i="2"/>
  <c r="S214" i="2"/>
  <c r="T214" i="2"/>
  <c r="U214" i="2"/>
  <c r="V214" i="2"/>
  <c r="W214" i="2"/>
  <c r="X214" i="2"/>
  <c r="Y214" i="2"/>
  <c r="B215" i="2"/>
  <c r="C215" i="2"/>
  <c r="D215" i="2"/>
  <c r="E215" i="2"/>
  <c r="F215" i="2"/>
  <c r="G215" i="2"/>
  <c r="H215" i="2"/>
  <c r="I215" i="2"/>
  <c r="J215" i="2"/>
  <c r="K215" i="2"/>
  <c r="L215" i="2"/>
  <c r="M215" i="2"/>
  <c r="N215" i="2"/>
  <c r="O215" i="2"/>
  <c r="P215" i="2"/>
  <c r="Q215" i="2"/>
  <c r="R215" i="2"/>
  <c r="S215" i="2"/>
  <c r="T215" i="2"/>
  <c r="U215" i="2"/>
  <c r="V215" i="2"/>
  <c r="W215" i="2"/>
  <c r="X215" i="2"/>
  <c r="Y215" i="2"/>
  <c r="B216" i="2"/>
  <c r="C216" i="2"/>
  <c r="D216" i="2"/>
  <c r="E216" i="2"/>
  <c r="F216" i="2"/>
  <c r="G216" i="2"/>
  <c r="H216" i="2"/>
  <c r="I216" i="2"/>
  <c r="J216" i="2"/>
  <c r="K216" i="2"/>
  <c r="L216" i="2"/>
  <c r="M216" i="2"/>
  <c r="N216" i="2"/>
  <c r="O216" i="2"/>
  <c r="P216" i="2"/>
  <c r="Q216" i="2"/>
  <c r="R216" i="2"/>
  <c r="S216" i="2"/>
  <c r="T216" i="2"/>
  <c r="U216" i="2"/>
  <c r="V216" i="2"/>
  <c r="W216" i="2"/>
  <c r="X216" i="2"/>
  <c r="Y216" i="2"/>
  <c r="B217" i="2"/>
  <c r="C217" i="2"/>
  <c r="D217" i="2"/>
  <c r="E217" i="2"/>
  <c r="F217" i="2"/>
  <c r="G217" i="2"/>
  <c r="H217" i="2"/>
  <c r="I217" i="2"/>
  <c r="J217" i="2"/>
  <c r="K217" i="2"/>
  <c r="L217" i="2"/>
  <c r="M217" i="2"/>
  <c r="N217" i="2"/>
  <c r="O217" i="2"/>
  <c r="P217" i="2"/>
  <c r="Q217" i="2"/>
  <c r="R217" i="2"/>
  <c r="S217" i="2"/>
  <c r="T217" i="2"/>
  <c r="U217" i="2"/>
  <c r="V217" i="2"/>
  <c r="W217" i="2"/>
  <c r="X217" i="2"/>
  <c r="Y217" i="2"/>
  <c r="B218" i="2"/>
  <c r="C218" i="2"/>
  <c r="D218" i="2"/>
  <c r="E218" i="2"/>
  <c r="F218" i="2"/>
  <c r="G218" i="2"/>
  <c r="H218" i="2"/>
  <c r="I218" i="2"/>
  <c r="J218" i="2"/>
  <c r="K218" i="2"/>
  <c r="L218" i="2"/>
  <c r="M218" i="2"/>
  <c r="N218" i="2"/>
  <c r="O218" i="2"/>
  <c r="P218" i="2"/>
  <c r="Q218" i="2"/>
  <c r="R218" i="2"/>
  <c r="S218" i="2"/>
  <c r="T218" i="2"/>
  <c r="U218" i="2"/>
  <c r="V218" i="2"/>
  <c r="W218" i="2"/>
  <c r="X218" i="2"/>
  <c r="Y218" i="2"/>
  <c r="B219" i="2"/>
  <c r="C219" i="2"/>
  <c r="D219" i="2"/>
  <c r="E219" i="2"/>
  <c r="F219" i="2"/>
  <c r="G219" i="2"/>
  <c r="H219" i="2"/>
  <c r="I219" i="2"/>
  <c r="J219" i="2"/>
  <c r="K219" i="2"/>
  <c r="L219" i="2"/>
  <c r="M219" i="2"/>
  <c r="N219" i="2"/>
  <c r="O219" i="2"/>
  <c r="P219" i="2"/>
  <c r="Q219" i="2"/>
  <c r="R219" i="2"/>
  <c r="S219" i="2"/>
  <c r="T219" i="2"/>
  <c r="U219" i="2"/>
  <c r="V219" i="2"/>
  <c r="W219" i="2"/>
  <c r="X219" i="2"/>
  <c r="Y219" i="2"/>
  <c r="B220" i="2"/>
  <c r="C220" i="2"/>
  <c r="D220" i="2"/>
  <c r="E220" i="2"/>
  <c r="F220" i="2"/>
  <c r="G220" i="2"/>
  <c r="H220" i="2"/>
  <c r="I220" i="2"/>
  <c r="J220" i="2"/>
  <c r="K220" i="2"/>
  <c r="L220" i="2"/>
  <c r="M220" i="2"/>
  <c r="N220" i="2"/>
  <c r="O220" i="2"/>
  <c r="P220" i="2"/>
  <c r="Q220" i="2"/>
  <c r="R220" i="2"/>
  <c r="S220" i="2"/>
  <c r="T220" i="2"/>
  <c r="U220" i="2"/>
  <c r="V220" i="2"/>
  <c r="W220" i="2"/>
  <c r="X220" i="2"/>
  <c r="Y220" i="2"/>
  <c r="B221" i="2"/>
  <c r="C221" i="2"/>
  <c r="D221" i="2"/>
  <c r="E221" i="2"/>
  <c r="F221" i="2"/>
  <c r="G221" i="2"/>
  <c r="H221" i="2"/>
  <c r="I221" i="2"/>
  <c r="J221" i="2"/>
  <c r="K221" i="2"/>
  <c r="L221" i="2"/>
  <c r="M221" i="2"/>
  <c r="N221" i="2"/>
  <c r="O221" i="2"/>
  <c r="P221" i="2"/>
  <c r="Q221" i="2"/>
  <c r="R221" i="2"/>
  <c r="S221" i="2"/>
  <c r="T221" i="2"/>
  <c r="U221" i="2"/>
  <c r="V221" i="2"/>
  <c r="W221" i="2"/>
  <c r="X221" i="2"/>
  <c r="Y221" i="2"/>
  <c r="B222" i="2"/>
  <c r="C222" i="2"/>
  <c r="D222" i="2"/>
  <c r="E222" i="2"/>
  <c r="F222" i="2"/>
  <c r="G222" i="2"/>
  <c r="H222" i="2"/>
  <c r="I222" i="2"/>
  <c r="J222" i="2"/>
  <c r="K222" i="2"/>
  <c r="L222" i="2"/>
  <c r="M222" i="2"/>
  <c r="N222" i="2"/>
  <c r="O222" i="2"/>
  <c r="P222" i="2"/>
  <c r="Q222" i="2"/>
  <c r="R222" i="2"/>
  <c r="S222" i="2"/>
  <c r="T222" i="2"/>
  <c r="U222" i="2"/>
  <c r="V222" i="2"/>
  <c r="W222" i="2"/>
  <c r="X222" i="2"/>
  <c r="Y222" i="2"/>
  <c r="B223" i="2"/>
  <c r="C223" i="2"/>
  <c r="D223" i="2"/>
  <c r="E223" i="2"/>
  <c r="F223" i="2"/>
  <c r="G223" i="2"/>
  <c r="H223" i="2"/>
  <c r="I223" i="2"/>
  <c r="J223" i="2"/>
  <c r="K223" i="2"/>
  <c r="L223" i="2"/>
  <c r="M223" i="2"/>
  <c r="N223" i="2"/>
  <c r="O223" i="2"/>
  <c r="P223" i="2"/>
  <c r="Q223" i="2"/>
  <c r="R223" i="2"/>
  <c r="S223" i="2"/>
  <c r="T223" i="2"/>
  <c r="U223" i="2"/>
  <c r="V223" i="2"/>
  <c r="W223" i="2"/>
  <c r="X223" i="2"/>
  <c r="Y223" i="2"/>
  <c r="B224" i="2"/>
  <c r="C224" i="2"/>
  <c r="D224" i="2"/>
  <c r="E224" i="2"/>
  <c r="F224" i="2"/>
  <c r="G224" i="2"/>
  <c r="H224" i="2"/>
  <c r="I224" i="2"/>
  <c r="J224" i="2"/>
  <c r="K224" i="2"/>
  <c r="L224" i="2"/>
  <c r="M224" i="2"/>
  <c r="N224" i="2"/>
  <c r="O224" i="2"/>
  <c r="P224" i="2"/>
  <c r="Q224" i="2"/>
  <c r="R224" i="2"/>
  <c r="S224" i="2"/>
  <c r="T224" i="2"/>
  <c r="U224" i="2"/>
  <c r="V224" i="2"/>
  <c r="W224" i="2"/>
  <c r="X224" i="2"/>
  <c r="Y224" i="2"/>
  <c r="B225" i="2"/>
  <c r="C225" i="2"/>
  <c r="D225" i="2"/>
  <c r="E225" i="2"/>
  <c r="F225" i="2"/>
  <c r="G225" i="2"/>
  <c r="H225" i="2"/>
  <c r="I225" i="2"/>
  <c r="J225" i="2"/>
  <c r="K225" i="2"/>
  <c r="L225" i="2"/>
  <c r="M225" i="2"/>
  <c r="N225" i="2"/>
  <c r="O225" i="2"/>
  <c r="P225" i="2"/>
  <c r="Q225" i="2"/>
  <c r="R225" i="2"/>
  <c r="S225" i="2"/>
  <c r="T225" i="2"/>
  <c r="U225" i="2"/>
  <c r="V225" i="2"/>
  <c r="W225" i="2"/>
  <c r="X225" i="2"/>
  <c r="Y225" i="2"/>
  <c r="B226" i="2"/>
  <c r="C226" i="2"/>
  <c r="D226" i="2"/>
  <c r="E226" i="2"/>
  <c r="F226" i="2"/>
  <c r="G226" i="2"/>
  <c r="H226" i="2"/>
  <c r="I226" i="2"/>
  <c r="J226" i="2"/>
  <c r="K226" i="2"/>
  <c r="L226" i="2"/>
  <c r="M226" i="2"/>
  <c r="N226" i="2"/>
  <c r="O226" i="2"/>
  <c r="P226" i="2"/>
  <c r="Q226" i="2"/>
  <c r="R226" i="2"/>
  <c r="S226" i="2"/>
  <c r="T226" i="2"/>
  <c r="U226" i="2"/>
  <c r="V226" i="2"/>
  <c r="W226" i="2"/>
  <c r="X226" i="2"/>
  <c r="Y226" i="2"/>
  <c r="B227" i="2"/>
  <c r="C227" i="2"/>
  <c r="D227" i="2"/>
  <c r="E227" i="2"/>
  <c r="F227" i="2"/>
  <c r="G227" i="2"/>
  <c r="H227" i="2"/>
  <c r="I227" i="2"/>
  <c r="J227" i="2"/>
  <c r="K227" i="2"/>
  <c r="L227" i="2"/>
  <c r="M227" i="2"/>
  <c r="N227" i="2"/>
  <c r="O227" i="2"/>
  <c r="P227" i="2"/>
  <c r="Q227" i="2"/>
  <c r="R227" i="2"/>
  <c r="S227" i="2"/>
  <c r="T227" i="2"/>
  <c r="U227" i="2"/>
  <c r="V227" i="2"/>
  <c r="W227" i="2"/>
  <c r="X227" i="2"/>
  <c r="Y227" i="2"/>
  <c r="B228" i="2"/>
  <c r="C228" i="2"/>
  <c r="D228" i="2"/>
  <c r="E228" i="2"/>
  <c r="F228" i="2"/>
  <c r="G228" i="2"/>
  <c r="H228" i="2"/>
  <c r="I228" i="2"/>
  <c r="J228" i="2"/>
  <c r="K228" i="2"/>
  <c r="L228" i="2"/>
  <c r="M228" i="2"/>
  <c r="N228" i="2"/>
  <c r="O228" i="2"/>
  <c r="P228" i="2"/>
  <c r="Q228" i="2"/>
  <c r="R228" i="2"/>
  <c r="S228" i="2"/>
  <c r="T228" i="2"/>
  <c r="U228" i="2"/>
  <c r="V228" i="2"/>
  <c r="W228" i="2"/>
  <c r="X228" i="2"/>
  <c r="Y228" i="2"/>
  <c r="B229" i="2"/>
  <c r="C229" i="2"/>
  <c r="D229" i="2"/>
  <c r="E229" i="2"/>
  <c r="F229" i="2"/>
  <c r="G229" i="2"/>
  <c r="H229" i="2"/>
  <c r="I229" i="2"/>
  <c r="J229" i="2"/>
  <c r="K229" i="2"/>
  <c r="L229" i="2"/>
  <c r="M229" i="2"/>
  <c r="N229" i="2"/>
  <c r="O229" i="2"/>
  <c r="P229" i="2"/>
  <c r="Q229" i="2"/>
  <c r="R229" i="2"/>
  <c r="S229" i="2"/>
  <c r="T229" i="2"/>
  <c r="U229" i="2"/>
  <c r="V229" i="2"/>
  <c r="W229" i="2"/>
  <c r="X229" i="2"/>
  <c r="Y229" i="2"/>
  <c r="B230" i="2"/>
  <c r="C230" i="2"/>
  <c r="D230" i="2"/>
  <c r="E230" i="2"/>
  <c r="F230" i="2"/>
  <c r="G230" i="2"/>
  <c r="H230" i="2"/>
  <c r="I230" i="2"/>
  <c r="J230" i="2"/>
  <c r="K230" i="2"/>
  <c r="L230" i="2"/>
  <c r="M230" i="2"/>
  <c r="N230" i="2"/>
  <c r="O230" i="2"/>
  <c r="P230" i="2"/>
  <c r="Q230" i="2"/>
  <c r="R230" i="2"/>
  <c r="S230" i="2"/>
  <c r="T230" i="2"/>
  <c r="U230" i="2"/>
  <c r="V230" i="2"/>
  <c r="W230" i="2"/>
  <c r="X230" i="2"/>
  <c r="Y230" i="2"/>
  <c r="B231" i="2"/>
  <c r="C231" i="2"/>
  <c r="D231" i="2"/>
  <c r="E231" i="2"/>
  <c r="F231" i="2"/>
  <c r="G231" i="2"/>
  <c r="H231" i="2"/>
  <c r="I231" i="2"/>
  <c r="J231" i="2"/>
  <c r="K231" i="2"/>
  <c r="L231" i="2"/>
  <c r="M231" i="2"/>
  <c r="N231" i="2"/>
  <c r="O231" i="2"/>
  <c r="P231" i="2"/>
  <c r="Q231" i="2"/>
  <c r="R231" i="2"/>
  <c r="S231" i="2"/>
  <c r="T231" i="2"/>
  <c r="U231" i="2"/>
  <c r="V231" i="2"/>
  <c r="W231" i="2"/>
  <c r="X231" i="2"/>
  <c r="Y231" i="2"/>
  <c r="B232" i="2"/>
  <c r="C232" i="2"/>
  <c r="D232" i="2"/>
  <c r="E232" i="2"/>
  <c r="F232" i="2"/>
  <c r="G232" i="2"/>
  <c r="H232" i="2"/>
  <c r="I232" i="2"/>
  <c r="J232" i="2"/>
  <c r="K232" i="2"/>
  <c r="L232" i="2"/>
  <c r="M232" i="2"/>
  <c r="N232" i="2"/>
  <c r="O232" i="2"/>
  <c r="P232" i="2"/>
  <c r="Q232" i="2"/>
  <c r="R232" i="2"/>
  <c r="S232" i="2"/>
  <c r="T232" i="2"/>
  <c r="U232" i="2"/>
  <c r="V232" i="2"/>
  <c r="W232" i="2"/>
  <c r="X232" i="2"/>
  <c r="Y232" i="2"/>
  <c r="B233" i="2"/>
  <c r="C233" i="2"/>
  <c r="D233" i="2"/>
  <c r="E233" i="2"/>
  <c r="F233" i="2"/>
  <c r="G233" i="2"/>
  <c r="H233" i="2"/>
  <c r="I233" i="2"/>
  <c r="J233" i="2"/>
  <c r="K233" i="2"/>
  <c r="L233" i="2"/>
  <c r="M233" i="2"/>
  <c r="N233" i="2"/>
  <c r="O233" i="2"/>
  <c r="P233" i="2"/>
  <c r="Q233" i="2"/>
  <c r="R233" i="2"/>
  <c r="S233" i="2"/>
  <c r="T233" i="2"/>
  <c r="U233" i="2"/>
  <c r="V233" i="2"/>
  <c r="W233" i="2"/>
  <c r="X233" i="2"/>
  <c r="Y233" i="2"/>
  <c r="B234" i="2"/>
  <c r="C234" i="2"/>
  <c r="D234" i="2"/>
  <c r="E234" i="2"/>
  <c r="F234" i="2"/>
  <c r="G234" i="2"/>
  <c r="H234" i="2"/>
  <c r="I234" i="2"/>
  <c r="J234" i="2"/>
  <c r="K234" i="2"/>
  <c r="L234" i="2"/>
  <c r="M234" i="2"/>
  <c r="N234" i="2"/>
  <c r="O234" i="2"/>
  <c r="P234" i="2"/>
  <c r="Q234" i="2"/>
  <c r="R234" i="2"/>
  <c r="S234" i="2"/>
  <c r="T234" i="2"/>
  <c r="U234" i="2"/>
  <c r="V234" i="2"/>
  <c r="W234" i="2"/>
  <c r="X234" i="2"/>
  <c r="Y234" i="2"/>
  <c r="B235" i="2"/>
  <c r="C235" i="2"/>
  <c r="D235" i="2"/>
  <c r="E235" i="2"/>
  <c r="F235" i="2"/>
  <c r="G235" i="2"/>
  <c r="H235" i="2"/>
  <c r="I235" i="2"/>
  <c r="J235" i="2"/>
  <c r="K235" i="2"/>
  <c r="L235" i="2"/>
  <c r="M235" i="2"/>
  <c r="N235" i="2"/>
  <c r="O235" i="2"/>
  <c r="P235" i="2"/>
  <c r="Q235" i="2"/>
  <c r="R235" i="2"/>
  <c r="S235" i="2"/>
  <c r="T235" i="2"/>
  <c r="U235" i="2"/>
  <c r="V235" i="2"/>
  <c r="W235" i="2"/>
  <c r="X235" i="2"/>
  <c r="Y235" i="2"/>
  <c r="B236" i="2"/>
  <c r="C236" i="2"/>
  <c r="D236" i="2"/>
  <c r="E236" i="2"/>
  <c r="F236" i="2"/>
  <c r="G236" i="2"/>
  <c r="H236" i="2"/>
  <c r="I236" i="2"/>
  <c r="J236" i="2"/>
  <c r="K236" i="2"/>
  <c r="L236" i="2"/>
  <c r="M236" i="2"/>
  <c r="N236" i="2"/>
  <c r="O236" i="2"/>
  <c r="P236" i="2"/>
  <c r="Q236" i="2"/>
  <c r="R236" i="2"/>
  <c r="S236" i="2"/>
  <c r="T236" i="2"/>
  <c r="U236" i="2"/>
  <c r="V236" i="2"/>
  <c r="W236" i="2"/>
  <c r="X236" i="2"/>
  <c r="Y236" i="2"/>
  <c r="B237" i="2"/>
  <c r="C237" i="2"/>
  <c r="D237" i="2"/>
  <c r="E237" i="2"/>
  <c r="F237" i="2"/>
  <c r="G237" i="2"/>
  <c r="H237" i="2"/>
  <c r="I237" i="2"/>
  <c r="J237" i="2"/>
  <c r="K237" i="2"/>
  <c r="L237" i="2"/>
  <c r="M237" i="2"/>
  <c r="N237" i="2"/>
  <c r="O237" i="2"/>
  <c r="P237" i="2"/>
  <c r="Q237" i="2"/>
  <c r="R237" i="2"/>
  <c r="S237" i="2"/>
  <c r="T237" i="2"/>
  <c r="U237" i="2"/>
  <c r="V237" i="2"/>
  <c r="W237" i="2"/>
  <c r="X237" i="2"/>
  <c r="Y237" i="2"/>
  <c r="B238" i="2"/>
  <c r="C238" i="2"/>
  <c r="D238" i="2"/>
  <c r="E238" i="2"/>
  <c r="F238" i="2"/>
  <c r="G238" i="2"/>
  <c r="H238" i="2"/>
  <c r="I238" i="2"/>
  <c r="J238" i="2"/>
  <c r="K238" i="2"/>
  <c r="L238" i="2"/>
  <c r="M238" i="2"/>
  <c r="N238" i="2"/>
  <c r="O238" i="2"/>
  <c r="P238" i="2"/>
  <c r="Q238" i="2"/>
  <c r="R238" i="2"/>
  <c r="S238" i="2"/>
  <c r="T238" i="2"/>
  <c r="U238" i="2"/>
  <c r="V238" i="2"/>
  <c r="W238" i="2"/>
  <c r="X238" i="2"/>
  <c r="Y238" i="2"/>
  <c r="B239" i="2"/>
  <c r="C239" i="2"/>
  <c r="D239" i="2"/>
  <c r="E239" i="2"/>
  <c r="F239" i="2"/>
  <c r="G239" i="2"/>
  <c r="H239" i="2"/>
  <c r="I239" i="2"/>
  <c r="J239" i="2"/>
  <c r="K239" i="2"/>
  <c r="L239" i="2"/>
  <c r="M239" i="2"/>
  <c r="N239" i="2"/>
  <c r="O239" i="2"/>
  <c r="P239" i="2"/>
  <c r="Q239" i="2"/>
  <c r="R239" i="2"/>
  <c r="S239" i="2"/>
  <c r="T239" i="2"/>
  <c r="U239" i="2"/>
  <c r="V239" i="2"/>
  <c r="W239" i="2"/>
  <c r="X239" i="2"/>
  <c r="Y239" i="2"/>
  <c r="B240" i="2"/>
  <c r="C240" i="2"/>
  <c r="D240" i="2"/>
  <c r="E240" i="2"/>
  <c r="F240" i="2"/>
  <c r="G240" i="2"/>
  <c r="H240" i="2"/>
  <c r="I240" i="2"/>
  <c r="J240" i="2"/>
  <c r="K240" i="2"/>
  <c r="L240" i="2"/>
  <c r="M240" i="2"/>
  <c r="N240" i="2"/>
  <c r="O240" i="2"/>
  <c r="P240" i="2"/>
  <c r="Q240" i="2"/>
  <c r="R240" i="2"/>
  <c r="S240" i="2"/>
  <c r="T240" i="2"/>
  <c r="U240" i="2"/>
  <c r="V240" i="2"/>
  <c r="W240" i="2"/>
  <c r="X240" i="2"/>
  <c r="Y240" i="2"/>
  <c r="B241" i="2"/>
  <c r="C241" i="2"/>
  <c r="D241" i="2"/>
  <c r="E241" i="2"/>
  <c r="F241" i="2"/>
  <c r="G241" i="2"/>
  <c r="H241" i="2"/>
  <c r="I241" i="2"/>
  <c r="J241" i="2"/>
  <c r="K241" i="2"/>
  <c r="L241" i="2"/>
  <c r="M241" i="2"/>
  <c r="N241" i="2"/>
  <c r="O241" i="2"/>
  <c r="P241" i="2"/>
  <c r="Q241" i="2"/>
  <c r="R241" i="2"/>
  <c r="S241" i="2"/>
  <c r="T241" i="2"/>
  <c r="U241" i="2"/>
  <c r="V241" i="2"/>
  <c r="W241" i="2"/>
  <c r="X241" i="2"/>
  <c r="Y241" i="2"/>
  <c r="B242" i="2"/>
  <c r="C242" i="2"/>
  <c r="D242" i="2"/>
  <c r="E242" i="2"/>
  <c r="F242" i="2"/>
  <c r="G242" i="2"/>
  <c r="H242" i="2"/>
  <c r="I242" i="2"/>
  <c r="J242" i="2"/>
  <c r="K242" i="2"/>
  <c r="L242" i="2"/>
  <c r="M242" i="2"/>
  <c r="N242" i="2"/>
  <c r="O242" i="2"/>
  <c r="P242" i="2"/>
  <c r="Q242" i="2"/>
  <c r="R242" i="2"/>
  <c r="S242" i="2"/>
  <c r="T242" i="2"/>
  <c r="U242" i="2"/>
  <c r="V242" i="2"/>
  <c r="W242" i="2"/>
  <c r="X242" i="2"/>
  <c r="Y242" i="2"/>
  <c r="B243" i="2"/>
  <c r="C243" i="2"/>
  <c r="D243" i="2"/>
  <c r="E243" i="2"/>
  <c r="F243" i="2"/>
  <c r="G243" i="2"/>
  <c r="H243" i="2"/>
  <c r="I243" i="2"/>
  <c r="J243" i="2"/>
  <c r="K243" i="2"/>
  <c r="L243" i="2"/>
  <c r="M243" i="2"/>
  <c r="N243" i="2"/>
  <c r="O243" i="2"/>
  <c r="P243" i="2"/>
  <c r="Q243" i="2"/>
  <c r="R243" i="2"/>
  <c r="S243" i="2"/>
  <c r="T243" i="2"/>
  <c r="U243" i="2"/>
  <c r="V243" i="2"/>
  <c r="W243" i="2"/>
  <c r="X243" i="2"/>
  <c r="Y243" i="2"/>
  <c r="B244" i="2"/>
  <c r="C244" i="2"/>
  <c r="D244" i="2"/>
  <c r="E244" i="2"/>
  <c r="F244" i="2"/>
  <c r="G244" i="2"/>
  <c r="H244" i="2"/>
  <c r="I244" i="2"/>
  <c r="J244" i="2"/>
  <c r="K244" i="2"/>
  <c r="L244" i="2"/>
  <c r="M244" i="2"/>
  <c r="N244" i="2"/>
  <c r="O244" i="2"/>
  <c r="P244" i="2"/>
  <c r="Q244" i="2"/>
  <c r="R244" i="2"/>
  <c r="S244" i="2"/>
  <c r="T244" i="2"/>
  <c r="U244" i="2"/>
  <c r="V244" i="2"/>
  <c r="W244" i="2"/>
  <c r="X244" i="2"/>
  <c r="Y244" i="2"/>
  <c r="B245" i="2"/>
  <c r="C245" i="2"/>
  <c r="D245" i="2"/>
  <c r="E245" i="2"/>
  <c r="F245" i="2"/>
  <c r="G245" i="2"/>
  <c r="H245" i="2"/>
  <c r="I245" i="2"/>
  <c r="J245" i="2"/>
  <c r="K245" i="2"/>
  <c r="L245" i="2"/>
  <c r="M245" i="2"/>
  <c r="N245" i="2"/>
  <c r="O245" i="2"/>
  <c r="P245" i="2"/>
  <c r="Q245" i="2"/>
  <c r="R245" i="2"/>
  <c r="S245" i="2"/>
  <c r="T245" i="2"/>
  <c r="U245" i="2"/>
  <c r="V245" i="2"/>
  <c r="W245" i="2"/>
  <c r="X245" i="2"/>
  <c r="Y245" i="2"/>
  <c r="B246" i="2"/>
  <c r="C246" i="2"/>
  <c r="D246" i="2"/>
  <c r="E246" i="2"/>
  <c r="F246" i="2"/>
  <c r="G246" i="2"/>
  <c r="H246" i="2"/>
  <c r="I246" i="2"/>
  <c r="J246" i="2"/>
  <c r="K246" i="2"/>
  <c r="L246" i="2"/>
  <c r="M246" i="2"/>
  <c r="N246" i="2"/>
  <c r="O246" i="2"/>
  <c r="P246" i="2"/>
  <c r="Q246" i="2"/>
  <c r="R246" i="2"/>
  <c r="S246" i="2"/>
  <c r="T246" i="2"/>
  <c r="U246" i="2"/>
  <c r="V246" i="2"/>
  <c r="W246" i="2"/>
  <c r="X246" i="2"/>
  <c r="Y246" i="2"/>
  <c r="B247" i="2"/>
  <c r="C247" i="2"/>
  <c r="D247" i="2"/>
  <c r="E247" i="2"/>
  <c r="F247" i="2"/>
  <c r="G247" i="2"/>
  <c r="H247" i="2"/>
  <c r="I247" i="2"/>
  <c r="J247" i="2"/>
  <c r="K247" i="2"/>
  <c r="L247" i="2"/>
  <c r="M247" i="2"/>
  <c r="N247" i="2"/>
  <c r="O247" i="2"/>
  <c r="P247" i="2"/>
  <c r="Q247" i="2"/>
  <c r="R247" i="2"/>
  <c r="S247" i="2"/>
  <c r="T247" i="2"/>
  <c r="U247" i="2"/>
  <c r="V247" i="2"/>
  <c r="W247" i="2"/>
  <c r="X247" i="2"/>
  <c r="Y247" i="2"/>
  <c r="B248" i="2"/>
  <c r="C248" i="2"/>
  <c r="D248" i="2"/>
  <c r="E248" i="2"/>
  <c r="F248" i="2"/>
  <c r="G248" i="2"/>
  <c r="H248" i="2"/>
  <c r="I248" i="2"/>
  <c r="J248" i="2"/>
  <c r="K248" i="2"/>
  <c r="L248" i="2"/>
  <c r="M248" i="2"/>
  <c r="N248" i="2"/>
  <c r="O248" i="2"/>
  <c r="P248" i="2"/>
  <c r="Q248" i="2"/>
  <c r="R248" i="2"/>
  <c r="S248" i="2"/>
  <c r="T248" i="2"/>
  <c r="U248" i="2"/>
  <c r="V248" i="2"/>
  <c r="W248" i="2"/>
  <c r="X248" i="2"/>
  <c r="Y248" i="2"/>
  <c r="B249" i="2"/>
  <c r="C249" i="2"/>
  <c r="D249" i="2"/>
  <c r="E249" i="2"/>
  <c r="F249" i="2"/>
  <c r="G249" i="2"/>
  <c r="H249" i="2"/>
  <c r="I249" i="2"/>
  <c r="J249" i="2"/>
  <c r="K249" i="2"/>
  <c r="L249" i="2"/>
  <c r="M249" i="2"/>
  <c r="N249" i="2"/>
  <c r="O249" i="2"/>
  <c r="P249" i="2"/>
  <c r="Q249" i="2"/>
  <c r="R249" i="2"/>
  <c r="S249" i="2"/>
  <c r="T249" i="2"/>
  <c r="U249" i="2"/>
  <c r="V249" i="2"/>
  <c r="W249" i="2"/>
  <c r="X249" i="2"/>
  <c r="Y249" i="2"/>
  <c r="B250" i="2"/>
  <c r="C250" i="2"/>
  <c r="D250" i="2"/>
  <c r="E250" i="2"/>
  <c r="F250" i="2"/>
  <c r="G250" i="2"/>
  <c r="H250" i="2"/>
  <c r="I250" i="2"/>
  <c r="J250" i="2"/>
  <c r="K250" i="2"/>
  <c r="L250" i="2"/>
  <c r="M250" i="2"/>
  <c r="N250" i="2"/>
  <c r="O250" i="2"/>
  <c r="P250" i="2"/>
  <c r="Q250" i="2"/>
  <c r="R250" i="2"/>
  <c r="S250" i="2"/>
  <c r="T250" i="2"/>
  <c r="U250" i="2"/>
  <c r="V250" i="2"/>
  <c r="W250" i="2"/>
  <c r="X250" i="2"/>
  <c r="Y250" i="2"/>
  <c r="B251" i="2"/>
  <c r="C251" i="2"/>
  <c r="D251" i="2"/>
  <c r="E251" i="2"/>
  <c r="F251" i="2"/>
  <c r="G251" i="2"/>
  <c r="H251" i="2"/>
  <c r="I251" i="2"/>
  <c r="J251" i="2"/>
  <c r="K251" i="2"/>
  <c r="L251" i="2"/>
  <c r="M251" i="2"/>
  <c r="N251" i="2"/>
  <c r="O251" i="2"/>
  <c r="P251" i="2"/>
  <c r="Q251" i="2"/>
  <c r="R251" i="2"/>
  <c r="S251" i="2"/>
  <c r="T251" i="2"/>
  <c r="U251" i="2"/>
  <c r="V251" i="2"/>
  <c r="W251" i="2"/>
  <c r="X251" i="2"/>
  <c r="Y251" i="2"/>
  <c r="B252" i="2"/>
  <c r="C252" i="2"/>
  <c r="D252" i="2"/>
  <c r="E252" i="2"/>
  <c r="F252" i="2"/>
  <c r="G252" i="2"/>
  <c r="H252" i="2"/>
  <c r="I252" i="2"/>
  <c r="J252" i="2"/>
  <c r="K252" i="2"/>
  <c r="L252" i="2"/>
  <c r="M252" i="2"/>
  <c r="N252" i="2"/>
  <c r="O252" i="2"/>
  <c r="P252" i="2"/>
  <c r="Q252" i="2"/>
  <c r="R252" i="2"/>
  <c r="S252" i="2"/>
  <c r="T252" i="2"/>
  <c r="U252" i="2"/>
  <c r="V252" i="2"/>
  <c r="W252" i="2"/>
  <c r="X252" i="2"/>
  <c r="Y252" i="2"/>
  <c r="B253" i="2"/>
  <c r="C253" i="2"/>
  <c r="D253" i="2"/>
  <c r="E253" i="2"/>
  <c r="F253" i="2"/>
  <c r="G253" i="2"/>
  <c r="H253" i="2"/>
  <c r="I253" i="2"/>
  <c r="J253" i="2"/>
  <c r="K253" i="2"/>
  <c r="L253" i="2"/>
  <c r="M253" i="2"/>
  <c r="N253" i="2"/>
  <c r="O253" i="2"/>
  <c r="P253" i="2"/>
  <c r="Q253" i="2"/>
  <c r="R253" i="2"/>
  <c r="S253" i="2"/>
  <c r="T253" i="2"/>
  <c r="U253" i="2"/>
  <c r="V253" i="2"/>
  <c r="W253" i="2"/>
  <c r="X253" i="2"/>
  <c r="Y253" i="2"/>
  <c r="B254" i="2"/>
  <c r="C254" i="2"/>
  <c r="D254" i="2"/>
  <c r="E254" i="2"/>
  <c r="F254" i="2"/>
  <c r="G254" i="2"/>
  <c r="H254" i="2"/>
  <c r="I254" i="2"/>
  <c r="J254" i="2"/>
  <c r="K254" i="2"/>
  <c r="L254" i="2"/>
  <c r="M254" i="2"/>
  <c r="N254" i="2"/>
  <c r="O254" i="2"/>
  <c r="P254" i="2"/>
  <c r="Q254" i="2"/>
  <c r="R254" i="2"/>
  <c r="S254" i="2"/>
  <c r="T254" i="2"/>
  <c r="U254" i="2"/>
  <c r="V254" i="2"/>
  <c r="W254" i="2"/>
  <c r="X254" i="2"/>
  <c r="Y254" i="2"/>
  <c r="B255" i="2"/>
  <c r="C255" i="2"/>
  <c r="D255" i="2"/>
  <c r="E255" i="2"/>
  <c r="F255" i="2"/>
  <c r="G255" i="2"/>
  <c r="H255" i="2"/>
  <c r="I255" i="2"/>
  <c r="J255" i="2"/>
  <c r="K255" i="2"/>
  <c r="L255" i="2"/>
  <c r="M255" i="2"/>
  <c r="N255" i="2"/>
  <c r="O255" i="2"/>
  <c r="P255" i="2"/>
  <c r="Q255" i="2"/>
  <c r="R255" i="2"/>
  <c r="S255" i="2"/>
  <c r="T255" i="2"/>
  <c r="U255" i="2"/>
  <c r="V255" i="2"/>
  <c r="W255" i="2"/>
  <c r="X255" i="2"/>
  <c r="Y255" i="2"/>
  <c r="B256" i="2"/>
  <c r="C256" i="2"/>
  <c r="D256" i="2"/>
  <c r="E256" i="2"/>
  <c r="F256" i="2"/>
  <c r="G256" i="2"/>
  <c r="H256" i="2"/>
  <c r="I256" i="2"/>
  <c r="J256" i="2"/>
  <c r="K256" i="2"/>
  <c r="L256" i="2"/>
  <c r="M256" i="2"/>
  <c r="N256" i="2"/>
  <c r="O256" i="2"/>
  <c r="P256" i="2"/>
  <c r="Q256" i="2"/>
  <c r="R256" i="2"/>
  <c r="S256" i="2"/>
  <c r="T256" i="2"/>
  <c r="U256" i="2"/>
  <c r="V256" i="2"/>
  <c r="W256" i="2"/>
  <c r="X256" i="2"/>
  <c r="Y256" i="2"/>
  <c r="B257" i="2"/>
  <c r="C257" i="2"/>
  <c r="D257" i="2"/>
  <c r="E257" i="2"/>
  <c r="F257" i="2"/>
  <c r="G257" i="2"/>
  <c r="H257" i="2"/>
  <c r="I257" i="2"/>
  <c r="J257" i="2"/>
  <c r="K257" i="2"/>
  <c r="L257" i="2"/>
  <c r="M257" i="2"/>
  <c r="N257" i="2"/>
  <c r="O257" i="2"/>
  <c r="P257" i="2"/>
  <c r="Q257" i="2"/>
  <c r="R257" i="2"/>
  <c r="S257" i="2"/>
  <c r="T257" i="2"/>
  <c r="U257" i="2"/>
  <c r="V257" i="2"/>
  <c r="W257" i="2"/>
  <c r="X257" i="2"/>
  <c r="Y257" i="2"/>
  <c r="B258" i="2"/>
  <c r="C258" i="2"/>
  <c r="D258" i="2"/>
  <c r="E258" i="2"/>
  <c r="F258" i="2"/>
  <c r="G258" i="2"/>
  <c r="H258" i="2"/>
  <c r="I258" i="2"/>
  <c r="J258" i="2"/>
  <c r="K258" i="2"/>
  <c r="L258" i="2"/>
  <c r="M258" i="2"/>
  <c r="N258" i="2"/>
  <c r="O258" i="2"/>
  <c r="P258" i="2"/>
  <c r="Q258" i="2"/>
  <c r="R258" i="2"/>
  <c r="S258" i="2"/>
  <c r="T258" i="2"/>
  <c r="U258" i="2"/>
  <c r="V258" i="2"/>
  <c r="W258" i="2"/>
  <c r="X258" i="2"/>
  <c r="Y258" i="2"/>
  <c r="B259" i="2"/>
  <c r="C259" i="2"/>
  <c r="D259" i="2"/>
  <c r="E259" i="2"/>
  <c r="F259" i="2"/>
  <c r="G259" i="2"/>
  <c r="H259" i="2"/>
  <c r="I259" i="2"/>
  <c r="J259" i="2"/>
  <c r="K259" i="2"/>
  <c r="L259" i="2"/>
  <c r="M259" i="2"/>
  <c r="N259" i="2"/>
  <c r="O259" i="2"/>
  <c r="P259" i="2"/>
  <c r="Q259" i="2"/>
  <c r="R259" i="2"/>
  <c r="S259" i="2"/>
  <c r="T259" i="2"/>
  <c r="U259" i="2"/>
  <c r="V259" i="2"/>
  <c r="W259" i="2"/>
  <c r="X259" i="2"/>
  <c r="Y259" i="2"/>
  <c r="B260" i="2"/>
  <c r="C260" i="2"/>
  <c r="D260" i="2"/>
  <c r="E260" i="2"/>
  <c r="F260" i="2"/>
  <c r="G260" i="2"/>
  <c r="H260" i="2"/>
  <c r="I260" i="2"/>
  <c r="J260" i="2"/>
  <c r="K260" i="2"/>
  <c r="L260" i="2"/>
  <c r="M260" i="2"/>
  <c r="N260" i="2"/>
  <c r="O260" i="2"/>
  <c r="P260" i="2"/>
  <c r="Q260" i="2"/>
  <c r="R260" i="2"/>
  <c r="S260" i="2"/>
  <c r="T260" i="2"/>
  <c r="U260" i="2"/>
  <c r="V260" i="2"/>
  <c r="W260" i="2"/>
  <c r="X260" i="2"/>
  <c r="Y260" i="2"/>
  <c r="B261" i="2"/>
  <c r="C261" i="2"/>
  <c r="D261" i="2"/>
  <c r="E261" i="2"/>
  <c r="F261" i="2"/>
  <c r="G261" i="2"/>
  <c r="H261" i="2"/>
  <c r="I261" i="2"/>
  <c r="J261" i="2"/>
  <c r="K261" i="2"/>
  <c r="L261" i="2"/>
  <c r="M261" i="2"/>
  <c r="N261" i="2"/>
  <c r="O261" i="2"/>
  <c r="P261" i="2"/>
  <c r="Q261" i="2"/>
  <c r="R261" i="2"/>
  <c r="S261" i="2"/>
  <c r="T261" i="2"/>
  <c r="U261" i="2"/>
  <c r="V261" i="2"/>
  <c r="W261" i="2"/>
  <c r="X261" i="2"/>
  <c r="Y261" i="2"/>
  <c r="B262" i="2"/>
  <c r="C262" i="2"/>
  <c r="D262" i="2"/>
  <c r="E262" i="2"/>
  <c r="F262" i="2"/>
  <c r="G262" i="2"/>
  <c r="H262" i="2"/>
  <c r="I262" i="2"/>
  <c r="J262" i="2"/>
  <c r="K262" i="2"/>
  <c r="L262" i="2"/>
  <c r="M262" i="2"/>
  <c r="N262" i="2"/>
  <c r="O262" i="2"/>
  <c r="P262" i="2"/>
  <c r="Q262" i="2"/>
  <c r="R262" i="2"/>
  <c r="S262" i="2"/>
  <c r="T262" i="2"/>
  <c r="U262" i="2"/>
  <c r="V262" i="2"/>
  <c r="W262" i="2"/>
  <c r="X262" i="2"/>
  <c r="Y262" i="2"/>
  <c r="B263" i="2"/>
  <c r="C263" i="2"/>
  <c r="D263" i="2"/>
  <c r="E263" i="2"/>
  <c r="F263" i="2"/>
  <c r="G263" i="2"/>
  <c r="H263" i="2"/>
  <c r="I263" i="2"/>
  <c r="J263" i="2"/>
  <c r="K263" i="2"/>
  <c r="L263" i="2"/>
  <c r="M263" i="2"/>
  <c r="N263" i="2"/>
  <c r="O263" i="2"/>
  <c r="P263" i="2"/>
  <c r="Q263" i="2"/>
  <c r="R263" i="2"/>
  <c r="S263" i="2"/>
  <c r="T263" i="2"/>
  <c r="U263" i="2"/>
  <c r="V263" i="2"/>
  <c r="W263" i="2"/>
  <c r="X263" i="2"/>
  <c r="Y263" i="2"/>
  <c r="B264" i="2"/>
  <c r="C264" i="2"/>
  <c r="D264" i="2"/>
  <c r="E264" i="2"/>
  <c r="F264" i="2"/>
  <c r="G264" i="2"/>
  <c r="H264" i="2"/>
  <c r="I264" i="2"/>
  <c r="J264" i="2"/>
  <c r="K264" i="2"/>
  <c r="L264" i="2"/>
  <c r="M264" i="2"/>
  <c r="N264" i="2"/>
  <c r="O264" i="2"/>
  <c r="P264" i="2"/>
  <c r="Q264" i="2"/>
  <c r="R264" i="2"/>
  <c r="S264" i="2"/>
  <c r="T264" i="2"/>
  <c r="U264" i="2"/>
  <c r="V264" i="2"/>
  <c r="W264" i="2"/>
  <c r="X264" i="2"/>
  <c r="Y264" i="2"/>
  <c r="B265" i="2"/>
  <c r="C265" i="2"/>
  <c r="D265" i="2"/>
  <c r="E265" i="2"/>
  <c r="F265" i="2"/>
  <c r="G265" i="2"/>
  <c r="H265" i="2"/>
  <c r="I265" i="2"/>
  <c r="J265" i="2"/>
  <c r="K265" i="2"/>
  <c r="L265" i="2"/>
  <c r="M265" i="2"/>
  <c r="N265" i="2"/>
  <c r="O265" i="2"/>
  <c r="P265" i="2"/>
  <c r="Q265" i="2"/>
  <c r="R265" i="2"/>
  <c r="S265" i="2"/>
  <c r="T265" i="2"/>
  <c r="U265" i="2"/>
  <c r="V265" i="2"/>
  <c r="W265" i="2"/>
  <c r="X265" i="2"/>
  <c r="Y265" i="2"/>
  <c r="B266" i="2"/>
  <c r="C266" i="2"/>
  <c r="D266" i="2"/>
  <c r="E266" i="2"/>
  <c r="F266" i="2"/>
  <c r="G266" i="2"/>
  <c r="H266" i="2"/>
  <c r="I266" i="2"/>
  <c r="J266" i="2"/>
  <c r="K266" i="2"/>
  <c r="L266" i="2"/>
  <c r="M266" i="2"/>
  <c r="N266" i="2"/>
  <c r="O266" i="2"/>
  <c r="P266" i="2"/>
  <c r="Q266" i="2"/>
  <c r="R266" i="2"/>
  <c r="S266" i="2"/>
  <c r="T266" i="2"/>
  <c r="U266" i="2"/>
  <c r="V266" i="2"/>
  <c r="W266" i="2"/>
  <c r="X266" i="2"/>
  <c r="Y266" i="2"/>
  <c r="B267" i="2"/>
  <c r="C267" i="2"/>
  <c r="D267" i="2"/>
  <c r="E267" i="2"/>
  <c r="F267" i="2"/>
  <c r="G267" i="2"/>
  <c r="H267" i="2"/>
  <c r="I267" i="2"/>
  <c r="J267" i="2"/>
  <c r="K267" i="2"/>
  <c r="L267" i="2"/>
  <c r="M267" i="2"/>
  <c r="N267" i="2"/>
  <c r="O267" i="2"/>
  <c r="P267" i="2"/>
  <c r="Q267" i="2"/>
  <c r="R267" i="2"/>
  <c r="S267" i="2"/>
  <c r="T267" i="2"/>
  <c r="U267" i="2"/>
  <c r="V267" i="2"/>
  <c r="W267" i="2"/>
  <c r="X267" i="2"/>
  <c r="Y267" i="2"/>
  <c r="B268" i="2"/>
  <c r="C268" i="2"/>
  <c r="D268" i="2"/>
  <c r="E268" i="2"/>
  <c r="F268" i="2"/>
  <c r="G268" i="2"/>
  <c r="H268" i="2"/>
  <c r="I268" i="2"/>
  <c r="J268" i="2"/>
  <c r="K268" i="2"/>
  <c r="L268" i="2"/>
  <c r="M268" i="2"/>
  <c r="N268" i="2"/>
  <c r="O268" i="2"/>
  <c r="P268" i="2"/>
  <c r="Q268" i="2"/>
  <c r="R268" i="2"/>
  <c r="S268" i="2"/>
  <c r="T268" i="2"/>
  <c r="U268" i="2"/>
  <c r="V268" i="2"/>
  <c r="W268" i="2"/>
  <c r="X268" i="2"/>
  <c r="Y268" i="2"/>
  <c r="B269" i="2"/>
  <c r="C269" i="2"/>
  <c r="D269" i="2"/>
  <c r="E269" i="2"/>
  <c r="F269" i="2"/>
  <c r="G269" i="2"/>
  <c r="H269" i="2"/>
  <c r="I269" i="2"/>
  <c r="J269" i="2"/>
  <c r="K269" i="2"/>
  <c r="L269" i="2"/>
  <c r="M269" i="2"/>
  <c r="N269" i="2"/>
  <c r="O269" i="2"/>
  <c r="P269" i="2"/>
  <c r="Q269" i="2"/>
  <c r="R269" i="2"/>
  <c r="S269" i="2"/>
  <c r="T269" i="2"/>
  <c r="U269" i="2"/>
  <c r="V269" i="2"/>
  <c r="W269" i="2"/>
  <c r="X269" i="2"/>
  <c r="Y269" i="2"/>
  <c r="B270" i="2"/>
  <c r="C270" i="2"/>
  <c r="D270" i="2"/>
  <c r="E270" i="2"/>
  <c r="F270" i="2"/>
  <c r="G270" i="2"/>
  <c r="H270" i="2"/>
  <c r="I270" i="2"/>
  <c r="J270" i="2"/>
  <c r="K270" i="2"/>
  <c r="L270" i="2"/>
  <c r="M270" i="2"/>
  <c r="N270" i="2"/>
  <c r="O270" i="2"/>
  <c r="P270" i="2"/>
  <c r="Q270" i="2"/>
  <c r="R270" i="2"/>
  <c r="S270" i="2"/>
  <c r="T270" i="2"/>
  <c r="U270" i="2"/>
  <c r="V270" i="2"/>
  <c r="W270" i="2"/>
  <c r="X270" i="2"/>
  <c r="Y270" i="2"/>
  <c r="B271" i="2"/>
  <c r="C271" i="2"/>
  <c r="D271" i="2"/>
  <c r="E271" i="2"/>
  <c r="F271" i="2"/>
  <c r="G271" i="2"/>
  <c r="H271" i="2"/>
  <c r="I271" i="2"/>
  <c r="J271" i="2"/>
  <c r="K271" i="2"/>
  <c r="L271" i="2"/>
  <c r="M271" i="2"/>
  <c r="N271" i="2"/>
  <c r="O271" i="2"/>
  <c r="P271" i="2"/>
  <c r="Q271" i="2"/>
  <c r="R271" i="2"/>
  <c r="S271" i="2"/>
  <c r="T271" i="2"/>
  <c r="U271" i="2"/>
  <c r="V271" i="2"/>
  <c r="W271" i="2"/>
  <c r="X271" i="2"/>
  <c r="Y271" i="2"/>
  <c r="B272" i="2"/>
  <c r="C272" i="2"/>
  <c r="D272" i="2"/>
  <c r="E272" i="2"/>
  <c r="F272" i="2"/>
  <c r="G272" i="2"/>
  <c r="H272" i="2"/>
  <c r="I272" i="2"/>
  <c r="J272" i="2"/>
  <c r="K272" i="2"/>
  <c r="L272" i="2"/>
  <c r="M272" i="2"/>
  <c r="N272" i="2"/>
  <c r="O272" i="2"/>
  <c r="P272" i="2"/>
  <c r="Q272" i="2"/>
  <c r="R272" i="2"/>
  <c r="S272" i="2"/>
  <c r="T272" i="2"/>
  <c r="U272" i="2"/>
  <c r="V272" i="2"/>
  <c r="W272" i="2"/>
  <c r="X272" i="2"/>
  <c r="Y272" i="2"/>
  <c r="B273" i="2"/>
  <c r="C273" i="2"/>
  <c r="D273" i="2"/>
  <c r="E273" i="2"/>
  <c r="F273" i="2"/>
  <c r="G273" i="2"/>
  <c r="H273" i="2"/>
  <c r="I273" i="2"/>
  <c r="J273" i="2"/>
  <c r="K273" i="2"/>
  <c r="L273" i="2"/>
  <c r="M273" i="2"/>
  <c r="N273" i="2"/>
  <c r="O273" i="2"/>
  <c r="P273" i="2"/>
  <c r="Q273" i="2"/>
  <c r="R273" i="2"/>
  <c r="S273" i="2"/>
  <c r="T273" i="2"/>
  <c r="U273" i="2"/>
  <c r="V273" i="2"/>
  <c r="W273" i="2"/>
  <c r="X273" i="2"/>
  <c r="Y273" i="2"/>
  <c r="B274" i="2"/>
  <c r="C274" i="2"/>
  <c r="D274" i="2"/>
  <c r="E274" i="2"/>
  <c r="F274" i="2"/>
  <c r="G274" i="2"/>
  <c r="H274" i="2"/>
  <c r="I274" i="2"/>
  <c r="J274" i="2"/>
  <c r="K274" i="2"/>
  <c r="L274" i="2"/>
  <c r="M274" i="2"/>
  <c r="N274" i="2"/>
  <c r="O274" i="2"/>
  <c r="P274" i="2"/>
  <c r="Q274" i="2"/>
  <c r="R274" i="2"/>
  <c r="S274" i="2"/>
  <c r="T274" i="2"/>
  <c r="U274" i="2"/>
  <c r="V274" i="2"/>
  <c r="W274" i="2"/>
  <c r="X274" i="2"/>
  <c r="Y274" i="2"/>
  <c r="B275" i="2"/>
  <c r="C275" i="2"/>
  <c r="D275" i="2"/>
  <c r="E275" i="2"/>
  <c r="F275" i="2"/>
  <c r="G275" i="2"/>
  <c r="H275" i="2"/>
  <c r="I275" i="2"/>
  <c r="J275" i="2"/>
  <c r="K275" i="2"/>
  <c r="L275" i="2"/>
  <c r="M275" i="2"/>
  <c r="N275" i="2"/>
  <c r="O275" i="2"/>
  <c r="P275" i="2"/>
  <c r="Q275" i="2"/>
  <c r="R275" i="2"/>
  <c r="S275" i="2"/>
  <c r="T275" i="2"/>
  <c r="U275" i="2"/>
  <c r="V275" i="2"/>
  <c r="W275" i="2"/>
  <c r="X275" i="2"/>
  <c r="Y275" i="2"/>
  <c r="B276" i="2"/>
  <c r="C276" i="2"/>
  <c r="D276" i="2"/>
  <c r="E276" i="2"/>
  <c r="F276" i="2"/>
  <c r="G276" i="2"/>
  <c r="H276" i="2"/>
  <c r="I276" i="2"/>
  <c r="J276" i="2"/>
  <c r="K276" i="2"/>
  <c r="L276" i="2"/>
  <c r="M276" i="2"/>
  <c r="N276" i="2"/>
  <c r="O276" i="2"/>
  <c r="P276" i="2"/>
  <c r="Q276" i="2"/>
  <c r="R276" i="2"/>
  <c r="S276" i="2"/>
  <c r="T276" i="2"/>
  <c r="U276" i="2"/>
  <c r="V276" i="2"/>
  <c r="W276" i="2"/>
  <c r="X276" i="2"/>
  <c r="Y276" i="2"/>
  <c r="B277" i="2"/>
  <c r="C277" i="2"/>
  <c r="D277" i="2"/>
  <c r="E277" i="2"/>
  <c r="F277" i="2"/>
  <c r="G277" i="2"/>
  <c r="H277" i="2"/>
  <c r="I277" i="2"/>
  <c r="J277" i="2"/>
  <c r="K277" i="2"/>
  <c r="L277" i="2"/>
  <c r="M277" i="2"/>
  <c r="N277" i="2"/>
  <c r="O277" i="2"/>
  <c r="P277" i="2"/>
  <c r="Q277" i="2"/>
  <c r="R277" i="2"/>
  <c r="S277" i="2"/>
  <c r="T277" i="2"/>
  <c r="U277" i="2"/>
  <c r="V277" i="2"/>
  <c r="W277" i="2"/>
  <c r="X277" i="2"/>
  <c r="Y277" i="2"/>
  <c r="B278" i="2"/>
  <c r="C278" i="2"/>
  <c r="D278" i="2"/>
  <c r="E278" i="2"/>
  <c r="F278" i="2"/>
  <c r="G278" i="2"/>
  <c r="H278" i="2"/>
  <c r="I278" i="2"/>
  <c r="J278" i="2"/>
  <c r="K278" i="2"/>
  <c r="L278" i="2"/>
  <c r="M278" i="2"/>
  <c r="N278" i="2"/>
  <c r="O278" i="2"/>
  <c r="P278" i="2"/>
  <c r="Q278" i="2"/>
  <c r="R278" i="2"/>
  <c r="S278" i="2"/>
  <c r="T278" i="2"/>
  <c r="U278" i="2"/>
  <c r="V278" i="2"/>
  <c r="W278" i="2"/>
  <c r="X278" i="2"/>
  <c r="Y278" i="2"/>
  <c r="B279" i="2"/>
  <c r="C279" i="2"/>
  <c r="D279" i="2"/>
  <c r="E279" i="2"/>
  <c r="F279" i="2"/>
  <c r="G279" i="2"/>
  <c r="H279" i="2"/>
  <c r="I279" i="2"/>
  <c r="J279" i="2"/>
  <c r="K279" i="2"/>
  <c r="L279" i="2"/>
  <c r="M279" i="2"/>
  <c r="N279" i="2"/>
  <c r="O279" i="2"/>
  <c r="P279" i="2"/>
  <c r="Q279" i="2"/>
  <c r="R279" i="2"/>
  <c r="S279" i="2"/>
  <c r="T279" i="2"/>
  <c r="U279" i="2"/>
  <c r="V279" i="2"/>
  <c r="W279" i="2"/>
  <c r="X279" i="2"/>
  <c r="Y279" i="2"/>
  <c r="B280" i="2"/>
  <c r="C280" i="2"/>
  <c r="D280" i="2"/>
  <c r="E280" i="2"/>
  <c r="F280" i="2"/>
  <c r="G280" i="2"/>
  <c r="H280" i="2"/>
  <c r="I280" i="2"/>
  <c r="J280" i="2"/>
  <c r="K280" i="2"/>
  <c r="L280" i="2"/>
  <c r="M280" i="2"/>
  <c r="N280" i="2"/>
  <c r="O280" i="2"/>
  <c r="P280" i="2"/>
  <c r="Q280" i="2"/>
  <c r="R280" i="2"/>
  <c r="S280" i="2"/>
  <c r="T280" i="2"/>
  <c r="U280" i="2"/>
  <c r="V280" i="2"/>
  <c r="W280" i="2"/>
  <c r="X280" i="2"/>
  <c r="Y280" i="2"/>
  <c r="B281" i="2"/>
  <c r="C281" i="2"/>
  <c r="D281" i="2"/>
  <c r="E281" i="2"/>
  <c r="F281" i="2"/>
  <c r="G281" i="2"/>
  <c r="H281" i="2"/>
  <c r="I281" i="2"/>
  <c r="J281" i="2"/>
  <c r="K281" i="2"/>
  <c r="L281" i="2"/>
  <c r="M281" i="2"/>
  <c r="N281" i="2"/>
  <c r="O281" i="2"/>
  <c r="P281" i="2"/>
  <c r="Q281" i="2"/>
  <c r="R281" i="2"/>
  <c r="S281" i="2"/>
  <c r="T281" i="2"/>
  <c r="U281" i="2"/>
  <c r="V281" i="2"/>
  <c r="W281" i="2"/>
  <c r="X281" i="2"/>
  <c r="Y281" i="2"/>
  <c r="B282" i="2"/>
  <c r="C282" i="2"/>
  <c r="D282" i="2"/>
  <c r="E282" i="2"/>
  <c r="F282" i="2"/>
  <c r="G282" i="2"/>
  <c r="H282" i="2"/>
  <c r="I282" i="2"/>
  <c r="J282" i="2"/>
  <c r="K282" i="2"/>
  <c r="L282" i="2"/>
  <c r="M282" i="2"/>
  <c r="N282" i="2"/>
  <c r="O282" i="2"/>
  <c r="P282" i="2"/>
  <c r="Q282" i="2"/>
  <c r="R282" i="2"/>
  <c r="S282" i="2"/>
  <c r="T282" i="2"/>
  <c r="U282" i="2"/>
  <c r="V282" i="2"/>
  <c r="W282" i="2"/>
  <c r="X282" i="2"/>
  <c r="Y282" i="2"/>
  <c r="B283" i="2"/>
  <c r="C283" i="2"/>
  <c r="D283" i="2"/>
  <c r="E283" i="2"/>
  <c r="F283" i="2"/>
  <c r="G283" i="2"/>
  <c r="H283" i="2"/>
  <c r="I283" i="2"/>
  <c r="J283" i="2"/>
  <c r="K283" i="2"/>
  <c r="L283" i="2"/>
  <c r="M283" i="2"/>
  <c r="N283" i="2"/>
  <c r="O283" i="2"/>
  <c r="P283" i="2"/>
  <c r="Q283" i="2"/>
  <c r="R283" i="2"/>
  <c r="S283" i="2"/>
  <c r="T283" i="2"/>
  <c r="U283" i="2"/>
  <c r="V283" i="2"/>
  <c r="W283" i="2"/>
  <c r="X283" i="2"/>
  <c r="Y283" i="2"/>
  <c r="B284" i="2"/>
  <c r="C284" i="2"/>
  <c r="D284" i="2"/>
  <c r="E284" i="2"/>
  <c r="F284" i="2"/>
  <c r="G284" i="2"/>
  <c r="H284" i="2"/>
  <c r="I284" i="2"/>
  <c r="J284" i="2"/>
  <c r="K284" i="2"/>
  <c r="L284" i="2"/>
  <c r="M284" i="2"/>
  <c r="N284" i="2"/>
  <c r="O284" i="2"/>
  <c r="P284" i="2"/>
  <c r="Q284" i="2"/>
  <c r="R284" i="2"/>
  <c r="S284" i="2"/>
  <c r="T284" i="2"/>
  <c r="U284" i="2"/>
  <c r="V284" i="2"/>
  <c r="W284" i="2"/>
  <c r="X284" i="2"/>
  <c r="Y284" i="2"/>
  <c r="B285" i="2"/>
  <c r="C285" i="2"/>
  <c r="D285" i="2"/>
  <c r="E285" i="2"/>
  <c r="F285" i="2"/>
  <c r="G285" i="2"/>
  <c r="H285" i="2"/>
  <c r="I285" i="2"/>
  <c r="J285" i="2"/>
  <c r="K285" i="2"/>
  <c r="L285" i="2"/>
  <c r="M285" i="2"/>
  <c r="N285" i="2"/>
  <c r="O285" i="2"/>
  <c r="P285" i="2"/>
  <c r="Q285" i="2"/>
  <c r="R285" i="2"/>
  <c r="S285" i="2"/>
  <c r="T285" i="2"/>
  <c r="U285" i="2"/>
  <c r="V285" i="2"/>
  <c r="W285" i="2"/>
  <c r="X285" i="2"/>
  <c r="Y285" i="2"/>
  <c r="B286" i="2"/>
  <c r="C286" i="2"/>
  <c r="D286" i="2"/>
  <c r="E286" i="2"/>
  <c r="F286" i="2"/>
  <c r="G286" i="2"/>
  <c r="H286" i="2"/>
  <c r="I286" i="2"/>
  <c r="J286" i="2"/>
  <c r="K286" i="2"/>
  <c r="L286" i="2"/>
  <c r="M286" i="2"/>
  <c r="N286" i="2"/>
  <c r="O286" i="2"/>
  <c r="P286" i="2"/>
  <c r="Q286" i="2"/>
  <c r="R286" i="2"/>
  <c r="S286" i="2"/>
  <c r="T286" i="2"/>
  <c r="U286" i="2"/>
  <c r="V286" i="2"/>
  <c r="W286" i="2"/>
  <c r="X286" i="2"/>
  <c r="Y286" i="2"/>
  <c r="B287" i="2"/>
  <c r="C287" i="2"/>
  <c r="D287" i="2"/>
  <c r="E287" i="2"/>
  <c r="F287" i="2"/>
  <c r="G287" i="2"/>
  <c r="H287" i="2"/>
  <c r="I287" i="2"/>
  <c r="J287" i="2"/>
  <c r="K287" i="2"/>
  <c r="L287" i="2"/>
  <c r="M287" i="2"/>
  <c r="N287" i="2"/>
  <c r="O287" i="2"/>
  <c r="P287" i="2"/>
  <c r="Q287" i="2"/>
  <c r="R287" i="2"/>
  <c r="S287" i="2"/>
  <c r="T287" i="2"/>
  <c r="U287" i="2"/>
  <c r="V287" i="2"/>
  <c r="W287" i="2"/>
  <c r="X287" i="2"/>
  <c r="Y287" i="2"/>
  <c r="B288" i="2"/>
  <c r="C288" i="2"/>
  <c r="D288" i="2"/>
  <c r="E288" i="2"/>
  <c r="F288" i="2"/>
  <c r="G288" i="2"/>
  <c r="H288" i="2"/>
  <c r="I288" i="2"/>
  <c r="J288" i="2"/>
  <c r="K288" i="2"/>
  <c r="L288" i="2"/>
  <c r="M288" i="2"/>
  <c r="N288" i="2"/>
  <c r="O288" i="2"/>
  <c r="P288" i="2"/>
  <c r="Q288" i="2"/>
  <c r="R288" i="2"/>
  <c r="S288" i="2"/>
  <c r="T288" i="2"/>
  <c r="U288" i="2"/>
  <c r="V288" i="2"/>
  <c r="W288" i="2"/>
  <c r="X288" i="2"/>
  <c r="Y288" i="2"/>
  <c r="B289" i="2"/>
  <c r="C289" i="2"/>
  <c r="D289" i="2"/>
  <c r="E289" i="2"/>
  <c r="F289" i="2"/>
  <c r="G289" i="2"/>
  <c r="H289" i="2"/>
  <c r="I289" i="2"/>
  <c r="J289" i="2"/>
  <c r="K289" i="2"/>
  <c r="L289" i="2"/>
  <c r="M289" i="2"/>
  <c r="N289" i="2"/>
  <c r="O289" i="2"/>
  <c r="P289" i="2"/>
  <c r="Q289" i="2"/>
  <c r="R289" i="2"/>
  <c r="S289" i="2"/>
  <c r="T289" i="2"/>
  <c r="U289" i="2"/>
  <c r="V289" i="2"/>
  <c r="W289" i="2"/>
  <c r="X289" i="2"/>
  <c r="Y289" i="2"/>
  <c r="B290" i="2"/>
  <c r="C290" i="2"/>
  <c r="D290" i="2"/>
  <c r="E290" i="2"/>
  <c r="F290" i="2"/>
  <c r="G290" i="2"/>
  <c r="H290" i="2"/>
  <c r="I290" i="2"/>
  <c r="J290" i="2"/>
  <c r="K290" i="2"/>
  <c r="L290" i="2"/>
  <c r="M290" i="2"/>
  <c r="N290" i="2"/>
  <c r="O290" i="2"/>
  <c r="P290" i="2"/>
  <c r="Q290" i="2"/>
  <c r="R290" i="2"/>
  <c r="S290" i="2"/>
  <c r="T290" i="2"/>
  <c r="U290" i="2"/>
  <c r="V290" i="2"/>
  <c r="W290" i="2"/>
  <c r="X290" i="2"/>
  <c r="Y290" i="2"/>
  <c r="B291" i="2"/>
  <c r="C291" i="2"/>
  <c r="D291" i="2"/>
  <c r="E291" i="2"/>
  <c r="F291" i="2"/>
  <c r="G291" i="2"/>
  <c r="H291" i="2"/>
  <c r="I291" i="2"/>
  <c r="J291" i="2"/>
  <c r="K291" i="2"/>
  <c r="L291" i="2"/>
  <c r="M291" i="2"/>
  <c r="N291" i="2"/>
  <c r="O291" i="2"/>
  <c r="P291" i="2"/>
  <c r="Q291" i="2"/>
  <c r="R291" i="2"/>
  <c r="S291" i="2"/>
  <c r="T291" i="2"/>
  <c r="U291" i="2"/>
  <c r="V291" i="2"/>
  <c r="W291" i="2"/>
  <c r="X291" i="2"/>
  <c r="Y291" i="2"/>
  <c r="B292" i="2"/>
  <c r="C292" i="2"/>
  <c r="D292" i="2"/>
  <c r="E292" i="2"/>
  <c r="F292" i="2"/>
  <c r="G292" i="2"/>
  <c r="H292" i="2"/>
  <c r="I292" i="2"/>
  <c r="J292" i="2"/>
  <c r="K292" i="2"/>
  <c r="L292" i="2"/>
  <c r="M292" i="2"/>
  <c r="N292" i="2"/>
  <c r="O292" i="2"/>
  <c r="P292" i="2"/>
  <c r="Q292" i="2"/>
  <c r="R292" i="2"/>
  <c r="S292" i="2"/>
  <c r="T292" i="2"/>
  <c r="U292" i="2"/>
  <c r="V292" i="2"/>
  <c r="W292" i="2"/>
  <c r="X292" i="2"/>
  <c r="Y292" i="2"/>
  <c r="B293" i="2"/>
  <c r="C293" i="2"/>
  <c r="D293" i="2"/>
  <c r="E293" i="2"/>
  <c r="F293" i="2"/>
  <c r="G293" i="2"/>
  <c r="H293" i="2"/>
  <c r="I293" i="2"/>
  <c r="J293" i="2"/>
  <c r="K293" i="2"/>
  <c r="L293" i="2"/>
  <c r="M293" i="2"/>
  <c r="N293" i="2"/>
  <c r="O293" i="2"/>
  <c r="P293" i="2"/>
  <c r="Q293" i="2"/>
  <c r="R293" i="2"/>
  <c r="S293" i="2"/>
  <c r="T293" i="2"/>
  <c r="U293" i="2"/>
  <c r="V293" i="2"/>
  <c r="W293" i="2"/>
  <c r="X293" i="2"/>
  <c r="Y293" i="2"/>
  <c r="B294" i="2"/>
  <c r="C294" i="2"/>
  <c r="D294" i="2"/>
  <c r="E294" i="2"/>
  <c r="F294" i="2"/>
  <c r="G294" i="2"/>
  <c r="H294" i="2"/>
  <c r="I294" i="2"/>
  <c r="J294" i="2"/>
  <c r="K294" i="2"/>
  <c r="L294" i="2"/>
  <c r="M294" i="2"/>
  <c r="N294" i="2"/>
  <c r="O294" i="2"/>
  <c r="P294" i="2"/>
  <c r="Q294" i="2"/>
  <c r="R294" i="2"/>
  <c r="S294" i="2"/>
  <c r="T294" i="2"/>
  <c r="U294" i="2"/>
  <c r="V294" i="2"/>
  <c r="W294" i="2"/>
  <c r="X294" i="2"/>
  <c r="Y294" i="2"/>
  <c r="B295" i="2"/>
  <c r="C295" i="2"/>
  <c r="D295" i="2"/>
  <c r="E295" i="2"/>
  <c r="F295" i="2"/>
  <c r="G295" i="2"/>
  <c r="H295" i="2"/>
  <c r="I295" i="2"/>
  <c r="J295" i="2"/>
  <c r="K295" i="2"/>
  <c r="L295" i="2"/>
  <c r="M295" i="2"/>
  <c r="N295" i="2"/>
  <c r="O295" i="2"/>
  <c r="P295" i="2"/>
  <c r="Q295" i="2"/>
  <c r="R295" i="2"/>
  <c r="S295" i="2"/>
  <c r="T295" i="2"/>
  <c r="U295" i="2"/>
  <c r="V295" i="2"/>
  <c r="W295" i="2"/>
  <c r="X295" i="2"/>
  <c r="Y295" i="2"/>
  <c r="B296" i="2"/>
  <c r="C296" i="2"/>
  <c r="D296" i="2"/>
  <c r="E296" i="2"/>
  <c r="F296" i="2"/>
  <c r="G296" i="2"/>
  <c r="H296" i="2"/>
  <c r="I296" i="2"/>
  <c r="J296" i="2"/>
  <c r="K296" i="2"/>
  <c r="L296" i="2"/>
  <c r="M296" i="2"/>
  <c r="N296" i="2"/>
  <c r="O296" i="2"/>
  <c r="P296" i="2"/>
  <c r="Q296" i="2"/>
  <c r="R296" i="2"/>
  <c r="S296" i="2"/>
  <c r="T296" i="2"/>
  <c r="U296" i="2"/>
  <c r="V296" i="2"/>
  <c r="W296" i="2"/>
  <c r="X296" i="2"/>
  <c r="Y296" i="2"/>
  <c r="B297" i="2"/>
  <c r="C297" i="2"/>
  <c r="D297" i="2"/>
  <c r="E297" i="2"/>
  <c r="F297" i="2"/>
  <c r="G297" i="2"/>
  <c r="H297" i="2"/>
  <c r="I297" i="2"/>
  <c r="J297" i="2"/>
  <c r="K297" i="2"/>
  <c r="L297" i="2"/>
  <c r="M297" i="2"/>
  <c r="N297" i="2"/>
  <c r="O297" i="2"/>
  <c r="P297" i="2"/>
  <c r="Q297" i="2"/>
  <c r="R297" i="2"/>
  <c r="S297" i="2"/>
  <c r="T297" i="2"/>
  <c r="U297" i="2"/>
  <c r="V297" i="2"/>
  <c r="W297" i="2"/>
  <c r="X297" i="2"/>
  <c r="Y297" i="2"/>
  <c r="B298" i="2"/>
  <c r="C298" i="2"/>
  <c r="D298" i="2"/>
  <c r="E298" i="2"/>
  <c r="F298" i="2"/>
  <c r="G298" i="2"/>
  <c r="H298" i="2"/>
  <c r="I298" i="2"/>
  <c r="J298" i="2"/>
  <c r="K298" i="2"/>
  <c r="L298" i="2"/>
  <c r="M298" i="2"/>
  <c r="N298" i="2"/>
  <c r="O298" i="2"/>
  <c r="P298" i="2"/>
  <c r="Q298" i="2"/>
  <c r="R298" i="2"/>
  <c r="S298" i="2"/>
  <c r="T298" i="2"/>
  <c r="U298" i="2"/>
  <c r="V298" i="2"/>
  <c r="W298" i="2"/>
  <c r="X298" i="2"/>
  <c r="Y298" i="2"/>
  <c r="B299" i="2"/>
  <c r="C299" i="2"/>
  <c r="D299" i="2"/>
  <c r="E299" i="2"/>
  <c r="F299" i="2"/>
  <c r="G299" i="2"/>
  <c r="H299" i="2"/>
  <c r="I299" i="2"/>
  <c r="J299" i="2"/>
  <c r="K299" i="2"/>
  <c r="L299" i="2"/>
  <c r="M299" i="2"/>
  <c r="N299" i="2"/>
  <c r="O299" i="2"/>
  <c r="P299" i="2"/>
  <c r="Q299" i="2"/>
  <c r="R299" i="2"/>
  <c r="S299" i="2"/>
  <c r="T299" i="2"/>
  <c r="U299" i="2"/>
  <c r="V299" i="2"/>
  <c r="W299" i="2"/>
  <c r="X299" i="2"/>
  <c r="Y299" i="2"/>
  <c r="B300" i="2"/>
  <c r="C300" i="2"/>
  <c r="D300" i="2"/>
  <c r="E300" i="2"/>
  <c r="F300" i="2"/>
  <c r="G300" i="2"/>
  <c r="H300" i="2"/>
  <c r="I300" i="2"/>
  <c r="J300" i="2"/>
  <c r="K300" i="2"/>
  <c r="L300" i="2"/>
  <c r="M300" i="2"/>
  <c r="N300" i="2"/>
  <c r="O300" i="2"/>
  <c r="P300" i="2"/>
  <c r="Q300" i="2"/>
  <c r="R300" i="2"/>
  <c r="S300" i="2"/>
  <c r="T300" i="2"/>
  <c r="U300" i="2"/>
  <c r="V300" i="2"/>
  <c r="W300" i="2"/>
  <c r="X300" i="2"/>
  <c r="Y300" i="2"/>
  <c r="B301" i="2"/>
  <c r="C301" i="2"/>
  <c r="D301" i="2"/>
  <c r="E301" i="2"/>
  <c r="F301" i="2"/>
  <c r="G301" i="2"/>
  <c r="H301" i="2"/>
  <c r="I301" i="2"/>
  <c r="J301" i="2"/>
  <c r="K301" i="2"/>
  <c r="L301" i="2"/>
  <c r="M301" i="2"/>
  <c r="N301" i="2"/>
  <c r="O301" i="2"/>
  <c r="P301" i="2"/>
  <c r="Q301" i="2"/>
  <c r="R301" i="2"/>
  <c r="S301" i="2"/>
  <c r="T301" i="2"/>
  <c r="U301" i="2"/>
  <c r="V301" i="2"/>
  <c r="W301" i="2"/>
  <c r="X301" i="2"/>
  <c r="Y301" i="2"/>
  <c r="B302" i="2"/>
  <c r="C302" i="2"/>
  <c r="D302" i="2"/>
  <c r="E302" i="2"/>
  <c r="F302" i="2"/>
  <c r="G302" i="2"/>
  <c r="H302" i="2"/>
  <c r="I302" i="2"/>
  <c r="J302" i="2"/>
  <c r="K302" i="2"/>
  <c r="L302" i="2"/>
  <c r="M302" i="2"/>
  <c r="N302" i="2"/>
  <c r="O302" i="2"/>
  <c r="P302" i="2"/>
  <c r="Q302" i="2"/>
  <c r="R302" i="2"/>
  <c r="S302" i="2"/>
  <c r="T302" i="2"/>
  <c r="U302" i="2"/>
  <c r="V302" i="2"/>
  <c r="W302" i="2"/>
  <c r="X302" i="2"/>
  <c r="Y302" i="2"/>
  <c r="B303" i="2"/>
  <c r="C303" i="2"/>
  <c r="D303" i="2"/>
  <c r="E303" i="2"/>
  <c r="F303" i="2"/>
  <c r="G303" i="2"/>
  <c r="H303" i="2"/>
  <c r="I303" i="2"/>
  <c r="J303" i="2"/>
  <c r="K303" i="2"/>
  <c r="L303" i="2"/>
  <c r="M303" i="2"/>
  <c r="N303" i="2"/>
  <c r="O303" i="2"/>
  <c r="P303" i="2"/>
  <c r="Q303" i="2"/>
  <c r="R303" i="2"/>
  <c r="S303" i="2"/>
  <c r="T303" i="2"/>
  <c r="U303" i="2"/>
  <c r="V303" i="2"/>
  <c r="W303" i="2"/>
  <c r="X303" i="2"/>
  <c r="Y303" i="2"/>
  <c r="B304" i="2"/>
  <c r="C304" i="2"/>
  <c r="D304" i="2"/>
  <c r="E304" i="2"/>
  <c r="F304" i="2"/>
  <c r="G304" i="2"/>
  <c r="H304" i="2"/>
  <c r="I304" i="2"/>
  <c r="J304" i="2"/>
  <c r="K304" i="2"/>
  <c r="L304" i="2"/>
  <c r="M304" i="2"/>
  <c r="N304" i="2"/>
  <c r="O304" i="2"/>
  <c r="P304" i="2"/>
  <c r="Q304" i="2"/>
  <c r="R304" i="2"/>
  <c r="S304" i="2"/>
  <c r="T304" i="2"/>
  <c r="U304" i="2"/>
  <c r="V304" i="2"/>
  <c r="W304" i="2"/>
  <c r="X304" i="2"/>
  <c r="Y304" i="2"/>
  <c r="B305" i="2"/>
  <c r="C305" i="2"/>
  <c r="D305" i="2"/>
  <c r="E305" i="2"/>
  <c r="F305" i="2"/>
  <c r="G305" i="2"/>
  <c r="H305" i="2"/>
  <c r="I305" i="2"/>
  <c r="J305" i="2"/>
  <c r="K305" i="2"/>
  <c r="L305" i="2"/>
  <c r="M305" i="2"/>
  <c r="N305" i="2"/>
  <c r="O305" i="2"/>
  <c r="P305" i="2"/>
  <c r="Q305" i="2"/>
  <c r="R305" i="2"/>
  <c r="S305" i="2"/>
  <c r="T305" i="2"/>
  <c r="U305" i="2"/>
  <c r="V305" i="2"/>
  <c r="W305" i="2"/>
  <c r="X305" i="2"/>
  <c r="Y305" i="2"/>
  <c r="B306" i="2"/>
  <c r="C306" i="2"/>
  <c r="D306" i="2"/>
  <c r="E306" i="2"/>
  <c r="F306" i="2"/>
  <c r="G306" i="2"/>
  <c r="H306" i="2"/>
  <c r="I306" i="2"/>
  <c r="J306" i="2"/>
  <c r="K306" i="2"/>
  <c r="L306" i="2"/>
  <c r="M306" i="2"/>
  <c r="N306" i="2"/>
  <c r="O306" i="2"/>
  <c r="P306" i="2"/>
  <c r="Q306" i="2"/>
  <c r="R306" i="2"/>
  <c r="S306" i="2"/>
  <c r="T306" i="2"/>
  <c r="U306" i="2"/>
  <c r="V306" i="2"/>
  <c r="W306" i="2"/>
  <c r="X306" i="2"/>
  <c r="Y306" i="2"/>
  <c r="B307" i="2"/>
  <c r="C307" i="2"/>
  <c r="D307" i="2"/>
  <c r="E307" i="2"/>
  <c r="F307" i="2"/>
  <c r="G307" i="2"/>
  <c r="H307" i="2"/>
  <c r="I307" i="2"/>
  <c r="J307" i="2"/>
  <c r="K307" i="2"/>
  <c r="L307" i="2"/>
  <c r="M307" i="2"/>
  <c r="N307" i="2"/>
  <c r="O307" i="2"/>
  <c r="P307" i="2"/>
  <c r="Q307" i="2"/>
  <c r="R307" i="2"/>
  <c r="S307" i="2"/>
  <c r="T307" i="2"/>
  <c r="U307" i="2"/>
  <c r="V307" i="2"/>
  <c r="W307" i="2"/>
  <c r="X307" i="2"/>
  <c r="Y307" i="2"/>
  <c r="B308" i="2"/>
  <c r="C308" i="2"/>
  <c r="D308" i="2"/>
  <c r="E308" i="2"/>
  <c r="F308" i="2"/>
  <c r="G308" i="2"/>
  <c r="H308" i="2"/>
  <c r="I308" i="2"/>
  <c r="J308" i="2"/>
  <c r="K308" i="2"/>
  <c r="L308" i="2"/>
  <c r="M308" i="2"/>
  <c r="N308" i="2"/>
  <c r="O308" i="2"/>
  <c r="P308" i="2"/>
  <c r="Q308" i="2"/>
  <c r="R308" i="2"/>
  <c r="S308" i="2"/>
  <c r="T308" i="2"/>
  <c r="U308" i="2"/>
  <c r="V308" i="2"/>
  <c r="W308" i="2"/>
  <c r="X308" i="2"/>
  <c r="Y308" i="2"/>
  <c r="B309" i="2"/>
  <c r="C309" i="2"/>
  <c r="D309" i="2"/>
  <c r="E309" i="2"/>
  <c r="F309" i="2"/>
  <c r="G309" i="2"/>
  <c r="H309" i="2"/>
  <c r="I309" i="2"/>
  <c r="J309" i="2"/>
  <c r="K309" i="2"/>
  <c r="L309" i="2"/>
  <c r="M309" i="2"/>
  <c r="N309" i="2"/>
  <c r="O309" i="2"/>
  <c r="P309" i="2"/>
  <c r="Q309" i="2"/>
  <c r="R309" i="2"/>
  <c r="S309" i="2"/>
  <c r="T309" i="2"/>
  <c r="U309" i="2"/>
  <c r="V309" i="2"/>
  <c r="W309" i="2"/>
  <c r="X309" i="2"/>
  <c r="Y309" i="2"/>
  <c r="B310" i="2"/>
  <c r="C310" i="2"/>
  <c r="D310" i="2"/>
  <c r="E310" i="2"/>
  <c r="F310" i="2"/>
  <c r="G310" i="2"/>
  <c r="H310" i="2"/>
  <c r="I310" i="2"/>
  <c r="J310" i="2"/>
  <c r="K310" i="2"/>
  <c r="L310" i="2"/>
  <c r="M310" i="2"/>
  <c r="N310" i="2"/>
  <c r="O310" i="2"/>
  <c r="P310" i="2"/>
  <c r="Q310" i="2"/>
  <c r="R310" i="2"/>
  <c r="S310" i="2"/>
  <c r="T310" i="2"/>
  <c r="U310" i="2"/>
  <c r="V310" i="2"/>
  <c r="W310" i="2"/>
  <c r="X310" i="2"/>
  <c r="Y310" i="2"/>
  <c r="B311" i="2"/>
  <c r="C311" i="2"/>
  <c r="D311" i="2"/>
  <c r="E311" i="2"/>
  <c r="F311" i="2"/>
  <c r="G311" i="2"/>
  <c r="H311" i="2"/>
  <c r="I311" i="2"/>
  <c r="J311" i="2"/>
  <c r="K311" i="2"/>
  <c r="L311" i="2"/>
  <c r="M311" i="2"/>
  <c r="N311" i="2"/>
  <c r="O311" i="2"/>
  <c r="P311" i="2"/>
  <c r="Q311" i="2"/>
  <c r="R311" i="2"/>
  <c r="S311" i="2"/>
  <c r="T311" i="2"/>
  <c r="U311" i="2"/>
  <c r="V311" i="2"/>
  <c r="W311" i="2"/>
  <c r="X311" i="2"/>
  <c r="Y311" i="2"/>
  <c r="B312" i="2"/>
  <c r="C312" i="2"/>
  <c r="D312" i="2"/>
  <c r="E312" i="2"/>
  <c r="F312" i="2"/>
  <c r="G312" i="2"/>
  <c r="H312" i="2"/>
  <c r="I312" i="2"/>
  <c r="J312" i="2"/>
  <c r="K312" i="2"/>
  <c r="L312" i="2"/>
  <c r="M312" i="2"/>
  <c r="N312" i="2"/>
  <c r="O312" i="2"/>
  <c r="P312" i="2"/>
  <c r="Q312" i="2"/>
  <c r="R312" i="2"/>
  <c r="S312" i="2"/>
  <c r="T312" i="2"/>
  <c r="U312" i="2"/>
  <c r="V312" i="2"/>
  <c r="W312" i="2"/>
  <c r="X312" i="2"/>
  <c r="Y312" i="2"/>
  <c r="B313" i="2"/>
  <c r="C313" i="2"/>
  <c r="D313" i="2"/>
  <c r="E313" i="2"/>
  <c r="F313" i="2"/>
  <c r="G313" i="2"/>
  <c r="H313" i="2"/>
  <c r="I313" i="2"/>
  <c r="J313" i="2"/>
  <c r="K313" i="2"/>
  <c r="L313" i="2"/>
  <c r="M313" i="2"/>
  <c r="N313" i="2"/>
  <c r="O313" i="2"/>
  <c r="P313" i="2"/>
  <c r="Q313" i="2"/>
  <c r="R313" i="2"/>
  <c r="S313" i="2"/>
  <c r="T313" i="2"/>
  <c r="U313" i="2"/>
  <c r="V313" i="2"/>
  <c r="W313" i="2"/>
  <c r="X313" i="2"/>
  <c r="Y313" i="2"/>
  <c r="B314" i="2"/>
  <c r="C314" i="2"/>
  <c r="D314" i="2"/>
  <c r="E314" i="2"/>
  <c r="F314" i="2"/>
  <c r="G314" i="2"/>
  <c r="H314" i="2"/>
  <c r="I314" i="2"/>
  <c r="J314" i="2"/>
  <c r="K314" i="2"/>
  <c r="L314" i="2"/>
  <c r="M314" i="2"/>
  <c r="N314" i="2"/>
  <c r="O314" i="2"/>
  <c r="P314" i="2"/>
  <c r="Q314" i="2"/>
  <c r="R314" i="2"/>
  <c r="S314" i="2"/>
  <c r="T314" i="2"/>
  <c r="U314" i="2"/>
  <c r="V314" i="2"/>
  <c r="W314" i="2"/>
  <c r="X314" i="2"/>
  <c r="Y314" i="2"/>
  <c r="B315" i="2"/>
  <c r="C315" i="2"/>
  <c r="D315" i="2"/>
  <c r="E315" i="2"/>
  <c r="F315" i="2"/>
  <c r="G315" i="2"/>
  <c r="H315" i="2"/>
  <c r="I315" i="2"/>
  <c r="J315" i="2"/>
  <c r="K315" i="2"/>
  <c r="L315" i="2"/>
  <c r="M315" i="2"/>
  <c r="N315" i="2"/>
  <c r="O315" i="2"/>
  <c r="P315" i="2"/>
  <c r="Q315" i="2"/>
  <c r="R315" i="2"/>
  <c r="S315" i="2"/>
  <c r="T315" i="2"/>
  <c r="U315" i="2"/>
  <c r="V315" i="2"/>
  <c r="W315" i="2"/>
  <c r="X315" i="2"/>
  <c r="Y315" i="2"/>
  <c r="B316" i="2"/>
  <c r="C316" i="2"/>
  <c r="D316" i="2"/>
  <c r="E316" i="2"/>
  <c r="F316" i="2"/>
  <c r="G316" i="2"/>
  <c r="H316" i="2"/>
  <c r="I316" i="2"/>
  <c r="J316" i="2"/>
  <c r="K316" i="2"/>
  <c r="L316" i="2"/>
  <c r="M316" i="2"/>
  <c r="N316" i="2"/>
  <c r="O316" i="2"/>
  <c r="P316" i="2"/>
  <c r="Q316" i="2"/>
  <c r="R316" i="2"/>
  <c r="S316" i="2"/>
  <c r="T316" i="2"/>
  <c r="U316" i="2"/>
  <c r="V316" i="2"/>
  <c r="W316" i="2"/>
  <c r="X316" i="2"/>
  <c r="Y316" i="2"/>
  <c r="B317" i="2"/>
  <c r="C317" i="2"/>
  <c r="D317" i="2"/>
  <c r="E317" i="2"/>
  <c r="F317" i="2"/>
  <c r="G317" i="2"/>
  <c r="H317" i="2"/>
  <c r="I317" i="2"/>
  <c r="J317" i="2"/>
  <c r="K317" i="2"/>
  <c r="L317" i="2"/>
  <c r="M317" i="2"/>
  <c r="N317" i="2"/>
  <c r="O317" i="2"/>
  <c r="P317" i="2"/>
  <c r="Q317" i="2"/>
  <c r="R317" i="2"/>
  <c r="S317" i="2"/>
  <c r="T317" i="2"/>
  <c r="U317" i="2"/>
  <c r="V317" i="2"/>
  <c r="W317" i="2"/>
  <c r="X317" i="2"/>
  <c r="Y317" i="2"/>
  <c r="B318" i="2"/>
  <c r="C318" i="2"/>
  <c r="D318" i="2"/>
  <c r="E318" i="2"/>
  <c r="F318" i="2"/>
  <c r="G318" i="2"/>
  <c r="H318" i="2"/>
  <c r="I318" i="2"/>
  <c r="J318" i="2"/>
  <c r="K318" i="2"/>
  <c r="L318" i="2"/>
  <c r="M318" i="2"/>
  <c r="N318" i="2"/>
  <c r="O318" i="2"/>
  <c r="P318" i="2"/>
  <c r="Q318" i="2"/>
  <c r="R318" i="2"/>
  <c r="S318" i="2"/>
  <c r="T318" i="2"/>
  <c r="U318" i="2"/>
  <c r="V318" i="2"/>
  <c r="W318" i="2"/>
  <c r="X318" i="2"/>
  <c r="Y318" i="2"/>
  <c r="B319" i="2"/>
  <c r="C319" i="2"/>
  <c r="D319" i="2"/>
  <c r="E319" i="2"/>
  <c r="F319" i="2"/>
  <c r="G319" i="2"/>
  <c r="H319" i="2"/>
  <c r="I319" i="2"/>
  <c r="J319" i="2"/>
  <c r="K319" i="2"/>
  <c r="L319" i="2"/>
  <c r="M319" i="2"/>
  <c r="N319" i="2"/>
  <c r="O319" i="2"/>
  <c r="P319" i="2"/>
  <c r="Q319" i="2"/>
  <c r="R319" i="2"/>
  <c r="S319" i="2"/>
  <c r="T319" i="2"/>
  <c r="U319" i="2"/>
  <c r="V319" i="2"/>
  <c r="W319" i="2"/>
  <c r="X319" i="2"/>
  <c r="Y319" i="2"/>
  <c r="B320" i="2"/>
  <c r="C320" i="2"/>
  <c r="D320" i="2"/>
  <c r="E320" i="2"/>
  <c r="F320" i="2"/>
  <c r="G320" i="2"/>
  <c r="H320" i="2"/>
  <c r="I320" i="2"/>
  <c r="J320" i="2"/>
  <c r="K320" i="2"/>
  <c r="L320" i="2"/>
  <c r="M320" i="2"/>
  <c r="N320" i="2"/>
  <c r="O320" i="2"/>
  <c r="P320" i="2"/>
  <c r="Q320" i="2"/>
  <c r="R320" i="2"/>
  <c r="S320" i="2"/>
  <c r="T320" i="2"/>
  <c r="U320" i="2"/>
  <c r="V320" i="2"/>
  <c r="W320" i="2"/>
  <c r="X320" i="2"/>
  <c r="Y320" i="2"/>
  <c r="B321" i="2"/>
  <c r="C321" i="2"/>
  <c r="D321" i="2"/>
  <c r="E321" i="2"/>
  <c r="F321" i="2"/>
  <c r="G321" i="2"/>
  <c r="H321" i="2"/>
  <c r="I321" i="2"/>
  <c r="J321" i="2"/>
  <c r="K321" i="2"/>
  <c r="L321" i="2"/>
  <c r="M321" i="2"/>
  <c r="N321" i="2"/>
  <c r="O321" i="2"/>
  <c r="P321" i="2"/>
  <c r="Q321" i="2"/>
  <c r="R321" i="2"/>
  <c r="S321" i="2"/>
  <c r="T321" i="2"/>
  <c r="U321" i="2"/>
  <c r="V321" i="2"/>
  <c r="W321" i="2"/>
  <c r="X321" i="2"/>
  <c r="Y321" i="2"/>
  <c r="B322" i="2"/>
  <c r="C322" i="2"/>
  <c r="D322" i="2"/>
  <c r="E322" i="2"/>
  <c r="F322" i="2"/>
  <c r="G322" i="2"/>
  <c r="H322" i="2"/>
  <c r="I322" i="2"/>
  <c r="J322" i="2"/>
  <c r="K322" i="2"/>
  <c r="L322" i="2"/>
  <c r="M322" i="2"/>
  <c r="N322" i="2"/>
  <c r="O322" i="2"/>
  <c r="P322" i="2"/>
  <c r="Q322" i="2"/>
  <c r="R322" i="2"/>
  <c r="S322" i="2"/>
  <c r="T322" i="2"/>
  <c r="U322" i="2"/>
  <c r="V322" i="2"/>
  <c r="W322" i="2"/>
  <c r="X322" i="2"/>
  <c r="Y322" i="2"/>
  <c r="B323" i="2"/>
  <c r="C323" i="2"/>
  <c r="D323" i="2"/>
  <c r="E323" i="2"/>
  <c r="F323" i="2"/>
  <c r="G323" i="2"/>
  <c r="H323" i="2"/>
  <c r="I323" i="2"/>
  <c r="J323" i="2"/>
  <c r="K323" i="2"/>
  <c r="L323" i="2"/>
  <c r="M323" i="2"/>
  <c r="N323" i="2"/>
  <c r="O323" i="2"/>
  <c r="P323" i="2"/>
  <c r="Q323" i="2"/>
  <c r="R323" i="2"/>
  <c r="S323" i="2"/>
  <c r="T323" i="2"/>
  <c r="U323" i="2"/>
  <c r="V323" i="2"/>
  <c r="W323" i="2"/>
  <c r="X323" i="2"/>
  <c r="Y323" i="2"/>
  <c r="B324" i="2"/>
  <c r="C324" i="2"/>
  <c r="D324" i="2"/>
  <c r="E324" i="2"/>
  <c r="F324" i="2"/>
  <c r="G324" i="2"/>
  <c r="H324" i="2"/>
  <c r="I324" i="2"/>
  <c r="J324" i="2"/>
  <c r="K324" i="2"/>
  <c r="L324" i="2"/>
  <c r="M324" i="2"/>
  <c r="N324" i="2"/>
  <c r="O324" i="2"/>
  <c r="P324" i="2"/>
  <c r="Q324" i="2"/>
  <c r="R324" i="2"/>
  <c r="S324" i="2"/>
  <c r="T324" i="2"/>
  <c r="U324" i="2"/>
  <c r="V324" i="2"/>
  <c r="W324" i="2"/>
  <c r="X324" i="2"/>
  <c r="Y324" i="2"/>
  <c r="B325" i="2"/>
  <c r="C325" i="2"/>
  <c r="D325" i="2"/>
  <c r="E325" i="2"/>
  <c r="F325" i="2"/>
  <c r="G325" i="2"/>
  <c r="H325" i="2"/>
  <c r="I325" i="2"/>
  <c r="J325" i="2"/>
  <c r="K325" i="2"/>
  <c r="L325" i="2"/>
  <c r="M325" i="2"/>
  <c r="N325" i="2"/>
  <c r="O325" i="2"/>
  <c r="P325" i="2"/>
  <c r="Q325" i="2"/>
  <c r="R325" i="2"/>
  <c r="S325" i="2"/>
  <c r="T325" i="2"/>
  <c r="U325" i="2"/>
  <c r="V325" i="2"/>
  <c r="W325" i="2"/>
  <c r="X325" i="2"/>
  <c r="Y325" i="2"/>
  <c r="B326" i="2"/>
  <c r="C326" i="2"/>
  <c r="D326" i="2"/>
  <c r="E326" i="2"/>
  <c r="F326" i="2"/>
  <c r="G326" i="2"/>
  <c r="H326" i="2"/>
  <c r="I326" i="2"/>
  <c r="J326" i="2"/>
  <c r="K326" i="2"/>
  <c r="L326" i="2"/>
  <c r="M326" i="2"/>
  <c r="N326" i="2"/>
  <c r="O326" i="2"/>
  <c r="P326" i="2"/>
  <c r="Q326" i="2"/>
  <c r="R326" i="2"/>
  <c r="S326" i="2"/>
  <c r="T326" i="2"/>
  <c r="U326" i="2"/>
  <c r="V326" i="2"/>
  <c r="W326" i="2"/>
  <c r="X326" i="2"/>
  <c r="Y326" i="2"/>
  <c r="B327" i="2"/>
  <c r="C327" i="2"/>
  <c r="D327" i="2"/>
  <c r="E327" i="2"/>
  <c r="F327" i="2"/>
  <c r="G327" i="2"/>
  <c r="H327" i="2"/>
  <c r="I327" i="2"/>
  <c r="J327" i="2"/>
  <c r="K327" i="2"/>
  <c r="L327" i="2"/>
  <c r="M327" i="2"/>
  <c r="N327" i="2"/>
  <c r="O327" i="2"/>
  <c r="P327" i="2"/>
  <c r="Q327" i="2"/>
  <c r="R327" i="2"/>
  <c r="S327" i="2"/>
  <c r="T327" i="2"/>
  <c r="U327" i="2"/>
  <c r="V327" i="2"/>
  <c r="W327" i="2"/>
  <c r="X327" i="2"/>
  <c r="Y327" i="2"/>
  <c r="B328" i="2"/>
  <c r="C328" i="2"/>
  <c r="D328" i="2"/>
  <c r="E328" i="2"/>
  <c r="F328" i="2"/>
  <c r="G328" i="2"/>
  <c r="H328" i="2"/>
  <c r="I328" i="2"/>
  <c r="J328" i="2"/>
  <c r="K328" i="2"/>
  <c r="L328" i="2"/>
  <c r="M328" i="2"/>
  <c r="N328" i="2"/>
  <c r="O328" i="2"/>
  <c r="P328" i="2"/>
  <c r="Q328" i="2"/>
  <c r="R328" i="2"/>
  <c r="S328" i="2"/>
  <c r="T328" i="2"/>
  <c r="U328" i="2"/>
  <c r="V328" i="2"/>
  <c r="W328" i="2"/>
  <c r="X328" i="2"/>
  <c r="Y328" i="2"/>
  <c r="B329" i="2"/>
  <c r="C329" i="2"/>
  <c r="D329" i="2"/>
  <c r="E329" i="2"/>
  <c r="F329" i="2"/>
  <c r="G329" i="2"/>
  <c r="H329" i="2"/>
  <c r="I329" i="2"/>
  <c r="J329" i="2"/>
  <c r="K329" i="2"/>
  <c r="L329" i="2"/>
  <c r="M329" i="2"/>
  <c r="N329" i="2"/>
  <c r="O329" i="2"/>
  <c r="P329" i="2"/>
  <c r="Q329" i="2"/>
  <c r="R329" i="2"/>
  <c r="S329" i="2"/>
  <c r="T329" i="2"/>
  <c r="U329" i="2"/>
  <c r="V329" i="2"/>
  <c r="W329" i="2"/>
  <c r="X329" i="2"/>
  <c r="Y329" i="2"/>
  <c r="B330" i="2"/>
  <c r="C330" i="2"/>
  <c r="D330" i="2"/>
  <c r="E330" i="2"/>
  <c r="F330" i="2"/>
  <c r="G330" i="2"/>
  <c r="H330" i="2"/>
  <c r="I330" i="2"/>
  <c r="J330" i="2"/>
  <c r="K330" i="2"/>
  <c r="L330" i="2"/>
  <c r="M330" i="2"/>
  <c r="N330" i="2"/>
  <c r="O330" i="2"/>
  <c r="P330" i="2"/>
  <c r="Q330" i="2"/>
  <c r="R330" i="2"/>
  <c r="S330" i="2"/>
  <c r="T330" i="2"/>
  <c r="U330" i="2"/>
  <c r="V330" i="2"/>
  <c r="W330" i="2"/>
  <c r="X330" i="2"/>
  <c r="Y330" i="2"/>
  <c r="B331" i="2"/>
  <c r="C331" i="2"/>
  <c r="D331" i="2"/>
  <c r="E331" i="2"/>
  <c r="F331" i="2"/>
  <c r="G331" i="2"/>
  <c r="H331" i="2"/>
  <c r="I331" i="2"/>
  <c r="J331" i="2"/>
  <c r="K331" i="2"/>
  <c r="L331" i="2"/>
  <c r="M331" i="2"/>
  <c r="N331" i="2"/>
  <c r="O331" i="2"/>
  <c r="P331" i="2"/>
  <c r="Q331" i="2"/>
  <c r="R331" i="2"/>
  <c r="S331" i="2"/>
  <c r="T331" i="2"/>
  <c r="U331" i="2"/>
  <c r="V331" i="2"/>
  <c r="W331" i="2"/>
  <c r="X331" i="2"/>
  <c r="Y331" i="2"/>
  <c r="B332" i="2"/>
  <c r="C332" i="2"/>
  <c r="D332" i="2"/>
  <c r="E332" i="2"/>
  <c r="F332" i="2"/>
  <c r="G332" i="2"/>
  <c r="H332" i="2"/>
  <c r="I332" i="2"/>
  <c r="J332" i="2"/>
  <c r="K332" i="2"/>
  <c r="L332" i="2"/>
  <c r="M332" i="2"/>
  <c r="N332" i="2"/>
  <c r="O332" i="2"/>
  <c r="P332" i="2"/>
  <c r="Q332" i="2"/>
  <c r="R332" i="2"/>
  <c r="S332" i="2"/>
  <c r="T332" i="2"/>
  <c r="U332" i="2"/>
  <c r="V332" i="2"/>
  <c r="W332" i="2"/>
  <c r="X332" i="2"/>
  <c r="Y332" i="2"/>
  <c r="B333" i="2"/>
  <c r="C333" i="2"/>
  <c r="D333" i="2"/>
  <c r="E333" i="2"/>
  <c r="F333" i="2"/>
  <c r="G333" i="2"/>
  <c r="H333" i="2"/>
  <c r="I333" i="2"/>
  <c r="J333" i="2"/>
  <c r="K333" i="2"/>
  <c r="L333" i="2"/>
  <c r="M333" i="2"/>
  <c r="N333" i="2"/>
  <c r="O333" i="2"/>
  <c r="P333" i="2"/>
  <c r="Q333" i="2"/>
  <c r="R333" i="2"/>
  <c r="S333" i="2"/>
  <c r="T333" i="2"/>
  <c r="U333" i="2"/>
  <c r="V333" i="2"/>
  <c r="W333" i="2"/>
  <c r="X333" i="2"/>
  <c r="Y333" i="2"/>
  <c r="B334" i="2"/>
  <c r="C334" i="2"/>
  <c r="D334" i="2"/>
  <c r="E334" i="2"/>
  <c r="F334" i="2"/>
  <c r="G334" i="2"/>
  <c r="H334" i="2"/>
  <c r="I334" i="2"/>
  <c r="J334" i="2"/>
  <c r="K334" i="2"/>
  <c r="L334" i="2"/>
  <c r="M334" i="2"/>
  <c r="N334" i="2"/>
  <c r="O334" i="2"/>
  <c r="P334" i="2"/>
  <c r="Q334" i="2"/>
  <c r="R334" i="2"/>
  <c r="S334" i="2"/>
  <c r="T334" i="2"/>
  <c r="U334" i="2"/>
  <c r="V334" i="2"/>
  <c r="W334" i="2"/>
  <c r="X334" i="2"/>
  <c r="Y334" i="2"/>
  <c r="B335" i="2"/>
  <c r="C335" i="2"/>
  <c r="D335" i="2"/>
  <c r="E335" i="2"/>
  <c r="F335" i="2"/>
  <c r="G335" i="2"/>
  <c r="H335" i="2"/>
  <c r="I335" i="2"/>
  <c r="J335" i="2"/>
  <c r="K335" i="2"/>
  <c r="L335" i="2"/>
  <c r="M335" i="2"/>
  <c r="N335" i="2"/>
  <c r="O335" i="2"/>
  <c r="P335" i="2"/>
  <c r="Q335" i="2"/>
  <c r="R335" i="2"/>
  <c r="S335" i="2"/>
  <c r="T335" i="2"/>
  <c r="U335" i="2"/>
  <c r="V335" i="2"/>
  <c r="W335" i="2"/>
  <c r="X335" i="2"/>
  <c r="Y335" i="2"/>
  <c r="B336" i="2"/>
  <c r="C336" i="2"/>
  <c r="D336" i="2"/>
  <c r="E336" i="2"/>
  <c r="F336" i="2"/>
  <c r="G336" i="2"/>
  <c r="H336" i="2"/>
  <c r="I336" i="2"/>
  <c r="J336" i="2"/>
  <c r="K336" i="2"/>
  <c r="L336" i="2"/>
  <c r="M336" i="2"/>
  <c r="N336" i="2"/>
  <c r="O336" i="2"/>
  <c r="P336" i="2"/>
  <c r="Q336" i="2"/>
  <c r="R336" i="2"/>
  <c r="S336" i="2"/>
  <c r="T336" i="2"/>
  <c r="U336" i="2"/>
  <c r="V336" i="2"/>
  <c r="W336" i="2"/>
  <c r="X336" i="2"/>
  <c r="Y336" i="2"/>
  <c r="B3" i="2"/>
  <c r="C3" i="2"/>
  <c r="D3" i="2"/>
  <c r="E3" i="2"/>
  <c r="F3" i="2"/>
  <c r="G3" i="2"/>
  <c r="H3" i="2"/>
  <c r="I3" i="2"/>
  <c r="J3" i="2"/>
  <c r="K3" i="2"/>
  <c r="L3" i="2"/>
  <c r="M3" i="2"/>
  <c r="N3" i="2"/>
  <c r="O3" i="2"/>
  <c r="P3" i="2"/>
  <c r="Q3" i="2"/>
  <c r="R3" i="2"/>
  <c r="S3" i="2"/>
  <c r="T3" i="2"/>
  <c r="U3" i="2"/>
  <c r="V3" i="2"/>
  <c r="W3" i="2"/>
  <c r="X3" i="2"/>
  <c r="Y3" i="2"/>
  <c r="B2" i="4" l="1"/>
  <c r="D2" i="4"/>
  <c r="E2" i="4"/>
  <c r="F2" i="4"/>
  <c r="C2" i="4"/>
  <c r="P2" i="2"/>
  <c r="Q2" i="2"/>
  <c r="R2" i="2"/>
  <c r="S2" i="2"/>
  <c r="T2" i="2"/>
  <c r="U2" i="2"/>
  <c r="V2" i="2"/>
  <c r="W2" i="2"/>
  <c r="X2" i="2"/>
  <c r="Y2" i="2"/>
  <c r="N2" i="2"/>
  <c r="O2" i="2"/>
  <c r="M2" i="2"/>
  <c r="D2" i="2"/>
  <c r="E2" i="2"/>
  <c r="F2" i="2"/>
  <c r="G2" i="2"/>
  <c r="H2" i="2"/>
  <c r="I2" i="2"/>
  <c r="J2" i="2"/>
  <c r="K2" i="2"/>
  <c r="L2" i="2"/>
  <c r="C2" i="2"/>
  <c r="AI2" i="3"/>
  <c r="AJ2" i="3"/>
  <c r="AC2" i="3"/>
  <c r="AD2" i="3"/>
  <c r="AE2" i="3"/>
  <c r="AF2" i="3"/>
  <c r="AG2" i="3"/>
  <c r="AH2" i="3"/>
  <c r="W2" i="3"/>
  <c r="U2" i="3"/>
  <c r="T2" i="3"/>
  <c r="V2" i="3"/>
  <c r="X2" i="3"/>
  <c r="Y2" i="3"/>
  <c r="Z2" i="3"/>
  <c r="AA2" i="3"/>
  <c r="AB2" i="3"/>
  <c r="S2" i="3"/>
  <c r="O2" i="3"/>
  <c r="P2" i="3"/>
  <c r="Q2" i="3"/>
  <c r="R2" i="3"/>
  <c r="C2" i="3"/>
  <c r="D2" i="3"/>
  <c r="E2" i="3"/>
  <c r="F2" i="3"/>
  <c r="G2" i="3"/>
  <c r="H2" i="3"/>
  <c r="I2" i="3"/>
  <c r="K2" i="3"/>
  <c r="L2" i="3"/>
  <c r="M2" i="3"/>
  <c r="N2" i="3"/>
  <c r="B2" i="3"/>
  <c r="B2" i="2"/>
</calcChain>
</file>

<file path=xl/sharedStrings.xml><?xml version="1.0" encoding="utf-8"?>
<sst xmlns="http://schemas.openxmlformats.org/spreadsheetml/2006/main" count="12162" uniqueCount="3313">
  <si>
    <t>membre</t>
  </si>
  <si>
    <t>Dernière mise à jour</t>
  </si>
  <si>
    <t>Fils de(Père)</t>
  </si>
  <si>
    <t>Fils de(Mère)</t>
  </si>
  <si>
    <t>Tuteur</t>
  </si>
  <si>
    <t>Institution</t>
  </si>
  <si>
    <t>Adresse urgence</t>
  </si>
  <si>
    <t>Referent_institut</t>
  </si>
  <si>
    <t>arpo_gereseul</t>
  </si>
  <si>
    <t>arpo_avecaidephys</t>
  </si>
  <si>
    <t>arpo_avecconseil</t>
  </si>
  <si>
    <t>arpo_negerepas</t>
  </si>
  <si>
    <t>Mobil_marcheseul</t>
  </si>
  <si>
    <t>Mobil_marchaide</t>
  </si>
  <si>
    <t>Mobil_marchauxi</t>
  </si>
  <si>
    <t>Mobil_fauteuilman</t>
  </si>
  <si>
    <t>Mobil_fauteuilelec</t>
  </si>
  <si>
    <t>Long_dep</t>
  </si>
  <si>
    <t>Piscine_coment</t>
  </si>
  <si>
    <t>Piscine_gilet</t>
  </si>
  <si>
    <t>Publication</t>
  </si>
  <si>
    <t>habillement</t>
  </si>
  <si>
    <t>someil</t>
  </si>
  <si>
    <t>acnuit_atache</t>
  </si>
  <si>
    <t>acnuit_drapspec</t>
  </si>
  <si>
    <t>acnuit_gilet</t>
  </si>
  <si>
    <t>acnuit_barriere</t>
  </si>
  <si>
    <t>Expresssion</t>
  </si>
  <si>
    <t>Famille</t>
  </si>
  <si>
    <t>Fraterie</t>
  </si>
  <si>
    <t>Amis</t>
  </si>
  <si>
    <t>Passions_Loisirs</t>
  </si>
  <si>
    <t>Activités peu appréciées</t>
  </si>
  <si>
    <t>autonomierepas</t>
  </si>
  <si>
    <t>alim_prefere</t>
  </si>
  <si>
    <t>alim_regime</t>
  </si>
  <si>
    <t>alim_decons</t>
  </si>
  <si>
    <t>alim_interdit</t>
  </si>
  <si>
    <t>bois_condition</t>
  </si>
  <si>
    <t>bois_prefere</t>
  </si>
  <si>
    <t>bois_regime</t>
  </si>
  <si>
    <t>bois_decons</t>
  </si>
  <si>
    <t>bois_interdit</t>
  </si>
  <si>
    <t>impot</t>
  </si>
  <si>
    <t>Interv_A</t>
  </si>
  <si>
    <t>Interv_B</t>
  </si>
  <si>
    <t>Interv_C</t>
  </si>
  <si>
    <t>Interv_R</t>
  </si>
  <si>
    <t>CR_urgence</t>
  </si>
  <si>
    <t>CR_surcharge</t>
  </si>
  <si>
    <t>CR_loisirs</t>
  </si>
  <si>
    <t>CR_famille</t>
  </si>
  <si>
    <t>Medecin 1</t>
  </si>
  <si>
    <t>Medecin 2</t>
  </si>
  <si>
    <t>Medecin 3</t>
  </si>
  <si>
    <t>Caisse maladie</t>
  </si>
  <si>
    <t>Accident</t>
  </si>
  <si>
    <t>no_assuré</t>
  </si>
  <si>
    <t>Type de handicap</t>
  </si>
  <si>
    <t>Handicaps Associés</t>
  </si>
  <si>
    <t>deg_impot</t>
  </si>
  <si>
    <t>Allergies</t>
  </si>
  <si>
    <t>toilette</t>
  </si>
  <si>
    <t>incontinence</t>
  </si>
  <si>
    <t>escarres</t>
  </si>
  <si>
    <t>change_pos</t>
  </si>
  <si>
    <t>frequence_change</t>
  </si>
  <si>
    <t/>
  </si>
  <si>
    <t>ligne1
ligne 2
Ligne 3</t>
  </si>
  <si>
    <t>Incliner légèrement son fauteuil en arrière pour facilier la déglutition. Alimentation normale. Couper fin, très petit, si trop secd rajouter du lait et lui donner à manger.</t>
  </si>
  <si>
    <t>II boit à la paille</t>
  </si>
  <si>
    <t>café</t>
  </si>
  <si>
    <t>IMC profond</t>
  </si>
  <si>
    <t>Handicap mental, troubles moteurs</t>
  </si>
  <si>
    <t>Elevé</t>
  </si>
  <si>
    <t>protéger Alain du soleil (chapeau, crème). Il a une peau très sensible, faire attention aux coups de soleil dans la nuque!</t>
  </si>
  <si>
    <t>Aide complète. Attention a bien mettre son plateau pour évtier les blessures aux genoux. Chaise percée pour douche tous les jours.</t>
  </si>
  <si>
    <t>lain a une autonomie moyenne. Par commodité, il est langé à l'extérieur de la maison. Au changement de lange (matin, midi, soir, avant le coucher), lui demander s'il veut aller aux toillettes</t>
  </si>
  <si>
    <t>massage des pieds et des fesses</t>
  </si>
  <si>
    <t>Elle supporte les longs trajets en bus</t>
  </si>
  <si>
    <t>Elle apprécie l'eau</t>
  </si>
  <si>
    <t>Aide totale</t>
  </si>
  <si>
    <t>Elle n'a pas l'expression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</si>
  <si>
    <t>Elle apprécie beaucoup sa grand-maman.</t>
  </si>
  <si>
    <t>Alycia a une petite sœur qui s'appelle Léanne</t>
  </si>
  <si>
    <t>Activités en plein air. Elle aime bien écouter de la musiquen et des histoires. Elle apprécie les balades et le vélo.</t>
  </si>
  <si>
    <t>Alycia est alimentée par sonde. 150 ml de frébini 300m/h avec la pompe. (peg) matin, midi et soir avec la pompe et le sachet alimentaire. Donner de l'eau 3x/jours 150ml
Prend environs 30 min pour le repas trois fois limentation avec les sachet pour la boisson. On peut l'alimenter durant les transports ou en déplacement sur la chaise.</t>
  </si>
  <si>
    <t>00807.17.515.7</t>
  </si>
  <si>
    <t>Polyhandicap</t>
  </si>
  <si>
    <t>A mettre lunettes médicales la journée</t>
  </si>
  <si>
    <t>Changer les protections matin, midi et soir. Aussi si ell a été à selle.</t>
  </si>
  <si>
    <t>oui</t>
  </si>
  <si>
    <t>changement de position pendant la journée.</t>
  </si>
  <si>
    <t>Le faire marcher dans l'eau rester tout le temps à ses côtés.</t>
  </si>
  <si>
    <t>Expression verbale, mimiques, écholalie, stéréotipie</t>
  </si>
  <si>
    <t>Il aime beaucoup la musique: écouter  Mylène Farmer, et chanter.
Ne pas lui donner trop d'ordres, pas trop d'exigences, juste lui indiquer ce que l'on fait. Si il se fâche, il se donne des claques.</t>
  </si>
  <si>
    <t>Elle est destabilisée par la foule.</t>
  </si>
  <si>
    <t>IMC</t>
  </si>
  <si>
    <t>Diplégie spastique, retard mental, comportement autistique, handicap mental</t>
  </si>
  <si>
    <t>Groupe - C4 Beate Friedberger</t>
  </si>
  <si>
    <t>Elle supporte les trajets en bus.</t>
  </si>
  <si>
    <t>Il faut l’accompagner. Si elle ne veut pas, il ne faut pas la forcer</t>
  </si>
  <si>
    <t>dort bien mais discute parfois longtemps. Danièla demande pour aller au lit. Le matin, au lever elle boit volontiers un verre d’eau. Protection pour la nuit</t>
  </si>
  <si>
    <t>s’exprime en allemand et en français à sa manière. Elle mélange les mots allemands avec les mots français.</t>
  </si>
  <si>
    <t>Son papa est décédé.</t>
  </si>
  <si>
    <t>Elle a 2 sœurs : Claudia et Andrea.</t>
  </si>
  <si>
    <t>Danièla possède un cahier avec des photos de sa famille et de son entourage. Danièla s’exprime bien et montre ce qu’elle souhaite. Elle arrive à faire des choix. Elle apprécie les différents styles de musique. Elle aime faire des jeux d’encastrement ex : mettre les pièces dans le jeu du puissance 4. Elle arrive à faire du vélo à 3 roues.</t>
  </si>
  <si>
    <t>Toutes les activités avec des bruits, Danièla sursaute beaucoup</t>
  </si>
  <si>
    <t>les aliments sont à couper, elle mange seule avec une fourchette dans une assiette creuse ; fait le mouvement de pelle côté droit et elle doit  mettre la main gauche à plat sur la table les doigts légèrement écartés.</t>
  </si>
  <si>
    <t>elle boit dans un gobelet spécial avec 2 anses. Lors de déplacement elle arrive à boire dans un verre normal.
Matin : Tartine au beurre, confiture et café et fruit habituellement. Les autres repas elle mange de tout et sait dire lorsqu’elle ne veut plus.
Elle apprécie boire de l’eau, du sirop ou autre minéralesIl faut l'asseoir sur une chaise avec des accoudoirs.</t>
  </si>
  <si>
    <t>3705</t>
  </si>
  <si>
    <t>Handicap mental, troubles moteurs, hémiplégie côté gauche</t>
  </si>
  <si>
    <t>oui Danièla participe à l’habillage (= pousser les bras, monter les chaussettes) pour le reste elle a besoin d’aide (= se tient debout si elle a une barrière pour se tenir) Elle a des attelles aux jambes. Masser les pieds pour les détendres et ensuite bien mettre le talon au fond de l’attelle. Pour vérifier si le talon est bein au fond regarder le trou sur le talon de l’attelle.
Douche : assise sur une chaise, elle se lève pour se faire laver les parties intimes.</t>
  </si>
  <si>
    <t>Elle demande si elle a besoin d’uriner. Se déplace dans la salle de bain et se lève avec la barrière. Appelle pour qu’on l’aide à se remettre dans son fauteuil.
Le matin, lui proposer d’aller aux WC avant de déjeuner. Protection pour la nuit!</t>
  </si>
  <si>
    <t>si Laurent n'a pas fond, il a besoin d'aide.</t>
  </si>
  <si>
    <t>Parle</t>
  </si>
  <si>
    <t>Ses parents sont séparés. Son papa habite dans le canton de Berne et sa maman à Betten près de Naters. Il a deux frères: Jean-Luc (1965) et Yves (1964). Laurent apprécie la piscine, les ballades.Il travaille un après-midi par semaine dans un atelier et le</t>
  </si>
  <si>
    <t>Handicap mental</t>
  </si>
  <si>
    <t>Non</t>
  </si>
  <si>
    <t>Il sait nager, il faut être à côté</t>
  </si>
  <si>
    <t>oral</t>
  </si>
  <si>
    <t>Rhume des foins</t>
  </si>
  <si>
    <t>Patrice a besoin de l’aide d’un adulte.</t>
  </si>
  <si>
    <t>oral, mais avec difficulté. Il faut lui poser des questions pour qu’il participe à la conversation.</t>
  </si>
  <si>
    <t>Patrice aime les animaux, la musique, les magazines et regarder la télévision. Il a depuis une année un neveu qu’il aime beaucoup. Sa deuxième sœur dirige une société d’accordéoniste. Son papa est passionné de pétanque.</t>
  </si>
  <si>
    <t>Ataxie, syndrome de Marinesco</t>
  </si>
  <si>
    <t>troubles moteurs</t>
  </si>
  <si>
    <t>A protéger du Soleil (casquette, crème).</t>
  </si>
  <si>
    <t>Il supporte les longs trajets et se déplace seul.</t>
  </si>
  <si>
    <t>Il nage seul, sans manchon. Il n'a pas peur de l'eau.</t>
  </si>
  <si>
    <t>Il faut l'aider à choisir ses vêtements en fonction du temps.</t>
  </si>
  <si>
    <t>Il dort beaucoup, de plus en plus. Il n'a pas d'horaires particuliers.</t>
  </si>
  <si>
    <t>Langage verbal avec des gestes.</t>
  </si>
  <si>
    <t>Il n'a plus que sa maman et l'ami de celle-ci.</t>
  </si>
  <si>
    <t>décédés</t>
  </si>
  <si>
    <t>Avec sa maman et l'ami de celle-ci, ils vont à vélo, au camping, nager, voir des matchs de foot, manger au restaurant, danser, ect. Il a des cousins et cousines mais ne les voit jamais, seul Fritz Karafiat l'amène faire des raquettes parfois l'hiver. Il aime les activités de groupe, est très sociable mains ne parle pas beaucoup. Il aime le cinéma et le foot, les trains à la gare, les avions à l'aéroport, mais surtout voir des gens ! S'il va au ciné, il ne comprend pas le film, c'est juste pour sortir. Attention, quand il voit des jeux de cartes, il les pique pour s'amuser avec. Il aime les avions et les trains.</t>
  </si>
  <si>
    <t>Aucune, il est agréable et facile à vivre.</t>
  </si>
  <si>
    <t>Il mange seul et se débrouille bien.</t>
  </si>
  <si>
    <t>644702</t>
  </si>
  <si>
    <t>Syndrôme de William's</t>
  </si>
  <si>
    <t>handicap mental - Malformation cardiaque</t>
  </si>
  <si>
    <t>Faible</t>
  </si>
  <si>
    <t>N.B. Il a une bonne santé, rarement malade. Il a un souffle au cœur mais sans conséquences jusqu'à présent.</t>
  </si>
  <si>
    <t>N'a pas besoin d'aide.</t>
  </si>
  <si>
    <t>Il est sensible aux diarrhées. Il est autonome et va souvent aux toilettes.</t>
  </si>
  <si>
    <t>Elle aime l'eau, elle y va avec un gilet et une personne en soutenance.</t>
  </si>
  <si>
    <t>aide complète, elle aime être propre et être lavée.</t>
  </si>
  <si>
    <t>Elle dort sur le dos avec  un coussin d’allaitement sous les genoux et un coussin sous la tête selon sa position. Elle apprécie avoir un mobile au dessus de sa tête et des nounours autour d’elle.
Le soir, elle se couche vers  les 20h-21h00. Elle a besoin de temps pour s’endormir et parfois, après avoir mis la sonde, il est nécessaire de la changée. Si non, elle a un bon sommeil. La nuit à vérifier son lange env. 1/ 2heure après l’application de la sonde.</t>
  </si>
  <si>
    <t>Elle n’a pas une communication verbale mais Cloé communique avec des petits cris. L’intonation varie selon son humeur. (Contente, dérangée, douleur, etc.). Cloé ne peut pas se positionner dans le « oui » ou le « non ».</t>
  </si>
  <si>
    <t>Cloé a des frères (Léandre de 2005, Joaquim de 2002).</t>
  </si>
  <si>
    <t>Elle aime sortir et faire des balades. Elle apprécie rester dans son lit et jouer avec des mobiles poser au dessus de sa tête.</t>
  </si>
  <si>
    <t>médic du matin: dans la seringue et relié à la sonde -&gt; rincer ensuite avec 1-2 seringue d'eau
Cloé a besoin d’une aide complète pour les repas. Elle est nourrie essentiellement par le biais de la sonde. Il ne faut pas la forcer.
Elle mange de tout et la nourriture est mixée, lisse. Ni trop liquide, ni trop sèche. Elle préfère plutôt salé. Le MATIN : en principe, elle ne mange pas. Il est important de rincer la sonde avec 1 à 2 seringues. MIDI : nourriture mixée lisse en petites quantités. SOIR : nourriture mixée lisse ou des yaourts en petites quantités. Petit sachet pour la nourriture durant la nuit</t>
  </si>
  <si>
    <t>débit EAU : 180 ml/h débit L'ALIMENTATION : 50 ml/h</t>
  </si>
  <si>
    <t>alimentation et sonde: s'il fait chaud, on peut donner jusqu'à 1litre d'eau par la sonde. Pour bouillon et eau mettre dans le grand sachet
- possibilité de donner à boire en promenade, prendre la pompe et mettre eau dans gd sachet.</t>
  </si>
  <si>
    <t>429923</t>
  </si>
  <si>
    <t>IMC -Polyhandicap, épilepsie (stabilisé)</t>
  </si>
  <si>
    <t>Ne doit pas dépasser les 1700m d'altitude. Car elle risque d'avoir des problèmes respiratoires</t>
  </si>
  <si>
    <t>Bien la protéger du soleil car elle a la peau très sensible</t>
  </si>
  <si>
    <t>Elle aime être propre.</t>
  </si>
  <si>
    <t>En cas de diarrhée, Bioflorin au Perenterol. Elle fait souvent les selles après la prise des médicaments</t>
  </si>
  <si>
    <t>Changement de position, il faut lui mettre le harnais quand elle se trouve dans la chaise.</t>
  </si>
  <si>
    <t>Sur le dos avec un coussin d'allaitement sous les genoux et un coussin sous la tête selon sa position. Elle est souvent couchle sur le dos. Pas de changement de position la nuit.</t>
  </si>
  <si>
    <t>Chaque 4 heures</t>
  </si>
  <si>
    <t>Il faut lui mettre les anches droites dès qu'on l'installe dans la chaise.
Elle supporte les longs trajets</t>
  </si>
  <si>
    <t>Elle apprécie beaucoup l'eau, aide complète.</t>
  </si>
  <si>
    <t>aide complète</t>
  </si>
  <si>
    <t>Elle se couche vers les 19h00 et se lève vers 7h30 en général. Durant la nuit changement de position. Elle s’endort sur le dos avec la gouttière. Puis, vers 23h00, la mettre sur le côté gauche, puis sur le côté droit. Si elle est endormie, il n’est pas nécessaire de faire de changement de position.</t>
  </si>
  <si>
    <t>Non verbal, elle communique avec des cris.</t>
  </si>
  <si>
    <t>Elle a un frère Maxime de 1989 et deux sœurs Blanche et Rose de 2002 qui sont jumelles.</t>
  </si>
  <si>
    <t>Elle se montre très conviviale lorsqu'elle se retrouve à l'extérieur. Elle apprécie la musique et le rythme. Elle aime tenir des objets dans ses mains et jouer avec, elle apprécie les câlins.</t>
  </si>
  <si>
    <t>Rien à signaler.</t>
  </si>
  <si>
    <t>Elle mange de tout, plutôt sucré. Pour lui donner à manger elle a une cuillère spéciale, s’assoir en face d’elle et déposer d’abord sur sa lèvre inférieure bien lui faire sentir l’aliment, lui tenir les mains l’une sur l’autre puis elle mange sans problème. Elle mange mixé, sans fil. 
Si vous avez des difficultés à lui donner à manger, il ne faut pas se faire de soucis. Dans les bagages, Il y aura des boissons (frésubin) qui ont les mêmes calories qu’un repas normal.</t>
  </si>
  <si>
    <t>pour boire : Amandine a une sonde reliée directement à l'estomac. Installer le tuyau sur la valve. Ne pas se gener de prendre la valve bien en main pour mettre le tuyau, ça ne lui fait pas mal. Ensuite remplir la seringue dans un verre et placer la seringue dans l'embout du tuyau, puis presser dans le tuyau. Pour terminer, rincer le tout avec de l'eau sans aucun produit (elle boit en général 1 verre d'une quelconque boisson SANS GAZ + 1 verre d'eau) Ne jamais mettre le tuyau au lave vaisselle !!</t>
  </si>
  <si>
    <t>le matin et le soir : café ou cacao, presser la seringue plus lentement. A midi : n'importe quelle boisson SANS GAZ. Au goûter : boisson enérgétique (fébrini)</t>
  </si>
  <si>
    <t>Ne pas lui donner de boisson gazeuses.</t>
  </si>
  <si>
    <t>010930279</t>
  </si>
  <si>
    <t>Aucune</t>
  </si>
  <si>
    <t>Si elle a des rougeurs autour du « bouton », sécher au foehn et lui mettre un tampon de ouate démaquillante coupée en Y entre le tampon et la peau. Si elle se mord les doigts lui mettre un sparadrap en cas de saignements. Ne pas lui brosser les dents, elle ne le supporte pas. Pour sa toilette, utiliser de préférence le lit douche, mais elle est  peu habituée car elle prend de préférence des bains.</t>
  </si>
  <si>
    <t>Elle est langée 24h/24. La changer en général après chaque repas.</t>
  </si>
  <si>
    <t>Transferts : Amandine met les bras autour de l'accompagnant, mettre un bras sous sa jambre, l'autre sous son épaule puis la mettre sur le lit. Pour la remettre dans sa chaise, faire pareil. Incliner sa chaise pour la mettre au fond</t>
  </si>
  <si>
    <t>Elle apprécie être par terre, la mettre sur le dos sur un tapis.</t>
  </si>
  <si>
    <t>Loic accompagnement, Linda soin, Lydia infirmière</t>
  </si>
  <si>
    <t>Il peut se lever pour un transfert mais il faut le tenir.
Il supporte les longs trajets en bus.</t>
  </si>
  <si>
    <t>René n'aime pas trop, il a besoin d'aide. Pas de gilet mais il faut le soutenir.</t>
  </si>
  <si>
    <t>Il est autonome pour l'habillement. Il faut l'aider pour mettre ses chaussettes et ses chaussures.</t>
  </si>
  <si>
    <t>Urinal à proximité. Il bouge beaucoup.</t>
  </si>
  <si>
    <t>René parle et il a un appareil auditif. Bien articuler et parler un peu fort bien en face de lui.</t>
  </si>
  <si>
    <t>René a deux sœurs, deux nièces et une petite nièce.</t>
  </si>
  <si>
    <t>Ordinateur, la ville, les mots croisés, l'astrologie, discuter, les voyages.</t>
  </si>
  <si>
    <t>Il faut lui couper la viande</t>
  </si>
  <si>
    <t>267.50.370.119 / 000-02</t>
  </si>
  <si>
    <t>Malentendant, il a un appareil.</t>
  </si>
  <si>
    <t>René est autonome. Supervision pour la douche.</t>
  </si>
  <si>
    <t>René est autonome.</t>
  </si>
  <si>
    <t>Sur sa chaise électrique</t>
  </si>
  <si>
    <t>Se déplace seul à l'intérieur et accompagné à l'extérieur même muni du servomatic.Transfert lit chaise avec cigogne. Antidry sur le dos et les démengeaisons.</t>
  </si>
  <si>
    <t>Oui avec un grand plaisir. Faire attention à l'eau froide, sait nager seul mais le surveiller.</t>
  </si>
  <si>
    <t>S'habille seul le haut et lui donner un coup de main pour le bas. Pour les transfets il a besoin d'avoir ses souliers aux pieds.</t>
  </si>
  <si>
    <t>Il choisit quand il veut se coucher. Généralement il va au lit tôt. Ne pas oublier de brancher son uriflac sur l'uriflac qu'il a spécialement pour la nuit.Enlever Slip. Mettres des pants si diahrées.</t>
  </si>
  <si>
    <t>Oral, au premier abord il est qqun de timide mais une fois à l'aise, il se montre très jovial.
Il est souvent de bonne humeur, très souriant et galant. Il bagaye.</t>
  </si>
  <si>
    <t>Natation, rafroball, puzzles, dessin, peinture, activités manuelles en général et aussi simplement aller boire un verre. Christophe aime parler des sports qu'il pratique et participe volontiers aux discussions et est ouvert à tout. Il aime faire la vaisselle !</t>
  </si>
  <si>
    <t>S'il n'aime pas faire quelque chose il le dit. L'ami de sa maman est décédé et son souvenir lui donne parfois des coups de blues, surtout en janvier.</t>
  </si>
  <si>
    <t>Aider à couper les aliments mais mange seul. Pour le temps de midi il reste dans sa chaise</t>
  </si>
  <si>
    <t>lui donner 1 service</t>
  </si>
  <si>
    <t>les aliments qui activent son transit intestinal : choux, raisins, poires, pruneaux, fromage car cela lui cause de fortes diahrées.</t>
  </si>
  <si>
    <t>il boit seul</t>
  </si>
  <si>
    <t>les boissons trop sucrées</t>
  </si>
  <si>
    <t>8766</t>
  </si>
  <si>
    <t>IMC, retard mental et handicap physique</t>
  </si>
  <si>
    <t>Retard mental, malvoyance</t>
  </si>
  <si>
    <t>Moyen</t>
  </si>
  <si>
    <t>pas à la connaissance</t>
  </si>
  <si>
    <t>Il a une sonde urinaire depuis 2008. Il a toujours sa bouteille avec lui. Il ne dit pas s'il est mouillé car ça le gêne, veiller à lui vider souvent souvent la poche. Le matin et le soir env. 15 min. sur les toilettes pour les selles.</t>
  </si>
  <si>
    <t>non</t>
  </si>
  <si>
    <t>Mettre en charge la chaise tous les soirs.</t>
  </si>
  <si>
    <t>Quadranti Yann 079/404.86.02</t>
  </si>
  <si>
    <t>Julien supporte les longs trajets sur un siège du bus. Julien a un moteur dans les roues de son fauteil, il faut donc le recharger tous les soirs.</t>
  </si>
  <si>
    <t>Sortir Julien de sa chaise et le mettre au bord de la piscine. Il faut être à ses côtés lorsqu'il nage. Il nage sur le dos.</t>
  </si>
  <si>
    <t>Julien a besoin d'une légère aide pour l'habillement. Toujours mettre les affaires de Julien à sa portée et de manière accessible afin qu'il puisse s'habiller seul.</t>
  </si>
  <si>
    <t>Il s'exprime bien pour tout ce qui est courant: envies, joies et tristesses.</t>
  </si>
  <si>
    <t>Céline</t>
  </si>
  <si>
    <t>Thierry, Carole, Sabine, Pierre-Yves, Anne-Françoise, Pierre, Paul</t>
  </si>
  <si>
    <t>Il est très attaché à sa famille. Il a des oncles et des tantes à Gèneve, à Zurich et à Neuchâtel. Julien aime la musique, la nature, la fête, les amis et le chant. Il aime aussi son travail aux ateliers du Foyer Valais de Cœur à Sierre. Le karaoké. Il fait partie du Cœur du Cœur. Il vit en appartement protégé.</t>
  </si>
  <si>
    <t>Il est autonome pour les repas.</t>
  </si>
  <si>
    <t>Il prend toujours des pruneaux secs au déjeuner</t>
  </si>
  <si>
    <t>le Lait</t>
  </si>
  <si>
    <t>Verre d'eau chaude au réveil pour faciliter son transit. Un kiwi ou jus d'orange pour déjeuner serait idéal.</t>
  </si>
  <si>
    <t>Il aime les bières. Un café après les repas. Un verre de jus d'orange au déjeuner.</t>
  </si>
  <si>
    <t>le fromage</t>
  </si>
  <si>
    <t>190 51 144</t>
  </si>
  <si>
    <t>Protéger Julien du soleil (casquette, crème)</t>
  </si>
  <si>
    <t>Besoin d'aide pour l'habillement, surtout pour attaché ses chaussures. Surveiller sa toilette sauf si douche. Il a besoin d'aide pour se laver le dos..</t>
  </si>
  <si>
    <t>Julien est autonome mais il faut vérifier qu'il aille à selle. (si possible chaque deux jours).</t>
  </si>
  <si>
    <t>Prévention escarres, douche (avec de l'aide). Pour la douche, si le siège est adapté à hauter du fauteuil roulant. Julien se débrouille bien, il faut surveiller qu'il fasse bien le passage.</t>
  </si>
  <si>
    <t>Il fait une sieste après le repas ou en fonction de nos activités.</t>
  </si>
  <si>
    <t>Groupe B2  Claudia Balet - 024 473 51 42</t>
  </si>
  <si>
    <t>Supporte les longs trajets en bus. Dans le fauteuil : bien l'attacher à la taille et au torse</t>
  </si>
  <si>
    <t>René n'aime pas et ne veut pas aller à la piscine. Présence d'une personne obligatoire pour le tenir.</t>
  </si>
  <si>
    <t>Aide totale (complétement dépendant du soignant)</t>
  </si>
  <si>
    <t>si possible, il fait la sieste après le dîner. Lui mettre un coussin entre les jambes et sous les pieds. Au coucher : mettre un coussin entre ses jambes et sous ses pieds</t>
  </si>
  <si>
    <t>oral. René comprend tout ce qu’on lui dit en français et en allemand. Il répond aux questions posées par oui ou par non.</t>
  </si>
  <si>
    <t>Mère : décédée</t>
  </si>
  <si>
    <t>Jean-Claude - décédé</t>
  </si>
  <si>
    <t>Il aime participer à toutes sortes d'activités et aime surtout dialoguer et écouter des contes ou histoires. Il aime l’humour et se montre très jovial.</t>
  </si>
  <si>
    <t>René n'aime pas trop regarder la télévision.</t>
  </si>
  <si>
    <t>couper très, très fin, voir mixer certains aliments sinon fausse route.couper fin, lui donner à manger</t>
  </si>
  <si>
    <t>Biscuits secs et gros morceaux</t>
  </si>
  <si>
    <t>René boit avec de l’aide. 2 gobelets par repas avec de l’épaississant.</t>
  </si>
  <si>
    <t>n'aime pas le lait</t>
  </si>
  <si>
    <t>158 18 100</t>
  </si>
  <si>
    <t>leucodystrophie à évolution lente</t>
  </si>
  <si>
    <t>Protéger René du soleil (chapeau, crème).</t>
  </si>
  <si>
    <t>René est tout à fait dépendant du soignant. Il prend une douche chaque jour ou lui faire une toilette au lit. Il sait cracher dans le haricot après le brossage des dents. Lui masser les jambes avec du lait corporel. Bien lui sécher les mains, les pieds et sous les bras (risque de mycose). Il faut éviter les plis des habits lors de l’installation dans sa chaise et bien le positionner au fond de la chaise et toujours l’attacher (risque de chutes).</t>
  </si>
  <si>
    <t>René est langé jour et nuit (le changer 3x par jour, 1x par nuit)</t>
  </si>
  <si>
    <t>A prévenir - douche</t>
  </si>
  <si>
    <t>Il dort sur le côté, mais il faut le tourner de l’autre côté une fois durant la nuit. Avec un coussin entre les jambes et sous les pieds (éviter les frottements). Après le repos de midi.</t>
  </si>
  <si>
    <t>1Xnuit et après le repos de midi</t>
  </si>
  <si>
    <t>B3 - 0244735143</t>
  </si>
  <si>
    <t>aucun problème</t>
  </si>
  <si>
    <t>Aide de l'accompagnement + gillet. N'apprécie pas beaucoup la piscine</t>
  </si>
  <si>
    <t>Stéphane aime choisir ses habits la veille.Il a besoin d'une aide complète pour l'habillement et la toilette.</t>
  </si>
  <si>
    <t>Il a tendance à aller au lit tôt. Il se fatigue vite.
Dort sur le ventre</t>
  </si>
  <si>
    <t>Il utilise un classeur de communication et se montre expressif dans sa gestuelle. Il montre avec la tête quelle option il choisit. Stéphane est quelqu'un de jovial, souvent de bonne humeur. Quand ça n'est pas le cas, il peut pincer ou donner des coups de pieds.</t>
  </si>
  <si>
    <t>Il aime l'émission "N'oubliez pas les paroles" sur France2 et le foot. Il apprécie jouer au bowling, regarder les films sentimentaux. Il aime aller au cinéma, au spectacle. Est un très bon spectateur, karaoké</t>
  </si>
  <si>
    <t>Il a besoin d'une aide pour lui donner à manger à et boire. Un verre avec une pipette à donner par l'éducateur. IL aime les jus de fruits sans gaz ou sirop. IL préfère le cacao le matin. Il mange avec une cuillère ou fourchette normale. Il sait dire ce qu'il apprécie ou pas. Lui donner qu'un service.
Nourriture coupée fine, donnée par l'éducateur</t>
  </si>
  <si>
    <t>verre à bec verseur : il mord un peu mais il arrive à boire sans problème avec de l'aide</t>
  </si>
  <si>
    <t>jus de fruits sans gaz ou sirop. Préfère le cacao le matin</t>
  </si>
  <si>
    <t>756.1168.7015.03</t>
  </si>
  <si>
    <t>IMC mixte. Athétosique/spastique</t>
  </si>
  <si>
    <t>Aide totale : douche, sur chaise percée</t>
  </si>
  <si>
    <t>Aide totale : n'est pas langé. Aux toilettes en principe après les repas - avec chaise percée. Urinoir dans son sac derrière la chaise pour les déplacements.</t>
  </si>
  <si>
    <t>après le diner</t>
  </si>
  <si>
    <t>couché</t>
  </si>
  <si>
    <t>Danaëlle Savioz 027 451 21 81 (027 451 21 81 infir</t>
  </si>
  <si>
    <t>Supporte les longs trajets en bus  en principe, oui. Mais voir la route devant. Prend de l’Itinerol pour les trajets sinueux</t>
  </si>
  <si>
    <t>Faire attention à sa sonde et soutenir Janique selon son besoin.</t>
  </si>
  <si>
    <t>à voir avec Janique 1 barrière + lit contre mur. Attention, choisir un lit ou elle tourne le dos au mur pour faire pendre ensuite son uriflak. Attention, elle ne voit pas la nuit. Pas la laisser seule pour les toilettes.</t>
  </si>
  <si>
    <t>Oral. Janique sait bien se faire comprendre.</t>
  </si>
  <si>
    <t>Elle s’exprime elle-même à se sujet.</t>
  </si>
  <si>
    <t>Fabian
et Nathalie</t>
  </si>
  <si>
    <t>Elle croque la vie à pleine dents. Musique française, karaoké, chante à l'ASA-Valais, lecture, shopping</t>
  </si>
  <si>
    <t>les jeux de société style  « Hâte-toi lentement », les jeux de cartes</t>
  </si>
  <si>
    <t>couper. Aider à manger vers la fin du repas. Janique emploie une cuillère spéciale et  une assiette + collerette posée sur un sous plat antiglisse. Il faut parfois l’aider, si elle est trop fatiguée.Il faut faire attention à son poids, donc surveiller la quantité. Pour encourager Janique à suivre son régime, servir son repas plutôt dans une assiette à dessert, limiter les féculents et la viande mais pas les légumes. Essayer d’être à table avec des personnes ayant aussi besoin de s’encourager à perdre du poids (accompagnant ou participant).lui mettre des demi.portions. Prend le dessert à 16h. Si tousse lors des repas, la conduire à l'écart, attitude rassurante</t>
  </si>
  <si>
    <t>gratin, papé vaudois</t>
  </si>
  <si>
    <t>éviter sucreries en grande quantité et le grignotage et les aliments trop gras.</t>
  </si>
  <si>
    <t>limiter les produits laitiers. Elle peut manger un yogourt (à la place d’autre chose) Fenouille, fruits de mer, œuf dur, choux fleurs -&gt; attention à sa toux.</t>
  </si>
  <si>
    <t>A la paille / lui donner à la fin du repas 1 dl eau + souhait 1 dl de café</t>
  </si>
  <si>
    <t>eau-café noir  et 2 assugrines</t>
  </si>
  <si>
    <t>éviter les choses sucrées</t>
  </si>
  <si>
    <t>sodas / Boissons sucrées ou grasses</t>
  </si>
  <si>
    <t>184 25 597 / 0002</t>
  </si>
  <si>
    <t>troubles moteurs, troubles visuels,très vite angoisée</t>
  </si>
  <si>
    <t>protéger Janique du soleil (chapeau, crème)</t>
  </si>
  <si>
    <t>Aide totale,Janique à une sonde urinaire elle à tendance à être souvent constipée,si pas de selles pendant 3 jours,il faut lui faire un mycrocliste. Petite toilette Lactacyd</t>
  </si>
  <si>
    <t>sonde sous-pubienne. Janique a une sonde sous-pubienne. Elle demande pour aller aux toilettes. Attention à ce qu’elle ne soit pas penchée trop en avant pour éviter de faire une pression sur sonde. Ne pas changer l'uriflac sauf s'il est percé ou s'il est abimé.Pensement cysto Ma et Ve.</t>
  </si>
  <si>
    <t>Matin et soir toilette intime minutieuse, bien sécher au foehn car risque important de rougeur. A chaque changement de protection lui faire une peite toilette intime et bien la sécher.</t>
  </si>
  <si>
    <t>Elle le fait elle-même avec sa chaise. Lui rappeler de lever ses jambes (surtout au niveau des pieds). Avec aide. Au lit: Coussin "banane" de positionnement autour de la jambe gauche. Bas de soutien le matin</t>
  </si>
  <si>
    <t>Vs Coeur - Annick Savioz 027 451 21 84</t>
  </si>
  <si>
    <t>Argent de poche : connaît la valeur de l'argent
Supporte les longs trajets en bus</t>
  </si>
  <si>
    <t>Présence d'une personne obligatoire pour le tenir, de préférence un gilet, Fabian n'aime pas l'eau froide.</t>
  </si>
  <si>
    <t>Aide nécessaire complète. Protocole Pansement:siège,pli interfessier:laver avec protosan solution,mettre bépanthène onguent autour-Plis inguinaux:Laver avec bétadine-sécher-talc-compresse- Verge:si rougeur ou lésion,mettre Cavilon,laisser sécher avant de remettre le condom</t>
  </si>
  <si>
    <t>Il apprécie avoir le lit contre le mur. Il se fatigue vite le soir. Il dort sur le côté avec un grand coussin entre les jambes. Il n'a pas de coussin sous la tête. Comme il devient vite fatigué regarder avec lui quand il veut aller se coucher.</t>
  </si>
  <si>
    <t>langage oral : parle et comprend tout - a besoin de temps pour répondre - lui parler lentement
Apprécie les questions aux réponses oui/non. Il bégaie</t>
  </si>
  <si>
    <t>Mère Christiane : y va régulièrement avec sa sœur Janique</t>
  </si>
  <si>
    <t>Janique : résidente au foyer Valais de Cœur
Nathalie : : mariée - 2 enfants . Maxime (1993) - Marie (1995)</t>
  </si>
  <si>
    <t>Passion : cirque et cirque Knie en particulier
promenades en ville - restaurants, voir et être en contact avec les gens
Travail : 50 % à Valais de Cœur - avec un ordinateur</t>
  </si>
  <si>
    <t>Discothèque</t>
  </si>
  <si>
    <t>Couper les aliments, lui donner à manger</t>
  </si>
  <si>
    <t>Fabian aime le chocolat</t>
  </si>
  <si>
    <t>N'aime pas : poisson, œufs,beurre Lui remplir l'assiette ca il a tendance à peu manger surtout les légumes.</t>
  </si>
  <si>
    <t>fatigue en fin de repas ou spasmes durant le repas</t>
  </si>
  <si>
    <t>Il boit avec une paille.</t>
  </si>
  <si>
    <t>Sirop et coca</t>
  </si>
  <si>
    <t>Boissons alcoolisées</t>
  </si>
  <si>
    <t>168 58 945</t>
  </si>
  <si>
    <t>Protéger du soleil - Rhume des foins - (voir médicaments)</t>
  </si>
  <si>
    <t>Aide complète - crème protectrice sur les fesses et les pieds (matin et soir) - fesses : compresses pour le protéger - Bien sécher les plis de la peau à l'aine, en cas de rougeur (crème Pévary) idem à la hanche droite - talon : mettre la peau de mouton Huile Antidry après la toilette.</t>
  </si>
  <si>
    <t>Urine : bouteille à la demande ou lors de longues sorties. Condom chaque matin - poche. Selles : chaise percée 2x/semaine (mercredi et samedi matin)</t>
  </si>
  <si>
    <t>Appliquer crème protectrice sur les fesses et les pieds. Sièges : Mopilex border nettoyer au protan si nécessaire bépanthène onguent autour. Verge : si rougeur de lésion, mettre cavillon laisser sécher avant de remettre le condom.</t>
  </si>
  <si>
    <t>oui sur demande Transfert avec l'élévateur. Laissez la sangle lorsqu'il est sur les WC.</t>
  </si>
  <si>
    <t>la nuit</t>
  </si>
  <si>
    <t>Il supporte les trajet en bus. Il porte une atelle à la jambe gauche. ATTENTION aux passages piétons, il traverse toujours sans regarder.</t>
  </si>
  <si>
    <t>Il adore la piscine. Il faut rester avec lui, il n'a pas de manchons. S'il n'a pas le fond, il coule.</t>
  </si>
  <si>
    <t>Il se débrouille bien pour l'habillage et le déshabillage. A besoin d'aide pour finaliser mais demande de l'aide.</t>
  </si>
  <si>
    <t>Il va au lit vers les 20h00 et dors jusque vers les 7h00. En principe, il ne fait pas la sieste l’après-midi.
Le soir, lui raconter une histoire avant de dormir ou une chanson. Il dort avec son doudou.</t>
  </si>
  <si>
    <t>Il parle distinctement avec un vocabulaire varié. Il ne tient pas toujours un discours très "à propos". Il faut parfois s'armer de patientes questions afin de réellement comprendre le fond de sa pensée.</t>
  </si>
  <si>
    <t>Il vit avec sa maman et son compagnon Manu. Son papi s'appelle Alain. Son papa habite à Pont-de-la-Morge avec son amie Laurence. Il a de très bon contact familial : Tonton Jean, Tata Marina, Isa, Pépé Raoul et grand-maman Marie françoise.</t>
  </si>
  <si>
    <t>Il aime les trains, les télécabines, les moyens de transport en général. Il aime aussi la musique et gentiment la lecture. Il aime la cuisine grâce à 1 chaîne Youtube. Il aime fabriquer ses propres doudous.</t>
  </si>
  <si>
    <t>Il n’apprécie guère la télévision et n’aime pas se salir les mains (ex : peinture à doigt)</t>
  </si>
  <si>
    <t>Alexandre mange de tout en bonne quantité. Il faut lui couper ses aliments.</t>
  </si>
  <si>
    <t>Bonbons, fruits</t>
  </si>
  <si>
    <t>Attention avec le sel sur la table.</t>
  </si>
  <si>
    <t>Le thé froid, le sirop</t>
  </si>
  <si>
    <t>il ne boit plus de lait</t>
  </si>
  <si>
    <t>00008 375-80-187</t>
  </si>
  <si>
    <t>hydrocéphalie avec hémiparésie à gauche</t>
  </si>
  <si>
    <t>trouble de l'attention, du langage, frustration avec crises de larmes et colères.</t>
  </si>
  <si>
    <t>Tendance à avoir le rhume</t>
  </si>
  <si>
    <t>Il a besoin d'aide pour sa toilette. Il n'aime pas la douche. Alexandre à un drain qui passe dans son cou, à gauche. En cas de fièvre, cela pourrait indiquer que ce dernier est infecté. Prévenir la Maman de suite.</t>
  </si>
  <si>
    <t>Bien veiller à le mettre aux toilettes avant/après une activité avant d'aller au lit.</t>
  </si>
  <si>
    <t>Supporte les longs trajets en bus - Changement de position en déplacement : basculer sa chaise. Laisser de l'espace (10cm) entre le dossier et la poignée, incliner la chaise pour éviter que le pose-pieds se coince avec les roues.</t>
  </si>
  <si>
    <t>Aide totale : ne flotte pas, manchons et autres moyens auxiliaires - Gesticule beaucoup</t>
  </si>
  <si>
    <t>Aide totale : bouge beaucoup - lui demander de se calmer</t>
  </si>
  <si>
    <t>Sur le dos à l'intérieur d'un drap "Zewi" - en haut de pyjama, langé et en slip. Lit avec barrières en bois car il bouge beaucoup ses bras
Se fatigue vite et va tôt au lit (22h00)</t>
  </si>
  <si>
    <t>Pas d'expression verbale : Communication par ipad fixé sur sa table. Bouge la tête à droite pour dire "oui" à gauche pour dire "non" - Agenda pour noter les faits marquants de la journée - Comprend le français et le portugais
Quand il tire la langue cela veut dire qu'il a soif</t>
  </si>
  <si>
    <t>Maman : Ana Cristina Amaral - Papa : Adelino Gonçalves - séparés. (1 week-end de garde chacun)</t>
  </si>
  <si>
    <t>Tania (1994) - Demi-frère Tiago (2006)</t>
  </si>
  <si>
    <t>Piscine, musique, mécanique et voitures, télé.</t>
  </si>
  <si>
    <t>Aide totale : Se mettre derrière lui et lui tenir le menton avec une main - bouge beaucoup  - Manger : cuillère en inox - couper très fin. Couper le pain en petit morceau et mouiller les aliments. Utiliser le Masticateur.</t>
  </si>
  <si>
    <t>matin : du pain,confiture (couper le pain en petits morceaux ou faire imbiber les morceaux)</t>
  </si>
  <si>
    <t>Ajouter du liquide avec les aliments c'est plus facile pour Claudio mange mieux</t>
  </si>
  <si>
    <t>Claudio boit avec un verre avec un bec verseur et une bavette sous son menton</t>
  </si>
  <si>
    <t>matin : café au lait ou cacao. Midi : il boit volontiers des sirops au citron ou orange et le soir des tisanes après avoir mangé ou café.</t>
  </si>
  <si>
    <t>092322</t>
  </si>
  <si>
    <t>IMC athétosique. Déficience mentale et toubles de vision d'origine centrale</t>
  </si>
  <si>
    <t>Problèmes aux poumons il lui reste 1 seul poumon. Rhume des foins</t>
  </si>
  <si>
    <t>Asthme en cas de trop grande excitation ou en période de floraison. Changer tout de suite le pull si celui-ci est mouillé au niveau des poumons.</t>
  </si>
  <si>
    <t>Aide totale : Il bouge beaucoup - lui demander de rester calme</t>
  </si>
  <si>
    <t>Lange : jour et nuit - Ne va pas sur les WC. Sur demande il arrive à faire "le pont" pour mettre une protection, enfiler ses culottes et ses pantalons</t>
  </si>
  <si>
    <t>En déplacement on peut basculer sa chaise.</t>
  </si>
  <si>
    <t>env. Chaque 4 heures</t>
  </si>
  <si>
    <t>Marie-Noëlle ne sait pas nager. Il faut toujours rester près d’elle ; possibilité de faire quelques exercices (planche…). Elle aime beaucoup aller à la piscine et y va régulièrement, mais elle n’aime pas trop l’eau froide.</t>
  </si>
  <si>
    <t>Oral. Parle très bien.</t>
  </si>
  <si>
    <t>Marie-Noëlle aime aller à la piscine, les jeux de société, la peinture, la musique française (Garou, Goldmann…) et discuter (attention : la stopper tout de suite si elle aborde des sujet tels que sa famille, le sexe et la médisance envers les autres.</t>
  </si>
  <si>
    <t>Marie-Noëlle aime aller à la piscine, les jeux de société, la peinture, la musique et discuter (attention : la stopper tout de suite si elle aborde des sujet tels que sa famille, le sexe et la médisance envers les autres.</t>
  </si>
  <si>
    <t>handicap mental, malvoyant, troubles moteurs</t>
  </si>
  <si>
    <t>Protéger Marie-Noëlle du soleil.</t>
  </si>
  <si>
    <t>TROP PETIT??'</t>
  </si>
  <si>
    <t>Danielo n’a pas de problèmes pour aller à la piscine.</t>
  </si>
  <si>
    <t>langage oral</t>
  </si>
  <si>
    <t>Danielo aime bien aller à la piscine, au cinéma et faire des promenades.</t>
  </si>
  <si>
    <t>Protéger Danielo du soleil</t>
  </si>
  <si>
    <t>Elle se débrouille, mais une présence à ses côtés est préférable.</t>
  </si>
  <si>
    <t>Langage oral</t>
  </si>
  <si>
    <t>Anne-Claude apprécie le cinéma, la piscine, etc. Elle se montre intéressée par les différentes activités proposées.</t>
  </si>
  <si>
    <t>Dysmorphysme congénital, lambosciatalgie gauche</t>
  </si>
  <si>
    <t>propyphenazare, protéger du soleil, utiliser des pansements hypoallergéniques</t>
  </si>
  <si>
    <t>Il supporte bien les longs trajets. Daniélo marche avec des cannes. Et pour les sorties plus longues il a un fauteil manuel.</t>
  </si>
  <si>
    <t>Rester attentif et l'aider en cas de besoin</t>
  </si>
  <si>
    <t>Il s'habille seul, mais il a besoin de temps</t>
  </si>
  <si>
    <t>-</t>
  </si>
  <si>
    <t>Il s'exprime oralement.</t>
  </si>
  <si>
    <t>Les parents sont mariés
Danièlo est au Foyer St-Hubert à Martigny</t>
  </si>
  <si>
    <t>Il a un frère (Fabrice)</t>
  </si>
  <si>
    <t>Daniélo aime la piscine, le cinéma et les promenades.</t>
  </si>
  <si>
    <t>Daniélo mange seul</t>
  </si>
  <si>
    <t>Il boit seul</t>
  </si>
  <si>
    <t>482-64-270</t>
  </si>
  <si>
    <t>protéger du soleil (casquette + crème)</t>
  </si>
  <si>
    <t>autonome mais a besoin de temps</t>
  </si>
  <si>
    <t>il va seul aux toilettes</t>
  </si>
  <si>
    <t>pas nécessaire</t>
  </si>
  <si>
    <t>0</t>
  </si>
  <si>
    <t>Il nage avec un gilet de sauvetage</t>
  </si>
  <si>
    <t>Il parle</t>
  </si>
  <si>
    <t>Ce qu'il préfère c'est aller au cinéma.</t>
  </si>
  <si>
    <t>supporte le soleil avec un chapeau</t>
  </si>
  <si>
    <t>cartes, jeux de société (Hâte-toi lentement...)</t>
  </si>
  <si>
    <t>troubles moteurs, troubles visuels.</t>
  </si>
  <si>
    <t>protéger Janique du soleil (chapeau, crème).</t>
  </si>
  <si>
    <t>Christophe a besoin d’une bouée adaptée et d’être soutenu.</t>
  </si>
  <si>
    <t>Christophe s’exprime à l’aide d’un tableau « Bliss ».</t>
  </si>
  <si>
    <t>Christophe aime bien le football, le hockey et le tennis. Il aime bien discuter avec les acompagnant(e)s.</t>
  </si>
  <si>
    <t>Les expositions de peinture etc.</t>
  </si>
  <si>
    <t>protéger Christophe du soleil (chapeau, crème)</t>
  </si>
  <si>
    <t>Steve Quarroz 024 473 52 30</t>
  </si>
  <si>
    <t>Supporte les longs trajets en bus.
Se déplace quelquefois à 4 pattes.</t>
  </si>
  <si>
    <t>Vlada a besoin d'être soutenue.</t>
  </si>
  <si>
    <t>Aide totale pour s'habiller - Arrive à se déshabiller</t>
  </si>
  <si>
    <t>Position:  plutôt sur le ventre et sans coussin.
ETRE ATTENTIF DURANT LA VEILLE (fait des crises d'épilepsie durant le nuit)</t>
  </si>
  <si>
    <t>Parents mariés</t>
  </si>
  <si>
    <t>Vlada a une sœur (Malina de 1984 qui est mariée à Davide). 3 neveux (Avril née en 2007, Maorie née en 2010, Siloé né en 2015)</t>
  </si>
  <si>
    <t>Elle aime bien écouter de la musique et des histoires d’enfants. Elle aime danser. Elle cherche le contact avec les adultes. Elle aime aussi les poupées, les chiens et les chats (mais de loin). Elle aime aussi les motos.</t>
  </si>
  <si>
    <t>A besoin d'aide pour couper fin les aliments.
Elle mélange le chaud et le froid; ce qui est froid elle dit chaud.</t>
  </si>
  <si>
    <t>Poisson, moules et fruits de mer</t>
  </si>
  <si>
    <t>éviter les aliments trop sucré, proposer des fruits à la place. Etre attentif à son régime alimentaire : beaucoup de salades, de légumes et de fruits.</t>
  </si>
  <si>
    <t>N'aime pas les carottes cuites et les petits pois.</t>
  </si>
  <si>
    <t>crème, fromage et viande grasse</t>
  </si>
  <si>
    <t>Boit normalement sans paille</t>
  </si>
  <si>
    <t>Pas de boissons trop sucrées</t>
  </si>
  <si>
    <t>le lait entier (de préférence lait maigre)</t>
  </si>
  <si>
    <t>95278823</t>
  </si>
  <si>
    <t>hémiplégie côté droit IMC</t>
  </si>
  <si>
    <t>Handicap mental, épilepsie</t>
  </si>
  <si>
    <t>Vlada doit être protégée du soleil (crème, chapeau)</t>
  </si>
  <si>
    <t>Durant week-end toilette au lit 1fois par jour. Durant les camps regarder avec elle pour prendre la douche. Pour chaque soins bien rincer le savon et bien essuyer.</t>
  </si>
  <si>
    <t>Elle demande "j'ai mal au ventre" pour aller au WC. Elle s'essuie toute seule pour l'urine mais avec aide pour les selles. Elle va au lever à selles tous les jours.</t>
  </si>
  <si>
    <t>faire au minimum 1 changement de position par jour</t>
  </si>
  <si>
    <t>soit assise par terre avec les jambes devant, soit dans le lit. En lui tenant les 2 main, elle arrive à marcher sur des courtts trajets (WC-Pour aller au lit)</t>
  </si>
  <si>
    <t>min. 1 fois par jour</t>
  </si>
  <si>
    <t>Surveiller Kathia à cause des crises d'épilepsie</t>
  </si>
  <si>
    <t>Oral</t>
  </si>
  <si>
    <t>Kathia a un frère qui s'appelle Gabriel (1979) et qui a une copine (Chimène). Elle aime bien Roch Voisine. Elle travaille aux ateliers de la FOVHAM à Sion.</t>
  </si>
  <si>
    <t>IMC Légère</t>
  </si>
  <si>
    <t>Epilepsie de 1x par semestre à 4x par mois. Facteur déclencheur: boisons sucrée et dessert et émotion forte</t>
  </si>
  <si>
    <t>Elle ne sait pas calculer le retour de la monnaie.
Elle supporte les long trajets.</t>
  </si>
  <si>
    <t>Elle n'aime pas aller à la piscine.</t>
  </si>
  <si>
    <t>Elle a besoin d'aide pour mettre ses chaussettes, ses souliers, son pantalon.</t>
  </si>
  <si>
    <t>oral, elle a tendance à se faire appeler Catherine.</t>
  </si>
  <si>
    <t>La piscine et la bateau</t>
  </si>
  <si>
    <t>Elle mange seule, éventuellement lui couper les aliments plus durs.</t>
  </si>
  <si>
    <t>Ne mange pas le poulet</t>
  </si>
  <si>
    <t>Fraises (allergies !!!!!)</t>
  </si>
  <si>
    <t>186 62 228</t>
  </si>
  <si>
    <t>Non défini</t>
  </si>
  <si>
    <t>Médicaments autorisés: Panadol, Dafalgan. Autres à bannir. ELLE EST ALLERGIQUE AUX FRAISES !!!!!</t>
  </si>
  <si>
    <t>Douche, soins infirmiers</t>
  </si>
  <si>
    <t>Gisèle est autonome. Elle a une sonde sus pubienne.</t>
  </si>
  <si>
    <t>----</t>
  </si>
  <si>
    <t>présence d’une personne obligatoire pour le tenir, de préférence un gilet, Fabian n’aime pas l’eau froide.</t>
  </si>
  <si>
    <t>Fabian parle et comprend tout. Il faut lui parler lentement et il a besoin de temps pour répondre. Il apprécie les questions aux réponses : oui ou non</t>
  </si>
  <si>
    <t>Fabian est passionné de cirque et il a de nombreux contact avec le cirque Knie. Il apprécie également se promener en ville, aller au restaurant, voire du monde et être en contact avec des gens. Il va régulièrement chez sa mère avec sa sœur Janique qui est</t>
  </si>
  <si>
    <t>Fabian a 2 sœurs: Janique et Nathalie</t>
  </si>
  <si>
    <t>Fabian est passionné de cirque et il a de nombreux contact avec le cirque Knie. Il apprécie également se promener en ville, aller au restaurant, voire du monde et être en contact avec des gens. Il va régulièrement chez sa mère avec sa sœur Janique qui est également résidente à Valais de Cœur.</t>
  </si>
  <si>
    <t>la discothèque car il y a trop de brui.</t>
  </si>
  <si>
    <t>A protéger du soleil. Il a parfois le rhume des foins.</t>
  </si>
  <si>
    <t>TROP PETIT???</t>
  </si>
  <si>
    <t>Elle aime bien la piscine</t>
  </si>
  <si>
    <t>Vaishali aime jouer du piano. Elle adore bricoler, faire du dessin, jouer à des jeux de société. Elle apprécie la piscine et aller au cinéma. Elle aime aussi faire la vaisselle et aider les autres enfants.
Remarques: Vaishali est grande copine avec M</t>
  </si>
  <si>
    <t>Poliomyélite</t>
  </si>
  <si>
    <t>---------</t>
  </si>
  <si>
    <t>Fabien nage seul.</t>
  </si>
  <si>
    <t>Fabien cherche par tous les moyens de se faire comprendre, mais il n’est pas toujours facile de le comprendre.</t>
  </si>
  <si>
    <t>Fabien a un grand frère qui s’appelle Léonard et qui a le même handicap que lui.</t>
  </si>
  <si>
    <t>IMC léger</t>
  </si>
  <si>
    <t>handicap mental</t>
  </si>
  <si>
    <t>Protéger Fabien du soleil (chapeau, crème)</t>
  </si>
  <si>
    <t>Léonard nage seul.</t>
  </si>
  <si>
    <t>Léonard cherche par tous les moyens à se faire comprendre. Il n'est pas toujours facile de la comprendre.</t>
  </si>
  <si>
    <t>Léonard a un petit frère qui s'appelle fabien et qui a le même handicap que lui.</t>
  </si>
  <si>
    <t>Éviter de mettre Léonard en face de son frère (Fabien) durant les repas, ils ont tendance à se provoquer.
Faire attention à ce qu'il ne mange pas trop et trop vite.</t>
  </si>
  <si>
    <t>Attention à ce qu'il ne mange pas trop.</t>
  </si>
  <si>
    <t>Le coca</t>
  </si>
  <si>
    <t>Favoriser l'eau plate (Henniez)</t>
  </si>
  <si>
    <t>1223-4288-7</t>
  </si>
  <si>
    <t>graves difficultés d’élocution, handicap mental, troubles moteurs.</t>
  </si>
  <si>
    <t>protéger Léonard du soleil (chapeau, crème).</t>
  </si>
  <si>
    <t>Rasage + brossage des dents</t>
  </si>
  <si>
    <t>Léonard est autonome.</t>
  </si>
  <si>
    <t>Avec des manchons et une surveillance total. Il aime beaucoup l'eau.</t>
  </si>
  <si>
    <t>Philippe ne parle pas, mais essaye de se faire comprendre par exemple en prenant la main</t>
  </si>
  <si>
    <t>Il aime jouer aux Duplo: démonter des constructions. Il apprécie tous les jeux de la 1ère enfance, du 1er âge. Il aime écouter de la musique prendre la douche et aller à la piscine.</t>
  </si>
  <si>
    <t>il n'aime pas la foule.</t>
  </si>
  <si>
    <t>Trisomie 13</t>
  </si>
  <si>
    <t>handicap mental, malvoyant (lui indiquer les reliefs), troubles de l'ouïe (perçoit mieux les sons graves).</t>
  </si>
  <si>
    <t>Chronique</t>
  </si>
  <si>
    <t>Lionel a besoin d’aide pour rentrer dans la piscine.</t>
  </si>
  <si>
    <t>Lionel aime bien participer aux activités de Sport-Handicap, regarder des match de football et aller au cinéma. Il a un petit frère que s'appelle Jonas.</t>
  </si>
  <si>
    <t>maladie neuromusculaire</t>
  </si>
  <si>
    <t>protéger Lionel du soleil (chapeau, crème).</t>
  </si>
  <si>
    <t>B4  Maria 024 473 51 48</t>
  </si>
  <si>
    <t>Alain supporte difficilement les longs trajets en bus. De préférence, le placer à l'avant du véhicule.</t>
  </si>
  <si>
    <t>avec de manchons et une bouée fournie par ses parents. Alain n'apprécie plus beaucoup la piscine.</t>
  </si>
  <si>
    <t>aide totale</t>
  </si>
  <si>
    <t>horaire normal</t>
  </si>
  <si>
    <t>Alain s’exprime à l’aide d’un tableau.</t>
  </si>
  <si>
    <t>Alain a deux sœurs Nathalie qui est mariée à Olivier et qui ont cinq filles (Clémence, Mathilde, Véronique, Delphine et Rachel) et Christelle qui est mariée à Thierry et ont trois enfants (Benjamin, Mathias et Sarah).</t>
  </si>
  <si>
    <t>le football, les sorties au restaurant, le cinéma et les concerts. Savoir le programme du jour.</t>
  </si>
  <si>
    <t>Carnaval</t>
  </si>
  <si>
    <t>Incliner légèrement son fauteuil en arrière pour faciliter la déglutition.Couper fin et très petit et si trop sec rajouter du lait ou de la mayonnaise. Alimentation normale. Couper fin et lui donner à manger. Rajouter sauce, lait ou autre.</t>
  </si>
  <si>
    <t>Raclette, poisson</t>
  </si>
  <si>
    <t>Il boit à la paille.</t>
  </si>
  <si>
    <t>Tout</t>
  </si>
  <si>
    <t>Alcool</t>
  </si>
  <si>
    <t>036628</t>
  </si>
  <si>
    <t>handicap mental, troubles moteurs.</t>
  </si>
  <si>
    <t>protéger Alain du soleil (chapeau, crème).Il a une peau très sensible, faire attention aux coups de soleil.</t>
  </si>
  <si>
    <t>aide complète. Attention a bien mettre son plateau pour éviter les blessures aux genoux. Chaise percée pour douche tous les jours</t>
  </si>
  <si>
    <t>Alain a une autonomie moyenne. Par commodité, il est langé à l'extérieur de la maison. Au changement de lange (matin, midi, soir, avant le coucher), lui demander s'il veut aller aux toilettes.</t>
  </si>
  <si>
    <t>massage des pieds et des fesses. Surveillance de sa peau (frottements)</t>
  </si>
  <si>
    <t>Légèrement incliné pour faciliter la déglutition.</t>
  </si>
  <si>
    <t>chaque 5 heures</t>
  </si>
  <si>
    <t>Elle sait nager sur le dos, sans manchons. Mais il faut quand même être près d’elle pour lui indiquer la direction.</t>
  </si>
  <si>
    <t>Tatjana aime bien faire du bricolage, écouter de la musique et être avec des amis. Elle aime aussi les animaux (zoo, ferme), aller à cheval et lire.</t>
  </si>
  <si>
    <t>Les bruits forts, vite effrayée: pétards, tambours</t>
  </si>
  <si>
    <t>aucun</t>
  </si>
  <si>
    <t>Si elle est malade, il faut lui donner  des médicaments à base de plantes.</t>
  </si>
  <si>
    <t>Groupe C2 - Rossi Marisa - 024 473 51 52</t>
  </si>
  <si>
    <t>fauteuil manuel : il doit être assis bien droit, il doit être assis bien droit, mettre toujours les sangles (il faut le faire à sa place) - +boissoin rafraîchissante</t>
  </si>
  <si>
    <t>Il flotte très naturellement.</t>
  </si>
  <si>
    <t>Aide totale. A la mise en place des chaussures veiller à rentrer correctement les orteils à plat car il risque des lésions.</t>
  </si>
  <si>
    <t>Lui donner sa musiquette et des peluches(de préférence, sinon il part gentiment de son matelas)</t>
  </si>
  <si>
    <t>Avec son regard.Lionel est sourd. Faire attention à ce qu’il y a sur la table, il prend tout dans la main.</t>
  </si>
  <si>
    <t>Aime Coralie sa nièce de 11 ans.</t>
  </si>
  <si>
    <t>1 frère
1 nièce</t>
  </si>
  <si>
    <t>Lionel aime bien les câlins, les promenades. Aime la télévision, spectacle</t>
  </si>
  <si>
    <t>se mouvoir pour se déplacer.</t>
  </si>
  <si>
    <t>Lionel mange de tout, il vaut mieux lui donner une sauce avec les aliments.
Il a besoin que ses aliments soient mixés très fin.
Lui donner deux gobelets en cas de chaleur car il se déshydrate facilement et est vite constipé. Pour un pic-nic une tranche de mousse de canard est par exemple facile à lui donner.	Yaour, compote, semoule.
Lui donner une sauce avec les aliments - Mixé très fin Si pic-nic donner une tranche de mousse de canard Mettre une cuillère dans la bouche et lui présenter un une boisson dans un gobelet</t>
  </si>
  <si>
    <t>Jus de fruits et frappés - Mange de tout. Cacao - café.Jus d'orange le matin.</t>
  </si>
  <si>
    <t>Mixé très fin</t>
  </si>
  <si>
    <t>Avec épaissisant  (texture similaire au yoghourt), et lui donner avec une cuillère.</t>
  </si>
  <si>
    <t>Il aime particulièrement café, chocolat. Il boit de tout.Boissons froides et jus d'orange</t>
  </si>
  <si>
    <t>boissons gazeuses. Les boissons ne doivent pas être bouillantes (tièdes)</t>
  </si>
  <si>
    <t>Soleil (le mettre à l'ombre et l'enduire d'une protection haute effiacité.</t>
  </si>
  <si>
    <t>douche à l’aide d’un lit-douche (il apprécie beaucoup les bains relaxants). En cas de grande chaleur, il peut avoir la diarrhée. Il a une peau qui se dessèche vite (appliquer une crème hydratante) surtout sur la figure et les mains.</t>
  </si>
  <si>
    <t>Lionel a besoin qu’on lui mette des couches et qu’on lui les change (matin, midi, soir).</t>
  </si>
  <si>
    <t>Etre attentif à son siège, bas du dos.Il faut bien le fixer à l’aide du matériel qui compose son fauteuil.</t>
  </si>
  <si>
    <t>Oui. Changement de position: l'assoir dans un hamac ou foteuil relax</t>
  </si>
  <si>
    <t>2 fois par jour minimum</t>
  </si>
  <si>
    <t>Il sait nager, il apprécie la piscine</t>
  </si>
  <si>
    <t>myopathie</t>
  </si>
  <si>
    <t>il est allergique à la Pennicelyne (à la place prendre de la cloroxine ou un dérivé)</t>
  </si>
  <si>
    <t>A3 024/473.51.23 ou la reception 024/473.51.41</t>
  </si>
  <si>
    <t>Supporte les longs trajets en bus - Inclinaison dans le fauteuil si une longue période assise.</t>
  </si>
  <si>
    <t>Ne peut pas nager, le soutenir en permanence de préférence avec un gilet.</t>
  </si>
  <si>
    <t>Aide totale pour l’habillement et le déshabillement. Habillage du haut : d’abord bras gauche, tête, bras droit, et le contraire pour déshabiller. Steeve  peut nous aider pour se tourner sur le côté, se soulever le bassin, etc.</t>
  </si>
  <si>
    <t>Steeve a besoin de repos, il s’endort sur le dos sans oreiller mais en levant légèrement le dossier du lit. Coussin de sable sur le côté gauche et peau de mouton sous les pieds. Vu qu’il est long, il faut être attentif que ses pieds ne frottent pas le fond du lit. La nuit, il n’y a pas de changement de position à faire.</t>
  </si>
  <si>
    <t>langage oral
Steeve est une personne très sociale qui sait très bien s’exprimer s’il désire quelque chose. Il est INDISPENSABLE d’avoir un homme comme accompagnant car il a tendance à vite tomber amoureux et il se construit des scénarios qui ne correspondent pas à la réalité. Il est important d’être clair dans les consignes et bien fixer les limites.
Possibilité de déplacement : fauteuil électrique, sa batterie ne doit pas être déchargée complètement. La charger tous les soirs.
Pour incliner la chaise, appuyer 2x bouton "mode" avec joystick, allumer 2 boutons rouges : siège/dossier, puis on peut basculer la chaise. C’est un moyen pour changer de position en cas de déplacement.</t>
  </si>
  <si>
    <t>Les parents sont divorcés mais c’est la maman et le papa qui assurent le suivi de Steeve.</t>
  </si>
  <si>
    <t>Aurélia / nièce : Alya 
Benjamin</t>
  </si>
  <si>
    <t>camarade de chambre à la Castalie : Thierry</t>
  </si>
  <si>
    <t>Steeve aime la musique en général, chanter, le foot à la télé, les promenades en ville, le cinéma, les spectacles, etc. Il apprécie son travail à l’atelier tricotin chez Véronika et il cherche tout ce qui renforce le côté masculin afin de s’identifier. Il a besoin d’être reconnu et valorisé dans les activités qu’il entreprend.</t>
  </si>
  <si>
    <t>Il n'aime pas être seul.</t>
  </si>
  <si>
    <t>Lui couper la nourriture. Dans son gobelet avec la paille, sa cuillère et son assiette spéciale, Steeve mange seul et parfois avec un peu d’aide.</t>
  </si>
  <si>
    <t>petit déjeuner : plutôt salé</t>
  </si>
  <si>
    <t>Steve a repris du poids. Actuellement, être attentif à ses apports caloriques. Travailler sur les quantités, priviléger légumes/salades.</t>
  </si>
  <si>
    <t>Les choux, la charcuterie, les concombres et les endives cuites, les fenouils entre autre, car il n'apprécie pas les légumes.</t>
  </si>
  <si>
    <t>lui donner dans un verre avec une paille ou en lui donnant.</t>
  </si>
  <si>
    <t>café, coca-cola</t>
  </si>
  <si>
    <t>Attention : pas de trop grandes quantités de boissons sucrées</t>
  </si>
  <si>
    <t>756.9638.5935.42</t>
  </si>
  <si>
    <t>retard mental, troubles moteurs, malvoyant, malformation à la hanche droite et hypertension en cas d’émotion.</t>
  </si>
  <si>
    <t>A protéger du soleil (casquette, crème, lunettes).</t>
  </si>
  <si>
    <t>Steeve a besoin d’une aide complète. En principe une douche chaque 2 jours. Etre attentif à bien le sécher après la toilette. 	Steeve a également le pied gauche qui est marqué par plusieurs petits accidents. Ce ne sont pas des escarres.Il suffit de masser le pied afin de faire circuler le sang. A être attentif aux rougeurs au niveau des fesses et des pieds et aux mycoses entre les orteils et sous les aisselles.</t>
  </si>
  <si>
    <t>Steeve est langé jour et nuit. A changer les protections le matin, midi, soir et en cas de besoin. Le matin et le soir lui mettre la bouteille.</t>
  </si>
  <si>
    <t>pas de risque majeur</t>
  </si>
  <si>
    <t>après-dîner et après souper env. 30  min</t>
  </si>
  <si>
    <t>Il nage tout seul</t>
  </si>
  <si>
    <t>oral
Il travail a la Coop à Sion.</t>
  </si>
  <si>
    <t>Patrick aime le football, le tennis, le ski, le vélo. Il aime bien aller visiter des musées, faire des ballades en bateau, sortir en disco.</t>
  </si>
  <si>
    <t>PSO (psycho-syndrome organique)</t>
  </si>
  <si>
    <t>Handicap mental, retard mental, Hyperactif, troubles du comportement, problème de cœur</t>
  </si>
  <si>
    <t>rhume des foins, allergique à la penicilline</t>
  </si>
  <si>
    <t>Autonome</t>
  </si>
  <si>
    <t>C1 - Léonardo Pamelli - 024 473 51 51</t>
  </si>
  <si>
    <t>Supporte les longs trajets en bus.
Position dans le fauteuil : bien au fond, bien droite (remarque générale)</t>
  </si>
  <si>
    <t>Aide et dépendance totale</t>
  </si>
  <si>
    <t>Dort sur le dos  ou en latéral gauche avec barrières des deux côtés</t>
  </si>
  <si>
    <t>Langage oral : petits cris répétitifs : signes de mauvaise humeur. Se secoue et se balance dans sa sa chaise. Rigole bien quand on est seul avec elle</t>
  </si>
  <si>
    <t>Mère : Gabrielle - fait des veilles donc n'est pas toujours disponible la journée
Père :  Jean-Luc - divorcé</t>
  </si>
  <si>
    <t>Musique (Pierre Bachelet, Céline Dion, Joe Dassin)
Ecouter de la muique et danser, se promener, faire la fête, feuilleter son livre</t>
  </si>
  <si>
    <t>Activités avec trop de bruits subits (ex. pétard)</t>
  </si>
  <si>
    <t>Aide totale : Support en bois avec un trou pour l'assiette pour qu'elle puisse manger seule. Mettre les médicaments dans la première cuillère et lui donner - Manger : couper fin - mange seule + rebord d'assiette. Tartine: humidifier avec du lait les tartines! Essaier de lui mettre le verre et la cuillère dans la main droite pour qu'elle mange seule. Elle mange plus le matin et le soir qu'à midi. Après le repas, lui donner son petit classeur. La faire manger à l'écart du groupe. La prise d'aliment sera ainsi facilité.</t>
  </si>
  <si>
    <t>Aime manger - kellogg's pour le déjeuner</t>
  </si>
  <si>
    <t>N'aime pas le poisson!</t>
  </si>
  <si>
    <t>Elle boit avec un goblet toute seule, la forcer un peu car n'aime pas boire. Rester à côté d'elle car elle renverse son verre lorsqu'elle a fini.</t>
  </si>
  <si>
    <t>Café sucré. Un verre de thé avant le cacao sinon elle ne boit pas.</t>
  </si>
  <si>
    <t>0342936</t>
  </si>
  <si>
    <t>IMC avec tétraplégie, spastique et retard mental important</t>
  </si>
  <si>
    <t>Handicap mental, - retard mental important épilepsie, malvoyante, troubles moteurs</t>
  </si>
  <si>
    <t>Soleil</t>
  </si>
  <si>
    <t>Aide totale : Important de bien laver et sécher en tamponnant les parties intimes (grandes lèvres) car risque important d'inflammations. Lors de la sieste elle dort sur le dos et le soir contre le mur.</t>
  </si>
  <si>
    <t>Aide totale : langée jour et nuit</t>
  </si>
  <si>
    <t>A une tige le long de la colonne vertébrale. La solliciter et lui expliquer ce que l'on fait. Elle dort contre le mur + coussin entre les jambes</t>
  </si>
  <si>
    <t>couchée sur le dos</t>
  </si>
  <si>
    <t>à la demi-journée</t>
  </si>
  <si>
    <t>Oui mais changement de position après 2 heures de route.</t>
  </si>
  <si>
    <t>ne sait pas nager, il a besoin d’une bouée et d’une personne pour le soutenir. Il déteste avoir la tête sous l’eau. Après 20 min, il en a marre. Faire attention qu'il ne boive pas la tasse.</t>
  </si>
  <si>
    <t>Oui, aide totale.</t>
  </si>
  <si>
    <t>En principe, elle se couche vers 20h45 (à voir avec son comportement). Elle se lève vers 8h00. Elle dort sur le coté ou à plat ventre. Lui donner un petit bout de gaze dans le coin de la bouche pour s’endormir. Le soir, lui mettre un lange et mettre deux alaises pour éviter qu'elle mouille son lit. Il lui arrive, parfois, de faire des crises d’épilepsie durant son sommeil. Samuel se couche environ 1h, 1h30 pour détendre son dos après diner.</t>
  </si>
  <si>
    <t>Il communique à l’aide de cris et de sourires lorsqu’il est content. Il crie et pleure quand il ne l’est pas. Lorsqu'il n'aime pas quelque chose, il fait des grimaces.</t>
  </si>
  <si>
    <t>Nicolas a 3 frères; un s'appelle Gabriel et travaille à la bijouterie.Il a 2 enfants et la fille a aussi 2 enfants. Un autre de ses frères s'appelle Emannuel et a le magasin d'optique à Sion. Il a 3 filles. le 3ème frère haite au Tessin</t>
  </si>
  <si>
    <t>les promenades et la musique plus tôt douce. Lorsqu'il est à l'extérieur bien freiner sa chaise pour pas qu'il ne parte.</t>
  </si>
  <si>
    <t>Il n’a pas d’activité peu appréciée. Il n'aime pas trop être touché et toucher les objets de lui-même car il a une hypersensibilité au niveau des mains</t>
  </si>
  <si>
    <t>Samuel aime tout. Lui donner à manger. Couper très fin, écraser les patates et les légumes et hacher la viande car Samuel ne mâche pas. Soulever le menton pour donner à manger ou à boire. Samuel mange volontiers des fruits pour le goûter. Ne pas lui donner les aliments en bouillie.</t>
  </si>
  <si>
    <t>Samuel doit surveiller son poids, 1 assiette à soupe + ¼ lui suffise. En principe, il ne 
mange pas entre les repas.</t>
  </si>
  <si>
    <t>lui donner. Lui faire tenir son verre avec la main droite mais la soutenir quand même sinon il le lâche. Vu son insuffisance rénale doit boire souvent.</t>
  </si>
  <si>
    <t>Samuel n’aime pas les boissons gazeuses et froides.</t>
  </si>
  <si>
    <t>756.30.84.5679.59</t>
  </si>
  <si>
    <t>Parfois les yeux rouges et le nez qui coule dû au pollen. Rincer les narines 3x par jour avec le Fluimare.</t>
  </si>
  <si>
    <t>Samuel bave. Lui mettre une bavette sur la veste ou le pull lors des sorties. Pour la toiliette: aide totale. Lors du brossage des dents, Samuel avale le dentifrice et l’eau de rinçage qui doit être chaude. Après la douche, bien sécher au foehn les plis des cuisses, entre les orteils et les doigts et mettre la crème au visage. Au coucher, bien nettoyer le visage et ne pas lui mettre de crème. Pas besoin de raser Samuel.</t>
  </si>
  <si>
    <t>Samuel est langé jour et nuit. Changement de lange 3x par jour. Le mettre si possible au toilette sur un rehausseur 15 min après les repas.</t>
  </si>
  <si>
    <t>chaque 2 heures</t>
  </si>
  <si>
    <t>supporte les longs trajets</t>
  </si>
  <si>
    <t>Elle peut aller dans la piscine mais toujours avec une aide. Elle  ne nage pas.</t>
  </si>
  <si>
    <t>se débroille seul</t>
  </si>
  <si>
    <t>verbale</t>
  </si>
  <si>
    <t>Elle aime jouer avec les jeux de société, écouter de la musique, dessiner et aime être assise.
éviter la surprotection. Elle a de la difficulté à être dans un rythme</t>
  </si>
  <si>
    <t>Elle n'aime pas se mouvoir, elle aime être passive</t>
  </si>
  <si>
    <t>Spidia-bifida</t>
  </si>
  <si>
    <t>Handicap mental, troubles  moteurs et sphincters</t>
  </si>
  <si>
    <t>Sandrine a besoin de l’aide d’une personne.</t>
  </si>
  <si>
    <t>Sandrine parle de tout. Elle aime sortir, rencontrer des gens.</t>
  </si>
  <si>
    <t>Spina Bifida</t>
  </si>
  <si>
    <t>handicap mental (léger), troubles moteurs.</t>
  </si>
  <si>
    <t>protéger Sandrine du soleil (chapeau, crème)</t>
  </si>
  <si>
    <t>Sapna sait nager. Elle apprécie la piscine.</t>
  </si>
  <si>
    <t>Sapna aime bien faire les magasins, écouter de la musique et aller en discothèque.</t>
  </si>
  <si>
    <t>Sapna n'aime pas les promenades.</t>
  </si>
  <si>
    <t>éctomélie (membres petits)</t>
  </si>
  <si>
    <t>Elle est alergique aux  piqûres d’insectes (abeilles, moustiques…).</t>
  </si>
  <si>
    <t>Prince ne sait pas nager et il n'aime pas aller à la piscine.</t>
  </si>
  <si>
    <t>Prince aime bien le sport, le foot, le rafroball, aller boire une verre et la bonne ambiance. Il est ouvert à tous les sujets de discussion.</t>
  </si>
  <si>
    <t>la piscine, la natation, la plage.</t>
  </si>
  <si>
    <t>phocomélie (Prince n’a pas de jambes)</t>
  </si>
  <si>
    <t>protéger Prince du soleil (casquette, crème)</t>
  </si>
  <si>
    <t>Maud sait nager et se débrouille seule.</t>
  </si>
  <si>
    <t>expression orale</t>
  </si>
  <si>
    <t>Le sport en général, le tennis.</t>
  </si>
  <si>
    <t>Supporte les longs trajets en bus il les apprécient beaucoup. Samuel marche avec de l’aide pour le guider. Il nous tiens par l'épaule pour marcher, ne pas le laisser trop s’appuyer sur soi.</t>
  </si>
  <si>
    <t>Samuel apprécie l’eau et les « bulles et massages d’eau » dans les bains thermaux. Une personne doit le tenir continuellement car, il ne nage pas. Il apprécie les jeux dans l’eau : sauter, se faire tirer ou pousser dans l’eau. Il n’aime pas les piscines avec de l’eau « froide ».</t>
  </si>
  <si>
    <t>Samuel, avec une stimulation verbale, arrive à ôter ses habits (en phases d’apprentissage). Pour l’habillement, il a besoin de l’aide.</t>
  </si>
  <si>
    <t>Au coucher, il n’a pas d’habitudes particulières. Il apprécie les massages et les petites histoires, les vacances et les week-ends pas d’horaires. Contrôler env. toutes les 2h sa poche et vider les gaz si nécessaire.
•	Maintenant il apprécie une sieste si on se couche avec lui, surtout si la journée et les soirées sont bien chargées. Seul, lui passer de la musique.</t>
  </si>
  <si>
    <t>Il parle et commence à s’affirmer avec le oui et le non. Il a besoin qu’on lui verbalise les activités que l’on fait sur le moment. Cela le rassure et l’aide à se situer.</t>
  </si>
  <si>
    <t>Ses grands-parents maternels Benjamin et Eliane. Sa marraine Karine.</t>
  </si>
  <si>
    <t>1 sœur : Catherine de 1989 et 1 frère : Florent de 1986.Il est tonton de Melvin et Gabriel (fils de Catherine et Simon) né en 2011, Théo (fils de Florent et Adriana) né en 2014 et Océane né en 2015</t>
  </si>
  <si>
    <t>Samuel aime les balades à cheval, les bains thermaux, les balades à vélo, les balades et le karaoké (chanter et danser). Il apprécie le contact physique et être contenu dans les bras.</t>
  </si>
  <si>
    <t>A mettre une bavette avant le repas. Mixer et couper les aliments fins ou écraser à la fourchette  car il ne mâche pas. Samuel arrive à les mettre en bouche avec une cuillère en utilisant un bol ou une assiette à soupe. Lui faire boire au moins 2 littres par jour.</t>
  </si>
  <si>
    <t>Il mange de tout, fondue avec patates écrasées (les céréales qui fondent bien eau-lait tiède)</t>
  </si>
  <si>
    <t>sans lactose ni gluten</t>
  </si>
  <si>
    <t>les légumes aux vinaigres</t>
  </si>
  <si>
    <t>Il doit beaucoup boire, (thé, eau, chocolat chaud, etc.). Le faire boire au verre si on arrive pas lui donner avec la cuillère mais favoriser le verre. Paille-gobelet bec</t>
  </si>
  <si>
    <t>Il aime le thé, l'eau et le chocolat chaud sans lactose, sirop, jus de fruits.</t>
  </si>
  <si>
    <t>les eaux gazeuses</t>
  </si>
  <si>
    <t>Micro-céphalie</t>
  </si>
  <si>
    <t>non-voyant, stéréotypies, crises d’angoisse avec des cris, retard mental.</t>
  </si>
  <si>
    <t>Le protéger du soleil avec une casquettes. Lunettes de soleil sur l'eau et la neige</t>
  </si>
  <si>
    <t>Samuel a besoin d’une aide complète pour sa toilette (laver le visage, les dents, coiffer, etc.).  Cependant, il commence à participer à certaines tâches ex. se brosse les dents. Le matin et le soir bien lui laver les parties intimes. Lui changer le lange quand nécessaire. Il porte une sonde sus-pubienne (sans uriflac). Il faut la vider chaque 3-4 heures (pas la nuit).</t>
  </si>
  <si>
    <t>Samuel a une culotte en papier (pans) + sonde sus-pubienne. Iliostomie (poche)</t>
  </si>
  <si>
    <t>mains sèches</t>
  </si>
  <si>
    <t>Il aime les piscines avec l'esu chaude. Il faut le soutenir (manchons ou bouée), bien lui soutenir la tête.</t>
  </si>
  <si>
    <t>Langage oral.</t>
  </si>
  <si>
    <t>Andreï aime écouter de la musique. Il est interéssé par tout ce qui est technique. Il apprécie de discuter et d'être entouré.</t>
  </si>
  <si>
    <t>aucune</t>
  </si>
  <si>
    <t>incontinance à gérer + manipulations spéciales</t>
  </si>
  <si>
    <t>Normal</t>
  </si>
  <si>
    <t>Parents divorcés. La Maman est remariée avec le frêre du père avec lequel elle a eu 2 enfants. Excellents contacts avec les grands-parents de Neuchâtel (Papy et Mamy).</t>
  </si>
  <si>
    <t>Un frêre directe, Mathieu (1986)
Deux 1/2 frêres Yann (et Jérémie</t>
  </si>
  <si>
    <t>Excellents contacts avec son Parrain et sa Maraine (Stéphane et Véronique Délétroz).
Entretien des relations avec plusieurs amis</t>
  </si>
  <si>
    <t>Voyages en train
Il aime la pêche et faire des gâteaux, un peu de cuisine.</t>
  </si>
  <si>
    <t>Piscine</t>
  </si>
  <si>
    <t>essai de formulation pour test</t>
  </si>
  <si>
    <t>RAS</t>
  </si>
  <si>
    <t>Le doucher, le savonner et le sécher.</t>
  </si>
  <si>
    <t>Il est langé la nuit et lors d'événements particuliers. Il peut être mouillé seulement par accident ou en cas de crise d'épilepsie. Préconise de le laisser langer la journée.</t>
  </si>
  <si>
    <t>Si il est fatigué faire une sieste</t>
  </si>
  <si>
    <t>Selon fatigue</t>
  </si>
  <si>
    <t>Sortir Julien de sa chaise et le mettre au bord de la piscine. Il faut être à ses côtés lorsqu’il nage. Il nage sur le dos.</t>
  </si>
  <si>
    <t>Oral: Julien s’exprime bien pour tout ce qui concerne le courant (ses besoins, ses envies, ses joies, ses tristesses).</t>
  </si>
  <si>
    <t>Julien est très attaché à sa famille. Il a une sœur qui s’appelle Céline, ainsi que des oncles et des tantes à Genève, à Zürich et à Neuchâtel. Il a une grand-maman qui s’appelle Ida et qui est dans un home. Julien aime la musique, la nature, la fête, les</t>
  </si>
  <si>
    <t>protéger Julien du soleil (casquette, crème).</t>
  </si>
  <si>
    <t>Roxanne Monnet (éducatrice)</t>
  </si>
  <si>
    <t>En fauteuil roulant. Mais sur de courte distance, James marche avec ses deux cannes anglaises.</t>
  </si>
  <si>
    <t>Les cheveux mi-longs , habillement style rock.</t>
  </si>
  <si>
    <t>Stimuler James à aller au Wc 1 * pendant la nuit , car il y a risque d'énuresie.</t>
  </si>
  <si>
    <t>James s'exprime bien. Il dis parfois qu'il entend des voix ,mais elle sont gentilles.</t>
  </si>
  <si>
    <t>La guitare, la musique rock. Il aime bien parler de son voyage en Inde et de ses expériences de vie.Il aime écouter de la musique et lire des revues sur la musique.</t>
  </si>
  <si>
    <t>Ne sait pas nager sans flotteurs</t>
  </si>
  <si>
    <t>aide complet pour l'habillement</t>
  </si>
  <si>
    <t>Pour qu'il s'endorme, il doit toujours dormir avec quelqu'un à ses côtés</t>
  </si>
  <si>
    <t>Ne s'exprime pas verbalement, avec des gestes.</t>
  </si>
  <si>
    <t>ses parents, ses grands-parents maternel et paternel</t>
  </si>
  <si>
    <t>son grand-frère Antoine, né en 2011.
sa petite sœur Myriam, née en 2014</t>
  </si>
  <si>
    <t>ses camarades de la crèche</t>
  </si>
  <si>
    <t>balades, trampoline, jeux au parc, bob, pâte à modeler</t>
  </si>
  <si>
    <t>apprécie moins les activités à l'intérieur.</t>
  </si>
  <si>
    <t>repas + goûter</t>
  </si>
  <si>
    <t>pâtes, saucisses</t>
  </si>
  <si>
    <t>bonbons, chocolats</t>
  </si>
  <si>
    <t>3x le matin et 3x l'après-midi</t>
  </si>
  <si>
    <t>jus de pomme, jus de raisin (avec un peu d'eau)</t>
  </si>
  <si>
    <t>boissons gazeuses sucrées</t>
  </si>
  <si>
    <t>trouble du spectre autistique</t>
  </si>
  <si>
    <t>difficultés d'autonomie</t>
  </si>
  <si>
    <t>apprend gentillement à aller aux toilettes mais doit être accompagné.</t>
  </si>
  <si>
    <t>Langer jour et nuit</t>
  </si>
  <si>
    <t>Il sait nager, mais se mettre à deux pour l'aider car il vient d'avoir une longue période d'arrêt.</t>
  </si>
  <si>
    <t>Laza aime beaucoup le basket, le cinéma. Il aime jouer aux échecs, écouter de la musique mais surtout aller voir des concerts.</t>
  </si>
  <si>
    <t>Ne peux pas nager, 2 personnes la soutiennent</t>
  </si>
  <si>
    <t>Elle parle doucement, elle bégaie un peu, parfois c’est difficile à la comprendre.</t>
  </si>
  <si>
    <t>Sophie aime la musique, les promenades en ville, l’ambiance de fête et elle aime bien que l’on s’occupe d’elle. Elle ne fume plus.</t>
  </si>
  <si>
    <t>Sophie aime la musique, les promenades en ville, l’ambiance de fête et elle aime bien que l’on s’occupe d’elle. De tant en tant, elle fume une cigarette.</t>
  </si>
  <si>
    <t>La piscine</t>
  </si>
  <si>
    <t>Tétraplégie spastique post-traumatique</t>
  </si>
  <si>
    <t>handicap mental, troubles moteurs</t>
  </si>
  <si>
    <t>A protéger du soleil. En cas de canicule:surélever les jambes et augmenter les changement de position.</t>
  </si>
  <si>
    <t>TROP PETIT??</t>
  </si>
  <si>
    <t>Hendrix Kouamé 024 473 51 42</t>
  </si>
  <si>
    <t>Supporte les longs trajets.</t>
  </si>
  <si>
    <t>Aide nécessaire pour l'habillement.</t>
  </si>
  <si>
    <t>Sieste après dîner si possible.</t>
  </si>
  <si>
    <t>verbale mais faible. Il articule difficilement les mots : adieu, maman, allo, encore, content, nen=manger, kéké=télé, non=signe de la tête, oui=un baiser, malade</t>
  </si>
  <si>
    <t>Il a sa maman, son frère Olivier, sa belle-sœur Tess, son oncle Abel, sa nièce Julie, Hélène une amie de sa maman. Il aime la musique, la téié, faire de la peinture, se promener, mager</t>
  </si>
  <si>
    <t>Sa maman, son papa (décédé), son frère Olivier, sa belle-sœur Tess, son oncle Abel, Hélène une amie de la maman, sa nièce Julie. Il aime la musique, la télé, faire de la peinture, se promener, nager.</t>
  </si>
  <si>
    <t>Stéphane angoisse facilement, il est nécessaire de bien lui expliqer à l'avance nos gestes et les différentes situations pour qu'il puisse s'y préparer et ne pas angoisser.</t>
  </si>
  <si>
    <t>On doit lui donner à manger, la nourriture doit être mixée.</t>
  </si>
  <si>
    <t>Mixé et coupé très fin.</t>
  </si>
  <si>
    <t>Pas de biscuits secs, d'aliments durs, de bonbons etc.</t>
  </si>
  <si>
    <t>161.47.813</t>
  </si>
  <si>
    <t>Handicap mental, épilepsie, troubles moteurs, autres…</t>
  </si>
  <si>
    <t>Ruhme des foins…yeux très sensibles (mettre les lunettes de soleil SVP)</t>
  </si>
  <si>
    <t>Aide nécessaire.</t>
  </si>
  <si>
    <t>Doit être langé  Selle : suppositoires: lundi et vendredi</t>
  </si>
  <si>
    <t>Surveiller les points d'appui,surtout les pieds(hydrater par effleurage si jamais).</t>
  </si>
  <si>
    <t>Position dans le lit : Avec un oreiller. Sur le dos au couché. Sur le côté gauche au changement de position de la nuit. Sur le côté droit au changement de position l'après-midi.</t>
  </si>
  <si>
    <t>Supporte les longs trajets en bus. Maniement autonome de sa chaise - aide pour descendre du fauteuil et cale entre les jambes.
Marche : avec attelle aux pieds - déambulateur et porte une attelle complète jambe gauche</t>
  </si>
  <si>
    <t>Aide totale : la tenir et mettre les manchons et une culotte plastique sous le caleçon de bain. Flotte sur le dos sans manchon</t>
  </si>
  <si>
    <t>Aide complète pour être lavée et la toilette (laver les dents, coiffer, etc)</t>
  </si>
  <si>
    <t>Coucher : peluche "Guggus" et prière en allemand</t>
  </si>
  <si>
    <t>Jean-Louis, son grand-père, vient lui dire bonjour tous les deux jours 2 matins
Cousins: Loïc, Axel, Noa, Camille, Emilie, Anais et Maël
Apprécie ses cousin-es : Loïc, Axel, Noa, Camille, Emilie,  Anais et Maël</t>
  </si>
  <si>
    <t>Fabrice (1989)</t>
  </si>
  <si>
    <t>Discussions préférées : informations sur la famille, leurs métiers, leurs passions
Activités préférées : regarder des livers avec des petites histoires, musique, chant, jeux (manque vite d'attention)</t>
  </si>
  <si>
    <t>Besoin d'être stimulée face à la nouveauté</t>
  </si>
  <si>
    <t>Autonome -- petite quantité, dans une assiette creuse.
Manger : l'aider à piquer la viande et couper fin, donner plus de légumes que de féculents</t>
  </si>
  <si>
    <t>Limiter les aliments caloriques</t>
  </si>
  <si>
    <t>Tendance à la constipation</t>
  </si>
  <si>
    <t>Aurélie boit au verre ou avec sa gourde
 Demande parfois un fond de verre d'eau avant de se coucher.</t>
  </si>
  <si>
    <t>Sirop light, café le matin, thé froid light</t>
  </si>
  <si>
    <t>756.4842.5132.87</t>
  </si>
  <si>
    <t>Holoprosencéphalie, classé dans les IMC</t>
  </si>
  <si>
    <t>Retard de développement et trouble de concentration Petites absences et tremblements liés aux médicaments. Tendance à être constipée</t>
  </si>
  <si>
    <t>Léger rhume des foins</t>
  </si>
  <si>
    <t>Langée jour et nuit : Ne pas la mettre à selles la nuit sauf en cas de changement de protection. Elle demande parfois pour aller aux toillettes; il est préférable de ne pas accepter sauf si elle a la protection est pleines de selles.(les demandes pr aller aux toilettes sont de plus en plus juste). Le matin, la mettre 5min.sur les toilettes avec une personne à côté d'elle.</t>
  </si>
  <si>
    <t>Voir chagement de position</t>
  </si>
  <si>
    <t>après le dîner</t>
  </si>
  <si>
    <t>20 minutes à 1/2 heures</t>
  </si>
  <si>
    <t>elle aime beaucoup la piscine. Il faut toujours être avec elle.</t>
  </si>
  <si>
    <t>Elle a un cahier de communication</t>
  </si>
  <si>
    <t>Elle grimpe partout, sort de partout. Il faut mettre des limites dès le début. Elle aime les balançoires, les toboggans. Elle aime le chant et la musique. Elle peut marcher environ 15 minutes.</t>
  </si>
  <si>
    <t>microcéphalie</t>
  </si>
  <si>
    <t>avec le chlore elle a tendance à vomir</t>
  </si>
  <si>
    <t>M. Gilles Aymon</t>
  </si>
  <si>
    <t>oui, il apprécie énormément, il préfère être à l’avant</t>
  </si>
  <si>
    <t>Bernard apprécie l’eau, mais ne sait pas nager. Vu sa longue taille, il a facilement le fond. Cependant la présence d’une personne est obligatoire pour le surveiller.</t>
  </si>
  <si>
    <t>Aide nécessaire : l’encourager à s’habiller et se déshabiller seul, il ne sait pas boutonner et déboutonner, ni attacher les souliers</t>
  </si>
  <si>
    <t>Il dort env. 9h  par nuit. Il n’a pas besoin de rituel particulier, mais il s’endort avec une peluche et une gourde pour boire durant la nuit (avec de l’eau). Faire attention que le dos ne soit pas découvert.</t>
  </si>
  <si>
    <t>orale, il utilise plutôt des mots qui résument une phrase. Il a une gestuelle très expressive.
A surveiller constamment, car Bernard n’a pas encore acquis la notion du danger. Il sait mettre en marche des véhicules et les défreiner. Essayer de la recadrer, de la ramener dans la réalité quand il parle tout seul. L'appeler par son vrai prénom : Bernard et non Bernie !</t>
  </si>
  <si>
    <t>Il apprecie Claudy l'ami de maman.</t>
  </si>
  <si>
    <t>Il a une grande sœur qui s’appelle Valérie de 1984. Le mari de Valérie est  Yoan. Ils sont à Cousset</t>
  </si>
  <si>
    <t>Bernard apprécie la musique de fanfare, faire de la musique (le tambour), manipuler une bouteille de pet, faire du cheval, participer à des concerts et spectacles, regarder les vidéos réalistes (Fifi brin d’acier, Maison dans la prairie, Mr. Bean.Il aime tout ce qui concerne les machines, la mécanique les véhicules (attention de ne pas laisser les clefs sur un véhicule et bien tirer le frein à main). Faire des Puzzles(niveau 5-6 ans)</t>
  </si>
  <si>
    <t>visiter des musées</t>
  </si>
  <si>
    <t>Ne pas le faire manger s’il n’a pas faim (risque de vomissements nocturnes). Bernard mange de manière autonome, mais il faut l’aider à couper les aliments</t>
  </si>
  <si>
    <t>Le matin, il apprécie le pain et la confiture, les yoghourts, les flans, la tart aux pommes, le laisser choisir.</t>
  </si>
  <si>
    <t>n'aime pas le beurre, les bonbons et le chocolat</t>
  </si>
  <si>
    <t>lait, crème, mayonnaise (risque de diarrhée)</t>
  </si>
  <si>
    <t>Il aime boire abondamment, d’ailleurs il a souvent une bouteille en pet avec lui</t>
  </si>
  <si>
    <t>le matin : café, tisane de camomille</t>
  </si>
  <si>
    <t>Eviter le Coca et le thé froid la soirée</t>
  </si>
  <si>
    <t>80756002900021968361</t>
  </si>
  <si>
    <t>retard général (48 chromosomes au lieu de 46).</t>
  </si>
  <si>
    <t>Il est en traitement pour des verrues à 1 main. (Selon évolution) rhume des foins, à donner le Similasan no 2</t>
  </si>
  <si>
    <t>lui brosser les dents, le coiffer, l’aider à se laver la figure, les mains, le doucher, le raser.</t>
  </si>
  <si>
    <t>Gil a besoin d’un gilet pour aller à la piscine.</t>
  </si>
  <si>
    <t>Oui et non et avec le regard et avec son panneau de pictos.</t>
  </si>
  <si>
    <t>Gil a deux oncle Roger et Jean-Bernard et leurs enfants. Lorsque Gil parle de ses oncles, il dit « meuh » car ils ont des vaches. Il aime bien feuilleter des catalogues.</t>
  </si>
  <si>
    <t>Rien faire.</t>
  </si>
  <si>
    <t>Troubles moteurs</t>
  </si>
  <si>
    <t>Protéger Gil du soleil</t>
  </si>
  <si>
    <t>Steve Quarroz - 027 473 52 31</t>
  </si>
  <si>
    <t>Salima peut marcher en  donnant la main.  Eviter au maximum de la laisser s’appuyer sur soi.  Sur des chemins plats et larges Salima peut marcher seule avec une stimulation verbale. Il faut l’encourager à marcher seule quand c’est possible</t>
  </si>
  <si>
    <t>Salima adore l'eau, aime flotter sur le dos avec l'accompagnant à proximité et aime aussi les « bulles et massages d’eau » doux dans les bains thermaux. Une personne doit l’accompagner car, elle ne nage pas. La mettre sur les WC avant d'aller dans l'eau.</t>
  </si>
  <si>
    <t>Salima, avec une stimulation verbale, arrive, selon les jours, à mettre ses habits (chausettes, pulls, pantalons,…) en partie et à les ôter. Ils doivent lui être présentés dans le bon sens.</t>
  </si>
  <si>
    <t>Salima ne parle pas, mais elle a des moyens pour demander : montrer, tourner la tête, tirer par le bras… Elle utilise le non-verbal, elle arrive à choisir des aliments lorsqu’on les lui présente.</t>
  </si>
  <si>
    <t>écouter de la musique, aime qu’on lui chante ; danser ; les jeux d’encastrement, de tri ; les jeux avec un contact avec les autres : roulade, massages.Elle apprécie sa sœur Sara et ses frères Julien et Matthieu. Elle apprécie les sources de chaleur, les balades au soleil, le vent, la marche et le vélo.</t>
  </si>
  <si>
    <t>apprécie moins: pâte à modeler, peinture, lieux trop bruyants ou foule excitée...cris</t>
  </si>
  <si>
    <t>mettre une bavette avant le repas. Salima retient parfois ses selles, il est préférable d’avoir une alimentation variée avec des fibres. Elle doit aussi bcp boire (thé, eau, etc.). Lui donner un fruit ou jus de fruits avant le déjeuner pour prévenir la constipation. Elle boit seule mais la présence de l’adulte est nécessaire pour éviter les inondations. La rassure pour les repas.</t>
  </si>
  <si>
    <t>Couper fin les aliments (pas mixer) car mastique mal</t>
  </si>
  <si>
    <t>Elle n'aime pas le melon</t>
  </si>
  <si>
    <t>Boit de l'eau. Elle aime un cacao de temps en temps froid ou tiède. Un léger café au lait parfois</t>
  </si>
  <si>
    <t>les eaux gazeuses et trop sucrées. EVITER le coca qui devient une idée FIXE ! Sauf vers la fin d'une fête</t>
  </si>
  <si>
    <t>011399476</t>
  </si>
  <si>
    <t>Handicap mental et malvoyante</t>
  </si>
  <si>
    <t>stéréotypies, crises d’angoisse. Elle a une vision périphérique. Les forts contrastes lumineux peuvent provoquer des angoisses. N'est pas propre. Ne parle pas mais comprend ce qui est simplement expliqué.</t>
  </si>
  <si>
    <t>Yeux à protéger du soleil, éviter si possible qu'elle fixe soleil ou sources lumineuses intenses (reflets de l'eau, neige). Si épanchements externe de l'oreille (otite), ne JAMAIS nettoyer avec des Q-Tips. Avertir les parents</t>
  </si>
  <si>
    <t>Aide complète pour sa toilette. Bien essuyer ses oreilles et entre les orteilles. Séchage complet des cheveux après la piscine. Le matin et le soir laver le siège avec lavette et savon et BIEN sécher. Aime le bain et  la douche et lui donner de temps en temps le pommeau pour se rincer ou l’aider en la guidant.</t>
  </si>
  <si>
    <t>Salima est langée jour et nuit. WC et la changer 4-5 fois/jour. La laisser sur les WC env. 10 min. avant ou après les repas en surveillant de tps en tps. Urine presque chaque matin sur les wc et souvent dans la journée. Parfois signale qu'elle doit aller au WC en criait.</t>
  </si>
  <si>
    <t>La journée, elle ne fait pas de sieste</t>
  </si>
  <si>
    <t>Habite dans son appartement dixence 47C à Sion</t>
  </si>
  <si>
    <t>Lavette humide sur la visage et le corps pour la rafraîchir. Sensible aux changements de température (chaud ET froid). Si elle a froid, la couvrir avec une couverture. La chaise de Caroline s'incline pour un meilleur confort lors des longs trajets.</t>
  </si>
  <si>
    <t>Caroline a besoin d’une personne en permanence. La tenir dans les bras. Rentrer doucement dans l'eau. Elle n'aime pas avoir froid.</t>
  </si>
  <si>
    <t>Elle a besoin d'aide. Lorsqu'on lui enfile un pull, il est mieux de commencer par le bras gauche.</t>
  </si>
  <si>
    <t>Caroline dort généralement sur le dos avec un coussin banane sous les jambes avec un peu de lecture et une petite prière avant le couché. Elle a un peu de peine à s'endormir mais après elle dort facilement 8 à 9 heures. Surveiller la température de ses pieds est une bonne indication pour vérifier son confort. Si elle a froid, mettre des chaussettes, voire une bouillotte.</t>
  </si>
  <si>
    <t>Fais des "bulles" avec la bouche quand elle est satisfaite. Mouvement de bisous avec la bouche. Par ses attitudes, la communication facilitée, le pointage du oui ou du non en soutenant la main, le regard vers ce qu'elle veut.
Caroline a dans son sac un classeur bleu destiné à ses accompagnants. Prenez le temps de le lire.</t>
  </si>
  <si>
    <t>Était très attachée à son grand-père Albert (qui est décédé) et à sa grand-mère Yvette (qui vit au home)</t>
  </si>
  <si>
    <t>petite sœur : Rebecca (1994)</t>
  </si>
  <si>
    <t>Caroline aime bien regarder la télévision, écouter de la musique et aller au cinéma. Elle aime écouter Yannick Noah, Linda Lemay, Yussuf, Julien Clerc, Grand Corp Malade et Stress. Elle apprécie la musique douce le soir pour s'endormir: Grégory Lemarchal et pleins d'autres. Elle aime le contact et les discussions.</t>
  </si>
  <si>
    <t>Elle crie ou sert les dents quand elle n'aime pas une activité.</t>
  </si>
  <si>
    <t>cf. feuille des aliments,</t>
  </si>
  <si>
    <t>mixé, ajouter bouillon ou liquide pour la faire boire -&gt; aime la soupe</t>
  </si>
  <si>
    <t>Dans une bouteille cycliste ou un verre échancré, boit bien à le seringue et à la cuillère
Caroline peine à boire. Pensez à l'encourager et à bien verbaliser</t>
  </si>
  <si>
    <t>Jus (sans acidité) pêche, mangue, poire. Tisane. Eau, Café+crème, Lait de soja</t>
  </si>
  <si>
    <t>Alcool (boit occasionnellement un peu d'alcool 1dl)</t>
  </si>
  <si>
    <t>Boissons gazeuse et très sucrées</t>
  </si>
  <si>
    <t>IMC polyhandicap</t>
  </si>
  <si>
    <t>épilepsie et des crises spastiques, Caroline prend régulièrement des traitements homéopathiques ou spagiriques :Suivre les instructions avant l'activité.</t>
  </si>
  <si>
    <t>produits alimentaires, Caroline est facilement éblouie, lui mettre des lunettes ou une casquette. N'aime pas le vent.</t>
  </si>
  <si>
    <t>Elle a besoin d'aide. Lotion de soin sur le visage. En cas de problèmes de digestion, la prendre dans les bras contre soi et lui faire des légers massages de l'estomac. Les médicaments sous forme de pastilles ou comprimés, se donne dans une cuillère avec un peu de liquide ou d'aliment.</t>
  </si>
  <si>
    <t>Caroline est langée jour et nuit. Il faut lui changer les langes après le déjeuner, puis vers 10h, après le dîner, vers 16h et avant le coucher. Pour aller à selles, la laisser faire dans les langes. Si après 2-3 jours, elle est constipée, il faut lui faire un lavement. (Systématiquement)</t>
  </si>
  <si>
    <t>! : au coccyx qui a tendence à devenir rouge</t>
  </si>
  <si>
    <t>B2 - 024 473 51 42 Sophia Eddadoui</t>
  </si>
  <si>
    <t>Supporte les longs trajets en bus.
Elle peut aussi marcher avec le Rollator.</t>
  </si>
  <si>
    <t>Elle apprécie beaucoup la piscine. Pas besoin de manchon mais la tenir. Aime les bulles, marcher dans l'eau.</t>
  </si>
  <si>
    <t>Aide totale 
L’habillement lui demander pour le choix des vêtements et l’aider avec guidance</t>
  </si>
  <si>
    <t>Elle dort très bien et avec un coussin, chaussetes aux mains pour la nuit. Lui mettre le pyjama avec la fermeture dasn le dos. Ne rien laisser à sa portée car elle prend tout à la bouche et déchire. La mettre au wc avant d’aller au lit et la langer. A l’habitude d'une  prière le soir. Le matin si elle dort, la réveiller au plus tard à 9h30. Lui donner ses médics à 8h00</t>
  </si>
  <si>
    <t>Langage non-verbal, elle arrive à se faire comprendre par l’expression du visage et la direction de ses yeux. Elle tend les bras en direction de ce qu’elle veut.marche avec aide. Bien la faire marcher et ne pas trop la soutenir, il faut bien lacer ses chaussures pour tenir ses chevilles et qu’elle se tienne bien droite. Elle marche pour fortifier ses muscles, jamais la lâcher, toujours la tenir par la main ou le poignet</t>
  </si>
  <si>
    <t>Elle a un frère Raphaël de 1975 qui souffre d’un retard mental</t>
  </si>
  <si>
    <t>Vélo, spectacles, contes, bricolage, chants
 Promenade, musique, elle aime les animaux : chiens, chevaux.</t>
  </si>
  <si>
    <t>Elle met tout en bouche ne pas la laisser faire. Concentration limitée dans le temps. 	Ne pas la laisser sans surveillance. 	Faire les choses avec elle et non pour elle. Tjs lui expliquer ce que l’on fait et pourquoi. 	Faire très attention avec les ballons gonflables, Emilie les suce et les avale! Elle s’angoisse et ça peut provoquer des crises. Il est important de bcp lui parler. A la messe dominicale, Emilie communie tjs.</t>
  </si>
  <si>
    <t>Aider à couper et à mettre en bouche, couper en petits morceaux, 
Emilie a bon appétit et mange de tout, elle ne mange pas chaud mais tiède.
Avec guidance avec Emilie, lui faire tenir la cuillère.Cela se peut qu’elle refuse de manger. Cela dépend de son humeur, essayer et insister un peu et une fois qu’elle a goûté elle mange, si non, lui proposer un peu plus tard. Faire les choses avec elle, pour les repas, toujours en guidance.Ne pas lui donner.</t>
  </si>
  <si>
    <t>pour boire tenir le verre et attendre qu’elle prenne et en guidance avec elle. Mettre la bavette.</t>
  </si>
  <si>
    <t>Elle boit de tout</t>
  </si>
  <si>
    <t>95.05178</t>
  </si>
  <si>
    <t>Handicap mental avec troubles moteurs</t>
  </si>
  <si>
    <t>épilepsie, absence, troubles moteurs.</t>
  </si>
  <si>
    <t>Lui faire la toilette.Les soins usuels, bien lui brosser les dents.</t>
  </si>
  <si>
    <t>La mettre assise régulièrement sur les toilettes entre 5 et 7 minutes. Elle peut retenir plusieurs jours ses selles. Emilie est langée la nuit. La laisser plus longtemps sur les toilettes lorsqu’on voit qu’elle a la chaire de poule car en générale c’est un signe qui nous dis qu’elle fait ses selles. La journée la laisser sans lange, la mettre souvent au WC, chaque 2 ou 3 heures. Le soir  avant le coucher la mettre au WC, de même que le matin au réveil.</t>
  </si>
  <si>
    <t>Bien la faire marcher. Emilie peut marcher durant 1h et plus</t>
  </si>
  <si>
    <t>Urgence: Rosendo Marta 078 802 46 57-027 398 16 26</t>
  </si>
  <si>
    <t>Supporte les longs trajets en bus : mettre le harnais de sécurité</t>
  </si>
  <si>
    <t>Gilet et manchons, il a besoin d'une aide constante</t>
  </si>
  <si>
    <t>Aide complète</t>
  </si>
  <si>
    <t>Dort 10 à 11h/nuit - sur le dos ou sur le côté -  à la demande de Juan-Luis, le changer de position durant la nuit</t>
  </si>
  <si>
    <t>Propre langage oral. Il se fait comprendre surtout avec le oui et le non. Il comprend le français et l’espagnol. Voir feuille annexe (langage de Juan-Luis).</t>
  </si>
  <si>
    <t>Vit avec ses parents.</t>
  </si>
  <si>
    <t>Frères : Guillermo et Rosendo (appelés "aka" par JL)
Neveu : David fils de Rosendo et Marta et Yana</t>
  </si>
  <si>
    <t>Promenades - discussions - musique - piscine
Attention! Soyez attentif aux bras de Jean-Louis. Lorsqu'il se promène, lorsqu'il est près d'un mur, d'une voiture ou autre, il a tendance à lancer le bras contre ceux-ci.</t>
  </si>
  <si>
    <t>Il n'aime pas rester seul</t>
  </si>
  <si>
    <t>Manger : couper fin et l'aider à les mettre en bouche ou dans une assiette à soupe avec un rebord il arrive à prendre une fourchette dans sa main gauche. Aide pour mettre les aliments dans sa fourchette puis il mange seul</t>
  </si>
  <si>
    <t>Aime : café sans caféine, corn flakes, cacao tiède, tartines</t>
  </si>
  <si>
    <t>N'aime pas les sucreries, mie de pain</t>
  </si>
  <si>
    <t>Jus de fruit (risque de diarrhée)</t>
  </si>
  <si>
    <t>Diabétique</t>
  </si>
  <si>
    <t>Boire : avec de l'aide + verre</t>
  </si>
  <si>
    <t>00008206-54-173</t>
  </si>
  <si>
    <t>Handicap mental, épilepsie, malvoyant, troubles moteurs. Il a parfois des spasmes principalement au réveil</t>
  </si>
  <si>
    <t>A protéger du soleil (chapeau, crème). Eviter de lui donner de l'aspirine (provoque urticaire)</t>
  </si>
  <si>
    <t>Aide complète - Après avoir été à selles sur la chaise percée on peut lui donner la douche sur la chaise percée. Lors qu'il se lave les dents, lui enlever le dentifrice avec un cotton tige.</t>
  </si>
  <si>
    <t>Chaise percée matin, midi et soir. Mettre talc sous la protection.</t>
  </si>
  <si>
    <t>Ne pas oublier le coussin de la chaise roulante.</t>
  </si>
  <si>
    <t>l'allonger sur le lit (il dit "afou afou" pour s'allonger)</t>
  </si>
  <si>
    <t>après le dîner - durant la nuit s'il demande</t>
  </si>
  <si>
    <t>Avec un accompagnant. Les manchons ne sont pas nécessaire.</t>
  </si>
  <si>
    <t>Raphaël aime la play station et le sport. Il s’intéresse au football (FC Sion, FC Marseille), au hockey (HC Sierre). Il aime les animaux, les poneys, les chats, les chiens, les rongeurs. Il a deux sœurs : Sylvie (1984) et Martine (1986).</t>
  </si>
  <si>
    <t>IMC paraplégie</t>
  </si>
  <si>
    <t>Peut se mettre debout pour un transfert.</t>
  </si>
  <si>
    <t>Il aime la piscine mais il faut être à côté</t>
  </si>
  <si>
    <t>Faire attentio naux sucreries. Lui couper les aliments.</t>
  </si>
  <si>
    <t>noix, châtaignes, abricots séchés.</t>
  </si>
  <si>
    <t>rhume des foins (médicament: Hismanal), allergie aux blancs d' œufs, possibilité de crises d'asthme causées par les  maroniers (médicament: Tavegyl)</t>
  </si>
  <si>
    <t>Avec un condom urinaire</t>
  </si>
  <si>
    <t>Groupe - B3</t>
  </si>
  <si>
    <t>Il supporte les longs trajets en bus.</t>
  </si>
  <si>
    <t>présence d’une personne obligatoire pour le tenir, de préférence un gilet.</t>
  </si>
  <si>
    <t>Aide complète pour l'habillement et le déshabillement. Il peut donner un coup de main pour ôter les habits.</t>
  </si>
  <si>
    <t>Il dort env. 10h à 11h par nuit. Il n’a pas besoin de rituel particulier. Depuis son opération, il dort sur le dos avec le coussin pour les jambes.</t>
  </si>
  <si>
    <t>Ludovic parle lentement et il a besoin de temps pour répondre.</t>
  </si>
  <si>
    <t>Ludovic est souvent avec sa cousine Myriam qui a env. 54 ans</t>
  </si>
  <si>
    <t>Il aime les animaux de la ferme, jouer aux puzzles, regarder les livres, la natation, la gym, le vélo rollefit, le foot et les courses de F1, en particulier les Ferrari. Ludovic aime le contact et se montre sociable.</t>
  </si>
  <si>
    <t>Il faut couper fin les aliments et les lui donner en bouche. Ludovic arrive à mâcher. Quand ont lui donne les médicaments les mélanger avec les aliments. Si Ludovic gesticule et fait des petits cris c’est qu’il a une gélule collé au palais. Il ne faut pas hésiter à mettre le doigt ou une petite cuillère pour la décoller.</t>
  </si>
  <si>
    <t>Il n’aime pas la salade verte, les lasagnes, la viande hachée</t>
  </si>
  <si>
    <t>les gros morceaux.</t>
  </si>
  <si>
    <t>Ludovic boit avec une paille.</t>
  </si>
  <si>
    <t>262 85 739 0002</t>
  </si>
  <si>
    <t>IMC, maladie de Leigh</t>
  </si>
  <si>
    <t>épilepsie</t>
  </si>
  <si>
    <t>A protéger du soleil, mettre une casquette.</t>
  </si>
  <si>
    <t>Aide complète pour la toilette et la douche.</t>
  </si>
  <si>
    <t>Ludovic est propre. Il demande pour aller aux toilettes (bouteille pour uriner en cas d'exception)  et chaque 3 à 4 jours il demande pour aller à selles (le mettre sur les toilettes). Il demande parfois (avant un départ en activité ou avant d'aller dormir) de lui mettre une protection, au cas où</t>
  </si>
  <si>
    <t>Prévention des escarres : Important de contrôler le dos, surtout le bas.</t>
  </si>
  <si>
    <t>de temps en temps le sortir de la chaise</t>
  </si>
  <si>
    <t>Après le dîner et avant le souper</t>
  </si>
  <si>
    <t>Groupe - C2 - Marina Silva - 024 473 51 52</t>
  </si>
  <si>
    <t>Il apprécie beaucoup la piscine. L'institution demande le port d'un gilet pour toutes les personnes éliptiques.</t>
  </si>
  <si>
    <t>Il dort bien. Il écoute du Pierre Bachelet avant de s'endormir.(un Cd se trouve dans son sac)</t>
  </si>
  <si>
    <t>non verbale. Il montre son contentement en riant, en envoyant des baisers et en "disant" bonjour. Il montre son mécontentement en criant et en tapant de la main sur la table. Il exagère parfois surtout avec des nouvelles personnes. Dans ce cas il faut s'isoler un moment avec lui et lui expliquer que son comportement n'est pas adéquat.</t>
  </si>
  <si>
    <t>Il aime surtout les promenades, les sorties en ville ou dans les magasins, boire un café sur une terrasse. Il apprécie les activités en rapport avec l'eau et la cuisine. Il aime regarder un film, mais seulement sur grand écran. Il apprécie la musique (Henri Dès, Pierre Bachelet)</t>
  </si>
  <si>
    <t>Ne montre pas d'intérêt pour la télévision et les activités de bricolage. Ne joue pas avec des objets sauf s'ils sont en mousse ou en éponge.</t>
  </si>
  <si>
    <t>Ne pas lui donner plus de 300 g. par repas. : Il mange seul avec cerceau sur son assiette et cuillère personnelle. Il boit seul avec un gobelet en plastique.</t>
  </si>
  <si>
    <t>Alimentation mixée lisse car risque de fausse route</t>
  </si>
  <si>
    <t>Il boit seul avec un gobelet en plastique</t>
  </si>
  <si>
    <t>café au lait, boissons sucrées (thé,sirop,jus de pomme)</t>
  </si>
  <si>
    <t>Boissons gazeuses</t>
  </si>
  <si>
    <t>alcool</t>
  </si>
  <si>
    <t>01060 07-59736-8</t>
  </si>
  <si>
    <t>Tétraplégie spastique</t>
  </si>
  <si>
    <t>handicap mental, épilepsie (très bien stabilisée, si nécessaire : 10 mg de Midazolam</t>
  </si>
  <si>
    <t>Si il semble avoir des douleurs abdominales : lui donner 1suppo. spasmo Cibalgine 
Bien lui laver  et sécher les mains car a tendance à avoir des dermatoses. Appliquer une crème grasse type Neutrogena</t>
  </si>
  <si>
    <t>Il est langé jour et nuit. Il ne va pas à selles spontanément. Il faut lui faire un Clyssie (petit lavement) chaque 3ème jour et le mettre sur la chaise percée. Ainsi il va la selle dans le ¼ d'heure.</t>
  </si>
  <si>
    <t>Il a l'habitude de faire une sieste après le dîner.</t>
  </si>
  <si>
    <t>Supporte les longs trajets en bus</t>
  </si>
  <si>
    <t>Raphaël nage un peu dans eau peu profonde, pas de manchon, avec surveillance.</t>
  </si>
  <si>
    <t>lui préparer les habits</t>
  </si>
  <si>
    <t>Raphaël articule mal, faire répéter lentement
 Le faire participer le plus possible à la vie de groupe, car il a tendance à être solitaire. Lorsque vous participez à la messe dominicale, Raphaël communie toujours.</t>
  </si>
  <si>
    <t>Une sœur : Emilie</t>
  </si>
  <si>
    <t>Apprécie beaucoup la météo, les nuages et leurs noms. Il aime tout, il suffit de le motiver. Aimes les heures, montres et jours de la semaine</t>
  </si>
  <si>
    <t>Raphaël se débrouille seul</t>
  </si>
  <si>
    <t>Il mange de tout et a bon appétit</t>
  </si>
  <si>
    <t>95.05177</t>
  </si>
  <si>
    <t>Handicap mental avec des troubles autistiques</t>
  </si>
  <si>
    <t>Problème avec le cœur. Eviter le stress et les montées, les grandes marches Il doit marcher doucement car risque de chute de tension et peut devenir pâle. Il doit s'assoir si trop fatigué pour éviter les chutes.</t>
  </si>
  <si>
    <t>Lui répéter de bien se brosser les dents. Ne pas laisser se rendre trop souvent aux toilettes ou dans sa chambre. L'aider pour les cheveux. Régler la douche et éviter qu'il mette trop chaud, bien surveiller.</t>
  </si>
  <si>
    <t>Raphaël se débrouille seul après les selles le laver à l'eau tiède, bien sécher mettre un peu de poudre Pévaryl</t>
  </si>
  <si>
    <t>Durant la journée, il doit prendre du temps pour se reposer. Pour éviter de fatiguer son cœur</t>
  </si>
  <si>
    <t>B4 . Maude Lang</t>
  </si>
  <si>
    <t>Supporte les longs trajets en bus 
Attention si Nicole est excitée ou si il y a beaucoup de monde autour d’elle, ne pas la laisser conduire,</t>
  </si>
  <si>
    <t>Présence obligatoire d’une personne pour la tenir, de préférence, un gilet</t>
  </si>
  <si>
    <t>Pour dormir, la mettre sur le coté droit jusqu'à la première veille avec un cousin entre les genoux.  A gauche 1 ère position    - A droite position dès 2h le matin ( idem pour la sieste)
la mettre ensuite sur le dos lors de la première veille avec un coussin banane sous les genoux et un petit coussin vertical pour séparer les genoux. Elle fait la sieste environ 1 heure après le repas de midi.</t>
  </si>
  <si>
    <t>oral (elle dit oui et non), mimiques et gestes
Remarques générales : Lorsqu’elle s’excite, elle se met en appui sur ses pose-pieds, ceci lui provoque des blessures aux genoux et aux pieds. Lui dire des mots Calme ou Doucement. Ces mots aideront à la stabiliser et à reprendre sa position normale sur son fauteuil.</t>
  </si>
  <si>
    <t>Nicole aime sortir, faire la fête, les concerts et voyager en voiture. Elle s’intéresse à tous les sujets.</t>
  </si>
  <si>
    <t>aucune, elle est toujours partante</t>
  </si>
  <si>
    <t>Couper  les aliments. Nicole emploie des ustensiles spéciaux (cuillère coudée, rebord d'assiette, verre, paille, disque antidérapant). Elle mange avec la main gauche.</t>
  </si>
  <si>
    <t>1 service - faire attention à la quantité.</t>
  </si>
  <si>
    <t>N'aime pas trop les légumes et le poisson.</t>
  </si>
  <si>
    <t>Boit dans un verre normal,dans le plot en bois avec une paille normal</t>
  </si>
  <si>
    <t>008814</t>
  </si>
  <si>
    <t>handicap mental, troubles moteurs, côté droit moins mobile Epilepsie</t>
  </si>
  <si>
    <t>protéger du soleil (crème, chapeau)</t>
  </si>
  <si>
    <t>Il faut lui faire la douche dans la chaise percée. Aide complète ou une petite toilette au lit.</t>
  </si>
  <si>
    <t>Mettre Nicole régulièrement aux toilettes (matin-midi-soir). Elle emploie une chaise percée. Elle a de la peine à aller à selles. 2x par semaine, elle a un suppositoire.Mardi et Vendredi
Lors de sortie qui dure toute la journée, langer Nicole, elle est plus rassurée ainsi et ça évite des surprises. Mettre une protection si rien le matin et pas de possibilité de la mettre à midi.</t>
  </si>
  <si>
    <t>Au lit, sur le dos avec un coussin sous genoux L’asseoir bien au fond de sa chaise, doit tenir sa poignée. Elle sait se mettre au fond en ayant les pieds sanglés</t>
  </si>
  <si>
    <t>Ne plus lui mettre la sangle au pied gauche car cela lui provoque un cor au petit orteil</t>
  </si>
  <si>
    <t>Marche avec de l'aide et des chausettes anti-glisse</t>
  </si>
  <si>
    <t>La ceinture ou une bouée, le surveiller et le tenir.</t>
  </si>
  <si>
    <t>La nuit, il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Samuel dort sur le ventre.</t>
  </si>
  <si>
    <t>Il ne communique pas de manière verbale. Il s'exprime par des cris, rire, grognements. Il pleure quand il est mal ou malade.</t>
  </si>
  <si>
    <t>Il a quatre frères et sœur : Stéphane (1974), Christiane (1977), Patricia (1981) Frédéric (1986).</t>
  </si>
  <si>
    <t>Il aime bien serrer les autres. Il aime tout ce qui est en plastique, la musique et principalement la musique de fanfare, les promenades et la piscine.</t>
  </si>
  <si>
    <t>Il n'aime pas être peigner, laver les dents, se laver le visage ainsi que l'eau froide. ATTENTION :  Ne pas le laisser jouer avec des sacs en plastique car il attrape des boutons au visage et de l'herpès. Il peut en plus les avaler. Ne rien le laisser mettre en bouche pour cause d'inflammation.</t>
  </si>
  <si>
    <t>Samuel aime manger les aliments tièdes et pas trop sec. Il peut manger les gâteaux mou et pas trop sec. Lui donner avec une cuillère à soupe et lui faire garder les mains sous la table.Mixer et donner à manger</t>
  </si>
  <si>
    <t>Aliments mixés</t>
  </si>
  <si>
    <t>Lui rappeler qu'il doit boire. Il boit avec un gobelet en plastique et une paille solide</t>
  </si>
  <si>
    <t>boissons gazeuses et les boisson à base de lait</t>
  </si>
  <si>
    <t>057904</t>
  </si>
  <si>
    <t>IMC hémiplégie côté droit</t>
  </si>
  <si>
    <t>épilepsie stabilisée (foyer épileptique sur la droite du cerveau).</t>
  </si>
  <si>
    <t>protéger Samuel du soleil à cause des risques d’épilepsie. Il prend facilement des coups de soleil (car il a été greffé aux ja,bes et aux pieds). Il est allergique au plastique car il a facilement de l'herpes et risque d'avaler.</t>
  </si>
  <si>
    <t>Aide complète. Il apprécie qu’on verbalise ce que l’on fait. Lui laver les dents. Samuel n’aime pas les coups de peigne. Il porte toujours sur lui un cycliste une chemisette et une ceinture (fermée dans le dos pour éviter qu'il l'enlève) à son pantalon la journée.</t>
  </si>
  <si>
    <t>Samuel est langé jour et nuit. Il faut lui changer les langes en principe le matin, à midi et le soir. S’il fait des selles, le changer tout de suite car il n’aime pas ça et cherche de déchirer la protection. Il  reste sur les toilettes bien surveiller car il peut manger ses selles et il faut éloigner tout autour de lui.</t>
  </si>
  <si>
    <t>Jean-Claude parle et comprend le français et l’allemand. Il faut lui parler lentement. Il a besoin de temps pour répondre. Il apprécie les questions aux réponses : oui ou non.</t>
  </si>
  <si>
    <t>Son papa habite la Souste et sa maman est décédée en 2002. Jean-Claude en parle régulièrement. Il a deux frères : Réné également à la Castalie B2 et Hubert qui est marié avec 2 enfants Malik et Cyril. Il est fier d’être tonton.
Jean-Claude apprécie écout</t>
  </si>
  <si>
    <t>Il a deux frères : Réné également à la Castalie B2 et Hubert qui est marié avec 2 enfants Malik et Cyril. Il est fier d’être tonton.</t>
  </si>
  <si>
    <t>Jean-Claude apprécie écouter de la musique folklorique et la radio, jouer au jeu du moulin et être en contact avec les autres. Il travail à l’atelier bois chez Victor.</t>
  </si>
  <si>
    <t>Leucodistrophie dégénérative</t>
  </si>
  <si>
    <t>A protéger du soleil, en cas de douleur ne supporte que le Dafalgan, il est allergique à l’Aspirin.</t>
  </si>
  <si>
    <t>Alexandre sait nager.</t>
  </si>
  <si>
    <t>Alexandre aime la natation, le vélo. Il regarde volontiers à la télé des films. Il aime les jeux électroniques et les jeux de socété. Il a un caractère bien trempé, boude volontiers.</t>
  </si>
  <si>
    <t>Polio</t>
  </si>
  <si>
    <t>risque d'otites l'hiver</t>
  </si>
  <si>
    <t>Kim sait nager.</t>
  </si>
  <si>
    <t>: Kim s’exprime à l’aide d’un classeur de communication et d’un ordinateur de communication.</t>
  </si>
  <si>
    <t>Kim a un frère aîné qui est né en 1986 et qui fait du basket ainsi qu’un petit frère qui est né en 1991 et qui fait du golf et du badminton. Sa famille maternelle habite en Belgique.</t>
  </si>
  <si>
    <t>protéger Kim du soleil (casquette, crème).</t>
  </si>
  <si>
    <t>Présence d'une personne obligatoire pour la tenir. Maya apprécie beaucoup la piscine</t>
  </si>
  <si>
    <t>Maya utilise les pictogrammes pour se faire comprendre, elle arrive à montrer avec des signes de tête le « oui et le non » mais pas forcément à bon escient. Elle manifeste pour aller aux toilettes. Elle comprend bien l’allemand et le français.</t>
  </si>
  <si>
    <t>Maya aime la musique folklorique, les promenades, le sport à la télé, faire les magasins car elle est assez curieuse. Elle va à l’atelier chez Dieter et chez Cathy . Elle apprécie beaucoup son éducateur Christophe Girod. Maya manifeste beaucoup de joie qu</t>
  </si>
  <si>
    <t>Elle apprécie beaucoup son éducateur Christophe Giroud.</t>
  </si>
  <si>
    <t>Maya aime la musique folklorique, les promenades, le sport à la télé, faire les magasins car elle est assez curieuse. Elle va à l’atelier chez Dieter et chez Cathy pour faire du « tricotin ».</t>
  </si>
  <si>
    <t>Le bruit en général, la disco, le carnaval.</t>
  </si>
  <si>
    <t>handicap mental, troubles moteurs. Maya a une tige de fer dans son dos pour la scoliose.</t>
  </si>
  <si>
    <t>A protéger du soleil, casquette et crème solaire.</t>
  </si>
  <si>
    <t>Il faut le prendre dans les bras, il porte des manchons</t>
  </si>
  <si>
    <t>Quand sa jambe gauche se crispe c'est que qqch ne va pas: prendre au sérieux ses manifestations.</t>
  </si>
  <si>
    <t>Yoan aime être dehors, écouter de la musique, jouer avec ses jouets en plastique. Il aime être couché et se tourner.</t>
  </si>
  <si>
    <t>handicap mentas, épilepsie, parfois absences, malentendant (il a un appareil auditif)</t>
  </si>
  <si>
    <t>Tiago emploie des manchons et a besoin d’un adulte accompagnateur.</t>
  </si>
  <si>
    <t>Tiago s’exprime peu (traits autistiques).</t>
  </si>
  <si>
    <t>Tiago a une sœur qui s’appelle Daniella et qui est au cycle d’orientation.</t>
  </si>
  <si>
    <t>Les activités physiques trop longues.</t>
  </si>
  <si>
    <t>handicap mental, épilepsie, troubles moteurs</t>
  </si>
  <si>
    <t>Protéger Tiago du soleil (casquette, crème)</t>
  </si>
  <si>
    <t>Il aime l'eau et la piscine. Il sait nager.</t>
  </si>
  <si>
    <t>Il aime beaucoup la musique, l'eau et regarder la télévision. Julien n'est pas toujours très motivé, il manque d'initiative. Il faut un peu le stimuler pour faire les choses.</t>
  </si>
  <si>
    <t>IMC, hémiplégie côté gauche</t>
  </si>
  <si>
    <t>léger handicap mental</t>
  </si>
  <si>
    <t>Allergie médicamenteuse: antibiotique eusoprim bactrim</t>
  </si>
  <si>
    <t>Pour tout, elle a beaucoup besoin d'être rassurée.</t>
  </si>
  <si>
    <t>Foyer Valais de cœur Danielle Savioz</t>
  </si>
  <si>
    <t>supporte les longs trajets en bus. Il arrive à se mettre par terre, à genoux et avance seul.</t>
  </si>
  <si>
    <t>Il aime beaucoup la piscine</t>
  </si>
  <si>
    <t>Il prend une douche tous les jours. Nécessaire de changer ses vêtements tous les jours car il transpire beaucoup. Lorsqu’il a les chaussures, bien vérifier que les orteils soient à plat sinon il peut ressentir des douleurs. Lorsqu’on l’habille, toujours commencer par le bras gauche.</t>
  </si>
  <si>
    <t>se découvre souvent durant la nuit, à contrôler le duvet. Pas de position spéciale.</t>
  </si>
  <si>
    <t>Gaëtan saura vous aider. Il sait ce qu'il veut et ce qu'il ne veut pas. Il dit oui et non oralement. Il utilise un support de communication accent 1200. Attention de le protéger en cas de pluie et lorsqu'il mange.</t>
  </si>
  <si>
    <t>Gaëtan est fils unique.</t>
  </si>
  <si>
    <t>Il aime les têtes de mort. Il aime beaucoup les animaux, visiter les zoo et il avait un chien du copain &lt;&lt;Yoga&gt;&gt; et le cinéma.</t>
  </si>
  <si>
    <t>il a très peur des araignées.</t>
  </si>
  <si>
    <t>################</t>
  </si>
  <si>
    <t>poulet, viande rouge, purée, frites</t>
  </si>
  <si>
    <t>fromage dur et choux de Bruxelle, Fraise</t>
  </si>
  <si>
    <t>Café au lait avec du sucre. Il aime bien boire 1 malibu ananas ou une suze limonade de temps en temps</t>
  </si>
  <si>
    <t>bière limonade</t>
  </si>
  <si>
    <t>8075 60 000 80 01 86 62 200 0008</t>
  </si>
  <si>
    <t>Il arrive à se mettre par terre, à genoux et avance seul.</t>
  </si>
  <si>
    <t>Besoin d'aide pour l'habiller et le déshabiller</t>
  </si>
  <si>
    <t>Pour qu'il s'endorme, il doit toujours dormir avec quelqu'un à ses côtés.</t>
  </si>
  <si>
    <t>elle sait nager et adore l'eau</t>
  </si>
  <si>
    <t>Elle adore la natation, le vélo, la marche. Elle joue volontiers aux jeux de ballon. Elle aime beaucoup écouter de la musique..</t>
  </si>
  <si>
    <t>séquelles polio</t>
  </si>
  <si>
    <t>hyperactivité</t>
  </si>
  <si>
    <t>Le fauteuil roulant est utilisé si on fait des long trajet.</t>
  </si>
  <si>
    <t>Elle beaucoup l'eau, elle a besoin de menchons. Rester à ses côtés.</t>
  </si>
  <si>
    <t>s'habille seule, autonome</t>
  </si>
  <si>
    <t>Ne pas oublier de lui donner le Valverde.</t>
  </si>
  <si>
    <t>oral, très sociable.</t>
  </si>
  <si>
    <t>elle a un frère qui se prénomme Fabien</t>
  </si>
  <si>
    <t>Ses amis se prénomment Esthelle, Sophie, Lidivina, etc.</t>
  </si>
  <si>
    <t>Chanter, film, bricolage, un peu de tout</t>
  </si>
  <si>
    <t>autonome, Les sucreries avec modération</t>
  </si>
  <si>
    <t>les sucreries</t>
  </si>
  <si>
    <t>autonome sans exagération</t>
  </si>
  <si>
    <t>thé, coca-cola</t>
  </si>
  <si>
    <t>l'alcool</t>
  </si>
  <si>
    <t>756.1208.7008.86</t>
  </si>
  <si>
    <t>Syndrome de Tar (bras plus court)</t>
  </si>
  <si>
    <t>épilepsie, attaque de panique et angoisses peuvent la faire chuter (bandeau de protection)</t>
  </si>
  <si>
    <t>Ne doit pas toucher le LATEX (choc anaphilatique)</t>
  </si>
  <si>
    <t>elle est autonome</t>
  </si>
  <si>
    <t>elle demandera de l'aide si besoin, dépend de la fonctionalité des locaux sinon elle est autonome.</t>
  </si>
  <si>
    <t>Ne peut pas nager, le soutenir. Il n’apprécie pas beaucoup la piscine.</t>
  </si>
  <si>
    <t>Avec l’aide de pictogramme sur son tableau et l’expression de ses yeux.</t>
  </si>
  <si>
    <t>Nicolas aime la musique (CD des jeunes de Lourdes), les promenades en ville, la famille, les pèlerinages, la lecture d’articles de journeaux. Il a  une sœur (Emanuelle) et 3 frères: Jérome, Joël, Félix. Son papa est décédé en 2003.</t>
  </si>
  <si>
    <t>Il a  une sœur (Emanuelle) et 3 frères.</t>
  </si>
  <si>
    <t>Nicolas aime la musique (CD des jeunes de Lourdes), les promenades en ville, la famille, les pèlerinages, la lecture d’articles de journeaux.</t>
  </si>
  <si>
    <t>A protéger du soleil. Eventuellement médicament contre le rhume des foins.</t>
  </si>
  <si>
    <t>Groupe B1 - Dzeva - 024 473 51 41</t>
  </si>
  <si>
    <t>Dès qui'il est dehors, bien lui freiner la chaise pour éviter qu'il parte. Il supporte les longs trajets. Il se lève avec aide de sa chaise en le tenant bien par les bras. Éviter de la faire marcher, juste faire le déplacement de la chaise au lit.</t>
  </si>
  <si>
    <t>Il ne va pas à la piscine, Il n'aime pas la piscine</t>
  </si>
  <si>
    <t>Besoin d'une aide totale.</t>
  </si>
  <si>
    <t>Il dort bien, il va au lit vers 20:00 et se lève vers 07:30. Il a besoin d'env. 12 heures de sommeil. Il prend le pouce et dort sans coussin.</t>
  </si>
  <si>
    <t>Pas de verbalisation. Il n'arrive pas à dire oui ou non. Il s'exprime par ses attitudes. Quand il est content, il pousse des petits cris, il rigole. Il pleure rarement (si il est malade)</t>
  </si>
  <si>
    <t>Il a 2 frères.</t>
  </si>
  <si>
    <t>Il aime écouter les discussions et s'impreigner de l'ambiance. Il a trois frères, l'un s'appelle Gabriel et travaille à la bijouterie. Il a deux enfants, le fils et la fille sont tout deux mariés et ont chacun deux enfants. Un autre frère s'appelle Emmanuel et a le magasin d'optique à Sion. Il a trois filles qui sont de 1994, 96 et 98.
Nicolas aime sortir, il a parfois la tête posée sur la table de la chaise, mais il est attentif à ce qui se passe. Il aime la percussion et les musiques plutôt douces.</t>
  </si>
  <si>
    <t>Il a une hypersensibilité au niveau des mains, en principe il n'aime pas trop être touché.</t>
  </si>
  <si>
    <t>Il mange mixé mais pour ce qui est mou, lui donner par petits bouts. Il mange à l'aide d'une cuillère. Il mange assez bien mais cela demande du temps, il faut le stimuler en appuyant sur la lèvre suppérieure. Il grince parfois des dents, sa langue reste collée au palais.</t>
  </si>
  <si>
    <t>Boissons sucrées</t>
  </si>
  <si>
    <t>Alimentation trop chaude</t>
  </si>
  <si>
    <t>Il boit du jus de fruit : ananas, sirops, gazeux et aussi du thé sucré pas trop chaud avec un gobelet coupé. Cela demande du temps. Même s'il a de la peine à boire il faut insister. (IMPORTANT POUR L'HYDRATATION)</t>
  </si>
  <si>
    <t>181.98.389</t>
  </si>
  <si>
    <t>Traits autistiques, retard mental et épilepsie. Lorsqu'il fait une crise, il a tendance à se crisper pendant 1 à 2 minutes. Dès qu'il a fini il se met assis.Faire attention lors de la crise qu'il ne se fasse pas mal sinon le mettre par terre</t>
  </si>
  <si>
    <t>Tendance à avoir des aphtes. Bien observer</t>
  </si>
  <si>
    <t>Douche : Assis et attaché sur la chaise percée, il aime l'eau chaude. Il a besoin d'une aide complète.</t>
  </si>
  <si>
    <t>Il est langé coucher et non debout car ses genoux lâchent et en permanence avec des protections mauves et une languette. Souvent, il n'urine pas la nuit, contrôler sa protection le matin car il risque d'être mouillé ainsi que sa chaise.</t>
  </si>
  <si>
    <t>Il faut incliner sa chaise roulante tout le temps sauf pour les repas et les activités</t>
  </si>
  <si>
    <t>Bernard arrive à nager seul, mais il faut le surveiller.</t>
  </si>
  <si>
    <t>Bernard à une sœur qui s’appelle Vlora (1973) et qui habite à Massongex, un frère qui s’appelle Besim (1970) ainsi que 3 neveux ou nièce (Edouard, Raimonda, Enes qui habite à Massongex ). Il aime faire des farces, raconter des histoires, jouer aux cartes</t>
  </si>
  <si>
    <t>rien faire ou toujours faire la même chose.</t>
  </si>
  <si>
    <t>Handicap mental, malvoyant</t>
  </si>
  <si>
    <t>protéger du soleil (crème et chapeau).</t>
  </si>
  <si>
    <t>Claudia 079 473 91 61 et Joao 079 919 45 14</t>
  </si>
  <si>
    <t>supporte les longs trajets en bus.</t>
  </si>
  <si>
    <t>Antonio a besoin d’un accompagnant pour le tenir dans l'eau. Il apprécie la piscine avec les manchons.</t>
  </si>
  <si>
    <t>il faut l'aider à s'habiller mais il nous aide.</t>
  </si>
  <si>
    <t>Il se couche en général vers 20h00 - 20h30</t>
  </si>
  <si>
    <t>ordinateur pour communiquer. Il se fait bien comprendre, très expressif.</t>
  </si>
  <si>
    <t>Regarder des livres, faire des dessins, jouer à la pâte à modeler, écouter de la musique.
Il risque de tomber facilement, il est très vif, très sociable.
Il aime la piscine.</t>
  </si>
  <si>
    <t>Aider à couper, couper fin, mixer la viande</t>
  </si>
  <si>
    <t>Kiwi</t>
  </si>
  <si>
    <t>200 556 36</t>
  </si>
  <si>
    <t>épilepsie, troubles moteurs., supports plantaires, il porte des lunettes (légèrement myope), fait parfois des absences</t>
  </si>
  <si>
    <t>protéger Antonio du soleil (chapeau, crème), allergie au kiwi.</t>
  </si>
  <si>
    <t>douche ou bain</t>
  </si>
  <si>
    <t>Antonio est langé jour et nuit. Il a besoin d'aide pour aller aux toilettes.</t>
  </si>
  <si>
    <t>urgence: ou son frère Raymond au 024 485 13 15</t>
  </si>
  <si>
    <t>Avec un ou deux adultes, il fait la planche sur le dos.</t>
  </si>
  <si>
    <t>Alain a besoin d'une aide totale</t>
  </si>
  <si>
    <t>oral (difficultés d’élocution, mais il dit clairement oui ou non et quelques mots. Le reste est à décoder selon le sujet de discussion).</t>
  </si>
  <si>
    <t>Piscine, cinéma, promenades et regarder le journal.
Alain se montre très jovial.
Face à la nouveauté, Alain se montre réticent. Il faut insister pour qu'il découvre d'autres activités.</t>
  </si>
  <si>
    <t>Il n'aime pas dormir hors de la maison.</t>
  </si>
  <si>
    <t>Il faut lui couper les aliments. Il arrive à mettre en bouche ce qui tient bien dans la fourchette. Ce qui est liquide (soupe), il faut mieux le lui donner.</t>
  </si>
  <si>
    <t>Alain boit avec une paille</t>
  </si>
  <si>
    <t>00 36 935</t>
  </si>
  <si>
    <t>protéger Alain du soleil (casquette, crème)</t>
  </si>
  <si>
    <t>Alain a besoin d'une aide totale.</t>
  </si>
  <si>
    <t>Alain va à selle 2x par semaine, sans médicament. Il demande clairement et il reste assis seul sur les toilettes. Bouteille urinale au lit : matin et soir.</t>
  </si>
  <si>
    <t>A sa demande ou sur sa chaise. Attention il faut éviter d'avoir quelqu'un trop porche sur son côté droite car il ne contrôle pas tou le temps sa main droite.</t>
  </si>
  <si>
    <t>avec de l’aide et sous surveillance car elle ne sait pas nager.</t>
  </si>
  <si>
    <t>Dessin, la lecture, écouter de la musique, la danse. 
Roupali a deux sœurs : Sindou, Prithy et deux frères : Santosh et Soujoy 
Elle apprécie beaucoup le chat « Roucky » et son petit copain David.</t>
  </si>
  <si>
    <t>longues marches, raquettes, jeux d'adresse, ballon</t>
  </si>
  <si>
    <t>IMC léger, hémiparésie</t>
  </si>
  <si>
    <t>côté droit : hémiplégie, épilepsie nocturne. Eviter de la mettre au lit trop fatiguée. Pas trop longtemps devant la télé</t>
  </si>
  <si>
    <t>Cytomégalovirus / porteuse. Attention, si elle est au contact avec des personnes enceintes ! 
Rubéole encore détectée dans le sang.</t>
  </si>
  <si>
    <t>présence d’une personne obligatoire pour la tenir, de préférence un gilet. Guisepina n’aime pas beaucoup la piscine.</t>
  </si>
  <si>
    <t>Elle parle un tout petit peu, pas forcément à bon escient. Elle dit le oui et le non. Quand elle est contente, elle éclate de rire. Elle répète souvent les mêmes phrases.</t>
  </si>
  <si>
    <t>Guisepina aime la musique, les histoires, les promenades, l’ambiance de fête et elle aime bien que l’on s’occupe d’elle pour se faire belle. 
Elle a deux frères : Fabio et Johnny</t>
  </si>
  <si>
    <t>Elle a deux frères: Fabio et Johnny</t>
  </si>
  <si>
    <t>Guisepina aime la musique, les histoires, les promenades, l’ambiance de fête et elle aime bien que l’on s’occupe d’elle pour se faire belle.</t>
  </si>
  <si>
    <t>IMC de type spastique</t>
  </si>
  <si>
    <t>handicap mental, malvoyante, troubles moteurs et de l'épilepsie</t>
  </si>
  <si>
    <t>A protéger du soleil</t>
  </si>
  <si>
    <t>avec de l’aide et sous surveillance car elle ne sait pas nager</t>
  </si>
  <si>
    <t>la lecture, écouter de la musique, les jeux de sociétés 
Prithy a deux sœurs : Sindou, Roupali et deux frères : Santosh et Soujoy 
Elle apprécie beaucoup le chat « Filou » et son parrain Jacky et  sa marraine Patricia.</t>
  </si>
  <si>
    <t>Les longues marches</t>
  </si>
  <si>
    <t>problème de déplacement si il y a des barrières architecturales.</t>
  </si>
  <si>
    <t>Il demande qu'il y ait une personne avec lui, il ne sait pas nager.</t>
  </si>
  <si>
    <t>Il aime les toboggans, les balançoires(avec surveillance). Il s'amuse avec ses petites voitures.</t>
  </si>
  <si>
    <t>a peur des grands bruits s'il ne les connaît pas</t>
  </si>
  <si>
    <t>rhume des foins, faire attention avec les fruits qu'il ne frotte pas les yeux</t>
  </si>
  <si>
    <t>Attention au sol glissant à la piscine</t>
  </si>
  <si>
    <t>Rahel a 3 frères (Sébastien 1988, Michaël 1989 et Lukas 1993). Elle aime nager et paresser.</t>
  </si>
  <si>
    <t>Elle n'aime pas courir.</t>
  </si>
  <si>
    <t>Les épinards lui provoquent de la diarrhée.</t>
  </si>
  <si>
    <t>N'aime pas trop. A besoin d'aide. Pas de gilet.</t>
  </si>
  <si>
    <t>Parle. A un appareil pour entendre.</t>
  </si>
  <si>
    <t>René aime l'ordinateur, se promener en ville. Fait les mots croisés. Aime l'astrologie.Discuter.
René a deux sœurs et deux nièces.</t>
  </si>
  <si>
    <t>Malentendant</t>
  </si>
  <si>
    <t>imc</t>
  </si>
  <si>
    <t>B1 (rez) - 024 473 51 41 - Anne-Christine Vuigner</t>
  </si>
  <si>
    <t>Supporte les longs trajets en bus. Mais il peut rouspéter sans raisons apparentes- nous pouvons lui demander de se calmer.
Fauteuil manuel poussé par un accompagnant.</t>
  </si>
  <si>
    <t>Il est 100% dépendant</t>
  </si>
  <si>
    <t>dépendance totale</t>
  </si>
  <si>
    <t>lit à barrière : oui ou éventuellement matelas parterre.horaire : La nuit il dort bien. Veiller à ne pas mettre sa main droite trop près du mur il peut se blesser - Surélever ses genoux et le dossier</t>
  </si>
  <si>
    <t>non-verbale : regard chaleureux, visage expressif</t>
  </si>
  <si>
    <t>Il n’a pas de famille</t>
  </si>
  <si>
    <t>Il aime les promenades. Il aime être manipulé, tourné. Il aime aussi les concerts, la piscine, les massages, mettre ses lunettes de soleil, la vie en groupe : il est très sensible à l'ambiance. Lorsqu’il revient d’un camp ou d’un week-end, un carnet de bord lui permet de nous raconter son séjour. De cette manière, il peut revivre et apprécier son camp quelques semaines plus tard.</t>
  </si>
  <si>
    <t>Quand une activité est prévue il se prépare et s’en réjouit, mais si cette activité est annulée, il peut se montrer très contrarié et énervé.Il aime la vie en groupe mais pas trop de bruit.
Dans les cas où il est trop bruyant et dérange, il peut être remis à l’ordre et isolé un moment.</t>
  </si>
  <si>
    <t>Il mange mixé lisse (sans morceau). Il n’a pas besoin de cuillère ou de gobelet spécifique une cuillère à soupe et un gobelet en plastique qui résiste à un éventuel coup de dents.</t>
  </si>
  <si>
    <t>Au déjeuner, il mange volontiers du pain écrasé sans la croûte avec confiture et beurre trempé dans du lait (chaud puis refroidis). Il apprécie également les Corn Flakes  (toujours trempés dans du lait chaud puis refroidi).</t>
  </si>
  <si>
    <t>Il mange de tout à part le riz. Doit limiter la quantité de nourriture (1 assiette suffit)</t>
  </si>
  <si>
    <t>Utiliser la poudre épaississante (1 mesurette rase / 4dl). Passer notre bras gauche derrière sa tête et avec une bavette soutenir son menton, puis mettre le gobelet en plastique contre ses lèvres, attendre qu’il avale quatre fois puis relever el gobelet, compter jusqu’à dix, puis recommencer à lui donner ses quatre gorgées.
Garder le rythme, sinon il croit qu’on ne veut plus lui donner à boire.
Ne pas le laisser rire au sourire, il se déconcentre. Ne pas hésiter dans ce cas à communiquer avec lui vos soucis. Il boit avec dificulté.</t>
  </si>
  <si>
    <t>il apprécie les thés avec du sucre ou les sirops.</t>
  </si>
  <si>
    <t>boissons gazeuses</t>
  </si>
  <si>
    <t>455-93-363</t>
  </si>
  <si>
    <t>IMC profond, épileptique mais cela fait longtemps qu’aucune crise n’été constatée.</t>
  </si>
  <si>
    <t>handicap mental, épilepsie très bien soignée, malvoyant( ne voit plus de son œil gauche), troubles moteurs athétosique ne sait pas relâcher quand il a un appui.</t>
  </si>
  <si>
    <t>rhume des foins</t>
  </si>
  <si>
    <t>Totalement dépendant. Crème sur les lèvres car elles sont très sèches (il dort la bouche ouverte.) Crème sur les poignets avec petit massage pour la circulation du sang. Ne pas le mettre dans une baignoire car il tape les bras contre les bords. Crème d'abricot sur ses lèvres.</t>
  </si>
  <si>
    <t>Il est langé en permanence. Lavement Clyssie chaque 2j.</t>
  </si>
  <si>
    <t>prévention escarres par le changement de positions</t>
  </si>
  <si>
    <t>Le coucher au moins une fois dans la journée, avec un gros coussin sous les genoux et un petit coussin sous la tête. Incliner sa chaise une fois l’après-midi (presque couché). Inclinaison à 30° au repos.</t>
  </si>
  <si>
    <t>Le mettre bien au fond de la chaise. La fixation au niveau de ses hanches. Il donne l'impression d'être serré afin d'éviter les mauvaises postures. Si jambes trop tendues, ne pas mettre lanières aux pieds. La chaise no doit jamais être inclinée tout en av</t>
  </si>
  <si>
    <t>B1 024 473 51 41</t>
  </si>
  <si>
    <t>Supporte les longs trajets en bus
Dans le fauteuil : toujours bien attaché avec sa table. Toujours laisser la barre des pieds sur la chaise à l'extérieur. Risque de blessure</t>
  </si>
  <si>
    <t>100% dépendant avec un gilet de sauvetage</t>
  </si>
  <si>
    <t>Sieste ou changement de position après le dîner.
La nuit, il n'y a pas besoin de changer de position. Il dort avec une ceinture de soutien. Il doit avoir les jambes surélevées au coucher.
Parfois, il a de la peine à dormir (pleures et agitement). S'il a de la peine, lui donner sa réserve 0,25mg Halcion</t>
  </si>
  <si>
    <t>Non-verbale : rires, sourires
Rire nerveux : le calmer - euphorie : le recadrer verbalement - passe vite d'un état émotinnel à l'autre (du rire aux larmes)</t>
  </si>
  <si>
    <t>Anté et Yvano (frères)</t>
  </si>
  <si>
    <t>Parler de ses parents de sa famille, boire un verre de coca, musique, se balader. Il a besoin d'attention, il faut tout faire pour lui.</t>
  </si>
  <si>
    <t>Activités bruyantes et agitées</t>
  </si>
  <si>
    <t>Aide totale pour manger. Mange mixer car il fait des fausses-routes. Il mange de tout. Sort le bout de la langue quand il ne veut plus manger. Garder le coussin pour manger</t>
  </si>
  <si>
    <t>toujours mixé car risques de fausses routes</t>
  </si>
  <si>
    <t>Bien garder sa tête droite! Il boit avec une paille (ou au verre). Il a souvent de la peine a boire avec sa paille mais il faut insister. Sinon il faut lui donner nous même avec de petites gorgées.</t>
  </si>
  <si>
    <t>thés sucrés, sinalco, coca…</t>
  </si>
  <si>
    <t>le lait. Il peut le matin</t>
  </si>
  <si>
    <t>010934578</t>
  </si>
  <si>
    <t>Faire attention au soleil : risque de malaise ou chutes de tension : incliner la chaise, le rafraîchir avec un linge humide et lui donner à boire. Ne pas le laisser sans surveillance et si nécessaire contacter la Castalie ou l'hôpital la plus proche.</t>
  </si>
  <si>
    <t>Ne jamais le laisser seul! Toilette au lit  - bain et douche : chariot bleu - Toujours lui mettre la ceinture même dans la chaise. Ne pas le mettre dans une baignoire.</t>
  </si>
  <si>
    <t>Il est toujours langé. Il faut le changé 3 à 4 fois par jour après les repas.</t>
  </si>
  <si>
    <t>Prévention d'escarres</t>
  </si>
  <si>
    <t>Le mettre parterre sur un tapis, sur le dos, élever les jambes - Possibilité d'incliner sa chaise.</t>
  </si>
  <si>
    <t>pas la nuit</t>
  </si>
  <si>
    <t>Peu se déplacer debout pour de court trajet. Il supporte les longs trajets.</t>
  </si>
  <si>
    <t>Il aime la piscine mais il a constamment besoin d'avoir quelqu'un à côté de lui.</t>
  </si>
  <si>
    <t>Il a besoin d'une aide complète.</t>
  </si>
  <si>
    <t>Il a une couverture Zewi et va au lit vers les 21:00. Il dort env. 9h par nuit et est debout vers les 07:00.</t>
  </si>
  <si>
    <t>Pour dire oui, il tape la main sur le thorax et pour dire non ou s'il n'est pas content, il se pince la joue. Il arrive à dire adieu, papa, au revoir, en chantant.</t>
  </si>
  <si>
    <t>Il a deux demi-frères, Samuel qui est de 2005 et François de 1987 avec qui il vit.</t>
  </si>
  <si>
    <t>Romain habite chez sa grand-mère, son papa passe régulièrement lui rendre visite. Romain aime la musique, taper sur des boîtes, jouer, chiffonner des journaux.</t>
  </si>
  <si>
    <t>Il parvient à manger seul avec une cuillère à soupe. Il faut couper fin et l'aider s'il n'arrive pas tout seul.
Matin : biscotte
Midi : Il mange de tout
Soir : Il apprécie les yaourts, les céréales ou le reste de midi.</t>
  </si>
  <si>
    <t>légumes, viande et pommes de terre, biscuits, cakes, pêches, yogurt, creme vanille, les compotes</t>
  </si>
  <si>
    <t>ne peut pas manger la nourriture animale, carottes, tomates, haricots, produits laitiers</t>
  </si>
  <si>
    <t>Matin: OvomaltineIl boit beaucoup : sirop, eau, lait dans un verre.
Il boit eaucop. Il se peut que romain casse son verre avec les dents donc il faut lui donner un verre en plastic.</t>
  </si>
  <si>
    <t>09 36 36</t>
  </si>
  <si>
    <t>Retard mental, crises d'épilepsie mais stabilisées.</t>
  </si>
  <si>
    <t>tendance aux conjonctives ou irratation des yeux</t>
  </si>
  <si>
    <t>Il a facilement les mains sèches, il faut lui appliquer des crèmes.</t>
  </si>
  <si>
    <t>Il faut le mettre sur les WC après le repas puis le langer environ 4x par jour. Il sait monter son pantalon sur demande verbale. Va souvent aux toillettes</t>
  </si>
  <si>
    <t>Audrey Kreutzer - 027 322 62 03  079/428.23.32</t>
  </si>
  <si>
    <t>Il supporte les trajets mais il a régulièrement besoin d'aller aux toilettes afin qu'il ne souille pas son pantalon. Il a tendance à mouiller.</t>
  </si>
  <si>
    <t>Ne sait pas nager. Besoin d'une aide permanente et individuelle. Manchons obligatoires.</t>
  </si>
  <si>
    <t>Il s'habille seul sauf attacher le pantalon et nouer ses lacets. Mettre du talc pour enfilier ses chaussettes, car difficile pour lui. Patrick demande sil a besoin de l'aide.</t>
  </si>
  <si>
    <t>Il va se coucher quand il le désire, en général entre 19h30 - 21h00. Il se met seul en pyjama. Aucun rituel particulier, va se coucher de manière autonome.</t>
  </si>
  <si>
    <t>Patrick n'a pas acquis le langage oral. Gestes basiques pour exprimer certaines choses. Possède un moyen auxiliaire de communication, B.A.BAR et un classeur de pictogramme qu'il ne veut plus utiliser</t>
  </si>
  <si>
    <t>sa maman est décédée le 4 mars 2003. Il lui reste son papa.</t>
  </si>
  <si>
    <t>Les rencontres avec son frère Philippe sont depuis quelques temps mensuelles.</t>
  </si>
  <si>
    <t>Aime les balades même s'il éprouve de la difficulté à marcher, boire un verre, écouter de la musique.
Il travail dans un centre de jour des ateliers de la manufacture où sa personne de référence s'appelle Romain Chenaux. Au home son éducateur s'appelle Audrey Kreutzer. Il apprécie énormement les bateaux, les lacs et les films.</t>
  </si>
  <si>
    <t>Pas d'activités particulières.</t>
  </si>
  <si>
    <t>Une cuillère à soupe et fourchette, Patrick souffre de remontée acide</t>
  </si>
  <si>
    <t>Il n'aime pas la confiture à cause de l'acidité, la salade russe, verte, choux… le chili con carne, les poivrons et les crevettes</t>
  </si>
  <si>
    <t>Tomates, poivrons,ratatouille</t>
  </si>
  <si>
    <t>seul</t>
  </si>
  <si>
    <t>Eviter les boissons gazeuses</t>
  </si>
  <si>
    <t>Jus d'orange, café, boissons gazeuses</t>
  </si>
  <si>
    <t>756.3362.7880.38</t>
  </si>
  <si>
    <t>Handicap mental, malvoyant, troubles moteurs</t>
  </si>
  <si>
    <t>Aide totale pour la douche, lavage, rinçage et essuyage.</t>
  </si>
  <si>
    <t>Besoin d'aide pour détacher et rattacher son pantalon. Ne s'essuie pas, nécessite de l'aide lorsqu'il va à selle.. Lui demander régulièrement d'aller aux WC.</t>
  </si>
  <si>
    <t>S'asseoit et se lève seul, sans aide. Besoin d'aide pour rentrer dans une baignoire.</t>
  </si>
  <si>
    <t>C1 - G. Lomazzi - 024 473 51 51</t>
  </si>
  <si>
    <t>Supporte les longs trajets en bus : Il peut être assis sur un siège de bus
Il est capable de se déplacer en chaise pour obtenir quelque chose. Lorsqu'il est exité, la marche le détend</t>
  </si>
  <si>
    <t>Aide totale : Est toutefois capable d'enlever le haut avec de l’aide
Mettre toujours un foulard sur la veste pour éviter le surplus de lessive</t>
  </si>
  <si>
    <t>Sur le dos - alèse plastifiée sous la tête car il bave - sans coussin.
Peut être agité et faire du bruit (voir médication)
Pyjama avec fermeture dans le dos
Coucher vers 20h00 mais supporte bien la fête.</t>
  </si>
  <si>
    <t>Ne parle pas : il crie et agite les bras s'il est content. Il se mord s'il est fâché. Il pleure en cas de douleur
A être attentif car il a tendance à attraper les chaises des autres et les cheveux.</t>
  </si>
  <si>
    <t>Une sœur . N'a pas de contact</t>
  </si>
  <si>
    <t>Découvrir et toucher les choses
Musique (si on lui tient la guitare il arrive à en jouer)
Piscine, balade, être en interaction avec les autres</t>
  </si>
  <si>
    <t>N'aime pas rester sans rien faire</t>
  </si>
  <si>
    <t>Aide totale : - mixer couper fin - il aime tenir le poignet de l'accompagnant.- dans sa chaise avec le plateau - Nourriture bien mouilliée. Eviter de lui laisser des objets sur la table car ils les jettent par-terre. Ne pas le mettre devant les desserts.</t>
  </si>
  <si>
    <t>1+1/2 tartine ( sans les croûtes) + confiture, parfait fromage à tartiner selon convenance (mouiller le pain avec du lait), crème, chocolat, yogurt</t>
  </si>
  <si>
    <t>Petits morceaux de légumes mixés pour colmater le reste du repas.</t>
  </si>
  <si>
    <t>Ne pas le coucher tout de suite après le repas pour éviter les régurgitations</t>
  </si>
  <si>
    <t>Riz - bonbons (risque d'étouffement)</t>
  </si>
  <si>
    <t>Il boit seul avec son verre à pipette (rester à coté) D'abord donner une tasse de thé et ensuite celui du cacao ou de café</t>
  </si>
  <si>
    <t>le matin : cacao -Thé-Café</t>
  </si>
  <si>
    <t>207-81-638</t>
  </si>
  <si>
    <t>Handicap mental, épilepsie, troubles moteurs</t>
  </si>
  <si>
    <t>Aide totale : Au lever : lui faire des exercices pour assouplir les hanches - Essuyer régulièrement la bave.</t>
  </si>
  <si>
    <t>Urine souvent après la douche : le laisser faire et le langer après. Au changement du lange être attentif qu'il n'urine pas. S'il regarde son pénis, il va uriner. Prévoir un lavement chaque 3 jours et attendre env. 30 a 45 min.</t>
  </si>
  <si>
    <t>le sortir de la chaise le faire marcher ou le coucher à sur le dos.</t>
  </si>
  <si>
    <t>chaque 2h</t>
  </si>
  <si>
    <t>Supporte les longs trajets en bus. Position fauteuil : bien au fond, bien droite</t>
  </si>
  <si>
    <t>dort sur le dos ou en latéral gauche avec barrière des deux côtés</t>
  </si>
  <si>
    <t>Langage oral : petits cris répétitifs : signes de mauvaises humeurs. Se secoue et se balance dans sa chaise. Rigole bien quand on est seul avec elle.</t>
  </si>
  <si>
    <t>Mère : Gabrielle 
Père : Jean-Luc divorcé</t>
  </si>
  <si>
    <t>Musique (Pierre Bachelet, Céline Dion, Joe Dassin) Ecouter de la musique et danser, se promener, faire la fëte, feuilleter son livre.</t>
  </si>
  <si>
    <t>Aide totale : Support en bois avec trou pour l'assiette pour qu'elle puisse , manger seule. Mettre les médicaments dans la première cuillère et lui donner-Manger : couper fin- mange seule + rebord d'assiette. Tartine : humidifier avec du lait les tartines ! Essayer de lui mettre le verre et la cuillère dans la main droite pour qu'elle mange seule. Elle mange plus le matin et le soir qu'à midi. Après le repos, lui donner son petit classeur. La faire manger à l'écart du groupe. La prise d'aliment sera ainsi facilité.</t>
  </si>
  <si>
    <t>Aime manger-Kellog's pour le déjeuner</t>
  </si>
  <si>
    <t>N'aime pas le poisson !</t>
  </si>
  <si>
    <t>Elle boit avec un gobelet toute seule, la forcer un peu car n'aime pas boire. Rester à côté d'elle car elle renverse son verre lorsqu'elle a fini.</t>
  </si>
  <si>
    <t>A une tige le long de la colonne vertébrale. La sollicite</t>
  </si>
  <si>
    <t>Couchée sur le dos</t>
  </si>
  <si>
    <t>A la demi-journée</t>
  </si>
  <si>
    <t>B1 - 024 473 51 41</t>
  </si>
  <si>
    <t>marche avec aide, environ 15 min. pas plus longtemps car Samuel a vite des cloques (s’il tombe, il ne sait pas se protéger avec les mains) fauteuil manuel ne s’en sert pratiquement plus (si nécessaire et bien l’attacher sur la chaise). Il peut marcher.</t>
  </si>
  <si>
    <t>La ceinture ou une bouée, le surveiller et le tenir</t>
  </si>
  <si>
    <t>Aide totale : Il porte toujours sur lui un cycliste une chemisette et une ceinture à son pantalon la journée.apprécie qu’on verbalise ce que l’on fait.</t>
  </si>
  <si>
    <t>La nuit, Samuel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Il est couché sur le dos et ensuite se met dans la position qu'il veut.</t>
  </si>
  <si>
    <t>cris, rires, grognements
Il faut éviter de lui laisser jouer avec des cornets en plastiques car il attrape des boutons au visage et de l'herpès. Si possible, ne rien laisser mettre en bouche pour cause d’inflammation</t>
  </si>
  <si>
    <t>Samuel aime bien serrer les autres. Il aime bien tout ce qui est en plastique, la musique et principalement la musique de fanfare.</t>
  </si>
  <si>
    <t>Il n’aime pas être peigné, se laver les dents et recevoir le coup de lavette ainsi que l’eau froide.</t>
  </si>
  <si>
    <t>Samuel aime plutôt manger les aliments tièdes et pas trop secs. Lui donner avec une cuillère à soupe et toujours les mains sous la table. Mixer, couper fin, donner à manger. Il commence à bien mastiquer les aliments</t>
  </si>
  <si>
    <t>Donner à boire. Il boit seul avec son gobelet en plastique avec une paille solide.</t>
  </si>
  <si>
    <t>boissons gazeuses + boissons à base de lait.</t>
  </si>
  <si>
    <t>épilepsie stabilisée (foyer épileptique sur la droite du cerveau)</t>
  </si>
  <si>
    <t>protéger Samuel du soleil (crème, chapeau) à cause des risques d’épilepsie. Il prend facilement des coups de soleil (car il a été griffé aux jambes et aux pieds). Il est allergique au plastique car il a facilement de l'herpès.</t>
  </si>
  <si>
    <t>Aide complète. Lui laver les dents. Samuel n’aime pas les coups de peigne</t>
  </si>
  <si>
    <t>Samuel est langé jour et nuit. Il faut lui changer les langes en principe le matin, à midi et le soir. S’il fait des selles, le changer tout de suite car il n’aime pas ça. Il ne reste pas sur les toilettes bien surveiller car il peut manger ses selles et il faut éloigner tout ce qu'il y a autour de lui</t>
  </si>
  <si>
    <t>Patrice ne supporte pas vraiment les longs trajets en bus, surtout en montagne.</t>
  </si>
  <si>
    <t>Patrice ne s'habille pas seul.</t>
  </si>
  <si>
    <t>Patrice n’a pas d’horaire particulier. Il veille volontiers le soir quand il a congé.</t>
  </si>
  <si>
    <t>Il a 3 neveux qu’il aime beaucoup et une nièce qui est née en 2011. Son papa est passionné de pétanque.I</t>
  </si>
  <si>
    <t>2 sœurs
3 neveux
1 nièce</t>
  </si>
  <si>
    <t>Patrice aime les animaux, la musique, les magazines et regarder la télévision Il aime sortir, les concerts, les spectacles, faire la fête…Il aime beaucoup les jeux à l’ordinateur. Il fait de la thérapie avec le cheval.</t>
  </si>
  <si>
    <t>Donner à boire avant et après le repas.Eviter pendant le repas.</t>
  </si>
  <si>
    <t>Ne supporte pas bien le lait</t>
  </si>
  <si>
    <t>Suite à ses problèmes de fausses routes il doit éviter de manger des aliments
trop dur ( croûtes de pain – cacahuètes – ainsi que le riz, pas facile à avaler )</t>
  </si>
  <si>
    <t>Aider à boire (il boit avec sa bouteille ou avec une paille) Il prend depuis quelque temps de la poudre gélifiante (1cc/dl)dans ses boissons.Surtout pas la tête penchée en arrière pour boire. Vérifier qu’il n’ai plus de miettes dans la bouche avant de boire. Patrice boit trop vite, le clamer un peu.</t>
  </si>
  <si>
    <t>Thé froid - Jus d'orange au déjeuner</t>
  </si>
  <si>
    <t>209 22 852</t>
  </si>
  <si>
    <t>A protéger du Soleil (casquette, crème)</t>
  </si>
  <si>
    <t>Patrice ne se lave pas seul. Il a aussi besoin qu’on lui brosse les dents.</t>
  </si>
  <si>
    <t>Installer toutes les 2h30 - 3 heures Patrice sur les WC. Patrice a besoin de protection, il est langé jour et nuit. Si pas sûr qu'il y ait des WC lui mettre des protections plus épaisses.</t>
  </si>
  <si>
    <t>Le faire marcher plusieurs fois par jour</t>
  </si>
  <si>
    <t>Il a parfois besoin de moments de tranquillité. Il peut se fâcher rapidement lorsque son trop-plein émotionnel déborde. Il lui arrive de partir en courant, il faut alors le suivre, le rassurer, et l'isoler un petit moment.</t>
  </si>
  <si>
    <t>Parole</t>
  </si>
  <si>
    <t>Il a un frère, Mathieu.</t>
  </si>
  <si>
    <t>Il discute volontiers de tous les sujets. Il aime la musique et il aime chanter, surtout lors de karaoké.</t>
  </si>
  <si>
    <t>Vélo et ski.</t>
  </si>
  <si>
    <t>Autonome. Il a tendance à manger rapidement et en grandes quantités. Faire attention à ces deux aspects.</t>
  </si>
  <si>
    <t>Il n'aime pas les croûtes aux champignons.</t>
  </si>
  <si>
    <t>10911341</t>
  </si>
  <si>
    <t>Besoin d'aide.</t>
  </si>
  <si>
    <t>Il faut contrôler qu'il aille à selle.</t>
  </si>
  <si>
    <t>Groupe C4 -Jocelyne Grueninger</t>
  </si>
  <si>
    <t>Il supporte les longs trajets il s'endort souvent.
CASQUE OBLIGATOIRE
on peut lui donner la main surtout à l'exterieur</t>
  </si>
  <si>
    <t>Pas de piscine, il est épileptique.</t>
  </si>
  <si>
    <t>Il s'habille seul avec aide (selon son humeur). Il faut lui dire de s'habiller et il faut le surveiller. L'aider à fermer les boutons et lasser les chaussures.</t>
  </si>
  <si>
    <t>Il dort entre 10 et 12 heures par nuit.</t>
  </si>
  <si>
    <t>Communication oral avec des sons et des gestes. Il communique assez bien. Il a un lexique avec des mots traduits en allemand et en français car il est de langue maternelle allemande. Il ne comprend pas le français, il comprend les intonations.</t>
  </si>
  <si>
    <t>Son père est décédé.</t>
  </si>
  <si>
    <t>Il aime la musique, les animaux, boire du café (avec schnaps, c'est une blague qui le fait beaucoup rire). Il aime plaisanter, danser, participer aux activités quotidiennes maman, et les rentrées 1 week-end sur 2. Prévenir à l'avance lorsqu'une activité est finie, pour une meilleure transition.</t>
  </si>
  <si>
    <t>Quand il est fatigué il faut le laisser tranquille pour qu'il se repose (si non risque de crise). Lorsqu'il s'énerve, couper la relation, le laisser seul, afin qu'il se calme.</t>
  </si>
  <si>
    <t>Il mange seul avec une cuillère et un bord d'assiette. Il faut lui couper les aliments.Il est gaucher.</t>
  </si>
  <si>
    <t>Café de temps en temps donner le médicament avec du café</t>
  </si>
  <si>
    <t>2.625.797</t>
  </si>
  <si>
    <t>Syndrome de Lennox</t>
  </si>
  <si>
    <t>Epilepsie. En cas de forte d'émotion, il peut faire des crises de type grand mal. Il a tendance à partir en extension puis il tombe. Pour le protéger,il porte un casque.</t>
  </si>
  <si>
    <t>épilepsie: lorsqu'il ne parle plus ou fait a a a, le prendre par les épaule et le secouer en lui parlant, sa peut le ramener.</t>
  </si>
  <si>
    <t>Il est langé la nuit et lors d'évenements particuliers. Il peut être mouillé seulement par accident ou en cas de crises d'épilepsie. On préconise de le laisser langé la journée.</t>
  </si>
  <si>
    <t>Jocelyne</t>
  </si>
  <si>
    <t>Oui il supporte les longs trajets, de préférence l'asseoir sur un siège de bus et surveiller sa main gauche.
Il se déplace seul par terre.</t>
  </si>
  <si>
    <t>Il aime l'eau, mais il faut le tenir et le rassuré, il peut être réticent s'il y a beaucoup de bruits. Il a beaucoup progressé et fait beaucoup seul.</t>
  </si>
  <si>
    <t>Il faut lui choisir les habits selon 2 groupes : 1 pour salir et 1 propre</t>
  </si>
  <si>
    <t>Couverture Zewi, au besoin. Il dort facilement 12 heures. Le week-end il va au lit vers les 21-22:00. Il n'a pas de rituel particulier. Attention, il fait des crises d'épilepsie pendant la nuit dans son sommeil. Il est plus agité et fatigué le lendemain.</t>
  </si>
  <si>
    <t>Il parle beaucoup et a tendance à "monter son film". Il est important de la canaliser et de le ramener à la réalité.</t>
  </si>
  <si>
    <t>Son papa est décédé quand il était bébé. Il aime bien sa grand-mère Marie-Thérèse.</t>
  </si>
  <si>
    <t>Il a un très bon contact avec ses voisons de palier, Dominique et Dominique.</t>
  </si>
  <si>
    <t>Il aime jouer aux voitures, aller aux balançoires, il aime faire des crêpes et les "dévorent". Il apprécie les dessins.  Il appréciant son chien Danouk mais il est mort.  Il se montre réticent au début d'une activité puis il s'ouvre au fur et à mesure. Parfois il aime rester seul pour se recadrer. Il faut le laisser un moment. Lors de changement d'activité, le prévenir 10 min avant, mais pas plusieurs heures.</t>
  </si>
  <si>
    <t>Tiago n'a jamais été au cinéma (à essayer si cela ne lui pose pas de problème de luminosité, bruits, espaces,…). Ne pas le laisser jouer avec les interupteurs. Il est important d'éviter les tourniquets d'enfants ou qu'il face la toupie car cela le perturbe.</t>
  </si>
  <si>
    <t>Il mange et boit seul mais il faut lui couper les aliments.</t>
  </si>
  <si>
    <t>le matin : une tartine au miel, au nutella ou des corn-flakes.</t>
  </si>
  <si>
    <t>aucun mais il a un bon coup de fourchette, alors faire attention à la prise de poids</t>
  </si>
  <si>
    <t>Il n'aime pas le poisson</t>
  </si>
  <si>
    <t>Les bonbons, il risque de les avaler !</t>
  </si>
  <si>
    <t>il boit seul mais il faut le motiver à boire !</t>
  </si>
  <si>
    <t>matin : cacao</t>
  </si>
  <si>
    <t>109445</t>
  </si>
  <si>
    <t>IMC / être attentif, toujours des risques de crises épileptiques (bruit, cris, suprise…). Le mettre en sécurité en cas de crises et le surveiller attentivement.</t>
  </si>
  <si>
    <t>Tiago est malvoyant (il n'a aucune vision périphérique). Il faut éviter le contact de côté car il ne voit pas arriver les gens et cela pourrait lui faire peur. Il  a aussi des troubles moteurs : une hémiparésie principalement du côté gauche.</t>
  </si>
  <si>
    <t>Pas d'anxiolytique : Il réagit mal à la substance. Il saigne facilement du nez. Il faut prendre du temps pour le rassurer. Bruits imprévus, il a peur et devient blanc. Il faut lui dire de respirer.</t>
  </si>
  <si>
    <t>A cérébral, il n'y a pas besoin de lui mettre les atelles dans les souliers durant la journée. Atelles : env. 4 à 5h par jour, quand il est par terre, les lui enlever et le mettre à pieds nus dans l'herbe.</t>
  </si>
  <si>
    <t>Il faut lui proposer d'aller aux toilettes. Il sait aller seul mais il a besoin d'aide pour s'essuyer. Il n'est pas langé (ni jour, ni nuit).</t>
  </si>
  <si>
    <t>Il ne faut pas le laisser s'asseoir en "W"</t>
  </si>
  <si>
    <t>100% dépendant avec gilet de sauvetage</t>
  </si>
  <si>
    <t>non-verbale: regard chaleureux, visage expressif</t>
  </si>
  <si>
    <t>Il n'a pas de famille</t>
  </si>
  <si>
    <t>Aime beaucoup les concerts de musique, la piscine, les massages, mettre ses lunettes de soleil. Est très sensible à l'ambiance. Il aime bcp les promenades. La vie en groupe</t>
  </si>
  <si>
    <t>Quand une activité est prévue, il se prépare et s'en réjouit, mais si cette activité est annulée, il peut se montrer très contrarié et énervé. Dans les cas où il est trop bruyant et dérange, il peut être remis à l'ordre et isolé un moment</t>
  </si>
  <si>
    <t>Marche autonome mais besoin d'aide car problème de vue. (vision tubulaire) et sourde oreille gauche</t>
  </si>
  <si>
    <t>Pas besoin de matériel auxiliaire. Il faut la surveiller car elle peut avoir des crises d'épilepsies.</t>
  </si>
  <si>
    <t>Besoin d'aide pour se coiffer, pour se laver les cheveux, et pour préparer ses vêtements.Attention Soleil</t>
  </si>
  <si>
    <t>Kathia a besoin de 8 heures de sommeil au minimum.</t>
  </si>
  <si>
    <t>Communication oral</t>
  </si>
  <si>
    <t>Elle vit seule avec sa mère</t>
  </si>
  <si>
    <t>Un frère Gabriel (1979)</t>
  </si>
  <si>
    <t>Fan de Roger Federer, Roch Voisine et de Top modèle. Elle est une fervente supporter du FC Sion. Elle travaille aux ateliers de la FOVHAM à Sion.</t>
  </si>
  <si>
    <t>Ne pas parler en mal de Roch Voisine, de Federer, du FC Sion, ni de Top modèle.</t>
  </si>
  <si>
    <t>Mange seule</t>
  </si>
  <si>
    <t>desserts trop sucrées (peut manger mais peu)</t>
  </si>
  <si>
    <t>les choux, les sauces Attention Dysenterie</t>
  </si>
  <si>
    <t>Boit normalment. Coka zéro 1 par jour. Café - latte Macchiato - Cappuccino</t>
  </si>
  <si>
    <t>boissons sucrées ( peut boire mais peu)</t>
  </si>
  <si>
    <t>756.8767.5441.42</t>
  </si>
  <si>
    <t>IMC légère, hémiplegie gauche</t>
  </si>
  <si>
    <t>épilepsie, sourde oreille gauche, vision tubulaire</t>
  </si>
  <si>
    <t>Rhume des foins, protéger Kathia du soleil (crème et chapeau</t>
  </si>
  <si>
    <t>Aide pour se laver, se doucher, se laver les cheveux et se coiffer. Ne se rince pas bien.</t>
  </si>
  <si>
    <t>Kathia est autonome</t>
  </si>
  <si>
    <t>Pas besoin</t>
  </si>
  <si>
    <t>si fatigue elle fait une sieste</t>
  </si>
  <si>
    <t>Pia D'Urso  027 455 47 52 - 079 528 14 30</t>
  </si>
  <si>
    <t>Supporte les longs trajets en bus, Fonctionnement Chaise : accoudoir+tableau peuvent se lever, bande noire du tableau=sécurité. Si pluie protéger pédale, charger chaise le soir !!!</t>
  </si>
  <si>
    <t>Aide totale : a besoin d'être soutenu + bouée adaptée. 
MARCHE A SUIVRE  : 
1) mettre le boudrier à Christophe sur sa chaise (il aide en faisant le pont)
2) mettre la bouée dans l'eau avec le bouchon sur la gauche
3) mettre Christophe dans la bouée (les 2 bras sur la bouée)
4) attacher les sangles noires et rouges aux anneaux à l'arrière du boudrier.</t>
  </si>
  <si>
    <t>Dort nu et sur le ventre 
Il n'urine jamais lorsqu'il est nu</t>
  </si>
  <si>
    <t>Avec l'aide d'un tableau "BLISS"</t>
  </si>
  <si>
    <t>Le football, le hockey, le tennis
Discussions avec les accompagnant(e)s</t>
  </si>
  <si>
    <t>Expositions de peinture</t>
  </si>
  <si>
    <t>Aide totale : Manger : hacher petit mais non mixer - dans une cuillère à soupe + un peu de liquide pour faciliter la déglutition
Il apprécie beaucoup de nourriture à la fois sur sa cuillère.</t>
  </si>
  <si>
    <t>Au foyer : presque toujours des pâtes avec beaucoup de sauce</t>
  </si>
  <si>
    <t>Riz, pommes de terre à l'eau et bolognaise. Lactose. Pas de poudre de lait.</t>
  </si>
  <si>
    <t>Produits avec lactose.Poudre de lait Lait de soja ou amande = OK</t>
  </si>
  <si>
    <t>Il boit avec un gobelet spécial en plastique.
Il ne boit pas d'eau mais beaucoup de sirop framboise, mais pas cassis.</t>
  </si>
  <si>
    <t>n'aime pas le sirop au cassis!</t>
  </si>
  <si>
    <t>10 90 87 20</t>
  </si>
  <si>
    <t>Soleil : crème</t>
  </si>
  <si>
    <t>Aide totale : matin et soir : vase pour uriner (couché sur le ventre) - voir avec lui  + qqfois condom. Aux toilettes : chaise percée - la nuit il n'urine jamais lorsqu'il est nu.Ne peut pas rester lgt sur le dos. Tjs lever la barrière!</t>
  </si>
  <si>
    <t>Masser le siège matin et soir</t>
  </si>
  <si>
    <t>pour les transferts : il faut lui demander</t>
  </si>
  <si>
    <t>Supporte les longs trajets</t>
  </si>
  <si>
    <t>Présence d'une personne obligatoire pour la tenir. Maya apprécie beaucoup la piscine.</t>
  </si>
  <si>
    <t>Aide complète. Maya aime choisir ses habits seule</t>
  </si>
  <si>
    <t>Maya se couche vers 19h30, lui mettre coussin banane sous jambes + coussin sous talons, reste toute la nuit sur le dos. Aime bien restée éveillée un peu plus tard.</t>
  </si>
  <si>
    <t>Maya utilise sa tablette pour se faire comprendre, lui rappeler d'utiliser sa tablette, à tendance à l'oublier. Elle comprend l'allemande et le français. Maya dis oui et non avec des signes de tête.</t>
  </si>
  <si>
    <t>Maya adore la musique de Grégory Lemarchal et les promenades.</t>
  </si>
  <si>
    <t>Lorsqu'il y a trop de bruits.</t>
  </si>
  <si>
    <t>Uniquement par la PEG</t>
  </si>
  <si>
    <t>Voir plan d'alimentation</t>
  </si>
  <si>
    <t>A tendance à avoir des régurgitations.</t>
  </si>
  <si>
    <t>Aliment pour la bouche</t>
  </si>
  <si>
    <t>boisson par la bouche</t>
  </si>
  <si>
    <t>Troubles mentaux, troubles moteurs. Attention dans les manipulations car Maya a une tige de fer dans son dos pour la scoliose.</t>
  </si>
  <si>
    <t>Au soleil, casquettes et crème solaire</t>
  </si>
  <si>
    <t>Lit douche. Maya a souvent des mycoses, bien désinfecter lit douche après utilisation ! Bien laver et secher les parties du corps, surtout les parties intimes. Peut aussi faire une toilette au lit.</t>
  </si>
  <si>
    <t>Protection S le jour, protection M + millette la nuit.</t>
  </si>
  <si>
    <t>Attention à la PEG, contrôler matin et soir les points d'appui !</t>
  </si>
  <si>
    <t>Sieste vers 12h30. Dos coussin en U + coussin surélever talons</t>
  </si>
  <si>
    <t>Fauteuil manuel. Pour recharger la chaise, mettre d'abord l'embout à la chaise puis la prise lorsque le rechargment est effectué enlever la prise, puis l'embout.</t>
  </si>
  <si>
    <t>Il aime l'eau chaude. Il ne tient pas sa tête, il faut le soutenir (mettre des manchons ou une bouée)</t>
  </si>
  <si>
    <t>aide pour l'habillement.</t>
  </si>
  <si>
    <t>ATTENTION: Impératif de prendre tous les moyens nécessaire de sécurité lors des soins (barrière, surveillance étroite pour éviter les chutes. En fév. 2010 il a eu un accident - chute de lit sur le sol en béton, avec comme effet une fracture du col du fémur gauche, très traumatisant pour lui-même et pour la famille. A EVITER A TOUT PRIX A L'AVENIR). Il dort sur le ventre
Il dort sur le côté droit avec un coussin derrière, un entre les genoux et un entre les pieds. Bien le couvrir ainsi que les oreilles (important). Ne pas le déranger pendant la nuit. Ne veut pas dormir avec des personnes qui se réveillent la nuit et font du bruit. Vérifier une fois pendant la nuit, si possible vers 4-5 heures s'il n'est pas découvert.</t>
  </si>
  <si>
    <t>Il aime la musique, tout ce qui est technique. Andreï aime aussi être très bien entouré et discuter. La TV, jeux télévisés (Questions pour un champion, Attention à la marche,..) et les séries (Les feux de l'amour), musique typique romaine</t>
  </si>
  <si>
    <t>Donner à manger avec modération. Le soir, mettre quatre pruneau dans une tasse d'eau. Le matin, lui faire boire l'eau et lui donner manger les pruneaux.</t>
  </si>
  <si>
    <t>Il aime tout</t>
  </si>
  <si>
    <t>ne pas exagérer avec les sucreries.</t>
  </si>
  <si>
    <t>lui donner beaucoup à boire</t>
  </si>
  <si>
    <t>28168092</t>
  </si>
  <si>
    <t>Aphtes : badinage avec propolys (teinture)     Allergie cutanée au visage : Appliquer pommade parfenac (autour du nez, entre les sourcils matin et soir, sinon rougeur)</t>
  </si>
  <si>
    <t>Il faut lui brosser les dents après chaque repas. Suite à un accident (tombé du lit) il faut le masser matin et soir. Et être prudent lors des soins</t>
  </si>
  <si>
    <t>Andreï demande qu'on lui donne la bouteille. En sortie, mettre un condom et sac urinaire.</t>
  </si>
  <si>
    <t>à la mi-journée, il faut le soulever par les bras et l'aider à pousser avec ses jambes.</t>
  </si>
  <si>
    <t>2x par jour</t>
  </si>
  <si>
    <t>elle supporte les trajets en bus avec siège auto et ceinture abdominale. Il faut bloquer les portières et les fenêtres.
Elle peut se déplacer un petit peu mais avec grande sécurité. Contrôler en cas de chute si elle n'est pas blessée.</t>
  </si>
  <si>
    <t>Elle ne sait pas nager mais est très attirée par l'eau. Ne jamais la laisser seule près de bassins, baignoires,… Même en portant des manchons ! Elle n'a pas forcemment le reflèxe de sortir la tête de l'eau pour respirer.</t>
  </si>
  <si>
    <t>aide nécessaire. Lui mettre des vêtements qui lui couvre les genoux, même l'été, car elle se blesse souvent.</t>
  </si>
  <si>
    <t>Impérativement installer son matelas par terre pour éviter le risque de chute la nuit. Bien fixer le duvet au fond du matelas pour éviter qu'elle se recouvre le visage.
Couverture ZEWI + épingle de sûreté au fond en travers de la fermeture éclaire et lui rajouter une camisole. La contenir par exemple en l'installant dans un petit coin ou en mettant des matelas de chaque côté.  Elle aime retrouver Rosy (poupée) dans le lit et que nous lui racontions des histoires. Elle se couche vers 20h et se réveille d'elle-même. Si elle est désoeuvrée dans son lit, elle peut s'arracher des mèches de cheveux qu'elle mange. Il lui arrive de retirer ses couches la nuit et de souiller la literie.</t>
  </si>
  <si>
    <t>Elsa ne parle pas. Elle comprend le langage simple. Le soutien gestuel est utilisé à la maison et à NdL. Elle reproduit quelques gestes. Utilisez les photos en support au langage dans le but d'augmenter sa compréhension et surtout de lui permettre d'exprimer des demandes ou des choix. Verbaliser en montrant une photo. Elsa a encore de la peine à regarder les images et à les reconnaître. L'utilisation des photos dans le vie quotidienne, l'aide à acquérir les bases pour une communication par pictogramme. Lorsqu'elle est fâchée, elle se mord, ne collabore pas et se couche par terre. Faire attention qu'elle ne mange pas ses cheveux</t>
  </si>
  <si>
    <t>Elle a deux grandes sœurs, Loren et Marie.</t>
  </si>
  <si>
    <t>Elle aime les câlins et les chatouilles. Elle aime la musique, le xylophone et danser. Lors de la danse il y a un risque de chute car elle ne mesure pas les distances (hauteur, profondeur). Elle refuse souvent de donner la main lors de déplacements extérieurs, pourtant cela est impératif. Elle aime aussi les toboggans, feuilleter des livres, les jeux d'eaux, les jeux de ballons et les poupées. Elsa a besoin d'une SURVEILLANCE INTENSE car elle ne voit pas les dangers, elle est imprévisible et très rapide.</t>
  </si>
  <si>
    <t>Elle n'aime pas beaucoup dessiner et a parfois peur des bruits des voitures et de la foule.</t>
  </si>
  <si>
    <t>Elle mange de tout et a un excellent appétit. Il faut lui couper la nourriture en petits morceaux car elle ne mâche pratiquement pas, lui demander de le faire. Risque de fausses routes. Il est parfois nécessaire d'aller chercher avec ses doigts un morceau de nourriture resté coincé au fond de sa bouche. ATTENTION : ELLE PEUT FACILEMENT TOMBER D'UN BANC OU D'UNE CHAISE !!!!! Elsa a de la peine à rester en place.</t>
  </si>
  <si>
    <t>Il faut veiller à ce qu'elle s'hydrate suffisamment. La faire s'asseoir pour boire et lui mettre une bavette, la rendre attentive à ce qu'elle fait et la laisser se débrouiller. Ses précautions permettent d'éviter qu'elle se verse le contenu du verre sur elle. Rester à côté. Eviter les récipients en vrai verre car elle peut les croquer et les casser dans sa bouche.</t>
  </si>
  <si>
    <t>Nesquik+sucre le matin et à 16:00</t>
  </si>
  <si>
    <t>retard mental - 22Q13 délétion</t>
  </si>
  <si>
    <t>A besoin d'être accompagnée d'un adulte pour toutes tâches. Besoin d'être langée.</t>
  </si>
  <si>
    <t>Elle ne se manifeste pas toujours lorsqu'elle a besoin d'être changée car elle n'aime pas beaucoup être changée. Il faut lui demander si elle veut aller aux WC. Il faut changer immédiatement après selles car peau du siège très fragile.</t>
  </si>
  <si>
    <t>Pas besoin de sieste mais penser a bien la contenir la nuit.</t>
  </si>
  <si>
    <t>Oui</t>
  </si>
  <si>
    <t>Ne va pas à la piscine, elle n'aime pas ça.</t>
  </si>
  <si>
    <t>Aide complète pour l'habillement et le déshabillement. Habillage du haut, d'abord bras droit, tête, bras gauche et le contraire pour déshabiller. Sophie est relativement frileuse, veiller à bien l'habiller.</t>
  </si>
  <si>
    <t>Sophie dort sur le dos, veiller à ce que sa colonne soit le plus rectiligne possible. Mettre pour la nuit, coussin en U sous les genoux en gardant un écart entre les genoux et un coussin normal sous les pieds.</t>
  </si>
  <si>
    <t>Elle parle doucement, elle bégaie un peu, parfois c'est difficile de la comprendre.</t>
  </si>
  <si>
    <t>Sophie aime la musique, les promenades en ville, l'ambiance de fête et elle aime bien que l'on s'occupe d'elle. Elle ne fume plus.</t>
  </si>
  <si>
    <t>La piscine.</t>
  </si>
  <si>
    <t>Sophie choisit ce qu'elle désire. Il faut lui couper la nourriture et lui donner à manger.</t>
  </si>
  <si>
    <t>Eviter trop de féculents et de sucreries à cause de la prise de poids.</t>
  </si>
  <si>
    <t>Mettre son gobelet entre les jambes.</t>
  </si>
  <si>
    <t>1021</t>
  </si>
  <si>
    <t>Traumatisée cérébrale, troubles moteurs.</t>
  </si>
  <si>
    <t>À protéger du soleil, sinon elle n'a pas d'allergies. Pevaryl si mycoses inguinales. En cas de canicule ou forte chaleur : surélever les jambes et augmenter les changmements de position.</t>
  </si>
  <si>
    <t>Aide complète pour la toilette (laver les dents, le visage, coiffer, etc). Bien laver et sécher les plis du ventre, inguinaux, sous les bras et les doigts de pied et sécher au foehn. Attention aux plus des coudes et entre les doigts. Masser les fesses avec de la crème Vacosa en cas de rougeurs. Laver le corps (elle supporte les produits de douche). Ne pas lui mettre de déo. Le matin et le soir laver le visage à l'eau et lui mettre que de la crème Exipial.</t>
  </si>
  <si>
    <t>Oui, après-diner avec un coussin en U sous les genoux en gardant un écart entre les genoux. Le soir, incliner la chaise env. 45 min. avant si elle n'a pas eu de changement de position.</t>
  </si>
  <si>
    <t>B3 -  024 473 51 43</t>
  </si>
  <si>
    <t>Supporte les longs trajets en bus 
Fauteuil manuel - inclinaison totale
Bien la caler au fond et bien serrer la ceinture</t>
  </si>
  <si>
    <t>Aide totale et présence  permanente 
N'aime pas l'eau froide et  peut très vite s'angoisser.</t>
  </si>
  <si>
    <t>Aide totale - coquette elle aime les habits et les bijoux</t>
  </si>
  <si>
    <t>Sur le dos - coussin banane sous les genoux</t>
  </si>
  <si>
    <t>Langage oral : elle parle et demande si elle a besoin de quelque chose. Contrariée elle se ferme facilement (utiliser la plaisanterie) - en cas de crise de larmes : l'isoler et lui laisser exploser sa colère</t>
  </si>
  <si>
    <t>Croyante (catholique)</t>
  </si>
  <si>
    <t>Carole (1974)
Jérôme (1973)</t>
  </si>
  <si>
    <t>Aime travailler à l'atelier - sorties, shopping, restaurant, piscine, 
Apprécie tout - joyeuse et motive les autres (leader)</t>
  </si>
  <si>
    <t>Peur des animaux (la rassurer ou l'éloigner)</t>
  </si>
  <si>
    <t>Manger : couper petit les aliments - cuillère coudée assiette avec bord plasique. Utilise sa main gauche. Elle mange dans sa chaise roulante</t>
  </si>
  <si>
    <t>Féculent : 1 cuillère seulement - en petite quantité. Fgaire gaffe à son poids</t>
  </si>
  <si>
    <t>Boire : Verre avec tubulure</t>
  </si>
  <si>
    <t>Café et thé le matin</t>
  </si>
  <si>
    <t>40 223</t>
  </si>
  <si>
    <t>Problèmes de vue</t>
  </si>
  <si>
    <t>Soleil (casquette et crème obligatoire)</t>
  </si>
  <si>
    <t>Aide totale - laver les cheveux un jour sur 2 - Crème pour le visage - douche sur  le chariot douche.</t>
  </si>
  <si>
    <t>Chaise percée : midi et soir avec emploi de l'élévateur pour aller aux toilettes. lange : jour et nuit</t>
  </si>
  <si>
    <t>sur le dos avec un coussin banane sous les genoux</t>
  </si>
  <si>
    <t>Groupe B2</t>
  </si>
  <si>
    <t>non, il est malade. Donnez 1/2h avant le départ 1cp(jaune) ITINEROL B6
EROL B6</t>
  </si>
  <si>
    <t>d’une personne obligatoire pour le tenir, de préférence un gilet.</t>
  </si>
  <si>
    <t>oui qu’il n’a pas de rougeur sur les fesses (si non lui appliquer une crème).
Il se fatigue assez vite le soir. Il dort env. 9h à 10h par nuit. Il n’a pas besoin de rituel particulier sauf le massage des pieds.</t>
  </si>
  <si>
    <t>Jean-Claude parle et comprend le français et l’allemand. Il faut lui parler lentement. Il a besoin de temps pour répondre. Il apprécie les questions aux réponses : oui ou non
Jean-Claude apprécie être pris en charge autant par une femme que par un homme.
Jean-Claude a de plus en plus de mal à diriger sa chaise électrique. Surtout à l’intérieur, l’aider.</t>
  </si>
  <si>
    <t>Son papa habite la Souste et sa maman est décédée en 2002. Jean-Claude en parle régulièrement. Il a deux frères : Réné également à la Castalie B2 et Hubert qui est marié avec 2 enfants Malik et Cyril. Il est fier d’être tonton.
Jean-Claude apprécie écouter de la musique folklorique et la radio, jouer au jeu du moulin et être en contact avec les autres.
Il travail à l’atelier bois chez Victor.</t>
  </si>
  <si>
    <t>les gros morceaux ET de parler en mangeant car il s’étouffe. Il mange seul, l’aider en fin de repas, mixer, il a une cuillère spéciale et un rebord d’assiette. Pour boire, il a une bouteille avec un bec et  utiliser une paille pour facilité la prise de boisson. Il n’aime pas prendre sa boisson tout seul.</t>
  </si>
  <si>
    <t>Il mange mixé</t>
  </si>
  <si>
    <t>de temps en temps il peut boire une bière sans alcool. Il n’apprécie pas trop les fruits. Le matin il apprécie le café, le jus d’orange, bircher et yogourt et aussi les sandwichs. Il aime beaucoup les pâtes. Il boit avec l’épaississant.</t>
  </si>
  <si>
    <t>962 06 19 067</t>
  </si>
  <si>
    <t>handicap mental, troubles moteurs,</t>
  </si>
  <si>
    <t>A protéger du soleil, en cas de douleur ne supporte que le Dafalgan, il est allergique à l’Aspirin + Peniciline</t>
  </si>
  <si>
    <t>Jean-Claude a besoin d’une aide complète pour sa toilette (laver le visage, les dents, coiffer, etc.) Le soir à faire un massage des pieds avec Valcosa ou une crème grasse afin de stimuler la circulation sanguine. Le matin sur son lit lui stimuler les deux jambes en lui faisant faire le geste du « pédaleur ». Constipation lui administrer Practolyss chaque 3 à 4 jours. Pas nécessaire s’il boit du jus de pomme. Tous les matins quelques pruneaux secs.</t>
  </si>
  <si>
    <t>?  Il est langé jour et nuit. Lui changer le lange 3 à 4 fois par jour (lever, dîner, avant le coucher et si nécessaire). Ne pas le mettre sur les toilettes, mais veiller qu’il n’ait pas de rougeur sur les fesses, sinon lui appliquer une crème.</t>
  </si>
  <si>
    <t>supporte les longs trajets. Pour incliner la chaise lors de longs déplacements, mettre au niveau 5 apparaissent les signes ZZ en pointillés le 2ème.</t>
  </si>
  <si>
    <t>ne peut pas nager, le soutenir en permanence</t>
  </si>
  <si>
    <t>Aide totale. Pour le haut, d'abord le bras droit, la tête, bras gauche et le contraire pour le déshabiller. Steeve peut se tourner sur le côté et soulever le bassin pour nous aider.</t>
  </si>
  <si>
    <t>Steeve a besoin de repos. Il s'endort sur le dos sans oreiller mais en levant légèrement le dossier du lit. Vu qu'il est long, il faut être attentif à ce que ses pieds ne frottent pas le fond du lit. La nuit, il n'y a pas de changement de position à faire.</t>
  </si>
  <si>
    <t>langage oral. Steeve est une personne très sociable qui sait très bien s'exprimer s'il désire qqch. Il est INDISPENSABLE d'avoir un homme comme accompagnant car il a tendance à vite tomber amoureux et il se construit des scénarios qui ne correspondent pas à la réalité. Il est important d'être clair dans les consignes et bien fixer des limites.</t>
  </si>
  <si>
    <t>Parents divorcés</t>
  </si>
  <si>
    <t>la musique, chanter, le foot à la télé, les promenades en ville, le cinéma, les spectacles. Il apprécie son travail à l'atelier de bois chez Victor et il chercher tout ce qui renforce le côté masculin afin de s'identifier. Besoin d'être reconnu et valorisé dans les activités qu'il entreprend</t>
  </si>
  <si>
    <t>lui couper la nourriture. Il mange seul avec son assiette et sa cuillère spéciale mais a parfois besoin d'un peu d'aide.</t>
  </si>
  <si>
    <t>aime le bircher au petit-déjeuner</t>
  </si>
  <si>
    <t>Steeve a beaucoup maigri, il peut manger sans autre.</t>
  </si>
  <si>
    <t>les choux, la charcuterie, les concombres, les endives cuites, les fenouils</t>
  </si>
  <si>
    <t>Avec son gobelet ou sinon dans un verre normal avec une paille</t>
  </si>
  <si>
    <t>454-29-544</t>
  </si>
  <si>
    <t>léger retard mental, troubles moteurs, malvoyant, malformation à la hanche droite et spasticité très forte en cas d'émotion</t>
  </si>
  <si>
    <t>protéger du soleil (casquette, crème, lunettes)</t>
  </si>
  <si>
    <t>Aide totale. Douche chaque 2 jours. Bien le sécher après la toilette. En cas de boutons de chaleur appliquer Dalasin. Steeve a le pied gauche marqué par plusieurs petits accidents, ces marques ne partent pas. Ce ne sont pas des escarres, juste masser le pied afin de faire circuler le sang. Etre attentif aux mycoses entre les orteils</t>
  </si>
  <si>
    <t>langé jour et nuit. Changer la protection matin, midi et soir et en cas de besoin. Le matin et le soir lui mettre la bouteille. En cas de long déplacement, lui rajouter une languette dans la protection.</t>
  </si>
  <si>
    <t>masser régulièrement les fesses, les chevilles et les pieds avec la crème Vacosa matin et soir. Etre attentif au rougeur au niveau du siège et des pieds.</t>
  </si>
  <si>
    <t>après le dîner et après le souper (30min). En cas de déplacement, incliner la chaise env. 45min</t>
  </si>
  <si>
    <t>Il aime la piscine mais a besoin de qqun à ses côtés.</t>
  </si>
  <si>
    <t>Il a besoin d'une légère aide pour s'habiller. Il nous explique comment faire.</t>
  </si>
  <si>
    <t>Il se couche selon son état de fatigue et aime bien aller tardivement au lit.</t>
  </si>
  <si>
    <t>Verbale.</t>
  </si>
  <si>
    <t>Un frère Edis né en 1997 et une sœur Sarah née en 2005</t>
  </si>
  <si>
    <t>Il apprécie le sport en général et surtout le foot, le ski, le tennis et le rafroball et aussi les séries tv. Il aime apprendre, parler avec des adultes et aller à l'école.</t>
  </si>
  <si>
    <t>Il n'aime pas regarder les émissions avec des motos ainsi que celles avec des vélos. Il a peur des chiens et des chats quand ils s'approchent et n'aime pas les toucher.</t>
  </si>
  <si>
    <t>Il faut lui couper les aliments et lui donner.</t>
  </si>
  <si>
    <t>Viande de porc.</t>
  </si>
  <si>
    <t>Il boit dans un verre et apprécie toutes les boissons.</t>
  </si>
  <si>
    <t>08 283 20 867</t>
  </si>
  <si>
    <t>Au printemps il a des irritations aux yeux, des éternuements et le nez qui coule.</t>
  </si>
  <si>
    <t>Il y arrive avec de l'aide et il explique comment faire.</t>
  </si>
  <si>
    <t>Il est propre et va aux toilettes normales avec l'aide des barres pour s'asseoir. Il est langé lors de sorties particulières, ex. match de foot, à discuter avec Emir selon l'activité. Il utilise la bouteille pour uriner. En principe, elle se trouve dans son sac à dos derrière sa chaise.</t>
  </si>
  <si>
    <t>Il demande s'il en a besoin.</t>
  </si>
  <si>
    <t>Fabien supporte les longs trajets en bus.</t>
  </si>
  <si>
    <t>Aide nécéssaire oui, avoir un œil sur son habillement.</t>
  </si>
  <si>
    <t>Rien de particulier</t>
  </si>
  <si>
    <t>Fabien cherche par tous les moyens de se faire comprendre mais ce n'est pas toujours facile.</t>
  </si>
  <si>
    <t>Fabien a un grand frère, Léonard, qui a le même handicap que lui.</t>
  </si>
  <si>
    <t>Éviter de mettre Fabien en face de son frère (Léonard) durant les repas, car ils ont tendance à se provoquer.
Éviter qu'il mange trop.</t>
  </si>
  <si>
    <t>Ne pas lui laisser trop manger</t>
  </si>
  <si>
    <t>198 26 569</t>
  </si>
  <si>
    <t>IMC Léger</t>
  </si>
  <si>
    <t>Handicap mental : Fabien à besoin d'être cadré, car il a parfois des comportements inadéquats.</t>
  </si>
  <si>
    <t>Protéger Fabien du soleil. Chapeau, crème</t>
  </si>
  <si>
    <t>Aide nécessaire, avoir un œil sur son hygiène</t>
  </si>
  <si>
    <t>Fabien est autonome.</t>
  </si>
  <si>
    <t>Rosalie Andrade Hominal</t>
  </si>
  <si>
    <t>Elle possède une attelle à son pied gauche afin de maintenir une certaine mobilité (obligation pour marcher). Patrizia se déplace avec son fauteuil roulant.</t>
  </si>
  <si>
    <t>Patrizia n'en a jamais fait</t>
  </si>
  <si>
    <t>Patrizia s'habille seule. Besoind'aide pour installer l'attelle  au pied gauche et la chaussure orthopédique. Patrizia est autonome pour s'habiller le haut; le bas (chaussure, pantalon, slip) lui mettons nous-mêmes.</t>
  </si>
  <si>
    <t>Elle passe généralement de bonnes nuits. Elle aime aller au lit tôt. Changement de protection pendant la nuit. Elle se positionne ell-même dans le lit à sa convenance, généralement sur le coté avec la tête enfouie sous le duvet. Le lit doit être le plus bas possible afin d'éviter les chutes.</t>
  </si>
  <si>
    <t>lle aime raconter ce qu'il se passe dans sa famille. Elle parle de ses parents, de se sœurs, ainsi que de ses neveux et nièces</t>
  </si>
  <si>
    <t>Steeve Rast</t>
  </si>
  <si>
    <t>Elle aime écouter la musique, chanter, se promener, regarder la télé. Elle parle beaucoup de la meunière ou elle a vécu et qui constitue une période idéalisée de sa vie. Il faut la stimuler à participer aux activités avec les bons arguments.</t>
  </si>
  <si>
    <t>Elle est autonome pour manger. Elle mange avec un support en bois légèrement incliné, une assiette creuse. Elle mange avec une cuillière noire avec sa main droite. Il faut lui couper tous les aliments.</t>
  </si>
  <si>
    <t>Elle doit faire attention à son poids ; elle prend donc peu de féculents, et pour le dessert, elle a le droit à un fruit.</t>
  </si>
  <si>
    <t>Patrizia n'apprecie pas les viandes blanches comme la dinde, lui faire goûter etb elle sait dire si elle n'aime pas.</t>
  </si>
  <si>
    <t>thé froid, coca light et café</t>
  </si>
  <si>
    <t>Eau pour les repas car régime stricte</t>
  </si>
  <si>
    <t>182-94-300</t>
  </si>
  <si>
    <t>retard du développement général, hydrocéphalie</t>
  </si>
  <si>
    <t>Aucune allergie connue</t>
  </si>
  <si>
    <t>Patrizia est douchée tous les matins. Il faut la nettoyer, la rincer et la sécher. Elle s'habille ensuite même.</t>
  </si>
  <si>
    <t>Patrizia est langée jour et nuit. Elle peut demander pour aller au toilette sur la chaise percée (souvent avant la douche).</t>
  </si>
  <si>
    <t>une sieste dans le lit ou en inclinant la chaise en arrière</t>
  </si>
  <si>
    <t>B3 - 024 473 51 43</t>
  </si>
  <si>
    <t>Supporte les longs trajets en bus : voir rubrique WC incontinence
Connaît la valeur de l'argent.</t>
  </si>
  <si>
    <t>N'aime pas du tout la piscine.</t>
  </si>
  <si>
    <t>Aide totale : habillage du haut : d'abord le bras droit, la tête, le bras gauche et le contraire pour le déshabillage.
Sophie est particulièrement frileuse veiller à bien l'habiller.</t>
  </si>
  <si>
    <t>Dort sur le dos : veiller à ce que la colonne soit le plus rectiligne possible.</t>
  </si>
  <si>
    <t>Langage oral : parle doucement, bégaie un peu.
Langage parfois difficilement compréhensible. Répéte volontiers si on ne la comprend pas.</t>
  </si>
  <si>
    <t>Son papa est décédé</t>
  </si>
  <si>
    <t>1 sœur
3 frères</t>
  </si>
  <si>
    <t>Musique, promenades en ville, ambiances de fêtes. Aime que l'on s'occupe d'elle.</t>
  </si>
  <si>
    <t>Piscine, télé</t>
  </si>
  <si>
    <t>Aide totale :couper et lui donner à manger.</t>
  </si>
  <si>
    <t>Sophie choisit ce qu'elle désire manger. Elle mange de tout.</t>
  </si>
  <si>
    <t>Eviter trop de féculents et sucreries</t>
  </si>
  <si>
    <t>Dans un gobelet et une tubulure.</t>
  </si>
  <si>
    <t>café, jus de fruits.</t>
  </si>
  <si>
    <t>Tétraplégie spastique et post-traumatique</t>
  </si>
  <si>
    <t>Traumatisme cérébral et troubles moteurs</t>
  </si>
  <si>
    <t>Soleil : à protéger - en cas de canicule ou de forte chaleur: surélever les jambes et augmenter les changements de position - voir médication</t>
  </si>
  <si>
    <t>Aide totale . Bien laver et sécher les plis du ventre, inguinaux, sous les bras, sous les seins et les orteils et sécher au foehn. Attention aux plis des coudes et entre les doigts. Supporte les produits de douche mais ne pas lui mettre de déo. Matin et soir : laver le visage à l'eau et lui mettre que de la crème exipial. Lui raser le menton si besoin.Lundi et vendredi practo.</t>
  </si>
  <si>
    <t>Sophie est langée jour et nuit. Nous lui mettons un vase après le dîner et le souper. Le lundi matin et vendredi matin un practo. Elle fait ses selles sur les toilettes installées sur une chaise percée.</t>
  </si>
  <si>
    <t>Longue période assise - inclinaison dans le fauteuil</t>
  </si>
  <si>
    <t>positionner les coussins sous les genoux. Coussin jaune: genou gauche, coussin orange: genou droit . Le soir : incliner la chaise env. 45 min. avant s'il n'y a pas eu de changement de position.</t>
  </si>
  <si>
    <t>après-dîner et le soir</t>
  </si>
  <si>
    <t>Groupe - B3 la castalie 024/473.51.43</t>
  </si>
  <si>
    <t>Tansfert sur la chaise :1.mettre la chaise en position inclinée 2.mettre Nicolas debout légère pression sur la nuque et lui demander de regarder en bas, ce qui permet de plier les genoux et de l'asseoir aisément 3.attacher pieds sans forcer.</t>
  </si>
  <si>
    <t>Ne peut pas nager, le soutenir. Il apprécie beaucoup la piscine.</t>
  </si>
  <si>
    <t>aide complète habillement déshabillement. Habillage du haut: d'abord bras droit, tête, bras gauche et le contraire pour déshabiller. Bien l'habiller en hiver</t>
  </si>
  <si>
    <t>Nicolas s’endort sur le côté droit, avec un coussin banane dans le dos, un coussin entre les jambes et une bavette sur l’oreiller.Après env. 4h , le mettre sur le dos  un coussin sous les pieds avec les chevilles écartées.Comme il a pas mal de sécrétions il est préférable de surveiller la position de sa tête quand il est au lit.Sur le dos:faire en sorte (avec coussin ou sac de sable sous l'oreiller) que sa nuque soit un peu en flexion.Sur le côté: bien le caler contre La barrière  pour s'assurer qu'il ne roule pas en arrière et que sa tête reste un peu en avant(comme ça il peut cracher ses sécrétions)</t>
  </si>
  <si>
    <t>Avec l'aide de mots sur son tableau et l'expression de ses yeux.</t>
  </si>
  <si>
    <t>Son papa est décédé en 2003.</t>
  </si>
  <si>
    <t>Il a une sœur Emmanuelle qui a trois enfants, Alexandre et Elisabeth et Adrienne. Il a également trois frères : Jérôme, Joël et Félix qui a eu un petit Victor.</t>
  </si>
  <si>
    <t>Nicolas aime la musique (CD des jeunes de Lourdes), les promenades en ville, les discussions, la famille, les pèlerinages, la lecture d'articles de journaux. Il aime les films comiques.</t>
  </si>
  <si>
    <t>Veiller à ce qu’il se nourrisse suffisamment car s’il y a de l’animation autour de lui il a tendance à s’arrêter de manger. Il faut mixer très finement (consistance d'un yaourt). Pour lui donner à manger utiliser une cuillère à dessert en plastique. Lui mettre des épices sur la nourriture (paprika, gingembre, sel, poivre) lui demander ce qu'il préfère. Les épices stimule la déglutition
veiller à ce que la tête soit en flexion et pieds attachés. + chaise légèrement en arrière</t>
  </si>
  <si>
    <t>tout ce qui est à base de chocolat</t>
  </si>
  <si>
    <t>Utiliser le gobelet en plastique échancré de Nicolas pour lui donner à boire. Donner 2 verres pendant le repas. Contrôler qu'il boive suffisamment. Épaissir les liquides</t>
  </si>
  <si>
    <t>café au lait sucré</t>
  </si>
  <si>
    <t>190-46-326</t>
  </si>
  <si>
    <t>A protéger du soleil (casquette, crème, lunettes) Nicolas est très sensible de la peau. Eventuellement du Zyrtec en cas de rhume des foins.</t>
  </si>
  <si>
    <t>Aide nécessaire. Bien sécher après la toiette. Le matin crème Exipial sur le visage.</t>
  </si>
  <si>
    <t>Nicolas est langé jour et nuit. A changer la protection le matin, midi, soir et nuit si nécessaire.</t>
  </si>
  <si>
    <t>si rougeurs sur talons et siège, masser avec crème Vascosa</t>
  </si>
  <si>
    <t>Il faut l'incliner dans le fauteuil si longue période assise.</t>
  </si>
  <si>
    <t>Groupe C4</t>
  </si>
  <si>
    <t>Présence d'une personne obligatoire pour la tenir, de préférence un gilet. Maya apprécie beaucoup la piscine.</t>
  </si>
  <si>
    <t>aide complète pour l'habillement et de déshabillement - plus facile de le faire sur le lit.</t>
  </si>
  <si>
    <t>Maya devient plus sensible quand elle est fatiguée  - &gt; pleurniche, s’énerve, crie, etc… Aussi, il est préférable de la coucher et  lui demander si elle désire un peu de musique ou rester simplement en silence.  Si Maya n’est pas changée durant la nuit, prévoir une languette supplémentaire. Au coucher, la mettre sur le côté, bien la calée pour éviter qu’elle tombe sur le ventre, après 1 à 2 heures dans cette position, (vers les 23h) la mettre sur le dos avec un coussin sous la tête, un coussin en U sous les jambes et un sous les pieds. Elle restera comme cela durant la nuit. Elle dort entre 8 et 9h par nuit. Parfois, elle a des ronflements, elle apprécie avoir quelqu’un avec elle en chambre. Elle aime se lever rapidement si elle est réveillée.</t>
  </si>
  <si>
    <t>Elle utilise des pictogrammes pour se faire comprendre, elle arrive à montrer avec des signes de la tête le "oui" et le "non" mais pas forcémment à bon escient. Elle comprend bien l'allemand et le français. Elle dispose également d'un klaxon.</t>
  </si>
  <si>
    <t>Maya aime la musique folklorique, les promenades, le sport et aussi les séries à la télé, "La Schlagerparade" (séries avec personnel hospitalier, romantique,…), faire les magasins car elle est très curieuse. Elle va à l'atelier chez Jocelyne et chez Gérald. Elle apprécie beaucoup son éducateur, Christophe Girod. Maya manifeste beaucoup de joie lorsque sa maman lui parle au téléphone ou quand elle voit des bébés.</t>
  </si>
  <si>
    <t>Le bruit en général, la disco lorsque la musique est trop forte, le carnaval (éviter qu'elle reçoive des confettis dans la bouche, danger d'étouffement). Mais Maya s'adapte pour autant qu'elle y soit préparée. Les visites inopportunes sont pour elle source de grande agitation.</t>
  </si>
  <si>
    <t>Elle apprécie ce qui est sucré, voire très sucré et épicé. Il faut mixer et suffisamment mouiller les aliments. Lui donner à manger avec une petite cuillère. Maya met la tête en arrière et mettre doucement la cuillère au fond de la gorge. Si elle n'a pas faim ou soif, ne pas insister (sauf si elle est malade), car elle se régule.</t>
  </si>
  <si>
    <t>le matin : bircher, cake ou pain (sans crôutes) avec de la confiture trempé dans le lait ou le café.</t>
  </si>
  <si>
    <t>mixé. Maya a besoin d'une alimentation riche en fibres alimentaires.</t>
  </si>
  <si>
    <t>les gros morceaux</t>
  </si>
  <si>
    <t>utiliser épaississant (thick and Easy) pour les boissons et certains aliments trop liquides. Pour boire, elle a un gobelet coupé. Il faut se  tenir derrière elle et lui maintenir la tête.</t>
  </si>
  <si>
    <t>boissons gazeuses. Lait mélangé avec du sirop. Toutes les boissons sucrées</t>
  </si>
  <si>
    <t>4133159</t>
  </si>
  <si>
    <t>handicap mental, troubles moteurs, attention dans les manipulations car Maya a une tige de fer dans son dos pour la scoliose.</t>
  </si>
  <si>
    <t>A protéger du soleil, casquette et crème solaire. Si non elle n’a pas d’allergies</t>
  </si>
  <si>
    <t>Maya a besoin d’une aide complète pour sa toilette (laver le visage, les dents, coiffer, etc.) Bien laver et sécher les parties du corps et principalement les parties intimes (car elle souffre de mycoses). Une douche journalière si possible. 
Maya demande pour aller aux toilettes (c’est aussi parfois un jeu).</t>
  </si>
  <si>
    <t>Elle est langée la nuit et le jour. Il faut changer le pampers après les repas et mettre une protection dans le pli de la hanche (matin, midi, soir) et la nuit avant de la positionner sur le dos pour la nuit. Maya peut dire si elle a besoin d’être changée</t>
  </si>
  <si>
    <t>contrôler matin et soir les pieds, les chevilles et le siège. Si rougeurs : appliquer crème Vascosa</t>
  </si>
  <si>
    <t>Après le repas. Dans le lit mettre sur le côté puis après 1-2 heures, coucher sur le dos. Coussin derrière la tête et coussin en U sous les pieds.</t>
  </si>
  <si>
    <t>2X par jour (après-dîner et la nuit)</t>
  </si>
  <si>
    <t>Supporte les longs trajets en bus - voir remarques sous wc incontinence
Autonome avec son fauteuil électrique</t>
  </si>
  <si>
    <t>Tendance à aller au lit tôt. Il se fatigue vite</t>
  </si>
  <si>
    <t>Classeur de communication et gestuelle expressive. Il montre avec la tête quelle option il choisit. Caractère jovial souvent de bonne humeur. En cas de mauvase humeur Il peut pincer ou donner des coups de pieds.</t>
  </si>
  <si>
    <t>Musique et jeux en général, films sentimentaux, Emisssion tv ("n'oubliez pas les paroles"  France 2) regarder jouer au bowling,cinéma et spectacles
parler de foot</t>
  </si>
  <si>
    <t>Aide totale : manger : couper fin - lui donner à manger cuillère+ fourchette normales. Doit manger proprement. En cas de toux : lui demander de baisser la tête pou qu'il ne mette pas de la nourriture partout. Il doit avoir les 2 mains sur la table.</t>
  </si>
  <si>
    <t>verre à bec verseur : il le mord un peu mais il arrive à boire sans problème avec de l'aide</t>
  </si>
  <si>
    <t>jus de fruits sans gaz ou sirop. Préfère le cacao le matin.</t>
  </si>
  <si>
    <t>IMC mixte 
athétosique / spastique</t>
  </si>
  <si>
    <t>Aide totale : douche : sur une chaise percée adaptée</t>
  </si>
  <si>
    <t>Aide totale : N'est pas langé. Aux toilettes en principe après les repas - avec une chaise percée. Urinoir dans son sac  derrière la chaise pour les déplacements.</t>
  </si>
  <si>
    <t>B4 - 024 473 51 11</t>
  </si>
  <si>
    <t>Supporte les longs trajets en bus. Arrive à se tenir debout.</t>
  </si>
  <si>
    <t>Aucun matériel. Yves doit être accompagné durant toute la séance de piscine.</t>
  </si>
  <si>
    <t>Il faut l’aider à s’habiller. Il enfile seul son pull.</t>
  </si>
  <si>
    <t>Il et important de bien expliquer a Yves les activités, les tâches avant de les faire. Il peut s’énerver en cas de changement brusque. Moyens d'expression : verbale – mimiques – oui – non.</t>
  </si>
  <si>
    <t>Ses parents ont un chien.</t>
  </si>
  <si>
    <t>un frère : Olivier
Une sœur : Dominique</t>
  </si>
  <si>
    <t>Yves aime chanter. Il s’exprime peu spontanément.</t>
  </si>
  <si>
    <t>est déstabilisé par la foule Yves a besoin d’être sécurisé dans les activités nouvelles pour lui.</t>
  </si>
  <si>
    <t>couper fin et lui mettre l’assiette devant. Il mange seul, il faut réguler les quantités de nourriture</t>
  </si>
  <si>
    <t>pas trop de féculents</t>
  </si>
  <si>
    <t>fromage fondue</t>
  </si>
  <si>
    <t>087135</t>
  </si>
  <si>
    <t>Diplégie spastique – retard mental – comportement autiste</t>
  </si>
  <si>
    <t>Aide totale - entièrement dépendant</t>
  </si>
  <si>
    <t>Yves va trois fois par jour aux WC</t>
  </si>
  <si>
    <t>S’il est en pique-nique, Yves apprécie de se coucher dans l’herbe. Autrement le laisser faire un choix.</t>
  </si>
  <si>
    <t>Groupe - C4 024 473 51 54 Beate Friedberger</t>
  </si>
  <si>
    <t>Il supporte les longs trajets.</t>
  </si>
  <si>
    <t>Oui avec l'aide d'un accompagnant</t>
  </si>
  <si>
    <t>Pas d’horaire ni de rite particulier. Avant d’aller au lit, lui proposer la bouteille pour soulager sa vessie et le matin au lever</t>
  </si>
  <si>
    <t>Communique avec les pictogrammes, il arrive à montrer avec la tête le « oui » et le « non ». A également un ordinateur parlant.</t>
  </si>
  <si>
    <t>Son père est décédé, sa mère habite dans le Haut Valais.</t>
  </si>
  <si>
    <t>il aime les discussions avec les accompagnants, faire de la musique et écouter de la musique folklorique ainsi que les balades en plein air. Il apprécie regarder la télévision en particulier les courses de voiture et les matchs de boxe.</t>
  </si>
  <si>
    <t>Walter est ouvert à toutes sortes d’activités</t>
  </si>
  <si>
    <t>Walter aime manger et il mange de tout. Il mange mixé ou coupé -haché menu</t>
  </si>
  <si>
    <t>biscuits, chocolat, viande, moutarde</t>
  </si>
  <si>
    <t>Attention à la prise de poids.</t>
  </si>
  <si>
    <t>Il boit avec une paille</t>
  </si>
  <si>
    <t>le matin : café dans une assiette avec une tartine (beure + confiture ou avec du fromage ou parfait). Boisson : Jus d'orange coupé à l'eau</t>
  </si>
  <si>
    <t>3631770</t>
  </si>
  <si>
    <t>il a une bouteille. Il est toujours langé.Transit sensible. Veiller à ce qu'il aille à selle tous les 3 jours.</t>
  </si>
  <si>
    <t>au talon droit.protéger avec un protège talon.</t>
  </si>
  <si>
    <t>le mettre sur le dos et lui surélever les jambes avec un coussin ou lit électrique (même chose pour la nuit)</t>
  </si>
  <si>
    <t>Chaque 4 heure</t>
  </si>
  <si>
    <t>en cas d'urgence prévenir la maman</t>
  </si>
  <si>
    <t>supporte les longs trajets.</t>
  </si>
  <si>
    <t>Accompagné.</t>
  </si>
  <si>
    <t>aide nécessaire</t>
  </si>
  <si>
    <t>Souvent la nuit, il a des saignements de nez. Il aime les histoires, les câlins et les doudous.</t>
  </si>
  <si>
    <t>orale</t>
  </si>
  <si>
    <t>Il a une sœur Laora qui est née en 1998.</t>
  </si>
  <si>
    <t>Jouer à l’ordinateur, à l’orgue, avec les voitures, et regarder les machines à laver. Les ascenseurs.</t>
  </si>
  <si>
    <t>Il faut l'aider à couper les aliments mais Ivan le fait gentiment seul</t>
  </si>
  <si>
    <t>Il aime bien les biscuits. Matin : yoghurt ou kellogs sans lait</t>
  </si>
  <si>
    <t>pas de fromage à la main.</t>
  </si>
  <si>
    <t>Il boit au verre ou dans une tasse normale.</t>
  </si>
  <si>
    <t>eau, sirop, thé froid</t>
  </si>
  <si>
    <t>150000</t>
  </si>
  <si>
    <t>Spasticité, hémiplégique surtout à gauche</t>
  </si>
  <si>
    <t>Non, Saignement de nez parfois abondant (de moins en moins de saignement). Si cela arrive serrer le nez entre l’os et les narines et mettre de la ouate. Rhume des foins.</t>
  </si>
  <si>
    <t>aide nécessaire , Toilette mais Ivan donne un coup de main et il se lave les dents seul et on contrôle après.</t>
  </si>
  <si>
    <t>Pia D'Urso -027/451.21.82</t>
  </si>
  <si>
    <t>Avec une aide complète</t>
  </si>
  <si>
    <t>Aide totale.</t>
  </si>
  <si>
    <t>Il dort sur le côté gauche.</t>
  </si>
  <si>
    <t>Il s'exprime à l'aide de la parole.</t>
  </si>
  <si>
    <t>Parents décédés</t>
  </si>
  <si>
    <t>Simon aime beaucoup la musique, jouer au Jass, aux échecs et au scrabble. Il aime regarder les documentaires à la télévision.</t>
  </si>
  <si>
    <t>Le ski et la piscine.</t>
  </si>
  <si>
    <t>Être attentif aux fausses routes. Pas de riz et des choses difficiles à passer (exemple: petits pois). Il a besoin d'aide pour manger.</t>
  </si>
  <si>
    <t>Riz</t>
  </si>
  <si>
    <t>Il boit dans un gobelet adapté avec une paille.</t>
  </si>
  <si>
    <t>756.6326.36.28.79</t>
  </si>
  <si>
    <t>Tétraplégie incomplète, le canal de la colonne vertébrale se bouche.</t>
  </si>
  <si>
    <t>Méfix</t>
  </si>
  <si>
    <t>Simon a besoin d'une aide totale. Petite toilette au lit, habiller le bas, guidance pour le haut. Toilette au savon Purimed.</t>
  </si>
  <si>
    <t>Simon urine dans une bouteille et a besoin d'aide pour aller à selle.Condom jour et nuit</t>
  </si>
  <si>
    <t>Ligia DA SILVA (Maman) 076 733 90 07</t>
  </si>
  <si>
    <t>Elle supporte de longs trajets.</t>
  </si>
  <si>
    <t>A surveiller ou accompagner selon son désir.</t>
  </si>
  <si>
    <t>rien de particulier.</t>
  </si>
  <si>
    <t>Elle s'exprime très bien.</t>
  </si>
  <si>
    <t>1 sœur Ligia et un frère Sergio</t>
  </si>
  <si>
    <t>Piscine, musique, parler, cinéma, théâtre, discothèque, karaoké, sport, promenade.</t>
  </si>
  <si>
    <t>Servir de relativement petites quantités.</t>
  </si>
  <si>
    <t>Glace au coca cola</t>
  </si>
  <si>
    <t>Coca cola</t>
  </si>
  <si>
    <t>01569 707-47-586</t>
  </si>
  <si>
    <t>à surveiller ou accompagner selon son désir</t>
  </si>
  <si>
    <t>À sa demande</t>
  </si>
  <si>
    <t>elle le fait elle-même</t>
  </si>
  <si>
    <t>Supporte les longs trajets en bus Chaise manuelle poussée par l’accompagnant.</t>
  </si>
  <si>
    <t>Yasmine adore l’eau mais elle n’a pas d’autonomie. Elle fait des essais avec  l’anneau flottant, les poids autour des chevilles, et les chaussures de surf.</t>
  </si>
  <si>
    <t>Yasmine se couche entre 20h30 et 22h00 selon son état de fatigue. Elle fait une prière avant de s’endormir et écoute souvent de la musique. Elle se réveille généralement entre 6h00 et 7h00.Yasmine dort sur le dos et souvent elle se tourne sur les cotés. Elle dort avec un oreiller paillettes (oreiller rempli avec des graines d’avoine ou d’épeautre) et il faut mettre des coussins à l’intérieur de la barrière et le long du mur pour éviter qu'elle se blesse.</t>
  </si>
  <si>
    <t>Elle s’exprime à l’aide de l’ordinateur, de mimiques et de gestes. Elle dit « ja »pour dire oui et secoue la tête pour dire non. Elle  peut faire un choix en montrant avec sa main 2 ou 3 possibilités offertes. Elle porte aussi des lunettes pendant la journée</t>
  </si>
  <si>
    <t>Frère : Yannic</t>
  </si>
  <si>
    <t>Yasmine adore monter à cheval, aller à la piscine, écouter de la musique et regarder la télé. Elle aime lire des livres, faire des jeux avec sa poupée préférée (Thuya) et les marionettes. Elle adore faire des voyages en bus et en train. Yasmine aime faire le lavage à la main.</t>
  </si>
  <si>
    <t>il faut lui couper sa nourriture finement</t>
  </si>
  <si>
    <t>Le matin Yasmine aime manger du pain (sans lait et sans beurre) avec de la confiture ou du miel (sans sucre) et margarine spécial et du lait de céréale. Elle aime les pâtes à la farine complète, légumes et riz</t>
  </si>
  <si>
    <t>Selon ce qu’on peut manger (gastrite chronique, allergie au lait de vache et au soja)</t>
  </si>
  <si>
    <t>Les aliments très acides comme le vinaigre, les tomates, sucre blanc, citron</t>
  </si>
  <si>
    <t>Tout ce qui contient du lait de vache et du soja. Elle peut boire du lait de céréales et des yaourts au lait de brebis</t>
  </si>
  <si>
    <t>lui donner avec aide</t>
  </si>
  <si>
    <t>Elle aime boire du jus de pomme avec de l'eau, de l’eau sans gaz et du thé.</t>
  </si>
  <si>
    <t>287-32-436</t>
  </si>
  <si>
    <t>Yasmine est allergique aux produits qui contiennent du lait de vache ou du lait de soja. Faire attention à l’alimentation de Yasmine (risque de gastrite)</t>
  </si>
  <si>
    <t>Yasmine n’a aucune autonomie, elle est langée jour et nuit. Quand elle a besoin d’aller aux toilettes, il lui arrive de poser sa main sur l’abdomen. Chaise percée importante.</t>
  </si>
  <si>
    <t>Un minimum de changement de position selon les disponibilités est très important. On ne peut pas incliner sa chaise.</t>
  </si>
  <si>
    <t>Géraldine Chapatte (acc) Natacha Terretaz (inf)</t>
  </si>
  <si>
    <t>Peut marcher avec assistance. Elle peut conduire sa chaise,mais dois toujours être accompagnée, mais être attentif au spasmes qui peuvent déclencher des accidents. L'accompagner.</t>
  </si>
  <si>
    <t>Ok</t>
  </si>
  <si>
    <t>Alexandrine a besoin d'aide pour les vêtements du bas. Bas de contention, chausettes, culotte et protection. Elle est autonome pour le haut.</t>
  </si>
  <si>
    <t>Elle dort sur le dos. Elle a parfois besoin d'une sieste, elle se lève vers 08:00. Autonome pour se tourner dans le lit.</t>
  </si>
  <si>
    <t>Elle parle bien. Alexandrine a tendance à vite s'attacher aux gens. Elle peut être autoritaire, la recardrer si besoin. Elle est autonome pour beaucoup de choses mais il faut la stimuler.</t>
  </si>
  <si>
    <t>Un frère jumeau Guillaume (laborantin pharmaceutique) et une sœur Pauline.</t>
  </si>
  <si>
    <t>Elle aime la piscine, la cuisine, les animaux (lui laisser le temps de faire les choses)</t>
  </si>
  <si>
    <t>le Théâtre. Elle n'aime pas les engueulades</t>
  </si>
  <si>
    <t>Couper les aliments, tour d'assiette, anti-glisse, bavette et parfois services spéciaux.</t>
  </si>
  <si>
    <t>attention aux fausses routes</t>
  </si>
  <si>
    <t>Boit avec une paille, il faut la stimuler. Elle doit beaucoup boire (environ 2l). Elle doit toujours avoir des bouteilles avec elle.</t>
  </si>
  <si>
    <t>Alexandrine n'aime pas l'eau, il faut donc la mélanger avec du sirop.</t>
  </si>
  <si>
    <t>244.91.05</t>
  </si>
  <si>
    <t>Malformation d'Arnold Chiari</t>
  </si>
  <si>
    <t>Aide nécessaire pour la toilette du bas. Douche avec quelqu'un à coté. Alexandrine fait seule mais a besoin de surveillance</t>
  </si>
  <si>
    <t>Il faut l'accompagner aux wc, elle a tendance à être constipée. Elle va aux toilettes avec des barres d'appuis.</t>
  </si>
  <si>
    <t>Elle demande a marcher. Toujours être à 2 pour l'aider</t>
  </si>
  <si>
    <t>L'encourager à marcher plusieurs fois par jour (environ 3X)</t>
  </si>
  <si>
    <t>Test caractères</t>
  </si>
  <si>
    <t>A150wwwwwwwwwwwwwwwwwwwwwwwwwwwwwwwwwwwwwwwwwwwwwwwwwwwwwwwwwwwwwwwwwwwwwwwwwwwwwwwwwwwwwwwwwwwwwwwwwwwwwwwwwwwwwwwwwwwwwwwwwwwwwwwwwwwwwwwwwwwwwwwwwZ</t>
  </si>
  <si>
    <t>A350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</si>
  <si>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A270wwwwwwwwwwwwwwwwwwwwwwwwwwwwwwwwwwwwwwwwwwwwwwwwwwwwwwwwwwwwwwwwwwwwwwwwwwwwwwwwwwwwwwwwwwwwwwwwwwwwwwwwwwwwwwwwwwwwwwwwwwwwwwwwwwwwwwwwwwwwwwwwwwwwwwwwwwwwwwwwwwwwwwwwwwwwwwwwwwwwwwwwwwwwwwwwwwwwwwwwwwwwwwwwwwwwwwwwwwwwwwwwwwwwwwwwwwwwwwwwwwwwwwwwwwwwwwwwwwwwwwwwwZ</t>
  </si>
  <si>
    <t>A740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</si>
  <si>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A200wwwwwwwwwwwwwwwwwwwwwwwwwwwwwwwwwwwwwwwwwwwwwwwwwwwwwwwwwwwwwwwwwwwwwwwwwwwwwwwwwwwwwwwwwwwwwwwwwwwwwwwwwwwwwwwwwwwwwwwwwwwwwwwwwwwwwwwwwwwwwwwwwwwwwwwwwwwwwwwwwwwwwwwwwwwwwwwwwwwwwwwwwwwwwwwwwwwZ</t>
  </si>
  <si>
    <t>A550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</si>
  <si>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390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B</t>
  </si>
  <si>
    <t>A285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</si>
  <si>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A50wwwwwwwwwwwwwwwwwwwwwwwwwwwwwwwwwwwwwwwwwwwwwwZ</t>
  </si>
  <si>
    <t>A400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</si>
  <si>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Peu se tenir debout pour les transferts.
Il supporte les trajets en bus.</t>
  </si>
  <si>
    <t>N'aime pas trop, besoin d'aide, pas de gilet mais le soutenir.</t>
  </si>
  <si>
    <t>Il est autonome pour s'habiller.</t>
  </si>
  <si>
    <t>Il parle et il a un appareil auditif. Il faut bien articuler quand on lui parle et un peu fort.</t>
  </si>
  <si>
    <t>René a deux sœurs, deux nièce et une petite nièce.</t>
  </si>
  <si>
    <t>Il faut lui couper la viande.</t>
  </si>
  <si>
    <t>Julien supporte les longs trajets sur un siège du bus. Julien a un moteur dans les roues de son fauteil il faut donc le recharger tous les soirs.</t>
  </si>
  <si>
    <t>Sortir Julien de sa chaise et le mettre au bord de la piscine. Il faut être à côté de lui lorsqu'il nage, il nage sur le dos.</t>
  </si>
  <si>
    <t>Julien a besoin d'une légère aide pour l'habillement. Toujours mette les affaires à Julien à sa porté et de manière accessible afin qu'il puisse s'habiller seul.</t>
  </si>
  <si>
    <t>Il s'exprime bien pour tout ce qui est courant : besoins, envies,joies et tristesses.</t>
  </si>
  <si>
    <t>Il est très attaché à sa famille. Il a des oncles et des tantes à Genève, à Zürich et à Neuchâtel. Julien aime la musique, la nature, la fête, les amis et le chant. Il aime aussi son travail aux ateliers du Foyer Valais de Cœur à Sierre. Le karaoké. Il fait partie du cœur du Cœur . Julien vit en appartement protégé. Julien fait des concours de natation.</t>
  </si>
  <si>
    <t>Les changements, la nouveauté, les nouveaux accompagnants l'angoissent, mais une fois le pas franchit, tout va bien. Julien gère de mieux en mieux ses angoisses et son trac a diminué.</t>
  </si>
  <si>
    <t>Un kiwi ou un jus d'orange le matin serait idéal. Eau tiède tous les matins.</t>
  </si>
  <si>
    <t>Julien aime quasiment tout, et sait ce qu'il aime ou quil n'aime.pas (lui poser la question). Il aime les bières, un café après les repas.</t>
  </si>
  <si>
    <t>Julien prend toujours des pruneaux secs au déjeuner.</t>
  </si>
  <si>
    <t>Lactose à surveiller</t>
  </si>
  <si>
    <t>Boire un verre d'eau chaude au reveil (bon pour le transit)</t>
  </si>
  <si>
    <t>Bière limonade</t>
  </si>
  <si>
    <t>lait</t>
  </si>
  <si>
    <t>handicap mental et physique</t>
  </si>
  <si>
    <t>Protéger Julien du soleil.</t>
  </si>
  <si>
    <t>Il faut le surveiller pour être sur qu'il fasse sa toilette correctement. Si le siège de la douche est à sa hauteur Julien peut se débrouiller seul. Il a besoin d'aide pour se laver le dos.</t>
  </si>
  <si>
    <t>Autonome. Vérifier qu'il aille à selle si possible chaque deux jours, au plus trois. Il note sur son carnet lorsqu'il va à selle.</t>
  </si>
  <si>
    <t>À contrôler quand il va à la douche.</t>
  </si>
  <si>
    <t>Julien fait une sieste après le repas ou en fonction des activités.</t>
  </si>
  <si>
    <t>facilement malade en bus et en voiture (vomissement) : la mettre sans autre à l'avant</t>
  </si>
  <si>
    <t>autonome, mais sous surveillance dans le vestiaire car pourrait se promener toute nue</t>
  </si>
  <si>
    <t>indépendante, mais faire un contrôle général des habits en fonction du temps</t>
  </si>
  <si>
    <t>pas besoin de rituel particulier, lui poser la question car elle sent d'elle-même quand elle est fatiguée</t>
  </si>
  <si>
    <t>langage orale + écrit</t>
  </si>
  <si>
    <t>Se remémorer ses souvenirs, natation, les livres, écouter de la musique, danser, chanter, se reposer, discuter des relations par son job, ses cours de poteries + chant, magasins…</t>
  </si>
  <si>
    <t>les chiens, le contact avec les animaux, les balades sur des chemins cabossés</t>
  </si>
  <si>
    <t>aider à couper la viande, pizza et aliments durs, éviter qu'elle ne mange trop le soir car risques de cauchemars</t>
  </si>
  <si>
    <t>rien</t>
  </si>
  <si>
    <t>Elle ne boit jamais assez</t>
  </si>
  <si>
    <t>272-41-491</t>
  </si>
  <si>
    <t>retard de développement général</t>
  </si>
  <si>
    <t>crises, convulsions</t>
  </si>
  <si>
    <t>s’infecte facilement les doigts, à contrôler : s’essuie mal le derrière, doit bien brosser ses dents</t>
  </si>
  <si>
    <t>elle n’a besoin d’aucune aide</t>
  </si>
  <si>
    <t>Vs de Cœur : Yann Quadranti : 079/404.86.02</t>
  </si>
  <si>
    <t>Supporte les longs trajets en bus ,</t>
  </si>
  <si>
    <t>Autonome - l'aider à sa demande</t>
  </si>
  <si>
    <t>Dort sur le ventre - avec un uriflac (réservoir pour l'urine) A contrôler que l'uriflac soit bien mis sous le ventre dans le même sens que la poche, l'uriflac se situe sur le côté gauche et dépasse de son corps lorsqu'elle est couchée</t>
  </si>
  <si>
    <t>Christel Jordan (sœur)</t>
  </si>
  <si>
    <t>Elle parle de tout. Elle aime sortir et rencontrer des gens.</t>
  </si>
  <si>
    <t>musée, piscine</t>
  </si>
  <si>
    <t>Autonome : mange seule</t>
  </si>
  <si>
    <t>Aime tout.Attention avec ce qui donne de l'acidité gastrique (tomate,orange)</t>
  </si>
  <si>
    <t>Rationner les féculents et la quantité de nourriture.</t>
  </si>
  <si>
    <t>Autonome : Boire : au moins 1 verre d'eau à chaque repas - et en général doit beaucoup boire. A stimuler.</t>
  </si>
  <si>
    <t>coca zéro, vin..</t>
  </si>
  <si>
    <t>Elle doit beaucoup boire (1 bouteille d'eau entre les repas)</t>
  </si>
  <si>
    <t>192 89 747</t>
  </si>
  <si>
    <t>Spina Bifina</t>
  </si>
  <si>
    <t>Handicap mental léger et troubles moteurs</t>
  </si>
  <si>
    <t>Soleil : à protéger (chapeau - crème) - Peau très fragile et sujette aux escarres</t>
  </si>
  <si>
    <t>Autonome pour la toilette - Fait sa toilette sur sa chaise percée -  Elle se lave le visage avec de l'eau. L'aider à la douche et faire les soins. Infirmiers. L'aider a mettre ses bas de contention Bépanthène si sein douloureux</t>
  </si>
  <si>
    <t>A une poche pour uriner. Lui faire le grand changement de poche (complet) le lundi et quand nécessaire. Changer la poche le mercredi et vendredi matin pour limiter les odeurs. Elle élimine ses selles manuellement tous les matins (elle utilise un gant chirurgical et de la vaseline)</t>
  </si>
  <si>
    <t>Coussin anti-escarres tjs posé sur sa chaise - fer. Massage de la fesse gauche avec anti-dry</t>
  </si>
  <si>
    <t>Changements de position réguliers en s'allongeant sur le lit - aide pour les transferts avec impérativement son coussin sous les fesses</t>
  </si>
  <si>
    <t>Régulièrement - en s'allongeant  sur le lit. Elle doit se soulever 10 fois ttes les 10 minutes</t>
  </si>
  <si>
    <t>supporte les longs trajets. Il marche avec un accompagnant.</t>
  </si>
  <si>
    <t>Avec accompagnant. Il a besoin de soutien. Il sait mettre la tête dans l’eau, se cacher sous l’eau, souffler. Dans l’eau il se déplace généralement couché sur le dos.</t>
  </si>
  <si>
    <t>aide pour l'habillement. Pierre aide selon ses capacités.</t>
  </si>
  <si>
    <t>dort normalement le soir dès 20h00 jusqu'à 7h00</t>
  </si>
  <si>
    <t>Pierre peut s’exprimer par la parole.</t>
  </si>
  <si>
    <t>Il a un frère qui est mécanicien sur auto au garage Kaspar</t>
  </si>
  <si>
    <t>Il aime être avec Igor et Ivan</t>
  </si>
  <si>
    <t>la musique, le rafroball, le bowling.
Il va à l'école Notre Dame de Lourdes à Sierre. Puis fera des stages à la Castalie à Monthey dans l'atelier bois.</t>
  </si>
  <si>
    <t>aider à couper.</t>
  </si>
  <si>
    <t>Il boit tout seul avec un verre étroit ou une paille.</t>
  </si>
  <si>
    <t>La matinée, lui mettre l’attèle pour le bras droit. À besoin d’une personne pour le laver, aller au WC. Pierre aide selon ses capacités.</t>
  </si>
  <si>
    <t>Pierre n’est plus langé. Lui demander s’il a besoin. Il peut aussi demander s’il veut aller sur les toilettes.</t>
  </si>
  <si>
    <t>Oui, en adaptant les positions de sa chaise électrique</t>
  </si>
  <si>
    <t>Lionel supporte les longs trajets en bus.</t>
  </si>
  <si>
    <t>Il a besoin d'aide pour rentrer dans la piscine.</t>
  </si>
  <si>
    <t>aide</t>
  </si>
  <si>
    <t>Pour le sommeil, voir avec Lionel</t>
  </si>
  <si>
    <t>Lionel aime bien participer aux activités de Sport-Handicap, regarder des match de football et aller au cinéma.</t>
  </si>
  <si>
    <t>.</t>
  </si>
  <si>
    <t>Il faut l'aider à couper. Lionel mange seul. Si aliment trop liquide (pudding,…), l'aider</t>
  </si>
  <si>
    <t>boit seul avec une paille</t>
  </si>
  <si>
    <t>010917043</t>
  </si>
  <si>
    <t>Maladie neuromusculaire</t>
  </si>
  <si>
    <t>Protéger Lionel du soleil avec un chapeau et de la crème.</t>
  </si>
  <si>
    <t>Il a besoin d'aide pour sa toilette ainsi que la douche.</t>
  </si>
  <si>
    <t>Lionel est autonome. Il faut l'aider à se mettre sur les toilettes lorsqu'il va à selle, sinon juste lui sortir la bouteille lorsqu'il veut uriner. L'aider pour le transfert.</t>
  </si>
  <si>
    <t>Prévention des escarres.</t>
  </si>
  <si>
    <t>B4 - 024 473 51 44 Lurdes Rossman</t>
  </si>
  <si>
    <t>fauteuil manuel, inclinaison totale</t>
  </si>
  <si>
    <t>Aime pas trop la piscine, s’angoisse très vite, lui laisser le choix</t>
  </si>
  <si>
    <t>pas de problème, dort sur le dos avec la banane sous les jambes</t>
  </si>
  <si>
    <t>Parle et demande si elle a besoin de quelque chose</t>
  </si>
  <si>
    <t>Elle a 2 sœurs une de 1968 et l’autre de 1972, Antonia et Esther.</t>
  </si>
  <si>
    <t>Aime tout, très motivée par son travail à l’atelier (tricotin). Aime sortir faire du shopping. Adore manger au restaurant
Aime les bijoux et adore la musique.</t>
  </si>
  <si>
    <t>boit dans un verre avec la paille dans un plot, cuillère coudée, assiette avec bord plastique, + antiglisse. Couper petit les aliments.Elle mange de la main droite: dans sa chaise sur la tablette</t>
  </si>
  <si>
    <t>Le matin jus de pomme ou orange ou autre jus de fruit. Elle aime le café et le thé. Elle mange de tout lorsqu’elle a faim. Elle adore les tartes aux pommes et les pâtes aux tomates.</t>
  </si>
  <si>
    <t>Café au lait</t>
  </si>
  <si>
    <t>petit problème de vue</t>
  </si>
  <si>
    <t>Elle prend la douche avec l’aide d’une chaise percée ou fait une toilette complète au lit. Lui laver les cheveux le mardi, vendredi et dimanche.</t>
  </si>
  <si>
    <t>langée nuit et jour, fait sur la chaise percée au lever lors de son jour de douche, le matin et à midi. Elle ne s'exprime pas lorsqu'elle a mal, être attentif et lui poser la question</t>
  </si>
  <si>
    <t>prévention normal. Rougeurs aux fesses, bien hydrater</t>
  </si>
  <si>
    <t>Valais de Cœur - Danaëlle Savioz - Sophie Delavy</t>
  </si>
  <si>
    <t>Il aime mais uniquement l'eau tiède. Avec les palmes et les manchons, il se débrouille seul.</t>
  </si>
  <si>
    <t>Aide totale: faire attention en mettant les chaussures afin qu'il n'ait pas les orteils recroquevillés</t>
  </si>
  <si>
    <t>Prévoir un lit large - ne bouge pas, lui mettre un coussin sous les genoux et la tête. Pas de rituel particulier : selon son envie et le programme. Peut veiller tard et aime faire la grasse matinée.</t>
  </si>
  <si>
    <t>Langage oral - S'exprime seul - bavard et a beaucoup d'humour. Il parle lentement</t>
  </si>
  <si>
    <t>un frère
un neveu et une nièce dont il est le parrain et une belle-sœur</t>
  </si>
  <si>
    <t>Parle volontiers de ses intérêts</t>
  </si>
  <si>
    <t>Grande peur des chiens</t>
  </si>
  <si>
    <t>Attention fausse route. Manger : couper en morceaux - lui donner à manger. Diriger la cuillère/fourchette plutôt sur la mâchoire gauche pour l'encourager à mastiquer. Aller lentement. A une digerstion lente, lui laisser le temps de digérer le soir avant d'aller se coucher.</t>
  </si>
  <si>
    <t>pas de champignons, riz et semoule</t>
  </si>
  <si>
    <t>Cédric doit boire ses 2 gourdes/jours. Lui donner 3 gorgée sinon tousse. Il peut boire de l'alcool (avec modération bien sûr). Paille interdite</t>
  </si>
  <si>
    <t>eau gazeuse - Bière - Vin - Wiskey</t>
  </si>
  <si>
    <t>eau plate risque de fausse route</t>
  </si>
  <si>
    <t>701482-PH</t>
  </si>
  <si>
    <t>Porteur de lunette</t>
  </si>
  <si>
    <t>Pénicilline, Cephalosoprine, Bactrim, Tavanic, Flagyl, Norfloxacine, Norflex, chat, chien, cheval,arbre, pollen.</t>
  </si>
  <si>
    <t>Tiges de Harrington dans le dos (son dos ne se plie pas) - Doit faire des exercices respiratoires (aérosol, spiromètre, bulles - voir avec lui pour les dosages) - Donner les médicaments sur une cuillère de yogurth et donner après le yogurth</t>
  </si>
  <si>
    <t>Cédric est continent des selles,il peut avoir besoin d'un Microlast à mettre sur une chaisse percée. Porteur d'une sondes sus-pubien. Uriflac nuit à accrocher à celui du jour.Crème Mycolog si problème prépuce</t>
  </si>
  <si>
    <t>A sa demande faire 1 à 2 changements de position dans la journée. Avec la chaise, il ne fait pas tous les jours.</t>
  </si>
  <si>
    <t>oui - son fauteuil s'incline et a une chaise pliable "parapluie" pour des changements à l'extérieur. Position spéciale : sur le dos avec un coussin sou les genoux et bien le redresser (à 1/2 assis) afin de lui permettre d'expectorer</t>
  </si>
  <si>
    <t>min. une fois par jour</t>
  </si>
  <si>
    <t>supporte les longs trajets en bus. Jérémy utilise une marchette ou des cannes. Pour les longs trajets, utiliser la chaise roulante. En donnant la main ou en s'appuyant contre un mur, il arrive à se déplacer sur les jambes. Doit pas se déplacer à 4 pattes</t>
  </si>
  <si>
    <t>Gilet flottant si trop profond ou si fatigue de Jérémy. Il aime beaucoup l’eau, il patauge et nage sur le dos.</t>
  </si>
  <si>
    <t>à surveiller ou guider. Il a besoin d’aide pour nettoyer les lunettes. Il se déshabille seul et a besoin d'aide pour mettre les chaussettes, les chaussures atèles, fermer le pantalon et fermer sa veste. Pour le haut du corps, il arrive à mettre son pull.</t>
  </si>
  <si>
    <t>Il n’a pas de position spéciale, il dort entre 9 et 10 heures par nuit.</t>
  </si>
  <si>
    <t>Jérémy aime jouer au ballon, écouter et faire de la musique surtout la musique de guggen, il aime courrir et jouer au ping-pong. Il va à Valais de Cœur.</t>
  </si>
  <si>
    <t>les puzzles, le bricolage</t>
  </si>
  <si>
    <t>Aider à couper. Il mange seul</t>
  </si>
  <si>
    <t>De préférence 1 service à midi et le soir et lui donner avec modération un goûter.</t>
  </si>
  <si>
    <t>Il n’aime pas les brocolis et les choux de Bruxelles.</t>
  </si>
  <si>
    <t>boit seul</t>
  </si>
  <si>
    <t>thé aux fruits, bière (avec modération)</t>
  </si>
  <si>
    <t>pas trop de boissons sucrées ou coupé avec de l’eau.</t>
  </si>
  <si>
    <t>010 300</t>
  </si>
  <si>
    <t>IMC des membres inférieurs</t>
  </si>
  <si>
    <t>Troubles moteurs membres inférieurs. Jérémy doit garder les lunettes du matin au soir, sauf pour des activités spéciales (piscine…). Aide à nettoyer les lunettes, il dit quand il veut mettre ses lunettes selon les activités</t>
  </si>
  <si>
    <t>Le protéger du soleil (crème et chapeau)</t>
  </si>
  <si>
    <t>Il a besoin d’aide pour le brossage des dents. ATTENTION : Jérémy a une pompe à baclofen située dans l'abdomen et reliée directement à la moelle épinière. Il faut donc avertir directement les parents s'il lui arrive de tomber très fort !!!!!!!! Aide au rasage 1 jour sur 2.</t>
  </si>
  <si>
    <t>Il demande lui-même, mais il faut l’aider à aller aux toilettes. Il va assis sur les WC. Il faut lui dire d’aller aux WC avant de partir à une activité, promenade ou autre et avant d’aller au lit.</t>
  </si>
  <si>
    <t>Il ne doit pas se déplacer à 4 pattes. Il peut être assis en tailleur sur une chaise ou un canapé</t>
  </si>
  <si>
    <t>Ne supporte pas les long trajets en bus.</t>
  </si>
  <si>
    <t>besoin d'aide pour s'habiller</t>
  </si>
  <si>
    <t>Avant de s'endormir ,on lui fait du streching dans les jambes en lui tendant la jambe et ramenant son pied en arrière jusque à relachement de la tension,Une jambe à la fois.Plusieures fois de chaque. Il recoit aussi un signe de croicx d'eau bénite. Il dort avec un doudou qui s'appelle Poil doux.</t>
  </si>
  <si>
    <t>Il aime les gags et la musique.Il connait beaucoup de groupes de musique métal ou de rap</t>
  </si>
  <si>
    <t>Son papa est machiniste et sa maman enseignante. Ses grands parents sont Grecques   yaya (grd maman). Papou (grand papa).</t>
  </si>
  <si>
    <t>1 frère ainé . Valentin</t>
  </si>
  <si>
    <t>Les choses trop brusques.a vite la nausée.</t>
  </si>
  <si>
    <t>A besoin d'aide pour couper les aliments.
Il peut gouter de tout.S'il n'aime pas il peut le dire et laisser</t>
  </si>
  <si>
    <t>Salade</t>
  </si>
  <si>
    <t>01479</t>
  </si>
  <si>
    <t>Imc</t>
  </si>
  <si>
    <t>Eczémas.Il a parfois des douleurs au Trijumeau.</t>
  </si>
  <si>
    <t>Il à besoin d'aide pour s'habiller.Parfois il arrive à mettre son t-Shirt et sa jaquette tout seul.Il à besoin d'aide pour se laver les dents.</t>
  </si>
  <si>
    <t>Valentin à besoin d'aide pour aller aux toilettes,mais il peut se tenir debout.</t>
  </si>
  <si>
    <t>Il supporte les longs trajets en bus. Il peut faire des pas latéraux, en arrière et en avant avec de l'aide.</t>
  </si>
  <si>
    <t>Yannic adore l’eau mais il n’a pas d’autonomie sauf s’il  a un anneau flottant, des poids autour des chevilles, et des chaussures de surf autour des pieds. MAIS IL FAUT TOUJOURS L’OBSERVER ET LE SURVEILLER.</t>
  </si>
  <si>
    <t>Yannic doit essayer de mettre et d’enlever lui-même le pull et le sous vêtement. Il essaie également de monter le slip, le collant et le pantalon après avoir été aux toilettes.</t>
  </si>
  <si>
    <t>Yannic se couche entre 20h et 21h. Il fait une prière avant de s'endormir et écoute souvent de la musique. Il se réveille généralement entre 7h et 8h. Installer Yannic sur le ventre avec les attelles la nuit, sans coussin. Yannic porte des attelles de nuits pour étendre les muscles et pour protéger ses rotules qui se luxent facilement.</t>
  </si>
  <si>
    <t>Il s’exprime à l’aide de l’ordinateur, de mimiques et de gestes. Il dit « ja »pour dire oui et secoue la tête. pour dire non. Il peut faire un choix en montrant avec sa main 2 ou 3 possibilités offertes. Il porte des lunette pendant la journée</t>
  </si>
  <si>
    <t>une sœur : Yasmine</t>
  </si>
  <si>
    <t>Yannic adore monter à cheval, aller à la piscine, écouter de la musique et des contes. Il va deux fois par semaine à l’église ou il est un servant de messe enthousiaste. Il aime lire des livres, faire des jeux. Il adore faire des voyages en bus et en train. Yannic aime faire la cuisine et aider à ranger.</t>
  </si>
  <si>
    <t>Regarder la télévision.</t>
  </si>
  <si>
    <t>besoin d'aide mais il s'entraîne à manger avec la fourchette. Il faut lui guider le bras et lui couper sa nourriture. Il mange de tout</t>
  </si>
  <si>
    <t>matin : tartine au miel, à la confiture ou au coin.</t>
  </si>
  <si>
    <t>boit avec une paille</t>
  </si>
  <si>
    <t>Trop de lait de vache, il n'a pas l'habitude.</t>
  </si>
  <si>
    <t>261-63-944</t>
  </si>
  <si>
    <t>Yannic  peut faire des crises d’épilepsie (rarement). Le spray nasal se trouve dans une boîte dans son sac, attaché à la chaise roulante.</t>
  </si>
  <si>
    <t>Yannic a une certaine autonomie. Hors de la maison, il faut mettre des protections. Quand il a besoin d’aller aux toilettes, il le montre en appuyant sa main sur l’abdomen. Toilettes adaptées importantes. Un rehausseur à mettre sur la lunette du siège !</t>
  </si>
  <si>
    <t>Installer Yannic sur le ventre avec les attelles de nuit, sans coussin.</t>
  </si>
  <si>
    <t>Selon les disponibilités</t>
  </si>
  <si>
    <t>Mégane a un fauteuil manuel et se déplace seule. Elle arrive à faire les transferts de manière autonome. Elle supporte bien les longs trajets en bus. Mégane marche un peu avec de l'aide mais s'essouffle vite.</t>
  </si>
  <si>
    <t>Elle aime la piscine mais a besoin d'une personne pour la soutenir continuellement dans l'eau.</t>
  </si>
  <si>
    <t>aide pour l'habillement et le déshabillement.</t>
  </si>
  <si>
    <t>Mégane dort bien, elle manifeste quand elle veut aller au lit. La nuit, elle se lève parfois pour aller au WC. Dérangée par les cris innattendus des personnes qui peuvent partager sa chambre, peur que survienne une crise, est angoissée, cause de ne plus faire de week-end Cerebral.</t>
  </si>
  <si>
    <t>petit frère : Valentin</t>
  </si>
  <si>
    <t>Mégane est membre active de sport handicap Sierre. Elle pratique le fauteuil ski et apprécie le rafroball. Elle est supporter du FC Sion et aime écouter de la musique. 
Très sociale, elle apprécie d’être en compagnie, sortir et pouvoir discuter.
Actuellement, elle travaille à Valais de Cœur à Sierre.</t>
  </si>
  <si>
    <t>Elle n'aime pas beaucoup faire des bricolages.</t>
  </si>
  <si>
    <t>Mégane mange seule. De préférence dans une assiette à soupe pour éviter que les aliments sortent de l’assiette. Il faut lui couper la nourriture assez finement car parfois, elle a de la peine à déglutir. En principe, elle mange de tout.</t>
  </si>
  <si>
    <t>Mégane boit peut. Il faut lui proposer à boire régulièrement lors des 
repas, des pauses, etc… boit dans un verre normal.</t>
  </si>
  <si>
    <t>097 051</t>
  </si>
  <si>
    <t>Mégane a parfois des absences liées à une épilepsie. Cela se remarque sur le côté gauche du corps par un clignement de l’œil, une raideur du bras.Un moyen pour aider Mégane à passer cette phase est de lui prendre le bras gauche et le masser. + spray nasal</t>
  </si>
  <si>
    <t>non, à protéger du soleil.</t>
  </si>
  <si>
    <t>Aide pour toilette ou douche. Bien sécher plis l'aine et entre les orteils au foën sinon rougeur et mycose</t>
  </si>
  <si>
    <t>Mégane est propre. Elle sait quand il faut aller aux toilettes, mais vu son manque de motricité, il est préférable de l'aider pour l'habillement et pour s'essuyer.</t>
  </si>
  <si>
    <t>Mégane bouge assez, mais il faut rester attentif aux escarres.</t>
  </si>
  <si>
    <t>Mégane a un fauteuil manuel et se déplace seule. Elle arrive à faire les transferts de manière autonome.</t>
  </si>
  <si>
    <t>B2 - Marie-Thérèse Bastida - 024 473 51 42</t>
  </si>
  <si>
    <t>Si possible sieste après le dîner
Voir changement de position</t>
  </si>
  <si>
    <t>Langage oral : par mots (adieu, maman, allo, encore, content)
"nene"= manger /"kéké=télé - 
Signes de la tête : pour le non  et un baiser pour le oui - "malade" =: il tousse "mmmh" = c'est bon
Cris pour exprimer sa joie. 
Lorsqu'il crie trop fort lui rappeler qu'il n'a pas besoin de crier pour se faire comprendre</t>
  </si>
  <si>
    <t>Père décédé</t>
  </si>
  <si>
    <t>Frère Olivier - Belle-sœur Tess - Oncle Abel et Tonton Dédé</t>
  </si>
  <si>
    <t>Hélène : amie de la maman</t>
  </si>
  <si>
    <t>Musique, télé, faire de la peinture, promenade, manger</t>
  </si>
  <si>
    <t>Lorsqu'il y a trop de stimulations. Il angoisse.</t>
  </si>
  <si>
    <t>Aide totale
Manger : mixé, lisse</t>
  </si>
  <si>
    <t>déjeuner: joghurt, céréal, bircher</t>
  </si>
  <si>
    <t>Biscuits secs, bonbons, aliments durs</t>
  </si>
  <si>
    <t>café/thé sans sucre</t>
  </si>
  <si>
    <t>Rhume des foins - yeux très sensibles : lunettes de soleil nécessaires</t>
  </si>
  <si>
    <t>Aide totale, il détestequand il y a trop de monde, de passage lorsqu'il prend la douche.</t>
  </si>
  <si>
    <t>Lange - Urine dans la bouteille : matin - midi et soir - Selles : Suppositoires : chaque 2 matins</t>
  </si>
  <si>
    <t>Dans le lit : à plat sans oreiller  Sur  le dos au coucher. Sur le côté gauche au changement de position de la nuit. Sur le côté droit au changement  de position de l'après-midi</t>
  </si>
  <si>
    <t>après-midi et nuit</t>
  </si>
  <si>
    <t>A voir car elle n'a jamais fait de long déplacement</t>
  </si>
  <si>
    <t>Eviter la piscine. Elle n'y va que avec sa maman</t>
  </si>
  <si>
    <t>Avec de l'aide</t>
  </si>
  <si>
    <t>Coucher vers 20h30</t>
  </si>
  <si>
    <t>Laura a 3 sœurs (1994-1998-2001)</t>
  </si>
  <si>
    <t>Elle aime écouter de la musique, jouer avec ses barbies, regarder la TV</t>
  </si>
  <si>
    <t>Elle n'aime pas le bruit. Eviter le monde et la foule.</t>
  </si>
  <si>
    <t>Elle ne mange pas beaucoup</t>
  </si>
  <si>
    <t>Pâtes, viande</t>
  </si>
  <si>
    <t>Autiste</t>
  </si>
  <si>
    <t>Il supporte mal les trajets en bus, voiture ou poussette. Dorian a besoin d'aide constamment étant donné qu'il ne se tient pas assis seul et qu'il ne rampe pas.</t>
  </si>
  <si>
    <t>Il aime bcp aller à la piscine</t>
  </si>
  <si>
    <t>Il a besoin de se faire habiller et changer. Lors du bain, attention aux morsures. Il faut s'en occuper comme d'un bébé de 4-5 mois.</t>
  </si>
  <si>
    <t>Dorian n'a pas un rythme de sommeil régulier en journée. Le soir, il va au lit entre 19h30 et 20h15 selon son état de fatigue et s'il a fait ou non une sieste. Il dort sur le dos. Il se mord les doigts très facilement en position couchée, pour les siestes ne s'endort que dans les bras. Réveil entre 7h et 9h30 généralement.</t>
  </si>
  <si>
    <t>Il regarde attentivement un objet qu'il désire. Il fait des sourires pour dire oui et des grimaces pour dire non.</t>
  </si>
  <si>
    <t>Dans son temps libre, il aime regarder des livres et qu'on lui raconte des histoires, faire des jeux (avec de l'aide), chanter des chansons.</t>
  </si>
  <si>
    <t>Les repas sont parfois difficiles et les siestes également. Il n'aime pas qu'on lui touche le visage. Il sursaute facilement, si possible lui avertir des bruits.</t>
  </si>
  <si>
    <t>Les repas sont préparés d'avance dans des pots. Il faut lui donner à manger à la cuillère et lui proposer régulièrement de boire.</t>
  </si>
  <si>
    <t>En dessert, lui donner un petit suisse ou un yaourt</t>
  </si>
  <si>
    <t>Ne pas donner de la banane</t>
  </si>
  <si>
    <t>Dans un biberon. Tétine sur le no 2</t>
  </si>
  <si>
    <t>Eau ou jus de fruit</t>
  </si>
  <si>
    <t>734-75-969</t>
  </si>
  <si>
    <t>Holoprosencephalie semi-lobaire (fusion des hémisphères cérébraux à l'avant du cerveau)</t>
  </si>
  <si>
    <t>Son handicap provoque une irrégularité du tonus musculaire (jambe et bras = tonus élevé et tranc. Tonus très faible. Attention, bien tenir sa tête.</t>
  </si>
  <si>
    <t>pas d'allergie. être attentif qu'il ne se morde pas les doigts il peut se mordre très fort.</t>
  </si>
  <si>
    <t>besoin d'une aide complète</t>
  </si>
  <si>
    <t>Changement de couches</t>
  </si>
  <si>
    <t>Lors des jeux : assis avec appui, couché. A parfois besoin d'être debout ou dans les bras. Il y a également un siège adapté.</t>
  </si>
  <si>
    <t>Christophe Joliver</t>
  </si>
  <si>
    <t>Il supporte les longs trajets en bus</t>
  </si>
  <si>
    <t>N'aime pas la piscine</t>
  </si>
  <si>
    <t>Totalement dépendant</t>
  </si>
  <si>
    <t>Passe beaucoup de temps au lit et regarde la TV</t>
  </si>
  <si>
    <t>Oral. Bonne expression</t>
  </si>
  <si>
    <t>Balades, sorties, boire un verre, cinéma</t>
  </si>
  <si>
    <t>Lui couper fin. Totalement dépendant</t>
  </si>
  <si>
    <t>Alcool 2 verres mais pas plus.</t>
  </si>
  <si>
    <t>2025804</t>
  </si>
  <si>
    <t>AVC le 31.08.2007</t>
  </si>
  <si>
    <t>Tétraparésie spastique</t>
  </si>
  <si>
    <t>Allergique à la framboise et au soleil (attention lui mettre de l'écran total et des chemises à longues manches).ALLERGIE AU MéDICAMENT. BACTRIM-NOPIL-TEMESTA.</t>
  </si>
  <si>
    <t>Toilette complète au lit et hydratation de la peau avec excipial</t>
  </si>
  <si>
    <t>Sonde urinaire. Transit ralenti, lui faire un lavement au 4ème jour sans selle</t>
  </si>
  <si>
    <t>Fauteuil roulant avec coussin anti-escarres</t>
  </si>
  <si>
    <t>Non car matelas anti-escarres confortable.</t>
  </si>
  <si>
    <t>Valaisia à Montana</t>
  </si>
  <si>
    <t>quelques mots - mimiques - attitudes corporelles</t>
  </si>
  <si>
    <t>Musique, jeux, bricolage, promenades, luge, patin à glace, aller boire un café, un sirop au café</t>
  </si>
  <si>
    <t>normal, équilibré, surveiller la quantité, en petites portions.
Aider à couper la viande</t>
  </si>
  <si>
    <t>regarder qu'elle boive assez</t>
  </si>
  <si>
    <t>trisomie 21</t>
  </si>
  <si>
    <t>syndrome autistes</t>
  </si>
  <si>
    <t>Toilette: contrôler (hygiène + brossage des dents). Préparer ses habits, l'aider si elle "rêve" trop, l'aider si elle n'y arrive pas toute seule (par ex: attacher son soutien-gorge, boutons difficiles, pulls à l'envers)</t>
  </si>
  <si>
    <t>qu'elle soit propre, hygiène + laver les mains</t>
  </si>
  <si>
    <t>Janine Rapillard 0273272924</t>
  </si>
  <si>
    <t>Il se déplace en chaise. Pour les trajets plus courts (qqs pas) il a une canne anglaise. Il a deux attèlles : la grande pour marcher -&gt; un petit trajet par jour en marchant. La petite pour le confort le reste de la journée, pas besoin de bas de contention</t>
  </si>
  <si>
    <t>Il n'aime plus trop la piscine.</t>
  </si>
  <si>
    <t>Il est autonome pour s'habiller et pour la toilette au lavabo. Il faut juste l'aider pour le dos et les fessiers sous la douche. Il porte toujours sa banane autour de la taille. Elle contient son porte-monnaie et ses cigarettes. Aide pour la grande attelle et le bas de contention est bienvenu.</t>
  </si>
  <si>
    <t>Rien de spécial. Il dort bien la nuit et ne fait pas de sieste en journée.</t>
  </si>
  <si>
    <t>Il est aphasique mais arrive à communiquer par petits mots ou phrases. Il lui faut du temps pour sortir les mots, souvent ça ne sort pas ou très difficilement. Il faut l'encourager à parler. C'est un grand farceur.</t>
  </si>
  <si>
    <t>Son père est décédé il a une très bonne relation avec sa maman qui est retraitée.</t>
  </si>
  <si>
    <t>Il a un frère avec qui il entretien une super relation et est tonton de 2 filles.</t>
  </si>
  <si>
    <t>Il aime les sorties en général, spectacles, cinéma, expos, soirées en disco, peinture, boire un verre. Intéressé par tout. Aime le FC Sion.</t>
  </si>
  <si>
    <t>Il est autonome il a juste besoin d'une petite aide pour couper les aliments coriaces.</t>
  </si>
  <si>
    <t>Il n'aime pas les épinards en branche</t>
  </si>
  <si>
    <t>Il est autonome, il parle</t>
  </si>
  <si>
    <t>Ne boit plus</t>
  </si>
  <si>
    <t>712-73-764</t>
  </si>
  <si>
    <t>TCC sévère survenu en 1979. Exision d'un Carcinome Nasal. Porte une épithèse nasale. (voir fiche annexe)</t>
  </si>
  <si>
    <t>Suite au TCC : Hémi-syndrôme spastique droit, epilepsie post-traumatique, troubles du comportement avec hétéro-agressivité (jamais observé au foyer), troubles cognitifs</t>
  </si>
  <si>
    <t>Autonome pour la toilette au lavabo. Sous la douche il faut l'aider pour le dos et les fessiers.</t>
  </si>
  <si>
    <t>Autonome. Lui rappeler de temps en temps d'aller aux toilettes sinon risque d'accident.</t>
  </si>
  <si>
    <t>Actuellement, J-C porte une épithèse nasale fixe aimantée -&gt; à enlever la nuit. A rincer sous l'eau avec du savon</t>
  </si>
  <si>
    <t>Autonome, C'est bien pour lui de marcher une fois par jour par exemple pour se rendre au déjeuner, mais ce n'est pas une obligation pendant le camp. Un petit exerice par jour pr maintenir la forme.</t>
  </si>
  <si>
    <t>Annik Savioz 027 451 21 84</t>
  </si>
  <si>
    <t>il supporte les longs trajets en bus</t>
  </si>
  <si>
    <t>à voir avec lui</t>
  </si>
  <si>
    <t>Paul s'exprime. Néanmoins, il n'est pas qqun de très bavard.</t>
  </si>
  <si>
    <t>- Grand fan de sport et plus particulièrement de tennis.
- frères, sœurs, oncles, tantes, personnes de référence etc. leur métier et pasion</t>
  </si>
  <si>
    <t>lui demander</t>
  </si>
  <si>
    <t>il mange avec un bord d'assiette. Lui couper ses aliments. (pour les sandwich, il devrait pouvoir se débrouiller seul, éventuellement lui donner un coup de main pour la fin)</t>
  </si>
  <si>
    <t>10915537</t>
  </si>
  <si>
    <t>Sclérose en plaque</t>
  </si>
  <si>
    <t>Paul a une sonde sus-pubienne. Il faut donc lui vider sa poche si nécessaire</t>
  </si>
  <si>
    <t>NON</t>
  </si>
  <si>
    <t>Eric Roulier</t>
  </si>
  <si>
    <t>Marche seul</t>
  </si>
  <si>
    <t>Oui, autonome</t>
  </si>
  <si>
    <t>Besoin d'être stimulé</t>
  </si>
  <si>
    <t>Verbale. Eric peut avoir des mots inadéquats, lui demander de s'excuser si nécessaire.</t>
  </si>
  <si>
    <t>Eric aime le fitness, bâteau, bowling, peinture, bistro, concerts de rocks, vélos adaptés, sortie grillade, etc…</t>
  </si>
  <si>
    <t>Conseillé : petit déjeuner :  1 café, 2 tartine de confiture light. Midi et soir : Une assiette sans excés</t>
  </si>
  <si>
    <t>tendance à redemander. Limiter les boissons sucrées</t>
  </si>
  <si>
    <t>Alcool. Il peut boire de la bière sans alcool.</t>
  </si>
  <si>
    <t>030-386-Li</t>
  </si>
  <si>
    <t>Eric a des troubles de la mémoire. Il a besoin de stimulis pour faire les choses (activités, soins quotidiens, etc…). Troubles alimentaires à cadrer selon régime.</t>
  </si>
  <si>
    <t>Autonome, besoins de stimulations</t>
  </si>
  <si>
    <t>Autonome mais problème d'équilibre.</t>
  </si>
  <si>
    <t>Il aime beaucoup l'eau</t>
  </si>
  <si>
    <t>autonome. Le matin tôt lorsqu'il est encore endormi, risque qu'il sorte dévêti de la chambre (rare). Lui rappeler gentiment qu'il est en public et lui demander de s'habiller.</t>
  </si>
  <si>
    <t>Il dort bien, il se couvhe tôt et le sève tôt.</t>
  </si>
  <si>
    <t>Communication Verbale, il est ouvert à toutes discussions. Il est très sensible aux difficultés des autres. Important de garder les bonnes distances avec P-A afin qu'il ne confonde pas sentiments d amitié et ceux d'amour.</t>
  </si>
  <si>
    <t>Il est ouvert à toutes les activités car il est curieux et ouvert. Il aime rencontrer des gens. P-A a beaucoup d'humour, il est conscient de ses difficultés et sait en rire.</t>
  </si>
  <si>
    <t>Les activités nocturnes car il se couche tôt.</t>
  </si>
  <si>
    <t>autonome, l'aider à couper les aliments dures.</t>
  </si>
  <si>
    <t>autonome</t>
  </si>
  <si>
    <t>380558</t>
  </si>
  <si>
    <t>dysarthrie sévère : production verbale ralentie. Comprend tout mais à de la difficutlé à s'exprimer. Spasme.</t>
  </si>
  <si>
    <t>Il a besoin de repos. Après une activité, il a besoin de calme.</t>
  </si>
  <si>
    <t>aime faire la sièste après le repas.</t>
  </si>
  <si>
    <t>parole, avec vocabulaire succinct,</t>
  </si>
  <si>
    <t>Musique, cartes, livres, faire la cuisine</t>
  </si>
  <si>
    <t>aide verbale + couper la viande</t>
  </si>
  <si>
    <t>Aide à ouvrir le pantalon et refermer après. Aide à l'habillement.</t>
  </si>
  <si>
    <t>Géraldine Chapatte / Annae Jomey</t>
  </si>
  <si>
    <t>peut se déplacer seule avec la jambe valide. Mettre les deux cales-pieds lorsqu'on la pousse lors de longs trajets.A besoin d'être surveilée.</t>
  </si>
  <si>
    <t>besoin d'aide</t>
  </si>
  <si>
    <t>Dort sur le dos avec coussin de positionnement jambe gauche et bras gauche. Besoin d'aide pour les changements de positions durant la nuit.</t>
  </si>
  <si>
    <t>Elle parle bien</t>
  </si>
  <si>
    <t>Grand-maman de deux petites filles</t>
  </si>
  <si>
    <t>Lise a des amis partout autour du monde</t>
  </si>
  <si>
    <t>Lise aime les fleurs, les voyages, la musique, la peinture, le théatre et la culture</t>
  </si>
  <si>
    <t>Elle n'aime pas le "Catch"</t>
  </si>
  <si>
    <t>Tendance à trop manger ou très peu par période (avec vomissement). Besoin d'aide pour couper. Elle utilise un couteau spécial, un cerceau pour assiette, un anti-glisse et une bavette.</t>
  </si>
  <si>
    <t>Attention: prise de poid</t>
  </si>
  <si>
    <t>047795-SI</t>
  </si>
  <si>
    <t>AVC avec hémiplégie gauche</t>
  </si>
  <si>
    <t>HTA (hypertension artérielle)</t>
  </si>
  <si>
    <t>Besoin d'aide. Effectue la toilette du haut à moitié. Pour la toilette intime, aide pour le siège.</t>
  </si>
  <si>
    <t>Besoin de protection de type Pants la journée et Tena pour la nuit. Demande pour uriner sur WC et le vase la nuit. Répondre à ces demandes impérieuses d'uriner rapidement.</t>
  </si>
  <si>
    <t>Lise se fatigue très vite, elle a besoin de faire des siestes. Aide pour les transferts.Est beaucoup plus fatiguée ces dernières semaines. Attention lors des transferts.</t>
  </si>
  <si>
    <t>Jocelyne Fournier, réf. NDL 079 465 22 69</t>
  </si>
  <si>
    <t>elle supporte les longs trajets en bus</t>
  </si>
  <si>
    <t>Fille unique. Vit chez sa tante.</t>
  </si>
  <si>
    <t>musique, piscine</t>
  </si>
  <si>
    <t>n'aime pas la marche</t>
  </si>
  <si>
    <t>pas trop gras ni trop salé</t>
  </si>
  <si>
    <t>viande crue (mais en petite quantité). N'aime pas les œufs.</t>
  </si>
  <si>
    <t>tartare, pamplemousse</t>
  </si>
  <si>
    <t>ELLE BOIT 2L et 1/2 PAR JOUR. 5x 5dl bouteille Pet pour qu'elle sache où elle en est…</t>
  </si>
  <si>
    <t>020052663</t>
  </si>
  <si>
    <t>retard mental léger</t>
  </si>
  <si>
    <t>greffée rénale en sept. 2011 - très lente</t>
  </si>
  <si>
    <t>voir l'accessibilité. De préférence lui mettre le fauteuil enfant adabté que ses parents utilise au quotodien avec la voiture. Actuellement pour les longs traets, il peut voyager dans le fauteille électrique car il a un appuie-tête.</t>
  </si>
  <si>
    <t>aide nécessaire, lui demander !</t>
  </si>
  <si>
    <t>Mettre une protection (pampers) pendant la nuit</t>
  </si>
  <si>
    <t>la parole</t>
  </si>
  <si>
    <t>un frère aîné de 17 ans, Samuel</t>
  </si>
  <si>
    <t>Contact facile</t>
  </si>
  <si>
    <t>Nathan s'intéresse au sport, au foot en particulier. Il regarde les matchs, connaît les équipes et les joueurs. Il aime aussi les animaux, surtout les cochons d'inde. Il adore lire.</t>
  </si>
  <si>
    <t>aliments pas trop durs et coupés en petits morceaux.</t>
  </si>
  <si>
    <t>lait sans lactose / pas un régime stricte sans lactose seulement le lait, autrement peut tout manger</t>
  </si>
  <si>
    <t>756.9376.7450.98</t>
  </si>
  <si>
    <t>Maladie des os de verre - Ne pas aller aux urgences sans les parents, même en cas de fracture !</t>
  </si>
  <si>
    <t>surveillance : prévention des accidents. Coups ou chute = fracture. Toujours faire attention pour éviter les fractures. Si Nathan reçoit un coup d'une moyenne intensité, pour lui cela répresente une fracture. Donc la prévention est obligatoire. Malgré tout parfois les accidents arrivent et à ce moment là il ne faut pas chercher des coupables car c'est sa maladie.</t>
  </si>
  <si>
    <t>autonome, avec quelques accidents</t>
  </si>
  <si>
    <t>absence parents: grand parents 024 466 36 34</t>
  </si>
  <si>
    <t>Léo aime marcher sur des petites distances, se dégourdir lui fait du bien et l'occupe. Léo aime les trajets en voiture et bus.</t>
  </si>
  <si>
    <t>aime beaucoup la piscine. Léo cherche à boire l'eau veiller qu'il ne boive pas la tasse.</t>
  </si>
  <si>
    <t>On peut faire participer Léo en guidance à l'habillage et au déshabillage.</t>
  </si>
  <si>
    <t>Léo dort ses jambes dans une goutière, ainsi qu'à la sieste.</t>
  </si>
  <si>
    <t>Léo ne parle pas. Il exprime sa joie par des rires, des geste des mains, de la tête, des cris, et on peut voire sur son visage qu'il est content. A l'inverse si il est mécontent, triste, en colère, on le remarque de suite car il pleure, il nous repousse et c'est clairement visible sur son visage. Si il n'a plus faim ou plus soif il repousse sa bouteil ou retourne l'assiette. Léo sursaute parfois au moindre petit bruit qui peut le surprendre. Parfois quand il s'impatiente il suffit que Léo puisse toucher quelque chose un objet ou autre pour qu'il se calme</t>
  </si>
  <si>
    <t>Il faut veiller à ce qu'il soit correctement installé dans son fauteuil afin d'éviter des rougeurs sous les fesses.</t>
  </si>
  <si>
    <t>Depuis son opération du dos, Léo peut avoir mal si on fait les transferts trop rapidement ou si on ne le maintient pas correctement.</t>
  </si>
  <si>
    <t>On peut laisser les pelotes de côté plus largement ouvertes afin qu'il puisse  avoir un peu de liberté de mouvement.</t>
  </si>
  <si>
    <t>léo aime les sortie, la piscine, le vélo etc. Il aime surtout que l'on s'occupe de lui et qu'on fasse des activités avec lui. Léo cherche notre main pour qu'on lui gratouille l'arrière de la tête</t>
  </si>
  <si>
    <t>Léo n'aime pas rester statique, ou alors s'il est fatigué et que l'on bascule sa chaise en arrière pour qu'il se repose un moment. Léo n'est pas attiré par la télévision, mais par la musique.</t>
  </si>
  <si>
    <t>couper en petit morceau</t>
  </si>
  <si>
    <t>les pâtes</t>
  </si>
  <si>
    <t>Léo n'aime pas trop la viande surtout si elle est dur.</t>
  </si>
  <si>
    <t>uniquement avec son biberon</t>
  </si>
  <si>
    <t>Cacao, jus de fruits, jus de pomme, sirop (tiède)</t>
  </si>
  <si>
    <t>Léo n'aime pas le thé froid.</t>
  </si>
  <si>
    <t>17874</t>
  </si>
  <si>
    <t>Attention , quelques fois , léo fait des absences.</t>
  </si>
  <si>
    <t>Léo prend sa douche sur une chaise percée il prend volontiers le pommeau de douche et s'amuse à boire l'eau c'est du plaisir.</t>
  </si>
  <si>
    <t>ll est langé, va à selles seul et régulièrement.</t>
  </si>
  <si>
    <t>le sortir de la chaisepour qu'il puisse faire et voir autre chose.</t>
  </si>
  <si>
    <t>une fois par jour</t>
  </si>
  <si>
    <t>Abby rampe parterre sur le ventre
Elle supporte les longs trajets mais elle doit s'allonger de temps en temps.</t>
  </si>
  <si>
    <t>Elle adore l'eau mais elle ne sait pas flotter</t>
  </si>
  <si>
    <t>Abby a besoin d'aide pour s'habiller. Elle doit porter ses lunettes tout le temps.</t>
  </si>
  <si>
    <t>Elle dort sur le ventre de préfèrence. Drap Zéwi</t>
  </si>
  <si>
    <t>Verbale. Attention: dès qu'elle est vexée elle s'auto mutile. Elle se tire les cheveux et veut s'arracher les dents. Elle peut aussi essayer de pincer la personne à côté d'elle ou se mordre. Ne surtout pas la laisser faire.</t>
  </si>
  <si>
    <t>Peu de contact avec la famille paterne. Excellent contact avec la famille maternel puisqu'ils travaillent tous pour la même société.</t>
  </si>
  <si>
    <t>Killian (frère)
Bryan (frère)</t>
  </si>
  <si>
    <t>Elle n'aime pas être contrarié.</t>
  </si>
  <si>
    <t>Il faut lui couper la nourriture. Si elle n’est pas fatiguée elle arrive à manger avec une cuillère ou une fourchette (main gauche) toute seule. Si elle est fatiguée, elle arrive à se faire comprendre qu’elle a besoin d’aide.</t>
  </si>
  <si>
    <t>Fruits acides</t>
  </si>
  <si>
    <t>Uniquement de l'eau plate</t>
  </si>
  <si>
    <t>5215711</t>
  </si>
  <si>
    <t>Hydrocéphalie. Paralysie côté droit + jambe gauche.</t>
  </si>
  <si>
    <t>Avec aide complète</t>
  </si>
  <si>
    <t>Protection (lange)</t>
  </si>
  <si>
    <t>pour l'instant pas de piscine</t>
  </si>
  <si>
    <t>aide complète entre 8h et 10h du matin. Elle à une sonde en continue. Les médicament passe par la PEG. Doin de la bnouche par la PEG. Placer la nourriture entre le dos du sac à dos.</t>
  </si>
  <si>
    <t>de 20h à 8h. Se réveille pendant la nuit entre 2 et 4h du matin. Elle dort toujours à plat sur le ventre. Lit incliné à cause des reflux gastriques.</t>
  </si>
  <si>
    <t>un cahier de communication  oui non</t>
  </si>
  <si>
    <t>aime regarder les dvd. Lecture de livre. Dinette tata Nadia, tonton Nicolas, pépé, mémé, grand-maman, cousin Jérémie et Emilie, tata de Genève, elle adore les animaux en particulier les chats.</t>
  </si>
  <si>
    <t>promenade en pousette reste un défi</t>
  </si>
  <si>
    <t>ne prend rien par la bouche un peu de lait à la pipette. Mais pas nécessaire. Nourriture entéral. Nourriture en continue. Débit de 70 ml à l'heure. Env 1300 à1400 ml/jour. Pour un saschet de 500ml de nutissi standard, ajouter 100ml d'eau</t>
  </si>
  <si>
    <t>elle fait parfois de la fièvre. Si c'est le cas algifor en 2 fois.3 ml une fois puis 30 min plus tard à nouveau 3 ml. Crise de dystonie du au stress ou à la douleur. Se mord fort bouche ou langue. Dans ce cas il faut la maintenir et lui donner de l'arnica</t>
  </si>
  <si>
    <t>elle a tendance à bavé beaucoup. Changer parfois 3 à 4 fois par jour le pull</t>
  </si>
  <si>
    <t>langer</t>
  </si>
  <si>
    <t>la prendre sur nous ou dans la chaise haute. Max 1h difficile de l'asseoir dans une chaise, mouvement d'extanssion très fort</t>
  </si>
  <si>
    <t>oui, avec aide</t>
  </si>
  <si>
    <t>Il s'exprime oralement</t>
  </si>
  <si>
    <t>Il mange tout seul, mais il a besoin d'aide pour découper les aliments.</t>
  </si>
  <si>
    <t>997.10.14.015</t>
  </si>
  <si>
    <t>Dyshophie musculaire évolutive</t>
  </si>
  <si>
    <t>Myopathie des ceintures</t>
  </si>
  <si>
    <t>avec aide</t>
  </si>
  <si>
    <t>avec aide pour s'installer aux toilettes</t>
  </si>
  <si>
    <t>Ne pense pas forcément à freiner sa chaise
Se pousse mais demande de l'aide parfois
1cale-pied G avec velcros. Si promenade mettre le 2ème cale-pied</t>
  </si>
  <si>
    <t>Aime bien la piscine (il était gardien de piscine)</t>
  </si>
  <si>
    <t>Aide complète pour le bas et le bras plégique, avec guidance pour le reste. Lui énumérer les étapes une à une. Important lui donner les médicaments et ou contrôler qu'ils les prennent..</t>
  </si>
  <si>
    <t>Il parle facilement. Il parle le portuguais</t>
  </si>
  <si>
    <t>Il est passioné par le karaté (il en a fait 20 ans). Il était responsable de la piscine de Grône. Il aime les voitures, les films (cinéma) et le sport.</t>
  </si>
  <si>
    <t>Il n'aime pas le théâtre classique</t>
  </si>
  <si>
    <t>Lui retirer le natel pendant les repas et lui mettre l'anti-glisse.</t>
  </si>
  <si>
    <t>Alimentation grasse et sucrée</t>
  </si>
  <si>
    <t>Café après 16h00</t>
  </si>
  <si>
    <t>756.6614.3411.66</t>
  </si>
  <si>
    <t>Rupture d'anévrisme avec hémiplégie gauche</t>
  </si>
  <si>
    <t>Aide partielle pour le fessier et le bras valide, avec guidance pour le reste. Douche tous les jours. Alèse pour la nuit.</t>
  </si>
  <si>
    <t>Utilise l'urinal la nuit. 4 demande au toilettes qu'il gère.</t>
  </si>
  <si>
    <t>Non, autonome</t>
  </si>
  <si>
    <t>sieste: 13h30-14h00 envrion si grande fatigue</t>
  </si>
  <si>
    <t>Raphaël Bonvin 027 327 29 24</t>
  </si>
  <si>
    <t>il est trop adité pendant les déplacements en bus. 
Le faire marche 2 à 3 x/jour avec rollator lui fait du bien car il est toute la journée sur son fauteil roulant.</t>
  </si>
  <si>
    <t>Il va a la piscine, mais toujours l'accompagner car il a peur de l'eau</t>
  </si>
  <si>
    <t>Aide totale pour l'habillement et la toilette. Attention à ne pas oublier les bas de contention</t>
  </si>
  <si>
    <t>Il est très agité pendant la nuit. Il bouge bcp. Sur le dos avec le dossier elevé et les jambe surelevées.</t>
  </si>
  <si>
    <t>Comprend bien ce qui lui est dit et arrive bien à répondre. André a tendance a vouloir tout, tout de suite. Il essaie d'intimider les nouvelles personnes en criant pour avoir ce qu'il désire. Important de lui fixer un cadre et de le faire respecter pour son bien-être et celui des autres. André s'est se montrer très agréable avec beaucoup d'humour.</t>
  </si>
  <si>
    <t>Le père d'andré est décédé et il n'a pas de contact avec sa mère.</t>
  </si>
  <si>
    <t>Il a un frère, Daniel marié à Marilyn qui est sa curatrice. Ils viennent le trouver au foyer.</t>
  </si>
  <si>
    <t>Il aime se balader, chanter des chansons qu'il connait, avoir des contacts avec les animaux, visiter des brocantes, des vieilles choses et posséder des voitures miniatures.</t>
  </si>
  <si>
    <t>André a le droit a une cigarette par heure de 08h30 à 18h00. Lorsqu'il fume, il faut lui mettre le tablier qui se trouvre derrière sa chaise, ainsi que le porte cigarette pour éviter qu'il se brule. Il ne faut pas lui laisser le paquet car il demande aux autres personnes de lui donner. S'il est dans le non-respect des autres résidents et/ou transgresse les rêgles établies, il faut lui décaler la cigarette d'une heure.</t>
  </si>
  <si>
    <t>Il peut manger seul avec la main gauche, mais toujours être à coté. En cas de fausse route, bien le pencher en avant et lui taper dans le dos. Si ça continue, faire la méthode heimlich.</t>
  </si>
  <si>
    <t>Haché et coupé fin et accompagné d'une sauce pour faciliter la déglutition.</t>
  </si>
  <si>
    <t>Ce qui contient des fils et/ou des graines</t>
  </si>
  <si>
    <t>Ce qui peut causer des fausses routes (cacahuètes, chips, etc.)</t>
  </si>
  <si>
    <t>Peut boire seul, avec la main gauche.</t>
  </si>
  <si>
    <t>A le droit à un verre de vin pendant le repas du midi et un pendant le repas du soir. Lorsqu'il sort boire un verre, il aime bien prendre un galopin</t>
  </si>
  <si>
    <t>2968099</t>
  </si>
  <si>
    <t>TTC sévère en 2008</t>
  </si>
  <si>
    <t>Amputation des extrémités des doigts de la main droite, maladie de Bechterew (maladie rhumatismale chronique, douloureuse et incurable.</t>
  </si>
  <si>
    <t>Aide totale pour la toilette. Toilette complète au lit ou lavabo. Il préfère la douche.</t>
  </si>
  <si>
    <t>Continent pour les selles (demande pour aller). Incontinence pour les urines. Il porte une protection jour et nuit mais demande quand-même pour aller au toilette.</t>
  </si>
  <si>
    <t>lui faire marcher 2 à 3x/jour. Aide pour les transferts, il se tient debout.</t>
  </si>
  <si>
    <t>il supporte les longs trajets</t>
  </si>
  <si>
    <t>Il aime bien la piscine</t>
  </si>
  <si>
    <t>Pas d'autonomie, comme un enfants de 1 année</t>
  </si>
  <si>
    <t>Soutien gestuel au langage + quelques mots</t>
  </si>
  <si>
    <t>Florent vit avec ses parents et sa sœur et 2 petits frères</t>
  </si>
  <si>
    <t>Florent a une sœur (Marion 3 ans) et deux petits frères attendus pour décembre 2014</t>
  </si>
  <si>
    <t>Il faut essayer de stimuler Florent au quotidien pour l'alimentation, langage, motricité.
Aide pour manger et pour boire.</t>
  </si>
  <si>
    <t>Gluten + lactose</t>
  </si>
  <si>
    <t>799-46-756</t>
  </si>
  <si>
    <t>Trisomie 21</t>
  </si>
  <si>
    <t>Retard de développement général. Malformation cardiaque</t>
  </si>
  <si>
    <t>Il porte une protection</t>
  </si>
  <si>
    <t>Vérifier que Florent ne dort pas assis la tête entre les jambes. Il fait 2 heures de sieste. Le soir il dort à 20h</t>
  </si>
  <si>
    <t>seul, mais a besoin de stimulation et de supervision</t>
  </si>
  <si>
    <t>comunique le manière claire, lit et écrit un peu</t>
  </si>
  <si>
    <t>laurence à besoin d'être sécurisé par un programme d'occupation bein définie et accompagner.laurence est tous les mercredi à la Cité du Genévrier</t>
  </si>
  <si>
    <t>peinture sur porcelaine pulzzle, équitation, tennis, ski, avec sport handicap.</t>
  </si>
  <si>
    <t>à contrôler pour qu'elle ne mange pas trop</t>
  </si>
  <si>
    <t>sans sucre et sans graisse</t>
  </si>
  <si>
    <t>contrôler la nourriture pour pas qu'elle ne mange trop</t>
  </si>
  <si>
    <t>sans sucre</t>
  </si>
  <si>
    <t>Syndrome de prader-Willli avec déficiance intélectuel</t>
  </si>
  <si>
    <t>hypotonie musculaire, trouble du comportement alimentaire</t>
  </si>
  <si>
    <t>pas de changement</t>
  </si>
  <si>
    <t>absence parents: 076 211 10 69</t>
  </si>
  <si>
    <t>pas de souci particulier pour les déplacements en voiture. Manon se déplace en chaise roulante manuelle, mais  peut aussi marcher avec  l'aide d'une personne et ses atelles.</t>
  </si>
  <si>
    <t>besoin d'aide pour l'habillement et donne volontiers son aide</t>
  </si>
  <si>
    <t>soutien gestuel, comprend tout ce qu'on lui dit, bonne compréhension.</t>
  </si>
  <si>
    <t>nécessite un accompagnement.</t>
  </si>
  <si>
    <t>mange volontiers de tout</t>
  </si>
  <si>
    <t>eau et sirop menthe/ Jus de fruit le matin (clémentine/ fruit rouge)</t>
  </si>
  <si>
    <t>01529</t>
  </si>
  <si>
    <t>la mettre sur une chaise percée ou debout avec soutien.</t>
  </si>
  <si>
    <t>elle peut aller aux toilettes en étant accompagnée. Elle n'est plus langée, lui rappeler souvent  si elle a besoin d'aller aux toilettes.  Insister et surveiller pour les selles</t>
  </si>
  <si>
    <t>Il supporte les longs trajets</t>
  </si>
  <si>
    <t>Bon nageur sous surveillance</t>
  </si>
  <si>
    <t>Il s'habille tout seul.
Il faut lui expliquer pour brosser les dents de mettre le dentrifice sur la brosse, de frotter 3 min les dents, de rincer la bouche et de ranger la brosse.</t>
  </si>
  <si>
    <t>Ski, hockey NHL, golf, très bonne culture générale. Soucieux de justice, de droit, passioné de science, recherche, maths. Tout l'intéresse si l'accompagnant le met en confiance et lui fait partager ses intérêts.</t>
  </si>
  <si>
    <t>Il faut mettre un cadre pour ne pas se disputer avec son frère et sœur.
A l'extérieur il sait bien se comporter</t>
  </si>
  <si>
    <t>Sans gluten</t>
  </si>
  <si>
    <t>Asperger. Autisme</t>
  </si>
  <si>
    <t>Retard de développement général.</t>
  </si>
  <si>
    <t>Gluten</t>
  </si>
  <si>
    <t>Son rituel pour s'endormir c'est faire des massage pour se calmer</t>
  </si>
  <si>
    <t>Jamais fait de longs trajets. Surveiller car se déplace en marchant.</t>
  </si>
  <si>
    <t>Ne s'habille pas seul</t>
  </si>
  <si>
    <t>Besoin de barrières</t>
  </si>
  <si>
    <t>Quelques mots, mais peu de communication verbale (aide avec pictogramme)</t>
  </si>
  <si>
    <t>Ne mange pas seul. Surveillance.</t>
  </si>
  <si>
    <t>Le soir peut faire des grosses crises et s'auto-mutiler ou mordre d'autres personnes (adultes ou enfants)</t>
  </si>
  <si>
    <t>Autisme</t>
  </si>
  <si>
    <t>Langé</t>
  </si>
  <si>
    <t>suporte les longs trajets en voiture.</t>
  </si>
  <si>
    <t>Salvatore communique de façon verbale en français et en italien, avec un peu de difficulté pour articuler. Il est bien de reformuler avec lui.</t>
  </si>
  <si>
    <t>normal il se débrouille seul pour manger</t>
  </si>
  <si>
    <t>Distophie musculaire</t>
  </si>
  <si>
    <t>il peut faire sa douche et sa toilette seul</t>
  </si>
  <si>
    <t>va seul</t>
  </si>
  <si>
    <t>cacahuète et noisette</t>
  </si>
  <si>
    <t>Romaine 0798213115. Laura 0793617821</t>
  </si>
  <si>
    <t>supporte les longs trajets. Veillez que son bras invalide soit bien sur le coussin car ça le soulage.</t>
  </si>
  <si>
    <t>besoin d'aide pour tous les actes de la vie quotidienne. Pour l'habillement avec guidance. La maison dispose d'un ascenceur adapté pour les changements d'étage.Dominique à les yeux très sensibles,ses lunettes de soleils se trouvent dans son sac derrière la chaise roulante+gouttes si besoin</t>
  </si>
  <si>
    <t>le mettre de sa chaise au lit avec aide.</t>
  </si>
  <si>
    <t>Dominique communique de façon verbale en français et en italien, avec un peu de difficulté pour articuler. Il est bien de reformuler avec lui.</t>
  </si>
  <si>
    <t>il est marié et a 2 enfants. Il vit à la maison avec son épouse qui le prend en charge à 100%. Dominique fait des thérapies plusieurs fois par semaine. Il bénéficie du service de relève uniquement</t>
  </si>
  <si>
    <t>aime le foot et tout ce qui est sport en général. Tv émissions sur les animaux, géographie, reportages</t>
  </si>
  <si>
    <t>avec aide (couper)</t>
  </si>
  <si>
    <t>mange de tout. Gros faible pour les désserts</t>
  </si>
  <si>
    <t>pas de régime particulier</t>
  </si>
  <si>
    <t>Gazeuse</t>
  </si>
  <si>
    <t>se débrouille seul si verser dans le verre</t>
  </si>
  <si>
    <t>thé froid et eau plate et 1/2 verre de vin aux repas. Bière limonade.</t>
  </si>
  <si>
    <t>Hémiparésie côté droit</t>
  </si>
  <si>
    <t>Yeux sensibles.lui mettre les lunettes de soleil dans son sac derrière la chaise roulante-Appliquer gouttes si nécessaire</t>
  </si>
  <si>
    <t>Pour le pied droit: le stimuler en maintenant la cheville par-dessous avec la main gauche et le tenir avec la main droit et faire aller la cheville en avant et en arrière pour la circulation sanguine. Ce pied doit porter des bas de contention et porter un atèle pour le maintien de sa cheville (lanière intérieur par trop serré et la lanière extérieur c'est pour le maintien). Attention de ne pas faire de plis. 
Il a besoin qu'on lui fasse la toilette soit sur une chaise percée pour la douche, soit une toilette au lit.Douche tous les jours.</t>
  </si>
  <si>
    <t>il a une poche urinaire avec un condom. Pour les selles, il faut le mettre sur les toilette à sa demande. La nuit, il a un condom urinaire avec un slip adapté à usage unique. La journée il a des protections de taille L.</t>
  </si>
  <si>
    <t>être attentif.</t>
  </si>
  <si>
    <t>oui, il fait une sieste après le repas de midi.</t>
  </si>
  <si>
    <t>tous les jours</t>
  </si>
  <si>
    <t>Madame Viviane Eggmann 077 511 07 57</t>
  </si>
  <si>
    <t>aime les trajet en voiture. Il marche très bien mais il faut lui tenir la main car il n'a aucune notion du danger. Il n'apprécie pas lorsqu'on la lui tienne et peut se mettre par terre. Il faut alors attendre qu'il se relève et lui redonner la main.</t>
  </si>
  <si>
    <t>aime l'eau</t>
  </si>
  <si>
    <t>Péniel montre beaucoup de compétences à ce niveau. L'habillage se fait encore en guidance.</t>
  </si>
  <si>
    <t>Il dort avec une couverture Zéwi. Le soir, il va généralement au lit à 20h00-20h30</t>
  </si>
  <si>
    <t>Péniel ne s'exprime pas verbalement. Il est encore difficile d'identifier ce qu'il comprend. Le langage utilisé à domicile est sa langue maternelle. On peut lui parler en français accompagné d'un soutien gestuel. Peniel peut être très calme et se montrer soudainement agité. Cela se manifeste par exemple par des objets qu'il peut attraper et lancer ou encore par des gestes violents envers ses camarades quand on ne s'y attend le moins.</t>
  </si>
  <si>
    <t>vie avec sa maman et et est le seul enfant</t>
  </si>
  <si>
    <t>Il aime les animaux, les montres, les trains, les bulles, les toupilles, les blocs de construction. Il peut jouer de longs moments seul.</t>
  </si>
  <si>
    <t>Péniel mange dans une assiette en plastique avec un antiglisse placé dessous. Il manque de petites quantités qui sont servies et coupées par l'adulte. Il mâche très bien les aliments et mange lentement. Son appétit varie en fonction des aliments qu'on lui présente. Lui donner le repas en guidance. Il peut manger assis sur une chaise, mais l'attacher avec une écharpe ou une ceinture pour éviter qu'il tombe et se blesse.</t>
  </si>
  <si>
    <t>Pommes de terre, viande hachée, poulet, pizza, tortellinis,</t>
  </si>
  <si>
    <t>Péniel boit dans un verre. Si l'on remarque que durant la journée, il n'a pas suffisamment mangé, lui donner un biberon de lait froid avec du sirop après le souper.</t>
  </si>
  <si>
    <t>Au déjeuner, il aime le jus de pomme ou le cacao. Il aime le sirop</t>
  </si>
  <si>
    <t>autisme</t>
  </si>
  <si>
    <t>pas à ce jour</t>
  </si>
  <si>
    <t>Essayer de lui faire les soins en guidance. Pour le brossage de dents,  Péniel est debout et se laisse brosser les dents par des moments variables.</t>
  </si>
  <si>
    <t>il est langé jour et nuit. Après chaque change, le placer sur les toilettes quelques minutes afin qu'il puisse faire pipi</t>
  </si>
  <si>
    <t>pas de changement de position mais il fait la sieste,  Pendant la sieste, parfois, il ne dort pas mais reste au lit</t>
  </si>
  <si>
    <t>le matin il faut l'aider pour l'habiller faire la toilette et lui donner son déjeuner</t>
  </si>
  <si>
    <t>lui changer la couche et veillez pour qu'il soit au plus tard à 21h00 au lit. Il a besoin de beaucoup de sommeil.</t>
  </si>
  <si>
    <t>il sait dire "dodo" lorsqu'il est fatigué. Remi de lorsqu'il est fatigué et mal à la tête.il est de manière général de bonne humeur sauf en cas de maladie</t>
  </si>
  <si>
    <t>vis à la maison avec sa maman. Il va en atelier la journée.</t>
  </si>
  <si>
    <t>aime beaucou la musique classique ça le calme et le détentd.</t>
  </si>
  <si>
    <t>de tout mais couper en petit morceaux. Le soir le faire manger à 18h30 pour qu'il puisse digérer avant le coucher</t>
  </si>
  <si>
    <t>disoocié pour éviter la prise de poids</t>
  </si>
  <si>
    <t>poison faire très attention avec les arêtes</t>
  </si>
  <si>
    <t>sucreries non</t>
  </si>
  <si>
    <t>eau, tisanes</t>
  </si>
  <si>
    <t>pas qu'il ne mange trop. Une assiette normal suffi.</t>
  </si>
  <si>
    <t>tout ce qui est sucré</t>
  </si>
  <si>
    <t>il a une santé fragil. Il transpire facilement. Il faud donc être attentif à le lui changer les habits sous risque de bronchite.une fois par semaine il suis la physiothérapie, car il a une scoliaose.il faut l'accompagner. Ensuite le laiser seul evenir 45</t>
  </si>
  <si>
    <t>il est langer et vérifier régulièrement si il faut le changer. Risque de mycose dans les parties génitales. Donc être attentif pour bien les sécher. Le changer avant d'aller dormir le soir</t>
  </si>
  <si>
    <t>langer et contrôler souvent et changer avant d'aller coucher le soir.</t>
  </si>
  <si>
    <t>Il supporte les trajets en voiture.</t>
  </si>
  <si>
    <t>Alfonso aime bien la piscine. A besoin de manchons et de surveillance.</t>
  </si>
  <si>
    <t>Relativement automne, avec aide si nécessaire.</t>
  </si>
  <si>
    <t>Se couche généralement  vers 20 heures. Il dort bien. N'a pas besoin de lit à barrières.</t>
  </si>
  <si>
    <t>Il parle peu, à tendance à mélanger le francais et le portugais. Il s'exprime avec des gestes.
Attention,il n'a pas conscience du danger.</t>
  </si>
  <si>
    <t>Il habite avec ses parents et sa petite sœur.</t>
  </si>
  <si>
    <t>Alfonso à une petite sœur.</t>
  </si>
  <si>
    <t>Il aime beaucoup jouer à l'intérieur et en particulier les puzzles.</t>
  </si>
  <si>
    <t>Alfonso mange de tout en petite quantité. Il est autonomne, mais mange rapidement. Attention il à tendanve à donner sa nourriture au chien.</t>
  </si>
  <si>
    <t>Eau</t>
  </si>
  <si>
    <t>Thé froid &amp; Boissons sucrées</t>
  </si>
  <si>
    <t>756.6086.8574.62</t>
  </si>
  <si>
    <t>Aucune allergie.</t>
  </si>
  <si>
    <t>Alfonso est autonomne.mais avec surveillance. (Attention,il ne gère pas la tempétature de l'eau)</t>
  </si>
  <si>
    <t>Alfonso est autonomne , mais il faut lui rappeler de se laver les mains.</t>
  </si>
  <si>
    <t>pas nécessaire.</t>
  </si>
  <si>
    <t>ok</t>
  </si>
  <si>
    <t>Peniel a beaucoup de compétences pour aider à l'habillage qui se fait encore en partie en guidance.</t>
  </si>
  <si>
    <t>Il fait une sieste dans une couverture Zéwi. Parfois il ne dort pas mais reste calme dans le lit de 13h à 14h</t>
  </si>
  <si>
    <t>Il répète beaucoup, utilise des signes, il ne dit pas oui/non mais on comprend car il fait physiquement des gestes ou quand il pleure, accepte le contact physique, monter sur les genoux pour montrer qqch ou</t>
  </si>
  <si>
    <t>pas de contact avec le père</t>
  </si>
  <si>
    <t>aime jouer dehors au parc, les animaux, les montres, les bulles, les toupies, les contructions, les trains, la radio, aimer écouter la télé mais pas la regarder. Il peut jouer de longs moments seul</t>
  </si>
  <si>
    <t>Difficultés pour manger certains aliments (joue ou lance la nourriture s'il est agité)</t>
  </si>
  <si>
    <t>les choses sucrées</t>
  </si>
  <si>
    <t>Peniel est langé jour et nuit. Lors des moments de change, il est capable de faire pipi sur les toilettes avec un réducteur.</t>
  </si>
  <si>
    <t>Syndrômepotocki-shaffer (maladie génétique rare)</t>
  </si>
  <si>
    <t>retard mental, retard psychomoteur global</t>
  </si>
  <si>
    <t>elle est langer en permanance</t>
  </si>
  <si>
    <t>Elle marche tute seule mais sur la pointe de pieds et manque encore d'équilibre. Elle a besoin d'aide pour les escaliers.</t>
  </si>
  <si>
    <t>Elle a besoin d'aide pour s'habiller.</t>
  </si>
  <si>
    <t>Elle est langée jour et nuit</t>
  </si>
  <si>
    <t>Noelie a un grand frère Théo</t>
  </si>
  <si>
    <t>Elle n'aime pas trop les contacts physiques ni les choses nouvelles ou les lieux inconnus.</t>
  </si>
  <si>
    <t>Noelie a besoin d'aide pour boire et manger. Elle a besoin d'être constament surveillée car elle met tout à la bouche et elle n'a pas conscience es dangers.
Elle est très sensible aux bruits et aux sons. Elle a très vite peur lorsqu'il y a trop de bruits forts ou trop de monde, etc. 
Elle ne joue que très peu seul.</t>
  </si>
  <si>
    <t>Syndrôme Potocki-shaffer (maladie rare)</t>
  </si>
  <si>
    <t>Retard mental / Retard psychomoteur Global</t>
  </si>
  <si>
    <t>oui, aime beaucoup la voiture. Elle a un vélo adapté, à de la difficulté dans les pentes et sur un terrain accidenté</t>
  </si>
  <si>
    <t>elle aime beaucoup mais ne sait pas nager</t>
  </si>
  <si>
    <t>se débrouile seul. Elle à du mal pour les boutons. Il faut regler l'eau pour qu'elle ne soit pas trop chaude et la stimuler pour la suite. Propre la journée il faut lui dire d'aller au wc avant de sortire. Parfois incontinance et à des protections pour la nuit. Ce couche à 20h30</t>
  </si>
  <si>
    <t>Rosyne parle, avec l'habitude on la comprend bien</t>
  </si>
  <si>
    <t>les jeux abstraits ont peu de sens pour elle, s'occupe seule</t>
  </si>
  <si>
    <t>lui couper les aliments et l'encourager à utiliser les services et veiller à la propreter</t>
  </si>
  <si>
    <t>sucre</t>
  </si>
  <si>
    <t>aupporte les long trajet</t>
  </si>
  <si>
    <t>père Didier mère sarah et un frère prénomer killian.</t>
  </si>
  <si>
    <t>oui après le repas de midi</t>
  </si>
  <si>
    <t>Autonome, lui donner un peu d'aide de temps en temps.</t>
  </si>
  <si>
    <t>Communique bien mais il  a de la pein à articuler. Attention, il teste souvent les limites des personnes qu'il ne connait pas. Il faut bien le cadrer.
Etre sévère avec lui, ne pas se laisser marcher dessus. S'il n'obéit pas il faut lui dire soit d'aller dans un coin soit dans la chambre.
Faire gaffe au téléphone de la maison car il peut appeler la police.
Pour les repas et la douche il faudra mettre la minuterie car il a tendance à traîner beaucoup.</t>
  </si>
  <si>
    <t>La semaine Mechack suit un enseignement spécialisé à St-Agnès à Sion.</t>
  </si>
  <si>
    <t>Il a grand frère de 14 ans et une demi-sœur dans son pays d'origine</t>
  </si>
  <si>
    <t>Il aime beaucoup les jeux à l'extérieur tels que la football, la trotinette, le roller, le vélo.
!!!!!!!!ATTENTION LORS DES PROMENADES à L'EXTERIEUR, MECHACK NE PERCOIT PAS LES DANGERS ET PARTICULIEREMENT CEUX LIES AU TRAFIC ROUTIER</t>
  </si>
  <si>
    <t>Il a peur de la nouveauté</t>
  </si>
  <si>
    <t>Autonome mais il ne faut pas le laisser manger devant la télé.Bien lui laisser du temps pour manger 20 à 25 minutes.</t>
  </si>
  <si>
    <t>Lasagne</t>
  </si>
  <si>
    <t>Chocolat et attention au mets trop sucrés.</t>
  </si>
  <si>
    <t>Autonome mais il faut lui rappeler de boire chaque deux heures environ. Il ne faut pas lui donner à boire durant le repas sinon il ne mange rien, lui donner après qu'il ait fini de manger</t>
  </si>
  <si>
    <t>Il boit généralement de l'eau. Lors du goûter, il boit du jus ou du lait selon son désir.</t>
  </si>
  <si>
    <t>Le Coca et les boissons sucrées.</t>
  </si>
  <si>
    <t>283 997</t>
  </si>
  <si>
    <t>Paralysie cérébral congénitales ) OIC 390)</t>
  </si>
  <si>
    <t>Trouble de la motricité fine &amp; Hyper-Activité.</t>
  </si>
  <si>
    <t>Autonome. Lui rappeler de bien se nettoyer s'il est pressé et de se laver les mains.</t>
  </si>
  <si>
    <t>pas nécessaire, il aime bien se reposer en lisant un livre par exemple ou aime se faire raconter une histoire.</t>
  </si>
  <si>
    <t>177-58-081</t>
  </si>
  <si>
    <t>Il se déplace seul à l'intérieur, nous le poussons à l'extérieur</t>
  </si>
  <si>
    <t>Présence d'une personne obligatoire pour le tenir, de préférence un gilet</t>
  </si>
  <si>
    <t>Il a besoin d'une aide complète</t>
  </si>
  <si>
    <t>Il est positionné sur le côté pour dormir et s'il se réveille il a un changement de position de l'autre côté. 
Jean-Guy est un petit dormeur, il se réveille tôt le matin.</t>
  </si>
  <si>
    <t>Jean-Guy a de la difficulté à se faire comprendre. Son vocabulaire se limite à qqs mots qu'il prononce difficilement : souper, dîner, pipi, sortir, coca, café, chocolat. 
Il trouve toujours un moyen de nous montrer ce qu'il veut en se déplaçant, en rigolant ou en râlant. Il a un bon niveau de compréhension et aime l'hunour.</t>
  </si>
  <si>
    <t>La maman habite à Mâche</t>
  </si>
  <si>
    <t>Il a un frère qui est policier et un neveux qui s'appelle Loïc</t>
  </si>
  <si>
    <t>Jean-Guy apprécie beaucoup les promenades, les verrées, les restaurants ou repas de toutes sortes. Il est assez ouvert d'esprit en ce qui concerne les activités.</t>
  </si>
  <si>
    <t>Les activités infantilisantes (musiques pour enfants)</t>
  </si>
  <si>
    <t>mixée
Jean-Guy mange seul avec une cuillère à dessert, son assiette est surélevée sur un plot en bois et il utilise aussi un bord d'assiette.  il faut l'inciter à faire des pauses afin de limiter les fausses-routes.</t>
  </si>
  <si>
    <t>il apprécie les grosses portions/ l'encourager à manger calmement</t>
  </si>
  <si>
    <t>Poudre à épaissir à mettre pour boire, 1 cuillère par verre. Il boit seul, il faut l'inciter à faire des pauses afin de limiter les fausses-routes.</t>
  </si>
  <si>
    <t>Retard mental grave avec syndrome autistique et trouble du comportement</t>
  </si>
  <si>
    <t>Jean-Guy est allergique à la pénicilline</t>
  </si>
  <si>
    <t>Jean-Guy est incontinent</t>
  </si>
  <si>
    <t>Après le repas de midi et une fois pendant la nuit s'il se réveille</t>
  </si>
  <si>
    <t>marche à son rythme. Déplacement en voiture oui</t>
  </si>
  <si>
    <t>être à ses côtés pour lui donner les consignes et l'assister si nécessaire. Aide au brossage des dents par exemple.
Besoin particuliers: lui tenir la main pour monter et descendre les escaliers. Faire attention avec les bébés, petits enfants car elle peut être brusque. Ne pas laisser faire des bisous ou être prise dans les bras par des personnes qu'elle ne connait pas. Na pas conscience du danger. File très vite, la surveiller constament</t>
  </si>
  <si>
    <t>elle est langé pour la nuit et dort sur un matelas par terre</t>
  </si>
  <si>
    <t>elle parle ou elle montre ce qu'elle veut.</t>
  </si>
  <si>
    <t>musique, danser, poney, chanter, se promener, jouer, écouter des histoires.</t>
  </si>
  <si>
    <t>pas de viande rouge et peu de porc</t>
  </si>
  <si>
    <t>pas de sucrerie ou chocolat hors anniversaire. Pas de biscuits ni dessert. Sauf yoghourts ou fruit</t>
  </si>
  <si>
    <t>Boisson Gazeuze</t>
  </si>
  <si>
    <t>opéré du cœur à 7 mois = traitement préventif ne cas d'opération</t>
  </si>
  <si>
    <t>l'accompagner pour tout les actes de la vie en général</t>
  </si>
  <si>
    <t>la nuit elle est langée et le jour pas. Il faut l'amener au toilette régulièrement.</t>
  </si>
  <si>
    <t>Bureau des réfugiés Aurèle Bruchez 027 607 19 25</t>
  </si>
  <si>
    <t>Yahor adore la piscine. Pour aller dans l'eau, il a une bouée pour soutenir sa nuque et des protections adaptées. Jamais sans surveillance.</t>
  </si>
  <si>
    <t>Aide complète pour l'habillement</t>
  </si>
  <si>
    <t>Se couche habituellement au alentour de 21h00 et préfère généralement être positionné sur le coté droit.</t>
  </si>
  <si>
    <t>Yahor ne parle pas. Il sourit, rigole et suce son pouce lorsque tout va bien. Lorsqu'il se crispe et bouge beaucoup, il s'agit d'un signe que qqch ne va pas (fatigue)</t>
  </si>
  <si>
    <t>Yahor vit avec ses parent et va à l'école de la Bruyère à Sion. Toutes sa famille habite en Biélorussie. Il communique avec eux par skype.</t>
  </si>
  <si>
    <t>Yahor est fils unique</t>
  </si>
  <si>
    <t>Il aime lorsqu'on s'occupe de lui, qu'on lui donne ses jouets. Il aime aussi écouter la musique, les dessins animés. C'est un garçon très sociable qui aime écouter les discussions autour de lui.</t>
  </si>
  <si>
    <t>Il n'aime pas ne rien faire. Il s'enèrve lorsqu'il n'a pas assez dormi ou à mal quelque part.</t>
  </si>
  <si>
    <t>Il mange mixé. Lui donner à manger avec une cuillère à café et redresser sa chaise.</t>
  </si>
  <si>
    <t>Il adore la soupe</t>
  </si>
  <si>
    <t>Tout ce qui est piquant.</t>
  </si>
  <si>
    <t>Boit dans un biberon</t>
  </si>
  <si>
    <t>Il aime le sirop avec de l'eau tiède, le cacao tiède ou le lait tiède avec du miel.</t>
  </si>
  <si>
    <t>88015529</t>
  </si>
  <si>
    <t>Retard mental</t>
  </si>
  <si>
    <t>douche sur le lit douche. Yahor aime bien être baigné. Aide totale.</t>
  </si>
  <si>
    <t>Yahor est langé jour et nuit! Nous pouvons essayer de le mettre sur la chaise percée si elle est adaptée pour lui.</t>
  </si>
  <si>
    <t>Yahor fait habituellement une sieste les repas</t>
  </si>
  <si>
    <t>Elle supporte les longs trajets en bus.</t>
  </si>
  <si>
    <t>Elle apprécie beaucoup l'eau</t>
  </si>
  <si>
    <t>Elle a besoin d'une aide totale pour l'habillement.</t>
  </si>
  <si>
    <t>Elle dort de côté</t>
  </si>
  <si>
    <t>Léanne n'a pas d'expression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</si>
  <si>
    <t>Activités en plein air, écouter la musique, les câlins, des histoires</t>
  </si>
  <si>
    <t>Léanne aime bien manger à la cuillère de la compote et des petits gervais.</t>
  </si>
  <si>
    <t>012.08.19.501.4</t>
  </si>
  <si>
    <t>Changement de pampers 3x/j</t>
  </si>
  <si>
    <t>Il supporte bien les long trajets en bus.</t>
  </si>
  <si>
    <t>Il fait la la piscine avec sporthandicap</t>
  </si>
  <si>
    <t>Luca se débrouille assez bien mais il faut contrôler s'il a mis comme il faut les pantalons.</t>
  </si>
  <si>
    <t>En général il dort assez bien.</t>
  </si>
  <si>
    <t>Verbale.
Luca est en très bonne santé. Il a fait beaucoup de pregrès dans l'autonimie. Il est très facile à vivre.</t>
  </si>
  <si>
    <t>Il amie la marche, la gym, la nage, la musique, le théâtre, l'histoire, etc.</t>
  </si>
  <si>
    <t>La course à pied, le vélo.</t>
  </si>
  <si>
    <t>Il est autonome. 
A surveiller les aliments à cause de son poids.</t>
  </si>
  <si>
    <t>189-12-371</t>
  </si>
  <si>
    <t>Pied Bot, Handicap mental.</t>
  </si>
  <si>
    <t>Il est autonome, mais il faut contrôler en cas de selles</t>
  </si>
  <si>
    <t>Foyer Valais de Cœur 027 451 21 82</t>
  </si>
  <si>
    <t>Il adore la piscine. Cependant, les moments des vestiaires et de la mise à l'eau sont un grand stress pour lui. Il risque donc de crier. Il faut le rassurer, lui parler calmement et lui expliquer les choses.</t>
  </si>
  <si>
    <t>Très variable. Dort sur le dos et mettre des chaussettes anti-escarre.</t>
  </si>
  <si>
    <t>Francis ne parle pas beaucoup. Il faut le questionner, mais parfois il ne répond pas.
Lorsqu'il ne se sent pas bien (s'il est dérangé ou qu'il a peur) il crie. Mais il ressent également le stress et la peur chez les personnes qu'il côtoient. Francis est également très taquin. Il lui arrive de crier parce  qu'il ressent notre malaise.</t>
  </si>
  <si>
    <t>Sabine, son ex-femme s'occupe beaucoup de Francis. Son frère Serge est également très présent dans sa vie. Francis a beaucoup voyagé dans sa jeunesse. Son handicap est du à un accident de moto.</t>
  </si>
  <si>
    <t>il a un frère qui s'appelle Serge et un autre qui s'appelle Philippe.</t>
  </si>
  <si>
    <t>Francis est un grand connaisseur d'art, de littérature et de musique classique. Il a notamment étudié l'histoire de l'art à l'université de Genève puis à Lausanne. (il aime donc bien la lecture, écouter de la musique, regarder des opéra)</t>
  </si>
  <si>
    <t>Autonomie pour les repas : assiette avec collerette, il porte à la bouche les aliments déjà coupés. S'il n'arrive pas seul, il faut l'aider.</t>
  </si>
  <si>
    <t>Toujours lui demander ce qu'il souhaite</t>
  </si>
  <si>
    <t>Alimentation trop riche en graisse, mais peut se permettre des écarts</t>
  </si>
  <si>
    <t>0882 457</t>
  </si>
  <si>
    <t>TCC (traumatisme crânien)</t>
  </si>
  <si>
    <t>Epilepsie</t>
  </si>
  <si>
    <t>Protection Tena confort tous les jours + condom (jour et nuit). Jour du supp. mettre une grande protection.</t>
  </si>
  <si>
    <t>Ne tient pas seul sur les WC, mettre sur chaise-percée. Attention, il peut faire des malaises sur les WC. Prendre TA - allonger - surélever les membres inférieurs.</t>
  </si>
  <si>
    <t>Pansement de protection sur la cheville externe droite (Mépitex border) car il a un mouvement continu de frottement dans le lit et "brûle" cet endroit</t>
  </si>
  <si>
    <t>Transfert avec l'élévateur</t>
  </si>
  <si>
    <t>Lucie de Preux, SSM Emera</t>
  </si>
  <si>
    <t>Le motiver à marcher. Toujours accompagné sinon ne sort pas.</t>
  </si>
  <si>
    <t>Il nage mais à sa façon</t>
  </si>
  <si>
    <t>Apprécie d'être bien habillé, sa maman prépare les habits du matin. Aide pour aller travailler pour gagner du temps.</t>
  </si>
  <si>
    <t>Il dort avec une petite lampe allumé</t>
  </si>
  <si>
    <t>Il parle mais ne s'exprime pas; il faut parfoit lui reposer la question ou expliquer d'une autre façon.</t>
  </si>
  <si>
    <t>Ses parents</t>
  </si>
  <si>
    <t>Pas de frère, ni de sœur</t>
  </si>
  <si>
    <t>TV, jeux vidéos, ordinateur, musique. Avant il faisait du fitness.</t>
  </si>
  <si>
    <t>le motiver, le stimuler, l'encourager</t>
  </si>
  <si>
    <t>Poulet, pâtes, frites, sauces,.. Mange de tout</t>
  </si>
  <si>
    <t>coca. Thé froid,..</t>
  </si>
  <si>
    <t>N'aime pas l'eau. Apprécie peu l'alcool</t>
  </si>
  <si>
    <t>326-02-423</t>
  </si>
  <si>
    <t>difficultés d'apprentissage</t>
  </si>
  <si>
    <t>difficultés de contacts</t>
  </si>
  <si>
    <t>vérifier la propreté après le passage aux toilettes.</t>
  </si>
  <si>
    <t>Elle est de langue maternelle allemande. Elle parle et compred le français.</t>
  </si>
  <si>
    <t>Elle a un fils de 26 ans (Julien)</t>
  </si>
  <si>
    <t>158.74.078</t>
  </si>
  <si>
    <t>Besoin d'aide</t>
  </si>
  <si>
    <t>Elle a une sonde</t>
  </si>
  <si>
    <t>Nicolas Rossier</t>
  </si>
  <si>
    <t>Avec l'aide</t>
  </si>
  <si>
    <t>En cas d'uregence appeler au 027 327 29 12 Couper les aliments de trop grosses tailles.</t>
  </si>
  <si>
    <t>1947451</t>
  </si>
  <si>
    <t>En cas d'urgence, appeler le papa ou la maman.</t>
  </si>
  <si>
    <t>N'aime pas trop les longues marches.</t>
  </si>
  <si>
    <t>Adore la piscine. Elle porte des manchons.</t>
  </si>
  <si>
    <t>Il faut lui choisir les habits.</t>
  </si>
  <si>
    <t>Elle a pour habitude d'avoir ses doudous et une bouteille d'eau pour aller au lit.</t>
  </si>
  <si>
    <t>Elle vit à Grimisuat avec sa maman et sa sœur</t>
  </si>
  <si>
    <t>Elle a une grande sœur, Pauline</t>
  </si>
  <si>
    <t>Elle a une amie avec laquelle elle s'entend très bien, elle s'appelle Klersu</t>
  </si>
  <si>
    <t>Justine aime la piscine, la musique, la cuisine, le bricolage et regarder des films</t>
  </si>
  <si>
    <t>Justine apprécie tout</t>
  </si>
  <si>
    <t>Surveiller un peu car tendance à trop manger</t>
  </si>
  <si>
    <t>Alimentation trop grasse</t>
  </si>
  <si>
    <t>Autonome mais privilégier l'eau gazeuse.</t>
  </si>
  <si>
    <t>Contrôler qu'elle le fasse correctement</t>
  </si>
  <si>
    <t>Rien de particulier, relativement autonome</t>
  </si>
  <si>
    <t>En cas d'urgence: Skender Berisha 0792782362</t>
  </si>
  <si>
    <t>Ne supporte pas les longs trajets. Malade, vomissements, tête qui tourne.</t>
  </si>
  <si>
    <t>Aime aller à la piscine</t>
  </si>
  <si>
    <t>Stimuler pour l'habillement, contrôler qu'il ait l'habillement adapté à la saison.</t>
  </si>
  <si>
    <t>Pas besoin d'un lit à barrière.</t>
  </si>
  <si>
    <t>S'exprime peu, souvent pas de sens dans ses mots. Il n'arrive pas à situer les heures ni à raconter les détails d'une journée complète.</t>
  </si>
  <si>
    <t>Vélo, foot, skis, bob, manger dehors, cinéma, balade au bord du lac, aime les activités extérieures. Il adore les animaux et aime être occupé.</t>
  </si>
  <si>
    <t>Mange très lentement. Sépare les aliments. Il ne mange pas très chaud. Il commence à manger ce qu'il aime pas et fini par ce qu'il aime. Mange peu mais souvent.</t>
  </si>
  <si>
    <t>Troubles autistiques, maux de tête (dafalgan).</t>
  </si>
  <si>
    <t>Se retient beaucoup avant d'aller à selles lors d'activités de longue durée. Il s'oublie et il perd sa continence si un adulte ne lui demande pour d'aller au WC.</t>
  </si>
  <si>
    <t>Test</t>
  </si>
  <si>
    <t>Tétrasomie 18p Maladie génétique rare</t>
  </si>
  <si>
    <t>Hypotonie importante - reflux</t>
  </si>
  <si>
    <t>Bronchite chroniques en cours de traitement</t>
  </si>
  <si>
    <t>x</t>
  </si>
  <si>
    <t>0797823517</t>
  </si>
  <si>
    <t>Il ne sais pas nager et a des flotteurs , mais il adore l'eau.</t>
  </si>
  <si>
    <t>Il s'habille avec guidance</t>
  </si>
  <si>
    <t>Il parle mais prononce mal,les mots sont incomplèts</t>
  </si>
  <si>
    <t>aime les animaux mais il en a peur.Il aime les voitures, les dinosaures,les billes.Noé aime les tobogans,la piscine,le roller,le vélo et faire la course.</t>
  </si>
  <si>
    <t>Il a besoin d'etre rassuré,stimulé.Son manque de tonus dans le bas du corps lui donne beaucoup de problème de coordination.Parfois l'egget de groupe peut l exiter.(l'isoler un moment peut aider</t>
  </si>
  <si>
    <t>Il mange de tout.ne réclame jamais une 2 ème fois.Noé est gaucher, mange avec un bord d'assiette, bien coupé fin</t>
  </si>
  <si>
    <t>lait,riz(constipation)</t>
  </si>
  <si>
    <t>il boit de tout et seul</t>
  </si>
  <si>
    <t>756.3554.0411.63</t>
  </si>
  <si>
    <t>Troubles auditifs:nécessiste de lui parler en face et distinctement.Trouble de la vision:ne voit pas les reliefs et évalue mal les distances.</t>
  </si>
  <si>
    <t>Il se plaint souvent de mal à la tête.</t>
  </si>
  <si>
    <t>Fait en partie seul, mais a besoin de guidance et d' aide. Aide pour le lavage des dents.</t>
  </si>
  <si>
    <t>Se retient pas longtemps,il oublie d'aller au Wc.Etre attentif si il se dendine.  Protection la nuit.</t>
  </si>
  <si>
    <t>N° de son frère Yannick : 079/394.15.44</t>
  </si>
  <si>
    <t>aime les marches dans la forêt ou autre _ environ 2 heures de marche sans problème</t>
  </si>
  <si>
    <t>aime beaucoup l'eau - fait partie de natation compétition de sport handicap Sierre</t>
  </si>
  <si>
    <t>il n'a pas la sensation du froid ou chaud - à contrôler l'habillement - sinon s'habille et se dàshabille seul</t>
  </si>
  <si>
    <t>pas de problème de sommeil - mais ne va pas de lui-mêm au lit : pas de sensation de sommeil - donc peut rester devant la TV jusqu'à 23h si on ne lui donne pas l'ordre de se coucher.</t>
  </si>
  <si>
    <t>il a de la peine à s'exprimer correctemetn - mais comprend tout - si on ne comprend pas, il redit d'une autre manière.</t>
  </si>
  <si>
    <t>son papa et sa maman</t>
  </si>
  <si>
    <t>2 frères : l'aîné (Damien) qui est marié et vit à Madagascar - son jumeau (Yannick) qui est marié et qui vit à Anzère</t>
  </si>
  <si>
    <t>son équipe de sport handicap de natation à Sierre</t>
  </si>
  <si>
    <t>piscine - cinéme - mini golf - bowling - jeux d'intérieurs - puzzle - mots fléchés - TV - marche - raquette à neige</t>
  </si>
  <si>
    <t>mange seul, il a de la peine à couper sa viande, n'arrive pas à faire ses tartines.</t>
  </si>
  <si>
    <t>frites, saucisse de veau, saucisse à rôtir, gruyère, yogurth, purée, salade, épinards hachés.</t>
  </si>
  <si>
    <t>il n'aime pas trop les légumes</t>
  </si>
  <si>
    <t>il boit seul, mais n'a pas la sensation de soif. Il faut lui dire de boire</t>
  </si>
  <si>
    <t>coca zéro - thé froid pêche - chocolat viennois - capuccino - tisane</t>
  </si>
  <si>
    <t>aucun - il n'aime pas le café</t>
  </si>
  <si>
    <t>80756003760011416835</t>
  </si>
  <si>
    <t>piqûre d'abeille</t>
  </si>
  <si>
    <t>se douche seul avec un robinet mélangeur - à contrôler la chaleur de l'eau.</t>
  </si>
  <si>
    <t>pas besoin d'aide</t>
  </si>
  <si>
    <t>Si absence des parents : Grand-Père 079 361 24 84</t>
  </si>
  <si>
    <t>Julie se déplace assise et en rampant</t>
  </si>
  <si>
    <t>Elle adore mais avec surveillance</t>
  </si>
  <si>
    <t>A besoin d'une aide complète pour l'habillement</t>
  </si>
  <si>
    <t>Julie dort bien! Rien de particulier!</t>
  </si>
  <si>
    <t>Julie parle bien</t>
  </si>
  <si>
    <t>Elle adore Dora. Julie aime beaucoup sa famille et faire des jeux.</t>
  </si>
  <si>
    <t>Elle n'aime pas lorsqu'on lui touche les cheveux.</t>
  </si>
  <si>
    <t>Elle est très difficile pour manger. Elle commence à manger avec la cuillère.</t>
  </si>
  <si>
    <t>756.3359.0124.05</t>
  </si>
  <si>
    <t>Elle a besoin d'aide</t>
  </si>
  <si>
    <t>Julie est langée</t>
  </si>
  <si>
    <t>En cas d'urgence: Jacqueline Zadik 076 396 28 46</t>
  </si>
  <si>
    <t>Il aime mais ne sait pas nager. A besoin de surveillance.</t>
  </si>
  <si>
    <t>Il a besoin d'aide pour l'habillement.</t>
  </si>
  <si>
    <t>Il parle très peu, en Espagnol. Il utilise des pictogrammes et prend par la main pour exprimer ses besoins.</t>
  </si>
  <si>
    <t>Mateo a un petit frère et une grande sœur.</t>
  </si>
  <si>
    <t>Mateo aime le trampoline, les jeux d'eau, la piscine, les parcs publiques et les balades aux iles.</t>
  </si>
  <si>
    <t>Il n'aime pas marcher, les jeux de société, les rêgles et normes.</t>
  </si>
  <si>
    <t>Il sélectionne ce qu'il veut manger. S'il ne veut pas manger, ses parents utilisent la tablette.</t>
  </si>
  <si>
    <t>Adore les hamburgers</t>
  </si>
  <si>
    <t>TSA (autisme)</t>
  </si>
  <si>
    <t>A besoin d'aide pour se laver</t>
  </si>
  <si>
    <t>Mateo est langé jour et nuit et a besoin d'aide pour aller aux toilettes.</t>
  </si>
  <si>
    <t>en cas d'urgence : Jacqueline Zadik 079 396 28 46</t>
  </si>
  <si>
    <t>aime la piscine mais a besoin de surveillance</t>
  </si>
  <si>
    <t>avec de l'aide totale</t>
  </si>
  <si>
    <t>rien à signaler</t>
  </si>
  <si>
    <t>Il ne parle pas.. Il pleure ou il crie pour s'exprimer.</t>
  </si>
  <si>
    <t>Maximilien a un grand frère et une grande sœur.</t>
  </si>
  <si>
    <t>Il aime la piscine, les parcs, le bac à sable, jeter des cailloux dans l'eau et les jeux pour bébés</t>
  </si>
  <si>
    <t>Ranger, écouter et faire des jeux dirigés</t>
  </si>
  <si>
    <t>Sans problème particulier. Avec de l'aide.</t>
  </si>
  <si>
    <t>80756007740007835507</t>
  </si>
  <si>
    <t>avec de l'aide totale.</t>
  </si>
  <si>
    <t>Maximilien est langé jour et nuit.</t>
  </si>
  <si>
    <t>Luca adore les piscine. Il porte des manchons et il est important d'être toujours avec lui pour le surveiller.</t>
  </si>
  <si>
    <t>L'habillement se fait avec l'aide d'une personne en guidance</t>
  </si>
  <si>
    <t>Rien de spécial. Il faut rester à coté de lui dans le lit lors du couché pour le calmer et évité qu'il fasse le fou.</t>
  </si>
  <si>
    <t>Luca ne parle pas. Il communique avec l'aide de pictogramme et des photos. Il prend également la main et amène la personne vers ce qu'il désire.</t>
  </si>
  <si>
    <t>Il vit à sion avec ses parents et son petit frère. Il est intégrer à l'école de la Bruyère à Sion</t>
  </si>
  <si>
    <t>Il a un petit frère Marco</t>
  </si>
  <si>
    <t>Il aime aller à la piscine , au jardin d'enfant. Il aime également courir.</t>
  </si>
  <si>
    <t>Il n'aime pas le vélo</t>
  </si>
  <si>
    <t>Luca mange en guidance avec l'aide d'une tierce personne.</t>
  </si>
  <si>
    <t>Les carottes en particulier ainsi que tous les fruits et les légumes</t>
  </si>
  <si>
    <t>Luca est autonome pour boire.</t>
  </si>
  <si>
    <t>Le coca (seulement après les 6 gomettes)</t>
  </si>
  <si>
    <t>95514431</t>
  </si>
  <si>
    <t>TSA, trouble de la spère autistique (autisme)</t>
  </si>
  <si>
    <t>Luca le lave en guidance avec l'aide d'une tierce personne. Il a l'habitude de se brosser les dents sur la chaise de la cuisine.</t>
  </si>
  <si>
    <t>Il faut lui rappeler d'aller au toilette environ chaque 1/2 heure lorsqu'il est à la maison Lorsqu'il va au toilette, il a le droit à une gomette.à la 6ème, Luca a droit à un 1/2 verre de coca pour le féliciter. Pour l'extérieur, il porte des protections. Etre attenfif à ce que Luca ne joue pas avec ses selles.</t>
  </si>
  <si>
    <t>Luca ne fait plus de sieste</t>
  </si>
  <si>
    <t>Autonome avec sa chaise pour les courts trajets, plats.</t>
  </si>
  <si>
    <t>Il aimerait beacoup aller à la piscine mais n'a pas l'occasion d'y aller dans le cadre de l'institution.</t>
  </si>
  <si>
    <t>Stefano s'habille avec de l'aide.</t>
  </si>
  <si>
    <t>Rien de spécifique, il dort sur le dos et se met lui-même sur le coté en s'aidant de la barrière. Il dort généralement bien. Durant la nuit, lui proposer l'urinal à deux reprises (pendant les veilles)</t>
  </si>
  <si>
    <t>Stefano s'exprime très bien verbalement. Il peut vite s'emporter en parlant des personnes ou d'évenements du passé. Il est important parfois de le cadrer et de le remettre dans la réalité. Il est tres affectueux et apprécie être avec les gens et le leur dit. Cependant, il est important de garder une certaine distance et de le cadrer si nécessaire (notamment avec les femmes) car il peut faire des demandes innapropriées ( massage, calin, etc.</t>
  </si>
  <si>
    <t>Il parle beaucoup de sa famille et de son pays d'origine, l'Italie. Sa mère, Giulia, vit à Martigny et l'accueil le dimanche à la maison. Elle est âgée et rencontre des problèmes de santé. Il se fait beaucoup de soucis pour elle et a besoin d'en parler</t>
  </si>
  <si>
    <t>Il aime beaucoup discuter avec les gens. Il apprécie les promenades, le dessin et la musique. Il adore chanter.</t>
  </si>
  <si>
    <t>Stefano a peur des animaux.</t>
  </si>
  <si>
    <t>Autonome à table du moment qu'il a ses moyens auxiliaires : support en bois surelevé, fourchette et cuillère ergonomique, rebord d'assiette et bavette</t>
  </si>
  <si>
    <t>Stefano mange volontiers de tout.</t>
  </si>
  <si>
    <t>Il mange en petite quantité car il est au régime. Un premier service de tout et un deuxième de légumes, peu de sucre.</t>
  </si>
  <si>
    <t>Il n'apprécie pas du tout le riz au lait</t>
  </si>
  <si>
    <t>745.62.458.151</t>
  </si>
  <si>
    <t>Stefano se plaint parfois d'avoir mal aux yeux. Possibilité de lui mettre des gouttes ou du gel pour les humidifier</t>
  </si>
  <si>
    <t>Il utilise la chaise percée pour la douche. Il est capable de se laver le haut et besoin d'aide pour le reste.</t>
  </si>
  <si>
    <t>Il se lève de la chaise avec de l'aide et en se tenant par la barre. Il fait alors une rotation pour se mettre sur les WC. Il va au WC plusieurs fois par jour et la nuit, utiliser l'urinal.</t>
  </si>
  <si>
    <t>Pas nécessairement. Stefano demande s'il veut faire une sieste</t>
  </si>
  <si>
    <t>Capable d'avancer seul avec son fauteuil.</t>
  </si>
  <si>
    <t>Roland apprécie la piscine</t>
  </si>
  <si>
    <t>Aide totale pour l'habillement.</t>
  </si>
  <si>
    <t>Apprécie la sieste.
Dossier à 30 * pour déglutition de la salive.</t>
  </si>
  <si>
    <t>Ne parle pas verbalement. Pouce vers le menton pour dire "je veux sortir". Roland crie s'il n’est pas content ou frustré</t>
  </si>
  <si>
    <t>1 sœur Romaine 0794669904</t>
  </si>
  <si>
    <t>N'aime pas rien faire ( être actif avec lui)</t>
  </si>
  <si>
    <t>A la cuillière. Etre bien avec lui  quand on lui donne à manger. Attention , il attrappe la vaisselle et la jette par terre</t>
  </si>
  <si>
    <t>Riz au lait, semoule lactée.</t>
  </si>
  <si>
    <t>il n'aime pas la soupe.</t>
  </si>
  <si>
    <t>On lui donne à la cuillière à café.Avec épaissisant (texture similaire au yoghourt). Minimum 2 verres par repas.</t>
  </si>
  <si>
    <t>Boissons sucrées(cacao,sirop,thé,café),boisson lactée</t>
  </si>
  <si>
    <t>Mixé</t>
  </si>
  <si>
    <t>179-70-650</t>
  </si>
  <si>
    <t>Trouble de la sphère autistique, déficience intellectuelle, Epilepsie.</t>
  </si>
  <si>
    <t>Langé tout le temps.</t>
  </si>
  <si>
    <t>Roland est langé en permanence</t>
  </si>
  <si>
    <t>Roxane Monnet - 027 327 29 24</t>
  </si>
  <si>
    <t>En fauteuil roulant. James marche sur de courtes distances avec 2 cannes mais avec guidance et surveillance.</t>
  </si>
  <si>
    <t>James se déplace de manière autonome dans l'eau lorsqu'il a le fond,mais pas dans l'eau profonde</t>
  </si>
  <si>
    <t>Rock-Roll, hard rock. Aime les bagues et les cheveux mi-longs.</t>
  </si>
  <si>
    <t>James a besoin d'être stimulé 1x pendant la nuit . L'accompagner aux toilettes lors de la veille.</t>
  </si>
  <si>
    <t>James s'exprime bien. Parfois, il dit qu'il entend des voix, mais elles sont gentilles.</t>
  </si>
  <si>
    <t>Parents divorcés et âgés. Sa maman vit en EMS.</t>
  </si>
  <si>
    <t>une sœur et un frère.</t>
  </si>
  <si>
    <t>Guitare, échanger sur son voyage en Inde et ses expériences de vie. Ecouter de la musique et lire ses revues de musiques.</t>
  </si>
  <si>
    <t>James s'inquiète lors de nouveautés ou de l'inconnu.</t>
  </si>
  <si>
    <t>1 paquet de cigarette pour 2 jours. Il a une feuille qu'il signe.</t>
  </si>
  <si>
    <t>Au déjeuner, il mange un yahourt mocca.Il adore les frites</t>
  </si>
  <si>
    <t>Bière à 11h. Rituel (à respecter) 1 verre de vin à midi.</t>
  </si>
  <si>
    <t>les bières sont gérées par l'accompagnant.</t>
  </si>
  <si>
    <t>Consommation d'alcool sous surveillance. Car dépandance forte à l'alcool. Si il n'est pas accompagné.</t>
  </si>
  <si>
    <t>1539250</t>
  </si>
  <si>
    <t>TCC</t>
  </si>
  <si>
    <t>Schizophrénie traitée</t>
  </si>
  <si>
    <t>Augmentin</t>
  </si>
  <si>
    <t>Autonome. Se rase tous les matins après le petit-déjeuner.</t>
  </si>
  <si>
    <t>Automne</t>
  </si>
  <si>
    <t>James est autonome.</t>
  </si>
  <si>
    <t>Groupe A5 Jennifer Rudaz</t>
  </si>
  <si>
    <t>Langé / Rien de particulier</t>
  </si>
  <si>
    <t>quelques mots et quelques signes LSF</t>
  </si>
  <si>
    <t>Père : Vesel Haliti
mère : Elfete Haliti</t>
  </si>
  <si>
    <t>Ahmed (1997), Emine (2000) et Biondine (2002)</t>
  </si>
  <si>
    <t>Il aime la piscine, les livres, se reposer dans un sacco, faire des puzzles, du dessin, de la balançoire.</t>
  </si>
  <si>
    <t>Il mange avec la bouche ouverte, pas très proprement. Assis sur une chaise trip-trap et avec des services normaux. A tendance à mettre les mains dans la bouche et à toucher ses vêtements. Autrement, il mange de tout, même certains aliments qu'il aime moins (il faut juste le motiver un peu). Il prend en général deux petits services.</t>
  </si>
  <si>
    <t>pain, fruits, frites</t>
  </si>
  <si>
    <t>porc (musulman)</t>
  </si>
  <si>
    <t>Il boit dans un verre.</t>
  </si>
  <si>
    <t>eau, coca, thé froid</t>
  </si>
  <si>
    <t>756.1245.4413.91</t>
  </si>
  <si>
    <t>Retard du développement, Autisme (TSA)</t>
  </si>
  <si>
    <t>Il a besoin d'aide pour le lavage des dents. A tendance à frotter une fois partout, sans que ce soit efficace. Pour le lavage des mains, il arrive tout seul, il faut juste contrôler qu'il frotte bien. Pour son visage, il passe une lavette mouillée mais n'appuie pas vraiment, du coup il faut l'aider.</t>
  </si>
  <si>
    <t>Il est langé, mais il travaille sur l'apprentissage de la propreté durant la journée à la Castalie. Il dit qu'il veut aller aux WC en disant "pipi". S'il n'y pense pas pendant 30-45 minutes, lui proposer d'aller aux toillettes.</t>
  </si>
  <si>
    <t>Siége-auto - Poussette</t>
  </si>
  <si>
    <t>Va à la piscine tous les jeudi à la Castalie. Apprécie énormément.</t>
  </si>
  <si>
    <t>Ne s'habille pas seule - Vêtements très variés et en général souples, sans manches pour les manteaux.</t>
  </si>
  <si>
    <t>Lui lire/raconter une histoire dans son lit, dans le calme (présence de la veilleuse obligatoire) - sur le dos ou du côté droit - pyjama et duvet - Pleure parfois la nuit, mais se rendort facilement. Si les pleurs se font insistants et persévérents, réclame alors un changement de position.</t>
  </si>
  <si>
    <t>Communication / discussion avec l'entourage: balbutiement - Mécontentement: cris et pleurs sans larmes - Douleur: pleurs avec larmes.</t>
  </si>
  <si>
    <t>Les parents, principalement, et les grands-parents paternels</t>
  </si>
  <si>
    <t>Enfants d'un couple d'amis (Alicia et Sofia). Les apprécie énormément, de longs sourires et balbutiements en leur présence</t>
  </si>
  <si>
    <t>Se promener en voiture et en poussette avec les parents (sentiment de réconfort)</t>
  </si>
  <si>
    <t>Le contact avec des inconnus, se retrouver seule, entre autres</t>
  </si>
  <si>
    <t>Tous les aliments mixés, mangeant à l'aide d'une cuillère à dessert.
Matin : un grand bol de lait avec céréales et biscuits 
Midi : une purée de légumes + féculents + graminées, viande, poisson ou œuf (ajout de matière grasse : huile d'olive, beurre, huile de tournesol, crème fraîche) + 1 ou 2 yaourts à la fin du repas. 
Après-midi : dessert enrichissants (tiramisu, riz au lait, ile flottante, etc). 
Soir : un grand bol de fruits + biscuits ou yaourts.</t>
  </si>
  <si>
    <t>Fruits et yaourts.</t>
  </si>
  <si>
    <t>Dans une gourde, avec l'aide de quelqu'un. Le verre peut être aussi utilisé.</t>
  </si>
  <si>
    <t>Eau en bouteille. Thé froid occasionnellement.</t>
  </si>
  <si>
    <t>Infirmité congénitale 395 OIC.</t>
  </si>
  <si>
    <t>Moteur et cérébral.</t>
  </si>
  <si>
    <t>1fois/2: douche matinale - 1fois/2: toilette avec gant. Utilisation d'une pommade pour peaux très sèches</t>
  </si>
  <si>
    <t>Protection à changé minimum 4 x par jour</t>
  </si>
  <si>
    <t>Sérum physiologique tous les matins - Aspirateur nasal à piles et mouchoirs très rarement.</t>
  </si>
  <si>
    <t>Sur les côtés ou sur le dos (jamais sur le ventre - sentiment de panique).A éviter le côté droit où se situe la pompe</t>
  </si>
  <si>
    <t>min. 5x/jour: s'agite dès qu'elle ne sent pas bien dans une postiion.</t>
  </si>
  <si>
    <t>en fauteuil roulant.</t>
  </si>
  <si>
    <t>Igor ne sait pas nager. S'il a le fond, il s'éclate car il fait de la physio en piscine 1x/semaine. Il a donc l'habitude.</t>
  </si>
  <si>
    <t>à besoin d'aide surtout pour les chaussettes, les souliers et les sous-vêtements et éventuellement le pantalon.</t>
  </si>
  <si>
    <t>maman: Marie-Claude et son ami Jean-Bernard. Son papa Alain.</t>
  </si>
  <si>
    <t>1 frère Kosta, les 2 filles de Jean-Bernard, Leïla et Nora.</t>
  </si>
  <si>
    <t>Yvan et Bryan.</t>
  </si>
  <si>
    <t>ordinateur. Il aime regarder les machines de chantier.</t>
  </si>
  <si>
    <t>Il faut lui couper les aliments.</t>
  </si>
  <si>
    <t>salade, steack, frites</t>
  </si>
  <si>
    <t>dans un verre</t>
  </si>
  <si>
    <t>coca zéro, henniez citronnelle (de préférence à donner) ou cassis, limonade</t>
  </si>
  <si>
    <t>807 5600 77 4000 677 5950</t>
  </si>
  <si>
    <t>myopathie de Duchenne</t>
  </si>
  <si>
    <t>retard mental / Igor peut tomber à tout moment</t>
  </si>
  <si>
    <t>Igor à besoin d'aide pour aller aux WC, pour s'habiller, se déshabiller et s'essuyer s'il va à la selle.</t>
  </si>
  <si>
    <t>Jennyfer vit avec sa maman et sa petite sœur.</t>
  </si>
  <si>
    <t>1 sœur</t>
  </si>
  <si>
    <t>Animaux, Activité créatives, Piscine, Youtube</t>
  </si>
  <si>
    <t>Jennyfer n'apprécie pas le contact physique. Il est difficile pour jennyfer d'être avec des personnes de son âge.</t>
  </si>
  <si>
    <t>gratin, pâtes, Mac-do, pizza</t>
  </si>
  <si>
    <t>sprite, thé froid</t>
  </si>
  <si>
    <t>TSA (trouble du spectre autistique), Asperger</t>
  </si>
  <si>
    <t>Peut marcher 1 à 2 heures, Supporte bien les longs déplacements en voiture, il faut lui proposer les toilettes avant de partir.</t>
  </si>
  <si>
    <t>Marie peut nager sur des longueurs importantes (~ 300 mètres)</t>
  </si>
  <si>
    <t>Habits sports, pantalons sans fermeture éclair ni boutons. Elle porte des chaussures orthopédiques.</t>
  </si>
  <si>
    <t>marie a besoin de beaucoup de sommeil, elle se couche vers 20h30, elle a besoin de grand calme car son sommeil est léger.</t>
  </si>
  <si>
    <t>Marie ne parle pas mais communique avec des gestes simples</t>
  </si>
  <si>
    <t>Marie vit avec ses parents et participe à toutes les activités quotidienne et sorties, sauf parfois en soirée.</t>
  </si>
  <si>
    <t>Elle a une petite sœur qui s'appelle Julie qui a 22 ans et est étudiante en France, elle aime lui faire des calins.</t>
  </si>
  <si>
    <t>Marie recherche beaucoup les jeunes de son âge malheureusement peu ou pas d'amis viennent vers Marie.</t>
  </si>
  <si>
    <t>Elle aime la baignade, les promenades à pieds, musique, équithérapie, sortie restaurant, danse</t>
  </si>
  <si>
    <t>peinture, dessin, activités manuelles</t>
  </si>
  <si>
    <t>Assise à table les aliments doivent être coupés en petits morceaux dans une assiette creuse.</t>
  </si>
  <si>
    <t>Fromage, compote, crème dessert, poulet, purée</t>
  </si>
  <si>
    <t>Fruits à noyau, bonbon</t>
  </si>
  <si>
    <t>De préférence en position assise, à table. Sans glaçon et sans paille</t>
  </si>
  <si>
    <t>jus de fruit, coca-cola, lait, chocolat.</t>
  </si>
  <si>
    <t>756 5854 6443 96</t>
  </si>
  <si>
    <t>Marie n'a pas de communication verbale, elle a un retard mental, marche avec difficulté. Son champs visuel limité vers le bas.</t>
  </si>
  <si>
    <t>Marie apprécie l'eau et la douche. Il faut bien lui sécher entre les orteils et lui appliquer la crème antimycosique si necéssaire</t>
  </si>
  <si>
    <t>elle a besoin d'accompagnement pour les WC. Elle peut baisser les pantalon et culotte, a besoin d'être essuyée. Il faut lui proposer régulièrement les toilettes mais elle est propre jour et nuit.</t>
  </si>
  <si>
    <t>Marie peut changer de position seule sauf si assise au sol, il faut l'aider à se relever.</t>
  </si>
  <si>
    <t>Marie a besoin de marcher et s'arrête pour s'asseoir dès que possible</t>
  </si>
  <si>
    <t>test</t>
  </si>
  <si>
    <t>Fabien Diemunch</t>
  </si>
  <si>
    <t>marche sur tous les chemins, plats en montagne, en lui donnant parfois le bras, champs de vision réduit, ne voit pas ce qui est devant lui. Une promenade peut durer max. 1h30.</t>
  </si>
  <si>
    <t>aime l'eau, mais ne nage pas, aime mettre des fois la tête sous l'eau.</t>
  </si>
  <si>
    <t>l'aider à l'habiller, à boutonner, fermer la ceinture, lui mettre les souliers.</t>
  </si>
  <si>
    <t>Alexandre a une alèze imperméable. Il aime dormir seul avec la porte de la chambre fermée.</t>
  </si>
  <si>
    <t>assez limité, se répète souvent, s'exprime lors de fatigue ou d'attention sur lui avec des gros mots.</t>
  </si>
  <si>
    <t>Il a ses 2 parents et ses grands parents maternels.</t>
  </si>
  <si>
    <t>il a un frère qui s'appelle Grégoire</t>
  </si>
  <si>
    <t>les amis restent ceux du cercle familial. Les amis du chalet de Derborence et les amis pompiers</t>
  </si>
  <si>
    <t>Il aime le cheval, marche, basket, foot, dessins animés, reportage sur la nature et animaux</t>
  </si>
  <si>
    <t>être avec un grand groupe, il mélange et capte toutes conversations et il explose. Alexandre n'aime pas la musique trop forte.</t>
  </si>
  <si>
    <t>Normal, lui couper les aliments et parfois lui rappeler de manger.</t>
  </si>
  <si>
    <t>il aime tout en général</t>
  </si>
  <si>
    <t>cacahuètes le soir, chips avec modération.</t>
  </si>
  <si>
    <t>grapefruit - pamplemouse.</t>
  </si>
  <si>
    <t>eau, sirop, thé, lait, avec ovo ou chocolat</t>
  </si>
  <si>
    <t>après 14h, le cacao, le café.Après 19h ne plus lui donner à boire sauf 1/2 verre avec les medics à 20h.</t>
  </si>
  <si>
    <t>alcool - pamplemouse - grapefruit.</t>
  </si>
  <si>
    <t>2667611</t>
  </si>
  <si>
    <t>trouble de vue - équilibre- motricité des mains très réduite- épilepsie controlée.</t>
  </si>
  <si>
    <t>Alexandre confond le chaud et le froid. Toujours l'aider pour sa douche.</t>
  </si>
  <si>
    <t>Il demande souvent à la dernière minute, toujours l'accompagner, toujours regarder ce qu'il fait, ne sais pas s'essuyer. Il n'est pas incontinent, lui rappeler d'aller aux toilettes, au lever, avant et après une promenade ou avant d'aller au lit.</t>
  </si>
  <si>
    <t>Lui rappeler d'employer ses deux mains.</t>
  </si>
  <si>
    <t>A souvent tendance à se replier sur lui-même, lui rappeler de se redresser</t>
  </si>
  <si>
    <t>Marche seule et en lui tenant la main, pour les escaliers elle à besoin d'une barrière ou de tenir la main d'un adulte. Besoin d'un siège auto dû à son âge et sa grandeur éviter de lui donner bcp à boire avant le départ.</t>
  </si>
  <si>
    <t>ne sait pas nager. Elle va la ou elle à le fond ou elle s'accroche à un adulte quand elle n'a pas le fond. Aime bien l'eau.</t>
  </si>
  <si>
    <t>demande fréquemment de l'aide pour les gestes quatidien, commence à se désasbiller seule. Pour s'habiller à besoin d'aide, aussi pour la veste et les chaussures</t>
  </si>
  <si>
    <t>Abandonique, elle réclame ses parents. La rassuré un max. aime qu'on lui lise une histoire au couché. Pas de doudou précis. (Pelluche aléatoire).</t>
  </si>
  <si>
    <t>Timide , si le contact passe s'attache très vite. Elle parle, montre avec les mains. Zoé est très attachante.</t>
  </si>
  <si>
    <t>papa, maman, grand-maman paternel à sion, grand-papa paternel à estavayer le lac. Tante paternel à Fontainemelon. Grand père et grand-mère et oncle maternel à Bouveresse. Arrière grd mère paternel (101 ans) à Bulle.</t>
  </si>
  <si>
    <t>Amélya, Mélissa, Olivier à la maison. Steven et océane 1/2 frère et sœur paternel les ponts de martel.</t>
  </si>
  <si>
    <t>Auréliekottelat, yoann tomasin, et néo et preston Vuadens (FR) Filipe Silva et Florence Bornand (NE) Pascale et elodie Ryser (NE) Christiane et Kyliane Dormand (VD)</t>
  </si>
  <si>
    <t>Place de jeux, marcher petite distance, piscine, Puzzle, jardinage, cuisine, Uno sans jocker, cuisiner, etc.</t>
  </si>
  <si>
    <t>N'arrive pas avec le vélo fatigue très vite si elle doit tirer son poids</t>
  </si>
  <si>
    <t>Petite assiette, couverts adaptés. Gère très mal les aliments trop chaud. (brûlures)</t>
  </si>
  <si>
    <t>Mange de tout , elle adoreles fruits crus (tomate, poivrons), spaghettis bolo. Frites, chip's, les crèpes, tartine de nuttela ou au miel, les céréales au chocolat, le chocolat, les fromages froids.</t>
  </si>
  <si>
    <t>Attention à la mastication, mache très peu, peut s'étouffer si c'est trop gros.</t>
  </si>
  <si>
    <t>gros bonbon dur, chiclette, la viande rouge non hachée</t>
  </si>
  <si>
    <t>Au verre ou verre avec paille. 
Gère très mal les boissons chaudes (risque de brûlure)</t>
  </si>
  <si>
    <t>eau, sirop, jus de fruits.Cacao au petit déjeuner, lait frois si elle a de la peine à dormir</t>
  </si>
  <si>
    <t>boisson gazeuse</t>
  </si>
  <si>
    <t>880-67-181</t>
  </si>
  <si>
    <t>dysphasie, faiblesse musculaire généralisée hypotonie abandonique</t>
  </si>
  <si>
    <t>Trouble du langage, problème à mâcher, vite fatiguable, douleurs musculaire, besoin d'être rassuré et en contact avec l'adulte</t>
  </si>
  <si>
    <t>A besoin d'aide pour s'essuyer et remonter son pantalon. Si les toilettes sont hautes, soit la portée, soit un escabot.</t>
  </si>
  <si>
    <t>Elle est propre, tient les longs trajets, elle sait dire quand elle à besoin.</t>
  </si>
  <si>
    <t>Aucun besoin spécifique, elle peut demandé pour dormir ou s'endormir si elle est très fatiguée. Durant les activités, elle dit "J'ai mal" ou "Je suis fatiguée" traine les pieds, ralenti. Doit être stimulée, trouver le juste milieu.</t>
  </si>
  <si>
    <t>son épouse, Linda Duquesne : 079 384 63 47</t>
  </si>
  <si>
    <t>En voiture adaptée et en train</t>
  </si>
  <si>
    <t>Besoin d'aide - difficulté avec la sonde sus-pubienne.</t>
  </si>
  <si>
    <t>Besoin d'aide pour l'habillement car dépendant. Son style est classique - relativement bien tenue - propre et bien installer sur sa chaise.</t>
  </si>
  <si>
    <t>Aime dormir sur le dos. Il a un matelas de prévention et un coussin adapté sur sa chaise.</t>
  </si>
  <si>
    <t>laisser le temps de s'exprimer - bonne communication, parle doucement - calme - posé - bon fraçais</t>
  </si>
  <si>
    <t>Maman - papa - tante</t>
  </si>
  <si>
    <t>Il a un frère qui vit en France</t>
  </si>
  <si>
    <t>Il a plus d'amis en France qu'en Suisse</t>
  </si>
  <si>
    <t>Romain apprécie les parties de Scrable</t>
  </si>
  <si>
    <t>Romain a du mal à gérer ses colères</t>
  </si>
  <si>
    <t>Couper ses aliments</t>
  </si>
  <si>
    <t>légume courgette - viande saignante - Poisson</t>
  </si>
  <si>
    <t>sans graisse et sans sucre, viande blanche coupée à point</t>
  </si>
  <si>
    <t>très peu d'huile - sel - tomates - brocolis - choux fleur, lait</t>
  </si>
  <si>
    <t>Œufs</t>
  </si>
  <si>
    <t>Tiède - normal</t>
  </si>
  <si>
    <t>eau gazeuse - coca - henniez menthe - thé vert.</t>
  </si>
  <si>
    <t>Pas trop d'alcool</t>
  </si>
  <si>
    <t>80756099990000441546</t>
  </si>
  <si>
    <t>Traumatisée cranien cérébral sévère</t>
  </si>
  <si>
    <t>triplégie - trouble de la mémoire.</t>
  </si>
  <si>
    <t>Latex - Codéïne - certain antibiotique (Bactrim)</t>
  </si>
  <si>
    <t>Le mettre sur la chaise percée le matin. Douche tous les matins sur fauteuil de douche. Attention à l'hygiène et ne tolère pas de l'incompréhension de ce qui lui semble logique et facile. Escarre : Peau très fragile surtout au niveau des fesses et du sacrum.</t>
  </si>
  <si>
    <t>Sonde sus-pubienne (Uriflac)</t>
  </si>
  <si>
    <t>Traductrice : 079 129 80 03</t>
  </si>
  <si>
    <t>Il adore la piscine. Il doit toujours y avoir une surveillance.</t>
  </si>
  <si>
    <t>/</t>
  </si>
  <si>
    <t>Mileon utilise quelques mots pour se faire comprendre. Il utilise également quelques gestes. Il comprend le français</t>
  </si>
  <si>
    <t>Il vit à la maison avec sa maman et sa grande sœur.</t>
  </si>
  <si>
    <t>Il a une grande sœur qui s'appelle Diana.</t>
  </si>
  <si>
    <t>Il aime toutes les activités extérieurs (Piscine, marche, jeux)</t>
  </si>
  <si>
    <t>Aime tout</t>
  </si>
  <si>
    <t>Sirop, thé froid</t>
  </si>
  <si>
    <t>Mileon est autonome mais il faut bien lui rappeler d'aller au toilette.</t>
  </si>
  <si>
    <t>Bryan apprécie la marche, cela répond à son besoin de se dépenser.</t>
  </si>
  <si>
    <t>Bryan est épileptique donc le port du gilet est obligatoire.</t>
  </si>
  <si>
    <t>Bryan est capable de participer activement à son habillage et déshabillage, une fois son attention canalisée sur ce qu'il est en train de faire. Il a besoin d'aide pour finir les gestes de l'habillage.</t>
  </si>
  <si>
    <t>Il dort sur le ventre dans une combinaison afin qu'il ne puisse pas accéder à sa lange et y prendre les selles. Son lit est muni de barrières et d'un tapis en mousse au sol. Au réveil, il peut se manifester avec des bruitages ou taper contre les barrières.</t>
  </si>
  <si>
    <t>Bryan est un jeune souriant, curieux, avide d'échanges et de contact physique mais capable d'une posture plus distante. Losqu'il n'a pas l'attention souhaitée, il peut taper des pieds, dans les mains ou faire des bruits avec son nez. Il cherche la relation avec l'adulte présent, il apprécie les encouragemnt et les félicitations et y réagit positivement. Bryan sait dire "oui" en se tapant sur la poitrine. Il exprime sa colère ou ses contriariétés en s'opposant. Il peut s'asseoir au sol, nous mettre sa main au visage ou se mordre assez violemment. Losqu'une situation le touche, il réagit fortement en se rigidifiant et en se mordant le pouce, le tout accompagné de gémissements.</t>
  </si>
  <si>
    <t>relation conflictuel entre la maman et le papa.</t>
  </si>
  <si>
    <t>Nicolas Olivier (26ans)
Quentin (16 ans interne à la Castalie est sur le même groupe éducatif que Bryan)</t>
  </si>
  <si>
    <t>la relation avec ses camarades est difficile.</t>
  </si>
  <si>
    <t>Bryan aime et recherche la compagnie de ses pairs mais apprécie également la tranquilité. Il aime être à l'extérieur, se promener, faire du vélo, de la balançoire. Cepandant lors de promenades, il peut s'assoir au sol ou courrir à l'opposé du chemin emprunté. Il est souvent nécessaire que nous lui courrions derrière car bryan n'écoute plus aucune consigne. Il accepte que nous tenions le bras. Il aime les émissions sportives et jeux télévisés, écouter de la musique, feuilleter des magazines, avtivités culinaires, piscine.</t>
  </si>
  <si>
    <t>Il mange de manière autonome, avec une cuillère dans une assiette creuse à bords remontant ou dans un bol. Le moment des repas est difficile pour Bryan. L'encourager à manger par petites bouchées et en faisant des pauses et lui demander de nous donner son assiette lorsque son repas est terminé pour éviter qu'il ne la râcle en boucle. Au petit dejeuner, il nous dit ce qu'il souhaite manger, en pointant du doigt.</t>
  </si>
  <si>
    <t>Bryan a généralement bon appétit et mange de tout</t>
  </si>
  <si>
    <t>Intolérance au lactose. Bien lui couper les aliments en petits morceaux.</t>
  </si>
  <si>
    <t>les légumes et les fruits (à l'exception des bananes)</t>
  </si>
  <si>
    <t>intolérent au lactose</t>
  </si>
  <si>
    <t>boit de manière autonome, un verre d'eau au 1er service et un verre de sirop au début du 2ème service. Lui donner suffisamment à boire mais pas en excès pour éviter les débordement urinaires.</t>
  </si>
  <si>
    <t>pas de préférence, boit de tout</t>
  </si>
  <si>
    <t>jus de pomme et jus d'orange</t>
  </si>
  <si>
    <t>447.94.382.112</t>
  </si>
  <si>
    <t>retard du développement intellectuel</t>
  </si>
  <si>
    <t>Il prend des douches, attention car Bryan a tendance à employer le mélangeur d'eau pour mettre plus de pression. Bryan apprécie qu'on prenne soin de lui en lui appliquant de la crème sur le visage ou gel dans les cheveux</t>
  </si>
  <si>
    <t>Bryan n'a pas aquis la propreté. Il est langé jour et nuit. La nuit il dispose d'une miette afin de limiter les débordements urinaires. Lors du change, il faut lui demander de ne pas toucher son sexe et de tenir son T-shirt.</t>
  </si>
  <si>
    <t>Lui donner 2 objets pour lui occuper les mains</t>
  </si>
  <si>
    <t>Bryan peut faire des siestes après le temps de midi</t>
  </si>
  <si>
    <t>Mme francine Meyrat / Assistante sociale : P. Ames</t>
  </si>
  <si>
    <t>autonomie mais à vérifier</t>
  </si>
  <si>
    <t>difficulté dans le savoir-être, à se faire des amis</t>
  </si>
  <si>
    <t>un oncle, une tante, et 2 cousines à Salqunen, une grande-maman à Sion</t>
  </si>
  <si>
    <t>2 sœurs : Stéphanie (22 ans)
Mélanie (19 ans)</t>
  </si>
  <si>
    <t>Déborah (12 ans)
Leatitia (16 ans)
Napatson (15 ans)</t>
  </si>
  <si>
    <t>sports</t>
  </si>
  <si>
    <t>activités où il y a beaucoup de bruits</t>
  </si>
  <si>
    <t>tout sauf poisson (dégoût)</t>
  </si>
  <si>
    <t>756.4150.0423.32</t>
  </si>
  <si>
    <t>dyspraxie, syndrôme Asperger</t>
  </si>
  <si>
    <t>autonome à vérifier ongles et coiffage</t>
  </si>
  <si>
    <t>utilisation d'un fauteil roulant manuel pour l'extérieur</t>
  </si>
  <si>
    <t>A vérifier si Dino peut aller à la piscine avec son traitement</t>
  </si>
  <si>
    <t>Aide pour l'habillement et pour enlever ses vêtements, aide pour la douche.</t>
  </si>
  <si>
    <t>Dino ne rencontre pas de difficulté de communication</t>
  </si>
  <si>
    <t>Vit avec ses parents et ses sœurs</t>
  </si>
  <si>
    <t>A 2 sœurs</t>
  </si>
  <si>
    <t>Amis de la classe</t>
  </si>
  <si>
    <t>jeux Nintendo, les Pokkemons (jeux électroniques), regarder la TV</t>
  </si>
  <si>
    <t>Les jeux de société, le dessin, le bricolage.</t>
  </si>
  <si>
    <t>Besoin d'aide pour couper les aliments</t>
  </si>
  <si>
    <t>pizza, crèpes au fromage et au sucre</t>
  </si>
  <si>
    <t>Pas besoin de soutien mais doit être servi</t>
  </si>
  <si>
    <t>eau gazeuse, thé froid.</t>
  </si>
  <si>
    <t>coca-cola</t>
  </si>
  <si>
    <t>Tumeur au cervelet</t>
  </si>
  <si>
    <t>la maman l'aide</t>
  </si>
  <si>
    <t>La maman l'aide pour la mobilité</t>
  </si>
  <si>
    <t>Utilisation d'un fauteil roulant manuel pour l'extérieur.</t>
  </si>
  <si>
    <t>Aide pour l'habillement et pour enlever ses vêtments, aide pour la douche.</t>
  </si>
  <si>
    <t>Vit avec ses parents et ses 2 sœurs</t>
  </si>
  <si>
    <t>A 2 sœur</t>
  </si>
  <si>
    <t>Jeux Nintendo, les Pokkemons (jeux électroniques), regarder la TV</t>
  </si>
  <si>
    <t>Les jeux de société, le dessin, le bricolage</t>
  </si>
  <si>
    <t>Elle nage seule, même où elle n'a pas pied : mais à surveiller !</t>
  </si>
  <si>
    <t>Noélie peut s'habiller seule, mais avec un peu d'aide.</t>
  </si>
  <si>
    <t>Noélie parle très bien.</t>
  </si>
  <si>
    <t>Elle a des difficultés à se lier d'amitié.</t>
  </si>
  <si>
    <t>Chevaux, animaux en général, piscine, puzzles.</t>
  </si>
  <si>
    <t>cervelas, œufs durs, pâtes, saucisse de veau, salade verte</t>
  </si>
  <si>
    <t>sirop (menthe, framboise, cassis), coca zéro, eau gazeuse</t>
  </si>
  <si>
    <t>2639338</t>
  </si>
  <si>
    <t>TSA</t>
  </si>
  <si>
    <t>Noélie se lave seule, avec un peu d'aide.</t>
  </si>
  <si>
    <t>Elle a de la peine à aller à selle, a besoin d'aide. Elle a besoin d'être accompagnée au WC hors de la maison.</t>
  </si>
  <si>
    <t>Rayane manque de confiance, il a besoin d'une personne pour rester dans le grand bassin</t>
  </si>
  <si>
    <t>il n'arrive pas à mettre la 2ème manche de la veste et les chaussures à lacets</t>
  </si>
  <si>
    <t>parc enfants, regarder les animaux, vélo, foot</t>
  </si>
  <si>
    <t>viande</t>
  </si>
  <si>
    <t>coca, thé froid, fanta</t>
  </si>
  <si>
    <t>retard de développement, difficultés motrices</t>
  </si>
  <si>
    <t>il faut vérifier qu'il ait bien fait le nettoyage après la grosse commission et lui faire laver les mains.</t>
  </si>
  <si>
    <t>Mme Katty Giani</t>
  </si>
  <si>
    <t>Besoin d'aide pour l'habillement, style coquette</t>
  </si>
  <si>
    <t>Arrive à se faire comprendre par les gestes et sons. Elle prononce qqes mots tels : Papa, maman, à boire.</t>
  </si>
  <si>
    <t>un frère Florian 32 ans et son épouse Paula 32 ans domicilliés à Santiago du Chili</t>
  </si>
  <si>
    <t>Apprécie les promenades, la piscine, la musique.</t>
  </si>
  <si>
    <t>Activités de longues durées</t>
  </si>
  <si>
    <t>Mange seule mais les aliments doivent être coupés</t>
  </si>
  <si>
    <t>Mange de tout</t>
  </si>
  <si>
    <t>Boit seule au verre</t>
  </si>
  <si>
    <t>jus de fruits - sirops - thé froid/chaud - Coca - Chocolat Chaud - Lait - Café - Limonade - Eau</t>
  </si>
  <si>
    <t>01-025-090-193</t>
  </si>
  <si>
    <t>Retard du développement, trouble du spectre autistique</t>
  </si>
  <si>
    <t>Ne parle pas</t>
  </si>
  <si>
    <t>Partiellement autonome</t>
  </si>
  <si>
    <t>A besoin de beaucoup de motivation</t>
  </si>
  <si>
    <t>Avec manchons</t>
  </si>
  <si>
    <t>Pas autonome</t>
  </si>
  <si>
    <t>attention qu'il ne s'enroule pas dans la tubulure</t>
  </si>
  <si>
    <t>Ne parle pas, sourit, pleure</t>
  </si>
  <si>
    <t>Parents, grands-parents, tantes, cousins</t>
  </si>
  <si>
    <t>Un frère, Noah</t>
  </si>
  <si>
    <t>Quelques amies de l'école de Venthône</t>
  </si>
  <si>
    <t>TV, balançoire, toboggan, piscine, livre, musique, chevaux, luge, chansons,danse</t>
  </si>
  <si>
    <t>Trop de bruits, trop de stimuli</t>
  </si>
  <si>
    <t>Alimentation par PEG + par bouche</t>
  </si>
  <si>
    <t>Kellogs, pizza, tartine, crêpes, oranges,..</t>
  </si>
  <si>
    <t>Plan spécial pour la PEG</t>
  </si>
  <si>
    <t>trop de sucre</t>
  </si>
  <si>
    <t>Boissons par PEG mais aussi par la bouche doucement au verre. Parfois préfère à la cuillière ou avec une seringue. Attention fausses routes au verres.</t>
  </si>
  <si>
    <t>thé, jus, sirop</t>
  </si>
  <si>
    <t>Eviter trop sucré</t>
  </si>
  <si>
    <t>maladie génétique métabolique, traits autistiques</t>
  </si>
  <si>
    <t>retard général, problème de cœur,</t>
  </si>
  <si>
    <t>matin et soir nettoyage et changement du pansement autour de la PEG et plus si fuites</t>
  </si>
  <si>
    <t>langé jours et nuits</t>
  </si>
  <si>
    <t>C2 - Ana Liza Cabral : 024 473 51 52</t>
  </si>
  <si>
    <t>Peut marcher quelques pas avec de l'aide. Se tient sur les jambes.</t>
  </si>
  <si>
    <t>elle adore la piscine</t>
  </si>
  <si>
    <t>Dépendant</t>
  </si>
  <si>
    <t>Avec les barrières. Duvet sans coussin sur le dos, elle se tourne elle-mêm et met le duvet sur la tête. Eloigner touts les objets.</t>
  </si>
  <si>
    <t>Non verbal, mimique, comprend bien, très réceptive, elle sourit quand elle est contente, se crispe et se recroqueville quand elle pas bien.</t>
  </si>
  <si>
    <t>Elle vit à la Castalie.</t>
  </si>
  <si>
    <t>1 frère</t>
  </si>
  <si>
    <t>elle adore les bavettes en tissus. Elle aime les animaux, la piscine, les activités en plein air.</t>
  </si>
  <si>
    <t>Lui donner à manger avec une cuillère en plastique. Mange de tout. Attendre 30 à 45 minutes avant la sieste sinon vomissement.</t>
  </si>
  <si>
    <t>la semoule, les potages, le riz au lait. Aliment bien chaud sinon elle ne mange pas.</t>
  </si>
  <si>
    <t>Mixé Lisse +++ (aucun morceau), très important sinon fausse route. Demi portion le soir sinon vomissement la nuit</t>
  </si>
  <si>
    <t>Tous les aliments piquants</t>
  </si>
  <si>
    <t>Boit seule ou avec guidance. Elle boit de tout mais surtout sucré et chaud au biberon.</t>
  </si>
  <si>
    <t>Café au lait (boisson Ladie), Cacao, Sirop bien sucré. Chauffer toutes les boisons, si pas assez chaud, Sandrine refuse de boire. Si elle n'arrive pas à boire, incliner la chaise en arrière.</t>
  </si>
  <si>
    <t>Boisson gazeuse. Boissons lactées seulement le matin sinon vomissement</t>
  </si>
  <si>
    <t>Syndrome du chat, handicap mental</t>
  </si>
  <si>
    <t>Douche tous les jours, chaisse percée ou lit de douche. En cas de rougeur sur la joue, appliquer la crème Similasan 3x/j jusqu'à évolution</t>
  </si>
  <si>
    <t>Langée jour et nuit, va à selle tous les jours. Si pas de selles après 2j -&gt; 10 gouttes de Laxoberon et si pas de selles après 5j -&gt; lavement (Clyssie)</t>
  </si>
  <si>
    <t>1x/jour. Enlever les chausettes pendant la sieste (elle les enlève et les met en bouche)</t>
  </si>
  <si>
    <t>1</t>
  </si>
  <si>
    <t>Nolan marche volontiers après un petit temps de mécontentement.</t>
  </si>
  <si>
    <t>il fait de l'apnée, nage plus au moins</t>
  </si>
  <si>
    <t>Nolan sait s'habiller avec guidance. A la maison, ses parents l'habille.</t>
  </si>
  <si>
    <t>Il faut être présent pour l'endormissement. Il cherche la présence lors de réveils nocturnes.</t>
  </si>
  <si>
    <t>Pas d'expression verbale, communique à l'aide de pictogrammes. Demandes par moyens auxiliaires en cours</t>
  </si>
  <si>
    <t>Blaise (père), Marie-Noëlle (mère)</t>
  </si>
  <si>
    <t>Lexane, sa sœur jumelle</t>
  </si>
  <si>
    <t>Animaux, piscine.</t>
  </si>
  <si>
    <t>Nolan mange seul, mais il faut lui découper la viande</t>
  </si>
  <si>
    <t>Pâtes, pizza, lasagne, confiture, banane, abricot</t>
  </si>
  <si>
    <t>Riche en fibre, pâte-riz, pain complet</t>
  </si>
  <si>
    <t>dans un verre, il boit seul</t>
  </si>
  <si>
    <t>sirop</t>
  </si>
  <si>
    <t>apport de fibre (Optifibre) 2 mesurettes dans un verre à chaque repas (midi-soir)</t>
  </si>
  <si>
    <t>Duplication bras court sur chromosome 5</t>
  </si>
  <si>
    <t>retard mental et développement, malformation ano-rectale.</t>
  </si>
  <si>
    <t>Avec adapateur. Il semble comprendre ce que nous lui demandons, en phase d'aprentissage.</t>
  </si>
  <si>
    <t>Nolan est encore langé, pas d'autonomie</t>
  </si>
  <si>
    <t>Train, bus pas de notion de danger de la route et des véhicules !</t>
  </si>
  <si>
    <t>Pas de piscine, uniquement avec ses parents.</t>
  </si>
  <si>
    <t>habits masculin simple, à besoin d'aide pour habiller et déshabiller</t>
  </si>
  <si>
    <t>coussin autour, rester avec lui jusqu'à ce qu'il dort. Se secoue.</t>
  </si>
  <si>
    <t>languages des signes (macaton), photo, communication gestuelle, parle très peu.</t>
  </si>
  <si>
    <t>Son papa, sa maman et son grand-père</t>
  </si>
  <si>
    <t>vélo, voiture jouet, pâte à modeler, dessiner, jouer à cache cache, chanter,danser, se laver (prendre un bain), dessin-animé</t>
  </si>
  <si>
    <t>Se laver la tête</t>
  </si>
  <si>
    <t>assiette ainsi que les services tout en plastique</t>
  </si>
  <si>
    <t>spagetti bolognese, épinard à la crème, purée de pdt, frites, chcken, cœur de poulet, omelette, kinder, biscuits..</t>
  </si>
  <si>
    <t>frites conventionnel (si possible frite préparé par actifry)</t>
  </si>
  <si>
    <t>biberons, gobelet en plastique</t>
  </si>
  <si>
    <t>jus de fruits (biberon), lait tiède au chocolat (biberon), eau (gobelet), coca thé froid (gobelet)</t>
  </si>
  <si>
    <t>Coca, thé froid (pas trop en donner)</t>
  </si>
  <si>
    <t>TSA, disphasie</t>
  </si>
  <si>
    <t>besoin d'aide à se vétir, manger, langer, surveillance (beaucoup)</t>
  </si>
  <si>
    <t>Pas trop serrer la protection</t>
  </si>
  <si>
    <t>debout, assis, couché, courrir, marcher</t>
  </si>
  <si>
    <t>constamment</t>
  </si>
  <si>
    <t>Fauteuil, voiture</t>
  </si>
  <si>
    <t>Besoin d'aide pour s'habiller</t>
  </si>
  <si>
    <t>Lit électrique</t>
  </si>
  <si>
    <t>Parle Arménien et Russe. Notion de Français</t>
  </si>
  <si>
    <t>Sa femme Tamara et leur fille Anna qui est en apprentissage</t>
  </si>
  <si>
    <t>Peinture</t>
  </si>
  <si>
    <t>Aide pour manger</t>
  </si>
  <si>
    <t>Aide pour Boire</t>
  </si>
  <si>
    <t>Eau, café</t>
  </si>
  <si>
    <t>Thé chaud</t>
  </si>
  <si>
    <t>78223067</t>
  </si>
  <si>
    <t>Phyisique</t>
  </si>
  <si>
    <t>Sclérose en plaques</t>
  </si>
  <si>
    <t>une barre va être installé</t>
  </si>
  <si>
    <t>Besoin d'aide et surveillance</t>
  </si>
  <si>
    <t>sieste chambre, fauteuil salon, chaise cuisine</t>
  </si>
  <si>
    <t>Antoine marche seul mais se disperse et a besoin d'être surveillé et guidé</t>
  </si>
  <si>
    <t>Antoine est à l'aise dans l'eau mais ne sait pas encore nager</t>
  </si>
  <si>
    <t>Sait s'habiller tout seul mais se laisse distraire</t>
  </si>
  <si>
    <t>langage oral et pictogramme</t>
  </si>
  <si>
    <t>2 parents, deux grands-parents, un  parrain, une marraine</t>
  </si>
  <si>
    <t>1 petit frère : Bastien</t>
  </si>
  <si>
    <t>A quelques copains de classe.</t>
  </si>
  <si>
    <t>Lego,uno,rummikub, jeux de société, points à relier, jeux avec des chiffres</t>
  </si>
  <si>
    <t>jeux de rôles</t>
  </si>
  <si>
    <t>Antoine mange de tout aux heures de repas.</t>
  </si>
  <si>
    <t>A la demande, de l'eau et occasionnellement sirop fraise/framboise et jus de pomme.</t>
  </si>
  <si>
    <t>784-92-351</t>
  </si>
  <si>
    <t>Trouble du spectre autistique</t>
  </si>
  <si>
    <t>Antoine a une dérivation ventriculopéritonéale en raison d'une hydrocéphalie post-hémorragique. En d'autres termes un drain régule sa production de liquide céphalorachidien, depuis le cerveau jusqu'au péritoine.</t>
  </si>
  <si>
    <t>Antoine va sur les toilettes tout seul.</t>
  </si>
  <si>
    <t>Noéline est autonome pour l'habillement</t>
  </si>
  <si>
    <t>M-Madeleine (maman), Cédric (papa), Nicolas (frère)</t>
  </si>
  <si>
    <t>Kassandra,Orianne, Chloé, Charline,Lilou,..</t>
  </si>
  <si>
    <t>Trapèze, equitation</t>
  </si>
  <si>
    <t>basket</t>
  </si>
  <si>
    <t>Saucisse à rôtir</t>
  </si>
  <si>
    <t>choux de bruxelles</t>
  </si>
  <si>
    <t>Sirop grenadine</t>
  </si>
  <si>
    <t>En cas d'urgence appeler: 079 229 25 77 ou 024 482</t>
  </si>
  <si>
    <t>Aime le trycicle et la trottinette.</t>
  </si>
  <si>
    <t>Il aime l'eau.</t>
  </si>
  <si>
    <t>A besoin d'aide pour les chaussures, les hauts et les pantalons. Il porte des couches.</t>
  </si>
  <si>
    <t>Mettre musique et veilleuse. Lui donner un biberon de lait.</t>
  </si>
  <si>
    <t>Langue des signes. Début de verbalisation par des syllabes.</t>
  </si>
  <si>
    <t>Il a ses parents Xavier et Sophie et sinon pas d'autre famille en Suisse.</t>
  </si>
  <si>
    <t>Fils unique.</t>
  </si>
  <si>
    <t>Voisins, amis de la crèche, enfants des amis des parents, etc.</t>
  </si>
  <si>
    <t>Balades, places de jeu, Lego, pâte a modeler, jeux de société, livres, etc.</t>
  </si>
  <si>
    <t>Aux moments des repas, éviter en dehors. Couper en petits morceaux. ATTENTION il ne mâche pas.</t>
  </si>
  <si>
    <t>Les coquillettes à la tomate, le paté, le fromage et les yaourts.</t>
  </si>
  <si>
    <t>Dès qu'il le souhaite et aux moments des repas. Penser à lui proposer régulièrement</t>
  </si>
  <si>
    <t>L'eau et le lait avec du chocolat.</t>
  </si>
  <si>
    <t>Boissons sucrées comme le Cola.</t>
  </si>
  <si>
    <t>95516143</t>
  </si>
  <si>
    <t>Retard global di développement.</t>
  </si>
  <si>
    <t>Il porte des couches toute la journée.</t>
  </si>
  <si>
    <t>But: arriver petit à petit à la propreté.</t>
  </si>
  <si>
    <t>Supporte bien les longs trajets.</t>
  </si>
  <si>
    <t>Pas de piscine.</t>
  </si>
  <si>
    <t>Aide complète, bas de contention et foulard.</t>
  </si>
  <si>
    <t>Dort tout nu. Mettre un Moltex. Début de nuit, installer côté gauche avec un coussin banane entre les jambes, derrière le dos et sous les bras. Milieu de la nuit, il revient sur le dos. Mettre coussins sous les bras et sous les jambes pour surélever les talons. Mettre boisson à disposition pour la nuit.</t>
  </si>
  <si>
    <t>Parle avec une canule parlante. Lui rappeler d'appuyer dessus.</t>
  </si>
  <si>
    <t>Il a un fils et deux filles.</t>
  </si>
  <si>
    <t>Frères et sœurs au Portugal.</t>
  </si>
  <si>
    <t>Il a quelques amis qui lui rendent visite.</t>
  </si>
  <si>
    <t>La pêche, le tir à l'arc, les ballades et le cinéma.</t>
  </si>
  <si>
    <t>Activités au froid.</t>
  </si>
  <si>
    <t>Couper les aliments. Tapis anti-glisse, cuillère personnelle, mange seul.</t>
  </si>
  <si>
    <t>Poissons</t>
  </si>
  <si>
    <t>Il n'aime pas le saumon</t>
  </si>
  <si>
    <t>Verre + paille, boit seul.</t>
  </si>
  <si>
    <t>Egal, à stimuler.</t>
  </si>
  <si>
    <t>Ne boit pas d'alcool.</t>
  </si>
  <si>
    <t>756.9825.3167.63</t>
  </si>
  <si>
    <t>Tétraplégie (incomplète : haut du corps - complète : bas du corps)</t>
  </si>
  <si>
    <t>Trachéostomie avec canule parlante</t>
  </si>
  <si>
    <t>Toilette complète au lit ou douche. Se rase lui-même au lavabo. Petit pansement sur l'abdomen. Changer pst. si tâché. Soins de canule matin et soir (si possible) : à l'aide de la pince à épiler + lampe de poche, enlever petites croutes, sécrétions sèches autour de la canule parlante, nettoyer l'intérieur de la canule avec une petite brosse ( désinfecter la brosse dans l'Hidibil)
Soins de canule matin et soir (si possible à midi): à l'aide de la pince à épiler + lampe de poche, enlever les petites croutes, sécrétions sèches autour de la canule parlante, nettoyer l'intérieur de la canule avec une petite brosse (désinfecter la brosse dans l'Hidibil)</t>
  </si>
  <si>
    <t>Sonde vésicale sus-pubienne. Selles : suppositoire une heure avant le lever, puis toucher rectal stimulant côté gauche. Pas de protections la journée.</t>
  </si>
  <si>
    <t>Petit pansement sur l'abdomen. Changer pst. si tâché.</t>
  </si>
  <si>
    <t>Transferts fauteuil-lit et lit-fauteuil à l'aide d'une planche, enlever accoudoir et maintien sur le côté, être là pour sécuriser.</t>
  </si>
  <si>
    <t>Bascule le fauteuil si il veut siester.</t>
  </si>
  <si>
    <t>Maman bureau 079/808.49.26 Privé 079/439.30.48</t>
  </si>
  <si>
    <t>Pas de long déplacement</t>
  </si>
  <si>
    <t>Lénaïc s'habille avec de l'aide</t>
  </si>
  <si>
    <t>Lego, dessin,cuisine</t>
  </si>
  <si>
    <t>Fruits et légumes</t>
  </si>
  <si>
    <t>Chocolat</t>
  </si>
  <si>
    <t>Eau à la demande</t>
  </si>
  <si>
    <t>Eau-Sirop-Jus de Fruit-Lait (le matin)</t>
  </si>
  <si>
    <t>Cacao</t>
  </si>
  <si>
    <t>chocolat</t>
  </si>
  <si>
    <t>En cas de crise, difficile de le nettoyer</t>
  </si>
  <si>
    <t>A besoin d'aide sur demande</t>
  </si>
  <si>
    <t>Manchons si nécessaire.</t>
  </si>
  <si>
    <t>Difficultés motrices fines (aide pour boutonner/déboutonner).</t>
  </si>
  <si>
    <t>Timide, absent dans certains cas, souriant, têtu.</t>
  </si>
  <si>
    <t>Tonton, tata et cousins</t>
  </si>
  <si>
    <t>Copains de classe, voisins</t>
  </si>
  <si>
    <t>Foot, tennis, piscine, promenade</t>
  </si>
  <si>
    <t>Jeux de société (memory)</t>
  </si>
  <si>
    <t>Il mange de tout.</t>
  </si>
  <si>
    <t>Epinards</t>
  </si>
  <si>
    <t>Verre, gobelet.</t>
  </si>
  <si>
    <t>Sirop à la menthe, thé froid, jus de fruit.</t>
  </si>
  <si>
    <t>Il adore l'eau, mais pas de manchons, il faut le tenir.</t>
  </si>
  <si>
    <t>besoin d'aide pour tout, commence à mettre seul ses chaussures, l'encourager à le faire !</t>
  </si>
  <si>
    <t>Sami ne parle pas encore. Il commence à dire '' non ''. Il chante parfois en Anglais, langue qu'il semble mieux comprendre.</t>
  </si>
  <si>
    <t>Il vit avec sa maman et son grand frère.</t>
  </si>
  <si>
    <t>Sami a un grand frère, Miky qui a 8 ans.</t>
  </si>
  <si>
    <t>Sami est dans l'exploration sensori-motrice et aime bouger. Il adore la musique et l'eau.</t>
  </si>
  <si>
    <t>Ses intérêts sont tournés vers les activités sensorielles et motrices.</t>
  </si>
  <si>
    <t>petit-déjeuner, dîner, goûter, souper ( difficile de cadrer ou strcturer les repas. )</t>
  </si>
  <si>
    <t>pâtes, Kinder branche au lait, pain toast, banane, poire, pomme, fromage râpé. ( légumes, viande…)</t>
  </si>
  <si>
    <t>Très sélectif sur la nourriture ( aliments blancs ).</t>
  </si>
  <si>
    <t>eau, lait entier UHT (Emmi) ou autres marques</t>
  </si>
  <si>
    <t>Pas d'allergies</t>
  </si>
  <si>
    <t>le mettre au WC régulièrement, porte encore des couches, apprend à aller aux WC.</t>
  </si>
  <si>
    <t>Il peut se déplacer tout seul dans son fauteuil roulant. Important de toujours le surveiller car il n'a pas conscience du danger.</t>
  </si>
  <si>
    <t>Joël aime les transports publics. Il sourit quand il est content et pleure quand il ne l'est pas. Il faut prendre le temps pour lui donner à manger et à boire. Il ne faut jamais laisser Joël seul.</t>
  </si>
  <si>
    <t>Lory n'a pas de communication verbale. Il communique à l'aide de ses mains et de ses yeux</t>
  </si>
  <si>
    <t>Lory a un petit frère, Lionel, ainsi qu'une petite sœur, Julie.</t>
  </si>
  <si>
    <t>Il aime se promener, regarder les bus et les trains, aller en ville.</t>
  </si>
  <si>
    <t>Prendre le temps pour lui donner à manger.</t>
  </si>
  <si>
    <t>Coupé</t>
  </si>
  <si>
    <t>Dans un verre.</t>
  </si>
  <si>
    <t>Sirop et café froid</t>
  </si>
  <si>
    <t>2319294</t>
  </si>
  <si>
    <t>CP et épilepsie</t>
  </si>
  <si>
    <t>Il porte des protections.</t>
  </si>
  <si>
    <t>Assistante sociale: Anne-Marie Wahlen</t>
  </si>
  <si>
    <t>Dorian 8 ans
Aline 5 ans</t>
  </si>
  <si>
    <t>Jeux, livres, musique</t>
  </si>
  <si>
    <t>Nutrini par la PEG</t>
  </si>
  <si>
    <t>Compote, purée</t>
  </si>
  <si>
    <t>Pas de liquide pour le moment</t>
  </si>
  <si>
    <t>Aime le trycicle et la trotinette.</t>
  </si>
  <si>
    <t>Il a besoin d'aide pour les chaussures, le haut et le pantalon. Il porte des couches.</t>
  </si>
  <si>
    <t>Langue des signes. Début de verbalisation des syllabes.</t>
  </si>
  <si>
    <t>Son père Xavier et sa mère Sophie. Il n'a pas d'autre famille en Suisse.</t>
  </si>
  <si>
    <t>Balades, places de jeux, Lego, pâte à modeler, jeux de société, livres, etc.</t>
  </si>
  <si>
    <t>Aux moments des repas, eviter en dehors. Couper en petits morceaux. Attention il ne mâche pas.</t>
  </si>
  <si>
    <t>Dès qu'il le souhaite et aux moments des repas. Penser à lui proposer régulièrement.</t>
  </si>
  <si>
    <t>Boissons sucrées comme le Coca-Cola.</t>
  </si>
  <si>
    <t>Retard global du développement.</t>
  </si>
  <si>
    <t>Lucie</t>
  </si>
  <si>
    <t>voiture</t>
  </si>
  <si>
    <t>Melody aime beaucoup la baignade</t>
  </si>
  <si>
    <t>training, porte des attelles aux pieds</t>
  </si>
  <si>
    <t>Sons, expression</t>
  </si>
  <si>
    <t>Père, mère, grande-sœur, grand-mères</t>
  </si>
  <si>
    <t>1 sœur ainée Maeva</t>
  </si>
  <si>
    <t>A Clair-Bois Lancy</t>
  </si>
  <si>
    <t>Marches, promenades, jeux avec de la musique</t>
  </si>
  <si>
    <t>A la cuillière, morceaux, en guidance</t>
  </si>
  <si>
    <t>potage, burger, pâtes, etc.. Mange de tout</t>
  </si>
  <si>
    <t>Au verre</t>
  </si>
  <si>
    <t>Eau plate- lait d'avoine- jus de fruit</t>
  </si>
  <si>
    <t>6.204.693</t>
  </si>
  <si>
    <t>syndrome d'Aicardi</t>
  </si>
  <si>
    <t>Epilepsie, marche avec déambulateur, retard de développement</t>
  </si>
  <si>
    <t>protection</t>
  </si>
  <si>
    <t>Assise et debout lorsque Melody marche</t>
  </si>
  <si>
    <t>Mayara dort avec sa peluche</t>
  </si>
  <si>
    <t>Quand Mayara veut quelque chose, elle prend la main de la personne et l'amène en direction.</t>
  </si>
  <si>
    <t>Portable, jeux de musique, livre, faire des dessins, écouter de la musique, aller au parc, se promener dans la poussette.</t>
  </si>
  <si>
    <t>Sur demande ou sur l'horaire des repas</t>
  </si>
  <si>
    <t>Pomme,croissant au chocolat, pain au lait, biscuit d'avoine,yoghourt, compote.</t>
  </si>
  <si>
    <t>Eau pendant la journée, sirop à midi et parfois milieu de matinée/après midi</t>
  </si>
  <si>
    <t>eau,sirop</t>
  </si>
  <si>
    <t>troubles du spectre autistique</t>
  </si>
  <si>
    <t>Garlet Eva</t>
  </si>
  <si>
    <t>Petite distance à pied avec cannes.</t>
  </si>
  <si>
    <t>Dominika nage seule et avec des manchons.</t>
  </si>
  <si>
    <t>Autonome pour l'habillement</t>
  </si>
  <si>
    <t>Chambre idéalement proche des WC</t>
  </si>
  <si>
    <t>Dominika a une bonne communication verbale</t>
  </si>
  <si>
    <t>Papa décédé en 2012. Maman remariée</t>
  </si>
  <si>
    <t>Stella née en 2010 (demi-sœur)   Claudia fille du beau-père née en 2000 vit avec sa maman à Vevey</t>
  </si>
  <si>
    <t>Lecture, regarder des films, cinéma, bowling, visite de musées et la culture en générale. Vie de couple avec Loïc Righini</t>
  </si>
  <si>
    <t>Dominika est autonome pour manger</t>
  </si>
  <si>
    <t>N'apprécie pas la chasse</t>
  </si>
  <si>
    <t>Dominika est autonome pour boire et choisi sa boisson</t>
  </si>
  <si>
    <t>Allergique aux boissons contenant de l'Aloevera</t>
  </si>
  <si>
    <t>80756014790023869826</t>
  </si>
  <si>
    <t>Troubles de la vue</t>
  </si>
  <si>
    <t>Pantenole, substance contenue dans la crème solaire</t>
  </si>
  <si>
    <t>De préférence une femme pour accompagner Dominika</t>
  </si>
  <si>
    <t>Dominika est autonome</t>
  </si>
  <si>
    <t>Marche de longues distances mais à son rythme
aime le bus</t>
  </si>
  <si>
    <t>Gaël n'a jamais été à la piscine, a essayer.</t>
  </si>
  <si>
    <t>Gaël s'habille seul, il faut lui donner habit après habit.</t>
  </si>
  <si>
    <t>Pyjama une pièce, fermeture dos. Il a un doudou. Lui mettre un pantalon (n'importe lequel) mais pas de training !</t>
  </si>
  <si>
    <t>Gaël ne parle pas, il communique par signe. Si il est agité, il se mord l'avant-bras</t>
  </si>
  <si>
    <t>Gaël a ses parents</t>
  </si>
  <si>
    <t>Gaël a 2 sœurs : Daisy et Laurie</t>
  </si>
  <si>
    <t>Gaël peut ''bloqué'' ( ne plus bouger-reste pareil), lui chanter une chanson, lui montrer une cassette.. Changer de personne</t>
  </si>
  <si>
    <t>Il aime aller vers les autres.</t>
  </si>
  <si>
    <t>N'aime pas être seul</t>
  </si>
  <si>
    <t>Gaël mange normal, il faut lui couper la nourriture. Fourchette normale, couteau spécial manche épaise</t>
  </si>
  <si>
    <t>peut tout boire</t>
  </si>
  <si>
    <t>cacao, café</t>
  </si>
  <si>
    <t>Ercéphalopathie prénatale malformative</t>
  </si>
  <si>
    <t>Gaël peut s'agiter, met sa main dans la bouche, crie très fort : lui donner une résérve</t>
  </si>
  <si>
    <t>douche debout face au mur car fair ''pipi''</t>
  </si>
  <si>
    <t>Gaël est langé jours et nuits</t>
  </si>
  <si>
    <t>medId</t>
  </si>
  <si>
    <t>medConId</t>
  </si>
  <si>
    <t>medAlimCommentair</t>
  </si>
  <si>
    <t>medAlimPrefere</t>
  </si>
  <si>
    <t>medAlimRegime</t>
  </si>
  <si>
    <t>medAlimDecons</t>
  </si>
  <si>
    <t>medAlimInterdit</t>
  </si>
  <si>
    <t>medBoisCondition</t>
  </si>
  <si>
    <t>medBoisPrefere</t>
  </si>
  <si>
    <t>medBoisRegime</t>
  </si>
  <si>
    <t>medBoisDecons</t>
  </si>
  <si>
    <t>medBoisInterdit</t>
  </si>
  <si>
    <t>medMedecin1</t>
  </si>
  <si>
    <t>medMedecin2</t>
  </si>
  <si>
    <t>medMedecin3</t>
  </si>
  <si>
    <t>medCaisseMaladie</t>
  </si>
  <si>
    <t>medAccident</t>
  </si>
  <si>
    <t>medNoAssure</t>
  </si>
  <si>
    <t>medTypeHandicap</t>
  </si>
  <si>
    <t>medHandicapsAsso</t>
  </si>
  <si>
    <t>medDegre</t>
  </si>
  <si>
    <t>medAllergies</t>
  </si>
  <si>
    <t>medToilette</t>
  </si>
  <si>
    <t>medEncontinence</t>
  </si>
  <si>
    <t>medEscarres</t>
  </si>
  <si>
    <t>medOfasType</t>
  </si>
  <si>
    <t>medOfasPluri</t>
  </si>
  <si>
    <t>medOfasReconnu</t>
  </si>
  <si>
    <t>medMaj</t>
  </si>
  <si>
    <t>socId</t>
  </si>
  <si>
    <t>socConId</t>
  </si>
  <si>
    <t>socMaj</t>
  </si>
  <si>
    <t>socPere</t>
  </si>
  <si>
    <t>socMere</t>
  </si>
  <si>
    <t>socTuteur</t>
  </si>
  <si>
    <t>socInstitution</t>
  </si>
  <si>
    <t>socUrgence</t>
  </si>
  <si>
    <t>socReferentInstitut</t>
  </si>
  <si>
    <t>socGereseul</t>
  </si>
  <si>
    <t>socAvecaidephys</t>
  </si>
  <si>
    <t>socAvecconseil</t>
  </si>
  <si>
    <t>socNegerepas</t>
  </si>
  <si>
    <t>socMarcheseul</t>
  </si>
  <si>
    <t>socMarchaide</t>
  </si>
  <si>
    <t>socMarchauxi</t>
  </si>
  <si>
    <t>socFauteuilMan</t>
  </si>
  <si>
    <t>socFauteuilElec</t>
  </si>
  <si>
    <t>socDeplacement</t>
  </si>
  <si>
    <t>socHabillement</t>
  </si>
  <si>
    <t>socPiscine</t>
  </si>
  <si>
    <t>socPublication</t>
  </si>
  <si>
    <t>socPiscineGilet</t>
  </si>
  <si>
    <t>socSomeil</t>
  </si>
  <si>
    <t>socatache</t>
  </si>
  <si>
    <t>socdrapspec</t>
  </si>
  <si>
    <t>socgilet</t>
  </si>
  <si>
    <t>socbarriere</t>
  </si>
  <si>
    <t>socExpresssion</t>
  </si>
  <si>
    <t>socFamille</t>
  </si>
  <si>
    <t>socFraterie</t>
  </si>
  <si>
    <t>socAmis</t>
  </si>
  <si>
    <t>socPassions</t>
  </si>
  <si>
    <t>socAimePas</t>
  </si>
  <si>
    <t>socPossitionJour</t>
  </si>
  <si>
    <t>socFrequenceJour</t>
  </si>
  <si>
    <t>aloIntId</t>
  </si>
  <si>
    <t>aloIntBeneficiare</t>
  </si>
  <si>
    <t>aloIntA</t>
  </si>
  <si>
    <t>aloIntB</t>
  </si>
  <si>
    <t>aloIntC</t>
  </si>
  <si>
    <t>aloIntD</t>
  </si>
  <si>
    <t>Attention aux fausses routes : mixé gros. Le calmer un peu au repas, Patrice mange trop vite : Il faut qu’il aie ses deux pieds de chaque côté des pieds de la chaise et qu’avec sa main gauche, il tienne 
la chaise ou la table. Le plus droit possible. Son menton devrait faire un angle.</t>
  </si>
  <si>
    <t>Chesaux Mara</t>
  </si>
  <si>
    <t>Lucie peut marcher de longs trajets mais elle a besoin de faire des pauses. Elle n'a pas beaucoup d'endurance. Il est important d'avoir une chaise roulante d'appoint au cas Lucie serai trop fatiguée.</t>
  </si>
  <si>
    <t>Lucie apprécie aller à la piscine, mais elle ne sait pas nager.</t>
  </si>
  <si>
    <t>Lucie est dépendante de l'adulte pour tous les gestes de la vie quotidienne. Son style est moderne d'une fille de 14ans.</t>
  </si>
  <si>
    <t>Lucie a un bon sommeil, cependant elle a besoin de porter une &lt;&lt; combinaison &gt;&gt; pour bien dormir, autrement si elle a des selles durant la nuit elle peut jouer avec.</t>
  </si>
  <si>
    <t>Lucie ne parle pas, elle a peu d'altercation avec son environnement proche, difficile pour elle de dire si elle a mal, les seuls moyens sont les pleurs et les auto-agressions. Lucie comprend les consignes simples.</t>
  </si>
  <si>
    <t>Lucie rentre à la maison parentale chaque 15 jours. Lucie a de bons contacts avec sa famille élargie, grand-maman, tante, oncle, etc.</t>
  </si>
  <si>
    <t>Lucie a une sœur qui se prénomme Mélanie</t>
  </si>
  <si>
    <t>Info : Lucie est une jeune fille agréable, souriante, mais elle est angoissée. Lorsqu'elle est frustrée elle peut avoir des gestes d'auto-agression. Lucie peut également avoir des gestes envers son accompagnant, tirer les cheveux, pincer.</t>
  </si>
  <si>
    <t>Elle adore regarder des DVD de Barbapapa ou tenir des livres pour enfants, des jeux sonores. Elle apprécie la TV, la musique : Henri Dès</t>
  </si>
  <si>
    <t>Lucie n'aime pas quand il y a beaucoup de bruit auprès d'elle. Donc les concerts, cinéma, restaurants ne sont pas trop recommandés.</t>
  </si>
  <si>
    <t>Lucie mange de tout. Elle porte une bavette durant les repas, elle mange avec une assiette creuse avec un rebord d'assiette et une petite fourchette. Afin que Lucie garde un rythme normal et calme lorsqu'elle mange, nous devons intervenir afin qu'elle fasse des pauses entre deux fourchettes. Comme dessert, Lucie raffole des barres de &lt;&lt; Balisto &gt;&gt;. Nous devons lui couper tout petits les aliments sinon elle ne mâche pas et risque de fausse route.</t>
  </si>
  <si>
    <t>Lucie mange de tout, elle apprécie les fromages, crèmes, beurre, (les douceurs). Elle aime les purées de fruits, par exemple : purée de pommes, purée de poires.</t>
  </si>
  <si>
    <t>Eviter les aliments trop gras, risque de problèmes de digestion. Lucie n'apprécie pas les fruits nature, bananes, oranges, pommes.</t>
  </si>
  <si>
    <t>Dans un verre en plastique, avec des petites quantités, autrement elle peut  renverser le verre.</t>
  </si>
  <si>
    <t>Sirop, jus</t>
  </si>
  <si>
    <t>Lucie boit bien tous les liquides sucrés.</t>
  </si>
  <si>
    <t>Les sodas</t>
  </si>
  <si>
    <t>Troubles du spectre autistique</t>
  </si>
  <si>
    <t>Déficience mentale profonde, épileptique, scoliose thoraco-lombaire</t>
  </si>
  <si>
    <t>Lucie est allergique aux pollens.</t>
  </si>
  <si>
    <t>Lucie est dépendante de l'accompagnant pour tous les actes concernant son hygiène; changement de protection, douche, habillage.</t>
  </si>
  <si>
    <t>Lucie est langé jours et nuits.</t>
  </si>
  <si>
    <t>Lucie n'a pas d'escarres.</t>
  </si>
  <si>
    <t>Après le repas de midi, Lucie apprécie de faire environ 1h de sieste.</t>
  </si>
  <si>
    <t>Francis n'aime pas l'agitation. Il faut donc être très doux avec lui et ne pas le brusquer sinon il crie. S'il crie, le laisser tranquille au calme et s'arrête vite. Pas de disco ou musique trop forte !</t>
  </si>
  <si>
    <t>Raclette 2x au maximum</t>
  </si>
  <si>
    <t>groupe C6</t>
  </si>
  <si>
    <t>Mayara met des protections</t>
  </si>
  <si>
    <t>Bien lui sécher les cheveux, Alexander tombe rapidement malade</t>
  </si>
  <si>
    <t>Alexander n'est pas autonome pour l'habillement</t>
  </si>
  <si>
    <t>le papa s'en occupe</t>
  </si>
  <si>
    <t>Alexander commence à parler (2ans 1/2)</t>
  </si>
  <si>
    <t>papa + papi et mami   la maman de Alexander est décédée</t>
  </si>
  <si>
    <t>Crèche</t>
  </si>
  <si>
    <t>puzzle, écouter des histoires</t>
  </si>
  <si>
    <t>aller dormir (avec bipap)     brosser les dents</t>
  </si>
  <si>
    <t>service pour enfants</t>
  </si>
  <si>
    <t>poulet, brocoli, patatte</t>
  </si>
  <si>
    <t>Aliments dur à mâcher</t>
  </si>
  <si>
    <t>gobelet plastique + paille</t>
  </si>
  <si>
    <t>jus de pomme</t>
  </si>
  <si>
    <t>moypathie (TPM3) = faiblesse musculaire</t>
  </si>
  <si>
    <t>difficultés à se déplacer, se fatigue rapidement</t>
  </si>
  <si>
    <t>Aucune allergie</t>
  </si>
  <si>
    <t>pampers</t>
  </si>
  <si>
    <t>assis-debout..</t>
  </si>
  <si>
    <t>Christophe Girod</t>
  </si>
  <si>
    <t>Strabisme - retard mental - éléments de type autistique</t>
  </si>
  <si>
    <t>Peut faire des siestes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</si>
</sst>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000000"/>
      <name val="Calibri"/>
    </font>
    <font>
      <sz val="11"/>
      <color rgb="FF000000"/>
      <name val="Calibri"/>
    </font>
  </fonts>
  <fills count="5">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solid">
        <fgColor theme="4"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6">
    <xf numFmtId="0" fontId="0" fillId="0" borderId="0" xfId="0"/>
    <xf numFmtId="0" fontId="0" fillId="4" borderId="0" xfId="0" applyFill="1"/>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15" fontId="2" fillId="3" borderId="2" xfId="0" applyNumberFormat="1" applyFont="1" applyFill="1" applyBorder="1" applyAlignment="1" applyProtection="1">
      <alignment horizontal="right" vertical="center" wrapText="1"/>
    </xf>
    <xf numFmtId="0" fontId="2" fillId="3" borderId="2" xfId="0" applyFont="1" applyFill="1" applyBorder="1" applyAlignment="1" applyProtection="1">
      <alignment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35"/>
  <sheetViews>
    <sheetView workbookViewId="0">
      <selection activeCell="F3" sqref="F3"/>
    </sheetView>
  </sheetViews>
  <sheetFormatPr baseColWidth="10" defaultColWidth="9.140625" defaultRowHeight="15" x14ac:dyDescent="0.25"/>
  <cols>
    <col min="1" max="1" width="13.85546875" customWidth="1"/>
    <col min="2" max="2" width="21.140625" customWidth="1"/>
    <col min="3" max="67" width="13.85546875" customWidth="1"/>
  </cols>
  <sheetData>
    <row r="1" spans="1:6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row>
    <row r="2" spans="1:67" ht="225" x14ac:dyDescent="0.25">
      <c r="A2" s="3">
        <v>-2138585887</v>
      </c>
      <c r="B2" s="4">
        <v>41092</v>
      </c>
      <c r="H2" s="5" t="s">
        <v>67</v>
      </c>
      <c r="I2" s="3" t="b">
        <v>0</v>
      </c>
      <c r="J2" s="3" t="b">
        <v>0</v>
      </c>
      <c r="K2" s="3" t="b">
        <v>0</v>
      </c>
      <c r="L2" s="3" t="b">
        <v>0</v>
      </c>
      <c r="M2" s="3" t="b">
        <v>0</v>
      </c>
      <c r="N2" s="3" t="b">
        <v>0</v>
      </c>
      <c r="O2" s="3" t="b">
        <v>0</v>
      </c>
      <c r="P2" s="3" t="b">
        <v>0</v>
      </c>
      <c r="Q2" s="3" t="b">
        <v>0</v>
      </c>
      <c r="R2" s="3" t="s">
        <v>68</v>
      </c>
      <c r="S2" s="5" t="s">
        <v>67</v>
      </c>
      <c r="T2" s="3" t="b">
        <v>0</v>
      </c>
      <c r="U2" s="3" t="b">
        <v>0</v>
      </c>
      <c r="V2" s="5" t="s">
        <v>67</v>
      </c>
      <c r="W2" s="5" t="s">
        <v>67</v>
      </c>
      <c r="X2" s="3" t="b">
        <v>0</v>
      </c>
      <c r="Y2" s="3" t="b">
        <v>0</v>
      </c>
      <c r="Z2" s="3" t="b">
        <v>0</v>
      </c>
      <c r="AA2" s="3" t="b">
        <v>0</v>
      </c>
      <c r="AB2" s="5" t="s">
        <v>67</v>
      </c>
      <c r="AC2" s="5" t="s">
        <v>67</v>
      </c>
      <c r="AD2" s="5" t="s">
        <v>67</v>
      </c>
      <c r="AE2" s="5" t="s">
        <v>67</v>
      </c>
      <c r="AF2" s="5" t="s">
        <v>67</v>
      </c>
      <c r="AG2" s="5" t="s">
        <v>67</v>
      </c>
      <c r="AH2" s="5" t="s">
        <v>69</v>
      </c>
      <c r="AI2" s="5" t="s">
        <v>67</v>
      </c>
      <c r="AJ2" s="5" t="s">
        <v>67</v>
      </c>
      <c r="AK2" s="5" t="s">
        <v>67</v>
      </c>
      <c r="AL2" s="5" t="s">
        <v>67</v>
      </c>
      <c r="AM2" s="5" t="s">
        <v>70</v>
      </c>
      <c r="AN2" s="5" t="s">
        <v>71</v>
      </c>
      <c r="AO2" s="5" t="s">
        <v>67</v>
      </c>
      <c r="AP2" s="5" t="s">
        <v>67</v>
      </c>
      <c r="AQ2" s="5" t="s">
        <v>67</v>
      </c>
      <c r="AR2" s="5" t="s">
        <v>67</v>
      </c>
      <c r="AW2" s="5" t="s">
        <v>67</v>
      </c>
      <c r="AX2" s="5" t="s">
        <v>67</v>
      </c>
      <c r="AY2" s="5" t="s">
        <v>67</v>
      </c>
      <c r="AZ2" s="5" t="s">
        <v>67</v>
      </c>
      <c r="BF2" s="5" t="s">
        <v>67</v>
      </c>
      <c r="BG2" s="5" t="s">
        <v>72</v>
      </c>
      <c r="BH2" s="5" t="s">
        <v>73</v>
      </c>
      <c r="BI2" s="5" t="s">
        <v>74</v>
      </c>
      <c r="BJ2" s="5" t="s">
        <v>75</v>
      </c>
      <c r="BK2" s="5" t="s">
        <v>76</v>
      </c>
      <c r="BL2" s="5" t="s">
        <v>77</v>
      </c>
      <c r="BM2" s="5" t="s">
        <v>78</v>
      </c>
      <c r="BN2" s="5" t="s">
        <v>67</v>
      </c>
      <c r="BO2" s="5" t="s">
        <v>67</v>
      </c>
    </row>
    <row r="3" spans="1:67" ht="409.5" x14ac:dyDescent="0.25">
      <c r="A3" s="3">
        <v>-1974002318</v>
      </c>
      <c r="B3" s="4">
        <v>42780</v>
      </c>
      <c r="C3" s="3">
        <v>1241531093</v>
      </c>
      <c r="G3" s="3">
        <v>2146189445</v>
      </c>
      <c r="H3" s="5" t="s">
        <v>67</v>
      </c>
      <c r="I3" s="3" t="b">
        <v>0</v>
      </c>
      <c r="J3" s="3" t="b">
        <v>0</v>
      </c>
      <c r="K3" s="3" t="b">
        <v>0</v>
      </c>
      <c r="L3" s="3" t="b">
        <v>0</v>
      </c>
      <c r="M3" s="3" t="b">
        <v>0</v>
      </c>
      <c r="N3" s="3" t="b">
        <v>0</v>
      </c>
      <c r="O3" s="3" t="b">
        <v>0</v>
      </c>
      <c r="P3" s="3" t="b">
        <v>1</v>
      </c>
      <c r="Q3" s="3" t="b">
        <v>0</v>
      </c>
      <c r="R3" s="3" t="s">
        <v>79</v>
      </c>
      <c r="S3" s="5" t="s">
        <v>80</v>
      </c>
      <c r="T3" s="3" t="b">
        <v>1</v>
      </c>
      <c r="U3" s="3" t="b">
        <v>1</v>
      </c>
      <c r="V3" s="5" t="s">
        <v>81</v>
      </c>
      <c r="W3" s="5" t="s">
        <v>67</v>
      </c>
      <c r="X3" s="3" t="b">
        <v>0</v>
      </c>
      <c r="Y3" s="3" t="b">
        <v>0</v>
      </c>
      <c r="Z3" s="3" t="b">
        <v>0</v>
      </c>
      <c r="AA3" s="3" t="b">
        <v>0</v>
      </c>
      <c r="AB3" s="5" t="s">
        <v>82</v>
      </c>
      <c r="AC3" s="5" t="s">
        <v>83</v>
      </c>
      <c r="AD3" s="5" t="s">
        <v>84</v>
      </c>
      <c r="AE3" s="5" t="s">
        <v>67</v>
      </c>
      <c r="AF3" s="5" t="s">
        <v>85</v>
      </c>
      <c r="AG3" s="5" t="s">
        <v>67</v>
      </c>
      <c r="AH3" s="5" t="s">
        <v>86</v>
      </c>
      <c r="AI3" s="5" t="s">
        <v>67</v>
      </c>
      <c r="AJ3" s="5" t="s">
        <v>67</v>
      </c>
      <c r="AK3" s="5" t="s">
        <v>67</v>
      </c>
      <c r="AL3" s="5" t="s">
        <v>67</v>
      </c>
      <c r="AM3" s="5" t="s">
        <v>67</v>
      </c>
      <c r="AN3" s="5" t="s">
        <v>67</v>
      </c>
      <c r="AO3" s="5" t="s">
        <v>67</v>
      </c>
      <c r="AP3" s="5" t="s">
        <v>67</v>
      </c>
      <c r="AQ3" s="5" t="s">
        <v>67</v>
      </c>
      <c r="AR3" s="5" t="s">
        <v>67</v>
      </c>
      <c r="AW3" s="5" t="s">
        <v>67</v>
      </c>
      <c r="AX3" s="5" t="s">
        <v>67</v>
      </c>
      <c r="AY3" s="5" t="s">
        <v>67</v>
      </c>
      <c r="AZ3" s="5" t="s">
        <v>67</v>
      </c>
      <c r="BA3" s="3">
        <v>226884306</v>
      </c>
      <c r="BD3" s="3">
        <v>2146189019</v>
      </c>
      <c r="BF3" s="5" t="s">
        <v>87</v>
      </c>
      <c r="BG3" s="5" t="s">
        <v>88</v>
      </c>
      <c r="BH3" s="5" t="s">
        <v>89</v>
      </c>
      <c r="BI3" s="5" t="s">
        <v>67</v>
      </c>
      <c r="BJ3" s="5" t="s">
        <v>67</v>
      </c>
      <c r="BK3" s="5" t="s">
        <v>90</v>
      </c>
      <c r="BL3" s="5" t="s">
        <v>67</v>
      </c>
      <c r="BM3" s="5" t="s">
        <v>67</v>
      </c>
      <c r="BN3" s="5" t="s">
        <v>91</v>
      </c>
      <c r="BO3" s="5" t="s">
        <v>92</v>
      </c>
    </row>
    <row r="4" spans="1:67" ht="270" x14ac:dyDescent="0.25">
      <c r="A4" s="3">
        <v>-1949668449</v>
      </c>
      <c r="B4" s="4">
        <v>37859.410983796297</v>
      </c>
      <c r="C4" s="3">
        <v>2643</v>
      </c>
      <c r="D4" s="3">
        <v>2210</v>
      </c>
      <c r="E4" s="3">
        <v>0</v>
      </c>
      <c r="F4" s="3">
        <v>0</v>
      </c>
      <c r="G4" s="3">
        <v>1424</v>
      </c>
      <c r="H4" s="5" t="s">
        <v>67</v>
      </c>
      <c r="I4" s="3" t="b">
        <v>0</v>
      </c>
      <c r="J4" s="3" t="b">
        <v>0</v>
      </c>
      <c r="K4" s="3" t="b">
        <v>0</v>
      </c>
      <c r="L4" s="3" t="b">
        <v>0</v>
      </c>
      <c r="M4" s="3" t="b">
        <v>0</v>
      </c>
      <c r="N4" s="3" t="b">
        <v>0</v>
      </c>
      <c r="O4" s="3" t="b">
        <v>0</v>
      </c>
      <c r="P4" s="3" t="b">
        <v>0</v>
      </c>
      <c r="Q4" s="3" t="b">
        <v>0</v>
      </c>
      <c r="R4" s="3" t="s">
        <v>67</v>
      </c>
      <c r="S4" s="5" t="s">
        <v>93</v>
      </c>
      <c r="T4" s="3" t="b">
        <v>0</v>
      </c>
      <c r="U4" s="3" t="b">
        <v>1</v>
      </c>
      <c r="V4" s="5" t="s">
        <v>67</v>
      </c>
      <c r="W4" s="5" t="s">
        <v>67</v>
      </c>
      <c r="X4" s="3" t="b">
        <v>0</v>
      </c>
      <c r="Y4" s="3" t="b">
        <v>0</v>
      </c>
      <c r="Z4" s="3" t="b">
        <v>0</v>
      </c>
      <c r="AA4" s="3" t="b">
        <v>0</v>
      </c>
      <c r="AB4" s="5" t="s">
        <v>94</v>
      </c>
      <c r="AC4" s="5" t="s">
        <v>95</v>
      </c>
      <c r="AD4" s="5" t="s">
        <v>67</v>
      </c>
      <c r="AE4" s="5" t="s">
        <v>67</v>
      </c>
      <c r="AF4" s="5" t="s">
        <v>67</v>
      </c>
      <c r="AG4" s="5" t="s">
        <v>96</v>
      </c>
      <c r="AH4" s="5" t="s">
        <v>67</v>
      </c>
      <c r="AI4" s="5" t="s">
        <v>67</v>
      </c>
      <c r="AJ4" s="5" t="s">
        <v>67</v>
      </c>
      <c r="AK4" s="5" t="s">
        <v>67</v>
      </c>
      <c r="AL4" s="5" t="s">
        <v>67</v>
      </c>
      <c r="AM4" s="5" t="s">
        <v>67</v>
      </c>
      <c r="AN4" s="5" t="s">
        <v>67</v>
      </c>
      <c r="AO4" s="5" t="s">
        <v>67</v>
      </c>
      <c r="AP4" s="5" t="s">
        <v>67</v>
      </c>
      <c r="AQ4" s="5" t="s">
        <v>67</v>
      </c>
      <c r="AR4" s="5" t="s">
        <v>67</v>
      </c>
      <c r="AW4" s="5" t="s">
        <v>67</v>
      </c>
      <c r="AX4" s="5" t="s">
        <v>67</v>
      </c>
      <c r="AY4" s="5" t="s">
        <v>67</v>
      </c>
      <c r="AZ4" s="5" t="s">
        <v>67</v>
      </c>
      <c r="BA4" s="3">
        <v>107</v>
      </c>
      <c r="BB4" s="3">
        <v>0</v>
      </c>
      <c r="BC4" s="3">
        <v>0</v>
      </c>
      <c r="BE4" s="3">
        <v>0</v>
      </c>
      <c r="BF4" s="5" t="s">
        <v>67</v>
      </c>
      <c r="BG4" s="5" t="s">
        <v>97</v>
      </c>
      <c r="BH4" s="5" t="s">
        <v>98</v>
      </c>
      <c r="BI4" s="5" t="s">
        <v>67</v>
      </c>
      <c r="BJ4" s="5" t="s">
        <v>67</v>
      </c>
      <c r="BK4" s="5" t="s">
        <v>67</v>
      </c>
      <c r="BL4" s="5" t="s">
        <v>67</v>
      </c>
      <c r="BM4" s="5" t="s">
        <v>67</v>
      </c>
      <c r="BN4" s="5" t="s">
        <v>67</v>
      </c>
      <c r="BO4" s="5" t="s">
        <v>67</v>
      </c>
    </row>
    <row r="5" spans="1:67" ht="409.5" x14ac:dyDescent="0.25">
      <c r="A5" s="3">
        <v>-1887115141</v>
      </c>
      <c r="B5" s="4">
        <v>42517</v>
      </c>
      <c r="C5" s="3">
        <v>106817863</v>
      </c>
      <c r="F5" s="3">
        <v>1424</v>
      </c>
      <c r="H5" s="5" t="s">
        <v>99</v>
      </c>
      <c r="I5" s="3" t="b">
        <v>0</v>
      </c>
      <c r="J5" s="3" t="b">
        <v>1</v>
      </c>
      <c r="K5" s="3" t="b">
        <v>1</v>
      </c>
      <c r="L5" s="3" t="b">
        <v>0</v>
      </c>
      <c r="M5" s="3" t="b">
        <v>0</v>
      </c>
      <c r="N5" s="3" t="b">
        <v>0</v>
      </c>
      <c r="O5" s="3" t="b">
        <v>0</v>
      </c>
      <c r="P5" s="3" t="b">
        <v>1</v>
      </c>
      <c r="Q5" s="3" t="b">
        <v>0</v>
      </c>
      <c r="R5" s="3" t="s">
        <v>100</v>
      </c>
      <c r="S5" s="5" t="s">
        <v>101</v>
      </c>
      <c r="T5" s="3" t="b">
        <v>0</v>
      </c>
      <c r="U5" s="3" t="b">
        <v>1</v>
      </c>
      <c r="V5" s="5" t="s">
        <v>67</v>
      </c>
      <c r="W5" s="5" t="s">
        <v>102</v>
      </c>
      <c r="X5" s="3" t="b">
        <v>0</v>
      </c>
      <c r="Y5" s="3" t="b">
        <v>0</v>
      </c>
      <c r="Z5" s="3" t="b">
        <v>0</v>
      </c>
      <c r="AA5" s="3" t="b">
        <v>1</v>
      </c>
      <c r="AB5" s="5" t="s">
        <v>103</v>
      </c>
      <c r="AC5" s="5" t="s">
        <v>104</v>
      </c>
      <c r="AD5" s="5" t="s">
        <v>105</v>
      </c>
      <c r="AE5" s="5" t="s">
        <v>67</v>
      </c>
      <c r="AF5" s="5" t="s">
        <v>106</v>
      </c>
      <c r="AG5" s="5" t="s">
        <v>107</v>
      </c>
      <c r="AH5" s="5" t="s">
        <v>108</v>
      </c>
      <c r="AI5" s="5" t="s">
        <v>67</v>
      </c>
      <c r="AJ5" s="5" t="s">
        <v>67</v>
      </c>
      <c r="AK5" s="5" t="s">
        <v>67</v>
      </c>
      <c r="AL5" s="5" t="s">
        <v>67</v>
      </c>
      <c r="AM5" s="5" t="s">
        <v>109</v>
      </c>
      <c r="AN5" s="5" t="s">
        <v>67</v>
      </c>
      <c r="AO5" s="5" t="s">
        <v>67</v>
      </c>
      <c r="AP5" s="5" t="s">
        <v>67</v>
      </c>
      <c r="AQ5" s="5" t="s">
        <v>67</v>
      </c>
      <c r="AR5" s="5" t="s">
        <v>67</v>
      </c>
      <c r="AW5" s="5" t="s">
        <v>67</v>
      </c>
      <c r="AX5" s="5" t="s">
        <v>67</v>
      </c>
      <c r="AY5" s="5" t="s">
        <v>67</v>
      </c>
      <c r="AZ5" s="5" t="s">
        <v>67</v>
      </c>
      <c r="BA5" s="3">
        <v>107</v>
      </c>
      <c r="BD5" s="3">
        <v>2146189028</v>
      </c>
      <c r="BE5" s="3">
        <v>2146189028</v>
      </c>
      <c r="BF5" s="5" t="s">
        <v>110</v>
      </c>
      <c r="BG5" s="5" t="s">
        <v>97</v>
      </c>
      <c r="BH5" s="5" t="s">
        <v>111</v>
      </c>
      <c r="BI5" s="5" t="s">
        <v>74</v>
      </c>
      <c r="BJ5" s="5" t="s">
        <v>67</v>
      </c>
      <c r="BK5" s="5" t="s">
        <v>112</v>
      </c>
      <c r="BL5" s="5" t="s">
        <v>113</v>
      </c>
      <c r="BM5" s="5" t="s">
        <v>67</v>
      </c>
      <c r="BN5" s="5" t="s">
        <v>67</v>
      </c>
      <c r="BO5" s="5" t="s">
        <v>67</v>
      </c>
    </row>
    <row r="6" spans="1:67" ht="330" x14ac:dyDescent="0.25">
      <c r="A6" s="3">
        <v>-1756164214</v>
      </c>
      <c r="B6" s="4">
        <v>41087</v>
      </c>
      <c r="C6" s="3">
        <v>0</v>
      </c>
      <c r="D6" s="3">
        <v>0</v>
      </c>
      <c r="E6" s="3">
        <v>0</v>
      </c>
      <c r="F6" s="3">
        <v>0</v>
      </c>
      <c r="G6" s="3">
        <v>0</v>
      </c>
      <c r="H6" s="5" t="s">
        <v>67</v>
      </c>
      <c r="I6" s="3" t="b">
        <v>0</v>
      </c>
      <c r="J6" s="3" t="b">
        <v>0</v>
      </c>
      <c r="K6" s="3" t="b">
        <v>0</v>
      </c>
      <c r="L6" s="3" t="b">
        <v>0</v>
      </c>
      <c r="M6" s="3" t="b">
        <v>0</v>
      </c>
      <c r="N6" s="3" t="b">
        <v>0</v>
      </c>
      <c r="O6" s="3" t="b">
        <v>0</v>
      </c>
      <c r="P6" s="3" t="b">
        <v>0</v>
      </c>
      <c r="Q6" s="3" t="b">
        <v>0</v>
      </c>
      <c r="R6" s="3" t="s">
        <v>67</v>
      </c>
      <c r="S6" s="5" t="s">
        <v>114</v>
      </c>
      <c r="T6" s="3" t="b">
        <v>0</v>
      </c>
      <c r="U6" s="3" t="b">
        <v>1</v>
      </c>
      <c r="V6" s="5" t="s">
        <v>67</v>
      </c>
      <c r="W6" s="5" t="s">
        <v>67</v>
      </c>
      <c r="X6" s="3" t="b">
        <v>0</v>
      </c>
      <c r="Y6" s="3" t="b">
        <v>0</v>
      </c>
      <c r="Z6" s="3" t="b">
        <v>0</v>
      </c>
      <c r="AA6" s="3" t="b">
        <v>0</v>
      </c>
      <c r="AB6" s="5" t="s">
        <v>115</v>
      </c>
      <c r="AC6" s="5" t="s">
        <v>116</v>
      </c>
      <c r="AD6" s="5" t="s">
        <v>67</v>
      </c>
      <c r="AE6" s="5" t="s">
        <v>67</v>
      </c>
      <c r="AF6" s="5" t="s">
        <v>67</v>
      </c>
      <c r="AG6" s="5" t="s">
        <v>67</v>
      </c>
      <c r="AH6" s="5" t="s">
        <v>67</v>
      </c>
      <c r="AI6" s="5" t="s">
        <v>67</v>
      </c>
      <c r="AJ6" s="5" t="s">
        <v>67</v>
      </c>
      <c r="AK6" s="5" t="s">
        <v>67</v>
      </c>
      <c r="AL6" s="5" t="s">
        <v>67</v>
      </c>
      <c r="AM6" s="5" t="s">
        <v>67</v>
      </c>
      <c r="AN6" s="5" t="s">
        <v>67</v>
      </c>
      <c r="AO6" s="5" t="s">
        <v>67</v>
      </c>
      <c r="AP6" s="5" t="s">
        <v>67</v>
      </c>
      <c r="AQ6" s="5" t="s">
        <v>67</v>
      </c>
      <c r="AR6" s="5" t="s">
        <v>67</v>
      </c>
      <c r="AW6" s="5" t="s">
        <v>67</v>
      </c>
      <c r="AX6" s="5" t="s">
        <v>67</v>
      </c>
      <c r="AY6" s="5" t="s">
        <v>67</v>
      </c>
      <c r="AZ6" s="5" t="s">
        <v>67</v>
      </c>
      <c r="BA6" s="3">
        <v>0</v>
      </c>
      <c r="BB6" s="3">
        <v>0</v>
      </c>
      <c r="BC6" s="3">
        <v>0</v>
      </c>
      <c r="BD6" s="3">
        <v>0</v>
      </c>
      <c r="BE6" s="3">
        <v>0</v>
      </c>
      <c r="BF6" s="5" t="s">
        <v>67</v>
      </c>
      <c r="BG6" s="5" t="s">
        <v>97</v>
      </c>
      <c r="BH6" s="5" t="s">
        <v>117</v>
      </c>
      <c r="BI6" s="5" t="s">
        <v>67</v>
      </c>
      <c r="BJ6" s="5" t="s">
        <v>118</v>
      </c>
      <c r="BK6" s="5" t="s">
        <v>67</v>
      </c>
      <c r="BL6" s="5" t="s">
        <v>67</v>
      </c>
      <c r="BM6" s="5" t="s">
        <v>67</v>
      </c>
      <c r="BN6" s="5" t="s">
        <v>67</v>
      </c>
      <c r="BO6" s="5" t="s">
        <v>67</v>
      </c>
    </row>
    <row r="7" spans="1:67" ht="45" x14ac:dyDescent="0.25">
      <c r="A7" s="3">
        <v>-1735727011</v>
      </c>
      <c r="B7" s="4">
        <v>37861.393576388902</v>
      </c>
      <c r="C7" s="3">
        <v>0</v>
      </c>
      <c r="D7" s="3">
        <v>0</v>
      </c>
      <c r="E7" s="3">
        <v>0</v>
      </c>
      <c r="F7" s="3">
        <v>0</v>
      </c>
      <c r="G7" s="3">
        <v>0</v>
      </c>
      <c r="H7" s="5" t="s">
        <v>67</v>
      </c>
      <c r="I7" s="3" t="b">
        <v>0</v>
      </c>
      <c r="J7" s="3" t="b">
        <v>0</v>
      </c>
      <c r="K7" s="3" t="b">
        <v>0</v>
      </c>
      <c r="L7" s="3" t="b">
        <v>0</v>
      </c>
      <c r="M7" s="3" t="b">
        <v>0</v>
      </c>
      <c r="N7" s="3" t="b">
        <v>0</v>
      </c>
      <c r="O7" s="3" t="b">
        <v>0</v>
      </c>
      <c r="P7" s="3" t="b">
        <v>0</v>
      </c>
      <c r="Q7" s="3" t="b">
        <v>0</v>
      </c>
      <c r="R7" s="3" t="s">
        <v>67</v>
      </c>
      <c r="S7" s="5" t="s">
        <v>119</v>
      </c>
      <c r="T7" s="3" t="b">
        <v>0</v>
      </c>
      <c r="U7" s="3" t="b">
        <v>0</v>
      </c>
      <c r="V7" s="5" t="s">
        <v>67</v>
      </c>
      <c r="W7" s="5" t="s">
        <v>67</v>
      </c>
      <c r="X7" s="3" t="b">
        <v>0</v>
      </c>
      <c r="Y7" s="3" t="b">
        <v>0</v>
      </c>
      <c r="Z7" s="3" t="b">
        <v>0</v>
      </c>
      <c r="AA7" s="3" t="b">
        <v>0</v>
      </c>
      <c r="AB7" s="5" t="s">
        <v>120</v>
      </c>
      <c r="AC7" s="5" t="s">
        <v>67</v>
      </c>
      <c r="AD7" s="5" t="s">
        <v>67</v>
      </c>
      <c r="AE7" s="5" t="s">
        <v>67</v>
      </c>
      <c r="AF7" s="5" t="s">
        <v>67</v>
      </c>
      <c r="AG7" s="5" t="s">
        <v>67</v>
      </c>
      <c r="AH7" s="5" t="s">
        <v>67</v>
      </c>
      <c r="AI7" s="5" t="s">
        <v>67</v>
      </c>
      <c r="AJ7" s="5" t="s">
        <v>67</v>
      </c>
      <c r="AK7" s="5" t="s">
        <v>67</v>
      </c>
      <c r="AL7" s="5" t="s">
        <v>67</v>
      </c>
      <c r="AM7" s="5" t="s">
        <v>67</v>
      </c>
      <c r="AN7" s="5" t="s">
        <v>67</v>
      </c>
      <c r="AO7" s="5" t="s">
        <v>67</v>
      </c>
      <c r="AP7" s="5" t="s">
        <v>67</v>
      </c>
      <c r="AQ7" s="5" t="s">
        <v>67</v>
      </c>
      <c r="AR7" s="5" t="s">
        <v>67</v>
      </c>
      <c r="AW7" s="5" t="s">
        <v>67</v>
      </c>
      <c r="AX7" s="5" t="s">
        <v>67</v>
      </c>
      <c r="AY7" s="5" t="s">
        <v>67</v>
      </c>
      <c r="AZ7" s="5" t="s">
        <v>67</v>
      </c>
      <c r="BA7" s="3">
        <v>107</v>
      </c>
      <c r="BB7" s="3">
        <v>0</v>
      </c>
      <c r="BC7" s="3">
        <v>0</v>
      </c>
      <c r="BD7" s="3">
        <v>0</v>
      </c>
      <c r="BE7" s="3">
        <v>0</v>
      </c>
      <c r="BF7" s="5" t="s">
        <v>67</v>
      </c>
      <c r="BG7" s="5" t="s">
        <v>97</v>
      </c>
      <c r="BH7" s="5" t="s">
        <v>67</v>
      </c>
      <c r="BI7" s="5" t="s">
        <v>67</v>
      </c>
      <c r="BJ7" s="5" t="s">
        <v>121</v>
      </c>
      <c r="BK7" s="5" t="s">
        <v>67</v>
      </c>
      <c r="BL7" s="5" t="s">
        <v>67</v>
      </c>
      <c r="BM7" s="5" t="s">
        <v>67</v>
      </c>
      <c r="BN7" s="5" t="s">
        <v>67</v>
      </c>
      <c r="BO7" s="5" t="s">
        <v>67</v>
      </c>
    </row>
    <row r="8" spans="1:67" ht="270" x14ac:dyDescent="0.25">
      <c r="A8" s="3">
        <v>-1690129297</v>
      </c>
      <c r="B8" s="4">
        <v>37858.563287037003</v>
      </c>
      <c r="C8" s="3">
        <v>1007640806</v>
      </c>
      <c r="D8" s="3">
        <v>2210</v>
      </c>
      <c r="E8" s="3">
        <v>0</v>
      </c>
      <c r="F8" s="3">
        <v>0</v>
      </c>
      <c r="H8" s="5" t="s">
        <v>67</v>
      </c>
      <c r="I8" s="3" t="b">
        <v>0</v>
      </c>
      <c r="J8" s="3" t="b">
        <v>0</v>
      </c>
      <c r="K8" s="3" t="b">
        <v>0</v>
      </c>
      <c r="L8" s="3" t="b">
        <v>0</v>
      </c>
      <c r="M8" s="3" t="b">
        <v>0</v>
      </c>
      <c r="N8" s="3" t="b">
        <v>0</v>
      </c>
      <c r="O8" s="3" t="b">
        <v>0</v>
      </c>
      <c r="P8" s="3" t="b">
        <v>0</v>
      </c>
      <c r="Q8" s="3" t="b">
        <v>0</v>
      </c>
      <c r="R8" s="3" t="s">
        <v>67</v>
      </c>
      <c r="S8" s="5" t="s">
        <v>122</v>
      </c>
      <c r="T8" s="3" t="b">
        <v>0</v>
      </c>
      <c r="U8" s="3" t="b">
        <v>1</v>
      </c>
      <c r="V8" s="5" t="s">
        <v>67</v>
      </c>
      <c r="W8" s="5" t="s">
        <v>67</v>
      </c>
      <c r="X8" s="3" t="b">
        <v>0</v>
      </c>
      <c r="Y8" s="3" t="b">
        <v>0</v>
      </c>
      <c r="Z8" s="3" t="b">
        <v>0</v>
      </c>
      <c r="AA8" s="3" t="b">
        <v>0</v>
      </c>
      <c r="AB8" s="5" t="s">
        <v>123</v>
      </c>
      <c r="AC8" s="5" t="s">
        <v>124</v>
      </c>
      <c r="AD8" s="5" t="s">
        <v>67</v>
      </c>
      <c r="AE8" s="5" t="s">
        <v>67</v>
      </c>
      <c r="AF8" s="5" t="s">
        <v>67</v>
      </c>
      <c r="AG8" s="5" t="s">
        <v>67</v>
      </c>
      <c r="AH8" s="5" t="s">
        <v>67</v>
      </c>
      <c r="AI8" s="5" t="s">
        <v>67</v>
      </c>
      <c r="AJ8" s="5" t="s">
        <v>67</v>
      </c>
      <c r="AK8" s="5" t="s">
        <v>67</v>
      </c>
      <c r="AL8" s="5" t="s">
        <v>67</v>
      </c>
      <c r="AM8" s="5" t="s">
        <v>67</v>
      </c>
      <c r="AN8" s="5" t="s">
        <v>67</v>
      </c>
      <c r="AO8" s="5" t="s">
        <v>67</v>
      </c>
      <c r="AP8" s="5" t="s">
        <v>67</v>
      </c>
      <c r="AQ8" s="5" t="s">
        <v>67</v>
      </c>
      <c r="AR8" s="5" t="s">
        <v>67</v>
      </c>
      <c r="AW8" s="5" t="s">
        <v>67</v>
      </c>
      <c r="AX8" s="5" t="s">
        <v>67</v>
      </c>
      <c r="AY8" s="5" t="s">
        <v>67</v>
      </c>
      <c r="AZ8" s="5" t="s">
        <v>67</v>
      </c>
      <c r="BA8" s="3">
        <v>1217</v>
      </c>
      <c r="BB8" s="3">
        <v>0</v>
      </c>
      <c r="BC8" s="3">
        <v>0</v>
      </c>
      <c r="BE8" s="3">
        <v>0</v>
      </c>
      <c r="BF8" s="5" t="s">
        <v>67</v>
      </c>
      <c r="BG8" s="5" t="s">
        <v>125</v>
      </c>
      <c r="BH8" s="5" t="s">
        <v>126</v>
      </c>
      <c r="BI8" s="5" t="s">
        <v>67</v>
      </c>
      <c r="BJ8" s="5" t="s">
        <v>127</v>
      </c>
      <c r="BK8" s="5" t="s">
        <v>67</v>
      </c>
      <c r="BL8" s="5" t="s">
        <v>67</v>
      </c>
      <c r="BM8" s="5" t="s">
        <v>67</v>
      </c>
      <c r="BN8" s="5" t="s">
        <v>67</v>
      </c>
      <c r="BO8" s="5" t="s">
        <v>67</v>
      </c>
    </row>
    <row r="9" spans="1:67" x14ac:dyDescent="0.25">
      <c r="A9" s="3">
        <v>-1579856298</v>
      </c>
      <c r="B9" s="4">
        <v>38154.441030092603</v>
      </c>
      <c r="C9" s="3">
        <v>0</v>
      </c>
      <c r="D9" s="3">
        <v>0</v>
      </c>
      <c r="F9" s="3">
        <v>0</v>
      </c>
      <c r="G9" s="3">
        <v>0</v>
      </c>
      <c r="H9" s="5" t="s">
        <v>67</v>
      </c>
      <c r="I9" s="3" t="b">
        <v>0</v>
      </c>
      <c r="J9" s="3" t="b">
        <v>0</v>
      </c>
      <c r="K9" s="3" t="b">
        <v>0</v>
      </c>
      <c r="L9" s="3" t="b">
        <v>0</v>
      </c>
      <c r="M9" s="3" t="b">
        <v>0</v>
      </c>
      <c r="N9" s="3" t="b">
        <v>0</v>
      </c>
      <c r="O9" s="3" t="b">
        <v>0</v>
      </c>
      <c r="P9" s="3" t="b">
        <v>0</v>
      </c>
      <c r="Q9" s="3" t="b">
        <v>0</v>
      </c>
      <c r="R9" s="3" t="s">
        <v>67</v>
      </c>
      <c r="S9" s="5" t="s">
        <v>67</v>
      </c>
      <c r="T9" s="3" t="b">
        <v>0</v>
      </c>
      <c r="U9" s="3" t="b">
        <v>0</v>
      </c>
      <c r="V9" s="5" t="s">
        <v>67</v>
      </c>
      <c r="W9" s="5" t="s">
        <v>67</v>
      </c>
      <c r="X9" s="3" t="b">
        <v>0</v>
      </c>
      <c r="Y9" s="3" t="b">
        <v>0</v>
      </c>
      <c r="Z9" s="3" t="b">
        <v>0</v>
      </c>
      <c r="AA9" s="3" t="b">
        <v>0</v>
      </c>
      <c r="AB9" s="5" t="s">
        <v>67</v>
      </c>
      <c r="AC9" s="5" t="s">
        <v>67</v>
      </c>
      <c r="AD9" s="5" t="s">
        <v>67</v>
      </c>
      <c r="AE9" s="5" t="s">
        <v>67</v>
      </c>
      <c r="AF9" s="5" t="s">
        <v>67</v>
      </c>
      <c r="AG9" s="5" t="s">
        <v>67</v>
      </c>
      <c r="AH9" s="5" t="s">
        <v>67</v>
      </c>
      <c r="AI9" s="5" t="s">
        <v>67</v>
      </c>
      <c r="AJ9" s="5" t="s">
        <v>67</v>
      </c>
      <c r="AK9" s="5" t="s">
        <v>67</v>
      </c>
      <c r="AL9" s="5" t="s">
        <v>67</v>
      </c>
      <c r="AM9" s="5" t="s">
        <v>67</v>
      </c>
      <c r="AN9" s="5" t="s">
        <v>67</v>
      </c>
      <c r="AO9" s="5" t="s">
        <v>67</v>
      </c>
      <c r="AP9" s="5" t="s">
        <v>67</v>
      </c>
      <c r="AQ9" s="5" t="s">
        <v>67</v>
      </c>
      <c r="AR9" s="5" t="s">
        <v>67</v>
      </c>
      <c r="AW9" s="5" t="s">
        <v>67</v>
      </c>
      <c r="AX9" s="5" t="s">
        <v>67</v>
      </c>
      <c r="AY9" s="5" t="s">
        <v>67</v>
      </c>
      <c r="AZ9" s="5" t="s">
        <v>67</v>
      </c>
      <c r="BA9" s="3">
        <v>0</v>
      </c>
      <c r="BB9" s="3">
        <v>0</v>
      </c>
      <c r="BC9" s="3">
        <v>0</v>
      </c>
      <c r="BD9" s="3">
        <v>0</v>
      </c>
      <c r="BE9" s="3">
        <v>0</v>
      </c>
      <c r="BF9" s="5" t="s">
        <v>67</v>
      </c>
      <c r="BG9" s="5" t="s">
        <v>67</v>
      </c>
      <c r="BH9" s="5" t="s">
        <v>67</v>
      </c>
      <c r="BI9" s="5" t="s">
        <v>67</v>
      </c>
      <c r="BJ9" s="5" t="s">
        <v>67</v>
      </c>
      <c r="BK9" s="5" t="s">
        <v>67</v>
      </c>
      <c r="BL9" s="5" t="s">
        <v>67</v>
      </c>
      <c r="BM9" s="5" t="s">
        <v>67</v>
      </c>
      <c r="BN9" s="5" t="s">
        <v>67</v>
      </c>
      <c r="BO9" s="5" t="s">
        <v>67</v>
      </c>
    </row>
    <row r="10" spans="1:67" ht="409.5" x14ac:dyDescent="0.25">
      <c r="A10" s="3">
        <v>-1475569285</v>
      </c>
      <c r="B10" s="4">
        <v>42405</v>
      </c>
      <c r="C10" s="3">
        <v>2146188951</v>
      </c>
      <c r="F10" s="3">
        <v>2146189395</v>
      </c>
      <c r="G10" s="3">
        <v>2146188951</v>
      </c>
      <c r="H10" s="5" t="s">
        <v>67</v>
      </c>
      <c r="I10" s="3" t="b">
        <v>0</v>
      </c>
      <c r="J10" s="3" t="b">
        <v>1</v>
      </c>
      <c r="K10" s="3" t="b">
        <v>0</v>
      </c>
      <c r="L10" s="3" t="b">
        <v>1</v>
      </c>
      <c r="M10" s="3" t="b">
        <v>1</v>
      </c>
      <c r="N10" s="3" t="b">
        <v>0</v>
      </c>
      <c r="O10" s="3" t="b">
        <v>0</v>
      </c>
      <c r="P10" s="3" t="b">
        <v>0</v>
      </c>
      <c r="Q10" s="3" t="b">
        <v>0</v>
      </c>
      <c r="R10" s="3" t="s">
        <v>128</v>
      </c>
      <c r="S10" s="5" t="s">
        <v>129</v>
      </c>
      <c r="T10" s="3" t="b">
        <v>0</v>
      </c>
      <c r="U10" s="3" t="b">
        <v>1</v>
      </c>
      <c r="V10" s="5" t="s">
        <v>130</v>
      </c>
      <c r="W10" s="5" t="s">
        <v>131</v>
      </c>
      <c r="X10" s="3" t="b">
        <v>0</v>
      </c>
      <c r="Y10" s="3" t="b">
        <v>0</v>
      </c>
      <c r="Z10" s="3" t="b">
        <v>0</v>
      </c>
      <c r="AA10" s="3" t="b">
        <v>0</v>
      </c>
      <c r="AB10" s="5" t="s">
        <v>132</v>
      </c>
      <c r="AC10" s="5" t="s">
        <v>133</v>
      </c>
      <c r="AD10" s="5" t="s">
        <v>134</v>
      </c>
      <c r="AE10" s="5" t="s">
        <v>67</v>
      </c>
      <c r="AF10" s="5" t="s">
        <v>135</v>
      </c>
      <c r="AG10" s="5" t="s">
        <v>136</v>
      </c>
      <c r="AH10" s="5" t="s">
        <v>137</v>
      </c>
      <c r="AI10" s="5" t="s">
        <v>67</v>
      </c>
      <c r="AJ10" s="5" t="s">
        <v>67</v>
      </c>
      <c r="AK10" s="5" t="s">
        <v>67</v>
      </c>
      <c r="AL10" s="5" t="s">
        <v>67</v>
      </c>
      <c r="AM10" s="5" t="s">
        <v>67</v>
      </c>
      <c r="AN10" s="5" t="s">
        <v>67</v>
      </c>
      <c r="AO10" s="5" t="s">
        <v>67</v>
      </c>
      <c r="AP10" s="5" t="s">
        <v>67</v>
      </c>
      <c r="AQ10" s="5" t="s">
        <v>67</v>
      </c>
      <c r="AR10" s="5" t="s">
        <v>67</v>
      </c>
      <c r="AW10" s="5" t="s">
        <v>67</v>
      </c>
      <c r="AX10" s="5" t="s">
        <v>67</v>
      </c>
      <c r="AY10" s="5" t="s">
        <v>67</v>
      </c>
      <c r="AZ10" s="5" t="s">
        <v>67</v>
      </c>
      <c r="BA10" s="3">
        <v>2146189227</v>
      </c>
      <c r="BB10" s="3">
        <v>2146189396</v>
      </c>
      <c r="BD10" s="3">
        <v>2146188987</v>
      </c>
      <c r="BE10" s="3">
        <v>2146188982</v>
      </c>
      <c r="BF10" s="5" t="s">
        <v>138</v>
      </c>
      <c r="BG10" s="5" t="s">
        <v>139</v>
      </c>
      <c r="BH10" s="5" t="s">
        <v>140</v>
      </c>
      <c r="BI10" s="5" t="s">
        <v>141</v>
      </c>
      <c r="BJ10" s="5" t="s">
        <v>142</v>
      </c>
      <c r="BK10" s="5" t="s">
        <v>143</v>
      </c>
      <c r="BL10" s="5" t="s">
        <v>144</v>
      </c>
      <c r="BM10" s="5" t="s">
        <v>67</v>
      </c>
      <c r="BN10" s="5" t="s">
        <v>67</v>
      </c>
      <c r="BO10" s="5" t="s">
        <v>67</v>
      </c>
    </row>
    <row r="11" spans="1:67" x14ac:dyDescent="0.25">
      <c r="A11" s="3">
        <v>-1435346384</v>
      </c>
      <c r="B11" s="4">
        <v>42886</v>
      </c>
      <c r="H11" s="5" t="s">
        <v>67</v>
      </c>
      <c r="I11" s="3" t="b">
        <v>0</v>
      </c>
      <c r="J11" s="3" t="b">
        <v>0</v>
      </c>
      <c r="K11" s="3" t="b">
        <v>0</v>
      </c>
      <c r="L11" s="3" t="b">
        <v>0</v>
      </c>
      <c r="M11" s="3" t="b">
        <v>0</v>
      </c>
      <c r="N11" s="3" t="b">
        <v>0</v>
      </c>
      <c r="O11" s="3" t="b">
        <v>0</v>
      </c>
      <c r="P11" s="3" t="b">
        <v>0</v>
      </c>
      <c r="Q11" s="3" t="b">
        <v>0</v>
      </c>
      <c r="R11" s="3" t="s">
        <v>67</v>
      </c>
      <c r="S11" s="5" t="s">
        <v>67</v>
      </c>
      <c r="T11" s="3" t="b">
        <v>0</v>
      </c>
      <c r="U11" s="3" t="b">
        <v>0</v>
      </c>
      <c r="V11" s="5" t="s">
        <v>67</v>
      </c>
      <c r="W11" s="5" t="s">
        <v>67</v>
      </c>
      <c r="X11" s="3" t="b">
        <v>0</v>
      </c>
      <c r="Y11" s="3" t="b">
        <v>0</v>
      </c>
      <c r="Z11" s="3" t="b">
        <v>0</v>
      </c>
      <c r="AA11" s="3" t="b">
        <v>0</v>
      </c>
      <c r="AB11" s="5" t="s">
        <v>67</v>
      </c>
      <c r="AC11" s="5" t="s">
        <v>67</v>
      </c>
      <c r="AD11" s="5" t="s">
        <v>67</v>
      </c>
      <c r="AE11" s="5" t="s">
        <v>67</v>
      </c>
      <c r="AF11" s="5" t="s">
        <v>67</v>
      </c>
      <c r="AG11" s="5" t="s">
        <v>67</v>
      </c>
      <c r="AH11" s="5" t="s">
        <v>67</v>
      </c>
      <c r="AI11" s="5" t="s">
        <v>67</v>
      </c>
      <c r="AJ11" s="5" t="s">
        <v>67</v>
      </c>
      <c r="AK11" s="5" t="s">
        <v>67</v>
      </c>
      <c r="AL11" s="5" t="s">
        <v>67</v>
      </c>
      <c r="AM11" s="5" t="s">
        <v>67</v>
      </c>
      <c r="AN11" s="5" t="s">
        <v>67</v>
      </c>
      <c r="AO11" s="5" t="s">
        <v>67</v>
      </c>
      <c r="AP11" s="5" t="s">
        <v>67</v>
      </c>
      <c r="AQ11" s="5" t="s">
        <v>67</v>
      </c>
      <c r="AR11" s="5" t="s">
        <v>67</v>
      </c>
      <c r="AW11" s="5" t="s">
        <v>67</v>
      </c>
      <c r="AX11" s="5" t="s">
        <v>67</v>
      </c>
      <c r="AY11" s="5" t="s">
        <v>67</v>
      </c>
      <c r="AZ11" s="5" t="s">
        <v>67</v>
      </c>
      <c r="BF11" s="5" t="s">
        <v>67</v>
      </c>
      <c r="BG11" s="5" t="s">
        <v>67</v>
      </c>
      <c r="BH11" s="5" t="s">
        <v>67</v>
      </c>
      <c r="BI11" s="5" t="s">
        <v>67</v>
      </c>
      <c r="BJ11" s="5" t="s">
        <v>67</v>
      </c>
      <c r="BK11" s="5" t="s">
        <v>67</v>
      </c>
      <c r="BL11" s="5" t="s">
        <v>67</v>
      </c>
      <c r="BM11" s="5" t="s">
        <v>67</v>
      </c>
      <c r="BN11" s="5" t="s">
        <v>67</v>
      </c>
      <c r="BO11" s="5" t="s">
        <v>67</v>
      </c>
    </row>
    <row r="12" spans="1:67" ht="409.5" x14ac:dyDescent="0.25">
      <c r="A12" s="3">
        <v>-1354980006</v>
      </c>
      <c r="B12" s="4">
        <v>42885</v>
      </c>
      <c r="C12" s="3">
        <v>-362773667</v>
      </c>
      <c r="F12" s="3">
        <v>67</v>
      </c>
      <c r="H12" s="5" t="s">
        <v>67</v>
      </c>
      <c r="I12" s="3" t="b">
        <v>0</v>
      </c>
      <c r="J12" s="3" t="b">
        <v>1</v>
      </c>
      <c r="K12" s="3" t="b">
        <v>1</v>
      </c>
      <c r="L12" s="3" t="b">
        <v>1</v>
      </c>
      <c r="M12" s="3" t="b">
        <v>0</v>
      </c>
      <c r="N12" s="3" t="b">
        <v>0</v>
      </c>
      <c r="O12" s="3" t="b">
        <v>0</v>
      </c>
      <c r="P12" s="3" t="b">
        <v>1</v>
      </c>
      <c r="Q12" s="3" t="b">
        <v>0</v>
      </c>
      <c r="R12" s="3" t="s">
        <v>100</v>
      </c>
      <c r="S12" s="5" t="s">
        <v>145</v>
      </c>
      <c r="T12" s="3" t="b">
        <v>1</v>
      </c>
      <c r="U12" s="3" t="b">
        <v>1</v>
      </c>
      <c r="V12" s="5" t="s">
        <v>146</v>
      </c>
      <c r="W12" s="5" t="s">
        <v>147</v>
      </c>
      <c r="X12" s="3" t="b">
        <v>0</v>
      </c>
      <c r="Y12" s="3" t="b">
        <v>0</v>
      </c>
      <c r="Z12" s="3" t="b">
        <v>0</v>
      </c>
      <c r="AA12" s="3" t="b">
        <v>1</v>
      </c>
      <c r="AB12" s="5" t="s">
        <v>148</v>
      </c>
      <c r="AC12" s="5" t="s">
        <v>67</v>
      </c>
      <c r="AD12" s="5" t="s">
        <v>149</v>
      </c>
      <c r="AE12" s="5" t="s">
        <v>67</v>
      </c>
      <c r="AF12" s="5" t="s">
        <v>150</v>
      </c>
      <c r="AG12" s="5" t="s">
        <v>67</v>
      </c>
      <c r="AH12" s="5" t="s">
        <v>151</v>
      </c>
      <c r="AI12" s="5" t="s">
        <v>67</v>
      </c>
      <c r="AJ12" s="5" t="s">
        <v>152</v>
      </c>
      <c r="AK12" s="5" t="s">
        <v>67</v>
      </c>
      <c r="AL12" s="5" t="s">
        <v>67</v>
      </c>
      <c r="AM12" s="5" t="s">
        <v>153</v>
      </c>
      <c r="AN12" s="5" t="s">
        <v>67</v>
      </c>
      <c r="AO12" s="5" t="s">
        <v>67</v>
      </c>
      <c r="AP12" s="5" t="s">
        <v>67</v>
      </c>
      <c r="AQ12" s="5" t="s">
        <v>67</v>
      </c>
      <c r="AR12" s="5" t="s">
        <v>67</v>
      </c>
      <c r="AS12" s="3">
        <v>2146189479</v>
      </c>
      <c r="AT12" s="3">
        <v>2146189314</v>
      </c>
      <c r="AU12" s="3">
        <v>2146189314</v>
      </c>
      <c r="AW12" s="5" t="s">
        <v>67</v>
      </c>
      <c r="AX12" s="5" t="s">
        <v>67</v>
      </c>
      <c r="AY12" s="5" t="s">
        <v>67</v>
      </c>
      <c r="AZ12" s="5" t="s">
        <v>67</v>
      </c>
      <c r="BA12" s="3">
        <v>107</v>
      </c>
      <c r="BD12" s="3">
        <v>2146188987</v>
      </c>
      <c r="BE12" s="3">
        <v>2146188987</v>
      </c>
      <c r="BF12" s="5" t="s">
        <v>154</v>
      </c>
      <c r="BG12" s="5" t="s">
        <v>155</v>
      </c>
      <c r="BH12" s="5" t="s">
        <v>156</v>
      </c>
      <c r="BI12" s="5" t="s">
        <v>74</v>
      </c>
      <c r="BJ12" s="5" t="s">
        <v>157</v>
      </c>
      <c r="BK12" s="5" t="s">
        <v>158</v>
      </c>
      <c r="BL12" s="5" t="s">
        <v>159</v>
      </c>
      <c r="BM12" s="5" t="s">
        <v>160</v>
      </c>
      <c r="BN12" s="5" t="s">
        <v>161</v>
      </c>
      <c r="BO12" s="5" t="s">
        <v>162</v>
      </c>
    </row>
    <row r="13" spans="1:67" x14ac:dyDescent="0.25">
      <c r="A13" s="3">
        <v>-1336383801</v>
      </c>
      <c r="B13" s="4">
        <v>41430</v>
      </c>
      <c r="H13" s="5" t="s">
        <v>67</v>
      </c>
      <c r="I13" s="3" t="b">
        <v>0</v>
      </c>
      <c r="J13" s="3" t="b">
        <v>0</v>
      </c>
      <c r="K13" s="3" t="b">
        <v>0</v>
      </c>
      <c r="L13" s="3" t="b">
        <v>0</v>
      </c>
      <c r="M13" s="3" t="b">
        <v>0</v>
      </c>
      <c r="N13" s="3" t="b">
        <v>0</v>
      </c>
      <c r="O13" s="3" t="b">
        <v>0</v>
      </c>
      <c r="P13" s="3" t="b">
        <v>0</v>
      </c>
      <c r="Q13" s="3" t="b">
        <v>0</v>
      </c>
      <c r="R13" s="3" t="s">
        <v>67</v>
      </c>
      <c r="S13" s="5" t="s">
        <v>67</v>
      </c>
      <c r="T13" s="3" t="b">
        <v>0</v>
      </c>
      <c r="U13" s="3" t="b">
        <v>0</v>
      </c>
      <c r="V13" s="5" t="s">
        <v>67</v>
      </c>
      <c r="W13" s="5" t="s">
        <v>67</v>
      </c>
      <c r="X13" s="3" t="b">
        <v>0</v>
      </c>
      <c r="Y13" s="3" t="b">
        <v>0</v>
      </c>
      <c r="Z13" s="3" t="b">
        <v>0</v>
      </c>
      <c r="AA13" s="3" t="b">
        <v>0</v>
      </c>
      <c r="AB13" s="5" t="s">
        <v>67</v>
      </c>
      <c r="AC13" s="5" t="s">
        <v>67</v>
      </c>
      <c r="AD13" s="5" t="s">
        <v>67</v>
      </c>
      <c r="AE13" s="5" t="s">
        <v>67</v>
      </c>
      <c r="AF13" s="5" t="s">
        <v>67</v>
      </c>
      <c r="AG13" s="5" t="s">
        <v>67</v>
      </c>
      <c r="AH13" s="5" t="s">
        <v>67</v>
      </c>
      <c r="AI13" s="5" t="s">
        <v>67</v>
      </c>
      <c r="AJ13" s="5" t="s">
        <v>67</v>
      </c>
      <c r="AK13" s="5" t="s">
        <v>67</v>
      </c>
      <c r="AL13" s="5" t="s">
        <v>67</v>
      </c>
      <c r="AM13" s="5" t="s">
        <v>67</v>
      </c>
      <c r="AN13" s="5" t="s">
        <v>67</v>
      </c>
      <c r="AO13" s="5" t="s">
        <v>67</v>
      </c>
      <c r="AP13" s="5" t="s">
        <v>67</v>
      </c>
      <c r="AQ13" s="5" t="s">
        <v>67</v>
      </c>
      <c r="AR13" s="5" t="s">
        <v>67</v>
      </c>
      <c r="AW13" s="5" t="s">
        <v>67</v>
      </c>
      <c r="AX13" s="5" t="s">
        <v>67</v>
      </c>
      <c r="AY13" s="5" t="s">
        <v>67</v>
      </c>
      <c r="AZ13" s="5" t="s">
        <v>67</v>
      </c>
      <c r="BF13" s="5" t="s">
        <v>67</v>
      </c>
      <c r="BG13" s="5" t="s">
        <v>67</v>
      </c>
      <c r="BH13" s="5" t="s">
        <v>67</v>
      </c>
      <c r="BI13" s="5" t="s">
        <v>67</v>
      </c>
      <c r="BJ13" s="5" t="s">
        <v>67</v>
      </c>
      <c r="BK13" s="5" t="s">
        <v>67</v>
      </c>
      <c r="BL13" s="5" t="s">
        <v>67</v>
      </c>
      <c r="BM13" s="5" t="s">
        <v>67</v>
      </c>
      <c r="BN13" s="5" t="s">
        <v>67</v>
      </c>
      <c r="BO13" s="5" t="s">
        <v>67</v>
      </c>
    </row>
    <row r="14" spans="1:67" x14ac:dyDescent="0.25">
      <c r="A14" s="3">
        <v>-1226171744</v>
      </c>
      <c r="B14" s="4">
        <v>42941</v>
      </c>
      <c r="H14" s="5" t="s">
        <v>67</v>
      </c>
      <c r="I14" s="3" t="b">
        <v>0</v>
      </c>
      <c r="J14" s="3" t="b">
        <v>0</v>
      </c>
      <c r="K14" s="3" t="b">
        <v>0</v>
      </c>
      <c r="L14" s="3" t="b">
        <v>0</v>
      </c>
      <c r="M14" s="3" t="b">
        <v>0</v>
      </c>
      <c r="N14" s="3" t="b">
        <v>0</v>
      </c>
      <c r="O14" s="3" t="b">
        <v>0</v>
      </c>
      <c r="P14" s="3" t="b">
        <v>0</v>
      </c>
      <c r="Q14" s="3" t="b">
        <v>0</v>
      </c>
      <c r="R14" s="3" t="s">
        <v>67</v>
      </c>
      <c r="S14" s="5" t="s">
        <v>67</v>
      </c>
      <c r="T14" s="3" t="b">
        <v>0</v>
      </c>
      <c r="U14" s="3" t="b">
        <v>0</v>
      </c>
      <c r="V14" s="5" t="s">
        <v>67</v>
      </c>
      <c r="W14" s="5" t="s">
        <v>67</v>
      </c>
      <c r="X14" s="3" t="b">
        <v>0</v>
      </c>
      <c r="Y14" s="3" t="b">
        <v>0</v>
      </c>
      <c r="Z14" s="3" t="b">
        <v>0</v>
      </c>
      <c r="AA14" s="3" t="b">
        <v>0</v>
      </c>
      <c r="AB14" s="5" t="s">
        <v>67</v>
      </c>
      <c r="AC14" s="5" t="s">
        <v>67</v>
      </c>
      <c r="AD14" s="5" t="s">
        <v>67</v>
      </c>
      <c r="AE14" s="5" t="s">
        <v>67</v>
      </c>
      <c r="AF14" s="5" t="s">
        <v>67</v>
      </c>
      <c r="AG14" s="5" t="s">
        <v>67</v>
      </c>
      <c r="AH14" s="5" t="s">
        <v>67</v>
      </c>
      <c r="AI14" s="5" t="s">
        <v>67</v>
      </c>
      <c r="AJ14" s="5" t="s">
        <v>67</v>
      </c>
      <c r="AK14" s="5" t="s">
        <v>67</v>
      </c>
      <c r="AL14" s="5" t="s">
        <v>67</v>
      </c>
      <c r="AM14" s="5" t="s">
        <v>67</v>
      </c>
      <c r="AN14" s="5" t="s">
        <v>67</v>
      </c>
      <c r="AO14" s="5" t="s">
        <v>67</v>
      </c>
      <c r="AP14" s="5" t="s">
        <v>67</v>
      </c>
      <c r="AQ14" s="5" t="s">
        <v>67</v>
      </c>
      <c r="AR14" s="5" t="s">
        <v>67</v>
      </c>
      <c r="AW14" s="5" t="s">
        <v>67</v>
      </c>
      <c r="AX14" s="5" t="s">
        <v>67</v>
      </c>
      <c r="AY14" s="5" t="s">
        <v>67</v>
      </c>
      <c r="AZ14" s="5" t="s">
        <v>67</v>
      </c>
      <c r="BF14" s="5" t="s">
        <v>67</v>
      </c>
      <c r="BG14" s="5" t="s">
        <v>67</v>
      </c>
      <c r="BH14" s="5" t="s">
        <v>67</v>
      </c>
      <c r="BI14" s="5" t="s">
        <v>67</v>
      </c>
      <c r="BJ14" s="5" t="s">
        <v>67</v>
      </c>
      <c r="BK14" s="5" t="s">
        <v>67</v>
      </c>
      <c r="BL14" s="5" t="s">
        <v>67</v>
      </c>
      <c r="BM14" s="5" t="s">
        <v>67</v>
      </c>
      <c r="BN14" s="5" t="s">
        <v>67</v>
      </c>
      <c r="BO14" s="5" t="s">
        <v>67</v>
      </c>
    </row>
    <row r="15" spans="1:67" x14ac:dyDescent="0.25">
      <c r="A15" s="3">
        <v>-1213086902</v>
      </c>
      <c r="B15" s="4">
        <v>41058</v>
      </c>
      <c r="H15" s="5" t="s">
        <v>67</v>
      </c>
      <c r="I15" s="3" t="b">
        <v>0</v>
      </c>
      <c r="J15" s="3" t="b">
        <v>0</v>
      </c>
      <c r="K15" s="3" t="b">
        <v>0</v>
      </c>
      <c r="L15" s="3" t="b">
        <v>0</v>
      </c>
      <c r="M15" s="3" t="b">
        <v>0</v>
      </c>
      <c r="N15" s="3" t="b">
        <v>0</v>
      </c>
      <c r="O15" s="3" t="b">
        <v>0</v>
      </c>
      <c r="P15" s="3" t="b">
        <v>0</v>
      </c>
      <c r="Q15" s="3" t="b">
        <v>0</v>
      </c>
      <c r="R15" s="3" t="s">
        <v>67</v>
      </c>
      <c r="S15" s="5" t="s">
        <v>67</v>
      </c>
      <c r="T15" s="3" t="b">
        <v>0</v>
      </c>
      <c r="U15" s="3" t="b">
        <v>0</v>
      </c>
      <c r="V15" s="5" t="s">
        <v>67</v>
      </c>
      <c r="W15" s="5" t="s">
        <v>67</v>
      </c>
      <c r="X15" s="3" t="b">
        <v>0</v>
      </c>
      <c r="Y15" s="3" t="b">
        <v>0</v>
      </c>
      <c r="Z15" s="3" t="b">
        <v>0</v>
      </c>
      <c r="AA15" s="3" t="b">
        <v>0</v>
      </c>
      <c r="AB15" s="5" t="s">
        <v>67</v>
      </c>
      <c r="AC15" s="5" t="s">
        <v>67</v>
      </c>
      <c r="AD15" s="5" t="s">
        <v>67</v>
      </c>
      <c r="AE15" s="5" t="s">
        <v>67</v>
      </c>
      <c r="AF15" s="5" t="s">
        <v>67</v>
      </c>
      <c r="AG15" s="5" t="s">
        <v>67</v>
      </c>
      <c r="AH15" s="5" t="s">
        <v>67</v>
      </c>
      <c r="AI15" s="5" t="s">
        <v>67</v>
      </c>
      <c r="AJ15" s="5" t="s">
        <v>67</v>
      </c>
      <c r="AK15" s="5" t="s">
        <v>67</v>
      </c>
      <c r="AL15" s="5" t="s">
        <v>67</v>
      </c>
      <c r="AM15" s="5" t="s">
        <v>67</v>
      </c>
      <c r="AN15" s="5" t="s">
        <v>67</v>
      </c>
      <c r="AO15" s="5" t="s">
        <v>67</v>
      </c>
      <c r="AP15" s="5" t="s">
        <v>67</v>
      </c>
      <c r="AQ15" s="5" t="s">
        <v>67</v>
      </c>
      <c r="AR15" s="5" t="s">
        <v>67</v>
      </c>
      <c r="AW15" s="5" t="s">
        <v>67</v>
      </c>
      <c r="AX15" s="5" t="s">
        <v>67</v>
      </c>
      <c r="AY15" s="5" t="s">
        <v>67</v>
      </c>
      <c r="AZ15" s="5" t="s">
        <v>67</v>
      </c>
      <c r="BF15" s="5" t="s">
        <v>67</v>
      </c>
      <c r="BG15" s="5" t="s">
        <v>67</v>
      </c>
      <c r="BH15" s="5" t="s">
        <v>67</v>
      </c>
      <c r="BI15" s="5" t="s">
        <v>67</v>
      </c>
      <c r="BJ15" s="5" t="s">
        <v>67</v>
      </c>
      <c r="BK15" s="5" t="s">
        <v>67</v>
      </c>
      <c r="BL15" s="5" t="s">
        <v>67</v>
      </c>
      <c r="BM15" s="5" t="s">
        <v>67</v>
      </c>
      <c r="BN15" s="5" t="s">
        <v>67</v>
      </c>
      <c r="BO15" s="5" t="s">
        <v>67</v>
      </c>
    </row>
    <row r="16" spans="1:67" ht="409.5" x14ac:dyDescent="0.25">
      <c r="A16" s="3">
        <v>-1120356771</v>
      </c>
      <c r="B16" s="4">
        <v>42705</v>
      </c>
      <c r="C16" s="3">
        <v>-1123050406</v>
      </c>
      <c r="F16" s="3">
        <v>1424</v>
      </c>
      <c r="H16" s="5" t="s">
        <v>67</v>
      </c>
      <c r="I16" s="3" t="b">
        <v>0</v>
      </c>
      <c r="J16" s="3" t="b">
        <v>1</v>
      </c>
      <c r="K16" s="3" t="b">
        <v>0</v>
      </c>
      <c r="L16" s="3" t="b">
        <v>1</v>
      </c>
      <c r="M16" s="3" t="b">
        <v>0</v>
      </c>
      <c r="N16" s="3" t="b">
        <v>0</v>
      </c>
      <c r="O16" s="3" t="b">
        <v>0</v>
      </c>
      <c r="P16" s="3" t="b">
        <v>1</v>
      </c>
      <c r="Q16" s="3" t="b">
        <v>0</v>
      </c>
      <c r="R16" s="3" t="s">
        <v>163</v>
      </c>
      <c r="S16" s="5" t="s">
        <v>164</v>
      </c>
      <c r="T16" s="3" t="b">
        <v>0</v>
      </c>
      <c r="U16" s="3" t="b">
        <v>1</v>
      </c>
      <c r="V16" s="5" t="s">
        <v>165</v>
      </c>
      <c r="W16" s="5" t="s">
        <v>166</v>
      </c>
      <c r="X16" s="3" t="b">
        <v>0</v>
      </c>
      <c r="Y16" s="3" t="b">
        <v>0</v>
      </c>
      <c r="Z16" s="3" t="b">
        <v>0</v>
      </c>
      <c r="AA16" s="3" t="b">
        <v>1</v>
      </c>
      <c r="AB16" s="5" t="s">
        <v>167</v>
      </c>
      <c r="AC16" s="5" t="s">
        <v>67</v>
      </c>
      <c r="AD16" s="5" t="s">
        <v>168</v>
      </c>
      <c r="AE16" s="5" t="s">
        <v>67</v>
      </c>
      <c r="AF16" s="5" t="s">
        <v>169</v>
      </c>
      <c r="AG16" s="5" t="s">
        <v>170</v>
      </c>
      <c r="AH16" s="5" t="s">
        <v>171</v>
      </c>
      <c r="AI16" s="5" t="s">
        <v>67</v>
      </c>
      <c r="AJ16" s="5" t="s">
        <v>67</v>
      </c>
      <c r="AK16" s="5" t="s">
        <v>67</v>
      </c>
      <c r="AL16" s="5" t="s">
        <v>67</v>
      </c>
      <c r="AM16" s="5" t="s">
        <v>172</v>
      </c>
      <c r="AN16" s="5" t="s">
        <v>173</v>
      </c>
      <c r="AO16" s="5" t="s">
        <v>67</v>
      </c>
      <c r="AP16" s="5" t="s">
        <v>67</v>
      </c>
      <c r="AQ16" s="5" t="s">
        <v>174</v>
      </c>
      <c r="AR16" s="5" t="s">
        <v>67</v>
      </c>
      <c r="AW16" s="5" t="s">
        <v>67</v>
      </c>
      <c r="AX16" s="5" t="s">
        <v>67</v>
      </c>
      <c r="AY16" s="5" t="s">
        <v>67</v>
      </c>
      <c r="AZ16" s="5" t="s">
        <v>67</v>
      </c>
      <c r="BA16" s="3">
        <v>107</v>
      </c>
      <c r="BD16" s="3">
        <v>2146188984</v>
      </c>
      <c r="BE16" s="3">
        <v>2146188984</v>
      </c>
      <c r="BF16" s="5" t="s">
        <v>175</v>
      </c>
      <c r="BG16" s="5" t="s">
        <v>97</v>
      </c>
      <c r="BH16" s="5" t="s">
        <v>73</v>
      </c>
      <c r="BI16" s="5" t="s">
        <v>74</v>
      </c>
      <c r="BJ16" s="5" t="s">
        <v>176</v>
      </c>
      <c r="BK16" s="5" t="s">
        <v>177</v>
      </c>
      <c r="BL16" s="5" t="s">
        <v>178</v>
      </c>
      <c r="BM16" s="5" t="s">
        <v>179</v>
      </c>
      <c r="BN16" s="5" t="s">
        <v>180</v>
      </c>
      <c r="BO16" s="5" t="s">
        <v>67</v>
      </c>
    </row>
    <row r="17" spans="1:67" x14ac:dyDescent="0.25">
      <c r="A17" s="3">
        <v>-1100872493</v>
      </c>
      <c r="B17" s="4">
        <v>40764.668333333299</v>
      </c>
      <c r="C17" s="3">
        <v>0</v>
      </c>
      <c r="D17" s="3">
        <v>0</v>
      </c>
      <c r="E17" s="3">
        <v>0</v>
      </c>
      <c r="F17" s="3">
        <v>0</v>
      </c>
      <c r="G17" s="3">
        <v>0</v>
      </c>
      <c r="H17" s="5" t="s">
        <v>67</v>
      </c>
      <c r="I17" s="3" t="b">
        <v>0</v>
      </c>
      <c r="J17" s="3" t="b">
        <v>0</v>
      </c>
      <c r="K17" s="3" t="b">
        <v>0</v>
      </c>
      <c r="L17" s="3" t="b">
        <v>0</v>
      </c>
      <c r="M17" s="3" t="b">
        <v>0</v>
      </c>
      <c r="N17" s="3" t="b">
        <v>0</v>
      </c>
      <c r="O17" s="3" t="b">
        <v>0</v>
      </c>
      <c r="P17" s="3" t="b">
        <v>0</v>
      </c>
      <c r="Q17" s="3" t="b">
        <v>0</v>
      </c>
      <c r="R17" s="3" t="s">
        <v>67</v>
      </c>
      <c r="S17" s="5" t="s">
        <v>67</v>
      </c>
      <c r="T17" s="3" t="b">
        <v>0</v>
      </c>
      <c r="U17" s="3" t="b">
        <v>0</v>
      </c>
      <c r="V17" s="5" t="s">
        <v>67</v>
      </c>
      <c r="W17" s="5" t="s">
        <v>67</v>
      </c>
      <c r="X17" s="3" t="b">
        <v>0</v>
      </c>
      <c r="Y17" s="3" t="b">
        <v>0</v>
      </c>
      <c r="Z17" s="3" t="b">
        <v>0</v>
      </c>
      <c r="AA17" s="3" t="b">
        <v>0</v>
      </c>
      <c r="AB17" s="5" t="s">
        <v>67</v>
      </c>
      <c r="AC17" s="5" t="s">
        <v>67</v>
      </c>
      <c r="AD17" s="5" t="s">
        <v>67</v>
      </c>
      <c r="AE17" s="5" t="s">
        <v>67</v>
      </c>
      <c r="AF17" s="5" t="s">
        <v>67</v>
      </c>
      <c r="AG17" s="5" t="s">
        <v>67</v>
      </c>
      <c r="AH17" s="5" t="s">
        <v>67</v>
      </c>
      <c r="AI17" s="5" t="s">
        <v>67</v>
      </c>
      <c r="AJ17" s="5" t="s">
        <v>67</v>
      </c>
      <c r="AK17" s="5" t="s">
        <v>67</v>
      </c>
      <c r="AL17" s="5" t="s">
        <v>67</v>
      </c>
      <c r="AM17" s="5" t="s">
        <v>67</v>
      </c>
      <c r="AN17" s="5" t="s">
        <v>67</v>
      </c>
      <c r="AO17" s="5" t="s">
        <v>67</v>
      </c>
      <c r="AP17" s="5" t="s">
        <v>67</v>
      </c>
      <c r="AQ17" s="5" t="s">
        <v>67</v>
      </c>
      <c r="AR17" s="5" t="s">
        <v>67</v>
      </c>
      <c r="AW17" s="5" t="s">
        <v>67</v>
      </c>
      <c r="AX17" s="5" t="s">
        <v>67</v>
      </c>
      <c r="AY17" s="5" t="s">
        <v>67</v>
      </c>
      <c r="AZ17" s="5" t="s">
        <v>67</v>
      </c>
      <c r="BA17" s="3">
        <v>0</v>
      </c>
      <c r="BB17" s="3">
        <v>0</v>
      </c>
      <c r="BC17" s="3">
        <v>0</v>
      </c>
      <c r="BD17" s="3">
        <v>0</v>
      </c>
      <c r="BE17" s="3">
        <v>0</v>
      </c>
      <c r="BF17" s="5" t="s">
        <v>67</v>
      </c>
      <c r="BG17" s="5" t="s">
        <v>67</v>
      </c>
      <c r="BH17" s="5" t="s">
        <v>67</v>
      </c>
      <c r="BI17" s="5" t="s">
        <v>67</v>
      </c>
      <c r="BJ17" s="5" t="s">
        <v>67</v>
      </c>
      <c r="BK17" s="5" t="s">
        <v>67</v>
      </c>
      <c r="BL17" s="5" t="s">
        <v>67</v>
      </c>
      <c r="BM17" s="5" t="s">
        <v>67</v>
      </c>
      <c r="BN17" s="5" t="s">
        <v>67</v>
      </c>
      <c r="BO17" s="5" t="s">
        <v>67</v>
      </c>
    </row>
    <row r="18" spans="1:67" ht="150" x14ac:dyDescent="0.25">
      <c r="A18" s="3">
        <v>-1029621688</v>
      </c>
      <c r="B18" s="4">
        <v>41766</v>
      </c>
      <c r="F18" s="3">
        <v>1434</v>
      </c>
      <c r="G18" s="3">
        <v>1434</v>
      </c>
      <c r="H18" s="5" t="s">
        <v>181</v>
      </c>
      <c r="I18" s="3" t="b">
        <v>1</v>
      </c>
      <c r="J18" s="3" t="b">
        <v>0</v>
      </c>
      <c r="K18" s="3" t="b">
        <v>0</v>
      </c>
      <c r="L18" s="3" t="b">
        <v>0</v>
      </c>
      <c r="M18" s="3" t="b">
        <v>0</v>
      </c>
      <c r="N18" s="3" t="b">
        <v>0</v>
      </c>
      <c r="O18" s="3" t="b">
        <v>0</v>
      </c>
      <c r="P18" s="3" t="b">
        <v>1</v>
      </c>
      <c r="Q18" s="3" t="b">
        <v>1</v>
      </c>
      <c r="R18" s="3" t="s">
        <v>182</v>
      </c>
      <c r="S18" s="5" t="s">
        <v>183</v>
      </c>
      <c r="T18" s="3" t="b">
        <v>0</v>
      </c>
      <c r="U18" s="3" t="b">
        <v>1</v>
      </c>
      <c r="V18" s="5" t="s">
        <v>184</v>
      </c>
      <c r="W18" s="5" t="s">
        <v>185</v>
      </c>
      <c r="X18" s="3" t="b">
        <v>0</v>
      </c>
      <c r="Y18" s="3" t="b">
        <v>0</v>
      </c>
      <c r="Z18" s="3" t="b">
        <v>0</v>
      </c>
      <c r="AA18" s="3" t="b">
        <v>0</v>
      </c>
      <c r="AB18" s="5" t="s">
        <v>186</v>
      </c>
      <c r="AC18" s="5" t="s">
        <v>67</v>
      </c>
      <c r="AD18" s="5" t="s">
        <v>187</v>
      </c>
      <c r="AE18" s="5" t="s">
        <v>67</v>
      </c>
      <c r="AF18" s="5" t="s">
        <v>188</v>
      </c>
      <c r="AG18" s="5" t="s">
        <v>67</v>
      </c>
      <c r="AH18" s="5" t="s">
        <v>189</v>
      </c>
      <c r="AI18" s="5" t="s">
        <v>67</v>
      </c>
      <c r="AJ18" s="5" t="s">
        <v>67</v>
      </c>
      <c r="AK18" s="5" t="s">
        <v>67</v>
      </c>
      <c r="AL18" s="5" t="s">
        <v>67</v>
      </c>
      <c r="AM18" s="5" t="s">
        <v>67</v>
      </c>
      <c r="AN18" s="5" t="s">
        <v>67</v>
      </c>
      <c r="AO18" s="5" t="s">
        <v>67</v>
      </c>
      <c r="AP18" s="5" t="s">
        <v>67</v>
      </c>
      <c r="AQ18" s="5" t="s">
        <v>67</v>
      </c>
      <c r="AR18" s="5" t="s">
        <v>67</v>
      </c>
      <c r="AW18" s="5" t="s">
        <v>67</v>
      </c>
      <c r="AX18" s="5" t="s">
        <v>67</v>
      </c>
      <c r="AY18" s="5" t="s">
        <v>67</v>
      </c>
      <c r="AZ18" s="5" t="s">
        <v>67</v>
      </c>
      <c r="BA18" s="3">
        <v>2146188983</v>
      </c>
      <c r="BD18" s="3">
        <v>2146188969</v>
      </c>
      <c r="BE18" s="3">
        <v>2146188969</v>
      </c>
      <c r="BF18" s="5" t="s">
        <v>190</v>
      </c>
      <c r="BG18" s="5" t="s">
        <v>97</v>
      </c>
      <c r="BH18" s="5" t="s">
        <v>191</v>
      </c>
      <c r="BI18" s="5" t="s">
        <v>74</v>
      </c>
      <c r="BJ18" s="5" t="s">
        <v>176</v>
      </c>
      <c r="BK18" s="5" t="s">
        <v>192</v>
      </c>
      <c r="BL18" s="5" t="s">
        <v>193</v>
      </c>
      <c r="BM18" s="5" t="s">
        <v>67</v>
      </c>
      <c r="BN18" s="5" t="s">
        <v>194</v>
      </c>
      <c r="BO18" s="5" t="s">
        <v>67</v>
      </c>
    </row>
    <row r="19" spans="1:67" ht="345" x14ac:dyDescent="0.25">
      <c r="A19" s="3">
        <v>-959706217</v>
      </c>
      <c r="B19" s="4">
        <v>42886</v>
      </c>
      <c r="C19" s="3">
        <v>1203348545</v>
      </c>
      <c r="F19" s="3">
        <v>1434</v>
      </c>
      <c r="G19" s="3">
        <v>1434</v>
      </c>
      <c r="H19" s="5" t="s">
        <v>67</v>
      </c>
      <c r="I19" s="3" t="b">
        <v>0</v>
      </c>
      <c r="J19" s="3" t="b">
        <v>1</v>
      </c>
      <c r="K19" s="3" t="b">
        <v>1</v>
      </c>
      <c r="L19" s="3" t="b">
        <v>0</v>
      </c>
      <c r="M19" s="3" t="b">
        <v>0</v>
      </c>
      <c r="N19" s="3" t="b">
        <v>0</v>
      </c>
      <c r="O19" s="3" t="b">
        <v>0</v>
      </c>
      <c r="P19" s="3" t="b">
        <v>1</v>
      </c>
      <c r="Q19" s="3" t="b">
        <v>0</v>
      </c>
      <c r="R19" s="3" t="s">
        <v>195</v>
      </c>
      <c r="S19" s="5" t="s">
        <v>196</v>
      </c>
      <c r="T19" s="3" t="b">
        <v>0</v>
      </c>
      <c r="U19" s="3" t="b">
        <v>1</v>
      </c>
      <c r="V19" s="5" t="s">
        <v>197</v>
      </c>
      <c r="W19" s="5" t="s">
        <v>198</v>
      </c>
      <c r="X19" s="3" t="b">
        <v>0</v>
      </c>
      <c r="Y19" s="3" t="b">
        <v>0</v>
      </c>
      <c r="Z19" s="3" t="b">
        <v>0</v>
      </c>
      <c r="AA19" s="3" t="b">
        <v>0</v>
      </c>
      <c r="AB19" s="5" t="s">
        <v>199</v>
      </c>
      <c r="AC19" s="5" t="s">
        <v>67</v>
      </c>
      <c r="AD19" s="5" t="s">
        <v>67</v>
      </c>
      <c r="AE19" s="5" t="s">
        <v>67</v>
      </c>
      <c r="AF19" s="5" t="s">
        <v>200</v>
      </c>
      <c r="AG19" s="5" t="s">
        <v>201</v>
      </c>
      <c r="AH19" s="5" t="s">
        <v>202</v>
      </c>
      <c r="AI19" s="5" t="s">
        <v>67</v>
      </c>
      <c r="AJ19" s="5" t="s">
        <v>203</v>
      </c>
      <c r="AK19" s="5" t="s">
        <v>204</v>
      </c>
      <c r="AL19" s="5" t="s">
        <v>67</v>
      </c>
      <c r="AM19" s="5" t="s">
        <v>205</v>
      </c>
      <c r="AN19" s="5" t="s">
        <v>67</v>
      </c>
      <c r="AO19" s="5" t="s">
        <v>67</v>
      </c>
      <c r="AP19" s="5" t="s">
        <v>206</v>
      </c>
      <c r="AQ19" s="5" t="s">
        <v>67</v>
      </c>
      <c r="AR19" s="5" t="s">
        <v>67</v>
      </c>
      <c r="AW19" s="5" t="s">
        <v>67</v>
      </c>
      <c r="AX19" s="5" t="s">
        <v>67</v>
      </c>
      <c r="AY19" s="5" t="s">
        <v>67</v>
      </c>
      <c r="AZ19" s="5" t="s">
        <v>67</v>
      </c>
      <c r="BA19" s="3">
        <v>2146188983</v>
      </c>
      <c r="BD19" s="3">
        <v>2146189010</v>
      </c>
      <c r="BF19" s="5" t="s">
        <v>207</v>
      </c>
      <c r="BG19" s="5" t="s">
        <v>208</v>
      </c>
      <c r="BH19" s="5" t="s">
        <v>209</v>
      </c>
      <c r="BI19" s="5" t="s">
        <v>210</v>
      </c>
      <c r="BJ19" s="5" t="s">
        <v>211</v>
      </c>
      <c r="BK19" s="5" t="s">
        <v>67</v>
      </c>
      <c r="BL19" s="5" t="s">
        <v>212</v>
      </c>
      <c r="BM19" s="5" t="s">
        <v>67</v>
      </c>
      <c r="BN19" s="5" t="s">
        <v>213</v>
      </c>
      <c r="BO19" s="5" t="s">
        <v>214</v>
      </c>
    </row>
    <row r="20" spans="1:67" ht="375" x14ac:dyDescent="0.25">
      <c r="A20" s="3">
        <v>-953224796</v>
      </c>
      <c r="B20" s="4">
        <v>42468</v>
      </c>
      <c r="C20" s="3">
        <v>2034</v>
      </c>
      <c r="F20" s="3">
        <v>1434</v>
      </c>
      <c r="G20" s="3">
        <v>2034</v>
      </c>
      <c r="H20" s="5" t="s">
        <v>215</v>
      </c>
      <c r="I20" s="3" t="b">
        <v>1</v>
      </c>
      <c r="J20" s="3" t="b">
        <v>1</v>
      </c>
      <c r="K20" s="3" t="b">
        <v>1</v>
      </c>
      <c r="L20" s="3" t="b">
        <v>0</v>
      </c>
      <c r="M20" s="3" t="b">
        <v>0</v>
      </c>
      <c r="N20" s="3" t="b">
        <v>0</v>
      </c>
      <c r="O20" s="3" t="b">
        <v>0</v>
      </c>
      <c r="P20" s="3" t="b">
        <v>1</v>
      </c>
      <c r="Q20" s="3" t="b">
        <v>0</v>
      </c>
      <c r="R20" s="3" t="s">
        <v>216</v>
      </c>
      <c r="S20" s="5" t="s">
        <v>217</v>
      </c>
      <c r="T20" s="3" t="b">
        <v>0</v>
      </c>
      <c r="U20" s="3" t="b">
        <v>1</v>
      </c>
      <c r="V20" s="5" t="s">
        <v>218</v>
      </c>
      <c r="W20" s="5" t="s">
        <v>67</v>
      </c>
      <c r="X20" s="3" t="b">
        <v>0</v>
      </c>
      <c r="Y20" s="3" t="b">
        <v>0</v>
      </c>
      <c r="Z20" s="3" t="b">
        <v>0</v>
      </c>
      <c r="AA20" s="3" t="b">
        <v>0</v>
      </c>
      <c r="AB20" s="5" t="s">
        <v>219</v>
      </c>
      <c r="AC20" s="5" t="s">
        <v>67</v>
      </c>
      <c r="AD20" s="5" t="s">
        <v>220</v>
      </c>
      <c r="AE20" s="5" t="s">
        <v>221</v>
      </c>
      <c r="AF20" s="5" t="s">
        <v>222</v>
      </c>
      <c r="AG20" s="5" t="s">
        <v>67</v>
      </c>
      <c r="AH20" s="5" t="s">
        <v>223</v>
      </c>
      <c r="AI20" s="5" t="s">
        <v>67</v>
      </c>
      <c r="AJ20" s="5" t="s">
        <v>224</v>
      </c>
      <c r="AK20" s="5" t="s">
        <v>225</v>
      </c>
      <c r="AL20" s="5" t="s">
        <v>67</v>
      </c>
      <c r="AM20" s="5" t="s">
        <v>226</v>
      </c>
      <c r="AN20" s="5" t="s">
        <v>227</v>
      </c>
      <c r="AO20" s="5" t="s">
        <v>67</v>
      </c>
      <c r="AP20" s="5" t="s">
        <v>228</v>
      </c>
      <c r="AQ20" s="5" t="s">
        <v>67</v>
      </c>
      <c r="AR20" s="5" t="s">
        <v>67</v>
      </c>
      <c r="AW20" s="5" t="s">
        <v>67</v>
      </c>
      <c r="AX20" s="5" t="s">
        <v>67</v>
      </c>
      <c r="AY20" s="5" t="s">
        <v>67</v>
      </c>
      <c r="AZ20" s="5" t="s">
        <v>67</v>
      </c>
      <c r="BA20" s="3">
        <v>2146188983</v>
      </c>
      <c r="BD20" s="3">
        <v>2146188985</v>
      </c>
      <c r="BE20" s="3">
        <v>2146188985</v>
      </c>
      <c r="BF20" s="5" t="s">
        <v>229</v>
      </c>
      <c r="BG20" s="5" t="s">
        <v>97</v>
      </c>
      <c r="BH20" s="5" t="s">
        <v>117</v>
      </c>
      <c r="BI20" s="5" t="s">
        <v>141</v>
      </c>
      <c r="BJ20" s="5" t="s">
        <v>230</v>
      </c>
      <c r="BK20" s="5" t="s">
        <v>231</v>
      </c>
      <c r="BL20" s="5" t="s">
        <v>232</v>
      </c>
      <c r="BM20" s="5" t="s">
        <v>233</v>
      </c>
      <c r="BN20" s="5" t="s">
        <v>234</v>
      </c>
      <c r="BO20" s="5" t="s">
        <v>67</v>
      </c>
    </row>
    <row r="21" spans="1:67" ht="409.5" x14ac:dyDescent="0.25">
      <c r="A21" s="3">
        <v>-587438322</v>
      </c>
      <c r="B21" s="4">
        <v>42507</v>
      </c>
      <c r="D21" s="3">
        <v>0</v>
      </c>
      <c r="E21" s="3">
        <v>0</v>
      </c>
      <c r="F21" s="3">
        <v>0</v>
      </c>
      <c r="H21" s="5" t="s">
        <v>235</v>
      </c>
      <c r="I21" s="3" t="b">
        <v>0</v>
      </c>
      <c r="J21" s="3" t="b">
        <v>1</v>
      </c>
      <c r="K21" s="3" t="b">
        <v>1</v>
      </c>
      <c r="L21" s="3" t="b">
        <v>0</v>
      </c>
      <c r="M21" s="3" t="b">
        <v>0</v>
      </c>
      <c r="N21" s="3" t="b">
        <v>0</v>
      </c>
      <c r="O21" s="3" t="b">
        <v>0</v>
      </c>
      <c r="P21" s="3" t="b">
        <v>1</v>
      </c>
      <c r="Q21" s="3" t="b">
        <v>0</v>
      </c>
      <c r="R21" s="3" t="s">
        <v>236</v>
      </c>
      <c r="S21" s="5" t="s">
        <v>237</v>
      </c>
      <c r="T21" s="3" t="b">
        <v>1</v>
      </c>
      <c r="U21" s="3" t="b">
        <v>1</v>
      </c>
      <c r="V21" s="5" t="s">
        <v>238</v>
      </c>
      <c r="W21" s="5" t="s">
        <v>239</v>
      </c>
      <c r="X21" s="3" t="b">
        <v>0</v>
      </c>
      <c r="Y21" s="3" t="b">
        <v>0</v>
      </c>
      <c r="Z21" s="3" t="b">
        <v>0</v>
      </c>
      <c r="AA21" s="3" t="b">
        <v>1</v>
      </c>
      <c r="AB21" s="5" t="s">
        <v>240</v>
      </c>
      <c r="AC21" s="5" t="s">
        <v>241</v>
      </c>
      <c r="AD21" s="5" t="s">
        <v>242</v>
      </c>
      <c r="AE21" s="5" t="s">
        <v>67</v>
      </c>
      <c r="AF21" s="5" t="s">
        <v>243</v>
      </c>
      <c r="AG21" s="5" t="s">
        <v>244</v>
      </c>
      <c r="AH21" s="5" t="s">
        <v>245</v>
      </c>
      <c r="AI21" s="5" t="s">
        <v>67</v>
      </c>
      <c r="AJ21" s="5" t="s">
        <v>67</v>
      </c>
      <c r="AK21" s="5" t="s">
        <v>67</v>
      </c>
      <c r="AL21" s="5" t="s">
        <v>246</v>
      </c>
      <c r="AM21" s="5" t="s">
        <v>247</v>
      </c>
      <c r="AN21" s="5" t="s">
        <v>67</v>
      </c>
      <c r="AO21" s="5" t="s">
        <v>248</v>
      </c>
      <c r="AP21" s="5" t="s">
        <v>67</v>
      </c>
      <c r="AQ21" s="5" t="s">
        <v>67</v>
      </c>
      <c r="AR21" s="5" t="s">
        <v>67</v>
      </c>
      <c r="AW21" s="5" t="s">
        <v>67</v>
      </c>
      <c r="AX21" s="5" t="s">
        <v>67</v>
      </c>
      <c r="AY21" s="5" t="s">
        <v>67</v>
      </c>
      <c r="AZ21" s="5" t="s">
        <v>67</v>
      </c>
      <c r="BA21" s="3">
        <v>107</v>
      </c>
      <c r="BB21" s="3">
        <v>0</v>
      </c>
      <c r="BC21" s="3">
        <v>0</v>
      </c>
      <c r="BD21" s="3">
        <v>2146189018</v>
      </c>
      <c r="BE21" s="3">
        <v>2146189008</v>
      </c>
      <c r="BF21" s="5" t="s">
        <v>249</v>
      </c>
      <c r="BG21" s="5" t="s">
        <v>250</v>
      </c>
      <c r="BH21" s="5" t="s">
        <v>126</v>
      </c>
      <c r="BI21" s="5" t="s">
        <v>74</v>
      </c>
      <c r="BJ21" s="5" t="s">
        <v>251</v>
      </c>
      <c r="BK21" s="5" t="s">
        <v>252</v>
      </c>
      <c r="BL21" s="5" t="s">
        <v>253</v>
      </c>
      <c r="BM21" s="5" t="s">
        <v>254</v>
      </c>
      <c r="BN21" s="5" t="s">
        <v>255</v>
      </c>
      <c r="BO21" s="5" t="s">
        <v>256</v>
      </c>
    </row>
    <row r="22" spans="1:67" ht="409.5" x14ac:dyDescent="0.25">
      <c r="A22" s="3">
        <v>-568750303</v>
      </c>
      <c r="B22" s="4">
        <v>42524</v>
      </c>
      <c r="C22" s="3">
        <v>-464138546</v>
      </c>
      <c r="E22" s="3">
        <v>-464138546</v>
      </c>
      <c r="G22" s="3">
        <v>2146189132</v>
      </c>
      <c r="H22" s="5" t="s">
        <v>257</v>
      </c>
      <c r="I22" s="3" t="b">
        <v>0</v>
      </c>
      <c r="J22" s="3" t="b">
        <v>0</v>
      </c>
      <c r="K22" s="3" t="b">
        <v>0</v>
      </c>
      <c r="L22" s="3" t="b">
        <v>1</v>
      </c>
      <c r="M22" s="3" t="b">
        <v>0</v>
      </c>
      <c r="N22" s="3" t="b">
        <v>0</v>
      </c>
      <c r="O22" s="3" t="b">
        <v>0</v>
      </c>
      <c r="P22" s="3" t="b">
        <v>1</v>
      </c>
      <c r="Q22" s="3" t="b">
        <v>1</v>
      </c>
      <c r="R22" s="3" t="s">
        <v>258</v>
      </c>
      <c r="S22" s="5" t="s">
        <v>259</v>
      </c>
      <c r="T22" s="3" t="b">
        <v>0</v>
      </c>
      <c r="U22" s="3" t="b">
        <v>0</v>
      </c>
      <c r="V22" s="5" t="s">
        <v>260</v>
      </c>
      <c r="W22" s="5" t="s">
        <v>261</v>
      </c>
      <c r="X22" s="3" t="b">
        <v>0</v>
      </c>
      <c r="Y22" s="3" t="b">
        <v>0</v>
      </c>
      <c r="Z22" s="3" t="b">
        <v>0</v>
      </c>
      <c r="AA22" s="3" t="b">
        <v>1</v>
      </c>
      <c r="AB22" s="5" t="s">
        <v>262</v>
      </c>
      <c r="AC22" s="5" t="s">
        <v>67</v>
      </c>
      <c r="AD22" s="5" t="s">
        <v>67</v>
      </c>
      <c r="AE22" s="5" t="s">
        <v>67</v>
      </c>
      <c r="AF22" s="5" t="s">
        <v>263</v>
      </c>
      <c r="AG22" s="5" t="s">
        <v>67</v>
      </c>
      <c r="AH22" s="5" t="s">
        <v>264</v>
      </c>
      <c r="AI22" s="5" t="s">
        <v>67</v>
      </c>
      <c r="AJ22" s="5" t="s">
        <v>67</v>
      </c>
      <c r="AK22" s="5" t="s">
        <v>67</v>
      </c>
      <c r="AL22" s="5" t="s">
        <v>67</v>
      </c>
      <c r="AM22" s="5" t="s">
        <v>265</v>
      </c>
      <c r="AN22" s="5" t="s">
        <v>266</v>
      </c>
      <c r="AO22" s="5" t="s">
        <v>67</v>
      </c>
      <c r="AP22" s="5" t="s">
        <v>67</v>
      </c>
      <c r="AQ22" s="5" t="s">
        <v>67</v>
      </c>
      <c r="AR22" s="5" t="s">
        <v>67</v>
      </c>
      <c r="AW22" s="5" t="s">
        <v>67</v>
      </c>
      <c r="AX22" s="5" t="s">
        <v>67</v>
      </c>
      <c r="AY22" s="5" t="s">
        <v>67</v>
      </c>
      <c r="AZ22" s="5" t="s">
        <v>67</v>
      </c>
      <c r="BA22" s="3">
        <v>107</v>
      </c>
      <c r="BD22" s="3">
        <v>2146188969</v>
      </c>
      <c r="BF22" s="5" t="s">
        <v>267</v>
      </c>
      <c r="BG22" s="5" t="s">
        <v>268</v>
      </c>
      <c r="BH22" s="5" t="s">
        <v>117</v>
      </c>
      <c r="BI22" s="5" t="s">
        <v>74</v>
      </c>
      <c r="BJ22" s="5" t="s">
        <v>67</v>
      </c>
      <c r="BK22" s="5" t="s">
        <v>269</v>
      </c>
      <c r="BL22" s="5" t="s">
        <v>270</v>
      </c>
      <c r="BM22" s="5" t="s">
        <v>67</v>
      </c>
      <c r="BN22" s="5" t="s">
        <v>271</v>
      </c>
      <c r="BO22" s="5" t="s">
        <v>272</v>
      </c>
    </row>
    <row r="23" spans="1:67" ht="409.5" x14ac:dyDescent="0.25">
      <c r="A23" s="3">
        <v>-486550603</v>
      </c>
      <c r="B23" s="4">
        <v>42886</v>
      </c>
      <c r="D23" s="3">
        <v>166</v>
      </c>
      <c r="F23" s="3">
        <v>1434</v>
      </c>
      <c r="G23" s="3">
        <v>2146189000</v>
      </c>
      <c r="H23" s="5" t="s">
        <v>273</v>
      </c>
      <c r="I23" s="3" t="b">
        <v>1</v>
      </c>
      <c r="J23" s="3" t="b">
        <v>0</v>
      </c>
      <c r="K23" s="3" t="b">
        <v>0</v>
      </c>
      <c r="L23" s="3" t="b">
        <v>0</v>
      </c>
      <c r="M23" s="3" t="b">
        <v>0</v>
      </c>
      <c r="N23" s="3" t="b">
        <v>0</v>
      </c>
      <c r="O23" s="3" t="b">
        <v>0</v>
      </c>
      <c r="P23" s="3" t="b">
        <v>1</v>
      </c>
      <c r="Q23" s="3" t="b">
        <v>1</v>
      </c>
      <c r="R23" s="3" t="s">
        <v>274</v>
      </c>
      <c r="S23" s="5" t="s">
        <v>275</v>
      </c>
      <c r="T23" s="3" t="b">
        <v>0</v>
      </c>
      <c r="U23" s="3" t="b">
        <v>1</v>
      </c>
      <c r="V23" s="5" t="s">
        <v>81</v>
      </c>
      <c r="W23" s="5" t="s">
        <v>276</v>
      </c>
      <c r="X23" s="3" t="b">
        <v>0</v>
      </c>
      <c r="Y23" s="3" t="b">
        <v>0</v>
      </c>
      <c r="Z23" s="3" t="b">
        <v>0</v>
      </c>
      <c r="AA23" s="3" t="b">
        <v>1</v>
      </c>
      <c r="AB23" s="5" t="s">
        <v>277</v>
      </c>
      <c r="AC23" s="5" t="s">
        <v>278</v>
      </c>
      <c r="AD23" s="5" t="s">
        <v>279</v>
      </c>
      <c r="AE23" s="5" t="s">
        <v>67</v>
      </c>
      <c r="AF23" s="5" t="s">
        <v>280</v>
      </c>
      <c r="AG23" s="5" t="s">
        <v>281</v>
      </c>
      <c r="AH23" s="5" t="s">
        <v>282</v>
      </c>
      <c r="AI23" s="5" t="s">
        <v>283</v>
      </c>
      <c r="AJ23" s="5" t="s">
        <v>284</v>
      </c>
      <c r="AK23" s="5" t="s">
        <v>285</v>
      </c>
      <c r="AL23" s="5" t="s">
        <v>67</v>
      </c>
      <c r="AM23" s="5" t="s">
        <v>286</v>
      </c>
      <c r="AN23" s="5" t="s">
        <v>287</v>
      </c>
      <c r="AO23" s="5" t="s">
        <v>288</v>
      </c>
      <c r="AP23" s="5" t="s">
        <v>289</v>
      </c>
      <c r="AQ23" s="5" t="s">
        <v>67</v>
      </c>
      <c r="AR23" s="5" t="s">
        <v>67</v>
      </c>
      <c r="AW23" s="5" t="s">
        <v>67</v>
      </c>
      <c r="AX23" s="5" t="s">
        <v>67</v>
      </c>
      <c r="AY23" s="5" t="s">
        <v>67</v>
      </c>
      <c r="AZ23" s="5" t="s">
        <v>67</v>
      </c>
      <c r="BA23" s="3">
        <v>2146189022</v>
      </c>
      <c r="BD23" s="3">
        <v>2146189011</v>
      </c>
      <c r="BE23" s="3">
        <v>2146189011</v>
      </c>
      <c r="BF23" s="5" t="s">
        <v>290</v>
      </c>
      <c r="BG23" s="5" t="s">
        <v>97</v>
      </c>
      <c r="BH23" s="5" t="s">
        <v>291</v>
      </c>
      <c r="BI23" s="5" t="s">
        <v>74</v>
      </c>
      <c r="BJ23" s="5" t="s">
        <v>292</v>
      </c>
      <c r="BK23" s="5" t="s">
        <v>293</v>
      </c>
      <c r="BL23" s="5" t="s">
        <v>294</v>
      </c>
      <c r="BM23" s="5" t="s">
        <v>295</v>
      </c>
      <c r="BN23" s="5" t="s">
        <v>296</v>
      </c>
      <c r="BO23" s="5" t="s">
        <v>67</v>
      </c>
    </row>
    <row r="24" spans="1:67" ht="375" x14ac:dyDescent="0.25">
      <c r="A24" s="3">
        <v>-479406894</v>
      </c>
      <c r="B24" s="4">
        <v>42969</v>
      </c>
      <c r="C24" s="3">
        <v>166</v>
      </c>
      <c r="D24" s="3">
        <v>0</v>
      </c>
      <c r="E24" s="3">
        <v>0</v>
      </c>
      <c r="F24" s="3">
        <v>0</v>
      </c>
      <c r="G24" s="3">
        <v>166</v>
      </c>
      <c r="H24" s="5" t="s">
        <v>297</v>
      </c>
      <c r="I24" s="3" t="b">
        <v>0</v>
      </c>
      <c r="J24" s="3" t="b">
        <v>1</v>
      </c>
      <c r="K24" s="3" t="b">
        <v>0</v>
      </c>
      <c r="L24" s="3" t="b">
        <v>0</v>
      </c>
      <c r="M24" s="3" t="b">
        <v>0</v>
      </c>
      <c r="N24" s="3" t="b">
        <v>1</v>
      </c>
      <c r="O24" s="3" t="b">
        <v>0</v>
      </c>
      <c r="P24" s="3" t="b">
        <v>1</v>
      </c>
      <c r="Q24" s="3" t="b">
        <v>1</v>
      </c>
      <c r="R24" s="3" t="s">
        <v>298</v>
      </c>
      <c r="S24" s="5" t="s">
        <v>299</v>
      </c>
      <c r="T24" s="3" t="b">
        <v>1</v>
      </c>
      <c r="U24" s="3" t="b">
        <v>1</v>
      </c>
      <c r="V24" s="5" t="s">
        <v>300</v>
      </c>
      <c r="W24" s="5" t="s">
        <v>301</v>
      </c>
      <c r="X24" s="3" t="b">
        <v>0</v>
      </c>
      <c r="Y24" s="3" t="b">
        <v>0</v>
      </c>
      <c r="Z24" s="3" t="b">
        <v>0</v>
      </c>
      <c r="AA24" s="3" t="b">
        <v>1</v>
      </c>
      <c r="AB24" s="5" t="s">
        <v>302</v>
      </c>
      <c r="AC24" s="5" t="s">
        <v>303</v>
      </c>
      <c r="AD24" s="5" t="s">
        <v>304</v>
      </c>
      <c r="AE24" s="5" t="s">
        <v>67</v>
      </c>
      <c r="AF24" s="5" t="s">
        <v>305</v>
      </c>
      <c r="AG24" s="5" t="s">
        <v>306</v>
      </c>
      <c r="AH24" s="5" t="s">
        <v>307</v>
      </c>
      <c r="AI24" s="5" t="s">
        <v>308</v>
      </c>
      <c r="AJ24" s="5" t="s">
        <v>309</v>
      </c>
      <c r="AK24" s="5" t="s">
        <v>310</v>
      </c>
      <c r="AL24" s="5" t="s">
        <v>67</v>
      </c>
      <c r="AM24" s="5" t="s">
        <v>311</v>
      </c>
      <c r="AN24" s="5" t="s">
        <v>312</v>
      </c>
      <c r="AO24" s="5" t="s">
        <v>67</v>
      </c>
      <c r="AP24" s="5" t="s">
        <v>67</v>
      </c>
      <c r="AQ24" s="5" t="s">
        <v>313</v>
      </c>
      <c r="AR24" s="5" t="s">
        <v>67</v>
      </c>
      <c r="AW24" s="5" t="s">
        <v>67</v>
      </c>
      <c r="AX24" s="5" t="s">
        <v>67</v>
      </c>
      <c r="AY24" s="5" t="s">
        <v>67</v>
      </c>
      <c r="AZ24" s="5" t="s">
        <v>67</v>
      </c>
      <c r="BA24" s="3">
        <v>2146189022</v>
      </c>
      <c r="BB24" s="3">
        <v>0</v>
      </c>
      <c r="BC24" s="3">
        <v>0</v>
      </c>
      <c r="BD24" s="3">
        <v>2146189011</v>
      </c>
      <c r="BE24" s="3">
        <v>2146189011</v>
      </c>
      <c r="BF24" s="5" t="s">
        <v>314</v>
      </c>
      <c r="BG24" s="5" t="s">
        <v>97</v>
      </c>
      <c r="BH24" s="5" t="s">
        <v>126</v>
      </c>
      <c r="BI24" s="5" t="s">
        <v>74</v>
      </c>
      <c r="BJ24" s="5" t="s">
        <v>315</v>
      </c>
      <c r="BK24" s="5" t="s">
        <v>316</v>
      </c>
      <c r="BL24" s="5" t="s">
        <v>317</v>
      </c>
      <c r="BM24" s="5" t="s">
        <v>318</v>
      </c>
      <c r="BN24" s="5" t="s">
        <v>319</v>
      </c>
      <c r="BO24" s="5" t="s">
        <v>320</v>
      </c>
    </row>
    <row r="25" spans="1:67" ht="300" x14ac:dyDescent="0.25">
      <c r="A25" s="3">
        <v>-414006540</v>
      </c>
      <c r="B25" s="4">
        <v>42557</v>
      </c>
      <c r="C25" s="3">
        <v>2092442015</v>
      </c>
      <c r="H25" s="5" t="s">
        <v>67</v>
      </c>
      <c r="I25" s="3" t="b">
        <v>0</v>
      </c>
      <c r="J25" s="3" t="b">
        <v>0</v>
      </c>
      <c r="K25" s="3" t="b">
        <v>0</v>
      </c>
      <c r="L25" s="3" t="b">
        <v>1</v>
      </c>
      <c r="M25" s="3" t="b">
        <v>1</v>
      </c>
      <c r="N25" s="3" t="b">
        <v>0</v>
      </c>
      <c r="O25" s="3" t="b">
        <v>0</v>
      </c>
      <c r="P25" s="3" t="b">
        <v>0</v>
      </c>
      <c r="Q25" s="3" t="b">
        <v>0</v>
      </c>
      <c r="R25" s="3" t="s">
        <v>321</v>
      </c>
      <c r="S25" s="5" t="s">
        <v>322</v>
      </c>
      <c r="T25" s="3" t="b">
        <v>0</v>
      </c>
      <c r="U25" s="3" t="b">
        <v>1</v>
      </c>
      <c r="V25" s="5" t="s">
        <v>323</v>
      </c>
      <c r="W25" s="5" t="s">
        <v>324</v>
      </c>
      <c r="X25" s="3" t="b">
        <v>0</v>
      </c>
      <c r="Y25" s="3" t="b">
        <v>0</v>
      </c>
      <c r="Z25" s="3" t="b">
        <v>0</v>
      </c>
      <c r="AA25" s="3" t="b">
        <v>0</v>
      </c>
      <c r="AB25" s="5" t="s">
        <v>325</v>
      </c>
      <c r="AC25" s="5" t="s">
        <v>326</v>
      </c>
      <c r="AD25" s="5" t="s">
        <v>67</v>
      </c>
      <c r="AE25" s="5" t="s">
        <v>67</v>
      </c>
      <c r="AF25" s="5" t="s">
        <v>327</v>
      </c>
      <c r="AG25" s="5" t="s">
        <v>328</v>
      </c>
      <c r="AH25" s="5" t="s">
        <v>329</v>
      </c>
      <c r="AI25" s="5" t="s">
        <v>330</v>
      </c>
      <c r="AJ25" s="5" t="s">
        <v>67</v>
      </c>
      <c r="AK25" s="5" t="s">
        <v>331</v>
      </c>
      <c r="AL25" s="5" t="s">
        <v>67</v>
      </c>
      <c r="AM25" s="5" t="s">
        <v>67</v>
      </c>
      <c r="AN25" s="5" t="s">
        <v>332</v>
      </c>
      <c r="AO25" s="5" t="s">
        <v>67</v>
      </c>
      <c r="AP25" s="5" t="s">
        <v>333</v>
      </c>
      <c r="AQ25" s="5" t="s">
        <v>67</v>
      </c>
      <c r="AR25" s="5" t="s">
        <v>67</v>
      </c>
      <c r="AW25" s="5" t="s">
        <v>67</v>
      </c>
      <c r="AX25" s="5" t="s">
        <v>67</v>
      </c>
      <c r="AY25" s="5" t="s">
        <v>67</v>
      </c>
      <c r="AZ25" s="5" t="s">
        <v>67</v>
      </c>
      <c r="BA25" s="3">
        <v>2146188990</v>
      </c>
      <c r="BD25" s="3">
        <v>2146188986</v>
      </c>
      <c r="BE25" s="3">
        <v>2146188986</v>
      </c>
      <c r="BF25" s="5" t="s">
        <v>334</v>
      </c>
      <c r="BG25" s="5" t="s">
        <v>335</v>
      </c>
      <c r="BH25" s="5" t="s">
        <v>336</v>
      </c>
      <c r="BI25" s="5" t="s">
        <v>67</v>
      </c>
      <c r="BJ25" s="5" t="s">
        <v>337</v>
      </c>
      <c r="BK25" s="5" t="s">
        <v>338</v>
      </c>
      <c r="BL25" s="5" t="s">
        <v>339</v>
      </c>
      <c r="BM25" s="5" t="s">
        <v>67</v>
      </c>
      <c r="BN25" s="5" t="s">
        <v>67</v>
      </c>
      <c r="BO25" s="5" t="s">
        <v>67</v>
      </c>
    </row>
    <row r="26" spans="1:67" x14ac:dyDescent="0.25">
      <c r="A26" s="3">
        <v>-362773667</v>
      </c>
      <c r="B26" s="4">
        <v>41597</v>
      </c>
      <c r="H26" s="5" t="s">
        <v>67</v>
      </c>
      <c r="I26" s="3" t="b">
        <v>0</v>
      </c>
      <c r="J26" s="3" t="b">
        <v>0</v>
      </c>
      <c r="K26" s="3" t="b">
        <v>0</v>
      </c>
      <c r="L26" s="3" t="b">
        <v>0</v>
      </c>
      <c r="M26" s="3" t="b">
        <v>1</v>
      </c>
      <c r="N26" s="3" t="b">
        <v>0</v>
      </c>
      <c r="O26" s="3" t="b">
        <v>0</v>
      </c>
      <c r="P26" s="3" t="b">
        <v>1</v>
      </c>
      <c r="Q26" s="3" t="b">
        <v>0</v>
      </c>
      <c r="R26" s="3" t="s">
        <v>67</v>
      </c>
      <c r="S26" s="5" t="s">
        <v>67</v>
      </c>
      <c r="T26" s="3" t="b">
        <v>0</v>
      </c>
      <c r="U26" s="3" t="b">
        <v>0</v>
      </c>
      <c r="V26" s="5" t="s">
        <v>67</v>
      </c>
      <c r="W26" s="5" t="s">
        <v>67</v>
      </c>
      <c r="X26" s="3" t="b">
        <v>0</v>
      </c>
      <c r="Y26" s="3" t="b">
        <v>0</v>
      </c>
      <c r="Z26" s="3" t="b">
        <v>0</v>
      </c>
      <c r="AA26" s="3" t="b">
        <v>0</v>
      </c>
      <c r="AB26" s="5" t="s">
        <v>67</v>
      </c>
      <c r="AC26" s="5" t="s">
        <v>67</v>
      </c>
      <c r="AD26" s="5" t="s">
        <v>67</v>
      </c>
      <c r="AE26" s="5" t="s">
        <v>67</v>
      </c>
      <c r="AF26" s="5" t="s">
        <v>67</v>
      </c>
      <c r="AG26" s="5" t="s">
        <v>67</v>
      </c>
      <c r="AH26" s="5" t="s">
        <v>67</v>
      </c>
      <c r="AI26" s="5" t="s">
        <v>67</v>
      </c>
      <c r="AJ26" s="5" t="s">
        <v>67</v>
      </c>
      <c r="AK26" s="5" t="s">
        <v>67</v>
      </c>
      <c r="AL26" s="5" t="s">
        <v>67</v>
      </c>
      <c r="AM26" s="5" t="s">
        <v>67</v>
      </c>
      <c r="AN26" s="5" t="s">
        <v>67</v>
      </c>
      <c r="AO26" s="5" t="s">
        <v>67</v>
      </c>
      <c r="AP26" s="5" t="s">
        <v>67</v>
      </c>
      <c r="AQ26" s="5" t="s">
        <v>67</v>
      </c>
      <c r="AR26" s="5" t="s">
        <v>67</v>
      </c>
      <c r="AS26" s="3">
        <v>-509124961</v>
      </c>
      <c r="AW26" s="5" t="s">
        <v>67</v>
      </c>
      <c r="AX26" s="5" t="s">
        <v>67</v>
      </c>
      <c r="AY26" s="5" t="s">
        <v>67</v>
      </c>
      <c r="AZ26" s="5" t="s">
        <v>67</v>
      </c>
      <c r="BF26" s="5" t="s">
        <v>67</v>
      </c>
      <c r="BG26" s="5" t="s">
        <v>67</v>
      </c>
      <c r="BH26" s="5" t="s">
        <v>67</v>
      </c>
      <c r="BI26" s="5" t="s">
        <v>67</v>
      </c>
      <c r="BJ26" s="5" t="s">
        <v>67</v>
      </c>
      <c r="BK26" s="5" t="s">
        <v>67</v>
      </c>
      <c r="BL26" s="5" t="s">
        <v>67</v>
      </c>
      <c r="BM26" s="5" t="s">
        <v>67</v>
      </c>
      <c r="BN26" s="5" t="s">
        <v>67</v>
      </c>
      <c r="BO26" s="5" t="s">
        <v>67</v>
      </c>
    </row>
    <row r="27" spans="1:67" ht="330" x14ac:dyDescent="0.25">
      <c r="A27" s="3">
        <v>-22390883</v>
      </c>
      <c r="B27" s="4">
        <v>42886</v>
      </c>
      <c r="C27" s="3">
        <v>1201536087</v>
      </c>
      <c r="E27" s="3">
        <v>1201536087</v>
      </c>
      <c r="F27" s="3">
        <v>2146189132</v>
      </c>
      <c r="G27" s="3">
        <v>2146189132</v>
      </c>
      <c r="H27" s="5" t="s">
        <v>67</v>
      </c>
      <c r="I27" s="3" t="b">
        <v>0</v>
      </c>
      <c r="J27" s="3" t="b">
        <v>0</v>
      </c>
      <c r="K27" s="3" t="b">
        <v>0</v>
      </c>
      <c r="L27" s="3" t="b">
        <v>1</v>
      </c>
      <c r="M27" s="3" t="b">
        <v>0</v>
      </c>
      <c r="N27" s="3" t="b">
        <v>0</v>
      </c>
      <c r="O27" s="3" t="b">
        <v>0</v>
      </c>
      <c r="P27" s="3" t="b">
        <v>1</v>
      </c>
      <c r="Q27" s="3" t="b">
        <v>0</v>
      </c>
      <c r="R27" s="3" t="s">
        <v>340</v>
      </c>
      <c r="S27" s="5" t="s">
        <v>341</v>
      </c>
      <c r="T27" s="3" t="b">
        <v>0</v>
      </c>
      <c r="U27" s="3" t="b">
        <v>1</v>
      </c>
      <c r="V27" s="5" t="s">
        <v>342</v>
      </c>
      <c r="W27" s="5" t="s">
        <v>343</v>
      </c>
      <c r="X27" s="3" t="b">
        <v>0</v>
      </c>
      <c r="Y27" s="3" t="b">
        <v>1</v>
      </c>
      <c r="Z27" s="3" t="b">
        <v>0</v>
      </c>
      <c r="AA27" s="3" t="b">
        <v>1</v>
      </c>
      <c r="AB27" s="5" t="s">
        <v>344</v>
      </c>
      <c r="AC27" s="5" t="s">
        <v>345</v>
      </c>
      <c r="AD27" s="5" t="s">
        <v>346</v>
      </c>
      <c r="AE27" s="5" t="s">
        <v>67</v>
      </c>
      <c r="AF27" s="5" t="s">
        <v>347</v>
      </c>
      <c r="AG27" s="5" t="s">
        <v>67</v>
      </c>
      <c r="AH27" s="5" t="s">
        <v>348</v>
      </c>
      <c r="AI27" s="5" t="s">
        <v>349</v>
      </c>
      <c r="AJ27" s="5" t="s">
        <v>350</v>
      </c>
      <c r="AK27" s="5" t="s">
        <v>67</v>
      </c>
      <c r="AL27" s="5" t="s">
        <v>67</v>
      </c>
      <c r="AM27" s="5" t="s">
        <v>351</v>
      </c>
      <c r="AN27" s="5" t="s">
        <v>352</v>
      </c>
      <c r="AO27" s="5" t="s">
        <v>67</v>
      </c>
      <c r="AP27" s="5" t="s">
        <v>67</v>
      </c>
      <c r="AQ27" s="5" t="s">
        <v>67</v>
      </c>
      <c r="AR27" s="5" t="s">
        <v>67</v>
      </c>
      <c r="AW27" s="5" t="s">
        <v>67</v>
      </c>
      <c r="AX27" s="5" t="s">
        <v>67</v>
      </c>
      <c r="AY27" s="5" t="s">
        <v>67</v>
      </c>
      <c r="AZ27" s="5" t="s">
        <v>67</v>
      </c>
      <c r="BD27" s="3">
        <v>2146188974</v>
      </c>
      <c r="BE27" s="3">
        <v>2146188974</v>
      </c>
      <c r="BF27" s="5" t="s">
        <v>353</v>
      </c>
      <c r="BG27" s="5" t="s">
        <v>354</v>
      </c>
      <c r="BH27" s="5" t="s">
        <v>355</v>
      </c>
      <c r="BI27" s="5" t="s">
        <v>74</v>
      </c>
      <c r="BJ27" s="5" t="s">
        <v>356</v>
      </c>
      <c r="BK27" s="5" t="s">
        <v>357</v>
      </c>
      <c r="BL27" s="5" t="s">
        <v>358</v>
      </c>
      <c r="BM27" s="5" t="s">
        <v>67</v>
      </c>
      <c r="BN27" s="5" t="s">
        <v>359</v>
      </c>
      <c r="BO27" s="5" t="s">
        <v>360</v>
      </c>
    </row>
    <row r="28" spans="1:67" x14ac:dyDescent="0.25">
      <c r="A28" s="3">
        <v>0</v>
      </c>
      <c r="C28" s="3">
        <v>0</v>
      </c>
      <c r="D28" s="3">
        <v>0</v>
      </c>
      <c r="E28" s="3">
        <v>0</v>
      </c>
      <c r="F28" s="3">
        <v>0</v>
      </c>
      <c r="G28" s="3">
        <v>0</v>
      </c>
      <c r="H28" s="5" t="s">
        <v>67</v>
      </c>
      <c r="I28" s="3" t="b">
        <v>0</v>
      </c>
      <c r="J28" s="3" t="b">
        <v>0</v>
      </c>
      <c r="K28" s="3" t="b">
        <v>0</v>
      </c>
      <c r="L28" s="3" t="b">
        <v>0</v>
      </c>
      <c r="M28" s="3" t="b">
        <v>0</v>
      </c>
      <c r="N28" s="3" t="b">
        <v>0</v>
      </c>
      <c r="O28" s="3" t="b">
        <v>0</v>
      </c>
      <c r="P28" s="3" t="b">
        <v>0</v>
      </c>
      <c r="Q28" s="3" t="b">
        <v>0</v>
      </c>
      <c r="R28" s="3" t="s">
        <v>67</v>
      </c>
      <c r="S28" s="5" t="s">
        <v>67</v>
      </c>
      <c r="T28" s="3" t="b">
        <v>0</v>
      </c>
      <c r="U28" s="3" t="b">
        <v>1</v>
      </c>
      <c r="V28" s="5" t="s">
        <v>67</v>
      </c>
      <c r="W28" s="5" t="s">
        <v>67</v>
      </c>
      <c r="X28" s="3" t="b">
        <v>0</v>
      </c>
      <c r="Y28" s="3" t="b">
        <v>0</v>
      </c>
      <c r="Z28" s="3" t="b">
        <v>0</v>
      </c>
      <c r="AA28" s="3" t="b">
        <v>0</v>
      </c>
      <c r="AB28" s="5" t="s">
        <v>67</v>
      </c>
      <c r="AC28" s="5" t="s">
        <v>67</v>
      </c>
      <c r="AD28" s="5" t="s">
        <v>67</v>
      </c>
      <c r="AE28" s="5" t="s">
        <v>67</v>
      </c>
      <c r="AF28" s="5" t="s">
        <v>67</v>
      </c>
      <c r="AG28" s="5" t="s">
        <v>67</v>
      </c>
      <c r="AH28" s="5" t="s">
        <v>67</v>
      </c>
      <c r="AI28" s="5" t="s">
        <v>67</v>
      </c>
      <c r="AJ28" s="5" t="s">
        <v>67</v>
      </c>
      <c r="AK28" s="5" t="s">
        <v>67</v>
      </c>
      <c r="AL28" s="5" t="s">
        <v>67</v>
      </c>
      <c r="AM28" s="5" t="s">
        <v>67</v>
      </c>
      <c r="AN28" s="5" t="s">
        <v>67</v>
      </c>
      <c r="AO28" s="5" t="s">
        <v>67</v>
      </c>
      <c r="AP28" s="5" t="s">
        <v>67</v>
      </c>
      <c r="AQ28" s="5" t="s">
        <v>67</v>
      </c>
      <c r="AR28" s="5" t="s">
        <v>67</v>
      </c>
      <c r="AW28" s="5" t="s">
        <v>67</v>
      </c>
      <c r="AX28" s="5" t="s">
        <v>67</v>
      </c>
      <c r="AY28" s="5" t="s">
        <v>67</v>
      </c>
      <c r="AZ28" s="5" t="s">
        <v>67</v>
      </c>
      <c r="BA28" s="3">
        <v>0</v>
      </c>
      <c r="BB28" s="3">
        <v>0</v>
      </c>
      <c r="BC28" s="3">
        <v>0</v>
      </c>
      <c r="BD28" s="3">
        <v>0</v>
      </c>
      <c r="BE28" s="3">
        <v>0</v>
      </c>
      <c r="BF28" s="5" t="s">
        <v>67</v>
      </c>
      <c r="BG28" s="5" t="s">
        <v>67</v>
      </c>
      <c r="BH28" s="5" t="s">
        <v>67</v>
      </c>
      <c r="BI28" s="5" t="s">
        <v>67</v>
      </c>
      <c r="BJ28" s="5" t="s">
        <v>67</v>
      </c>
      <c r="BK28" s="5" t="s">
        <v>67</v>
      </c>
      <c r="BL28" s="5" t="s">
        <v>67</v>
      </c>
      <c r="BM28" s="5" t="s">
        <v>67</v>
      </c>
      <c r="BN28" s="5" t="s">
        <v>67</v>
      </c>
      <c r="BO28" s="5" t="s">
        <v>67</v>
      </c>
    </row>
    <row r="29" spans="1:67" x14ac:dyDescent="0.25">
      <c r="A29" s="3">
        <v>107</v>
      </c>
      <c r="B29" s="4">
        <v>40980</v>
      </c>
      <c r="H29" s="5" t="s">
        <v>67</v>
      </c>
      <c r="I29" s="3" t="b">
        <v>0</v>
      </c>
      <c r="J29" s="3" t="b">
        <v>0</v>
      </c>
      <c r="K29" s="3" t="b">
        <v>0</v>
      </c>
      <c r="L29" s="3" t="b">
        <v>0</v>
      </c>
      <c r="M29" s="3" t="b">
        <v>0</v>
      </c>
      <c r="N29" s="3" t="b">
        <v>0</v>
      </c>
      <c r="O29" s="3" t="b">
        <v>0</v>
      </c>
      <c r="P29" s="3" t="b">
        <v>0</v>
      </c>
      <c r="Q29" s="3" t="b">
        <v>0</v>
      </c>
      <c r="R29" s="3" t="s">
        <v>67</v>
      </c>
      <c r="S29" s="5" t="s">
        <v>67</v>
      </c>
      <c r="T29" s="3" t="b">
        <v>0</v>
      </c>
      <c r="U29" s="3" t="b">
        <v>0</v>
      </c>
      <c r="V29" s="5" t="s">
        <v>67</v>
      </c>
      <c r="W29" s="5" t="s">
        <v>67</v>
      </c>
      <c r="X29" s="3" t="b">
        <v>0</v>
      </c>
      <c r="Y29" s="3" t="b">
        <v>0</v>
      </c>
      <c r="Z29" s="3" t="b">
        <v>0</v>
      </c>
      <c r="AA29" s="3" t="b">
        <v>0</v>
      </c>
      <c r="AB29" s="5" t="s">
        <v>67</v>
      </c>
      <c r="AC29" s="5" t="s">
        <v>67</v>
      </c>
      <c r="AD29" s="5" t="s">
        <v>67</v>
      </c>
      <c r="AE29" s="5" t="s">
        <v>67</v>
      </c>
      <c r="AF29" s="5" t="s">
        <v>67</v>
      </c>
      <c r="AG29" s="5" t="s">
        <v>67</v>
      </c>
      <c r="AH29" s="5" t="s">
        <v>67</v>
      </c>
      <c r="AI29" s="5" t="s">
        <v>67</v>
      </c>
      <c r="AJ29" s="5" t="s">
        <v>67</v>
      </c>
      <c r="AK29" s="5" t="s">
        <v>67</v>
      </c>
      <c r="AL29" s="5" t="s">
        <v>67</v>
      </c>
      <c r="AM29" s="5" t="s">
        <v>67</v>
      </c>
      <c r="AN29" s="5" t="s">
        <v>67</v>
      </c>
      <c r="AO29" s="5" t="s">
        <v>67</v>
      </c>
      <c r="AP29" s="5" t="s">
        <v>67</v>
      </c>
      <c r="AQ29" s="5" t="s">
        <v>67</v>
      </c>
      <c r="AR29" s="5" t="s">
        <v>67</v>
      </c>
      <c r="AW29" s="5" t="s">
        <v>67</v>
      </c>
      <c r="AX29" s="5" t="s">
        <v>67</v>
      </c>
      <c r="AY29" s="5" t="s">
        <v>67</v>
      </c>
      <c r="AZ29" s="5" t="s">
        <v>67</v>
      </c>
      <c r="BF29" s="5" t="s">
        <v>67</v>
      </c>
      <c r="BG29" s="5" t="s">
        <v>67</v>
      </c>
      <c r="BH29" s="5" t="s">
        <v>67</v>
      </c>
      <c r="BI29" s="5" t="s">
        <v>67</v>
      </c>
      <c r="BJ29" s="5" t="s">
        <v>67</v>
      </c>
      <c r="BK29" s="5" t="s">
        <v>67</v>
      </c>
      <c r="BL29" s="5" t="s">
        <v>67</v>
      </c>
      <c r="BM29" s="5" t="s">
        <v>67</v>
      </c>
      <c r="BN29" s="5" t="s">
        <v>67</v>
      </c>
      <c r="BO29" s="5" t="s">
        <v>67</v>
      </c>
    </row>
    <row r="30" spans="1:67" x14ac:dyDescent="0.25">
      <c r="A30" s="3">
        <v>111</v>
      </c>
      <c r="B30" s="4">
        <v>41642</v>
      </c>
      <c r="H30" s="5" t="s">
        <v>67</v>
      </c>
      <c r="I30" s="3" t="b">
        <v>0</v>
      </c>
      <c r="J30" s="3" t="b">
        <v>0</v>
      </c>
      <c r="K30" s="3" t="b">
        <v>0</v>
      </c>
      <c r="L30" s="3" t="b">
        <v>0</v>
      </c>
      <c r="M30" s="3" t="b">
        <v>0</v>
      </c>
      <c r="N30" s="3" t="b">
        <v>0</v>
      </c>
      <c r="O30" s="3" t="b">
        <v>0</v>
      </c>
      <c r="P30" s="3" t="b">
        <v>0</v>
      </c>
      <c r="Q30" s="3" t="b">
        <v>0</v>
      </c>
      <c r="R30" s="3" t="s">
        <v>67</v>
      </c>
      <c r="S30" s="5" t="s">
        <v>67</v>
      </c>
      <c r="T30" s="3" t="b">
        <v>0</v>
      </c>
      <c r="U30" s="3" t="b">
        <v>0</v>
      </c>
      <c r="V30" s="5" t="s">
        <v>67</v>
      </c>
      <c r="W30" s="5" t="s">
        <v>67</v>
      </c>
      <c r="X30" s="3" t="b">
        <v>0</v>
      </c>
      <c r="Y30" s="3" t="b">
        <v>0</v>
      </c>
      <c r="Z30" s="3" t="b">
        <v>0</v>
      </c>
      <c r="AA30" s="3" t="b">
        <v>0</v>
      </c>
      <c r="AB30" s="5" t="s">
        <v>67</v>
      </c>
      <c r="AC30" s="5" t="s">
        <v>67</v>
      </c>
      <c r="AD30" s="5" t="s">
        <v>67</v>
      </c>
      <c r="AE30" s="5" t="s">
        <v>67</v>
      </c>
      <c r="AF30" s="5" t="s">
        <v>67</v>
      </c>
      <c r="AG30" s="5" t="s">
        <v>67</v>
      </c>
      <c r="AH30" s="5" t="s">
        <v>67</v>
      </c>
      <c r="AI30" s="5" t="s">
        <v>67</v>
      </c>
      <c r="AJ30" s="5" t="s">
        <v>67</v>
      </c>
      <c r="AK30" s="5" t="s">
        <v>67</v>
      </c>
      <c r="AL30" s="5" t="s">
        <v>67</v>
      </c>
      <c r="AM30" s="5" t="s">
        <v>67</v>
      </c>
      <c r="AN30" s="5" t="s">
        <v>67</v>
      </c>
      <c r="AO30" s="5" t="s">
        <v>67</v>
      </c>
      <c r="AP30" s="5" t="s">
        <v>67</v>
      </c>
      <c r="AQ30" s="5" t="s">
        <v>67</v>
      </c>
      <c r="AR30" s="5" t="s">
        <v>67</v>
      </c>
      <c r="AW30" s="5" t="s">
        <v>67</v>
      </c>
      <c r="AX30" s="5" t="s">
        <v>67</v>
      </c>
      <c r="AY30" s="5" t="s">
        <v>67</v>
      </c>
      <c r="AZ30" s="5" t="s">
        <v>67</v>
      </c>
      <c r="BF30" s="5" t="s">
        <v>67</v>
      </c>
      <c r="BG30" s="5" t="s">
        <v>67</v>
      </c>
      <c r="BH30" s="5" t="s">
        <v>67</v>
      </c>
      <c r="BI30" s="5" t="s">
        <v>67</v>
      </c>
      <c r="BJ30" s="5" t="s">
        <v>67</v>
      </c>
      <c r="BK30" s="5" t="s">
        <v>67</v>
      </c>
      <c r="BL30" s="5" t="s">
        <v>67</v>
      </c>
      <c r="BM30" s="5" t="s">
        <v>67</v>
      </c>
      <c r="BN30" s="5" t="s">
        <v>67</v>
      </c>
      <c r="BO30" s="5" t="s">
        <v>67</v>
      </c>
    </row>
    <row r="31" spans="1:67" ht="315" x14ac:dyDescent="0.25">
      <c r="A31" s="3">
        <v>118</v>
      </c>
      <c r="B31" s="4">
        <v>37833.434074074103</v>
      </c>
      <c r="C31" s="3">
        <v>352</v>
      </c>
      <c r="D31" s="3">
        <v>1924</v>
      </c>
      <c r="E31" s="3">
        <v>0</v>
      </c>
      <c r="F31" s="3">
        <v>1040296365</v>
      </c>
      <c r="G31" s="3">
        <v>1040296841</v>
      </c>
      <c r="H31" s="5" t="s">
        <v>67</v>
      </c>
      <c r="I31" s="3" t="b">
        <v>0</v>
      </c>
      <c r="J31" s="3" t="b">
        <v>0</v>
      </c>
      <c r="K31" s="3" t="b">
        <v>0</v>
      </c>
      <c r="L31" s="3" t="b">
        <v>0</v>
      </c>
      <c r="M31" s="3" t="b">
        <v>0</v>
      </c>
      <c r="N31" s="3" t="b">
        <v>0</v>
      </c>
      <c r="O31" s="3" t="b">
        <v>0</v>
      </c>
      <c r="P31" s="3" t="b">
        <v>0</v>
      </c>
      <c r="Q31" s="3" t="b">
        <v>0</v>
      </c>
      <c r="R31" s="3" t="s">
        <v>67</v>
      </c>
      <c r="S31" s="5" t="s">
        <v>361</v>
      </c>
      <c r="T31" s="3" t="b">
        <v>0</v>
      </c>
      <c r="U31" s="3" t="b">
        <v>1</v>
      </c>
      <c r="V31" s="5" t="s">
        <v>67</v>
      </c>
      <c r="W31" s="5" t="s">
        <v>67</v>
      </c>
      <c r="X31" s="3" t="b">
        <v>0</v>
      </c>
      <c r="Y31" s="3" t="b">
        <v>0</v>
      </c>
      <c r="Z31" s="3" t="b">
        <v>0</v>
      </c>
      <c r="AA31" s="3" t="b">
        <v>0</v>
      </c>
      <c r="AB31" s="5" t="s">
        <v>362</v>
      </c>
      <c r="AC31" s="5" t="s">
        <v>363</v>
      </c>
      <c r="AD31" s="5" t="s">
        <v>67</v>
      </c>
      <c r="AE31" s="5" t="s">
        <v>67</v>
      </c>
      <c r="AF31" s="5" t="s">
        <v>364</v>
      </c>
      <c r="AG31" s="5" t="s">
        <v>67</v>
      </c>
      <c r="AH31" s="5" t="s">
        <v>67</v>
      </c>
      <c r="AI31" s="5" t="s">
        <v>67</v>
      </c>
      <c r="AJ31" s="5" t="s">
        <v>67</v>
      </c>
      <c r="AK31" s="5" t="s">
        <v>67</v>
      </c>
      <c r="AL31" s="5" t="s">
        <v>67</v>
      </c>
      <c r="AM31" s="5" t="s">
        <v>67</v>
      </c>
      <c r="AN31" s="5" t="s">
        <v>67</v>
      </c>
      <c r="AO31" s="5" t="s">
        <v>67</v>
      </c>
      <c r="AP31" s="5" t="s">
        <v>67</v>
      </c>
      <c r="AQ31" s="5" t="s">
        <v>67</v>
      </c>
      <c r="AR31" s="5" t="s">
        <v>67</v>
      </c>
      <c r="AW31" s="5" t="s">
        <v>67</v>
      </c>
      <c r="AX31" s="5" t="s">
        <v>67</v>
      </c>
      <c r="AY31" s="5" t="s">
        <v>67</v>
      </c>
      <c r="AZ31" s="5" t="s">
        <v>67</v>
      </c>
      <c r="BA31" s="3">
        <v>107</v>
      </c>
      <c r="BC31" s="3">
        <v>0</v>
      </c>
      <c r="BE31" s="3">
        <v>0</v>
      </c>
      <c r="BF31" s="5" t="s">
        <v>67</v>
      </c>
      <c r="BG31" s="5" t="s">
        <v>97</v>
      </c>
      <c r="BH31" s="5" t="s">
        <v>365</v>
      </c>
      <c r="BI31" s="5" t="s">
        <v>67</v>
      </c>
      <c r="BJ31" s="5" t="s">
        <v>366</v>
      </c>
      <c r="BK31" s="5" t="s">
        <v>67</v>
      </c>
      <c r="BL31" s="5" t="s">
        <v>67</v>
      </c>
      <c r="BM31" s="5" t="s">
        <v>367</v>
      </c>
      <c r="BN31" s="5" t="s">
        <v>67</v>
      </c>
      <c r="BO31" s="5" t="s">
        <v>67</v>
      </c>
    </row>
    <row r="32" spans="1:67" ht="90" x14ac:dyDescent="0.25">
      <c r="A32" s="3">
        <v>119</v>
      </c>
      <c r="B32" s="4">
        <v>37833.472743055601</v>
      </c>
      <c r="C32" s="3">
        <v>138</v>
      </c>
      <c r="D32" s="3">
        <v>2210</v>
      </c>
      <c r="E32" s="3">
        <v>0</v>
      </c>
      <c r="H32" s="5" t="s">
        <v>67</v>
      </c>
      <c r="I32" s="3" t="b">
        <v>0</v>
      </c>
      <c r="J32" s="3" t="b">
        <v>0</v>
      </c>
      <c r="K32" s="3" t="b">
        <v>0</v>
      </c>
      <c r="L32" s="3" t="b">
        <v>0</v>
      </c>
      <c r="M32" s="3" t="b">
        <v>0</v>
      </c>
      <c r="N32" s="3" t="b">
        <v>0</v>
      </c>
      <c r="O32" s="3" t="b">
        <v>0</v>
      </c>
      <c r="P32" s="3" t="b">
        <v>0</v>
      </c>
      <c r="Q32" s="3" t="b">
        <v>0</v>
      </c>
      <c r="R32" s="3" t="s">
        <v>67</v>
      </c>
      <c r="S32" s="5" t="s">
        <v>368</v>
      </c>
      <c r="T32" s="3" t="b">
        <v>0</v>
      </c>
      <c r="U32" s="3" t="b">
        <v>1</v>
      </c>
      <c r="V32" s="5" t="s">
        <v>67</v>
      </c>
      <c r="W32" s="5" t="s">
        <v>67</v>
      </c>
      <c r="X32" s="3" t="b">
        <v>0</v>
      </c>
      <c r="Y32" s="3" t="b">
        <v>0</v>
      </c>
      <c r="Z32" s="3" t="b">
        <v>0</v>
      </c>
      <c r="AA32" s="3" t="b">
        <v>0</v>
      </c>
      <c r="AB32" s="5" t="s">
        <v>369</v>
      </c>
      <c r="AC32" s="5" t="s">
        <v>370</v>
      </c>
      <c r="AD32" s="5" t="s">
        <v>67</v>
      </c>
      <c r="AE32" s="5" t="s">
        <v>67</v>
      </c>
      <c r="AF32" s="5" t="s">
        <v>67</v>
      </c>
      <c r="AG32" s="5" t="s">
        <v>67</v>
      </c>
      <c r="AH32" s="5" t="s">
        <v>67</v>
      </c>
      <c r="AI32" s="5" t="s">
        <v>67</v>
      </c>
      <c r="AJ32" s="5" t="s">
        <v>67</v>
      </c>
      <c r="AK32" s="5" t="s">
        <v>67</v>
      </c>
      <c r="AL32" s="5" t="s">
        <v>67</v>
      </c>
      <c r="AM32" s="5" t="s">
        <v>67</v>
      </c>
      <c r="AN32" s="5" t="s">
        <v>67</v>
      </c>
      <c r="AO32" s="5" t="s">
        <v>67</v>
      </c>
      <c r="AP32" s="5" t="s">
        <v>67</v>
      </c>
      <c r="AQ32" s="5" t="s">
        <v>67</v>
      </c>
      <c r="AR32" s="5" t="s">
        <v>67</v>
      </c>
      <c r="AW32" s="5" t="s">
        <v>67</v>
      </c>
      <c r="AX32" s="5" t="s">
        <v>67</v>
      </c>
      <c r="AY32" s="5" t="s">
        <v>67</v>
      </c>
      <c r="AZ32" s="5" t="s">
        <v>67</v>
      </c>
      <c r="BB32" s="3">
        <v>0</v>
      </c>
      <c r="BC32" s="3">
        <v>0</v>
      </c>
      <c r="BE32" s="3">
        <v>0</v>
      </c>
      <c r="BF32" s="5" t="s">
        <v>67</v>
      </c>
      <c r="BG32" s="5" t="s">
        <v>97</v>
      </c>
      <c r="BH32" s="5" t="s">
        <v>67</v>
      </c>
      <c r="BI32" s="5" t="s">
        <v>67</v>
      </c>
      <c r="BJ32" s="5" t="s">
        <v>371</v>
      </c>
      <c r="BK32" s="5" t="s">
        <v>67</v>
      </c>
      <c r="BL32" s="5" t="s">
        <v>67</v>
      </c>
      <c r="BM32" s="5" t="s">
        <v>67</v>
      </c>
      <c r="BN32" s="5" t="s">
        <v>67</v>
      </c>
      <c r="BO32" s="5" t="s">
        <v>67</v>
      </c>
    </row>
    <row r="33" spans="1:67" ht="150" x14ac:dyDescent="0.25">
      <c r="A33" s="3">
        <v>129</v>
      </c>
      <c r="B33" s="4">
        <v>37846.6477662037</v>
      </c>
      <c r="C33" s="3">
        <v>0</v>
      </c>
      <c r="D33" s="3">
        <v>0</v>
      </c>
      <c r="E33" s="3">
        <v>0</v>
      </c>
      <c r="F33" s="3">
        <v>269</v>
      </c>
      <c r="G33" s="3">
        <v>269</v>
      </c>
      <c r="H33" s="5" t="s">
        <v>67</v>
      </c>
      <c r="I33" s="3" t="b">
        <v>0</v>
      </c>
      <c r="J33" s="3" t="b">
        <v>0</v>
      </c>
      <c r="K33" s="3" t="b">
        <v>0</v>
      </c>
      <c r="L33" s="3" t="b">
        <v>0</v>
      </c>
      <c r="M33" s="3" t="b">
        <v>0</v>
      </c>
      <c r="N33" s="3" t="b">
        <v>0</v>
      </c>
      <c r="O33" s="3" t="b">
        <v>0</v>
      </c>
      <c r="P33" s="3" t="b">
        <v>0</v>
      </c>
      <c r="Q33" s="3" t="b">
        <v>0</v>
      </c>
      <c r="R33" s="3" t="s">
        <v>67</v>
      </c>
      <c r="S33" s="5" t="s">
        <v>372</v>
      </c>
      <c r="T33" s="3" t="b">
        <v>0</v>
      </c>
      <c r="U33" s="3" t="b">
        <v>0</v>
      </c>
      <c r="V33" s="5" t="s">
        <v>67</v>
      </c>
      <c r="W33" s="5" t="s">
        <v>67</v>
      </c>
      <c r="X33" s="3" t="b">
        <v>0</v>
      </c>
      <c r="Y33" s="3" t="b">
        <v>0</v>
      </c>
      <c r="Z33" s="3" t="b">
        <v>0</v>
      </c>
      <c r="AA33" s="3" t="b">
        <v>0</v>
      </c>
      <c r="AB33" s="5" t="s">
        <v>373</v>
      </c>
      <c r="AC33" s="5" t="s">
        <v>374</v>
      </c>
      <c r="AD33" s="5" t="s">
        <v>67</v>
      </c>
      <c r="AE33" s="5" t="s">
        <v>67</v>
      </c>
      <c r="AF33" s="5" t="s">
        <v>67</v>
      </c>
      <c r="AG33" s="5" t="s">
        <v>67</v>
      </c>
      <c r="AH33" s="5" t="s">
        <v>67</v>
      </c>
      <c r="AI33" s="5" t="s">
        <v>67</v>
      </c>
      <c r="AJ33" s="5" t="s">
        <v>67</v>
      </c>
      <c r="AK33" s="5" t="s">
        <v>67</v>
      </c>
      <c r="AL33" s="5" t="s">
        <v>67</v>
      </c>
      <c r="AM33" s="5" t="s">
        <v>67</v>
      </c>
      <c r="AN33" s="5" t="s">
        <v>67</v>
      </c>
      <c r="AO33" s="5" t="s">
        <v>67</v>
      </c>
      <c r="AP33" s="5" t="s">
        <v>67</v>
      </c>
      <c r="AQ33" s="5" t="s">
        <v>67</v>
      </c>
      <c r="AR33" s="5" t="s">
        <v>67</v>
      </c>
      <c r="AW33" s="5" t="s">
        <v>67</v>
      </c>
      <c r="AX33" s="5" t="s">
        <v>67</v>
      </c>
      <c r="AY33" s="5" t="s">
        <v>67</v>
      </c>
      <c r="AZ33" s="5" t="s">
        <v>67</v>
      </c>
      <c r="BB33" s="3">
        <v>0</v>
      </c>
      <c r="BC33" s="3">
        <v>0</v>
      </c>
      <c r="BE33" s="3">
        <v>0</v>
      </c>
      <c r="BF33" s="5" t="s">
        <v>67</v>
      </c>
      <c r="BG33" s="5" t="s">
        <v>67</v>
      </c>
      <c r="BH33" s="5" t="s">
        <v>375</v>
      </c>
      <c r="BI33" s="5" t="s">
        <v>67</v>
      </c>
      <c r="BJ33" s="5" t="s">
        <v>376</v>
      </c>
      <c r="BK33" s="5" t="s">
        <v>67</v>
      </c>
      <c r="BL33" s="5" t="s">
        <v>67</v>
      </c>
      <c r="BM33" s="5" t="s">
        <v>67</v>
      </c>
      <c r="BN33" s="5" t="s">
        <v>67</v>
      </c>
      <c r="BO33" s="5" t="s">
        <v>67</v>
      </c>
    </row>
    <row r="34" spans="1:67" ht="165" x14ac:dyDescent="0.25">
      <c r="A34" s="3">
        <v>138</v>
      </c>
      <c r="B34" s="4">
        <v>42858</v>
      </c>
      <c r="C34" s="3">
        <v>-2099377383</v>
      </c>
      <c r="H34" s="5" t="s">
        <v>67</v>
      </c>
      <c r="I34" s="3" t="b">
        <v>0</v>
      </c>
      <c r="J34" s="3" t="b">
        <v>0</v>
      </c>
      <c r="K34" s="3" t="b">
        <v>0</v>
      </c>
      <c r="L34" s="3" t="b">
        <v>1</v>
      </c>
      <c r="M34" s="3" t="b">
        <v>1</v>
      </c>
      <c r="N34" s="3" t="b">
        <v>0</v>
      </c>
      <c r="O34" s="3" t="b">
        <v>0</v>
      </c>
      <c r="P34" s="3" t="b">
        <v>1</v>
      </c>
      <c r="Q34" s="3" t="b">
        <v>0</v>
      </c>
      <c r="R34" s="3" t="s">
        <v>377</v>
      </c>
      <c r="S34" s="5" t="s">
        <v>378</v>
      </c>
      <c r="T34" s="3" t="b">
        <v>1</v>
      </c>
      <c r="U34" s="3" t="b">
        <v>0</v>
      </c>
      <c r="V34" s="5" t="s">
        <v>379</v>
      </c>
      <c r="W34" s="5" t="s">
        <v>380</v>
      </c>
      <c r="X34" s="3" t="b">
        <v>0</v>
      </c>
      <c r="Y34" s="3" t="b">
        <v>0</v>
      </c>
      <c r="Z34" s="3" t="b">
        <v>0</v>
      </c>
      <c r="AA34" s="3" t="b">
        <v>0</v>
      </c>
      <c r="AB34" s="5" t="s">
        <v>381</v>
      </c>
      <c r="AC34" s="5" t="s">
        <v>382</v>
      </c>
      <c r="AD34" s="5" t="s">
        <v>383</v>
      </c>
      <c r="AE34" s="5" t="s">
        <v>380</v>
      </c>
      <c r="AF34" s="5" t="s">
        <v>384</v>
      </c>
      <c r="AG34" s="5" t="s">
        <v>380</v>
      </c>
      <c r="AH34" s="5" t="s">
        <v>385</v>
      </c>
      <c r="AI34" s="5" t="s">
        <v>380</v>
      </c>
      <c r="AJ34" s="5" t="s">
        <v>380</v>
      </c>
      <c r="AK34" s="5" t="s">
        <v>380</v>
      </c>
      <c r="AL34" s="5" t="s">
        <v>380</v>
      </c>
      <c r="AM34" s="5" t="s">
        <v>386</v>
      </c>
      <c r="AN34" s="5" t="s">
        <v>380</v>
      </c>
      <c r="AO34" s="5" t="s">
        <v>380</v>
      </c>
      <c r="AP34" s="5" t="s">
        <v>380</v>
      </c>
      <c r="AQ34" s="5" t="s">
        <v>380</v>
      </c>
      <c r="AR34" s="5" t="s">
        <v>67</v>
      </c>
      <c r="AW34" s="5" t="s">
        <v>67</v>
      </c>
      <c r="AX34" s="5" t="s">
        <v>67</v>
      </c>
      <c r="AY34" s="5" t="s">
        <v>67</v>
      </c>
      <c r="AZ34" s="5" t="s">
        <v>67</v>
      </c>
      <c r="BA34" s="3">
        <v>2146188992</v>
      </c>
      <c r="BD34" s="3">
        <v>2146189294</v>
      </c>
      <c r="BE34" s="3">
        <v>2146189294</v>
      </c>
      <c r="BF34" s="5" t="s">
        <v>387</v>
      </c>
      <c r="BG34" s="5" t="s">
        <v>97</v>
      </c>
      <c r="BH34" s="5" t="s">
        <v>380</v>
      </c>
      <c r="BI34" s="5" t="s">
        <v>210</v>
      </c>
      <c r="BJ34" s="5" t="s">
        <v>388</v>
      </c>
      <c r="BK34" s="5" t="s">
        <v>389</v>
      </c>
      <c r="BL34" s="5" t="s">
        <v>390</v>
      </c>
      <c r="BM34" s="5" t="s">
        <v>380</v>
      </c>
      <c r="BN34" s="5" t="s">
        <v>391</v>
      </c>
      <c r="BO34" s="5" t="s">
        <v>392</v>
      </c>
    </row>
    <row r="35" spans="1:67" ht="60" x14ac:dyDescent="0.25">
      <c r="A35" s="3">
        <v>160</v>
      </c>
      <c r="B35" s="4">
        <v>37847.639641203699</v>
      </c>
      <c r="C35" s="3">
        <v>2210</v>
      </c>
      <c r="D35" s="3">
        <v>2210</v>
      </c>
      <c r="E35" s="3">
        <v>0</v>
      </c>
      <c r="F35" s="3">
        <v>0</v>
      </c>
      <c r="H35" s="5" t="s">
        <v>67</v>
      </c>
      <c r="I35" s="3" t="b">
        <v>0</v>
      </c>
      <c r="J35" s="3" t="b">
        <v>0</v>
      </c>
      <c r="K35" s="3" t="b">
        <v>0</v>
      </c>
      <c r="L35" s="3" t="b">
        <v>0</v>
      </c>
      <c r="M35" s="3" t="b">
        <v>0</v>
      </c>
      <c r="N35" s="3" t="b">
        <v>0</v>
      </c>
      <c r="O35" s="3" t="b">
        <v>0</v>
      </c>
      <c r="P35" s="3" t="b">
        <v>0</v>
      </c>
      <c r="Q35" s="3" t="b">
        <v>0</v>
      </c>
      <c r="R35" s="3" t="s">
        <v>67</v>
      </c>
      <c r="S35" s="5" t="s">
        <v>393</v>
      </c>
      <c r="T35" s="3" t="b">
        <v>1</v>
      </c>
      <c r="U35" s="3" t="b">
        <v>0</v>
      </c>
      <c r="V35" s="5" t="s">
        <v>67</v>
      </c>
      <c r="W35" s="5" t="s">
        <v>67</v>
      </c>
      <c r="X35" s="3" t="b">
        <v>0</v>
      </c>
      <c r="Y35" s="3" t="b">
        <v>0</v>
      </c>
      <c r="Z35" s="3" t="b">
        <v>0</v>
      </c>
      <c r="AA35" s="3" t="b">
        <v>0</v>
      </c>
      <c r="AB35" s="5" t="s">
        <v>394</v>
      </c>
      <c r="AC35" s="5" t="s">
        <v>395</v>
      </c>
      <c r="AD35" s="5" t="s">
        <v>67</v>
      </c>
      <c r="AE35" s="5" t="s">
        <v>67</v>
      </c>
      <c r="AF35" s="5" t="s">
        <v>67</v>
      </c>
      <c r="AG35" s="5" t="s">
        <v>67</v>
      </c>
      <c r="AH35" s="5" t="s">
        <v>67</v>
      </c>
      <c r="AI35" s="5" t="s">
        <v>67</v>
      </c>
      <c r="AJ35" s="5" t="s">
        <v>67</v>
      </c>
      <c r="AK35" s="5" t="s">
        <v>67</v>
      </c>
      <c r="AL35" s="5" t="s">
        <v>67</v>
      </c>
      <c r="AM35" s="5" t="s">
        <v>67</v>
      </c>
      <c r="AN35" s="5" t="s">
        <v>67</v>
      </c>
      <c r="AO35" s="5" t="s">
        <v>67</v>
      </c>
      <c r="AP35" s="5" t="s">
        <v>67</v>
      </c>
      <c r="AQ35" s="5" t="s">
        <v>67</v>
      </c>
      <c r="AR35" s="5" t="s">
        <v>67</v>
      </c>
      <c r="AW35" s="5" t="s">
        <v>67</v>
      </c>
      <c r="AX35" s="5" t="s">
        <v>67</v>
      </c>
      <c r="AY35" s="5" t="s">
        <v>67</v>
      </c>
      <c r="AZ35" s="5" t="s">
        <v>67</v>
      </c>
      <c r="BB35" s="3">
        <v>0</v>
      </c>
      <c r="BC35" s="3">
        <v>0</v>
      </c>
      <c r="BD35" s="3">
        <v>0</v>
      </c>
      <c r="BE35" s="3">
        <v>0</v>
      </c>
      <c r="BF35" s="5" t="s">
        <v>67</v>
      </c>
      <c r="BG35" s="5" t="s">
        <v>97</v>
      </c>
      <c r="BH35" s="5" t="s">
        <v>126</v>
      </c>
      <c r="BI35" s="5" t="s">
        <v>67</v>
      </c>
      <c r="BJ35" s="5" t="s">
        <v>396</v>
      </c>
      <c r="BK35" s="5" t="s">
        <v>67</v>
      </c>
      <c r="BL35" s="5" t="s">
        <v>67</v>
      </c>
      <c r="BM35" s="5" t="s">
        <v>67</v>
      </c>
      <c r="BN35" s="5" t="s">
        <v>67</v>
      </c>
      <c r="BO35" s="5" t="s">
        <v>67</v>
      </c>
    </row>
    <row r="36" spans="1:67" x14ac:dyDescent="0.25">
      <c r="A36" s="3">
        <v>166</v>
      </c>
      <c r="B36" s="4">
        <v>41927</v>
      </c>
      <c r="H36" s="5" t="s">
        <v>67</v>
      </c>
      <c r="I36" s="3" t="b">
        <v>0</v>
      </c>
      <c r="J36" s="3" t="b">
        <v>0</v>
      </c>
      <c r="K36" s="3" t="b">
        <v>0</v>
      </c>
      <c r="L36" s="3" t="b">
        <v>0</v>
      </c>
      <c r="M36" s="3" t="b">
        <v>0</v>
      </c>
      <c r="N36" s="3" t="b">
        <v>0</v>
      </c>
      <c r="O36" s="3" t="b">
        <v>0</v>
      </c>
      <c r="P36" s="3" t="b">
        <v>0</v>
      </c>
      <c r="Q36" s="3" t="b">
        <v>0</v>
      </c>
      <c r="R36" s="3" t="s">
        <v>67</v>
      </c>
      <c r="S36" s="5" t="s">
        <v>67</v>
      </c>
      <c r="T36" s="3" t="b">
        <v>0</v>
      </c>
      <c r="U36" s="3" t="b">
        <v>0</v>
      </c>
      <c r="V36" s="5" t="s">
        <v>67</v>
      </c>
      <c r="W36" s="5" t="s">
        <v>67</v>
      </c>
      <c r="X36" s="3" t="b">
        <v>0</v>
      </c>
      <c r="Y36" s="3" t="b">
        <v>0</v>
      </c>
      <c r="Z36" s="3" t="b">
        <v>0</v>
      </c>
      <c r="AA36" s="3" t="b">
        <v>0</v>
      </c>
      <c r="AB36" s="5" t="s">
        <v>67</v>
      </c>
      <c r="AC36" s="5" t="s">
        <v>67</v>
      </c>
      <c r="AD36" s="5" t="s">
        <v>67</v>
      </c>
      <c r="AE36" s="5" t="s">
        <v>67</v>
      </c>
      <c r="AF36" s="5" t="s">
        <v>67</v>
      </c>
      <c r="AG36" s="5" t="s">
        <v>67</v>
      </c>
      <c r="AH36" s="5" t="s">
        <v>67</v>
      </c>
      <c r="AI36" s="5" t="s">
        <v>67</v>
      </c>
      <c r="AJ36" s="5" t="s">
        <v>67</v>
      </c>
      <c r="AK36" s="5" t="s">
        <v>67</v>
      </c>
      <c r="AL36" s="5" t="s">
        <v>67</v>
      </c>
      <c r="AM36" s="5" t="s">
        <v>67</v>
      </c>
      <c r="AN36" s="5" t="s">
        <v>67</v>
      </c>
      <c r="AO36" s="5" t="s">
        <v>67</v>
      </c>
      <c r="AP36" s="5" t="s">
        <v>67</v>
      </c>
      <c r="AQ36" s="5" t="s">
        <v>67</v>
      </c>
      <c r="AR36" s="5" t="s">
        <v>67</v>
      </c>
      <c r="AW36" s="5" t="s">
        <v>67</v>
      </c>
      <c r="AX36" s="5" t="s">
        <v>67</v>
      </c>
      <c r="AY36" s="5" t="s">
        <v>67</v>
      </c>
      <c r="AZ36" s="5" t="s">
        <v>67</v>
      </c>
      <c r="BF36" s="5" t="s">
        <v>67</v>
      </c>
      <c r="BG36" s="5" t="s">
        <v>67</v>
      </c>
      <c r="BH36" s="5" t="s">
        <v>67</v>
      </c>
      <c r="BI36" s="5" t="s">
        <v>67</v>
      </c>
      <c r="BJ36" s="5" t="s">
        <v>67</v>
      </c>
      <c r="BK36" s="5" t="s">
        <v>67</v>
      </c>
      <c r="BL36" s="5" t="s">
        <v>67</v>
      </c>
      <c r="BM36" s="5" t="s">
        <v>67</v>
      </c>
      <c r="BN36" s="5" t="s">
        <v>67</v>
      </c>
      <c r="BO36" s="5" t="s">
        <v>67</v>
      </c>
    </row>
    <row r="37" spans="1:67" ht="90" x14ac:dyDescent="0.25">
      <c r="A37" s="3">
        <v>167</v>
      </c>
      <c r="B37" s="4">
        <v>37858.510231481501</v>
      </c>
      <c r="C37" s="3">
        <v>2210</v>
      </c>
      <c r="D37" s="3">
        <v>166</v>
      </c>
      <c r="F37" s="3">
        <v>0</v>
      </c>
      <c r="G37" s="3">
        <v>269</v>
      </c>
      <c r="H37" s="5" t="s">
        <v>67</v>
      </c>
      <c r="I37" s="3" t="b">
        <v>0</v>
      </c>
      <c r="J37" s="3" t="b">
        <v>0</v>
      </c>
      <c r="K37" s="3" t="b">
        <v>0</v>
      </c>
      <c r="L37" s="3" t="b">
        <v>0</v>
      </c>
      <c r="M37" s="3" t="b">
        <v>0</v>
      </c>
      <c r="N37" s="3" t="b">
        <v>0</v>
      </c>
      <c r="O37" s="3" t="b">
        <v>0</v>
      </c>
      <c r="P37" s="3" t="b">
        <v>0</v>
      </c>
      <c r="Q37" s="3" t="b">
        <v>0</v>
      </c>
      <c r="R37" s="3" t="s">
        <v>67</v>
      </c>
      <c r="S37" s="5" t="s">
        <v>275</v>
      </c>
      <c r="T37" s="3" t="b">
        <v>0</v>
      </c>
      <c r="U37" s="3" t="b">
        <v>1</v>
      </c>
      <c r="V37" s="5" t="s">
        <v>67</v>
      </c>
      <c r="W37" s="5" t="s">
        <v>67</v>
      </c>
      <c r="X37" s="3" t="b">
        <v>0</v>
      </c>
      <c r="Y37" s="3" t="b">
        <v>0</v>
      </c>
      <c r="Z37" s="3" t="b">
        <v>0</v>
      </c>
      <c r="AA37" s="3" t="b">
        <v>0</v>
      </c>
      <c r="AB37" s="5" t="s">
        <v>120</v>
      </c>
      <c r="AC37" s="5" t="s">
        <v>278</v>
      </c>
      <c r="AD37" s="5" t="s">
        <v>67</v>
      </c>
      <c r="AE37" s="5" t="s">
        <v>67</v>
      </c>
      <c r="AF37" s="5" t="s">
        <v>67</v>
      </c>
      <c r="AG37" s="5" t="s">
        <v>397</v>
      </c>
      <c r="AH37" s="5" t="s">
        <v>67</v>
      </c>
      <c r="AI37" s="5" t="s">
        <v>67</v>
      </c>
      <c r="AJ37" s="5" t="s">
        <v>67</v>
      </c>
      <c r="AK37" s="5" t="s">
        <v>67</v>
      </c>
      <c r="AL37" s="5" t="s">
        <v>67</v>
      </c>
      <c r="AM37" s="5" t="s">
        <v>67</v>
      </c>
      <c r="AN37" s="5" t="s">
        <v>67</v>
      </c>
      <c r="AO37" s="5" t="s">
        <v>67</v>
      </c>
      <c r="AP37" s="5" t="s">
        <v>67</v>
      </c>
      <c r="AQ37" s="5" t="s">
        <v>67</v>
      </c>
      <c r="AR37" s="5" t="s">
        <v>67</v>
      </c>
      <c r="AW37" s="5" t="s">
        <v>67</v>
      </c>
      <c r="AX37" s="5" t="s">
        <v>67</v>
      </c>
      <c r="AY37" s="5" t="s">
        <v>67</v>
      </c>
      <c r="AZ37" s="5" t="s">
        <v>67</v>
      </c>
      <c r="BB37" s="3">
        <v>0</v>
      </c>
      <c r="BC37" s="3">
        <v>0</v>
      </c>
      <c r="BE37" s="3">
        <v>0</v>
      </c>
      <c r="BF37" s="5" t="s">
        <v>67</v>
      </c>
      <c r="BG37" s="5" t="s">
        <v>97</v>
      </c>
      <c r="BH37" s="5" t="s">
        <v>398</v>
      </c>
      <c r="BI37" s="5" t="s">
        <v>67</v>
      </c>
      <c r="BJ37" s="5" t="s">
        <v>399</v>
      </c>
      <c r="BK37" s="5" t="s">
        <v>67</v>
      </c>
      <c r="BL37" s="5" t="s">
        <v>67</v>
      </c>
      <c r="BM37" s="5" t="s">
        <v>67</v>
      </c>
      <c r="BN37" s="5" t="s">
        <v>67</v>
      </c>
      <c r="BO37" s="5" t="s">
        <v>67</v>
      </c>
    </row>
    <row r="38" spans="1:67" ht="135" x14ac:dyDescent="0.25">
      <c r="A38" s="3">
        <v>175</v>
      </c>
      <c r="B38" s="4">
        <v>37858.709664351903</v>
      </c>
      <c r="C38" s="3">
        <v>0</v>
      </c>
      <c r="D38" s="3">
        <v>174</v>
      </c>
      <c r="E38" s="3">
        <v>0</v>
      </c>
      <c r="F38" s="3">
        <v>269</v>
      </c>
      <c r="G38" s="3">
        <v>269</v>
      </c>
      <c r="H38" s="5" t="s">
        <v>67</v>
      </c>
      <c r="I38" s="3" t="b">
        <v>0</v>
      </c>
      <c r="J38" s="3" t="b">
        <v>0</v>
      </c>
      <c r="K38" s="3" t="b">
        <v>0</v>
      </c>
      <c r="L38" s="3" t="b">
        <v>0</v>
      </c>
      <c r="M38" s="3" t="b">
        <v>0</v>
      </c>
      <c r="N38" s="3" t="b">
        <v>0</v>
      </c>
      <c r="O38" s="3" t="b">
        <v>0</v>
      </c>
      <c r="P38" s="3" t="b">
        <v>0</v>
      </c>
      <c r="Q38" s="3" t="b">
        <v>0</v>
      </c>
      <c r="R38" s="3" t="s">
        <v>67</v>
      </c>
      <c r="S38" s="5" t="s">
        <v>400</v>
      </c>
      <c r="T38" s="3" t="b">
        <v>0</v>
      </c>
      <c r="U38" s="3" t="b">
        <v>1</v>
      </c>
      <c r="V38" s="5" t="s">
        <v>67</v>
      </c>
      <c r="W38" s="5" t="s">
        <v>67</v>
      </c>
      <c r="X38" s="3" t="b">
        <v>0</v>
      </c>
      <c r="Y38" s="3" t="b">
        <v>0</v>
      </c>
      <c r="Z38" s="3" t="b">
        <v>0</v>
      </c>
      <c r="AA38" s="3" t="b">
        <v>0</v>
      </c>
      <c r="AB38" s="5" t="s">
        <v>401</v>
      </c>
      <c r="AC38" s="5" t="s">
        <v>402</v>
      </c>
      <c r="AD38" s="5" t="s">
        <v>67</v>
      </c>
      <c r="AE38" s="5" t="s">
        <v>67</v>
      </c>
      <c r="AF38" s="5" t="s">
        <v>67</v>
      </c>
      <c r="AG38" s="5" t="s">
        <v>403</v>
      </c>
      <c r="AH38" s="5" t="s">
        <v>67</v>
      </c>
      <c r="AI38" s="5" t="s">
        <v>67</v>
      </c>
      <c r="AJ38" s="5" t="s">
        <v>67</v>
      </c>
      <c r="AK38" s="5" t="s">
        <v>67</v>
      </c>
      <c r="AL38" s="5" t="s">
        <v>67</v>
      </c>
      <c r="AM38" s="5" t="s">
        <v>67</v>
      </c>
      <c r="AN38" s="5" t="s">
        <v>67</v>
      </c>
      <c r="AO38" s="5" t="s">
        <v>67</v>
      </c>
      <c r="AP38" s="5" t="s">
        <v>67</v>
      </c>
      <c r="AQ38" s="5" t="s">
        <v>67</v>
      </c>
      <c r="AR38" s="5" t="s">
        <v>67</v>
      </c>
      <c r="AW38" s="5" t="s">
        <v>67</v>
      </c>
      <c r="AX38" s="5" t="s">
        <v>67</v>
      </c>
      <c r="AY38" s="5" t="s">
        <v>67</v>
      </c>
      <c r="AZ38" s="5" t="s">
        <v>67</v>
      </c>
      <c r="BA38" s="3">
        <v>107</v>
      </c>
      <c r="BB38" s="3">
        <v>0</v>
      </c>
      <c r="BC38" s="3">
        <v>0</v>
      </c>
      <c r="BD38" s="3">
        <v>0</v>
      </c>
      <c r="BE38" s="3">
        <v>0</v>
      </c>
      <c r="BF38" s="5" t="s">
        <v>67</v>
      </c>
      <c r="BG38" s="5" t="s">
        <v>97</v>
      </c>
      <c r="BH38" s="5" t="s">
        <v>126</v>
      </c>
      <c r="BI38" s="5" t="s">
        <v>67</v>
      </c>
      <c r="BJ38" s="5" t="s">
        <v>404</v>
      </c>
      <c r="BK38" s="5" t="s">
        <v>67</v>
      </c>
      <c r="BL38" s="5" t="s">
        <v>67</v>
      </c>
      <c r="BM38" s="5" t="s">
        <v>67</v>
      </c>
      <c r="BN38" s="5" t="s">
        <v>67</v>
      </c>
      <c r="BO38" s="5" t="s">
        <v>67</v>
      </c>
    </row>
    <row r="39" spans="1:67" ht="255" x14ac:dyDescent="0.25">
      <c r="A39" s="3">
        <v>177</v>
      </c>
      <c r="B39" s="4">
        <v>42888</v>
      </c>
      <c r="D39" s="3">
        <v>2210</v>
      </c>
      <c r="E39" s="3">
        <v>-1226171744</v>
      </c>
      <c r="F39" s="3">
        <v>2146189103</v>
      </c>
      <c r="G39" s="3">
        <v>-1226171744</v>
      </c>
      <c r="H39" s="5" t="s">
        <v>405</v>
      </c>
      <c r="I39" s="3" t="b">
        <v>0</v>
      </c>
      <c r="J39" s="3" t="b">
        <v>1</v>
      </c>
      <c r="K39" s="3" t="b">
        <v>0</v>
      </c>
      <c r="L39" s="3" t="b">
        <v>1</v>
      </c>
      <c r="M39" s="3" t="b">
        <v>0</v>
      </c>
      <c r="N39" s="3" t="b">
        <v>0</v>
      </c>
      <c r="O39" s="3" t="b">
        <v>0</v>
      </c>
      <c r="P39" s="3" t="b">
        <v>1</v>
      </c>
      <c r="Q39" s="3" t="b">
        <v>1</v>
      </c>
      <c r="R39" s="3" t="s">
        <v>406</v>
      </c>
      <c r="S39" s="5" t="s">
        <v>407</v>
      </c>
      <c r="T39" s="3" t="b">
        <v>0</v>
      </c>
      <c r="U39" s="3" t="b">
        <v>1</v>
      </c>
      <c r="V39" s="5" t="s">
        <v>408</v>
      </c>
      <c r="W39" s="5" t="s">
        <v>409</v>
      </c>
      <c r="X39" s="3" t="b">
        <v>0</v>
      </c>
      <c r="Y39" s="3" t="b">
        <v>0</v>
      </c>
      <c r="Z39" s="3" t="b">
        <v>0</v>
      </c>
      <c r="AA39" s="3" t="b">
        <v>1</v>
      </c>
      <c r="AB39" s="5" t="s">
        <v>373</v>
      </c>
      <c r="AC39" s="5" t="s">
        <v>410</v>
      </c>
      <c r="AD39" s="5" t="s">
        <v>411</v>
      </c>
      <c r="AE39" s="5" t="s">
        <v>67</v>
      </c>
      <c r="AF39" s="5" t="s">
        <v>412</v>
      </c>
      <c r="AG39" s="5" t="s">
        <v>67</v>
      </c>
      <c r="AH39" s="5" t="s">
        <v>413</v>
      </c>
      <c r="AI39" s="5" t="s">
        <v>414</v>
      </c>
      <c r="AJ39" s="5" t="s">
        <v>415</v>
      </c>
      <c r="AK39" s="5" t="s">
        <v>416</v>
      </c>
      <c r="AL39" s="5" t="s">
        <v>417</v>
      </c>
      <c r="AM39" s="5" t="s">
        <v>418</v>
      </c>
      <c r="AN39" s="5" t="s">
        <v>67</v>
      </c>
      <c r="AO39" s="5" t="s">
        <v>419</v>
      </c>
      <c r="AP39" s="5" t="s">
        <v>420</v>
      </c>
      <c r="AQ39" s="5" t="s">
        <v>67</v>
      </c>
      <c r="AR39" s="5" t="s">
        <v>67</v>
      </c>
      <c r="AW39" s="5" t="s">
        <v>67</v>
      </c>
      <c r="AX39" s="5" t="s">
        <v>67</v>
      </c>
      <c r="AY39" s="5" t="s">
        <v>67</v>
      </c>
      <c r="AZ39" s="5" t="s">
        <v>67</v>
      </c>
      <c r="BA39" s="3">
        <v>107</v>
      </c>
      <c r="BB39" s="3">
        <v>2146189422</v>
      </c>
      <c r="BC39" s="3">
        <v>0</v>
      </c>
      <c r="BD39" s="3">
        <v>2146188971</v>
      </c>
      <c r="BE39" s="3">
        <v>2146188971</v>
      </c>
      <c r="BF39" s="5" t="s">
        <v>421</v>
      </c>
      <c r="BG39" s="5" t="s">
        <v>422</v>
      </c>
      <c r="BH39" s="5" t="s">
        <v>423</v>
      </c>
      <c r="BI39" s="5" t="s">
        <v>74</v>
      </c>
      <c r="BJ39" s="5" t="s">
        <v>424</v>
      </c>
      <c r="BK39" s="5" t="s">
        <v>425</v>
      </c>
      <c r="BL39" s="5" t="s">
        <v>426</v>
      </c>
      <c r="BM39" s="5" t="s">
        <v>427</v>
      </c>
      <c r="BN39" s="5" t="s">
        <v>428</v>
      </c>
      <c r="BO39" s="5" t="s">
        <v>429</v>
      </c>
    </row>
    <row r="40" spans="1:67" ht="195" x14ac:dyDescent="0.25">
      <c r="A40" s="3">
        <v>179</v>
      </c>
      <c r="B40" s="4">
        <v>38104.5675694444</v>
      </c>
      <c r="C40" s="3">
        <v>0</v>
      </c>
      <c r="D40" s="3">
        <v>0</v>
      </c>
      <c r="E40" s="3">
        <v>0</v>
      </c>
      <c r="F40" s="3">
        <v>0</v>
      </c>
      <c r="G40" s="3">
        <v>0</v>
      </c>
      <c r="H40" s="5" t="s">
        <v>67</v>
      </c>
      <c r="I40" s="3" t="b">
        <v>0</v>
      </c>
      <c r="J40" s="3" t="b">
        <v>0</v>
      </c>
      <c r="K40" s="3" t="b">
        <v>0</v>
      </c>
      <c r="L40" s="3" t="b">
        <v>0</v>
      </c>
      <c r="M40" s="3" t="b">
        <v>0</v>
      </c>
      <c r="N40" s="3" t="b">
        <v>0</v>
      </c>
      <c r="O40" s="3" t="b">
        <v>0</v>
      </c>
      <c r="P40" s="3" t="b">
        <v>0</v>
      </c>
      <c r="Q40" s="3" t="b">
        <v>0</v>
      </c>
      <c r="R40" s="3" t="s">
        <v>67</v>
      </c>
      <c r="S40" s="5" t="s">
        <v>430</v>
      </c>
      <c r="T40" s="3" t="b">
        <v>0</v>
      </c>
      <c r="U40" s="3" t="b">
        <v>1</v>
      </c>
      <c r="V40" s="5" t="s">
        <v>67</v>
      </c>
      <c r="W40" s="5" t="s">
        <v>67</v>
      </c>
      <c r="X40" s="3" t="b">
        <v>0</v>
      </c>
      <c r="Y40" s="3" t="b">
        <v>0</v>
      </c>
      <c r="Z40" s="3" t="b">
        <v>0</v>
      </c>
      <c r="AA40" s="3" t="b">
        <v>0</v>
      </c>
      <c r="AB40" s="5" t="s">
        <v>431</v>
      </c>
      <c r="AC40" s="5" t="s">
        <v>432</v>
      </c>
      <c r="AD40" s="5" t="s">
        <v>67</v>
      </c>
      <c r="AE40" s="5" t="s">
        <v>67</v>
      </c>
      <c r="AF40" s="5" t="s">
        <v>67</v>
      </c>
      <c r="AG40" s="5" t="s">
        <v>67</v>
      </c>
      <c r="AH40" s="5" t="s">
        <v>67</v>
      </c>
      <c r="AI40" s="5" t="s">
        <v>67</v>
      </c>
      <c r="AJ40" s="5" t="s">
        <v>67</v>
      </c>
      <c r="AK40" s="5" t="s">
        <v>67</v>
      </c>
      <c r="AL40" s="5" t="s">
        <v>67</v>
      </c>
      <c r="AM40" s="5" t="s">
        <v>67</v>
      </c>
      <c r="AN40" s="5" t="s">
        <v>67</v>
      </c>
      <c r="AO40" s="5" t="s">
        <v>67</v>
      </c>
      <c r="AP40" s="5" t="s">
        <v>67</v>
      </c>
      <c r="AQ40" s="5" t="s">
        <v>67</v>
      </c>
      <c r="AR40" s="5" t="s">
        <v>67</v>
      </c>
      <c r="AW40" s="5" t="s">
        <v>67</v>
      </c>
      <c r="AX40" s="5" t="s">
        <v>67</v>
      </c>
      <c r="AY40" s="5" t="s">
        <v>67</v>
      </c>
      <c r="AZ40" s="5" t="s">
        <v>67</v>
      </c>
      <c r="BA40" s="3">
        <v>0</v>
      </c>
      <c r="BB40" s="3">
        <v>0</v>
      </c>
      <c r="BC40" s="3">
        <v>0</v>
      </c>
      <c r="BD40" s="3">
        <v>0</v>
      </c>
      <c r="BE40" s="3">
        <v>0</v>
      </c>
      <c r="BF40" s="5" t="s">
        <v>67</v>
      </c>
      <c r="BG40" s="5" t="s">
        <v>433</v>
      </c>
      <c r="BH40" s="5" t="s">
        <v>434</v>
      </c>
      <c r="BI40" s="5" t="s">
        <v>67</v>
      </c>
      <c r="BJ40" s="5" t="s">
        <v>121</v>
      </c>
      <c r="BK40" s="5" t="s">
        <v>67</v>
      </c>
      <c r="BL40" s="5" t="s">
        <v>67</v>
      </c>
      <c r="BM40" s="5" t="s">
        <v>67</v>
      </c>
      <c r="BN40" s="5" t="s">
        <v>67</v>
      </c>
      <c r="BO40" s="5" t="s">
        <v>67</v>
      </c>
    </row>
    <row r="41" spans="1:67" ht="150" x14ac:dyDescent="0.25">
      <c r="A41" s="3">
        <v>182</v>
      </c>
      <c r="B41" s="4">
        <v>42632</v>
      </c>
      <c r="C41" s="3">
        <v>131</v>
      </c>
      <c r="D41" s="3">
        <v>0</v>
      </c>
      <c r="E41" s="3">
        <v>0</v>
      </c>
      <c r="F41" s="3">
        <v>269</v>
      </c>
      <c r="H41" s="5" t="s">
        <v>67</v>
      </c>
      <c r="I41" s="3" t="b">
        <v>0</v>
      </c>
      <c r="J41" s="3" t="b">
        <v>1</v>
      </c>
      <c r="K41" s="3" t="b">
        <v>1</v>
      </c>
      <c r="L41" s="3" t="b">
        <v>0</v>
      </c>
      <c r="M41" s="3" t="b">
        <v>0</v>
      </c>
      <c r="N41" s="3" t="b">
        <v>1</v>
      </c>
      <c r="O41" s="3" t="b">
        <v>0</v>
      </c>
      <c r="P41" s="3" t="b">
        <v>1</v>
      </c>
      <c r="Q41" s="3" t="b">
        <v>1</v>
      </c>
      <c r="R41" s="3" t="s">
        <v>435</v>
      </c>
      <c r="S41" s="5" t="s">
        <v>436</v>
      </c>
      <c r="T41" s="3" t="b">
        <v>0</v>
      </c>
      <c r="U41" s="3" t="b">
        <v>1</v>
      </c>
      <c r="V41" s="5" t="s">
        <v>437</v>
      </c>
      <c r="W41" s="5" t="s">
        <v>67</v>
      </c>
      <c r="X41" s="3" t="b">
        <v>0</v>
      </c>
      <c r="Y41" s="3" t="b">
        <v>0</v>
      </c>
      <c r="Z41" s="3" t="b">
        <v>0</v>
      </c>
      <c r="AA41" s="3" t="b">
        <v>0</v>
      </c>
      <c r="AB41" s="5" t="s">
        <v>438</v>
      </c>
      <c r="AC41" s="5" t="s">
        <v>67</v>
      </c>
      <c r="AD41" s="5" t="s">
        <v>67</v>
      </c>
      <c r="AE41" s="5" t="s">
        <v>67</v>
      </c>
      <c r="AF41" s="5" t="s">
        <v>67</v>
      </c>
      <c r="AG41" s="5" t="s">
        <v>439</v>
      </c>
      <c r="AH41" s="5" t="s">
        <v>440</v>
      </c>
      <c r="AI41" s="5" t="s">
        <v>67</v>
      </c>
      <c r="AJ41" s="5" t="s">
        <v>67</v>
      </c>
      <c r="AK41" s="5" t="s">
        <v>441</v>
      </c>
      <c r="AL41" s="5" t="s">
        <v>442</v>
      </c>
      <c r="AM41" s="5" t="s">
        <v>67</v>
      </c>
      <c r="AN41" s="5" t="s">
        <v>67</v>
      </c>
      <c r="AO41" s="5" t="s">
        <v>67</v>
      </c>
      <c r="AP41" s="5" t="s">
        <v>67</v>
      </c>
      <c r="AQ41" s="5" t="s">
        <v>67</v>
      </c>
      <c r="AR41" s="5" t="s">
        <v>67</v>
      </c>
      <c r="AW41" s="5" t="s">
        <v>67</v>
      </c>
      <c r="AX41" s="5" t="s">
        <v>67</v>
      </c>
      <c r="AY41" s="5" t="s">
        <v>67</v>
      </c>
      <c r="AZ41" s="5" t="s">
        <v>67</v>
      </c>
      <c r="BA41" s="3">
        <v>107</v>
      </c>
      <c r="BB41" s="3">
        <v>0</v>
      </c>
      <c r="BC41" s="3">
        <v>0</v>
      </c>
      <c r="BD41" s="3">
        <v>2146188975</v>
      </c>
      <c r="BE41" s="3">
        <v>2146188975</v>
      </c>
      <c r="BF41" s="5" t="s">
        <v>443</v>
      </c>
      <c r="BG41" s="5" t="s">
        <v>444</v>
      </c>
      <c r="BH41" s="5" t="s">
        <v>126</v>
      </c>
      <c r="BI41" s="5" t="s">
        <v>67</v>
      </c>
      <c r="BJ41" s="5" t="s">
        <v>445</v>
      </c>
      <c r="BK41" s="5" t="s">
        <v>446</v>
      </c>
      <c r="BL41" s="5" t="s">
        <v>447</v>
      </c>
      <c r="BM41" s="5" t="s">
        <v>67</v>
      </c>
      <c r="BN41" s="5" t="s">
        <v>448</v>
      </c>
      <c r="BO41" s="5" t="s">
        <v>67</v>
      </c>
    </row>
    <row r="42" spans="1:67" ht="360" x14ac:dyDescent="0.25">
      <c r="A42" s="3">
        <v>184</v>
      </c>
      <c r="B42" s="4">
        <v>37833.450798611098</v>
      </c>
      <c r="C42" s="3">
        <v>2210</v>
      </c>
      <c r="D42" s="3">
        <v>418487882</v>
      </c>
      <c r="F42" s="3">
        <v>269</v>
      </c>
      <c r="G42" s="3">
        <v>269</v>
      </c>
      <c r="H42" s="5" t="s">
        <v>67</v>
      </c>
      <c r="I42" s="3" t="b">
        <v>0</v>
      </c>
      <c r="J42" s="3" t="b">
        <v>0</v>
      </c>
      <c r="K42" s="3" t="b">
        <v>0</v>
      </c>
      <c r="L42" s="3" t="b">
        <v>0</v>
      </c>
      <c r="M42" s="3" t="b">
        <v>0</v>
      </c>
      <c r="N42" s="3" t="b">
        <v>0</v>
      </c>
      <c r="O42" s="3" t="b">
        <v>0</v>
      </c>
      <c r="P42" s="3" t="b">
        <v>0</v>
      </c>
      <c r="Q42" s="3" t="b">
        <v>0</v>
      </c>
      <c r="R42" s="3" t="s">
        <v>67</v>
      </c>
      <c r="S42" s="5" t="s">
        <v>449</v>
      </c>
      <c r="T42" s="3" t="b">
        <v>1</v>
      </c>
      <c r="U42" s="3" t="b">
        <v>1</v>
      </c>
      <c r="V42" s="5" t="s">
        <v>67</v>
      </c>
      <c r="W42" s="5" t="s">
        <v>67</v>
      </c>
      <c r="X42" s="3" t="b">
        <v>0</v>
      </c>
      <c r="Y42" s="3" t="b">
        <v>0</v>
      </c>
      <c r="Z42" s="3" t="b">
        <v>0</v>
      </c>
      <c r="AA42" s="3" t="b">
        <v>0</v>
      </c>
      <c r="AB42" s="5" t="s">
        <v>450</v>
      </c>
      <c r="AC42" s="5" t="s">
        <v>451</v>
      </c>
      <c r="AD42" s="5" t="s">
        <v>452</v>
      </c>
      <c r="AE42" s="5" t="s">
        <v>67</v>
      </c>
      <c r="AF42" s="5" t="s">
        <v>453</v>
      </c>
      <c r="AG42" s="5" t="s">
        <v>454</v>
      </c>
      <c r="AH42" s="5" t="s">
        <v>67</v>
      </c>
      <c r="AI42" s="5" t="s">
        <v>67</v>
      </c>
      <c r="AJ42" s="5" t="s">
        <v>67</v>
      </c>
      <c r="AK42" s="5" t="s">
        <v>67</v>
      </c>
      <c r="AL42" s="5" t="s">
        <v>67</v>
      </c>
      <c r="AM42" s="5" t="s">
        <v>67</v>
      </c>
      <c r="AN42" s="5" t="s">
        <v>67</v>
      </c>
      <c r="AO42" s="5" t="s">
        <v>67</v>
      </c>
      <c r="AP42" s="5" t="s">
        <v>67</v>
      </c>
      <c r="AQ42" s="5" t="s">
        <v>67</v>
      </c>
      <c r="AR42" s="5" t="s">
        <v>67</v>
      </c>
      <c r="AW42" s="5" t="s">
        <v>67</v>
      </c>
      <c r="AX42" s="5" t="s">
        <v>67</v>
      </c>
      <c r="AY42" s="5" t="s">
        <v>67</v>
      </c>
      <c r="AZ42" s="5" t="s">
        <v>67</v>
      </c>
      <c r="BA42" s="3">
        <v>107</v>
      </c>
      <c r="BB42" s="3">
        <v>0</v>
      </c>
      <c r="BC42" s="3">
        <v>0</v>
      </c>
      <c r="BD42" s="3">
        <v>0</v>
      </c>
      <c r="BF42" s="5" t="s">
        <v>67</v>
      </c>
      <c r="BG42" s="5" t="s">
        <v>97</v>
      </c>
      <c r="BH42" s="5" t="s">
        <v>126</v>
      </c>
      <c r="BI42" s="5" t="s">
        <v>67</v>
      </c>
      <c r="BJ42" s="5" t="s">
        <v>455</v>
      </c>
      <c r="BK42" s="5" t="s">
        <v>67</v>
      </c>
      <c r="BL42" s="5" t="s">
        <v>67</v>
      </c>
      <c r="BM42" s="5" t="s">
        <v>456</v>
      </c>
      <c r="BN42" s="5" t="s">
        <v>67</v>
      </c>
      <c r="BO42" s="5" t="s">
        <v>67</v>
      </c>
    </row>
    <row r="43" spans="1:67" x14ac:dyDescent="0.25">
      <c r="A43" s="3">
        <v>252</v>
      </c>
      <c r="B43" s="4">
        <v>42327</v>
      </c>
      <c r="C43" s="3">
        <v>0</v>
      </c>
      <c r="D43" s="3">
        <v>0</v>
      </c>
      <c r="E43" s="3">
        <v>0</v>
      </c>
      <c r="G43" s="3">
        <v>0</v>
      </c>
      <c r="H43" s="5" t="s">
        <v>67</v>
      </c>
      <c r="I43" s="3" t="b">
        <v>0</v>
      </c>
      <c r="J43" s="3" t="b">
        <v>0</v>
      </c>
      <c r="K43" s="3" t="b">
        <v>0</v>
      </c>
      <c r="L43" s="3" t="b">
        <v>0</v>
      </c>
      <c r="M43" s="3" t="b">
        <v>0</v>
      </c>
      <c r="N43" s="3" t="b">
        <v>0</v>
      </c>
      <c r="O43" s="3" t="b">
        <v>0</v>
      </c>
      <c r="P43" s="3" t="b">
        <v>0</v>
      </c>
      <c r="Q43" s="3" t="b">
        <v>0</v>
      </c>
      <c r="R43" s="3" t="s">
        <v>67</v>
      </c>
      <c r="S43" s="5" t="s">
        <v>67</v>
      </c>
      <c r="T43" s="3" t="b">
        <v>0</v>
      </c>
      <c r="U43" s="3" t="b">
        <v>0</v>
      </c>
      <c r="V43" s="5" t="s">
        <v>67</v>
      </c>
      <c r="W43" s="5" t="s">
        <v>67</v>
      </c>
      <c r="X43" s="3" t="b">
        <v>0</v>
      </c>
      <c r="Y43" s="3" t="b">
        <v>0</v>
      </c>
      <c r="Z43" s="3" t="b">
        <v>0</v>
      </c>
      <c r="AA43" s="3" t="b">
        <v>0</v>
      </c>
      <c r="AB43" s="5" t="s">
        <v>67</v>
      </c>
      <c r="AC43" s="5" t="s">
        <v>67</v>
      </c>
      <c r="AD43" s="5" t="s">
        <v>67</v>
      </c>
      <c r="AE43" s="5" t="s">
        <v>67</v>
      </c>
      <c r="AF43" s="5" t="s">
        <v>67</v>
      </c>
      <c r="AG43" s="5" t="s">
        <v>67</v>
      </c>
      <c r="AH43" s="5" t="s">
        <v>67</v>
      </c>
      <c r="AI43" s="5" t="s">
        <v>67</v>
      </c>
      <c r="AJ43" s="5" t="s">
        <v>67</v>
      </c>
      <c r="AK43" s="5" t="s">
        <v>67</v>
      </c>
      <c r="AL43" s="5" t="s">
        <v>67</v>
      </c>
      <c r="AM43" s="5" t="s">
        <v>67</v>
      </c>
      <c r="AN43" s="5" t="s">
        <v>67</v>
      </c>
      <c r="AO43" s="5" t="s">
        <v>67</v>
      </c>
      <c r="AP43" s="5" t="s">
        <v>67</v>
      </c>
      <c r="AQ43" s="5" t="s">
        <v>67</v>
      </c>
      <c r="AR43" s="5" t="s">
        <v>67</v>
      </c>
      <c r="AW43" s="5" t="s">
        <v>67</v>
      </c>
      <c r="AX43" s="5" t="s">
        <v>67</v>
      </c>
      <c r="AY43" s="5" t="s">
        <v>67</v>
      </c>
      <c r="AZ43" s="5" t="s">
        <v>67</v>
      </c>
      <c r="BA43" s="3">
        <v>0</v>
      </c>
      <c r="BB43" s="3">
        <v>0</v>
      </c>
      <c r="BC43" s="3">
        <v>0</v>
      </c>
      <c r="BE43" s="3">
        <v>0</v>
      </c>
      <c r="BF43" s="5" t="s">
        <v>67</v>
      </c>
      <c r="BG43" s="5" t="s">
        <v>67</v>
      </c>
      <c r="BH43" s="5" t="s">
        <v>67</v>
      </c>
      <c r="BI43" s="5" t="s">
        <v>67</v>
      </c>
      <c r="BJ43" s="5" t="s">
        <v>67</v>
      </c>
      <c r="BK43" s="5" t="s">
        <v>67</v>
      </c>
      <c r="BL43" s="5" t="s">
        <v>67</v>
      </c>
      <c r="BM43" s="5" t="s">
        <v>67</v>
      </c>
      <c r="BN43" s="5" t="s">
        <v>67</v>
      </c>
      <c r="BO43" s="5" t="s">
        <v>67</v>
      </c>
    </row>
    <row r="44" spans="1:67" ht="375" x14ac:dyDescent="0.25">
      <c r="A44" s="3">
        <v>279</v>
      </c>
      <c r="B44" s="4">
        <v>37916.590381944399</v>
      </c>
      <c r="C44" s="3">
        <v>0</v>
      </c>
      <c r="D44" s="3">
        <v>0</v>
      </c>
      <c r="E44" s="3">
        <v>0</v>
      </c>
      <c r="F44" s="3">
        <v>0</v>
      </c>
      <c r="G44" s="3">
        <v>0</v>
      </c>
      <c r="H44" s="5" t="s">
        <v>67</v>
      </c>
      <c r="I44" s="3" t="b">
        <v>0</v>
      </c>
      <c r="J44" s="3" t="b">
        <v>0</v>
      </c>
      <c r="K44" s="3" t="b">
        <v>0</v>
      </c>
      <c r="L44" s="3" t="b">
        <v>0</v>
      </c>
      <c r="M44" s="3" t="b">
        <v>0</v>
      </c>
      <c r="N44" s="3" t="b">
        <v>0</v>
      </c>
      <c r="O44" s="3" t="b">
        <v>0</v>
      </c>
      <c r="P44" s="3" t="b">
        <v>0</v>
      </c>
      <c r="Q44" s="3" t="b">
        <v>0</v>
      </c>
      <c r="R44" s="3" t="s">
        <v>67</v>
      </c>
      <c r="S44" s="5" t="s">
        <v>457</v>
      </c>
      <c r="T44" s="3" t="b">
        <v>0</v>
      </c>
      <c r="U44" s="3" t="b">
        <v>0</v>
      </c>
      <c r="V44" s="5" t="s">
        <v>67</v>
      </c>
      <c r="W44" s="5" t="s">
        <v>67</v>
      </c>
      <c r="X44" s="3" t="b">
        <v>0</v>
      </c>
      <c r="Y44" s="3" t="b">
        <v>0</v>
      </c>
      <c r="Z44" s="3" t="b">
        <v>0</v>
      </c>
      <c r="AA44" s="3" t="b">
        <v>0</v>
      </c>
      <c r="AB44" s="5" t="s">
        <v>120</v>
      </c>
      <c r="AC44" s="5" t="s">
        <v>458</v>
      </c>
      <c r="AD44" s="5" t="s">
        <v>67</v>
      </c>
      <c r="AE44" s="5" t="s">
        <v>67</v>
      </c>
      <c r="AF44" s="5" t="s">
        <v>67</v>
      </c>
      <c r="AG44" s="5" t="s">
        <v>67</v>
      </c>
      <c r="AH44" s="5" t="s">
        <v>67</v>
      </c>
      <c r="AI44" s="5" t="s">
        <v>67</v>
      </c>
      <c r="AJ44" s="5" t="s">
        <v>67</v>
      </c>
      <c r="AK44" s="5" t="s">
        <v>67</v>
      </c>
      <c r="AL44" s="5" t="s">
        <v>67</v>
      </c>
      <c r="AM44" s="5" t="s">
        <v>67</v>
      </c>
      <c r="AN44" s="5" t="s">
        <v>67</v>
      </c>
      <c r="AO44" s="5" t="s">
        <v>67</v>
      </c>
      <c r="AP44" s="5" t="s">
        <v>67</v>
      </c>
      <c r="AQ44" s="5" t="s">
        <v>67</v>
      </c>
      <c r="AR44" s="5" t="s">
        <v>67</v>
      </c>
      <c r="AW44" s="5" t="s">
        <v>67</v>
      </c>
      <c r="AX44" s="5" t="s">
        <v>67</v>
      </c>
      <c r="AY44" s="5" t="s">
        <v>67</v>
      </c>
      <c r="AZ44" s="5" t="s">
        <v>67</v>
      </c>
      <c r="BA44" s="3">
        <v>0</v>
      </c>
      <c r="BB44" s="3">
        <v>0</v>
      </c>
      <c r="BC44" s="3">
        <v>0</v>
      </c>
      <c r="BD44" s="3">
        <v>0</v>
      </c>
      <c r="BE44" s="3">
        <v>0</v>
      </c>
      <c r="BF44" s="5" t="s">
        <v>67</v>
      </c>
      <c r="BG44" s="5" t="s">
        <v>459</v>
      </c>
      <c r="BH44" s="5" t="s">
        <v>460</v>
      </c>
      <c r="BI44" s="5" t="s">
        <v>67</v>
      </c>
      <c r="BJ44" s="5" t="s">
        <v>460</v>
      </c>
      <c r="BK44" s="5" t="s">
        <v>67</v>
      </c>
      <c r="BL44" s="5" t="s">
        <v>67</v>
      </c>
      <c r="BM44" s="5" t="s">
        <v>67</v>
      </c>
      <c r="BN44" s="5" t="s">
        <v>67</v>
      </c>
      <c r="BO44" s="5" t="s">
        <v>67</v>
      </c>
    </row>
    <row r="45" spans="1:67" ht="150" x14ac:dyDescent="0.25">
      <c r="A45" s="3">
        <v>280</v>
      </c>
      <c r="B45" s="4">
        <v>37846.614930555603</v>
      </c>
      <c r="C45" s="3">
        <v>2210</v>
      </c>
      <c r="D45" s="3">
        <v>1103</v>
      </c>
      <c r="E45" s="3">
        <v>0</v>
      </c>
      <c r="F45" s="3">
        <v>0</v>
      </c>
      <c r="G45" s="3">
        <v>0</v>
      </c>
      <c r="H45" s="5" t="s">
        <v>67</v>
      </c>
      <c r="I45" s="3" t="b">
        <v>0</v>
      </c>
      <c r="J45" s="3" t="b">
        <v>0</v>
      </c>
      <c r="K45" s="3" t="b">
        <v>0</v>
      </c>
      <c r="L45" s="3" t="b">
        <v>0</v>
      </c>
      <c r="M45" s="3" t="b">
        <v>0</v>
      </c>
      <c r="N45" s="3" t="b">
        <v>0</v>
      </c>
      <c r="O45" s="3" t="b">
        <v>0</v>
      </c>
      <c r="P45" s="3" t="b">
        <v>0</v>
      </c>
      <c r="Q45" s="3" t="b">
        <v>0</v>
      </c>
      <c r="R45" s="3" t="s">
        <v>67</v>
      </c>
      <c r="S45" s="5" t="s">
        <v>461</v>
      </c>
      <c r="T45" s="3" t="b">
        <v>0</v>
      </c>
      <c r="U45" s="3" t="b">
        <v>0</v>
      </c>
      <c r="V45" s="5" t="s">
        <v>67</v>
      </c>
      <c r="W45" s="5" t="s">
        <v>67</v>
      </c>
      <c r="X45" s="3" t="b">
        <v>0</v>
      </c>
      <c r="Y45" s="3" t="b">
        <v>0</v>
      </c>
      <c r="Z45" s="3" t="b">
        <v>0</v>
      </c>
      <c r="AA45" s="3" t="b">
        <v>0</v>
      </c>
      <c r="AB45" s="5" t="s">
        <v>462</v>
      </c>
      <c r="AC45" s="5" t="s">
        <v>463</v>
      </c>
      <c r="AD45" s="5" t="s">
        <v>67</v>
      </c>
      <c r="AE45" s="5" t="s">
        <v>67</v>
      </c>
      <c r="AF45" s="5" t="s">
        <v>67</v>
      </c>
      <c r="AG45" s="5" t="s">
        <v>67</v>
      </c>
      <c r="AH45" s="5" t="s">
        <v>67</v>
      </c>
      <c r="AI45" s="5" t="s">
        <v>67</v>
      </c>
      <c r="AJ45" s="5" t="s">
        <v>67</v>
      </c>
      <c r="AK45" s="5" t="s">
        <v>67</v>
      </c>
      <c r="AL45" s="5" t="s">
        <v>67</v>
      </c>
      <c r="AM45" s="5" t="s">
        <v>67</v>
      </c>
      <c r="AN45" s="5" t="s">
        <v>67</v>
      </c>
      <c r="AO45" s="5" t="s">
        <v>67</v>
      </c>
      <c r="AP45" s="5" t="s">
        <v>67</v>
      </c>
      <c r="AQ45" s="5" t="s">
        <v>67</v>
      </c>
      <c r="AR45" s="5" t="s">
        <v>67</v>
      </c>
      <c r="AW45" s="5" t="s">
        <v>67</v>
      </c>
      <c r="AX45" s="5" t="s">
        <v>67</v>
      </c>
      <c r="AY45" s="5" t="s">
        <v>67</v>
      </c>
      <c r="AZ45" s="5" t="s">
        <v>67</v>
      </c>
      <c r="BB45" s="3">
        <v>0</v>
      </c>
      <c r="BC45" s="3">
        <v>0</v>
      </c>
      <c r="BD45" s="3">
        <v>1533</v>
      </c>
      <c r="BE45" s="3">
        <v>1533</v>
      </c>
      <c r="BF45" s="5" t="s">
        <v>67</v>
      </c>
      <c r="BG45" s="5" t="s">
        <v>464</v>
      </c>
      <c r="BH45" s="5" t="s">
        <v>465</v>
      </c>
      <c r="BI45" s="5" t="s">
        <v>67</v>
      </c>
      <c r="BJ45" s="5" t="s">
        <v>466</v>
      </c>
      <c r="BK45" s="5" t="s">
        <v>67</v>
      </c>
      <c r="BL45" s="5" t="s">
        <v>67</v>
      </c>
      <c r="BM45" s="5" t="s">
        <v>67</v>
      </c>
      <c r="BN45" s="5" t="s">
        <v>67</v>
      </c>
      <c r="BO45" s="5" t="s">
        <v>67</v>
      </c>
    </row>
    <row r="46" spans="1:67" ht="225" x14ac:dyDescent="0.25">
      <c r="A46" s="3">
        <v>281</v>
      </c>
      <c r="B46" s="4">
        <v>42482</v>
      </c>
      <c r="C46" s="3">
        <v>280</v>
      </c>
      <c r="D46" s="3">
        <v>1103</v>
      </c>
      <c r="E46" s="3">
        <v>1192527076</v>
      </c>
      <c r="F46" s="3">
        <v>1465</v>
      </c>
      <c r="G46" s="3">
        <v>0</v>
      </c>
      <c r="H46" s="5" t="s">
        <v>67</v>
      </c>
      <c r="I46" s="3" t="b">
        <v>0</v>
      </c>
      <c r="J46" s="3" t="b">
        <v>1</v>
      </c>
      <c r="K46" s="3" t="b">
        <v>0</v>
      </c>
      <c r="L46" s="3" t="b">
        <v>0</v>
      </c>
      <c r="M46" s="3" t="b">
        <v>1</v>
      </c>
      <c r="N46" s="3" t="b">
        <v>0</v>
      </c>
      <c r="O46" s="3" t="b">
        <v>0</v>
      </c>
      <c r="P46" s="3" t="b">
        <v>0</v>
      </c>
      <c r="Q46" s="3" t="b">
        <v>0</v>
      </c>
      <c r="R46" s="3" t="s">
        <v>67</v>
      </c>
      <c r="S46" s="5" t="s">
        <v>467</v>
      </c>
      <c r="T46" s="3" t="b">
        <v>0</v>
      </c>
      <c r="U46" s="3" t="b">
        <v>1</v>
      </c>
      <c r="V46" s="5" t="s">
        <v>67</v>
      </c>
      <c r="W46" s="5" t="s">
        <v>67</v>
      </c>
      <c r="X46" s="3" t="b">
        <v>0</v>
      </c>
      <c r="Y46" s="3" t="b">
        <v>0</v>
      </c>
      <c r="Z46" s="3" t="b">
        <v>0</v>
      </c>
      <c r="AA46" s="3" t="b">
        <v>0</v>
      </c>
      <c r="AB46" s="5" t="s">
        <v>468</v>
      </c>
      <c r="AC46" s="5" t="s">
        <v>469</v>
      </c>
      <c r="AD46" s="5" t="s">
        <v>67</v>
      </c>
      <c r="AE46" s="5" t="s">
        <v>67</v>
      </c>
      <c r="AF46" s="5" t="s">
        <v>67</v>
      </c>
      <c r="AG46" s="5" t="s">
        <v>67</v>
      </c>
      <c r="AH46" s="5" t="s">
        <v>470</v>
      </c>
      <c r="AI46" s="5" t="s">
        <v>67</v>
      </c>
      <c r="AJ46" s="5" t="s">
        <v>471</v>
      </c>
      <c r="AK46" s="5" t="s">
        <v>67</v>
      </c>
      <c r="AL46" s="5" t="s">
        <v>67</v>
      </c>
      <c r="AM46" s="5" t="s">
        <v>67</v>
      </c>
      <c r="AN46" s="5" t="s">
        <v>472</v>
      </c>
      <c r="AO46" s="5" t="s">
        <v>473</v>
      </c>
      <c r="AP46" s="5" t="s">
        <v>67</v>
      </c>
      <c r="AQ46" s="5" t="s">
        <v>67</v>
      </c>
      <c r="AR46" s="5" t="s">
        <v>67</v>
      </c>
      <c r="AW46" s="5" t="s">
        <v>67</v>
      </c>
      <c r="AX46" s="5" t="s">
        <v>67</v>
      </c>
      <c r="AY46" s="5" t="s">
        <v>67</v>
      </c>
      <c r="AZ46" s="5" t="s">
        <v>67</v>
      </c>
      <c r="BA46" s="3">
        <v>2146188980</v>
      </c>
      <c r="BB46" s="3">
        <v>0</v>
      </c>
      <c r="BC46" s="3">
        <v>0</v>
      </c>
      <c r="BD46" s="3">
        <v>2146188981</v>
      </c>
      <c r="BE46" s="3">
        <v>2146188982</v>
      </c>
      <c r="BF46" s="5" t="s">
        <v>474</v>
      </c>
      <c r="BG46" s="5" t="s">
        <v>464</v>
      </c>
      <c r="BH46" s="5" t="s">
        <v>475</v>
      </c>
      <c r="BI46" s="5" t="s">
        <v>74</v>
      </c>
      <c r="BJ46" s="5" t="s">
        <v>476</v>
      </c>
      <c r="BK46" s="5" t="s">
        <v>477</v>
      </c>
      <c r="BL46" s="5" t="s">
        <v>478</v>
      </c>
      <c r="BM46" s="5" t="s">
        <v>67</v>
      </c>
      <c r="BN46" s="5" t="s">
        <v>67</v>
      </c>
      <c r="BO46" s="5" t="s">
        <v>67</v>
      </c>
    </row>
    <row r="47" spans="1:67" ht="225" x14ac:dyDescent="0.25">
      <c r="A47" s="3">
        <v>283</v>
      </c>
      <c r="B47" s="4">
        <v>37847.462986111103</v>
      </c>
      <c r="C47" s="3">
        <v>0</v>
      </c>
      <c r="D47" s="3">
        <v>0</v>
      </c>
      <c r="E47" s="3">
        <v>0</v>
      </c>
      <c r="F47" s="3">
        <v>0</v>
      </c>
      <c r="G47" s="3">
        <v>0</v>
      </c>
      <c r="H47" s="5" t="s">
        <v>67</v>
      </c>
      <c r="I47" s="3" t="b">
        <v>0</v>
      </c>
      <c r="J47" s="3" t="b">
        <v>0</v>
      </c>
      <c r="K47" s="3" t="b">
        <v>0</v>
      </c>
      <c r="L47" s="3" t="b">
        <v>0</v>
      </c>
      <c r="M47" s="3" t="b">
        <v>0</v>
      </c>
      <c r="N47" s="3" t="b">
        <v>0</v>
      </c>
      <c r="O47" s="3" t="b">
        <v>0</v>
      </c>
      <c r="P47" s="3" t="b">
        <v>0</v>
      </c>
      <c r="Q47" s="3" t="b">
        <v>0</v>
      </c>
      <c r="R47" s="3" t="s">
        <v>67</v>
      </c>
      <c r="S47" s="5" t="s">
        <v>479</v>
      </c>
      <c r="T47" s="3" t="b">
        <v>0</v>
      </c>
      <c r="U47" s="3" t="b">
        <v>1</v>
      </c>
      <c r="V47" s="5" t="s">
        <v>67</v>
      </c>
      <c r="W47" s="5" t="s">
        <v>67</v>
      </c>
      <c r="X47" s="3" t="b">
        <v>0</v>
      </c>
      <c r="Y47" s="3" t="b">
        <v>0</v>
      </c>
      <c r="Z47" s="3" t="b">
        <v>0</v>
      </c>
      <c r="AA47" s="3" t="b">
        <v>0</v>
      </c>
      <c r="AB47" s="5" t="s">
        <v>480</v>
      </c>
      <c r="AC47" s="5" t="s">
        <v>481</v>
      </c>
      <c r="AD47" s="5" t="s">
        <v>67</v>
      </c>
      <c r="AE47" s="5" t="s">
        <v>67</v>
      </c>
      <c r="AF47" s="5" t="s">
        <v>67</v>
      </c>
      <c r="AG47" s="5" t="s">
        <v>482</v>
      </c>
      <c r="AH47" s="5" t="s">
        <v>67</v>
      </c>
      <c r="AI47" s="5" t="s">
        <v>67</v>
      </c>
      <c r="AJ47" s="5" t="s">
        <v>67</v>
      </c>
      <c r="AK47" s="5" t="s">
        <v>67</v>
      </c>
      <c r="AL47" s="5" t="s">
        <v>67</v>
      </c>
      <c r="AM47" s="5" t="s">
        <v>67</v>
      </c>
      <c r="AN47" s="5" t="s">
        <v>67</v>
      </c>
      <c r="AO47" s="5" t="s">
        <v>67</v>
      </c>
      <c r="AP47" s="5" t="s">
        <v>67</v>
      </c>
      <c r="AQ47" s="5" t="s">
        <v>67</v>
      </c>
      <c r="AR47" s="5" t="s">
        <v>67</v>
      </c>
      <c r="AW47" s="5" t="s">
        <v>67</v>
      </c>
      <c r="AX47" s="5" t="s">
        <v>67</v>
      </c>
      <c r="AY47" s="5" t="s">
        <v>67</v>
      </c>
      <c r="AZ47" s="5" t="s">
        <v>67</v>
      </c>
      <c r="BA47" s="3">
        <v>2151</v>
      </c>
      <c r="BB47" s="3">
        <v>107</v>
      </c>
      <c r="BC47" s="3">
        <v>0</v>
      </c>
      <c r="BE47" s="3">
        <v>0</v>
      </c>
      <c r="BF47" s="5" t="s">
        <v>67</v>
      </c>
      <c r="BG47" s="5" t="s">
        <v>483</v>
      </c>
      <c r="BH47" s="5" t="s">
        <v>484</v>
      </c>
      <c r="BI47" s="5" t="s">
        <v>67</v>
      </c>
      <c r="BJ47" s="5" t="s">
        <v>485</v>
      </c>
      <c r="BK47" s="5" t="s">
        <v>67</v>
      </c>
      <c r="BL47" s="5" t="s">
        <v>67</v>
      </c>
      <c r="BM47" s="5" t="s">
        <v>67</v>
      </c>
      <c r="BN47" s="5" t="s">
        <v>67</v>
      </c>
      <c r="BO47" s="5" t="s">
        <v>67</v>
      </c>
    </row>
    <row r="48" spans="1:67" ht="210" x14ac:dyDescent="0.25">
      <c r="A48" s="3">
        <v>286</v>
      </c>
      <c r="B48" s="4">
        <v>37847.417013888902</v>
      </c>
      <c r="C48" s="3">
        <v>145</v>
      </c>
      <c r="D48" s="3">
        <v>2210</v>
      </c>
      <c r="E48" s="3">
        <v>0</v>
      </c>
      <c r="F48" s="3">
        <v>0</v>
      </c>
      <c r="H48" s="5" t="s">
        <v>67</v>
      </c>
      <c r="I48" s="3" t="b">
        <v>0</v>
      </c>
      <c r="J48" s="3" t="b">
        <v>0</v>
      </c>
      <c r="K48" s="3" t="b">
        <v>0</v>
      </c>
      <c r="L48" s="3" t="b">
        <v>0</v>
      </c>
      <c r="M48" s="3" t="b">
        <v>0</v>
      </c>
      <c r="N48" s="3" t="b">
        <v>0</v>
      </c>
      <c r="O48" s="3" t="b">
        <v>0</v>
      </c>
      <c r="P48" s="3" t="b">
        <v>0</v>
      </c>
      <c r="Q48" s="3" t="b">
        <v>0</v>
      </c>
      <c r="R48" s="3" t="s">
        <v>67</v>
      </c>
      <c r="S48" s="5" t="s">
        <v>486</v>
      </c>
      <c r="T48" s="3" t="b">
        <v>0</v>
      </c>
      <c r="U48" s="3" t="b">
        <v>1</v>
      </c>
      <c r="V48" s="5" t="s">
        <v>67</v>
      </c>
      <c r="W48" s="5" t="s">
        <v>67</v>
      </c>
      <c r="X48" s="3" t="b">
        <v>0</v>
      </c>
      <c r="Y48" s="3" t="b">
        <v>0</v>
      </c>
      <c r="Z48" s="3" t="b">
        <v>0</v>
      </c>
      <c r="AA48" s="3" t="b">
        <v>0</v>
      </c>
      <c r="AB48" s="5" t="s">
        <v>431</v>
      </c>
      <c r="AC48" s="5" t="s">
        <v>487</v>
      </c>
      <c r="AD48" s="5" t="s">
        <v>67</v>
      </c>
      <c r="AE48" s="5" t="s">
        <v>67</v>
      </c>
      <c r="AF48" s="5" t="s">
        <v>67</v>
      </c>
      <c r="AG48" s="5" t="s">
        <v>67</v>
      </c>
      <c r="AH48" s="5" t="s">
        <v>67</v>
      </c>
      <c r="AI48" s="5" t="s">
        <v>67</v>
      </c>
      <c r="AJ48" s="5" t="s">
        <v>67</v>
      </c>
      <c r="AK48" s="5" t="s">
        <v>67</v>
      </c>
      <c r="AL48" s="5" t="s">
        <v>67</v>
      </c>
      <c r="AM48" s="5" t="s">
        <v>67</v>
      </c>
      <c r="AN48" s="5" t="s">
        <v>67</v>
      </c>
      <c r="AO48" s="5" t="s">
        <v>67</v>
      </c>
      <c r="AP48" s="5" t="s">
        <v>67</v>
      </c>
      <c r="AQ48" s="5" t="s">
        <v>67</v>
      </c>
      <c r="AR48" s="5" t="s">
        <v>67</v>
      </c>
      <c r="AW48" s="5" t="s">
        <v>67</v>
      </c>
      <c r="AX48" s="5" t="s">
        <v>67</v>
      </c>
      <c r="AY48" s="5" t="s">
        <v>67</v>
      </c>
      <c r="AZ48" s="5" t="s">
        <v>67</v>
      </c>
      <c r="BA48" s="3">
        <v>107</v>
      </c>
      <c r="BC48" s="3">
        <v>0</v>
      </c>
      <c r="BE48" s="3">
        <v>0</v>
      </c>
      <c r="BF48" s="5" t="s">
        <v>67</v>
      </c>
      <c r="BG48" s="5" t="s">
        <v>488</v>
      </c>
      <c r="BH48" s="5" t="s">
        <v>126</v>
      </c>
      <c r="BI48" s="5" t="s">
        <v>67</v>
      </c>
      <c r="BJ48" s="5" t="s">
        <v>489</v>
      </c>
      <c r="BK48" s="5" t="s">
        <v>67</v>
      </c>
      <c r="BL48" s="5" t="s">
        <v>67</v>
      </c>
      <c r="BM48" s="5" t="s">
        <v>67</v>
      </c>
      <c r="BN48" s="5" t="s">
        <v>67</v>
      </c>
      <c r="BO48" s="5" t="s">
        <v>67</v>
      </c>
    </row>
    <row r="49" spans="1:67" ht="315" x14ac:dyDescent="0.25">
      <c r="A49" s="3">
        <v>287</v>
      </c>
      <c r="B49" s="4">
        <v>42886</v>
      </c>
      <c r="C49" s="3">
        <v>144</v>
      </c>
      <c r="D49" s="3">
        <v>0</v>
      </c>
      <c r="E49" s="3">
        <v>0</v>
      </c>
      <c r="F49" s="3">
        <v>1424</v>
      </c>
      <c r="G49" s="3">
        <v>2146189446</v>
      </c>
      <c r="H49" s="5" t="s">
        <v>490</v>
      </c>
      <c r="I49" s="3" t="b">
        <v>0</v>
      </c>
      <c r="J49" s="3" t="b">
        <v>1</v>
      </c>
      <c r="K49" s="3" t="b">
        <v>1</v>
      </c>
      <c r="L49" s="3" t="b">
        <v>0</v>
      </c>
      <c r="M49" s="3" t="b">
        <v>0</v>
      </c>
      <c r="N49" s="3" t="b">
        <v>0</v>
      </c>
      <c r="O49" s="3" t="b">
        <v>0</v>
      </c>
      <c r="P49" s="3" t="b">
        <v>1</v>
      </c>
      <c r="Q49" s="3" t="b">
        <v>0</v>
      </c>
      <c r="R49" s="3" t="s">
        <v>491</v>
      </c>
      <c r="S49" s="5" t="s">
        <v>492</v>
      </c>
      <c r="T49" s="3" t="b">
        <v>0</v>
      </c>
      <c r="U49" s="3" t="b">
        <v>1</v>
      </c>
      <c r="V49" s="5" t="s">
        <v>493</v>
      </c>
      <c r="W49" s="5" t="s">
        <v>494</v>
      </c>
      <c r="X49" s="3" t="b">
        <v>0</v>
      </c>
      <c r="Y49" s="3" t="b">
        <v>0</v>
      </c>
      <c r="Z49" s="3" t="b">
        <v>0</v>
      </c>
      <c r="AA49" s="3" t="b">
        <v>1</v>
      </c>
      <c r="AB49" s="5" t="s">
        <v>495</v>
      </c>
      <c r="AC49" s="5" t="s">
        <v>496</v>
      </c>
      <c r="AD49" s="5" t="s">
        <v>67</v>
      </c>
      <c r="AE49" s="5" t="s">
        <v>67</v>
      </c>
      <c r="AF49" s="5" t="s">
        <v>497</v>
      </c>
      <c r="AG49" s="5" t="s">
        <v>498</v>
      </c>
      <c r="AH49" s="5" t="s">
        <v>499</v>
      </c>
      <c r="AI49" s="5" t="s">
        <v>500</v>
      </c>
      <c r="AJ49" s="5" t="s">
        <v>67</v>
      </c>
      <c r="AK49" s="5" t="s">
        <v>67</v>
      </c>
      <c r="AL49" s="5" t="s">
        <v>67</v>
      </c>
      <c r="AM49" s="5" t="s">
        <v>501</v>
      </c>
      <c r="AN49" s="5" t="s">
        <v>502</v>
      </c>
      <c r="AO49" s="5" t="s">
        <v>67</v>
      </c>
      <c r="AP49" s="5" t="s">
        <v>503</v>
      </c>
      <c r="AQ49" s="5" t="s">
        <v>67</v>
      </c>
      <c r="AR49" s="5" t="s">
        <v>67</v>
      </c>
      <c r="AW49" s="5" t="s">
        <v>67</v>
      </c>
      <c r="AX49" s="5" t="s">
        <v>67</v>
      </c>
      <c r="AY49" s="5" t="s">
        <v>67</v>
      </c>
      <c r="AZ49" s="5" t="s">
        <v>67</v>
      </c>
      <c r="BA49" s="3">
        <v>2146189786</v>
      </c>
      <c r="BB49" s="3">
        <v>0</v>
      </c>
      <c r="BC49" s="3">
        <v>0</v>
      </c>
      <c r="BD49" s="3">
        <v>2146189004</v>
      </c>
      <c r="BE49" s="3">
        <v>2146189004</v>
      </c>
      <c r="BF49" s="5" t="s">
        <v>504</v>
      </c>
      <c r="BG49" s="5" t="s">
        <v>72</v>
      </c>
      <c r="BH49" s="5" t="s">
        <v>505</v>
      </c>
      <c r="BI49" s="5" t="s">
        <v>74</v>
      </c>
      <c r="BJ49" s="5" t="s">
        <v>506</v>
      </c>
      <c r="BK49" s="5" t="s">
        <v>507</v>
      </c>
      <c r="BL49" s="5" t="s">
        <v>508</v>
      </c>
      <c r="BM49" s="5" t="s">
        <v>509</v>
      </c>
      <c r="BN49" s="5" t="s">
        <v>510</v>
      </c>
      <c r="BO49" s="5" t="s">
        <v>511</v>
      </c>
    </row>
    <row r="50" spans="1:67" ht="165" x14ac:dyDescent="0.25">
      <c r="A50" s="3">
        <v>290</v>
      </c>
      <c r="B50" s="4">
        <v>37847.564965277801</v>
      </c>
      <c r="C50" s="3">
        <v>150</v>
      </c>
      <c r="D50" s="3">
        <v>0</v>
      </c>
      <c r="E50" s="3">
        <v>0</v>
      </c>
      <c r="H50" s="5" t="s">
        <v>67</v>
      </c>
      <c r="I50" s="3" t="b">
        <v>0</v>
      </c>
      <c r="J50" s="3" t="b">
        <v>0</v>
      </c>
      <c r="K50" s="3" t="b">
        <v>0</v>
      </c>
      <c r="L50" s="3" t="b">
        <v>0</v>
      </c>
      <c r="M50" s="3" t="b">
        <v>0</v>
      </c>
      <c r="N50" s="3" t="b">
        <v>0</v>
      </c>
      <c r="O50" s="3" t="b">
        <v>0</v>
      </c>
      <c r="P50" s="3" t="b">
        <v>0</v>
      </c>
      <c r="Q50" s="3" t="b">
        <v>0</v>
      </c>
      <c r="R50" s="3" t="s">
        <v>67</v>
      </c>
      <c r="S50" s="5" t="s">
        <v>512</v>
      </c>
      <c r="T50" s="3" t="b">
        <v>0</v>
      </c>
      <c r="U50" s="3" t="b">
        <v>1</v>
      </c>
      <c r="V50" s="5" t="s">
        <v>67</v>
      </c>
      <c r="W50" s="5" t="s">
        <v>67</v>
      </c>
      <c r="X50" s="3" t="b">
        <v>0</v>
      </c>
      <c r="Y50" s="3" t="b">
        <v>0</v>
      </c>
      <c r="Z50" s="3" t="b">
        <v>0</v>
      </c>
      <c r="AA50" s="3" t="b">
        <v>0</v>
      </c>
      <c r="AB50" s="5" t="s">
        <v>431</v>
      </c>
      <c r="AC50" s="5" t="s">
        <v>513</v>
      </c>
      <c r="AD50" s="5" t="s">
        <v>67</v>
      </c>
      <c r="AE50" s="5" t="s">
        <v>67</v>
      </c>
      <c r="AF50" s="5" t="s">
        <v>67</v>
      </c>
      <c r="AG50" s="5" t="s">
        <v>514</v>
      </c>
      <c r="AH50" s="5" t="s">
        <v>67</v>
      </c>
      <c r="AI50" s="5" t="s">
        <v>67</v>
      </c>
      <c r="AJ50" s="5" t="s">
        <v>67</v>
      </c>
      <c r="AK50" s="5" t="s">
        <v>67</v>
      </c>
      <c r="AL50" s="5" t="s">
        <v>67</v>
      </c>
      <c r="AM50" s="5" t="s">
        <v>67</v>
      </c>
      <c r="AN50" s="5" t="s">
        <v>67</v>
      </c>
      <c r="AO50" s="5" t="s">
        <v>67</v>
      </c>
      <c r="AP50" s="5" t="s">
        <v>67</v>
      </c>
      <c r="AQ50" s="5" t="s">
        <v>67</v>
      </c>
      <c r="AR50" s="5" t="s">
        <v>67</v>
      </c>
      <c r="AW50" s="5" t="s">
        <v>67</v>
      </c>
      <c r="AX50" s="5" t="s">
        <v>67</v>
      </c>
      <c r="AY50" s="5" t="s">
        <v>67</v>
      </c>
      <c r="AZ50" s="5" t="s">
        <v>67</v>
      </c>
      <c r="BA50" s="3">
        <v>2134</v>
      </c>
      <c r="BB50" s="3">
        <v>0</v>
      </c>
      <c r="BC50" s="3">
        <v>0</v>
      </c>
      <c r="BE50" s="3">
        <v>0</v>
      </c>
      <c r="BF50" s="5" t="s">
        <v>67</v>
      </c>
      <c r="BG50" s="5" t="s">
        <v>97</v>
      </c>
      <c r="BH50" s="5" t="s">
        <v>515</v>
      </c>
      <c r="BI50" s="5" t="s">
        <v>67</v>
      </c>
      <c r="BJ50" s="5" t="s">
        <v>516</v>
      </c>
      <c r="BK50" s="5" t="s">
        <v>67</v>
      </c>
      <c r="BL50" s="5" t="s">
        <v>67</v>
      </c>
      <c r="BM50" s="5" t="s">
        <v>67</v>
      </c>
      <c r="BN50" s="5" t="s">
        <v>67</v>
      </c>
      <c r="BO50" s="5" t="s">
        <v>67</v>
      </c>
    </row>
    <row r="51" spans="1:67" ht="409.5" x14ac:dyDescent="0.25">
      <c r="A51" s="3">
        <v>292</v>
      </c>
      <c r="B51" s="4">
        <v>42920</v>
      </c>
      <c r="D51" s="3">
        <v>188</v>
      </c>
      <c r="E51" s="3">
        <v>0</v>
      </c>
      <c r="F51" s="3">
        <v>1424</v>
      </c>
      <c r="G51" s="3">
        <v>188</v>
      </c>
      <c r="H51" s="5" t="s">
        <v>517</v>
      </c>
      <c r="I51" s="3" t="b">
        <v>0</v>
      </c>
      <c r="J51" s="3" t="b">
        <v>0</v>
      </c>
      <c r="K51" s="3" t="b">
        <v>0</v>
      </c>
      <c r="L51" s="3" t="b">
        <v>1</v>
      </c>
      <c r="M51" s="3" t="b">
        <v>0</v>
      </c>
      <c r="N51" s="3" t="b">
        <v>0</v>
      </c>
      <c r="O51" s="3" t="b">
        <v>0</v>
      </c>
      <c r="P51" s="3" t="b">
        <v>1</v>
      </c>
      <c r="Q51" s="3" t="b">
        <v>0</v>
      </c>
      <c r="R51" s="3" t="s">
        <v>518</v>
      </c>
      <c r="S51" s="5" t="s">
        <v>519</v>
      </c>
      <c r="T51" s="3" t="b">
        <v>1</v>
      </c>
      <c r="U51" s="3" t="b">
        <v>1</v>
      </c>
      <c r="V51" s="5" t="s">
        <v>520</v>
      </c>
      <c r="W51" s="5" t="s">
        <v>521</v>
      </c>
      <c r="X51" s="3" t="b">
        <v>0</v>
      </c>
      <c r="Y51" s="3" t="b">
        <v>0</v>
      </c>
      <c r="Z51" s="3" t="b">
        <v>0</v>
      </c>
      <c r="AA51" s="3" t="b">
        <v>1</v>
      </c>
      <c r="AB51" s="5" t="s">
        <v>522</v>
      </c>
      <c r="AC51" s="5" t="s">
        <v>523</v>
      </c>
      <c r="AD51" s="5" t="s">
        <v>524</v>
      </c>
      <c r="AE51" s="5" t="s">
        <v>67</v>
      </c>
      <c r="AF51" s="5" t="s">
        <v>525</v>
      </c>
      <c r="AG51" s="5" t="s">
        <v>526</v>
      </c>
      <c r="AH51" s="5" t="s">
        <v>527</v>
      </c>
      <c r="AI51" s="5" t="s">
        <v>528</v>
      </c>
      <c r="AJ51" s="5" t="s">
        <v>529</v>
      </c>
      <c r="AK51" s="5" t="s">
        <v>67</v>
      </c>
      <c r="AL51" s="5" t="s">
        <v>67</v>
      </c>
      <c r="AM51" s="5" t="s">
        <v>530</v>
      </c>
      <c r="AN51" s="5" t="s">
        <v>531</v>
      </c>
      <c r="AO51" s="5" t="s">
        <v>67</v>
      </c>
      <c r="AP51" s="5" t="s">
        <v>532</v>
      </c>
      <c r="AQ51" s="5" t="s">
        <v>67</v>
      </c>
      <c r="AR51" s="5" t="s">
        <v>67</v>
      </c>
      <c r="AW51" s="5" t="s">
        <v>67</v>
      </c>
      <c r="AX51" s="5" t="s">
        <v>67</v>
      </c>
      <c r="AY51" s="5" t="s">
        <v>67</v>
      </c>
      <c r="AZ51" s="5" t="s">
        <v>67</v>
      </c>
      <c r="BA51" s="3">
        <v>2146189786</v>
      </c>
      <c r="BB51" s="3">
        <v>2146189787</v>
      </c>
      <c r="BC51" s="3">
        <v>0</v>
      </c>
      <c r="BD51" s="3">
        <v>1948</v>
      </c>
      <c r="BE51" s="3">
        <v>1948</v>
      </c>
      <c r="BF51" s="5" t="s">
        <v>67</v>
      </c>
      <c r="BG51" s="5" t="s">
        <v>72</v>
      </c>
      <c r="BH51" s="5" t="s">
        <v>117</v>
      </c>
      <c r="BI51" s="5" t="s">
        <v>74</v>
      </c>
      <c r="BJ51" s="5" t="s">
        <v>533</v>
      </c>
      <c r="BK51" s="5" t="s">
        <v>534</v>
      </c>
      <c r="BL51" s="5" t="s">
        <v>535</v>
      </c>
      <c r="BM51" s="5" t="s">
        <v>536</v>
      </c>
      <c r="BN51" s="5" t="s">
        <v>537</v>
      </c>
      <c r="BO51" s="5" t="s">
        <v>538</v>
      </c>
    </row>
    <row r="52" spans="1:67" ht="105" x14ac:dyDescent="0.25">
      <c r="A52" s="3">
        <v>296</v>
      </c>
      <c r="B52" s="4">
        <v>37859.534537036998</v>
      </c>
      <c r="C52" s="3">
        <v>0</v>
      </c>
      <c r="D52" s="3">
        <v>0</v>
      </c>
      <c r="E52" s="3">
        <v>0</v>
      </c>
      <c r="F52" s="3">
        <v>0</v>
      </c>
      <c r="H52" s="5" t="s">
        <v>67</v>
      </c>
      <c r="I52" s="3" t="b">
        <v>0</v>
      </c>
      <c r="J52" s="3" t="b">
        <v>0</v>
      </c>
      <c r="K52" s="3" t="b">
        <v>0</v>
      </c>
      <c r="L52" s="3" t="b">
        <v>0</v>
      </c>
      <c r="M52" s="3" t="b">
        <v>0</v>
      </c>
      <c r="N52" s="3" t="b">
        <v>0</v>
      </c>
      <c r="O52" s="3" t="b">
        <v>0</v>
      </c>
      <c r="P52" s="3" t="b">
        <v>0</v>
      </c>
      <c r="Q52" s="3" t="b">
        <v>0</v>
      </c>
      <c r="R52" s="3" t="s">
        <v>67</v>
      </c>
      <c r="S52" s="5" t="s">
        <v>539</v>
      </c>
      <c r="T52" s="3" t="b">
        <v>0</v>
      </c>
      <c r="U52" s="3" t="b">
        <v>0</v>
      </c>
      <c r="V52" s="5" t="s">
        <v>67</v>
      </c>
      <c r="W52" s="5" t="s">
        <v>67</v>
      </c>
      <c r="X52" s="3" t="b">
        <v>0</v>
      </c>
      <c r="Y52" s="3" t="b">
        <v>0</v>
      </c>
      <c r="Z52" s="3" t="b">
        <v>0</v>
      </c>
      <c r="AA52" s="3" t="b">
        <v>0</v>
      </c>
      <c r="AB52" s="5" t="s">
        <v>120</v>
      </c>
      <c r="AC52" s="5" t="s">
        <v>67</v>
      </c>
      <c r="AD52" s="5" t="s">
        <v>67</v>
      </c>
      <c r="AE52" s="5" t="s">
        <v>67</v>
      </c>
      <c r="AF52" s="5" t="s">
        <v>67</v>
      </c>
      <c r="AG52" s="5" t="s">
        <v>67</v>
      </c>
      <c r="AH52" s="5" t="s">
        <v>67</v>
      </c>
      <c r="AI52" s="5" t="s">
        <v>67</v>
      </c>
      <c r="AJ52" s="5" t="s">
        <v>67</v>
      </c>
      <c r="AK52" s="5" t="s">
        <v>67</v>
      </c>
      <c r="AL52" s="5" t="s">
        <v>67</v>
      </c>
      <c r="AM52" s="5" t="s">
        <v>67</v>
      </c>
      <c r="AN52" s="5" t="s">
        <v>67</v>
      </c>
      <c r="AO52" s="5" t="s">
        <v>67</v>
      </c>
      <c r="AP52" s="5" t="s">
        <v>67</v>
      </c>
      <c r="AQ52" s="5" t="s">
        <v>67</v>
      </c>
      <c r="AR52" s="5" t="s">
        <v>67</v>
      </c>
      <c r="AW52" s="5" t="s">
        <v>67</v>
      </c>
      <c r="AX52" s="5" t="s">
        <v>67</v>
      </c>
      <c r="AY52" s="5" t="s">
        <v>67</v>
      </c>
      <c r="AZ52" s="5" t="s">
        <v>67</v>
      </c>
      <c r="BA52" s="3">
        <v>0</v>
      </c>
      <c r="BB52" s="3">
        <v>0</v>
      </c>
      <c r="BC52" s="3">
        <v>0</v>
      </c>
      <c r="BE52" s="3">
        <v>0</v>
      </c>
      <c r="BF52" s="5" t="s">
        <v>67</v>
      </c>
      <c r="BG52" s="5" t="s">
        <v>540</v>
      </c>
      <c r="BH52" s="5" t="s">
        <v>67</v>
      </c>
      <c r="BI52" s="5" t="s">
        <v>67</v>
      </c>
      <c r="BJ52" s="5" t="s">
        <v>541</v>
      </c>
      <c r="BK52" s="5" t="s">
        <v>67</v>
      </c>
      <c r="BL52" s="5" t="s">
        <v>67</v>
      </c>
      <c r="BM52" s="5" t="s">
        <v>67</v>
      </c>
      <c r="BN52" s="5" t="s">
        <v>67</v>
      </c>
      <c r="BO52" s="5" t="s">
        <v>67</v>
      </c>
    </row>
    <row r="53" spans="1:67" ht="409.5" x14ac:dyDescent="0.25">
      <c r="A53" s="3">
        <v>297</v>
      </c>
      <c r="B53" s="4">
        <v>42972</v>
      </c>
      <c r="C53" s="3">
        <v>1137414434</v>
      </c>
      <c r="D53" s="3">
        <v>163</v>
      </c>
      <c r="E53" s="3">
        <v>0</v>
      </c>
      <c r="F53" s="3">
        <v>1424</v>
      </c>
      <c r="G53" s="3">
        <v>1424</v>
      </c>
      <c r="H53" s="5" t="s">
        <v>542</v>
      </c>
      <c r="I53" s="3" t="b">
        <v>0</v>
      </c>
      <c r="J53" s="3" t="b">
        <v>1</v>
      </c>
      <c r="K53" s="3" t="b">
        <v>1</v>
      </c>
      <c r="L53" s="3" t="b">
        <v>1</v>
      </c>
      <c r="M53" s="3" t="b">
        <v>0</v>
      </c>
      <c r="N53" s="3" t="b">
        <v>0</v>
      </c>
      <c r="O53" s="3" t="b">
        <v>0</v>
      </c>
      <c r="P53" s="3" t="b">
        <v>0</v>
      </c>
      <c r="Q53" s="3" t="b">
        <v>1</v>
      </c>
      <c r="R53" s="3" t="s">
        <v>543</v>
      </c>
      <c r="S53" s="5" t="s">
        <v>544</v>
      </c>
      <c r="T53" s="3" t="b">
        <v>1</v>
      </c>
      <c r="U53" s="3" t="b">
        <v>1</v>
      </c>
      <c r="V53" s="5" t="s">
        <v>545</v>
      </c>
      <c r="W53" s="5" t="s">
        <v>546</v>
      </c>
      <c r="X53" s="3" t="b">
        <v>0</v>
      </c>
      <c r="Y53" s="3" t="b">
        <v>0</v>
      </c>
      <c r="Z53" s="3" t="b">
        <v>0</v>
      </c>
      <c r="AA53" s="3" t="b">
        <v>1</v>
      </c>
      <c r="AB53" s="5" t="s">
        <v>547</v>
      </c>
      <c r="AC53" s="5" t="s">
        <v>548</v>
      </c>
      <c r="AD53" s="5" t="s">
        <v>549</v>
      </c>
      <c r="AE53" s="5" t="s">
        <v>550</v>
      </c>
      <c r="AF53" s="5" t="s">
        <v>551</v>
      </c>
      <c r="AG53" s="5" t="s">
        <v>552</v>
      </c>
      <c r="AH53" s="5" t="s">
        <v>553</v>
      </c>
      <c r="AI53" s="5" t="s">
        <v>554</v>
      </c>
      <c r="AJ53" s="5" t="s">
        <v>555</v>
      </c>
      <c r="AK53" s="5" t="s">
        <v>556</v>
      </c>
      <c r="AL53" s="5" t="s">
        <v>67</v>
      </c>
      <c r="AM53" s="5" t="s">
        <v>557</v>
      </c>
      <c r="AN53" s="5" t="s">
        <v>558</v>
      </c>
      <c r="AO53" s="5" t="s">
        <v>67</v>
      </c>
      <c r="AP53" s="5" t="s">
        <v>559</v>
      </c>
      <c r="AQ53" s="5" t="s">
        <v>380</v>
      </c>
      <c r="AR53" s="5" t="s">
        <v>67</v>
      </c>
      <c r="AW53" s="5" t="s">
        <v>67</v>
      </c>
      <c r="AX53" s="5" t="s">
        <v>67</v>
      </c>
      <c r="AY53" s="5" t="s">
        <v>67</v>
      </c>
      <c r="AZ53" s="5" t="s">
        <v>67</v>
      </c>
      <c r="BA53" s="3">
        <v>107</v>
      </c>
      <c r="BB53" s="3">
        <v>0</v>
      </c>
      <c r="BC53" s="3">
        <v>0</v>
      </c>
      <c r="BD53" s="3">
        <v>2146189004</v>
      </c>
      <c r="BE53" s="3">
        <v>2146189004</v>
      </c>
      <c r="BF53" s="5" t="s">
        <v>560</v>
      </c>
      <c r="BG53" s="5" t="s">
        <v>97</v>
      </c>
      <c r="BH53" s="5" t="s">
        <v>561</v>
      </c>
      <c r="BI53" s="5" t="s">
        <v>74</v>
      </c>
      <c r="BJ53" s="5" t="s">
        <v>562</v>
      </c>
      <c r="BK53" s="5" t="s">
        <v>563</v>
      </c>
      <c r="BL53" s="5" t="s">
        <v>564</v>
      </c>
      <c r="BM53" s="5" t="s">
        <v>565</v>
      </c>
      <c r="BN53" s="5" t="s">
        <v>91</v>
      </c>
      <c r="BO53" s="5" t="s">
        <v>566</v>
      </c>
    </row>
    <row r="54" spans="1:67" ht="165" x14ac:dyDescent="0.25">
      <c r="A54" s="3">
        <v>301</v>
      </c>
      <c r="B54" s="4">
        <v>42327</v>
      </c>
      <c r="C54" s="3">
        <v>0</v>
      </c>
      <c r="D54" s="3">
        <v>155</v>
      </c>
      <c r="E54" s="3">
        <v>0</v>
      </c>
      <c r="F54" s="3">
        <v>0</v>
      </c>
      <c r="H54" s="5" t="s">
        <v>67</v>
      </c>
      <c r="I54" s="3" t="b">
        <v>0</v>
      </c>
      <c r="J54" s="3" t="b">
        <v>0</v>
      </c>
      <c r="K54" s="3" t="b">
        <v>0</v>
      </c>
      <c r="L54" s="3" t="b">
        <v>0</v>
      </c>
      <c r="M54" s="3" t="b">
        <v>1</v>
      </c>
      <c r="N54" s="3" t="b">
        <v>0</v>
      </c>
      <c r="O54" s="3" t="b">
        <v>0</v>
      </c>
      <c r="P54" s="3" t="b">
        <v>0</v>
      </c>
      <c r="Q54" s="3" t="b">
        <v>0</v>
      </c>
      <c r="R54" s="3" t="s">
        <v>67</v>
      </c>
      <c r="S54" s="5" t="s">
        <v>567</v>
      </c>
      <c r="T54" s="3" t="b">
        <v>0</v>
      </c>
      <c r="U54" s="3" t="b">
        <v>1</v>
      </c>
      <c r="V54" s="5" t="s">
        <v>67</v>
      </c>
      <c r="W54" s="5" t="s">
        <v>67</v>
      </c>
      <c r="X54" s="3" t="b">
        <v>0</v>
      </c>
      <c r="Y54" s="3" t="b">
        <v>0</v>
      </c>
      <c r="Z54" s="3" t="b">
        <v>0</v>
      </c>
      <c r="AA54" s="3" t="b">
        <v>0</v>
      </c>
      <c r="AB54" s="5" t="s">
        <v>568</v>
      </c>
      <c r="AC54" s="5" t="s">
        <v>569</v>
      </c>
      <c r="AD54" s="5" t="s">
        <v>67</v>
      </c>
      <c r="AE54" s="5" t="s">
        <v>67</v>
      </c>
      <c r="AF54" s="5" t="s">
        <v>67</v>
      </c>
      <c r="AG54" s="5" t="s">
        <v>67</v>
      </c>
      <c r="AH54" s="5" t="s">
        <v>67</v>
      </c>
      <c r="AI54" s="5" t="s">
        <v>67</v>
      </c>
      <c r="AJ54" s="5" t="s">
        <v>67</v>
      </c>
      <c r="AK54" s="5" t="s">
        <v>67</v>
      </c>
      <c r="AL54" s="5" t="s">
        <v>67</v>
      </c>
      <c r="AM54" s="5" t="s">
        <v>67</v>
      </c>
      <c r="AN54" s="5" t="s">
        <v>67</v>
      </c>
      <c r="AO54" s="5" t="s">
        <v>67</v>
      </c>
      <c r="AP54" s="5" t="s">
        <v>67</v>
      </c>
      <c r="AQ54" s="5" t="s">
        <v>67</v>
      </c>
      <c r="AR54" s="5" t="s">
        <v>67</v>
      </c>
      <c r="AW54" s="5" t="s">
        <v>67</v>
      </c>
      <c r="AX54" s="5" t="s">
        <v>67</v>
      </c>
      <c r="AY54" s="5" t="s">
        <v>67</v>
      </c>
      <c r="AZ54" s="5" t="s">
        <v>67</v>
      </c>
      <c r="BA54" s="3">
        <v>2146189002</v>
      </c>
      <c r="BC54" s="3">
        <v>0</v>
      </c>
      <c r="BE54" s="3">
        <v>0</v>
      </c>
      <c r="BF54" s="5" t="s">
        <v>67</v>
      </c>
      <c r="BG54" s="5" t="s">
        <v>570</v>
      </c>
      <c r="BH54" s="5" t="s">
        <v>571</v>
      </c>
      <c r="BI54" s="5" t="s">
        <v>67</v>
      </c>
      <c r="BJ54" s="5" t="s">
        <v>572</v>
      </c>
      <c r="BK54" s="5" t="s">
        <v>67</v>
      </c>
      <c r="BL54" s="5" t="s">
        <v>573</v>
      </c>
      <c r="BM54" s="5" t="s">
        <v>67</v>
      </c>
      <c r="BN54" s="5" t="s">
        <v>67</v>
      </c>
      <c r="BO54" s="5" t="s">
        <v>67</v>
      </c>
    </row>
    <row r="55" spans="1:67" ht="409.5" x14ac:dyDescent="0.25">
      <c r="A55" s="3">
        <v>302</v>
      </c>
      <c r="B55" s="4">
        <v>42852</v>
      </c>
      <c r="C55" s="3">
        <v>1298966339</v>
      </c>
      <c r="D55" s="3">
        <v>173</v>
      </c>
      <c r="E55" s="3">
        <v>1298966339</v>
      </c>
      <c r="F55" s="3">
        <v>1424</v>
      </c>
      <c r="G55" s="3">
        <v>2146189128</v>
      </c>
      <c r="H55" s="5" t="s">
        <v>574</v>
      </c>
      <c r="I55" s="3" t="b">
        <v>0</v>
      </c>
      <c r="J55" s="3" t="b">
        <v>1</v>
      </c>
      <c r="K55" s="3" t="b">
        <v>0</v>
      </c>
      <c r="L55" s="3" t="b">
        <v>1</v>
      </c>
      <c r="M55" s="3" t="b">
        <v>0</v>
      </c>
      <c r="N55" s="3" t="b">
        <v>0</v>
      </c>
      <c r="O55" s="3" t="b">
        <v>0</v>
      </c>
      <c r="P55" s="3" t="b">
        <v>1</v>
      </c>
      <c r="Q55" s="3" t="b">
        <v>0</v>
      </c>
      <c r="R55" s="3" t="s">
        <v>575</v>
      </c>
      <c r="S55" s="5" t="s">
        <v>576</v>
      </c>
      <c r="T55" s="3" t="b">
        <v>1</v>
      </c>
      <c r="U55" s="3" t="b">
        <v>1</v>
      </c>
      <c r="V55" s="5" t="s">
        <v>81</v>
      </c>
      <c r="W55" s="5" t="s">
        <v>577</v>
      </c>
      <c r="X55" s="3" t="b">
        <v>0</v>
      </c>
      <c r="Y55" s="3" t="b">
        <v>0</v>
      </c>
      <c r="Z55" s="3" t="b">
        <v>0</v>
      </c>
      <c r="AA55" s="3" t="b">
        <v>1</v>
      </c>
      <c r="AB55" s="5" t="s">
        <v>578</v>
      </c>
      <c r="AC55" s="5" t="s">
        <v>579</v>
      </c>
      <c r="AD55" s="5" t="s">
        <v>67</v>
      </c>
      <c r="AE55" s="5" t="s">
        <v>67</v>
      </c>
      <c r="AF55" s="5" t="s">
        <v>580</v>
      </c>
      <c r="AG55" s="5" t="s">
        <v>581</v>
      </c>
      <c r="AH55" s="5" t="s">
        <v>582</v>
      </c>
      <c r="AI55" s="5" t="s">
        <v>583</v>
      </c>
      <c r="AJ55" s="5" t="s">
        <v>67</v>
      </c>
      <c r="AK55" s="5" t="s">
        <v>584</v>
      </c>
      <c r="AL55" s="5" t="s">
        <v>67</v>
      </c>
      <c r="AM55" s="5" t="s">
        <v>585</v>
      </c>
      <c r="AN55" s="5" t="s">
        <v>586</v>
      </c>
      <c r="AO55" s="5" t="s">
        <v>67</v>
      </c>
      <c r="AP55" s="5" t="s">
        <v>67</v>
      </c>
      <c r="AQ55" s="5" t="s">
        <v>67</v>
      </c>
      <c r="AR55" s="5" t="s">
        <v>67</v>
      </c>
      <c r="AW55" s="5" t="s">
        <v>67</v>
      </c>
      <c r="AX55" s="5" t="s">
        <v>67</v>
      </c>
      <c r="AY55" s="5" t="s">
        <v>67</v>
      </c>
      <c r="AZ55" s="5" t="s">
        <v>67</v>
      </c>
      <c r="BB55" s="3">
        <v>0</v>
      </c>
      <c r="BC55" s="3">
        <v>0</v>
      </c>
      <c r="BD55" s="3">
        <v>2146189010</v>
      </c>
      <c r="BE55" s="3">
        <v>2146189010</v>
      </c>
      <c r="BF55" s="5" t="s">
        <v>587</v>
      </c>
      <c r="BG55" s="5" t="s">
        <v>588</v>
      </c>
      <c r="BH55" s="5" t="s">
        <v>589</v>
      </c>
      <c r="BI55" s="5" t="s">
        <v>74</v>
      </c>
      <c r="BJ55" s="5" t="s">
        <v>590</v>
      </c>
      <c r="BK55" s="5" t="s">
        <v>591</v>
      </c>
      <c r="BL55" s="5" t="s">
        <v>592</v>
      </c>
      <c r="BM55" s="5" t="s">
        <v>593</v>
      </c>
      <c r="BN55" s="5" t="s">
        <v>594</v>
      </c>
      <c r="BO55" s="5" t="s">
        <v>595</v>
      </c>
    </row>
    <row r="56" spans="1:67" ht="409.5" x14ac:dyDescent="0.25">
      <c r="A56" s="3">
        <v>303</v>
      </c>
      <c r="B56" s="4">
        <v>42502</v>
      </c>
      <c r="C56" s="3">
        <v>176</v>
      </c>
      <c r="H56" s="5" t="s">
        <v>67</v>
      </c>
      <c r="I56" s="3" t="b">
        <v>0</v>
      </c>
      <c r="J56" s="3" t="b">
        <v>1</v>
      </c>
      <c r="K56" s="3" t="b">
        <v>1</v>
      </c>
      <c r="L56" s="3" t="b">
        <v>1</v>
      </c>
      <c r="M56" s="3" t="b">
        <v>0</v>
      </c>
      <c r="N56" s="3" t="b">
        <v>0</v>
      </c>
      <c r="O56" s="3" t="b">
        <v>0</v>
      </c>
      <c r="P56" s="3" t="b">
        <v>1</v>
      </c>
      <c r="Q56" s="3" t="b">
        <v>0</v>
      </c>
      <c r="R56" s="3" t="s">
        <v>596</v>
      </c>
      <c r="S56" s="5" t="s">
        <v>597</v>
      </c>
      <c r="T56" s="3" t="b">
        <v>0</v>
      </c>
      <c r="U56" s="3" t="b">
        <v>1</v>
      </c>
      <c r="V56" s="5" t="s">
        <v>598</v>
      </c>
      <c r="W56" s="5" t="s">
        <v>599</v>
      </c>
      <c r="X56" s="3" t="b">
        <v>0</v>
      </c>
      <c r="Y56" s="3" t="b">
        <v>0</v>
      </c>
      <c r="Z56" s="3" t="b">
        <v>0</v>
      </c>
      <c r="AA56" s="3" t="b">
        <v>1</v>
      </c>
      <c r="AB56" s="5" t="s">
        <v>600</v>
      </c>
      <c r="AC56" s="5" t="s">
        <v>601</v>
      </c>
      <c r="AD56" s="5" t="s">
        <v>67</v>
      </c>
      <c r="AE56" s="5" t="s">
        <v>67</v>
      </c>
      <c r="AF56" s="5" t="s">
        <v>602</v>
      </c>
      <c r="AG56" s="5" t="s">
        <v>603</v>
      </c>
      <c r="AH56" s="5" t="s">
        <v>604</v>
      </c>
      <c r="AI56" s="5" t="s">
        <v>67</v>
      </c>
      <c r="AJ56" s="5" t="s">
        <v>605</v>
      </c>
      <c r="AK56" s="5" t="s">
        <v>67</v>
      </c>
      <c r="AL56" s="5" t="s">
        <v>67</v>
      </c>
      <c r="AM56" s="5" t="s">
        <v>606</v>
      </c>
      <c r="AN56" s="5" t="s">
        <v>67</v>
      </c>
      <c r="AO56" s="5" t="s">
        <v>67</v>
      </c>
      <c r="AP56" s="5" t="s">
        <v>607</v>
      </c>
      <c r="AQ56" s="5" t="s">
        <v>67</v>
      </c>
      <c r="AR56" s="5" t="s">
        <v>67</v>
      </c>
      <c r="AW56" s="5" t="s">
        <v>67</v>
      </c>
      <c r="AX56" s="5" t="s">
        <v>67</v>
      </c>
      <c r="AY56" s="5" t="s">
        <v>67</v>
      </c>
      <c r="AZ56" s="5" t="s">
        <v>67</v>
      </c>
      <c r="BA56" s="3">
        <v>107</v>
      </c>
      <c r="BD56" s="3">
        <v>2146189005</v>
      </c>
      <c r="BE56" s="3">
        <v>2146189005</v>
      </c>
      <c r="BF56" s="5" t="s">
        <v>608</v>
      </c>
      <c r="BG56" s="5" t="s">
        <v>97</v>
      </c>
      <c r="BH56" s="5" t="s">
        <v>67</v>
      </c>
      <c r="BI56" s="5" t="s">
        <v>74</v>
      </c>
      <c r="BJ56" s="5" t="s">
        <v>609</v>
      </c>
      <c r="BK56" s="5" t="s">
        <v>610</v>
      </c>
      <c r="BL56" s="5" t="s">
        <v>611</v>
      </c>
      <c r="BM56" s="5" t="s">
        <v>67</v>
      </c>
      <c r="BN56" s="5" t="s">
        <v>67</v>
      </c>
      <c r="BO56" s="5" t="s">
        <v>612</v>
      </c>
    </row>
    <row r="57" spans="1:67" x14ac:dyDescent="0.25">
      <c r="A57" s="3">
        <v>429</v>
      </c>
      <c r="B57" s="4">
        <v>42248</v>
      </c>
      <c r="H57" s="5" t="s">
        <v>67</v>
      </c>
      <c r="I57" s="3" t="b">
        <v>0</v>
      </c>
      <c r="J57" s="3" t="b">
        <v>0</v>
      </c>
      <c r="K57" s="3" t="b">
        <v>0</v>
      </c>
      <c r="L57" s="3" t="b">
        <v>0</v>
      </c>
      <c r="M57" s="3" t="b">
        <v>0</v>
      </c>
      <c r="N57" s="3" t="b">
        <v>0</v>
      </c>
      <c r="O57" s="3" t="b">
        <v>0</v>
      </c>
      <c r="P57" s="3" t="b">
        <v>0</v>
      </c>
      <c r="Q57" s="3" t="b">
        <v>0</v>
      </c>
      <c r="R57" s="3" t="s">
        <v>67</v>
      </c>
      <c r="S57" s="5" t="s">
        <v>67</v>
      </c>
      <c r="T57" s="3" t="b">
        <v>0</v>
      </c>
      <c r="U57" s="3" t="b">
        <v>0</v>
      </c>
      <c r="V57" s="5" t="s">
        <v>67</v>
      </c>
      <c r="W57" s="5" t="s">
        <v>67</v>
      </c>
      <c r="X57" s="3" t="b">
        <v>0</v>
      </c>
      <c r="Y57" s="3" t="b">
        <v>0</v>
      </c>
      <c r="Z57" s="3" t="b">
        <v>0</v>
      </c>
      <c r="AA57" s="3" t="b">
        <v>0</v>
      </c>
      <c r="AB57" s="5" t="s">
        <v>67</v>
      </c>
      <c r="AC57" s="5" t="s">
        <v>67</v>
      </c>
      <c r="AD57" s="5" t="s">
        <v>67</v>
      </c>
      <c r="AE57" s="5" t="s">
        <v>67</v>
      </c>
      <c r="AF57" s="5" t="s">
        <v>67</v>
      </c>
      <c r="AG57" s="5" t="s">
        <v>67</v>
      </c>
      <c r="AH57" s="5" t="s">
        <v>67</v>
      </c>
      <c r="AI57" s="5" t="s">
        <v>67</v>
      </c>
      <c r="AJ57" s="5" t="s">
        <v>67</v>
      </c>
      <c r="AK57" s="5" t="s">
        <v>67</v>
      </c>
      <c r="AL57" s="5" t="s">
        <v>67</v>
      </c>
      <c r="AM57" s="5" t="s">
        <v>67</v>
      </c>
      <c r="AN57" s="5" t="s">
        <v>67</v>
      </c>
      <c r="AO57" s="5" t="s">
        <v>67</v>
      </c>
      <c r="AP57" s="5" t="s">
        <v>67</v>
      </c>
      <c r="AQ57" s="5" t="s">
        <v>67</v>
      </c>
      <c r="AR57" s="5" t="s">
        <v>67</v>
      </c>
      <c r="AW57" s="5" t="s">
        <v>67</v>
      </c>
      <c r="AX57" s="5" t="s">
        <v>67</v>
      </c>
      <c r="AY57" s="5" t="s">
        <v>67</v>
      </c>
      <c r="AZ57" s="5" t="s">
        <v>67</v>
      </c>
      <c r="BF57" s="5" t="s">
        <v>67</v>
      </c>
      <c r="BG57" s="5" t="s">
        <v>67</v>
      </c>
      <c r="BH57" s="5" t="s">
        <v>67</v>
      </c>
      <c r="BI57" s="5" t="s">
        <v>67</v>
      </c>
      <c r="BJ57" s="5" t="s">
        <v>67</v>
      </c>
      <c r="BK57" s="5" t="s">
        <v>67</v>
      </c>
      <c r="BL57" s="5" t="s">
        <v>67</v>
      </c>
      <c r="BM57" s="5" t="s">
        <v>67</v>
      </c>
      <c r="BN57" s="5" t="s">
        <v>67</v>
      </c>
      <c r="BO57" s="5" t="s">
        <v>67</v>
      </c>
    </row>
    <row r="58" spans="1:67" x14ac:dyDescent="0.25">
      <c r="A58" s="3">
        <v>450</v>
      </c>
      <c r="B58" s="4">
        <v>37860.686412037001</v>
      </c>
      <c r="C58" s="3">
        <v>0</v>
      </c>
      <c r="D58" s="3">
        <v>0</v>
      </c>
      <c r="E58" s="3">
        <v>0</v>
      </c>
      <c r="F58" s="3">
        <v>0</v>
      </c>
      <c r="G58" s="3">
        <v>0</v>
      </c>
      <c r="H58" s="5" t="s">
        <v>67</v>
      </c>
      <c r="I58" s="3" t="b">
        <v>0</v>
      </c>
      <c r="J58" s="3" t="b">
        <v>0</v>
      </c>
      <c r="K58" s="3" t="b">
        <v>0</v>
      </c>
      <c r="L58" s="3" t="b">
        <v>0</v>
      </c>
      <c r="M58" s="3" t="b">
        <v>0</v>
      </c>
      <c r="N58" s="3" t="b">
        <v>0</v>
      </c>
      <c r="O58" s="3" t="b">
        <v>0</v>
      </c>
      <c r="P58" s="3" t="b">
        <v>0</v>
      </c>
      <c r="Q58" s="3" t="b">
        <v>0</v>
      </c>
      <c r="R58" s="3" t="s">
        <v>67</v>
      </c>
      <c r="S58" s="5" t="s">
        <v>67</v>
      </c>
      <c r="T58" s="3" t="b">
        <v>0</v>
      </c>
      <c r="U58" s="3" t="b">
        <v>0</v>
      </c>
      <c r="V58" s="5" t="s">
        <v>67</v>
      </c>
      <c r="W58" s="5" t="s">
        <v>67</v>
      </c>
      <c r="X58" s="3" t="b">
        <v>0</v>
      </c>
      <c r="Y58" s="3" t="b">
        <v>0</v>
      </c>
      <c r="Z58" s="3" t="b">
        <v>0</v>
      </c>
      <c r="AA58" s="3" t="b">
        <v>0</v>
      </c>
      <c r="AB58" s="5" t="s">
        <v>67</v>
      </c>
      <c r="AC58" s="5" t="s">
        <v>67</v>
      </c>
      <c r="AD58" s="5" t="s">
        <v>67</v>
      </c>
      <c r="AE58" s="5" t="s">
        <v>67</v>
      </c>
      <c r="AF58" s="5" t="s">
        <v>67</v>
      </c>
      <c r="AG58" s="5" t="s">
        <v>67</v>
      </c>
      <c r="AH58" s="5" t="s">
        <v>67</v>
      </c>
      <c r="AI58" s="5" t="s">
        <v>67</v>
      </c>
      <c r="AJ58" s="5" t="s">
        <v>67</v>
      </c>
      <c r="AK58" s="5" t="s">
        <v>67</v>
      </c>
      <c r="AL58" s="5" t="s">
        <v>67</v>
      </c>
      <c r="AM58" s="5" t="s">
        <v>67</v>
      </c>
      <c r="AN58" s="5" t="s">
        <v>67</v>
      </c>
      <c r="AO58" s="5" t="s">
        <v>67</v>
      </c>
      <c r="AP58" s="5" t="s">
        <v>67</v>
      </c>
      <c r="AQ58" s="5" t="s">
        <v>67</v>
      </c>
      <c r="AR58" s="5" t="s">
        <v>67</v>
      </c>
      <c r="AW58" s="5" t="s">
        <v>67</v>
      </c>
      <c r="AX58" s="5" t="s">
        <v>67</v>
      </c>
      <c r="AY58" s="5" t="s">
        <v>67</v>
      </c>
      <c r="AZ58" s="5" t="s">
        <v>67</v>
      </c>
      <c r="BA58" s="3">
        <v>0</v>
      </c>
      <c r="BB58" s="3">
        <v>0</v>
      </c>
      <c r="BC58" s="3">
        <v>0</v>
      </c>
      <c r="BE58" s="3">
        <v>0</v>
      </c>
      <c r="BF58" s="5" t="s">
        <v>67</v>
      </c>
      <c r="BG58" s="5" t="s">
        <v>67</v>
      </c>
      <c r="BH58" s="5" t="s">
        <v>67</v>
      </c>
      <c r="BI58" s="5" t="s">
        <v>67</v>
      </c>
      <c r="BJ58" s="5" t="s">
        <v>67</v>
      </c>
      <c r="BK58" s="5" t="s">
        <v>67</v>
      </c>
      <c r="BL58" s="5" t="s">
        <v>67</v>
      </c>
      <c r="BM58" s="5" t="s">
        <v>67</v>
      </c>
      <c r="BN58" s="5" t="s">
        <v>67</v>
      </c>
      <c r="BO58" s="5" t="s">
        <v>67</v>
      </c>
    </row>
    <row r="59" spans="1:67" x14ac:dyDescent="0.25">
      <c r="A59" s="3">
        <v>455</v>
      </c>
      <c r="B59" s="4">
        <v>40933</v>
      </c>
      <c r="H59" s="5" t="s">
        <v>67</v>
      </c>
      <c r="I59" s="3" t="b">
        <v>0</v>
      </c>
      <c r="J59" s="3" t="b">
        <v>0</v>
      </c>
      <c r="K59" s="3" t="b">
        <v>0</v>
      </c>
      <c r="L59" s="3" t="b">
        <v>0</v>
      </c>
      <c r="M59" s="3" t="b">
        <v>0</v>
      </c>
      <c r="N59" s="3" t="b">
        <v>0</v>
      </c>
      <c r="O59" s="3" t="b">
        <v>0</v>
      </c>
      <c r="P59" s="3" t="b">
        <v>0</v>
      </c>
      <c r="Q59" s="3" t="b">
        <v>0</v>
      </c>
      <c r="R59" s="3" t="s">
        <v>67</v>
      </c>
      <c r="S59" s="5" t="s">
        <v>67</v>
      </c>
      <c r="T59" s="3" t="b">
        <v>0</v>
      </c>
      <c r="U59" s="3" t="b">
        <v>0</v>
      </c>
      <c r="V59" s="5" t="s">
        <v>67</v>
      </c>
      <c r="W59" s="5" t="s">
        <v>67</v>
      </c>
      <c r="X59" s="3" t="b">
        <v>0</v>
      </c>
      <c r="Y59" s="3" t="b">
        <v>0</v>
      </c>
      <c r="Z59" s="3" t="b">
        <v>0</v>
      </c>
      <c r="AA59" s="3" t="b">
        <v>0</v>
      </c>
      <c r="AB59" s="5" t="s">
        <v>67</v>
      </c>
      <c r="AC59" s="5" t="s">
        <v>67</v>
      </c>
      <c r="AD59" s="5" t="s">
        <v>67</v>
      </c>
      <c r="AE59" s="5" t="s">
        <v>67</v>
      </c>
      <c r="AF59" s="5" t="s">
        <v>67</v>
      </c>
      <c r="AG59" s="5" t="s">
        <v>67</v>
      </c>
      <c r="AH59" s="5" t="s">
        <v>67</v>
      </c>
      <c r="AI59" s="5" t="s">
        <v>67</v>
      </c>
      <c r="AJ59" s="5" t="s">
        <v>67</v>
      </c>
      <c r="AK59" s="5" t="s">
        <v>67</v>
      </c>
      <c r="AL59" s="5" t="s">
        <v>67</v>
      </c>
      <c r="AM59" s="5" t="s">
        <v>67</v>
      </c>
      <c r="AN59" s="5" t="s">
        <v>67</v>
      </c>
      <c r="AO59" s="5" t="s">
        <v>67</v>
      </c>
      <c r="AP59" s="5" t="s">
        <v>67</v>
      </c>
      <c r="AQ59" s="5" t="s">
        <v>67</v>
      </c>
      <c r="AR59" s="5" t="s">
        <v>67</v>
      </c>
      <c r="AW59" s="5" t="s">
        <v>67</v>
      </c>
      <c r="AX59" s="5" t="s">
        <v>67</v>
      </c>
      <c r="AY59" s="5" t="s">
        <v>67</v>
      </c>
      <c r="AZ59" s="5" t="s">
        <v>67</v>
      </c>
      <c r="BF59" s="5" t="s">
        <v>67</v>
      </c>
      <c r="BG59" s="5" t="s">
        <v>67</v>
      </c>
      <c r="BH59" s="5" t="s">
        <v>67</v>
      </c>
      <c r="BI59" s="5" t="s">
        <v>67</v>
      </c>
      <c r="BJ59" s="5" t="s">
        <v>67</v>
      </c>
      <c r="BK59" s="5" t="s">
        <v>67</v>
      </c>
      <c r="BL59" s="5" t="s">
        <v>67</v>
      </c>
      <c r="BM59" s="5" t="s">
        <v>67</v>
      </c>
      <c r="BN59" s="5" t="s">
        <v>67</v>
      </c>
      <c r="BO59" s="5" t="s">
        <v>67</v>
      </c>
    </row>
    <row r="60" spans="1:67" x14ac:dyDescent="0.25">
      <c r="A60" s="3">
        <v>857</v>
      </c>
      <c r="B60" s="4">
        <v>40933</v>
      </c>
      <c r="H60" s="5" t="s">
        <v>67</v>
      </c>
      <c r="I60" s="3" t="b">
        <v>0</v>
      </c>
      <c r="J60" s="3" t="b">
        <v>0</v>
      </c>
      <c r="K60" s="3" t="b">
        <v>0</v>
      </c>
      <c r="L60" s="3" t="b">
        <v>0</v>
      </c>
      <c r="M60" s="3" t="b">
        <v>0</v>
      </c>
      <c r="N60" s="3" t="b">
        <v>0</v>
      </c>
      <c r="O60" s="3" t="b">
        <v>0</v>
      </c>
      <c r="P60" s="3" t="b">
        <v>0</v>
      </c>
      <c r="Q60" s="3" t="b">
        <v>0</v>
      </c>
      <c r="R60" s="3" t="s">
        <v>67</v>
      </c>
      <c r="S60" s="5" t="s">
        <v>67</v>
      </c>
      <c r="T60" s="3" t="b">
        <v>0</v>
      </c>
      <c r="U60" s="3" t="b">
        <v>0</v>
      </c>
      <c r="V60" s="5" t="s">
        <v>67</v>
      </c>
      <c r="W60" s="5" t="s">
        <v>67</v>
      </c>
      <c r="X60" s="3" t="b">
        <v>0</v>
      </c>
      <c r="Y60" s="3" t="b">
        <v>0</v>
      </c>
      <c r="Z60" s="3" t="b">
        <v>0</v>
      </c>
      <c r="AA60" s="3" t="b">
        <v>0</v>
      </c>
      <c r="AB60" s="5" t="s">
        <v>67</v>
      </c>
      <c r="AC60" s="5" t="s">
        <v>67</v>
      </c>
      <c r="AD60" s="5" t="s">
        <v>67</v>
      </c>
      <c r="AE60" s="5" t="s">
        <v>67</v>
      </c>
      <c r="AF60" s="5" t="s">
        <v>67</v>
      </c>
      <c r="AG60" s="5" t="s">
        <v>67</v>
      </c>
      <c r="AH60" s="5" t="s">
        <v>67</v>
      </c>
      <c r="AI60" s="5" t="s">
        <v>67</v>
      </c>
      <c r="AJ60" s="5" t="s">
        <v>67</v>
      </c>
      <c r="AK60" s="5" t="s">
        <v>67</v>
      </c>
      <c r="AL60" s="5" t="s">
        <v>67</v>
      </c>
      <c r="AM60" s="5" t="s">
        <v>67</v>
      </c>
      <c r="AN60" s="5" t="s">
        <v>67</v>
      </c>
      <c r="AO60" s="5" t="s">
        <v>67</v>
      </c>
      <c r="AP60" s="5" t="s">
        <v>67</v>
      </c>
      <c r="AQ60" s="5" t="s">
        <v>67</v>
      </c>
      <c r="AR60" s="5" t="s">
        <v>67</v>
      </c>
      <c r="AW60" s="5" t="s">
        <v>67</v>
      </c>
      <c r="AX60" s="5" t="s">
        <v>67</v>
      </c>
      <c r="AY60" s="5" t="s">
        <v>67</v>
      </c>
      <c r="AZ60" s="5" t="s">
        <v>67</v>
      </c>
      <c r="BF60" s="5" t="s">
        <v>67</v>
      </c>
      <c r="BG60" s="5" t="s">
        <v>67</v>
      </c>
      <c r="BH60" s="5" t="s">
        <v>67</v>
      </c>
      <c r="BI60" s="5" t="s">
        <v>67</v>
      </c>
      <c r="BJ60" s="5" t="s">
        <v>67</v>
      </c>
      <c r="BK60" s="5" t="s">
        <v>67</v>
      </c>
      <c r="BL60" s="5" t="s">
        <v>67</v>
      </c>
      <c r="BM60" s="5" t="s">
        <v>67</v>
      </c>
      <c r="BN60" s="5" t="s">
        <v>67</v>
      </c>
      <c r="BO60" s="5" t="s">
        <v>67</v>
      </c>
    </row>
    <row r="61" spans="1:67" x14ac:dyDescent="0.25">
      <c r="A61" s="3">
        <v>1414</v>
      </c>
      <c r="B61" s="4">
        <v>42289</v>
      </c>
      <c r="H61" s="5" t="s">
        <v>67</v>
      </c>
      <c r="I61" s="3" t="b">
        <v>0</v>
      </c>
      <c r="J61" s="3" t="b">
        <v>0</v>
      </c>
      <c r="K61" s="3" t="b">
        <v>0</v>
      </c>
      <c r="L61" s="3" t="b">
        <v>0</v>
      </c>
      <c r="M61" s="3" t="b">
        <v>0</v>
      </c>
      <c r="N61" s="3" t="b">
        <v>0</v>
      </c>
      <c r="O61" s="3" t="b">
        <v>0</v>
      </c>
      <c r="P61" s="3" t="b">
        <v>0</v>
      </c>
      <c r="Q61" s="3" t="b">
        <v>0</v>
      </c>
      <c r="R61" s="3" t="s">
        <v>67</v>
      </c>
      <c r="S61" s="5" t="s">
        <v>67</v>
      </c>
      <c r="T61" s="3" t="b">
        <v>0</v>
      </c>
      <c r="U61" s="3" t="b">
        <v>0</v>
      </c>
      <c r="V61" s="5" t="s">
        <v>67</v>
      </c>
      <c r="W61" s="5" t="s">
        <v>67</v>
      </c>
      <c r="X61" s="3" t="b">
        <v>0</v>
      </c>
      <c r="Y61" s="3" t="b">
        <v>0</v>
      </c>
      <c r="Z61" s="3" t="b">
        <v>0</v>
      </c>
      <c r="AA61" s="3" t="b">
        <v>0</v>
      </c>
      <c r="AB61" s="5" t="s">
        <v>67</v>
      </c>
      <c r="AC61" s="5" t="s">
        <v>67</v>
      </c>
      <c r="AD61" s="5" t="s">
        <v>67</v>
      </c>
      <c r="AE61" s="5" t="s">
        <v>67</v>
      </c>
      <c r="AF61" s="5" t="s">
        <v>67</v>
      </c>
      <c r="AG61" s="5" t="s">
        <v>67</v>
      </c>
      <c r="AH61" s="5" t="s">
        <v>67</v>
      </c>
      <c r="AI61" s="5" t="s">
        <v>67</v>
      </c>
      <c r="AJ61" s="5" t="s">
        <v>67</v>
      </c>
      <c r="AK61" s="5" t="s">
        <v>67</v>
      </c>
      <c r="AL61" s="5" t="s">
        <v>67</v>
      </c>
      <c r="AM61" s="5" t="s">
        <v>67</v>
      </c>
      <c r="AN61" s="5" t="s">
        <v>67</v>
      </c>
      <c r="AO61" s="5" t="s">
        <v>67</v>
      </c>
      <c r="AP61" s="5" t="s">
        <v>67</v>
      </c>
      <c r="AQ61" s="5" t="s">
        <v>67</v>
      </c>
      <c r="AR61" s="5" t="s">
        <v>67</v>
      </c>
      <c r="AW61" s="5" t="s">
        <v>67</v>
      </c>
      <c r="AX61" s="5" t="s">
        <v>67</v>
      </c>
      <c r="AY61" s="5" t="s">
        <v>67</v>
      </c>
      <c r="AZ61" s="5" t="s">
        <v>67</v>
      </c>
      <c r="BF61" s="5" t="s">
        <v>67</v>
      </c>
      <c r="BG61" s="5" t="s">
        <v>67</v>
      </c>
      <c r="BH61" s="5" t="s">
        <v>67</v>
      </c>
      <c r="BI61" s="5" t="s">
        <v>67</v>
      </c>
      <c r="BJ61" s="5" t="s">
        <v>67</v>
      </c>
      <c r="BK61" s="5" t="s">
        <v>67</v>
      </c>
      <c r="BL61" s="5" t="s">
        <v>67</v>
      </c>
      <c r="BM61" s="5" t="s">
        <v>67</v>
      </c>
      <c r="BN61" s="5" t="s">
        <v>67</v>
      </c>
      <c r="BO61" s="5" t="s">
        <v>67</v>
      </c>
    </row>
    <row r="62" spans="1:67" ht="225" x14ac:dyDescent="0.25">
      <c r="A62" s="3">
        <v>1447</v>
      </c>
      <c r="B62" s="4">
        <v>42145</v>
      </c>
      <c r="C62" s="3">
        <v>-1771355288</v>
      </c>
      <c r="D62" s="3">
        <v>1231699724</v>
      </c>
      <c r="E62" s="3">
        <v>0</v>
      </c>
      <c r="F62" s="3">
        <v>1424</v>
      </c>
      <c r="H62" s="5" t="s">
        <v>67</v>
      </c>
      <c r="I62" s="3" t="b">
        <v>0</v>
      </c>
      <c r="J62" s="3" t="b">
        <v>0</v>
      </c>
      <c r="K62" s="3" t="b">
        <v>1</v>
      </c>
      <c r="L62" s="3" t="b">
        <v>0</v>
      </c>
      <c r="M62" s="3" t="b">
        <v>1</v>
      </c>
      <c r="N62" s="3" t="b">
        <v>0</v>
      </c>
      <c r="O62" s="3" t="b">
        <v>0</v>
      </c>
      <c r="P62" s="3" t="b">
        <v>0</v>
      </c>
      <c r="Q62" s="3" t="b">
        <v>0</v>
      </c>
      <c r="R62" s="3" t="s">
        <v>613</v>
      </c>
      <c r="S62" s="5" t="s">
        <v>614</v>
      </c>
      <c r="T62" s="3" t="b">
        <v>0</v>
      </c>
      <c r="U62" s="3" t="b">
        <v>1</v>
      </c>
      <c r="V62" s="5" t="s">
        <v>615</v>
      </c>
      <c r="W62" s="5" t="s">
        <v>67</v>
      </c>
      <c r="X62" s="3" t="b">
        <v>0</v>
      </c>
      <c r="Y62" s="3" t="b">
        <v>0</v>
      </c>
      <c r="Z62" s="3" t="b">
        <v>0</v>
      </c>
      <c r="AA62" s="3" t="b">
        <v>0</v>
      </c>
      <c r="AB62" s="5" t="s">
        <v>616</v>
      </c>
      <c r="AC62" s="5" t="s">
        <v>617</v>
      </c>
      <c r="AD62" s="5" t="s">
        <v>67</v>
      </c>
      <c r="AE62" s="5" t="s">
        <v>67</v>
      </c>
      <c r="AF62" s="5" t="s">
        <v>67</v>
      </c>
      <c r="AG62" s="5" t="s">
        <v>618</v>
      </c>
      <c r="AH62" s="5" t="s">
        <v>67</v>
      </c>
      <c r="AI62" s="5" t="s">
        <v>67</v>
      </c>
      <c r="AJ62" s="5" t="s">
        <v>67</v>
      </c>
      <c r="AK62" s="5" t="s">
        <v>67</v>
      </c>
      <c r="AL62" s="5" t="s">
        <v>67</v>
      </c>
      <c r="AM62" s="5" t="s">
        <v>67</v>
      </c>
      <c r="AN62" s="5" t="s">
        <v>67</v>
      </c>
      <c r="AO62" s="5" t="s">
        <v>67</v>
      </c>
      <c r="AP62" s="5" t="s">
        <v>67</v>
      </c>
      <c r="AQ62" s="5" t="s">
        <v>67</v>
      </c>
      <c r="AR62" s="5" t="s">
        <v>67</v>
      </c>
      <c r="AS62" s="3">
        <v>1429891015</v>
      </c>
      <c r="AT62" s="3">
        <v>1231232923</v>
      </c>
      <c r="AU62" s="3">
        <v>1290764579</v>
      </c>
      <c r="AW62" s="5" t="s">
        <v>67</v>
      </c>
      <c r="AX62" s="5" t="s">
        <v>67</v>
      </c>
      <c r="AY62" s="5" t="s">
        <v>67</v>
      </c>
      <c r="AZ62" s="5" t="s">
        <v>67</v>
      </c>
      <c r="BA62" s="3">
        <v>107</v>
      </c>
      <c r="BB62" s="3">
        <v>0</v>
      </c>
      <c r="BC62" s="3">
        <v>0</v>
      </c>
      <c r="BD62" s="3">
        <v>1533</v>
      </c>
      <c r="BE62" s="3">
        <v>1533</v>
      </c>
      <c r="BF62" s="5" t="s">
        <v>67</v>
      </c>
      <c r="BG62" s="5" t="s">
        <v>619</v>
      </c>
      <c r="BH62" s="5" t="s">
        <v>620</v>
      </c>
      <c r="BI62" s="5" t="s">
        <v>67</v>
      </c>
      <c r="BJ62" s="5" t="s">
        <v>213</v>
      </c>
      <c r="BK62" s="5" t="s">
        <v>67</v>
      </c>
      <c r="BL62" s="5" t="s">
        <v>67</v>
      </c>
      <c r="BM62" s="5" t="s">
        <v>67</v>
      </c>
      <c r="BN62" s="5" t="s">
        <v>67</v>
      </c>
      <c r="BO62" s="5" t="s">
        <v>67</v>
      </c>
    </row>
    <row r="63" spans="1:67" ht="75" x14ac:dyDescent="0.25">
      <c r="A63" s="3">
        <v>1452</v>
      </c>
      <c r="B63" s="4">
        <v>37858.369212963</v>
      </c>
      <c r="C63" s="3">
        <v>132</v>
      </c>
      <c r="D63" s="3">
        <v>-936114117</v>
      </c>
      <c r="E63" s="3">
        <v>0</v>
      </c>
      <c r="F63" s="3">
        <v>269</v>
      </c>
      <c r="G63" s="3">
        <v>269</v>
      </c>
      <c r="H63" s="5" t="s">
        <v>67</v>
      </c>
      <c r="I63" s="3" t="b">
        <v>0</v>
      </c>
      <c r="J63" s="3" t="b">
        <v>0</v>
      </c>
      <c r="K63" s="3" t="b">
        <v>0</v>
      </c>
      <c r="L63" s="3" t="b">
        <v>0</v>
      </c>
      <c r="M63" s="3" t="b">
        <v>0</v>
      </c>
      <c r="N63" s="3" t="b">
        <v>0</v>
      </c>
      <c r="O63" s="3" t="b">
        <v>0</v>
      </c>
      <c r="P63" s="3" t="b">
        <v>0</v>
      </c>
      <c r="Q63" s="3" t="b">
        <v>0</v>
      </c>
      <c r="R63" s="3" t="s">
        <v>67</v>
      </c>
      <c r="S63" s="5" t="s">
        <v>621</v>
      </c>
      <c r="T63" s="3" t="b">
        <v>0</v>
      </c>
      <c r="U63" s="3" t="b">
        <v>0</v>
      </c>
      <c r="V63" s="5" t="s">
        <v>67</v>
      </c>
      <c r="W63" s="5" t="s">
        <v>67</v>
      </c>
      <c r="X63" s="3" t="b">
        <v>0</v>
      </c>
      <c r="Y63" s="3" t="b">
        <v>0</v>
      </c>
      <c r="Z63" s="3" t="b">
        <v>0</v>
      </c>
      <c r="AA63" s="3" t="b">
        <v>0</v>
      </c>
      <c r="AB63" s="5" t="s">
        <v>120</v>
      </c>
      <c r="AC63" s="5" t="s">
        <v>622</v>
      </c>
      <c r="AD63" s="5" t="s">
        <v>67</v>
      </c>
      <c r="AE63" s="5" t="s">
        <v>67</v>
      </c>
      <c r="AF63" s="5" t="s">
        <v>67</v>
      </c>
      <c r="AG63" s="5" t="s">
        <v>67</v>
      </c>
      <c r="AH63" s="5" t="s">
        <v>67</v>
      </c>
      <c r="AI63" s="5" t="s">
        <v>67</v>
      </c>
      <c r="AJ63" s="5" t="s">
        <v>67</v>
      </c>
      <c r="AK63" s="5" t="s">
        <v>67</v>
      </c>
      <c r="AL63" s="5" t="s">
        <v>67</v>
      </c>
      <c r="AM63" s="5" t="s">
        <v>67</v>
      </c>
      <c r="AN63" s="5" t="s">
        <v>67</v>
      </c>
      <c r="AO63" s="5" t="s">
        <v>67</v>
      </c>
      <c r="AP63" s="5" t="s">
        <v>67</v>
      </c>
      <c r="AQ63" s="5" t="s">
        <v>67</v>
      </c>
      <c r="AR63" s="5" t="s">
        <v>67</v>
      </c>
      <c r="AW63" s="5" t="s">
        <v>67</v>
      </c>
      <c r="AX63" s="5" t="s">
        <v>67</v>
      </c>
      <c r="AY63" s="5" t="s">
        <v>67</v>
      </c>
      <c r="AZ63" s="5" t="s">
        <v>67</v>
      </c>
      <c r="BA63" s="3">
        <v>107</v>
      </c>
      <c r="BB63" s="3">
        <v>0</v>
      </c>
      <c r="BC63" s="3">
        <v>0</v>
      </c>
      <c r="BD63" s="3">
        <v>1533</v>
      </c>
      <c r="BE63" s="3">
        <v>1533</v>
      </c>
      <c r="BF63" s="5" t="s">
        <v>67</v>
      </c>
      <c r="BG63" s="5" t="s">
        <v>623</v>
      </c>
      <c r="BH63" s="5" t="s">
        <v>624</v>
      </c>
      <c r="BI63" s="5" t="s">
        <v>67</v>
      </c>
      <c r="BJ63" s="5" t="s">
        <v>625</v>
      </c>
      <c r="BK63" s="5" t="s">
        <v>67</v>
      </c>
      <c r="BL63" s="5" t="s">
        <v>67</v>
      </c>
      <c r="BM63" s="5" t="s">
        <v>67</v>
      </c>
      <c r="BN63" s="5" t="s">
        <v>67</v>
      </c>
      <c r="BO63" s="5" t="s">
        <v>67</v>
      </c>
    </row>
    <row r="64" spans="1:67" ht="105" x14ac:dyDescent="0.25">
      <c r="A64" s="3">
        <v>1507</v>
      </c>
      <c r="B64" s="4">
        <v>37847.366562499999</v>
      </c>
      <c r="C64" s="3">
        <v>125</v>
      </c>
      <c r="D64" s="3">
        <v>0</v>
      </c>
      <c r="E64" s="3">
        <v>0</v>
      </c>
      <c r="F64" s="3">
        <v>0</v>
      </c>
      <c r="H64" s="5" t="s">
        <v>67</v>
      </c>
      <c r="I64" s="3" t="b">
        <v>0</v>
      </c>
      <c r="J64" s="3" t="b">
        <v>0</v>
      </c>
      <c r="K64" s="3" t="b">
        <v>0</v>
      </c>
      <c r="L64" s="3" t="b">
        <v>0</v>
      </c>
      <c r="M64" s="3" t="b">
        <v>0</v>
      </c>
      <c r="N64" s="3" t="b">
        <v>0</v>
      </c>
      <c r="O64" s="3" t="b">
        <v>0</v>
      </c>
      <c r="P64" s="3" t="b">
        <v>0</v>
      </c>
      <c r="Q64" s="3" t="b">
        <v>0</v>
      </c>
      <c r="R64" s="3" t="s">
        <v>67</v>
      </c>
      <c r="S64" s="5" t="s">
        <v>626</v>
      </c>
      <c r="T64" s="3" t="b">
        <v>0</v>
      </c>
      <c r="U64" s="3" t="b">
        <v>1</v>
      </c>
      <c r="V64" s="5" t="s">
        <v>67</v>
      </c>
      <c r="W64" s="5" t="s">
        <v>67</v>
      </c>
      <c r="X64" s="3" t="b">
        <v>0</v>
      </c>
      <c r="Y64" s="3" t="b">
        <v>0</v>
      </c>
      <c r="Z64" s="3" t="b">
        <v>0</v>
      </c>
      <c r="AA64" s="3" t="b">
        <v>0</v>
      </c>
      <c r="AB64" s="5" t="s">
        <v>120</v>
      </c>
      <c r="AC64" s="5" t="s">
        <v>627</v>
      </c>
      <c r="AD64" s="5" t="s">
        <v>67</v>
      </c>
      <c r="AE64" s="5" t="s">
        <v>67</v>
      </c>
      <c r="AF64" s="5" t="s">
        <v>67</v>
      </c>
      <c r="AG64" s="5" t="s">
        <v>628</v>
      </c>
      <c r="AH64" s="5" t="s">
        <v>67</v>
      </c>
      <c r="AI64" s="5" t="s">
        <v>67</v>
      </c>
      <c r="AJ64" s="5" t="s">
        <v>67</v>
      </c>
      <c r="AK64" s="5" t="s">
        <v>67</v>
      </c>
      <c r="AL64" s="5" t="s">
        <v>67</v>
      </c>
      <c r="AM64" s="5" t="s">
        <v>67</v>
      </c>
      <c r="AN64" s="5" t="s">
        <v>67</v>
      </c>
      <c r="AO64" s="5" t="s">
        <v>67</v>
      </c>
      <c r="AP64" s="5" t="s">
        <v>67</v>
      </c>
      <c r="AQ64" s="5" t="s">
        <v>67</v>
      </c>
      <c r="AR64" s="5" t="s">
        <v>67</v>
      </c>
      <c r="AW64" s="5" t="s">
        <v>67</v>
      </c>
      <c r="AX64" s="5" t="s">
        <v>67</v>
      </c>
      <c r="AY64" s="5" t="s">
        <v>67</v>
      </c>
      <c r="AZ64" s="5" t="s">
        <v>67</v>
      </c>
      <c r="BA64" s="3">
        <v>1431399595</v>
      </c>
      <c r="BB64" s="3">
        <v>0</v>
      </c>
      <c r="BC64" s="3">
        <v>0</v>
      </c>
      <c r="BD64" s="3">
        <v>1948</v>
      </c>
      <c r="BE64" s="3">
        <v>1948</v>
      </c>
      <c r="BF64" s="5" t="s">
        <v>67</v>
      </c>
      <c r="BG64" s="5" t="s">
        <v>629</v>
      </c>
      <c r="BH64" s="5" t="s">
        <v>515</v>
      </c>
      <c r="BI64" s="5" t="s">
        <v>67</v>
      </c>
      <c r="BJ64" s="5" t="s">
        <v>630</v>
      </c>
      <c r="BK64" s="5" t="s">
        <v>67</v>
      </c>
      <c r="BL64" s="5" t="s">
        <v>67</v>
      </c>
      <c r="BM64" s="5" t="s">
        <v>67</v>
      </c>
      <c r="BN64" s="5" t="s">
        <v>67</v>
      </c>
      <c r="BO64" s="5" t="s">
        <v>67</v>
      </c>
    </row>
    <row r="65" spans="1:67" ht="165" x14ac:dyDescent="0.25">
      <c r="A65" s="3">
        <v>1508</v>
      </c>
      <c r="B65" s="4">
        <v>37847.3843402778</v>
      </c>
      <c r="C65" s="3">
        <v>125</v>
      </c>
      <c r="D65" s="3">
        <v>0</v>
      </c>
      <c r="E65" s="3">
        <v>0</v>
      </c>
      <c r="F65" s="3">
        <v>0</v>
      </c>
      <c r="H65" s="5" t="s">
        <v>67</v>
      </c>
      <c r="I65" s="3" t="b">
        <v>0</v>
      </c>
      <c r="J65" s="3" t="b">
        <v>0</v>
      </c>
      <c r="K65" s="3" t="b">
        <v>0</v>
      </c>
      <c r="L65" s="3" t="b">
        <v>0</v>
      </c>
      <c r="M65" s="3" t="b">
        <v>0</v>
      </c>
      <c r="N65" s="3" t="b">
        <v>0</v>
      </c>
      <c r="O65" s="3" t="b">
        <v>0</v>
      </c>
      <c r="P65" s="3" t="b">
        <v>0</v>
      </c>
      <c r="Q65" s="3" t="b">
        <v>0</v>
      </c>
      <c r="R65" s="3" t="s">
        <v>67</v>
      </c>
      <c r="S65" s="5" t="s">
        <v>631</v>
      </c>
      <c r="T65" s="3" t="b">
        <v>1</v>
      </c>
      <c r="U65" s="3" t="b">
        <v>1</v>
      </c>
      <c r="V65" s="5" t="s">
        <v>67</v>
      </c>
      <c r="W65" s="5" t="s">
        <v>67</v>
      </c>
      <c r="X65" s="3" t="b">
        <v>0</v>
      </c>
      <c r="Y65" s="3" t="b">
        <v>0</v>
      </c>
      <c r="Z65" s="3" t="b">
        <v>0</v>
      </c>
      <c r="AA65" s="3" t="b">
        <v>0</v>
      </c>
      <c r="AB65" s="5" t="s">
        <v>120</v>
      </c>
      <c r="AC65" s="5" t="s">
        <v>632</v>
      </c>
      <c r="AD65" s="5" t="s">
        <v>67</v>
      </c>
      <c r="AE65" s="5" t="s">
        <v>67</v>
      </c>
      <c r="AF65" s="5" t="s">
        <v>67</v>
      </c>
      <c r="AG65" s="5" t="s">
        <v>633</v>
      </c>
      <c r="AH65" s="5" t="s">
        <v>67</v>
      </c>
      <c r="AI65" s="5" t="s">
        <v>67</v>
      </c>
      <c r="AJ65" s="5" t="s">
        <v>67</v>
      </c>
      <c r="AK65" s="5" t="s">
        <v>67</v>
      </c>
      <c r="AL65" s="5" t="s">
        <v>67</v>
      </c>
      <c r="AM65" s="5" t="s">
        <v>67</v>
      </c>
      <c r="AN65" s="5" t="s">
        <v>67</v>
      </c>
      <c r="AO65" s="5" t="s">
        <v>67</v>
      </c>
      <c r="AP65" s="5" t="s">
        <v>67</v>
      </c>
      <c r="AQ65" s="5" t="s">
        <v>67</v>
      </c>
      <c r="AR65" s="5" t="s">
        <v>67</v>
      </c>
      <c r="AW65" s="5" t="s">
        <v>67</v>
      </c>
      <c r="AX65" s="5" t="s">
        <v>67</v>
      </c>
      <c r="AY65" s="5" t="s">
        <v>67</v>
      </c>
      <c r="AZ65" s="5" t="s">
        <v>67</v>
      </c>
      <c r="BA65" s="3">
        <v>1431399595</v>
      </c>
      <c r="BB65" s="3">
        <v>0</v>
      </c>
      <c r="BC65" s="3">
        <v>0</v>
      </c>
      <c r="BD65" s="3">
        <v>1948</v>
      </c>
      <c r="BE65" s="3">
        <v>1948</v>
      </c>
      <c r="BF65" s="5" t="s">
        <v>67</v>
      </c>
      <c r="BG65" s="5" t="s">
        <v>634</v>
      </c>
      <c r="BH65" s="5" t="s">
        <v>515</v>
      </c>
      <c r="BI65" s="5" t="s">
        <v>67</v>
      </c>
      <c r="BJ65" s="5" t="s">
        <v>635</v>
      </c>
      <c r="BK65" s="5" t="s">
        <v>67</v>
      </c>
      <c r="BL65" s="5" t="s">
        <v>67</v>
      </c>
      <c r="BM65" s="5" t="s">
        <v>67</v>
      </c>
      <c r="BN65" s="5" t="s">
        <v>67</v>
      </c>
      <c r="BO65" s="5" t="s">
        <v>67</v>
      </c>
    </row>
    <row r="66" spans="1:67" ht="60" x14ac:dyDescent="0.25">
      <c r="A66" s="3">
        <v>1511</v>
      </c>
      <c r="B66" s="4">
        <v>42131</v>
      </c>
      <c r="C66" s="3">
        <v>2210</v>
      </c>
      <c r="D66" s="3">
        <v>2210</v>
      </c>
      <c r="E66" s="3">
        <v>0</v>
      </c>
      <c r="F66" s="3">
        <v>0</v>
      </c>
      <c r="H66" s="5" t="s">
        <v>67</v>
      </c>
      <c r="I66" s="3" t="b">
        <v>0</v>
      </c>
      <c r="J66" s="3" t="b">
        <v>0</v>
      </c>
      <c r="K66" s="3" t="b">
        <v>0</v>
      </c>
      <c r="L66" s="3" t="b">
        <v>0</v>
      </c>
      <c r="M66" s="3" t="b">
        <v>0</v>
      </c>
      <c r="N66" s="3" t="b">
        <v>0</v>
      </c>
      <c r="O66" s="3" t="b">
        <v>0</v>
      </c>
      <c r="P66" s="3" t="b">
        <v>0</v>
      </c>
      <c r="Q66" s="3" t="b">
        <v>0</v>
      </c>
      <c r="R66" s="3" t="s">
        <v>67</v>
      </c>
      <c r="S66" s="5" t="s">
        <v>636</v>
      </c>
      <c r="T66" s="3" t="b">
        <v>0</v>
      </c>
      <c r="U66" s="3" t="b">
        <v>1</v>
      </c>
      <c r="V66" s="5" t="s">
        <v>67</v>
      </c>
      <c r="W66" s="5" t="s">
        <v>67</v>
      </c>
      <c r="X66" s="3" t="b">
        <v>0</v>
      </c>
      <c r="Y66" s="3" t="b">
        <v>0</v>
      </c>
      <c r="Z66" s="3" t="b">
        <v>0</v>
      </c>
      <c r="AA66" s="3" t="b">
        <v>0</v>
      </c>
      <c r="AB66" s="5" t="s">
        <v>637</v>
      </c>
      <c r="AC66" s="5" t="s">
        <v>638</v>
      </c>
      <c r="AD66" s="5" t="s">
        <v>67</v>
      </c>
      <c r="AE66" s="5" t="s">
        <v>67</v>
      </c>
      <c r="AF66" s="5" t="s">
        <v>67</v>
      </c>
      <c r="AG66" s="5" t="s">
        <v>67</v>
      </c>
      <c r="AH66" s="5" t="s">
        <v>67</v>
      </c>
      <c r="AI66" s="5" t="s">
        <v>67</v>
      </c>
      <c r="AJ66" s="5" t="s">
        <v>67</v>
      </c>
      <c r="AK66" s="5" t="s">
        <v>67</v>
      </c>
      <c r="AL66" s="5" t="s">
        <v>67</v>
      </c>
      <c r="AM66" s="5" t="s">
        <v>67</v>
      </c>
      <c r="AN66" s="5" t="s">
        <v>67</v>
      </c>
      <c r="AO66" s="5" t="s">
        <v>67</v>
      </c>
      <c r="AP66" s="5" t="s">
        <v>67</v>
      </c>
      <c r="AQ66" s="5" t="s">
        <v>67</v>
      </c>
      <c r="AR66" s="5" t="s">
        <v>67</v>
      </c>
      <c r="AW66" s="5" t="s">
        <v>67</v>
      </c>
      <c r="AX66" s="5" t="s">
        <v>67</v>
      </c>
      <c r="AY66" s="5" t="s">
        <v>67</v>
      </c>
      <c r="AZ66" s="5" t="s">
        <v>67</v>
      </c>
      <c r="BB66" s="3">
        <v>0</v>
      </c>
      <c r="BC66" s="3">
        <v>0</v>
      </c>
      <c r="BE66" s="3">
        <v>0</v>
      </c>
      <c r="BF66" s="5" t="s">
        <v>67</v>
      </c>
      <c r="BG66" s="5" t="s">
        <v>97</v>
      </c>
      <c r="BH66" s="5" t="s">
        <v>67</v>
      </c>
      <c r="BI66" s="5" t="s">
        <v>67</v>
      </c>
      <c r="BJ66" s="5" t="s">
        <v>67</v>
      </c>
      <c r="BK66" s="5" t="s">
        <v>67</v>
      </c>
      <c r="BL66" s="5" t="s">
        <v>67</v>
      </c>
      <c r="BM66" s="5" t="s">
        <v>67</v>
      </c>
      <c r="BN66" s="5" t="s">
        <v>67</v>
      </c>
      <c r="BO66" s="5" t="s">
        <v>67</v>
      </c>
    </row>
    <row r="67" spans="1:67" ht="409.5" x14ac:dyDescent="0.25">
      <c r="A67" s="3">
        <v>1512</v>
      </c>
      <c r="B67" s="4">
        <v>42852</v>
      </c>
      <c r="C67" s="3">
        <v>2146189236</v>
      </c>
      <c r="D67" s="3">
        <v>1542885674</v>
      </c>
      <c r="G67" s="3">
        <v>1542885674</v>
      </c>
      <c r="H67" s="5" t="s">
        <v>67</v>
      </c>
      <c r="I67" s="3" t="b">
        <v>0</v>
      </c>
      <c r="J67" s="3" t="b">
        <v>0</v>
      </c>
      <c r="K67" s="3" t="b">
        <v>0</v>
      </c>
      <c r="L67" s="3" t="b">
        <v>1</v>
      </c>
      <c r="M67" s="3" t="b">
        <v>0</v>
      </c>
      <c r="N67" s="3" t="b">
        <v>1</v>
      </c>
      <c r="O67" s="3" t="b">
        <v>0</v>
      </c>
      <c r="P67" s="3" t="b">
        <v>0</v>
      </c>
      <c r="Q67" s="3" t="b">
        <v>0</v>
      </c>
      <c r="R67" s="3" t="s">
        <v>639</v>
      </c>
      <c r="S67" s="5" t="s">
        <v>640</v>
      </c>
      <c r="T67" s="3" t="b">
        <v>0</v>
      </c>
      <c r="U67" s="3" t="b">
        <v>1</v>
      </c>
      <c r="V67" s="5" t="s">
        <v>641</v>
      </c>
      <c r="W67" s="5" t="s">
        <v>642</v>
      </c>
      <c r="X67" s="3" t="b">
        <v>0</v>
      </c>
      <c r="Y67" s="3" t="b">
        <v>0</v>
      </c>
      <c r="Z67" s="3" t="b">
        <v>0</v>
      </c>
      <c r="AA67" s="3" t="b">
        <v>0</v>
      </c>
      <c r="AB67" s="5" t="s">
        <v>643</v>
      </c>
      <c r="AC67" s="5" t="s">
        <v>644</v>
      </c>
      <c r="AD67" s="5" t="s">
        <v>645</v>
      </c>
      <c r="AE67" s="5" t="s">
        <v>67</v>
      </c>
      <c r="AF67" s="5" t="s">
        <v>646</v>
      </c>
      <c r="AG67" s="5" t="s">
        <v>67</v>
      </c>
      <c r="AH67" s="5" t="s">
        <v>647</v>
      </c>
      <c r="AI67" s="5" t="s">
        <v>648</v>
      </c>
      <c r="AJ67" s="5" t="s">
        <v>649</v>
      </c>
      <c r="AK67" s="5" t="s">
        <v>650</v>
      </c>
      <c r="AL67" s="5" t="s">
        <v>67</v>
      </c>
      <c r="AM67" s="5" t="s">
        <v>651</v>
      </c>
      <c r="AN67" s="5" t="s">
        <v>652</v>
      </c>
      <c r="AO67" s="5" t="s">
        <v>67</v>
      </c>
      <c r="AP67" s="5" t="s">
        <v>653</v>
      </c>
      <c r="AQ67" s="5" t="s">
        <v>67</v>
      </c>
      <c r="AR67" s="5" t="s">
        <v>67</v>
      </c>
      <c r="AS67" s="3">
        <v>2146189591</v>
      </c>
      <c r="AT67" s="3">
        <v>2146189770</v>
      </c>
      <c r="AU67" s="3">
        <v>2146189781</v>
      </c>
      <c r="AW67" s="5" t="s">
        <v>67</v>
      </c>
      <c r="AX67" s="5" t="s">
        <v>67</v>
      </c>
      <c r="AY67" s="5" t="s">
        <v>67</v>
      </c>
      <c r="AZ67" s="5" t="s">
        <v>67</v>
      </c>
      <c r="BA67" s="3">
        <v>2146189745</v>
      </c>
      <c r="BC67" s="3">
        <v>0</v>
      </c>
      <c r="BD67" s="3">
        <v>2146189004</v>
      </c>
      <c r="BE67" s="3">
        <v>2146189004</v>
      </c>
      <c r="BF67" s="5" t="s">
        <v>67</v>
      </c>
      <c r="BG67" s="5" t="s">
        <v>654</v>
      </c>
      <c r="BH67" s="5" t="s">
        <v>655</v>
      </c>
      <c r="BI67" s="5" t="s">
        <v>74</v>
      </c>
      <c r="BJ67" s="5" t="s">
        <v>656</v>
      </c>
      <c r="BK67" s="5" t="s">
        <v>657</v>
      </c>
      <c r="BL67" s="5" t="s">
        <v>658</v>
      </c>
      <c r="BM67" s="5" t="s">
        <v>659</v>
      </c>
      <c r="BN67" s="5" t="s">
        <v>67</v>
      </c>
      <c r="BO67" s="5" t="s">
        <v>67</v>
      </c>
    </row>
    <row r="68" spans="1:67" ht="150" x14ac:dyDescent="0.25">
      <c r="A68" s="3">
        <v>1513</v>
      </c>
      <c r="B68" s="4">
        <v>37847.4518634259</v>
      </c>
      <c r="C68" s="3">
        <v>0</v>
      </c>
      <c r="D68" s="3">
        <v>0</v>
      </c>
      <c r="E68" s="3">
        <v>0</v>
      </c>
      <c r="F68" s="3">
        <v>0</v>
      </c>
      <c r="G68" s="3">
        <v>0</v>
      </c>
      <c r="H68" s="5" t="s">
        <v>67</v>
      </c>
      <c r="I68" s="3" t="b">
        <v>0</v>
      </c>
      <c r="J68" s="3" t="b">
        <v>0</v>
      </c>
      <c r="K68" s="3" t="b">
        <v>0</v>
      </c>
      <c r="L68" s="3" t="b">
        <v>0</v>
      </c>
      <c r="M68" s="3" t="b">
        <v>0</v>
      </c>
      <c r="N68" s="3" t="b">
        <v>0</v>
      </c>
      <c r="O68" s="3" t="b">
        <v>0</v>
      </c>
      <c r="P68" s="3" t="b">
        <v>0</v>
      </c>
      <c r="Q68" s="3" t="b">
        <v>0</v>
      </c>
      <c r="R68" s="3" t="s">
        <v>67</v>
      </c>
      <c r="S68" s="5" t="s">
        <v>660</v>
      </c>
      <c r="T68" s="3" t="b">
        <v>0</v>
      </c>
      <c r="U68" s="3" t="b">
        <v>0</v>
      </c>
      <c r="V68" s="5" t="s">
        <v>67</v>
      </c>
      <c r="W68" s="5" t="s">
        <v>67</v>
      </c>
      <c r="X68" s="3" t="b">
        <v>0</v>
      </c>
      <c r="Y68" s="3" t="b">
        <v>0</v>
      </c>
      <c r="Z68" s="3" t="b">
        <v>0</v>
      </c>
      <c r="AA68" s="3" t="b">
        <v>0</v>
      </c>
      <c r="AB68" s="5" t="s">
        <v>661</v>
      </c>
      <c r="AC68" s="5" t="s">
        <v>662</v>
      </c>
      <c r="AD68" s="5" t="s">
        <v>67</v>
      </c>
      <c r="AE68" s="5" t="s">
        <v>67</v>
      </c>
      <c r="AF68" s="5" t="s">
        <v>67</v>
      </c>
      <c r="AG68" s="5" t="s">
        <v>67</v>
      </c>
      <c r="AH68" s="5" t="s">
        <v>67</v>
      </c>
      <c r="AI68" s="5" t="s">
        <v>67</v>
      </c>
      <c r="AJ68" s="5" t="s">
        <v>67</v>
      </c>
      <c r="AK68" s="5" t="s">
        <v>67</v>
      </c>
      <c r="AL68" s="5" t="s">
        <v>67</v>
      </c>
      <c r="AM68" s="5" t="s">
        <v>67</v>
      </c>
      <c r="AN68" s="5" t="s">
        <v>67</v>
      </c>
      <c r="AO68" s="5" t="s">
        <v>67</v>
      </c>
      <c r="AP68" s="5" t="s">
        <v>67</v>
      </c>
      <c r="AQ68" s="5" t="s">
        <v>67</v>
      </c>
      <c r="AR68" s="5" t="s">
        <v>67</v>
      </c>
      <c r="AW68" s="5" t="s">
        <v>67</v>
      </c>
      <c r="AX68" s="5" t="s">
        <v>67</v>
      </c>
      <c r="AY68" s="5" t="s">
        <v>67</v>
      </c>
      <c r="AZ68" s="5" t="s">
        <v>67</v>
      </c>
      <c r="BA68" s="3">
        <v>107</v>
      </c>
      <c r="BB68" s="3">
        <v>0</v>
      </c>
      <c r="BC68" s="3">
        <v>0</v>
      </c>
      <c r="BD68" s="3">
        <v>0</v>
      </c>
      <c r="BE68" s="3">
        <v>0</v>
      </c>
      <c r="BF68" s="5" t="s">
        <v>67</v>
      </c>
      <c r="BG68" s="5" t="s">
        <v>97</v>
      </c>
      <c r="BH68" s="5" t="s">
        <v>515</v>
      </c>
      <c r="BI68" s="5" t="s">
        <v>67</v>
      </c>
      <c r="BJ68" s="5" t="s">
        <v>663</v>
      </c>
      <c r="BK68" s="5" t="s">
        <v>67</v>
      </c>
      <c r="BL68" s="5" t="s">
        <v>67</v>
      </c>
      <c r="BM68" s="5" t="s">
        <v>67</v>
      </c>
      <c r="BN68" s="5" t="s">
        <v>67</v>
      </c>
      <c r="BO68" s="5" t="s">
        <v>67</v>
      </c>
    </row>
    <row r="69" spans="1:67" ht="225" x14ac:dyDescent="0.25">
      <c r="A69" s="3">
        <v>1578</v>
      </c>
      <c r="B69" s="4">
        <v>41092</v>
      </c>
      <c r="C69" s="3">
        <v>2621</v>
      </c>
      <c r="D69" s="3">
        <v>1456</v>
      </c>
      <c r="E69" s="3">
        <v>2621</v>
      </c>
      <c r="F69" s="3">
        <v>1058535655</v>
      </c>
      <c r="G69" s="3">
        <v>2621</v>
      </c>
      <c r="H69" s="5" t="s">
        <v>67</v>
      </c>
      <c r="I69" s="3" t="b">
        <v>0</v>
      </c>
      <c r="J69" s="3" t="b">
        <v>0</v>
      </c>
      <c r="K69" s="3" t="b">
        <v>0</v>
      </c>
      <c r="L69" s="3" t="b">
        <v>0</v>
      </c>
      <c r="M69" s="3" t="b">
        <v>0</v>
      </c>
      <c r="N69" s="3" t="b">
        <v>0</v>
      </c>
      <c r="O69" s="3" t="b">
        <v>0</v>
      </c>
      <c r="P69" s="3" t="b">
        <v>0</v>
      </c>
      <c r="Q69" s="3" t="b">
        <v>0</v>
      </c>
      <c r="R69" s="3" t="s">
        <v>67</v>
      </c>
      <c r="S69" s="5" t="s">
        <v>664</v>
      </c>
      <c r="T69" s="3" t="b">
        <v>1</v>
      </c>
      <c r="U69" s="3" t="b">
        <v>1</v>
      </c>
      <c r="V69" s="5" t="s">
        <v>67</v>
      </c>
      <c r="W69" s="5" t="s">
        <v>67</v>
      </c>
      <c r="X69" s="3" t="b">
        <v>0</v>
      </c>
      <c r="Y69" s="3" t="b">
        <v>0</v>
      </c>
      <c r="Z69" s="3" t="b">
        <v>0</v>
      </c>
      <c r="AA69" s="3" t="b">
        <v>0</v>
      </c>
      <c r="AB69" s="5" t="s">
        <v>665</v>
      </c>
      <c r="AC69" s="5" t="s">
        <v>666</v>
      </c>
      <c r="AD69" s="5" t="s">
        <v>667</v>
      </c>
      <c r="AE69" s="5" t="s">
        <v>668</v>
      </c>
      <c r="AF69" s="5" t="s">
        <v>669</v>
      </c>
      <c r="AG69" s="5" t="s">
        <v>670</v>
      </c>
      <c r="AH69" s="5" t="s">
        <v>67</v>
      </c>
      <c r="AI69" s="5" t="s">
        <v>67</v>
      </c>
      <c r="AJ69" s="5" t="s">
        <v>67</v>
      </c>
      <c r="AK69" s="5" t="s">
        <v>67</v>
      </c>
      <c r="AL69" s="5" t="s">
        <v>67</v>
      </c>
      <c r="AM69" s="5" t="s">
        <v>67</v>
      </c>
      <c r="AN69" s="5" t="s">
        <v>67</v>
      </c>
      <c r="AO69" s="5" t="s">
        <v>67</v>
      </c>
      <c r="AP69" s="5" t="s">
        <v>67</v>
      </c>
      <c r="AQ69" s="5" t="s">
        <v>67</v>
      </c>
      <c r="AR69" s="5" t="s">
        <v>67</v>
      </c>
      <c r="AT69" s="3">
        <v>-707996126</v>
      </c>
      <c r="AU69" s="3">
        <v>1174489966</v>
      </c>
      <c r="AW69" s="5" t="s">
        <v>67</v>
      </c>
      <c r="AX69" s="5" t="s">
        <v>67</v>
      </c>
      <c r="AY69" s="5" t="s">
        <v>67</v>
      </c>
      <c r="AZ69" s="5" t="s">
        <v>67</v>
      </c>
      <c r="BA69" s="3">
        <v>107</v>
      </c>
      <c r="BB69" s="3">
        <v>1714</v>
      </c>
      <c r="BE69" s="3">
        <v>2210</v>
      </c>
      <c r="BF69" s="5" t="s">
        <v>67</v>
      </c>
      <c r="BG69" s="5" t="s">
        <v>67</v>
      </c>
      <c r="BH69" s="5" t="s">
        <v>671</v>
      </c>
      <c r="BI69" s="5" t="s">
        <v>210</v>
      </c>
      <c r="BJ69" s="5" t="s">
        <v>672</v>
      </c>
      <c r="BK69" s="5" t="s">
        <v>673</v>
      </c>
      <c r="BL69" s="5" t="s">
        <v>674</v>
      </c>
      <c r="BM69" s="5" t="s">
        <v>672</v>
      </c>
      <c r="BN69" s="5" t="s">
        <v>675</v>
      </c>
      <c r="BO69" s="5" t="s">
        <v>676</v>
      </c>
    </row>
    <row r="70" spans="1:67" ht="315" x14ac:dyDescent="0.25">
      <c r="A70" s="3">
        <v>1630</v>
      </c>
      <c r="B70" s="4">
        <v>37809.760717592602</v>
      </c>
      <c r="C70" s="3">
        <v>2210</v>
      </c>
      <c r="D70" s="3">
        <v>2034</v>
      </c>
      <c r="G70" s="3">
        <v>2677</v>
      </c>
      <c r="H70" s="5" t="s">
        <v>67</v>
      </c>
      <c r="I70" s="3" t="b">
        <v>0</v>
      </c>
      <c r="J70" s="3" t="b">
        <v>0</v>
      </c>
      <c r="K70" s="3" t="b">
        <v>0</v>
      </c>
      <c r="L70" s="3" t="b">
        <v>0</v>
      </c>
      <c r="M70" s="3" t="b">
        <v>0</v>
      </c>
      <c r="N70" s="3" t="b">
        <v>0</v>
      </c>
      <c r="O70" s="3" t="b">
        <v>0</v>
      </c>
      <c r="P70" s="3" t="b">
        <v>0</v>
      </c>
      <c r="Q70" s="3" t="b">
        <v>0</v>
      </c>
      <c r="R70" s="3" t="s">
        <v>67</v>
      </c>
      <c r="S70" s="5" t="s">
        <v>677</v>
      </c>
      <c r="T70" s="3" t="b">
        <v>1</v>
      </c>
      <c r="U70" s="3" t="b">
        <v>1</v>
      </c>
      <c r="V70" s="5" t="s">
        <v>67</v>
      </c>
      <c r="W70" s="5" t="s">
        <v>67</v>
      </c>
      <c r="X70" s="3" t="b">
        <v>0</v>
      </c>
      <c r="Y70" s="3" t="b">
        <v>0</v>
      </c>
      <c r="Z70" s="3" t="b">
        <v>0</v>
      </c>
      <c r="AA70" s="3" t="b">
        <v>0</v>
      </c>
      <c r="AB70" s="5" t="s">
        <v>678</v>
      </c>
      <c r="AC70" s="5" t="s">
        <v>679</v>
      </c>
      <c r="AD70" s="5" t="s">
        <v>67</v>
      </c>
      <c r="AE70" s="5" t="s">
        <v>67</v>
      </c>
      <c r="AF70" s="5" t="s">
        <v>67</v>
      </c>
      <c r="AG70" s="5" t="s">
        <v>67</v>
      </c>
      <c r="AH70" s="5" t="s">
        <v>67</v>
      </c>
      <c r="AI70" s="5" t="s">
        <v>67</v>
      </c>
      <c r="AJ70" s="5" t="s">
        <v>67</v>
      </c>
      <c r="AK70" s="5" t="s">
        <v>67</v>
      </c>
      <c r="AL70" s="5" t="s">
        <v>67</v>
      </c>
      <c r="AM70" s="5" t="s">
        <v>67</v>
      </c>
      <c r="AN70" s="5" t="s">
        <v>67</v>
      </c>
      <c r="AO70" s="5" t="s">
        <v>67</v>
      </c>
      <c r="AP70" s="5" t="s">
        <v>67</v>
      </c>
      <c r="AQ70" s="5" t="s">
        <v>67</v>
      </c>
      <c r="AR70" s="5" t="s">
        <v>67</v>
      </c>
      <c r="AW70" s="5" t="s">
        <v>67</v>
      </c>
      <c r="AX70" s="5" t="s">
        <v>67</v>
      </c>
      <c r="AY70" s="5" t="s">
        <v>67</v>
      </c>
      <c r="AZ70" s="5" t="s">
        <v>67</v>
      </c>
      <c r="BA70" s="3">
        <v>107</v>
      </c>
      <c r="BB70" s="3">
        <v>394</v>
      </c>
      <c r="BC70" s="3">
        <v>0</v>
      </c>
      <c r="BD70" s="3">
        <v>1533</v>
      </c>
      <c r="BE70" s="3">
        <v>1533</v>
      </c>
      <c r="BF70" s="5" t="s">
        <v>67</v>
      </c>
      <c r="BG70" s="5" t="s">
        <v>97</v>
      </c>
      <c r="BH70" s="5" t="s">
        <v>117</v>
      </c>
      <c r="BI70" s="5" t="s">
        <v>67</v>
      </c>
      <c r="BJ70" s="5" t="s">
        <v>680</v>
      </c>
      <c r="BK70" s="5" t="s">
        <v>67</v>
      </c>
      <c r="BL70" s="5" t="s">
        <v>67</v>
      </c>
      <c r="BM70" s="5" t="s">
        <v>67</v>
      </c>
      <c r="BN70" s="5" t="s">
        <v>67</v>
      </c>
      <c r="BO70" s="5" t="s">
        <v>67</v>
      </c>
    </row>
    <row r="71" spans="1:67" ht="195" x14ac:dyDescent="0.25">
      <c r="A71" s="3">
        <v>1691</v>
      </c>
      <c r="B71" s="4">
        <v>42299.457013888903</v>
      </c>
      <c r="G71" s="3">
        <v>2542</v>
      </c>
      <c r="H71" s="5" t="s">
        <v>681</v>
      </c>
      <c r="I71" s="3" t="b">
        <v>0</v>
      </c>
      <c r="J71" s="3" t="b">
        <v>1</v>
      </c>
      <c r="K71" s="3" t="b">
        <v>1</v>
      </c>
      <c r="L71" s="3" t="b">
        <v>0</v>
      </c>
      <c r="M71" s="3" t="b">
        <v>0</v>
      </c>
      <c r="N71" s="3" t="b">
        <v>1</v>
      </c>
      <c r="O71" s="3" t="b">
        <v>0</v>
      </c>
      <c r="P71" s="3" t="b">
        <v>0</v>
      </c>
      <c r="Q71" s="3" t="b">
        <v>0</v>
      </c>
      <c r="R71" s="3" t="s">
        <v>682</v>
      </c>
      <c r="S71" s="5" t="s">
        <v>67</v>
      </c>
      <c r="T71" s="3" t="b">
        <v>0</v>
      </c>
      <c r="U71" s="3" t="b">
        <v>0</v>
      </c>
      <c r="V71" s="5" t="s">
        <v>683</v>
      </c>
      <c r="W71" s="5" t="s">
        <v>684</v>
      </c>
      <c r="X71" s="3" t="b">
        <v>0</v>
      </c>
      <c r="Y71" s="3" t="b">
        <v>0</v>
      </c>
      <c r="Z71" s="3" t="b">
        <v>0</v>
      </c>
      <c r="AA71" s="3" t="b">
        <v>0</v>
      </c>
      <c r="AB71" s="5" t="s">
        <v>685</v>
      </c>
      <c r="AC71" s="5" t="s">
        <v>67</v>
      </c>
      <c r="AD71" s="5" t="s">
        <v>67</v>
      </c>
      <c r="AE71" s="5" t="s">
        <v>67</v>
      </c>
      <c r="AF71" s="5" t="s">
        <v>686</v>
      </c>
      <c r="AG71" s="5" t="s">
        <v>67</v>
      </c>
      <c r="AH71" s="5" t="s">
        <v>67</v>
      </c>
      <c r="AI71" s="5" t="s">
        <v>67</v>
      </c>
      <c r="AJ71" s="5" t="s">
        <v>67</v>
      </c>
      <c r="AK71" s="5" t="s">
        <v>67</v>
      </c>
      <c r="AL71" s="5" t="s">
        <v>67</v>
      </c>
      <c r="AM71" s="5" t="s">
        <v>67</v>
      </c>
      <c r="AN71" s="5" t="s">
        <v>67</v>
      </c>
      <c r="AO71" s="5" t="s">
        <v>67</v>
      </c>
      <c r="AP71" s="5" t="s">
        <v>67</v>
      </c>
      <c r="AQ71" s="5" t="s">
        <v>67</v>
      </c>
      <c r="AR71" s="5" t="s">
        <v>67</v>
      </c>
      <c r="AW71" s="5" t="s">
        <v>67</v>
      </c>
      <c r="AX71" s="5" t="s">
        <v>67</v>
      </c>
      <c r="AY71" s="5" t="s">
        <v>67</v>
      </c>
      <c r="AZ71" s="5" t="s">
        <v>67</v>
      </c>
      <c r="BF71" s="5" t="s">
        <v>67</v>
      </c>
      <c r="BG71" s="5" t="s">
        <v>67</v>
      </c>
      <c r="BH71" s="5" t="s">
        <v>67</v>
      </c>
      <c r="BI71" s="5" t="s">
        <v>67</v>
      </c>
      <c r="BJ71" s="5" t="s">
        <v>67</v>
      </c>
      <c r="BK71" s="5" t="s">
        <v>67</v>
      </c>
      <c r="BL71" s="5" t="s">
        <v>67</v>
      </c>
      <c r="BM71" s="5" t="s">
        <v>67</v>
      </c>
      <c r="BN71" s="5" t="s">
        <v>67</v>
      </c>
      <c r="BO71" s="5" t="s">
        <v>67</v>
      </c>
    </row>
    <row r="72" spans="1:67" ht="90" x14ac:dyDescent="0.25">
      <c r="A72" s="3">
        <v>1828</v>
      </c>
      <c r="B72" s="4">
        <v>42556.555648148104</v>
      </c>
      <c r="C72" s="3">
        <v>2146189922</v>
      </c>
      <c r="G72" s="3">
        <v>2146189922</v>
      </c>
      <c r="H72" s="5" t="s">
        <v>67</v>
      </c>
      <c r="I72" s="3" t="b">
        <v>0</v>
      </c>
      <c r="J72" s="3" t="b">
        <v>0</v>
      </c>
      <c r="K72" s="3" t="b">
        <v>0</v>
      </c>
      <c r="L72" s="3" t="b">
        <v>1</v>
      </c>
      <c r="M72" s="3" t="b">
        <v>1</v>
      </c>
      <c r="N72" s="3" t="b">
        <v>0</v>
      </c>
      <c r="O72" s="3" t="b">
        <v>0</v>
      </c>
      <c r="P72" s="3" t="b">
        <v>0</v>
      </c>
      <c r="Q72" s="3" t="b">
        <v>0</v>
      </c>
      <c r="R72" s="3" t="s">
        <v>67</v>
      </c>
      <c r="S72" s="5" t="s">
        <v>687</v>
      </c>
      <c r="T72" s="3" t="b">
        <v>1</v>
      </c>
      <c r="U72" s="3" t="b">
        <v>0</v>
      </c>
      <c r="V72" s="5" t="s">
        <v>688</v>
      </c>
      <c r="W72" s="5" t="s">
        <v>689</v>
      </c>
      <c r="X72" s="3" t="b">
        <v>0</v>
      </c>
      <c r="Y72" s="3" t="b">
        <v>0</v>
      </c>
      <c r="Z72" s="3" t="b">
        <v>0</v>
      </c>
      <c r="AA72" s="3" t="b">
        <v>1</v>
      </c>
      <c r="AB72" s="5" t="s">
        <v>690</v>
      </c>
      <c r="AC72" s="5" t="s">
        <v>691</v>
      </c>
      <c r="AD72" s="5" t="s">
        <v>692</v>
      </c>
      <c r="AE72" s="5" t="s">
        <v>693</v>
      </c>
      <c r="AF72" s="5" t="s">
        <v>694</v>
      </c>
      <c r="AG72" s="5" t="s">
        <v>695</v>
      </c>
      <c r="AH72" s="5" t="s">
        <v>696</v>
      </c>
      <c r="AI72" s="5" t="s">
        <v>697</v>
      </c>
      <c r="AJ72" s="5" t="s">
        <v>67</v>
      </c>
      <c r="AK72" s="5" t="s">
        <v>698</v>
      </c>
      <c r="AL72" s="5" t="s">
        <v>67</v>
      </c>
      <c r="AM72" s="5" t="s">
        <v>699</v>
      </c>
      <c r="AN72" s="5" t="s">
        <v>700</v>
      </c>
      <c r="AO72" s="5" t="s">
        <v>67</v>
      </c>
      <c r="AP72" s="5" t="s">
        <v>701</v>
      </c>
      <c r="AQ72" s="5" t="s">
        <v>67</v>
      </c>
      <c r="AR72" s="5" t="s">
        <v>67</v>
      </c>
      <c r="AW72" s="5" t="s">
        <v>67</v>
      </c>
      <c r="AX72" s="5" t="s">
        <v>67</v>
      </c>
      <c r="AY72" s="5" t="s">
        <v>67</v>
      </c>
      <c r="AZ72" s="5" t="s">
        <v>67</v>
      </c>
      <c r="BA72" s="3">
        <v>2146189548</v>
      </c>
      <c r="BB72" s="3">
        <v>2146189867</v>
      </c>
      <c r="BF72" s="5" t="s">
        <v>67</v>
      </c>
      <c r="BG72" s="5" t="s">
        <v>702</v>
      </c>
      <c r="BH72" s="5" t="s">
        <v>703</v>
      </c>
      <c r="BI72" s="5" t="s">
        <v>141</v>
      </c>
      <c r="BJ72" s="5" t="s">
        <v>67</v>
      </c>
      <c r="BK72" s="5" t="s">
        <v>704</v>
      </c>
      <c r="BL72" s="5" t="s">
        <v>705</v>
      </c>
      <c r="BM72" s="5" t="s">
        <v>67</v>
      </c>
      <c r="BN72" s="5" t="s">
        <v>67</v>
      </c>
      <c r="BO72" s="5" t="s">
        <v>67</v>
      </c>
    </row>
    <row r="73" spans="1:67" ht="165" x14ac:dyDescent="0.25">
      <c r="A73" s="3">
        <v>2045</v>
      </c>
      <c r="B73" s="4">
        <v>37847.571250000001</v>
      </c>
      <c r="C73" s="3">
        <v>0</v>
      </c>
      <c r="D73" s="3">
        <v>0</v>
      </c>
      <c r="E73" s="3">
        <v>0</v>
      </c>
      <c r="F73" s="3">
        <v>67</v>
      </c>
      <c r="H73" s="5" t="s">
        <v>67</v>
      </c>
      <c r="I73" s="3" t="b">
        <v>0</v>
      </c>
      <c r="J73" s="3" t="b">
        <v>0</v>
      </c>
      <c r="K73" s="3" t="b">
        <v>0</v>
      </c>
      <c r="L73" s="3" t="b">
        <v>0</v>
      </c>
      <c r="M73" s="3" t="b">
        <v>0</v>
      </c>
      <c r="N73" s="3" t="b">
        <v>0</v>
      </c>
      <c r="O73" s="3" t="b">
        <v>0</v>
      </c>
      <c r="P73" s="3" t="b">
        <v>0</v>
      </c>
      <c r="Q73" s="3" t="b">
        <v>0</v>
      </c>
      <c r="R73" s="3" t="s">
        <v>67</v>
      </c>
      <c r="S73" s="5" t="s">
        <v>706</v>
      </c>
      <c r="T73" s="3" t="b">
        <v>0</v>
      </c>
      <c r="U73" s="3" t="b">
        <v>1</v>
      </c>
      <c r="V73" s="5" t="s">
        <v>67</v>
      </c>
      <c r="W73" s="5" t="s">
        <v>67</v>
      </c>
      <c r="X73" s="3" t="b">
        <v>0</v>
      </c>
      <c r="Y73" s="3" t="b">
        <v>0</v>
      </c>
      <c r="Z73" s="3" t="b">
        <v>0</v>
      </c>
      <c r="AA73" s="3" t="b">
        <v>0</v>
      </c>
      <c r="AB73" s="5" t="s">
        <v>373</v>
      </c>
      <c r="AC73" s="5" t="s">
        <v>707</v>
      </c>
      <c r="AD73" s="5" t="s">
        <v>67</v>
      </c>
      <c r="AE73" s="5" t="s">
        <v>67</v>
      </c>
      <c r="AF73" s="5" t="s">
        <v>67</v>
      </c>
      <c r="AG73" s="5" t="s">
        <v>67</v>
      </c>
      <c r="AH73" s="5" t="s">
        <v>67</v>
      </c>
      <c r="AI73" s="5" t="s">
        <v>67</v>
      </c>
      <c r="AJ73" s="5" t="s">
        <v>67</v>
      </c>
      <c r="AK73" s="5" t="s">
        <v>67</v>
      </c>
      <c r="AL73" s="5" t="s">
        <v>67</v>
      </c>
      <c r="AM73" s="5" t="s">
        <v>67</v>
      </c>
      <c r="AN73" s="5" t="s">
        <v>67</v>
      </c>
      <c r="AO73" s="5" t="s">
        <v>67</v>
      </c>
      <c r="AP73" s="5" t="s">
        <v>67</v>
      </c>
      <c r="AQ73" s="5" t="s">
        <v>67</v>
      </c>
      <c r="AR73" s="5" t="s">
        <v>67</v>
      </c>
      <c r="AW73" s="5" t="s">
        <v>67</v>
      </c>
      <c r="AX73" s="5" t="s">
        <v>67</v>
      </c>
      <c r="AY73" s="5" t="s">
        <v>67</v>
      </c>
      <c r="AZ73" s="5" t="s">
        <v>67</v>
      </c>
      <c r="BA73" s="3">
        <v>107</v>
      </c>
      <c r="BB73" s="3">
        <v>0</v>
      </c>
      <c r="BC73" s="3">
        <v>0</v>
      </c>
      <c r="BE73" s="3">
        <v>0</v>
      </c>
      <c r="BF73" s="5" t="s">
        <v>67</v>
      </c>
      <c r="BG73" s="5" t="s">
        <v>67</v>
      </c>
      <c r="BH73" s="5" t="s">
        <v>67</v>
      </c>
      <c r="BI73" s="5" t="s">
        <v>67</v>
      </c>
      <c r="BJ73" s="5" t="s">
        <v>67</v>
      </c>
      <c r="BK73" s="5" t="s">
        <v>67</v>
      </c>
      <c r="BL73" s="5" t="s">
        <v>67</v>
      </c>
      <c r="BM73" s="5" t="s">
        <v>67</v>
      </c>
      <c r="BN73" s="5" t="s">
        <v>67</v>
      </c>
      <c r="BO73" s="5" t="s">
        <v>67</v>
      </c>
    </row>
    <row r="74" spans="1:67" ht="195" x14ac:dyDescent="0.25">
      <c r="A74" s="3">
        <v>2204</v>
      </c>
      <c r="B74" s="4">
        <v>37833.374988425901</v>
      </c>
      <c r="C74" s="3">
        <v>0</v>
      </c>
      <c r="D74" s="3">
        <v>2210</v>
      </c>
      <c r="E74" s="3">
        <v>0</v>
      </c>
      <c r="F74" s="3">
        <v>1040296841</v>
      </c>
      <c r="G74" s="3">
        <v>1040296841</v>
      </c>
      <c r="H74" s="5" t="s">
        <v>67</v>
      </c>
      <c r="I74" s="3" t="b">
        <v>0</v>
      </c>
      <c r="J74" s="3" t="b">
        <v>0</v>
      </c>
      <c r="K74" s="3" t="b">
        <v>0</v>
      </c>
      <c r="L74" s="3" t="b">
        <v>0</v>
      </c>
      <c r="M74" s="3" t="b">
        <v>0</v>
      </c>
      <c r="N74" s="3" t="b">
        <v>0</v>
      </c>
      <c r="O74" s="3" t="b">
        <v>0</v>
      </c>
      <c r="P74" s="3" t="b">
        <v>0</v>
      </c>
      <c r="Q74" s="3" t="b">
        <v>0</v>
      </c>
      <c r="R74" s="3" t="s">
        <v>67</v>
      </c>
      <c r="S74" s="5" t="s">
        <v>708</v>
      </c>
      <c r="T74" s="3" t="b">
        <v>0</v>
      </c>
      <c r="U74" s="3" t="b">
        <v>1</v>
      </c>
      <c r="V74" s="5" t="s">
        <v>67</v>
      </c>
      <c r="W74" s="5" t="s">
        <v>67</v>
      </c>
      <c r="X74" s="3" t="b">
        <v>0</v>
      </c>
      <c r="Y74" s="3" t="b">
        <v>0</v>
      </c>
      <c r="Z74" s="3" t="b">
        <v>0</v>
      </c>
      <c r="AA74" s="3" t="b">
        <v>0</v>
      </c>
      <c r="AB74" s="5" t="s">
        <v>709</v>
      </c>
      <c r="AC74" s="5" t="s">
        <v>710</v>
      </c>
      <c r="AD74" s="5" t="s">
        <v>67</v>
      </c>
      <c r="AE74" s="5" t="s">
        <v>67</v>
      </c>
      <c r="AF74" s="5" t="s">
        <v>711</v>
      </c>
      <c r="AG74" s="5" t="s">
        <v>712</v>
      </c>
      <c r="AH74" s="5" t="s">
        <v>67</v>
      </c>
      <c r="AI74" s="5" t="s">
        <v>67</v>
      </c>
      <c r="AJ74" s="5" t="s">
        <v>67</v>
      </c>
      <c r="AK74" s="5" t="s">
        <v>67</v>
      </c>
      <c r="AL74" s="5" t="s">
        <v>67</v>
      </c>
      <c r="AM74" s="5" t="s">
        <v>67</v>
      </c>
      <c r="AN74" s="5" t="s">
        <v>67</v>
      </c>
      <c r="AO74" s="5" t="s">
        <v>67</v>
      </c>
      <c r="AP74" s="5" t="s">
        <v>67</v>
      </c>
      <c r="AQ74" s="5" t="s">
        <v>67</v>
      </c>
      <c r="AR74" s="5" t="s">
        <v>67</v>
      </c>
      <c r="AW74" s="5" t="s">
        <v>67</v>
      </c>
      <c r="AX74" s="5" t="s">
        <v>67</v>
      </c>
      <c r="AY74" s="5" t="s">
        <v>67</v>
      </c>
      <c r="AZ74" s="5" t="s">
        <v>67</v>
      </c>
      <c r="BA74" s="3">
        <v>107</v>
      </c>
      <c r="BB74" s="3">
        <v>0</v>
      </c>
      <c r="BC74" s="3">
        <v>0</v>
      </c>
      <c r="BE74" s="3">
        <v>0</v>
      </c>
      <c r="BF74" s="5" t="s">
        <v>67</v>
      </c>
      <c r="BG74" s="5" t="s">
        <v>713</v>
      </c>
      <c r="BH74" s="5" t="s">
        <v>714</v>
      </c>
      <c r="BI74" s="5" t="s">
        <v>67</v>
      </c>
      <c r="BJ74" s="5" t="s">
        <v>715</v>
      </c>
      <c r="BK74" s="5" t="s">
        <v>67</v>
      </c>
      <c r="BL74" s="5" t="s">
        <v>67</v>
      </c>
      <c r="BM74" s="5" t="s">
        <v>716</v>
      </c>
      <c r="BN74" s="5" t="s">
        <v>67</v>
      </c>
      <c r="BO74" s="5" t="s">
        <v>67</v>
      </c>
    </row>
    <row r="75" spans="1:67" ht="255" x14ac:dyDescent="0.25">
      <c r="A75" s="3">
        <v>2210</v>
      </c>
      <c r="B75" s="4">
        <v>42475</v>
      </c>
      <c r="C75" s="3">
        <v>1038843490</v>
      </c>
      <c r="D75" s="3">
        <v>-1919064405</v>
      </c>
      <c r="E75" s="3">
        <v>1042036191</v>
      </c>
      <c r="F75" s="3">
        <v>1424</v>
      </c>
      <c r="G75" s="3">
        <v>0</v>
      </c>
      <c r="H75" s="5" t="s">
        <v>717</v>
      </c>
      <c r="I75" s="3" t="b">
        <v>0</v>
      </c>
      <c r="J75" s="3" t="b">
        <v>1</v>
      </c>
      <c r="K75" s="3" t="b">
        <v>0</v>
      </c>
      <c r="L75" s="3" t="b">
        <v>0</v>
      </c>
      <c r="M75" s="3" t="b">
        <v>0</v>
      </c>
      <c r="N75" s="3" t="b">
        <v>0</v>
      </c>
      <c r="O75" s="3" t="b">
        <v>0</v>
      </c>
      <c r="P75" s="3" t="b">
        <v>1</v>
      </c>
      <c r="Q75" s="3" t="b">
        <v>0</v>
      </c>
      <c r="R75" s="3" t="s">
        <v>718</v>
      </c>
      <c r="S75" s="5" t="s">
        <v>67</v>
      </c>
      <c r="T75" s="3" t="b">
        <v>1</v>
      </c>
      <c r="U75" s="3" t="b">
        <v>1</v>
      </c>
      <c r="V75" s="5" t="s">
        <v>719</v>
      </c>
      <c r="W75" s="5" t="s">
        <v>720</v>
      </c>
      <c r="X75" s="3" t="b">
        <v>0</v>
      </c>
      <c r="Y75" s="3" t="b">
        <v>0</v>
      </c>
      <c r="Z75" s="3" t="b">
        <v>0</v>
      </c>
      <c r="AA75" s="3" t="b">
        <v>1</v>
      </c>
      <c r="AB75" s="5" t="s">
        <v>721</v>
      </c>
      <c r="AC75" s="5" t="s">
        <v>722</v>
      </c>
      <c r="AD75" s="5" t="s">
        <v>67</v>
      </c>
      <c r="AE75" s="5" t="s">
        <v>67</v>
      </c>
      <c r="AF75" s="5" t="s">
        <v>723</v>
      </c>
      <c r="AG75" s="5" t="s">
        <v>724</v>
      </c>
      <c r="AH75" s="5" t="s">
        <v>725</v>
      </c>
      <c r="AI75" s="5" t="s">
        <v>67</v>
      </c>
      <c r="AJ75" s="5" t="s">
        <v>726</v>
      </c>
      <c r="AK75" s="5" t="s">
        <v>67</v>
      </c>
      <c r="AL75" s="5" t="s">
        <v>727</v>
      </c>
      <c r="AM75" s="5" t="s">
        <v>311</v>
      </c>
      <c r="AN75" s="5" t="s">
        <v>67</v>
      </c>
      <c r="AO75" s="5" t="s">
        <v>67</v>
      </c>
      <c r="AP75" s="5" t="s">
        <v>67</v>
      </c>
      <c r="AQ75" s="5" t="s">
        <v>67</v>
      </c>
      <c r="AR75" s="5" t="s">
        <v>67</v>
      </c>
      <c r="AW75" s="5" t="s">
        <v>67</v>
      </c>
      <c r="AX75" s="5" t="s">
        <v>67</v>
      </c>
      <c r="AY75" s="5" t="s">
        <v>67</v>
      </c>
      <c r="AZ75" s="5" t="s">
        <v>67</v>
      </c>
      <c r="BA75" s="3">
        <v>107</v>
      </c>
      <c r="BB75" s="3">
        <v>0</v>
      </c>
      <c r="BC75" s="3">
        <v>0</v>
      </c>
      <c r="BD75" s="3">
        <v>2146188985</v>
      </c>
      <c r="BE75" s="3">
        <v>2146188985</v>
      </c>
      <c r="BF75" s="5" t="s">
        <v>728</v>
      </c>
      <c r="BG75" s="5" t="s">
        <v>97</v>
      </c>
      <c r="BH75" s="5" t="s">
        <v>729</v>
      </c>
      <c r="BI75" s="5" t="s">
        <v>74</v>
      </c>
      <c r="BJ75" s="5" t="s">
        <v>730</v>
      </c>
      <c r="BK75" s="5" t="s">
        <v>731</v>
      </c>
      <c r="BL75" s="5" t="s">
        <v>732</v>
      </c>
      <c r="BM75" s="5" t="s">
        <v>733</v>
      </c>
      <c r="BN75" s="5" t="s">
        <v>734</v>
      </c>
      <c r="BO75" s="5" t="s">
        <v>67</v>
      </c>
    </row>
    <row r="76" spans="1:67" ht="409.5" x14ac:dyDescent="0.25">
      <c r="A76" s="3">
        <v>2215</v>
      </c>
      <c r="B76" s="4">
        <v>42858</v>
      </c>
      <c r="C76" s="3">
        <v>1176210416</v>
      </c>
      <c r="E76" s="3">
        <v>1176210416</v>
      </c>
      <c r="F76" s="3">
        <v>0</v>
      </c>
      <c r="H76" s="5" t="s">
        <v>67</v>
      </c>
      <c r="I76" s="3" t="b">
        <v>0</v>
      </c>
      <c r="J76" s="3" t="b">
        <v>0</v>
      </c>
      <c r="K76" s="3" t="b">
        <v>0</v>
      </c>
      <c r="L76" s="3" t="b">
        <v>1</v>
      </c>
      <c r="M76" s="3" t="b">
        <v>0</v>
      </c>
      <c r="N76" s="3" t="b">
        <v>1</v>
      </c>
      <c r="O76" s="3" t="b">
        <v>1</v>
      </c>
      <c r="P76" s="3" t="b">
        <v>1</v>
      </c>
      <c r="Q76" s="3" t="b">
        <v>0</v>
      </c>
      <c r="R76" s="3" t="s">
        <v>735</v>
      </c>
      <c r="S76" s="5" t="s">
        <v>736</v>
      </c>
      <c r="T76" s="3" t="b">
        <v>0</v>
      </c>
      <c r="U76" s="3" t="b">
        <v>1</v>
      </c>
      <c r="V76" s="5" t="s">
        <v>737</v>
      </c>
      <c r="W76" s="5" t="s">
        <v>738</v>
      </c>
      <c r="X76" s="3" t="b">
        <v>0</v>
      </c>
      <c r="Y76" s="3" t="b">
        <v>0</v>
      </c>
      <c r="Z76" s="3" t="b">
        <v>0</v>
      </c>
      <c r="AA76" s="3" t="b">
        <v>0</v>
      </c>
      <c r="AB76" s="5" t="s">
        <v>373</v>
      </c>
      <c r="AC76" s="5" t="s">
        <v>739</v>
      </c>
      <c r="AD76" s="5" t="s">
        <v>740</v>
      </c>
      <c r="AE76" s="5" t="s">
        <v>67</v>
      </c>
      <c r="AF76" s="5" t="s">
        <v>741</v>
      </c>
      <c r="AG76" s="5" t="s">
        <v>742</v>
      </c>
      <c r="AH76" s="5" t="s">
        <v>743</v>
      </c>
      <c r="AI76" s="5" t="s">
        <v>67</v>
      </c>
      <c r="AJ76" s="5" t="s">
        <v>744</v>
      </c>
      <c r="AK76" s="5" t="s">
        <v>745</v>
      </c>
      <c r="AL76" s="5" t="s">
        <v>67</v>
      </c>
      <c r="AM76" s="5" t="s">
        <v>746</v>
      </c>
      <c r="AN76" s="5" t="s">
        <v>747</v>
      </c>
      <c r="AO76" s="5" t="s">
        <v>67</v>
      </c>
      <c r="AP76" s="5" t="s">
        <v>67</v>
      </c>
      <c r="AQ76" s="5" t="s">
        <v>67</v>
      </c>
      <c r="AR76" s="5" t="s">
        <v>67</v>
      </c>
      <c r="AW76" s="5" t="s">
        <v>67</v>
      </c>
      <c r="AX76" s="5" t="s">
        <v>67</v>
      </c>
      <c r="AY76" s="5" t="s">
        <v>67</v>
      </c>
      <c r="AZ76" s="5" t="s">
        <v>67</v>
      </c>
      <c r="BA76" s="3">
        <v>2146189292</v>
      </c>
      <c r="BB76" s="3">
        <v>107</v>
      </c>
      <c r="BC76" s="3">
        <v>0</v>
      </c>
      <c r="BD76" s="3">
        <v>2146188969</v>
      </c>
      <c r="BE76" s="3">
        <v>2146188969</v>
      </c>
      <c r="BF76" s="5" t="s">
        <v>748</v>
      </c>
      <c r="BG76" s="5" t="s">
        <v>749</v>
      </c>
      <c r="BH76" s="5" t="s">
        <v>750</v>
      </c>
      <c r="BI76" s="5" t="s">
        <v>74</v>
      </c>
      <c r="BJ76" s="5" t="s">
        <v>751</v>
      </c>
      <c r="BK76" s="5" t="s">
        <v>81</v>
      </c>
      <c r="BL76" s="5" t="s">
        <v>752</v>
      </c>
      <c r="BM76" s="5" t="s">
        <v>753</v>
      </c>
      <c r="BN76" s="5" t="s">
        <v>754</v>
      </c>
      <c r="BO76" s="5" t="s">
        <v>755</v>
      </c>
    </row>
    <row r="77" spans="1:67" ht="225" x14ac:dyDescent="0.25">
      <c r="A77" s="3">
        <v>2219</v>
      </c>
      <c r="B77" s="4">
        <v>37859.5407291667</v>
      </c>
      <c r="C77" s="3">
        <v>0</v>
      </c>
      <c r="D77" s="3">
        <v>0</v>
      </c>
      <c r="E77" s="3">
        <v>0</v>
      </c>
      <c r="G77" s="3">
        <v>0</v>
      </c>
      <c r="H77" s="5" t="s">
        <v>67</v>
      </c>
      <c r="I77" s="3" t="b">
        <v>0</v>
      </c>
      <c r="J77" s="3" t="b">
        <v>0</v>
      </c>
      <c r="K77" s="3" t="b">
        <v>0</v>
      </c>
      <c r="L77" s="3" t="b">
        <v>0</v>
      </c>
      <c r="M77" s="3" t="b">
        <v>0</v>
      </c>
      <c r="N77" s="3" t="b">
        <v>0</v>
      </c>
      <c r="O77" s="3" t="b">
        <v>0</v>
      </c>
      <c r="P77" s="3" t="b">
        <v>0</v>
      </c>
      <c r="Q77" s="3" t="b">
        <v>0</v>
      </c>
      <c r="R77" s="3" t="s">
        <v>67</v>
      </c>
      <c r="S77" s="5" t="s">
        <v>756</v>
      </c>
      <c r="T77" s="3" t="b">
        <v>0</v>
      </c>
      <c r="U77" s="3" t="b">
        <v>0</v>
      </c>
      <c r="V77" s="5" t="s">
        <v>67</v>
      </c>
      <c r="W77" s="5" t="s">
        <v>67</v>
      </c>
      <c r="X77" s="3" t="b">
        <v>0</v>
      </c>
      <c r="Y77" s="3" t="b">
        <v>0</v>
      </c>
      <c r="Z77" s="3" t="b">
        <v>0</v>
      </c>
      <c r="AA77" s="3" t="b">
        <v>0</v>
      </c>
      <c r="AB77" s="5" t="s">
        <v>757</v>
      </c>
      <c r="AC77" s="5" t="s">
        <v>758</v>
      </c>
      <c r="AD77" s="5" t="s">
        <v>67</v>
      </c>
      <c r="AE77" s="5" t="s">
        <v>67</v>
      </c>
      <c r="AF77" s="5" t="s">
        <v>67</v>
      </c>
      <c r="AG77" s="5" t="s">
        <v>67</v>
      </c>
      <c r="AH77" s="5" t="s">
        <v>67</v>
      </c>
      <c r="AI77" s="5" t="s">
        <v>67</v>
      </c>
      <c r="AJ77" s="5" t="s">
        <v>67</v>
      </c>
      <c r="AK77" s="5" t="s">
        <v>67</v>
      </c>
      <c r="AL77" s="5" t="s">
        <v>67</v>
      </c>
      <c r="AM77" s="5" t="s">
        <v>67</v>
      </c>
      <c r="AN77" s="5" t="s">
        <v>67</v>
      </c>
      <c r="AO77" s="5" t="s">
        <v>67</v>
      </c>
      <c r="AP77" s="5" t="s">
        <v>67</v>
      </c>
      <c r="AQ77" s="5" t="s">
        <v>67</v>
      </c>
      <c r="AR77" s="5" t="s">
        <v>67</v>
      </c>
      <c r="AW77" s="5" t="s">
        <v>67</v>
      </c>
      <c r="AX77" s="5" t="s">
        <v>67</v>
      </c>
      <c r="AY77" s="5" t="s">
        <v>67</v>
      </c>
      <c r="AZ77" s="5" t="s">
        <v>67</v>
      </c>
      <c r="BA77" s="3">
        <v>0</v>
      </c>
      <c r="BB77" s="3">
        <v>0</v>
      </c>
      <c r="BC77" s="3">
        <v>0</v>
      </c>
      <c r="BD77" s="3">
        <v>0</v>
      </c>
      <c r="BE77" s="3">
        <v>0</v>
      </c>
      <c r="BF77" s="5" t="s">
        <v>67</v>
      </c>
      <c r="BG77" s="5" t="s">
        <v>759</v>
      </c>
      <c r="BH77" s="5" t="s">
        <v>714</v>
      </c>
      <c r="BI77" s="5" t="s">
        <v>67</v>
      </c>
      <c r="BJ77" s="5" t="s">
        <v>760</v>
      </c>
      <c r="BK77" s="5" t="s">
        <v>67</v>
      </c>
      <c r="BL77" s="5" t="s">
        <v>67</v>
      </c>
      <c r="BM77" s="5" t="s">
        <v>67</v>
      </c>
      <c r="BN77" s="5" t="s">
        <v>67</v>
      </c>
      <c r="BO77" s="5" t="s">
        <v>67</v>
      </c>
    </row>
    <row r="78" spans="1:67" ht="409.5" x14ac:dyDescent="0.25">
      <c r="A78" s="3">
        <v>2291</v>
      </c>
      <c r="B78" s="4">
        <v>42489</v>
      </c>
      <c r="C78" s="3">
        <v>2146189403</v>
      </c>
      <c r="D78" s="3">
        <v>2290</v>
      </c>
      <c r="E78" s="3">
        <v>2146189403</v>
      </c>
      <c r="F78" s="3">
        <v>1559</v>
      </c>
      <c r="G78" s="3">
        <v>2146189403</v>
      </c>
      <c r="H78" s="5" t="s">
        <v>761</v>
      </c>
      <c r="I78" s="3" t="b">
        <v>0</v>
      </c>
      <c r="J78" s="3" t="b">
        <v>1</v>
      </c>
      <c r="K78" s="3" t="b">
        <v>1</v>
      </c>
      <c r="L78" s="3" t="b">
        <v>1</v>
      </c>
      <c r="M78" s="3" t="b">
        <v>1</v>
      </c>
      <c r="N78" s="3" t="b">
        <v>0</v>
      </c>
      <c r="O78" s="3" t="b">
        <v>0</v>
      </c>
      <c r="P78" s="3" t="b">
        <v>0</v>
      </c>
      <c r="Q78" s="3" t="b">
        <v>0</v>
      </c>
      <c r="R78" s="3" t="s">
        <v>762</v>
      </c>
      <c r="S78" s="5" t="s">
        <v>763</v>
      </c>
      <c r="T78" s="3" t="b">
        <v>0</v>
      </c>
      <c r="U78" s="3" t="b">
        <v>1</v>
      </c>
      <c r="V78" s="5" t="s">
        <v>764</v>
      </c>
      <c r="W78" s="5" t="s">
        <v>765</v>
      </c>
      <c r="X78" s="3" t="b">
        <v>0</v>
      </c>
      <c r="Y78" s="3" t="b">
        <v>0</v>
      </c>
      <c r="Z78" s="3" t="b">
        <v>0</v>
      </c>
      <c r="AA78" s="3" t="b">
        <v>0</v>
      </c>
      <c r="AB78" s="5" t="s">
        <v>766</v>
      </c>
      <c r="AC78" s="5" t="s">
        <v>767</v>
      </c>
      <c r="AD78" s="5" t="s">
        <v>768</v>
      </c>
      <c r="AE78" s="5" t="s">
        <v>67</v>
      </c>
      <c r="AF78" s="5" t="s">
        <v>769</v>
      </c>
      <c r="AG78" s="5" t="s">
        <v>770</v>
      </c>
      <c r="AH78" s="5" t="s">
        <v>771</v>
      </c>
      <c r="AI78" s="5" t="s">
        <v>772</v>
      </c>
      <c r="AJ78" s="5" t="s">
        <v>773</v>
      </c>
      <c r="AK78" s="5" t="s">
        <v>774</v>
      </c>
      <c r="AL78" s="5" t="s">
        <v>67</v>
      </c>
      <c r="AM78" s="5" t="s">
        <v>775</v>
      </c>
      <c r="AN78" s="5" t="s">
        <v>776</v>
      </c>
      <c r="AO78" s="5" t="s">
        <v>67</v>
      </c>
      <c r="AP78" s="5" t="s">
        <v>67</v>
      </c>
      <c r="AQ78" s="5" t="s">
        <v>777</v>
      </c>
      <c r="AR78" s="5" t="s">
        <v>67</v>
      </c>
      <c r="AW78" s="5" t="s">
        <v>67</v>
      </c>
      <c r="AX78" s="5" t="s">
        <v>67</v>
      </c>
      <c r="AY78" s="5" t="s">
        <v>67</v>
      </c>
      <c r="AZ78" s="5" t="s">
        <v>67</v>
      </c>
      <c r="BB78" s="3">
        <v>-895323539</v>
      </c>
      <c r="BC78" s="3">
        <v>0</v>
      </c>
      <c r="BD78" s="3">
        <v>2146189193</v>
      </c>
      <c r="BE78" s="3">
        <v>2146189193</v>
      </c>
      <c r="BF78" s="5" t="s">
        <v>778</v>
      </c>
      <c r="BG78" s="5" t="s">
        <v>779</v>
      </c>
      <c r="BH78" s="5" t="s">
        <v>117</v>
      </c>
      <c r="BI78" s="5" t="s">
        <v>210</v>
      </c>
      <c r="BJ78" s="5" t="s">
        <v>780</v>
      </c>
      <c r="BK78" s="5" t="s">
        <v>781</v>
      </c>
      <c r="BL78" s="5" t="s">
        <v>67</v>
      </c>
      <c r="BM78" s="5" t="s">
        <v>67</v>
      </c>
      <c r="BN78" s="5" t="s">
        <v>67</v>
      </c>
      <c r="BO78" s="5" t="s">
        <v>67</v>
      </c>
    </row>
    <row r="79" spans="1:67" ht="210" x14ac:dyDescent="0.25">
      <c r="A79" s="3">
        <v>2309</v>
      </c>
      <c r="B79" s="4">
        <v>37846.623449074097</v>
      </c>
      <c r="C79" s="3">
        <v>2210</v>
      </c>
      <c r="D79" s="3">
        <v>219</v>
      </c>
      <c r="E79" s="3">
        <v>0</v>
      </c>
      <c r="F79" s="3">
        <v>1040296365</v>
      </c>
      <c r="H79" s="5" t="s">
        <v>67</v>
      </c>
      <c r="I79" s="3" t="b">
        <v>0</v>
      </c>
      <c r="J79" s="3" t="b">
        <v>0</v>
      </c>
      <c r="K79" s="3" t="b">
        <v>0</v>
      </c>
      <c r="L79" s="3" t="b">
        <v>0</v>
      </c>
      <c r="M79" s="3" t="b">
        <v>0</v>
      </c>
      <c r="N79" s="3" t="b">
        <v>0</v>
      </c>
      <c r="O79" s="3" t="b">
        <v>0</v>
      </c>
      <c r="P79" s="3" t="b">
        <v>0</v>
      </c>
      <c r="Q79" s="3" t="b">
        <v>0</v>
      </c>
      <c r="R79" s="3" t="s">
        <v>67</v>
      </c>
      <c r="S79" s="5" t="s">
        <v>782</v>
      </c>
      <c r="T79" s="3" t="b">
        <v>1</v>
      </c>
      <c r="U79" s="3" t="b">
        <v>1</v>
      </c>
      <c r="V79" s="5" t="s">
        <v>67</v>
      </c>
      <c r="W79" s="5" t="s">
        <v>67</v>
      </c>
      <c r="X79" s="3" t="b">
        <v>0</v>
      </c>
      <c r="Y79" s="3" t="b">
        <v>0</v>
      </c>
      <c r="Z79" s="3" t="b">
        <v>0</v>
      </c>
      <c r="AA79" s="3" t="b">
        <v>0</v>
      </c>
      <c r="AB79" s="5" t="s">
        <v>783</v>
      </c>
      <c r="AC79" s="5" t="s">
        <v>784</v>
      </c>
      <c r="AD79" s="5" t="s">
        <v>67</v>
      </c>
      <c r="AE79" s="5" t="s">
        <v>67</v>
      </c>
      <c r="AF79" s="5" t="s">
        <v>67</v>
      </c>
      <c r="AG79" s="5" t="s">
        <v>785</v>
      </c>
      <c r="AH79" s="5" t="s">
        <v>67</v>
      </c>
      <c r="AI79" s="5" t="s">
        <v>67</v>
      </c>
      <c r="AJ79" s="5" t="s">
        <v>67</v>
      </c>
      <c r="AK79" s="5" t="s">
        <v>67</v>
      </c>
      <c r="AL79" s="5" t="s">
        <v>67</v>
      </c>
      <c r="AM79" s="5" t="s">
        <v>67</v>
      </c>
      <c r="AN79" s="5" t="s">
        <v>67</v>
      </c>
      <c r="AO79" s="5" t="s">
        <v>67</v>
      </c>
      <c r="AP79" s="5" t="s">
        <v>67</v>
      </c>
      <c r="AQ79" s="5" t="s">
        <v>67</v>
      </c>
      <c r="AR79" s="5" t="s">
        <v>67</v>
      </c>
      <c r="AW79" s="5" t="s">
        <v>67</v>
      </c>
      <c r="AX79" s="5" t="s">
        <v>67</v>
      </c>
      <c r="AY79" s="5" t="s">
        <v>67</v>
      </c>
      <c r="AZ79" s="5" t="s">
        <v>67</v>
      </c>
      <c r="BA79" s="3">
        <v>0</v>
      </c>
      <c r="BB79" s="3">
        <v>0</v>
      </c>
      <c r="BC79" s="3">
        <v>0</v>
      </c>
      <c r="BE79" s="3">
        <v>0</v>
      </c>
      <c r="BF79" s="5" t="s">
        <v>67</v>
      </c>
      <c r="BG79" s="5" t="s">
        <v>97</v>
      </c>
      <c r="BH79" s="5" t="s">
        <v>786</v>
      </c>
      <c r="BI79" s="5" t="s">
        <v>67</v>
      </c>
      <c r="BJ79" s="5" t="s">
        <v>787</v>
      </c>
      <c r="BK79" s="5" t="s">
        <v>67</v>
      </c>
      <c r="BL79" s="5" t="s">
        <v>67</v>
      </c>
      <c r="BM79" s="5" t="s">
        <v>67</v>
      </c>
      <c r="BN79" s="5" t="s">
        <v>67</v>
      </c>
      <c r="BO79" s="5" t="s">
        <v>67</v>
      </c>
    </row>
    <row r="80" spans="1:67" ht="409.5" x14ac:dyDescent="0.25">
      <c r="A80" s="3">
        <v>2347</v>
      </c>
      <c r="B80" s="4">
        <v>42888</v>
      </c>
      <c r="C80" s="3">
        <v>1049183490</v>
      </c>
      <c r="D80" s="3">
        <v>1428</v>
      </c>
      <c r="E80" s="3">
        <v>1428</v>
      </c>
      <c r="F80" s="3">
        <v>2146189103</v>
      </c>
      <c r="G80" s="3">
        <v>1428</v>
      </c>
      <c r="H80" s="5" t="s">
        <v>788</v>
      </c>
      <c r="I80" s="3" t="b">
        <v>0</v>
      </c>
      <c r="J80" s="3" t="b">
        <v>0</v>
      </c>
      <c r="K80" s="3" t="b">
        <v>0</v>
      </c>
      <c r="L80" s="3" t="b">
        <v>1</v>
      </c>
      <c r="M80" s="3" t="b">
        <v>1</v>
      </c>
      <c r="N80" s="3" t="b">
        <v>1</v>
      </c>
      <c r="O80" s="3" t="b">
        <v>0</v>
      </c>
      <c r="P80" s="3" t="b">
        <v>0</v>
      </c>
      <c r="Q80" s="3" t="b">
        <v>0</v>
      </c>
      <c r="R80" s="3" t="s">
        <v>789</v>
      </c>
      <c r="S80" s="5" t="s">
        <v>790</v>
      </c>
      <c r="T80" s="3" t="b">
        <v>0</v>
      </c>
      <c r="U80" s="3" t="b">
        <v>1</v>
      </c>
      <c r="V80" s="5" t="s">
        <v>791</v>
      </c>
      <c r="W80" s="5" t="s">
        <v>67</v>
      </c>
      <c r="X80" s="3" t="b">
        <v>0</v>
      </c>
      <c r="Y80" s="3" t="b">
        <v>1</v>
      </c>
      <c r="Z80" s="3" t="b">
        <v>0</v>
      </c>
      <c r="AA80" s="3" t="b">
        <v>0</v>
      </c>
      <c r="AB80" s="5" t="s">
        <v>792</v>
      </c>
      <c r="AC80" s="5" t="s">
        <v>67</v>
      </c>
      <c r="AD80" s="5" t="s">
        <v>67</v>
      </c>
      <c r="AE80" s="5" t="s">
        <v>67</v>
      </c>
      <c r="AF80" s="5" t="s">
        <v>793</v>
      </c>
      <c r="AG80" s="5" t="s">
        <v>794</v>
      </c>
      <c r="AH80" s="5" t="s">
        <v>795</v>
      </c>
      <c r="AI80" s="5" t="s">
        <v>67</v>
      </c>
      <c r="AJ80" s="5" t="s">
        <v>796</v>
      </c>
      <c r="AK80" s="5" t="s">
        <v>797</v>
      </c>
      <c r="AL80" s="5" t="s">
        <v>67</v>
      </c>
      <c r="AM80" s="5" t="s">
        <v>67</v>
      </c>
      <c r="AN80" s="5" t="s">
        <v>798</v>
      </c>
      <c r="AO80" s="5" t="s">
        <v>67</v>
      </c>
      <c r="AP80" s="5" t="s">
        <v>799</v>
      </c>
      <c r="AQ80" s="5" t="s">
        <v>67</v>
      </c>
      <c r="AR80" s="5" t="s">
        <v>67</v>
      </c>
      <c r="AS80" s="3">
        <v>2146189417</v>
      </c>
      <c r="AT80" s="3">
        <v>2146189030</v>
      </c>
      <c r="AU80" s="3">
        <v>1831959862</v>
      </c>
      <c r="AW80" s="5" t="s">
        <v>67</v>
      </c>
      <c r="AX80" s="5" t="s">
        <v>67</v>
      </c>
      <c r="AY80" s="5" t="s">
        <v>67</v>
      </c>
      <c r="AZ80" s="5" t="s">
        <v>67</v>
      </c>
      <c r="BA80" s="3">
        <v>2146189305</v>
      </c>
      <c r="BB80" s="3">
        <v>1935972411</v>
      </c>
      <c r="BC80" s="3">
        <v>2146189306</v>
      </c>
      <c r="BD80" s="3">
        <v>2146188984</v>
      </c>
      <c r="BE80" s="3">
        <v>2146188984</v>
      </c>
      <c r="BF80" s="5" t="s">
        <v>800</v>
      </c>
      <c r="BG80" s="5" t="s">
        <v>801</v>
      </c>
      <c r="BH80" s="5" t="s">
        <v>802</v>
      </c>
      <c r="BI80" s="5" t="s">
        <v>74</v>
      </c>
      <c r="BJ80" s="5" t="s">
        <v>803</v>
      </c>
      <c r="BK80" s="5" t="s">
        <v>804</v>
      </c>
      <c r="BL80" s="5" t="s">
        <v>805</v>
      </c>
      <c r="BM80" s="5" t="s">
        <v>67</v>
      </c>
      <c r="BN80" s="5" t="s">
        <v>806</v>
      </c>
      <c r="BO80" s="5" t="s">
        <v>67</v>
      </c>
    </row>
    <row r="81" spans="1:67" x14ac:dyDescent="0.25">
      <c r="A81" s="3">
        <v>2425</v>
      </c>
      <c r="B81" s="4">
        <v>37860.556469907402</v>
      </c>
      <c r="C81" s="3">
        <v>0</v>
      </c>
      <c r="D81" s="3">
        <v>0</v>
      </c>
      <c r="E81" s="3">
        <v>0</v>
      </c>
      <c r="F81" s="3">
        <v>0</v>
      </c>
      <c r="G81" s="3">
        <v>0</v>
      </c>
      <c r="H81" s="5" t="s">
        <v>67</v>
      </c>
      <c r="I81" s="3" t="b">
        <v>0</v>
      </c>
      <c r="J81" s="3" t="b">
        <v>0</v>
      </c>
      <c r="K81" s="3" t="b">
        <v>0</v>
      </c>
      <c r="L81" s="3" t="b">
        <v>0</v>
      </c>
      <c r="M81" s="3" t="b">
        <v>0</v>
      </c>
      <c r="N81" s="3" t="b">
        <v>0</v>
      </c>
      <c r="O81" s="3" t="b">
        <v>0</v>
      </c>
      <c r="P81" s="3" t="b">
        <v>0</v>
      </c>
      <c r="Q81" s="3" t="b">
        <v>0</v>
      </c>
      <c r="R81" s="3" t="s">
        <v>67</v>
      </c>
      <c r="S81" s="5" t="s">
        <v>67</v>
      </c>
      <c r="T81" s="3" t="b">
        <v>0</v>
      </c>
      <c r="U81" s="3" t="b">
        <v>0</v>
      </c>
      <c r="V81" s="5" t="s">
        <v>67</v>
      </c>
      <c r="W81" s="5" t="s">
        <v>67</v>
      </c>
      <c r="X81" s="3" t="b">
        <v>0</v>
      </c>
      <c r="Y81" s="3" t="b">
        <v>0</v>
      </c>
      <c r="Z81" s="3" t="b">
        <v>0</v>
      </c>
      <c r="AA81" s="3" t="b">
        <v>0</v>
      </c>
      <c r="AB81" s="5" t="s">
        <v>67</v>
      </c>
      <c r="AC81" s="5" t="s">
        <v>67</v>
      </c>
      <c r="AD81" s="5" t="s">
        <v>67</v>
      </c>
      <c r="AE81" s="5" t="s">
        <v>67</v>
      </c>
      <c r="AF81" s="5" t="s">
        <v>67</v>
      </c>
      <c r="AG81" s="5" t="s">
        <v>67</v>
      </c>
      <c r="AH81" s="5" t="s">
        <v>67</v>
      </c>
      <c r="AI81" s="5" t="s">
        <v>67</v>
      </c>
      <c r="AJ81" s="5" t="s">
        <v>67</v>
      </c>
      <c r="AK81" s="5" t="s">
        <v>67</v>
      </c>
      <c r="AL81" s="5" t="s">
        <v>67</v>
      </c>
      <c r="AM81" s="5" t="s">
        <v>67</v>
      </c>
      <c r="AN81" s="5" t="s">
        <v>67</v>
      </c>
      <c r="AO81" s="5" t="s">
        <v>67</v>
      </c>
      <c r="AP81" s="5" t="s">
        <v>67</v>
      </c>
      <c r="AQ81" s="5" t="s">
        <v>67</v>
      </c>
      <c r="AR81" s="5" t="s">
        <v>67</v>
      </c>
      <c r="AW81" s="5" t="s">
        <v>67</v>
      </c>
      <c r="AX81" s="5" t="s">
        <v>67</v>
      </c>
      <c r="AY81" s="5" t="s">
        <v>67</v>
      </c>
      <c r="AZ81" s="5" t="s">
        <v>67</v>
      </c>
      <c r="BA81" s="3">
        <v>0</v>
      </c>
      <c r="BB81" s="3">
        <v>0</v>
      </c>
      <c r="BE81" s="3">
        <v>0</v>
      </c>
      <c r="BF81" s="5" t="s">
        <v>67</v>
      </c>
      <c r="BG81" s="5" t="s">
        <v>67</v>
      </c>
      <c r="BH81" s="5" t="s">
        <v>67</v>
      </c>
      <c r="BI81" s="5" t="s">
        <v>67</v>
      </c>
      <c r="BJ81" s="5" t="s">
        <v>67</v>
      </c>
      <c r="BK81" s="5" t="s">
        <v>67</v>
      </c>
      <c r="BL81" s="5" t="s">
        <v>67</v>
      </c>
      <c r="BM81" s="5" t="s">
        <v>67</v>
      </c>
      <c r="BN81" s="5" t="s">
        <v>67</v>
      </c>
      <c r="BO81" s="5" t="s">
        <v>67</v>
      </c>
    </row>
    <row r="82" spans="1:67" ht="409.5" x14ac:dyDescent="0.25">
      <c r="A82" s="3">
        <v>2541</v>
      </c>
      <c r="B82" s="4">
        <v>42888</v>
      </c>
      <c r="C82" s="3">
        <v>1586575665</v>
      </c>
      <c r="G82" s="3">
        <v>1586575665</v>
      </c>
      <c r="H82" s="5" t="s">
        <v>807</v>
      </c>
      <c r="I82" s="3" t="b">
        <v>0</v>
      </c>
      <c r="J82" s="3" t="b">
        <v>1</v>
      </c>
      <c r="K82" s="3" t="b">
        <v>1</v>
      </c>
      <c r="L82" s="3" t="b">
        <v>0</v>
      </c>
      <c r="M82" s="3" t="b">
        <v>0</v>
      </c>
      <c r="N82" s="3" t="b">
        <v>0</v>
      </c>
      <c r="O82" s="3" t="b">
        <v>0</v>
      </c>
      <c r="P82" s="3" t="b">
        <v>1</v>
      </c>
      <c r="Q82" s="3" t="b">
        <v>0</v>
      </c>
      <c r="R82" s="3" t="s">
        <v>808</v>
      </c>
      <c r="S82" s="5" t="s">
        <v>809</v>
      </c>
      <c r="T82" s="3" t="b">
        <v>0</v>
      </c>
      <c r="U82" s="3" t="b">
        <v>1</v>
      </c>
      <c r="V82" s="5" t="s">
        <v>810</v>
      </c>
      <c r="W82" s="5" t="s">
        <v>811</v>
      </c>
      <c r="X82" s="3" t="b">
        <v>0</v>
      </c>
      <c r="Y82" s="3" t="b">
        <v>0</v>
      </c>
      <c r="Z82" s="3" t="b">
        <v>0</v>
      </c>
      <c r="AA82" s="3" t="b">
        <v>1</v>
      </c>
      <c r="AB82" s="5" t="s">
        <v>812</v>
      </c>
      <c r="AC82" s="5" t="s">
        <v>813</v>
      </c>
      <c r="AD82" s="5" t="s">
        <v>814</v>
      </c>
      <c r="AE82" s="5" t="s">
        <v>67</v>
      </c>
      <c r="AF82" s="5" t="s">
        <v>815</v>
      </c>
      <c r="AG82" s="5" t="s">
        <v>816</v>
      </c>
      <c r="AH82" s="5" t="s">
        <v>817</v>
      </c>
      <c r="AI82" s="5" t="s">
        <v>67</v>
      </c>
      <c r="AJ82" s="5" t="s">
        <v>818</v>
      </c>
      <c r="AK82" s="5" t="s">
        <v>67</v>
      </c>
      <c r="AL82" s="5" t="s">
        <v>67</v>
      </c>
      <c r="AM82" s="5" t="s">
        <v>819</v>
      </c>
      <c r="AN82" s="5" t="s">
        <v>820</v>
      </c>
      <c r="AO82" s="5" t="s">
        <v>67</v>
      </c>
      <c r="AP82" s="5" t="s">
        <v>821</v>
      </c>
      <c r="AQ82" s="5" t="s">
        <v>822</v>
      </c>
      <c r="AR82" s="5" t="s">
        <v>67</v>
      </c>
      <c r="AS82" s="3">
        <v>1127805523</v>
      </c>
      <c r="AT82" s="3">
        <v>1319632834</v>
      </c>
      <c r="AU82" s="3">
        <v>2146189152</v>
      </c>
      <c r="AW82" s="5" t="s">
        <v>67</v>
      </c>
      <c r="AX82" s="5" t="s">
        <v>67</v>
      </c>
      <c r="AY82" s="5" t="s">
        <v>67</v>
      </c>
      <c r="AZ82" s="5" t="s">
        <v>67</v>
      </c>
      <c r="BA82" s="3">
        <v>1599</v>
      </c>
      <c r="BB82" s="3">
        <v>0</v>
      </c>
      <c r="BC82" s="3">
        <v>0</v>
      </c>
      <c r="BD82" s="3">
        <v>2146189010</v>
      </c>
      <c r="BE82" s="3">
        <v>2146189010</v>
      </c>
      <c r="BF82" s="5" t="s">
        <v>67</v>
      </c>
      <c r="BG82" s="5" t="s">
        <v>823</v>
      </c>
      <c r="BH82" s="5" t="s">
        <v>824</v>
      </c>
      <c r="BI82" s="5" t="s">
        <v>74</v>
      </c>
      <c r="BJ82" s="5" t="s">
        <v>825</v>
      </c>
      <c r="BK82" s="5" t="s">
        <v>826</v>
      </c>
      <c r="BL82" s="5" t="s">
        <v>827</v>
      </c>
      <c r="BM82" s="5" t="s">
        <v>828</v>
      </c>
      <c r="BN82" s="5" t="s">
        <v>67</v>
      </c>
      <c r="BO82" s="5" t="s">
        <v>67</v>
      </c>
    </row>
    <row r="83" spans="1:67" x14ac:dyDescent="0.25">
      <c r="A83" s="3">
        <v>2542</v>
      </c>
      <c r="B83" s="4">
        <v>41962</v>
      </c>
      <c r="H83" s="5" t="s">
        <v>67</v>
      </c>
      <c r="I83" s="3" t="b">
        <v>0</v>
      </c>
      <c r="J83" s="3" t="b">
        <v>0</v>
      </c>
      <c r="K83" s="3" t="b">
        <v>0</v>
      </c>
      <c r="L83" s="3" t="b">
        <v>0</v>
      </c>
      <c r="M83" s="3" t="b">
        <v>0</v>
      </c>
      <c r="N83" s="3" t="b">
        <v>0</v>
      </c>
      <c r="O83" s="3" t="b">
        <v>0</v>
      </c>
      <c r="P83" s="3" t="b">
        <v>0</v>
      </c>
      <c r="Q83" s="3" t="b">
        <v>0</v>
      </c>
      <c r="R83" s="3" t="s">
        <v>67</v>
      </c>
      <c r="S83" s="5" t="s">
        <v>67</v>
      </c>
      <c r="T83" s="3" t="b">
        <v>0</v>
      </c>
      <c r="U83" s="3" t="b">
        <v>0</v>
      </c>
      <c r="V83" s="5" t="s">
        <v>67</v>
      </c>
      <c r="W83" s="5" t="s">
        <v>67</v>
      </c>
      <c r="X83" s="3" t="b">
        <v>0</v>
      </c>
      <c r="Y83" s="3" t="b">
        <v>0</v>
      </c>
      <c r="Z83" s="3" t="b">
        <v>0</v>
      </c>
      <c r="AA83" s="3" t="b">
        <v>0</v>
      </c>
      <c r="AB83" s="5" t="s">
        <v>67</v>
      </c>
      <c r="AC83" s="5" t="s">
        <v>67</v>
      </c>
      <c r="AD83" s="5" t="s">
        <v>67</v>
      </c>
      <c r="AE83" s="5" t="s">
        <v>67</v>
      </c>
      <c r="AF83" s="5" t="s">
        <v>67</v>
      </c>
      <c r="AG83" s="5" t="s">
        <v>67</v>
      </c>
      <c r="AH83" s="5" t="s">
        <v>67</v>
      </c>
      <c r="AI83" s="5" t="s">
        <v>67</v>
      </c>
      <c r="AJ83" s="5" t="s">
        <v>67</v>
      </c>
      <c r="AK83" s="5" t="s">
        <v>67</v>
      </c>
      <c r="AL83" s="5" t="s">
        <v>67</v>
      </c>
      <c r="AM83" s="5" t="s">
        <v>67</v>
      </c>
      <c r="AN83" s="5" t="s">
        <v>67</v>
      </c>
      <c r="AO83" s="5" t="s">
        <v>67</v>
      </c>
      <c r="AP83" s="5" t="s">
        <v>67</v>
      </c>
      <c r="AQ83" s="5" t="s">
        <v>67</v>
      </c>
      <c r="AR83" s="5" t="s">
        <v>67</v>
      </c>
      <c r="AW83" s="5" t="s">
        <v>67</v>
      </c>
      <c r="AX83" s="5" t="s">
        <v>67</v>
      </c>
      <c r="AY83" s="5" t="s">
        <v>67</v>
      </c>
      <c r="AZ83" s="5" t="s">
        <v>67</v>
      </c>
      <c r="BA83" s="3">
        <v>2146189119</v>
      </c>
      <c r="BF83" s="5" t="s">
        <v>67</v>
      </c>
      <c r="BG83" s="5" t="s">
        <v>67</v>
      </c>
      <c r="BH83" s="5" t="s">
        <v>67</v>
      </c>
      <c r="BI83" s="5" t="s">
        <v>67</v>
      </c>
      <c r="BJ83" s="5" t="s">
        <v>67</v>
      </c>
      <c r="BK83" s="5" t="s">
        <v>67</v>
      </c>
      <c r="BL83" s="5" t="s">
        <v>67</v>
      </c>
      <c r="BM83" s="5" t="s">
        <v>67</v>
      </c>
      <c r="BN83" s="5" t="s">
        <v>67</v>
      </c>
      <c r="BO83" s="5" t="s">
        <v>67</v>
      </c>
    </row>
    <row r="84" spans="1:67" ht="409.5" x14ac:dyDescent="0.25">
      <c r="A84" s="3">
        <v>2548</v>
      </c>
      <c r="B84" s="4">
        <v>43070</v>
      </c>
      <c r="C84" s="3">
        <v>252</v>
      </c>
      <c r="E84" s="3">
        <v>0</v>
      </c>
      <c r="F84" s="3">
        <v>2146189160</v>
      </c>
      <c r="G84" s="3">
        <v>252</v>
      </c>
      <c r="H84" s="5" t="s">
        <v>829</v>
      </c>
      <c r="I84" s="3" t="b">
        <v>0</v>
      </c>
      <c r="J84" s="3" t="b">
        <v>0</v>
      </c>
      <c r="K84" s="3" t="b">
        <v>0</v>
      </c>
      <c r="L84" s="3" t="b">
        <v>1</v>
      </c>
      <c r="M84" s="3" t="b">
        <v>0</v>
      </c>
      <c r="N84" s="3" t="b">
        <v>1</v>
      </c>
      <c r="O84" s="3" t="b">
        <v>1</v>
      </c>
      <c r="P84" s="3" t="b">
        <v>0</v>
      </c>
      <c r="Q84" s="3" t="b">
        <v>0</v>
      </c>
      <c r="R84" s="3" t="s">
        <v>830</v>
      </c>
      <c r="S84" s="5" t="s">
        <v>831</v>
      </c>
      <c r="T84" s="3" t="b">
        <v>0</v>
      </c>
      <c r="U84" s="3" t="b">
        <v>1</v>
      </c>
      <c r="V84" s="5" t="s">
        <v>832</v>
      </c>
      <c r="W84" s="5" t="s">
        <v>833</v>
      </c>
      <c r="X84" s="3" t="b">
        <v>0</v>
      </c>
      <c r="Y84" s="3" t="b">
        <v>0</v>
      </c>
      <c r="Z84" s="3" t="b">
        <v>0</v>
      </c>
      <c r="AA84" s="3" t="b">
        <v>0</v>
      </c>
      <c r="AB84" s="5" t="s">
        <v>834</v>
      </c>
      <c r="AC84" s="5" t="s">
        <v>67</v>
      </c>
      <c r="AD84" s="5" t="s">
        <v>835</v>
      </c>
      <c r="AE84" s="5" t="s">
        <v>67</v>
      </c>
      <c r="AF84" s="5" t="s">
        <v>836</v>
      </c>
      <c r="AG84" s="5" t="s">
        <v>837</v>
      </c>
      <c r="AH84" s="5" t="s">
        <v>838</v>
      </c>
      <c r="AI84" s="5" t="s">
        <v>67</v>
      </c>
      <c r="AJ84" s="5" t="s">
        <v>67</v>
      </c>
      <c r="AK84" s="5" t="s">
        <v>67</v>
      </c>
      <c r="AL84" s="5" t="s">
        <v>67</v>
      </c>
      <c r="AM84" s="5" t="s">
        <v>839</v>
      </c>
      <c r="AN84" s="5" t="s">
        <v>840</v>
      </c>
      <c r="AO84" s="5" t="s">
        <v>67</v>
      </c>
      <c r="AP84" s="5" t="s">
        <v>67</v>
      </c>
      <c r="AQ84" s="5" t="s">
        <v>503</v>
      </c>
      <c r="AR84" s="5" t="s">
        <v>67</v>
      </c>
      <c r="AS84" s="3">
        <v>2146189576</v>
      </c>
      <c r="AT84" s="3">
        <v>2146189572</v>
      </c>
      <c r="AU84" s="3">
        <v>2146189983</v>
      </c>
      <c r="AV84" s="3">
        <v>2146189091</v>
      </c>
      <c r="AW84" s="5" t="s">
        <v>67</v>
      </c>
      <c r="AX84" s="5" t="s">
        <v>67</v>
      </c>
      <c r="AY84" s="5" t="s">
        <v>67</v>
      </c>
      <c r="AZ84" s="5" t="s">
        <v>67</v>
      </c>
      <c r="BB84" s="3">
        <v>0</v>
      </c>
      <c r="BC84" s="3">
        <v>0</v>
      </c>
      <c r="BD84" s="3">
        <v>2146189020</v>
      </c>
      <c r="BE84" s="3">
        <v>2146189020</v>
      </c>
      <c r="BF84" s="5" t="s">
        <v>841</v>
      </c>
      <c r="BG84" s="5" t="s">
        <v>842</v>
      </c>
      <c r="BH84" s="5" t="s">
        <v>843</v>
      </c>
      <c r="BI84" s="5" t="s">
        <v>74</v>
      </c>
      <c r="BJ84" s="5" t="s">
        <v>67</v>
      </c>
      <c r="BK84" s="5" t="s">
        <v>844</v>
      </c>
      <c r="BL84" s="5" t="s">
        <v>845</v>
      </c>
      <c r="BM84" s="5" t="s">
        <v>67</v>
      </c>
      <c r="BN84" s="5" t="s">
        <v>846</v>
      </c>
      <c r="BO84" s="5" t="s">
        <v>67</v>
      </c>
    </row>
    <row r="85" spans="1:67" ht="300" x14ac:dyDescent="0.25">
      <c r="A85" s="3">
        <v>2554</v>
      </c>
      <c r="B85" s="4">
        <v>42909</v>
      </c>
      <c r="C85" s="3">
        <v>2012547768</v>
      </c>
      <c r="E85" s="3">
        <v>0</v>
      </c>
      <c r="H85" s="5" t="s">
        <v>847</v>
      </c>
      <c r="I85" s="3" t="b">
        <v>0</v>
      </c>
      <c r="J85" s="3" t="b">
        <v>1</v>
      </c>
      <c r="K85" s="3" t="b">
        <v>0</v>
      </c>
      <c r="L85" s="3" t="b">
        <v>1</v>
      </c>
      <c r="M85" s="3" t="b">
        <v>0</v>
      </c>
      <c r="N85" s="3" t="b">
        <v>0</v>
      </c>
      <c r="O85" s="3" t="b">
        <v>0</v>
      </c>
      <c r="P85" s="3" t="b">
        <v>1</v>
      </c>
      <c r="Q85" s="3" t="b">
        <v>0</v>
      </c>
      <c r="R85" s="3" t="s">
        <v>848</v>
      </c>
      <c r="S85" s="5" t="s">
        <v>849</v>
      </c>
      <c r="T85" s="3" t="b">
        <v>1</v>
      </c>
      <c r="U85" s="3" t="b">
        <v>1</v>
      </c>
      <c r="V85" s="5" t="s">
        <v>850</v>
      </c>
      <c r="W85" s="5" t="s">
        <v>851</v>
      </c>
      <c r="X85" s="3" t="b">
        <v>0</v>
      </c>
      <c r="Y85" s="3" t="b">
        <v>0</v>
      </c>
      <c r="Z85" s="3" t="b">
        <v>0</v>
      </c>
      <c r="AA85" s="3" t="b">
        <v>1</v>
      </c>
      <c r="AB85" s="5" t="s">
        <v>852</v>
      </c>
      <c r="AC85" s="5" t="s">
        <v>853</v>
      </c>
      <c r="AD85" s="5" t="s">
        <v>854</v>
      </c>
      <c r="AE85" s="5" t="s">
        <v>67</v>
      </c>
      <c r="AF85" s="5" t="s">
        <v>855</v>
      </c>
      <c r="AG85" s="5" t="s">
        <v>856</v>
      </c>
      <c r="AH85" s="5" t="s">
        <v>857</v>
      </c>
      <c r="AI85" s="5" t="s">
        <v>858</v>
      </c>
      <c r="AJ85" s="5" t="s">
        <v>859</v>
      </c>
      <c r="AK85" s="5" t="s">
        <v>860</v>
      </c>
      <c r="AL85" s="5" t="s">
        <v>861</v>
      </c>
      <c r="AM85" s="5" t="s">
        <v>862</v>
      </c>
      <c r="AN85" s="5" t="s">
        <v>67</v>
      </c>
      <c r="AO85" s="5" t="s">
        <v>67</v>
      </c>
      <c r="AP85" s="5" t="s">
        <v>67</v>
      </c>
      <c r="AQ85" s="5" t="s">
        <v>67</v>
      </c>
      <c r="AR85" s="5" t="s">
        <v>67</v>
      </c>
      <c r="AW85" s="5" t="s">
        <v>67</v>
      </c>
      <c r="AX85" s="5" t="s">
        <v>67</v>
      </c>
      <c r="AY85" s="5" t="s">
        <v>67</v>
      </c>
      <c r="AZ85" s="5" t="s">
        <v>67</v>
      </c>
      <c r="BA85" s="3">
        <v>2146189584</v>
      </c>
      <c r="BB85" s="3">
        <v>2146189584</v>
      </c>
      <c r="BC85" s="3">
        <v>2146189014</v>
      </c>
      <c r="BD85" s="3">
        <v>2146188985</v>
      </c>
      <c r="BE85" s="3">
        <v>2146188985</v>
      </c>
      <c r="BF85" s="5" t="s">
        <v>863</v>
      </c>
      <c r="BG85" s="5" t="s">
        <v>97</v>
      </c>
      <c r="BH85" s="5" t="s">
        <v>864</v>
      </c>
      <c r="BI85" s="5" t="s">
        <v>74</v>
      </c>
      <c r="BJ85" s="5" t="s">
        <v>865</v>
      </c>
      <c r="BK85" s="5" t="s">
        <v>866</v>
      </c>
      <c r="BL85" s="5" t="s">
        <v>867</v>
      </c>
      <c r="BM85" s="5" t="s">
        <v>868</v>
      </c>
      <c r="BN85" s="5" t="s">
        <v>869</v>
      </c>
      <c r="BO85" s="5" t="s">
        <v>870</v>
      </c>
    </row>
    <row r="86" spans="1:67" ht="285" x14ac:dyDescent="0.25">
      <c r="A86" s="3">
        <v>2578</v>
      </c>
      <c r="B86" s="4">
        <v>37858.704629629603</v>
      </c>
      <c r="C86" s="3">
        <v>2520</v>
      </c>
      <c r="D86" s="3">
        <v>0</v>
      </c>
      <c r="E86" s="3">
        <v>0</v>
      </c>
      <c r="F86" s="3">
        <v>0</v>
      </c>
      <c r="H86" s="5" t="s">
        <v>67</v>
      </c>
      <c r="I86" s="3" t="b">
        <v>0</v>
      </c>
      <c r="J86" s="3" t="b">
        <v>0</v>
      </c>
      <c r="K86" s="3" t="b">
        <v>0</v>
      </c>
      <c r="L86" s="3" t="b">
        <v>0</v>
      </c>
      <c r="M86" s="3" t="b">
        <v>0</v>
      </c>
      <c r="N86" s="3" t="b">
        <v>0</v>
      </c>
      <c r="O86" s="3" t="b">
        <v>0</v>
      </c>
      <c r="P86" s="3" t="b">
        <v>0</v>
      </c>
      <c r="Q86" s="3" t="b">
        <v>0</v>
      </c>
      <c r="R86" s="3" t="s">
        <v>67</v>
      </c>
      <c r="S86" s="5" t="s">
        <v>871</v>
      </c>
      <c r="T86" s="3" t="b">
        <v>0</v>
      </c>
      <c r="U86" s="3" t="b">
        <v>1</v>
      </c>
      <c r="V86" s="5" t="s">
        <v>67</v>
      </c>
      <c r="W86" s="5" t="s">
        <v>67</v>
      </c>
      <c r="X86" s="3" t="b">
        <v>0</v>
      </c>
      <c r="Y86" s="3" t="b">
        <v>0</v>
      </c>
      <c r="Z86" s="3" t="b">
        <v>0</v>
      </c>
      <c r="AA86" s="3" t="b">
        <v>0</v>
      </c>
      <c r="AB86" s="5" t="s">
        <v>120</v>
      </c>
      <c r="AC86" s="5" t="s">
        <v>872</v>
      </c>
      <c r="AD86" s="5" t="s">
        <v>67</v>
      </c>
      <c r="AE86" s="5" t="s">
        <v>67</v>
      </c>
      <c r="AF86" s="5" t="s">
        <v>67</v>
      </c>
      <c r="AG86" s="5" t="s">
        <v>67</v>
      </c>
      <c r="AH86" s="5" t="s">
        <v>67</v>
      </c>
      <c r="AI86" s="5" t="s">
        <v>67</v>
      </c>
      <c r="AJ86" s="5" t="s">
        <v>67</v>
      </c>
      <c r="AK86" s="5" t="s">
        <v>67</v>
      </c>
      <c r="AL86" s="5" t="s">
        <v>67</v>
      </c>
      <c r="AM86" s="5" t="s">
        <v>67</v>
      </c>
      <c r="AN86" s="5" t="s">
        <v>67</v>
      </c>
      <c r="AO86" s="5" t="s">
        <v>67</v>
      </c>
      <c r="AP86" s="5" t="s">
        <v>67</v>
      </c>
      <c r="AQ86" s="5" t="s">
        <v>67</v>
      </c>
      <c r="AR86" s="5" t="s">
        <v>67</v>
      </c>
      <c r="AW86" s="5" t="s">
        <v>67</v>
      </c>
      <c r="AX86" s="5" t="s">
        <v>67</v>
      </c>
      <c r="AY86" s="5" t="s">
        <v>67</v>
      </c>
      <c r="AZ86" s="5" t="s">
        <v>67</v>
      </c>
      <c r="BB86" s="3">
        <v>0</v>
      </c>
      <c r="BC86" s="3">
        <v>0</v>
      </c>
      <c r="BE86" s="3">
        <v>0</v>
      </c>
      <c r="BF86" s="5" t="s">
        <v>67</v>
      </c>
      <c r="BG86" s="5" t="s">
        <v>873</v>
      </c>
      <c r="BH86" s="5" t="s">
        <v>67</v>
      </c>
      <c r="BI86" s="5" t="s">
        <v>67</v>
      </c>
      <c r="BJ86" s="5" t="s">
        <v>67</v>
      </c>
      <c r="BK86" s="5" t="s">
        <v>67</v>
      </c>
      <c r="BL86" s="5" t="s">
        <v>67</v>
      </c>
      <c r="BM86" s="5" t="s">
        <v>67</v>
      </c>
      <c r="BN86" s="5" t="s">
        <v>67</v>
      </c>
      <c r="BO86" s="5" t="s">
        <v>67</v>
      </c>
    </row>
    <row r="87" spans="1:67" ht="210" x14ac:dyDescent="0.25">
      <c r="A87" s="3">
        <v>2584</v>
      </c>
      <c r="B87" s="4">
        <v>42517</v>
      </c>
      <c r="C87" s="3">
        <v>-1984616081</v>
      </c>
      <c r="D87" s="3">
        <v>194</v>
      </c>
      <c r="E87" s="3">
        <v>0</v>
      </c>
      <c r="F87" s="3">
        <v>2580</v>
      </c>
      <c r="G87" s="3">
        <v>0</v>
      </c>
      <c r="H87" s="5" t="s">
        <v>67</v>
      </c>
      <c r="I87" s="3" t="b">
        <v>0</v>
      </c>
      <c r="J87" s="3" t="b">
        <v>1</v>
      </c>
      <c r="K87" s="3" t="b">
        <v>1</v>
      </c>
      <c r="L87" s="3" t="b">
        <v>0</v>
      </c>
      <c r="M87" s="3" t="b">
        <v>0</v>
      </c>
      <c r="N87" s="3" t="b">
        <v>0</v>
      </c>
      <c r="O87" s="3" t="b">
        <v>0</v>
      </c>
      <c r="P87" s="3" t="b">
        <v>0</v>
      </c>
      <c r="Q87" s="3" t="b">
        <v>1</v>
      </c>
      <c r="R87" s="3" t="s">
        <v>874</v>
      </c>
      <c r="S87" s="5" t="s">
        <v>875</v>
      </c>
      <c r="T87" s="3" t="b">
        <v>0</v>
      </c>
      <c r="U87" s="3" t="b">
        <v>1</v>
      </c>
      <c r="V87" s="5" t="s">
        <v>67</v>
      </c>
      <c r="W87" s="5" t="s">
        <v>67</v>
      </c>
      <c r="X87" s="3" t="b">
        <v>0</v>
      </c>
      <c r="Y87" s="3" t="b">
        <v>0</v>
      </c>
      <c r="Z87" s="3" t="b">
        <v>0</v>
      </c>
      <c r="AA87" s="3" t="b">
        <v>0</v>
      </c>
      <c r="AB87" s="5" t="s">
        <v>120</v>
      </c>
      <c r="AC87" s="5" t="s">
        <v>67</v>
      </c>
      <c r="AD87" s="5" t="s">
        <v>67</v>
      </c>
      <c r="AE87" s="5" t="s">
        <v>67</v>
      </c>
      <c r="AF87" s="5" t="s">
        <v>67</v>
      </c>
      <c r="AG87" s="5" t="s">
        <v>67</v>
      </c>
      <c r="AH87" s="5" t="s">
        <v>876</v>
      </c>
      <c r="AI87" s="5" t="s">
        <v>67</v>
      </c>
      <c r="AJ87" s="5" t="s">
        <v>67</v>
      </c>
      <c r="AK87" s="5" t="s">
        <v>67</v>
      </c>
      <c r="AL87" s="5" t="s">
        <v>877</v>
      </c>
      <c r="AM87" s="5" t="s">
        <v>67</v>
      </c>
      <c r="AN87" s="5" t="s">
        <v>67</v>
      </c>
      <c r="AO87" s="5" t="s">
        <v>67</v>
      </c>
      <c r="AP87" s="5" t="s">
        <v>67</v>
      </c>
      <c r="AQ87" s="5" t="s">
        <v>67</v>
      </c>
      <c r="AR87" s="5" t="s">
        <v>67</v>
      </c>
      <c r="AW87" s="5" t="s">
        <v>67</v>
      </c>
      <c r="AX87" s="5" t="s">
        <v>67</v>
      </c>
      <c r="AY87" s="5" t="s">
        <v>67</v>
      </c>
      <c r="AZ87" s="5" t="s">
        <v>67</v>
      </c>
      <c r="BA87" s="3">
        <v>2146189009</v>
      </c>
      <c r="BB87" s="3">
        <v>0</v>
      </c>
      <c r="BC87" s="3">
        <v>0</v>
      </c>
      <c r="BD87" s="3">
        <v>2146189008</v>
      </c>
      <c r="BE87" s="3">
        <v>2146189008</v>
      </c>
      <c r="BF87" s="5" t="s">
        <v>67</v>
      </c>
      <c r="BG87" s="5" t="s">
        <v>97</v>
      </c>
      <c r="BH87" s="5" t="s">
        <v>67</v>
      </c>
      <c r="BI87" s="5" t="s">
        <v>67</v>
      </c>
      <c r="BJ87" s="5" t="s">
        <v>878</v>
      </c>
      <c r="BK87" s="5" t="s">
        <v>67</v>
      </c>
      <c r="BL87" s="5" t="s">
        <v>879</v>
      </c>
      <c r="BM87" s="5" t="s">
        <v>67</v>
      </c>
      <c r="BN87" s="5" t="s">
        <v>67</v>
      </c>
      <c r="BO87" s="5" t="s">
        <v>67</v>
      </c>
    </row>
    <row r="88" spans="1:67" x14ac:dyDescent="0.25">
      <c r="A88" s="3">
        <v>2589</v>
      </c>
      <c r="B88" s="4">
        <v>41816</v>
      </c>
      <c r="H88" s="5" t="s">
        <v>67</v>
      </c>
      <c r="I88" s="3" t="b">
        <v>0</v>
      </c>
      <c r="J88" s="3" t="b">
        <v>0</v>
      </c>
      <c r="K88" s="3" t="b">
        <v>0</v>
      </c>
      <c r="L88" s="3" t="b">
        <v>0</v>
      </c>
      <c r="M88" s="3" t="b">
        <v>0</v>
      </c>
      <c r="N88" s="3" t="b">
        <v>0</v>
      </c>
      <c r="O88" s="3" t="b">
        <v>0</v>
      </c>
      <c r="P88" s="3" t="b">
        <v>0</v>
      </c>
      <c r="Q88" s="3" t="b">
        <v>0</v>
      </c>
      <c r="R88" s="3" t="s">
        <v>67</v>
      </c>
      <c r="S88" s="5" t="s">
        <v>67</v>
      </c>
      <c r="T88" s="3" t="b">
        <v>0</v>
      </c>
      <c r="U88" s="3" t="b">
        <v>0</v>
      </c>
      <c r="V88" s="5" t="s">
        <v>67</v>
      </c>
      <c r="W88" s="5" t="s">
        <v>67</v>
      </c>
      <c r="X88" s="3" t="b">
        <v>0</v>
      </c>
      <c r="Y88" s="3" t="b">
        <v>0</v>
      </c>
      <c r="Z88" s="3" t="b">
        <v>0</v>
      </c>
      <c r="AA88" s="3" t="b">
        <v>0</v>
      </c>
      <c r="AB88" s="5" t="s">
        <v>67</v>
      </c>
      <c r="AC88" s="5" t="s">
        <v>67</v>
      </c>
      <c r="AD88" s="5" t="s">
        <v>67</v>
      </c>
      <c r="AE88" s="5" t="s">
        <v>67</v>
      </c>
      <c r="AF88" s="5" t="s">
        <v>67</v>
      </c>
      <c r="AG88" s="5" t="s">
        <v>67</v>
      </c>
      <c r="AH88" s="5" t="s">
        <v>67</v>
      </c>
      <c r="AI88" s="5" t="s">
        <v>67</v>
      </c>
      <c r="AJ88" s="5" t="s">
        <v>67</v>
      </c>
      <c r="AK88" s="5" t="s">
        <v>67</v>
      </c>
      <c r="AL88" s="5" t="s">
        <v>67</v>
      </c>
      <c r="AM88" s="5" t="s">
        <v>67</v>
      </c>
      <c r="AN88" s="5" t="s">
        <v>67</v>
      </c>
      <c r="AO88" s="5" t="s">
        <v>67</v>
      </c>
      <c r="AP88" s="5" t="s">
        <v>67</v>
      </c>
      <c r="AQ88" s="5" t="s">
        <v>67</v>
      </c>
      <c r="AR88" s="5" t="s">
        <v>67</v>
      </c>
      <c r="AW88" s="5" t="s">
        <v>67</v>
      </c>
      <c r="AX88" s="5" t="s">
        <v>67</v>
      </c>
      <c r="AY88" s="5" t="s">
        <v>67</v>
      </c>
      <c r="AZ88" s="5" t="s">
        <v>67</v>
      </c>
      <c r="BF88" s="5" t="s">
        <v>67</v>
      </c>
      <c r="BG88" s="5" t="s">
        <v>67</v>
      </c>
      <c r="BH88" s="5" t="s">
        <v>67</v>
      </c>
      <c r="BI88" s="5" t="s">
        <v>67</v>
      </c>
      <c r="BJ88" s="5" t="s">
        <v>67</v>
      </c>
      <c r="BK88" s="5" t="s">
        <v>67</v>
      </c>
      <c r="BL88" s="5" t="s">
        <v>67</v>
      </c>
      <c r="BM88" s="5" t="s">
        <v>67</v>
      </c>
      <c r="BN88" s="5" t="s">
        <v>67</v>
      </c>
      <c r="BO88" s="5" t="s">
        <v>67</v>
      </c>
    </row>
    <row r="89" spans="1:67" ht="405" x14ac:dyDescent="0.25">
      <c r="A89" s="3">
        <v>2604</v>
      </c>
      <c r="B89" s="4">
        <v>42866</v>
      </c>
      <c r="C89" s="3">
        <v>-1336383801</v>
      </c>
      <c r="D89" s="3">
        <v>2603</v>
      </c>
      <c r="E89" s="3">
        <v>-1336383801</v>
      </c>
      <c r="F89" s="3">
        <v>1424</v>
      </c>
      <c r="G89" s="3">
        <v>-562642022</v>
      </c>
      <c r="H89" s="5" t="s">
        <v>880</v>
      </c>
      <c r="I89" s="3" t="b">
        <v>0</v>
      </c>
      <c r="J89" s="3" t="b">
        <v>1</v>
      </c>
      <c r="K89" s="3" t="b">
        <v>0</v>
      </c>
      <c r="L89" s="3" t="b">
        <v>1</v>
      </c>
      <c r="M89" s="3" t="b">
        <v>0</v>
      </c>
      <c r="N89" s="3" t="b">
        <v>0</v>
      </c>
      <c r="O89" s="3" t="b">
        <v>1</v>
      </c>
      <c r="P89" s="3" t="b">
        <v>1</v>
      </c>
      <c r="Q89" s="3" t="b">
        <v>0</v>
      </c>
      <c r="R89" s="3" t="s">
        <v>881</v>
      </c>
      <c r="S89" s="5" t="s">
        <v>882</v>
      </c>
      <c r="T89" s="3" t="b">
        <v>1</v>
      </c>
      <c r="U89" s="3" t="b">
        <v>1</v>
      </c>
      <c r="V89" s="5" t="s">
        <v>883</v>
      </c>
      <c r="W89" s="5" t="s">
        <v>884</v>
      </c>
      <c r="X89" s="3" t="b">
        <v>0</v>
      </c>
      <c r="Y89" s="3" t="b">
        <v>0</v>
      </c>
      <c r="Z89" s="3" t="b">
        <v>0</v>
      </c>
      <c r="AA89" s="3" t="b">
        <v>1</v>
      </c>
      <c r="AB89" s="5" t="s">
        <v>885</v>
      </c>
      <c r="AC89" s="5" t="s">
        <v>886</v>
      </c>
      <c r="AD89" s="5" t="s">
        <v>67</v>
      </c>
      <c r="AE89" s="5" t="s">
        <v>67</v>
      </c>
      <c r="AF89" s="5" t="s">
        <v>887</v>
      </c>
      <c r="AG89" s="5" t="s">
        <v>67</v>
      </c>
      <c r="AH89" s="5" t="s">
        <v>888</v>
      </c>
      <c r="AI89" s="5" t="s">
        <v>67</v>
      </c>
      <c r="AJ89" s="5" t="s">
        <v>889</v>
      </c>
      <c r="AK89" s="5" t="s">
        <v>67</v>
      </c>
      <c r="AL89" s="5" t="s">
        <v>890</v>
      </c>
      <c r="AM89" s="5" t="s">
        <v>891</v>
      </c>
      <c r="AN89" s="5" t="s">
        <v>67</v>
      </c>
      <c r="AO89" s="5" t="s">
        <v>67</v>
      </c>
      <c r="AP89" s="5" t="s">
        <v>67</v>
      </c>
      <c r="AQ89" s="5" t="s">
        <v>67</v>
      </c>
      <c r="AR89" s="5" t="s">
        <v>67</v>
      </c>
      <c r="AU89" s="3">
        <v>2146189314</v>
      </c>
      <c r="AW89" s="5" t="s">
        <v>67</v>
      </c>
      <c r="AX89" s="5" t="s">
        <v>67</v>
      </c>
      <c r="AY89" s="5" t="s">
        <v>67</v>
      </c>
      <c r="AZ89" s="5" t="s">
        <v>67</v>
      </c>
      <c r="BA89" s="3">
        <v>107</v>
      </c>
      <c r="BB89" s="3">
        <v>2146189293</v>
      </c>
      <c r="BC89" s="3">
        <v>0</v>
      </c>
      <c r="BD89" s="3">
        <v>2146188985</v>
      </c>
      <c r="BE89" s="3">
        <v>2146189011</v>
      </c>
      <c r="BF89" s="5" t="s">
        <v>892</v>
      </c>
      <c r="BG89" s="5" t="s">
        <v>893</v>
      </c>
      <c r="BH89" s="5" t="s">
        <v>894</v>
      </c>
      <c r="BI89" s="5" t="s">
        <v>74</v>
      </c>
      <c r="BJ89" s="5" t="s">
        <v>895</v>
      </c>
      <c r="BK89" s="5" t="s">
        <v>896</v>
      </c>
      <c r="BL89" s="5" t="s">
        <v>897</v>
      </c>
      <c r="BM89" s="5" t="s">
        <v>898</v>
      </c>
      <c r="BN89" s="5" t="s">
        <v>899</v>
      </c>
      <c r="BO89" s="5" t="s">
        <v>900</v>
      </c>
    </row>
    <row r="90" spans="1:67" ht="409.5" x14ac:dyDescent="0.25">
      <c r="A90" s="3">
        <v>2611</v>
      </c>
      <c r="B90" s="4">
        <v>42888</v>
      </c>
      <c r="C90" s="3">
        <v>2146189795</v>
      </c>
      <c r="E90" s="3">
        <v>2146189796</v>
      </c>
      <c r="F90" s="3">
        <v>1424</v>
      </c>
      <c r="G90" s="3">
        <v>2146189796</v>
      </c>
      <c r="H90" s="5" t="s">
        <v>901</v>
      </c>
      <c r="I90" s="3" t="b">
        <v>0</v>
      </c>
      <c r="J90" s="3" t="b">
        <v>0</v>
      </c>
      <c r="K90" s="3" t="b">
        <v>0</v>
      </c>
      <c r="L90" s="3" t="b">
        <v>1</v>
      </c>
      <c r="M90" s="3" t="b">
        <v>0</v>
      </c>
      <c r="N90" s="3" t="b">
        <v>0</v>
      </c>
      <c r="O90" s="3" t="b">
        <v>0</v>
      </c>
      <c r="P90" s="3" t="b">
        <v>1</v>
      </c>
      <c r="Q90" s="3" t="b">
        <v>0</v>
      </c>
      <c r="R90" s="3" t="s">
        <v>881</v>
      </c>
      <c r="S90" s="5" t="s">
        <v>902</v>
      </c>
      <c r="T90" s="3" t="b">
        <v>1</v>
      </c>
      <c r="U90" s="3" t="b">
        <v>1</v>
      </c>
      <c r="V90" s="5" t="s">
        <v>67</v>
      </c>
      <c r="W90" s="5" t="s">
        <v>903</v>
      </c>
      <c r="X90" s="3" t="b">
        <v>0</v>
      </c>
      <c r="Y90" s="3" t="b">
        <v>0</v>
      </c>
      <c r="Z90" s="3" t="b">
        <v>0</v>
      </c>
      <c r="AA90" s="3" t="b">
        <v>1</v>
      </c>
      <c r="AB90" s="5" t="s">
        <v>904</v>
      </c>
      <c r="AC90" s="5" t="s">
        <v>67</v>
      </c>
      <c r="AD90" s="5" t="s">
        <v>67</v>
      </c>
      <c r="AE90" s="5" t="s">
        <v>67</v>
      </c>
      <c r="AF90" s="5" t="s">
        <v>905</v>
      </c>
      <c r="AG90" s="5" t="s">
        <v>906</v>
      </c>
      <c r="AH90" s="5" t="s">
        <v>907</v>
      </c>
      <c r="AI90" s="5" t="s">
        <v>67</v>
      </c>
      <c r="AJ90" s="5" t="s">
        <v>908</v>
      </c>
      <c r="AK90" s="5" t="s">
        <v>67</v>
      </c>
      <c r="AL90" s="5" t="s">
        <v>67</v>
      </c>
      <c r="AM90" s="5" t="s">
        <v>909</v>
      </c>
      <c r="AN90" s="5" t="s">
        <v>910</v>
      </c>
      <c r="AO90" s="5" t="s">
        <v>67</v>
      </c>
      <c r="AP90" s="5" t="s">
        <v>911</v>
      </c>
      <c r="AQ90" s="5" t="s">
        <v>912</v>
      </c>
      <c r="AR90" s="5" t="s">
        <v>67</v>
      </c>
      <c r="AW90" s="5" t="s">
        <v>67</v>
      </c>
      <c r="AX90" s="5" t="s">
        <v>67</v>
      </c>
      <c r="AY90" s="5" t="s">
        <v>67</v>
      </c>
      <c r="AZ90" s="5" t="s">
        <v>67</v>
      </c>
      <c r="BA90" s="3">
        <v>2146189786</v>
      </c>
      <c r="BB90" s="3">
        <v>2146189787</v>
      </c>
      <c r="BD90" s="3">
        <v>2146189020</v>
      </c>
      <c r="BE90" s="3">
        <v>2146189020</v>
      </c>
      <c r="BF90" s="5" t="s">
        <v>913</v>
      </c>
      <c r="BG90" s="5" t="s">
        <v>914</v>
      </c>
      <c r="BH90" s="5" t="s">
        <v>915</v>
      </c>
      <c r="BI90" s="5" t="s">
        <v>74</v>
      </c>
      <c r="BJ90" s="5" t="s">
        <v>67</v>
      </c>
      <c r="BK90" s="5" t="s">
        <v>916</v>
      </c>
      <c r="BL90" s="5" t="s">
        <v>917</v>
      </c>
      <c r="BM90" s="5" t="s">
        <v>67</v>
      </c>
      <c r="BN90" s="5" t="s">
        <v>918</v>
      </c>
      <c r="BO90" s="5" t="s">
        <v>67</v>
      </c>
    </row>
    <row r="91" spans="1:67" x14ac:dyDescent="0.25">
      <c r="A91" s="3">
        <v>2619</v>
      </c>
      <c r="B91" s="4">
        <v>42503</v>
      </c>
      <c r="H91" s="5" t="s">
        <v>67</v>
      </c>
      <c r="I91" s="3" t="b">
        <v>0</v>
      </c>
      <c r="J91" s="3" t="b">
        <v>0</v>
      </c>
      <c r="K91" s="3" t="b">
        <v>0</v>
      </c>
      <c r="L91" s="3" t="b">
        <v>0</v>
      </c>
      <c r="M91" s="3" t="b">
        <v>0</v>
      </c>
      <c r="N91" s="3" t="b">
        <v>0</v>
      </c>
      <c r="O91" s="3" t="b">
        <v>0</v>
      </c>
      <c r="P91" s="3" t="b">
        <v>0</v>
      </c>
      <c r="Q91" s="3" t="b">
        <v>0</v>
      </c>
      <c r="R91" s="3" t="s">
        <v>67</v>
      </c>
      <c r="S91" s="5" t="s">
        <v>67</v>
      </c>
      <c r="T91" s="3" t="b">
        <v>0</v>
      </c>
      <c r="U91" s="3" t="b">
        <v>0</v>
      </c>
      <c r="V91" s="5" t="s">
        <v>67</v>
      </c>
      <c r="W91" s="5" t="s">
        <v>67</v>
      </c>
      <c r="X91" s="3" t="b">
        <v>0</v>
      </c>
      <c r="Y91" s="3" t="b">
        <v>0</v>
      </c>
      <c r="Z91" s="3" t="b">
        <v>0</v>
      </c>
      <c r="AA91" s="3" t="b">
        <v>0</v>
      </c>
      <c r="AB91" s="5" t="s">
        <v>67</v>
      </c>
      <c r="AC91" s="5" t="s">
        <v>67</v>
      </c>
      <c r="AD91" s="5" t="s">
        <v>67</v>
      </c>
      <c r="AE91" s="5" t="s">
        <v>67</v>
      </c>
      <c r="AF91" s="5" t="s">
        <v>67</v>
      </c>
      <c r="AG91" s="5" t="s">
        <v>67</v>
      </c>
      <c r="AH91" s="5" t="s">
        <v>67</v>
      </c>
      <c r="AI91" s="5" t="s">
        <v>67</v>
      </c>
      <c r="AJ91" s="5" t="s">
        <v>67</v>
      </c>
      <c r="AK91" s="5" t="s">
        <v>67</v>
      </c>
      <c r="AL91" s="5" t="s">
        <v>67</v>
      </c>
      <c r="AM91" s="5" t="s">
        <v>67</v>
      </c>
      <c r="AN91" s="5" t="s">
        <v>67</v>
      </c>
      <c r="AO91" s="5" t="s">
        <v>67</v>
      </c>
      <c r="AP91" s="5" t="s">
        <v>67</v>
      </c>
      <c r="AQ91" s="5" t="s">
        <v>67</v>
      </c>
      <c r="AR91" s="5" t="s">
        <v>67</v>
      </c>
      <c r="AW91" s="5" t="s">
        <v>67</v>
      </c>
      <c r="AX91" s="5" t="s">
        <v>67</v>
      </c>
      <c r="AY91" s="5" t="s">
        <v>67</v>
      </c>
      <c r="AZ91" s="5" t="s">
        <v>67</v>
      </c>
      <c r="BF91" s="5" t="s">
        <v>67</v>
      </c>
      <c r="BG91" s="5" t="s">
        <v>67</v>
      </c>
      <c r="BH91" s="5" t="s">
        <v>67</v>
      </c>
      <c r="BI91" s="5" t="s">
        <v>67</v>
      </c>
      <c r="BJ91" s="5" t="s">
        <v>67</v>
      </c>
      <c r="BK91" s="5" t="s">
        <v>67</v>
      </c>
      <c r="BL91" s="5" t="s">
        <v>67</v>
      </c>
      <c r="BM91" s="5" t="s">
        <v>67</v>
      </c>
      <c r="BN91" s="5" t="s">
        <v>67</v>
      </c>
      <c r="BO91" s="5" t="s">
        <v>67</v>
      </c>
    </row>
    <row r="92" spans="1:67" ht="270" x14ac:dyDescent="0.25">
      <c r="A92" s="3">
        <v>2625</v>
      </c>
      <c r="B92" s="4">
        <v>43039</v>
      </c>
      <c r="C92" s="3">
        <v>252</v>
      </c>
      <c r="D92" s="3">
        <v>0</v>
      </c>
      <c r="E92" s="3">
        <v>0</v>
      </c>
      <c r="F92" s="3">
        <v>2677</v>
      </c>
      <c r="G92" s="3">
        <v>252</v>
      </c>
      <c r="H92" s="5" t="s">
        <v>67</v>
      </c>
      <c r="I92" s="3" t="b">
        <v>0</v>
      </c>
      <c r="J92" s="3" t="b">
        <v>0</v>
      </c>
      <c r="K92" s="3" t="b">
        <v>1</v>
      </c>
      <c r="L92" s="3" t="b">
        <v>1</v>
      </c>
      <c r="M92" s="3" t="b">
        <v>1</v>
      </c>
      <c r="N92" s="3" t="b">
        <v>0</v>
      </c>
      <c r="O92" s="3" t="b">
        <v>0</v>
      </c>
      <c r="P92" s="3" t="b">
        <v>0</v>
      </c>
      <c r="Q92" s="3" t="b">
        <v>0</v>
      </c>
      <c r="R92" s="3" t="s">
        <v>919</v>
      </c>
      <c r="S92" s="5" t="s">
        <v>920</v>
      </c>
      <c r="T92" s="3" t="b">
        <v>0</v>
      </c>
      <c r="U92" s="3" t="b">
        <v>1</v>
      </c>
      <c r="V92" s="5" t="s">
        <v>921</v>
      </c>
      <c r="W92" s="5" t="s">
        <v>67</v>
      </c>
      <c r="X92" s="3" t="b">
        <v>0</v>
      </c>
      <c r="Y92" s="3" t="b">
        <v>0</v>
      </c>
      <c r="Z92" s="3" t="b">
        <v>0</v>
      </c>
      <c r="AA92" s="3" t="b">
        <v>0</v>
      </c>
      <c r="AB92" s="5" t="s">
        <v>922</v>
      </c>
      <c r="AC92" s="5" t="s">
        <v>67</v>
      </c>
      <c r="AD92" s="5" t="s">
        <v>923</v>
      </c>
      <c r="AE92" s="5" t="s">
        <v>67</v>
      </c>
      <c r="AF92" s="5" t="s">
        <v>924</v>
      </c>
      <c r="AG92" s="5" t="s">
        <v>67</v>
      </c>
      <c r="AH92" s="5" t="s">
        <v>925</v>
      </c>
      <c r="AI92" s="5" t="s">
        <v>926</v>
      </c>
      <c r="AJ92" s="5" t="s">
        <v>67</v>
      </c>
      <c r="AK92" s="5" t="s">
        <v>67</v>
      </c>
      <c r="AL92" s="5" t="s">
        <v>67</v>
      </c>
      <c r="AM92" s="5" t="s">
        <v>925</v>
      </c>
      <c r="AN92" s="5" t="s">
        <v>67</v>
      </c>
      <c r="AO92" s="5" t="s">
        <v>67</v>
      </c>
      <c r="AP92" s="5" t="s">
        <v>67</v>
      </c>
      <c r="AQ92" s="5" t="s">
        <v>912</v>
      </c>
      <c r="AR92" s="5" t="s">
        <v>67</v>
      </c>
      <c r="AW92" s="5" t="s">
        <v>67</v>
      </c>
      <c r="AX92" s="5" t="s">
        <v>67</v>
      </c>
      <c r="AY92" s="5" t="s">
        <v>67</v>
      </c>
      <c r="AZ92" s="5" t="s">
        <v>67</v>
      </c>
      <c r="BA92" s="3">
        <v>2146189598</v>
      </c>
      <c r="BC92" s="3">
        <v>0</v>
      </c>
      <c r="BD92" s="3">
        <v>2146189020</v>
      </c>
      <c r="BE92" s="3">
        <v>2146189020</v>
      </c>
      <c r="BF92" s="5" t="s">
        <v>927</v>
      </c>
      <c r="BG92" s="5" t="s">
        <v>928</v>
      </c>
      <c r="BH92" s="5" t="s">
        <v>929</v>
      </c>
      <c r="BI92" s="5" t="s">
        <v>210</v>
      </c>
      <c r="BJ92" s="5" t="s">
        <v>663</v>
      </c>
      <c r="BK92" s="5" t="s">
        <v>930</v>
      </c>
      <c r="BL92" s="5" t="s">
        <v>931</v>
      </c>
      <c r="BM92" s="5" t="s">
        <v>67</v>
      </c>
      <c r="BN92" s="5" t="s">
        <v>932</v>
      </c>
      <c r="BO92" s="5" t="s">
        <v>67</v>
      </c>
    </row>
    <row r="93" spans="1:67" x14ac:dyDescent="0.25">
      <c r="A93" s="3">
        <v>2642</v>
      </c>
      <c r="B93" s="4">
        <v>41039</v>
      </c>
      <c r="H93" s="5" t="s">
        <v>67</v>
      </c>
      <c r="I93" s="3" t="b">
        <v>0</v>
      </c>
      <c r="J93" s="3" t="b">
        <v>0</v>
      </c>
      <c r="K93" s="3" t="b">
        <v>0</v>
      </c>
      <c r="L93" s="3" t="b">
        <v>0</v>
      </c>
      <c r="M93" s="3" t="b">
        <v>0</v>
      </c>
      <c r="N93" s="3" t="b">
        <v>0</v>
      </c>
      <c r="O93" s="3" t="b">
        <v>0</v>
      </c>
      <c r="P93" s="3" t="b">
        <v>0</v>
      </c>
      <c r="Q93" s="3" t="b">
        <v>0</v>
      </c>
      <c r="R93" s="3" t="s">
        <v>67</v>
      </c>
      <c r="S93" s="5" t="s">
        <v>67</v>
      </c>
      <c r="T93" s="3" t="b">
        <v>0</v>
      </c>
      <c r="U93" s="3" t="b">
        <v>0</v>
      </c>
      <c r="V93" s="5" t="s">
        <v>67</v>
      </c>
      <c r="W93" s="5" t="s">
        <v>67</v>
      </c>
      <c r="X93" s="3" t="b">
        <v>0</v>
      </c>
      <c r="Y93" s="3" t="b">
        <v>0</v>
      </c>
      <c r="Z93" s="3" t="b">
        <v>0</v>
      </c>
      <c r="AA93" s="3" t="b">
        <v>0</v>
      </c>
      <c r="AB93" s="5" t="s">
        <v>67</v>
      </c>
      <c r="AC93" s="5" t="s">
        <v>67</v>
      </c>
      <c r="AD93" s="5" t="s">
        <v>67</v>
      </c>
      <c r="AE93" s="5" t="s">
        <v>67</v>
      </c>
      <c r="AF93" s="5" t="s">
        <v>67</v>
      </c>
      <c r="AG93" s="5" t="s">
        <v>67</v>
      </c>
      <c r="AH93" s="5" t="s">
        <v>67</v>
      </c>
      <c r="AI93" s="5" t="s">
        <v>67</v>
      </c>
      <c r="AJ93" s="5" t="s">
        <v>67</v>
      </c>
      <c r="AK93" s="5" t="s">
        <v>67</v>
      </c>
      <c r="AL93" s="5" t="s">
        <v>67</v>
      </c>
      <c r="AM93" s="5" t="s">
        <v>67</v>
      </c>
      <c r="AN93" s="5" t="s">
        <v>67</v>
      </c>
      <c r="AO93" s="5" t="s">
        <v>67</v>
      </c>
      <c r="AP93" s="5" t="s">
        <v>67</v>
      </c>
      <c r="AQ93" s="5" t="s">
        <v>67</v>
      </c>
      <c r="AR93" s="5" t="s">
        <v>67</v>
      </c>
      <c r="AW93" s="5" t="s">
        <v>67</v>
      </c>
      <c r="AX93" s="5" t="s">
        <v>67</v>
      </c>
      <c r="AY93" s="5" t="s">
        <v>67</v>
      </c>
      <c r="AZ93" s="5" t="s">
        <v>67</v>
      </c>
      <c r="BF93" s="5" t="s">
        <v>67</v>
      </c>
      <c r="BG93" s="5" t="s">
        <v>67</v>
      </c>
      <c r="BH93" s="5" t="s">
        <v>67</v>
      </c>
      <c r="BI93" s="5" t="s">
        <v>67</v>
      </c>
      <c r="BJ93" s="5" t="s">
        <v>67</v>
      </c>
      <c r="BK93" s="5" t="s">
        <v>67</v>
      </c>
      <c r="BL93" s="5" t="s">
        <v>67</v>
      </c>
      <c r="BM93" s="5" t="s">
        <v>67</v>
      </c>
      <c r="BN93" s="5" t="s">
        <v>67</v>
      </c>
      <c r="BO93" s="5" t="s">
        <v>67</v>
      </c>
    </row>
    <row r="94" spans="1:67" x14ac:dyDescent="0.25">
      <c r="A94" s="3">
        <v>2643</v>
      </c>
      <c r="B94" s="4">
        <v>40996</v>
      </c>
      <c r="H94" s="5" t="s">
        <v>67</v>
      </c>
      <c r="I94" s="3" t="b">
        <v>0</v>
      </c>
      <c r="J94" s="3" t="b">
        <v>0</v>
      </c>
      <c r="K94" s="3" t="b">
        <v>0</v>
      </c>
      <c r="L94" s="3" t="b">
        <v>0</v>
      </c>
      <c r="M94" s="3" t="b">
        <v>0</v>
      </c>
      <c r="N94" s="3" t="b">
        <v>0</v>
      </c>
      <c r="O94" s="3" t="b">
        <v>0</v>
      </c>
      <c r="P94" s="3" t="b">
        <v>0</v>
      </c>
      <c r="Q94" s="3" t="b">
        <v>0</v>
      </c>
      <c r="R94" s="3" t="s">
        <v>67</v>
      </c>
      <c r="S94" s="5" t="s">
        <v>67</v>
      </c>
      <c r="T94" s="3" t="b">
        <v>0</v>
      </c>
      <c r="U94" s="3" t="b">
        <v>0</v>
      </c>
      <c r="V94" s="5" t="s">
        <v>67</v>
      </c>
      <c r="W94" s="5" t="s">
        <v>67</v>
      </c>
      <c r="X94" s="3" t="b">
        <v>0</v>
      </c>
      <c r="Y94" s="3" t="b">
        <v>0</v>
      </c>
      <c r="Z94" s="3" t="b">
        <v>0</v>
      </c>
      <c r="AA94" s="3" t="b">
        <v>0</v>
      </c>
      <c r="AB94" s="5" t="s">
        <v>67</v>
      </c>
      <c r="AC94" s="5" t="s">
        <v>67</v>
      </c>
      <c r="AD94" s="5" t="s">
        <v>67</v>
      </c>
      <c r="AE94" s="5" t="s">
        <v>67</v>
      </c>
      <c r="AF94" s="5" t="s">
        <v>67</v>
      </c>
      <c r="AG94" s="5" t="s">
        <v>67</v>
      </c>
      <c r="AH94" s="5" t="s">
        <v>67</v>
      </c>
      <c r="AI94" s="5" t="s">
        <v>67</v>
      </c>
      <c r="AJ94" s="5" t="s">
        <v>67</v>
      </c>
      <c r="AK94" s="5" t="s">
        <v>67</v>
      </c>
      <c r="AL94" s="5" t="s">
        <v>67</v>
      </c>
      <c r="AM94" s="5" t="s">
        <v>67</v>
      </c>
      <c r="AN94" s="5" t="s">
        <v>67</v>
      </c>
      <c r="AO94" s="5" t="s">
        <v>67</v>
      </c>
      <c r="AP94" s="5" t="s">
        <v>67</v>
      </c>
      <c r="AQ94" s="5" t="s">
        <v>67</v>
      </c>
      <c r="AR94" s="5" t="s">
        <v>67</v>
      </c>
      <c r="AW94" s="5" t="s">
        <v>67</v>
      </c>
      <c r="AX94" s="5" t="s">
        <v>67</v>
      </c>
      <c r="AY94" s="5" t="s">
        <v>67</v>
      </c>
      <c r="AZ94" s="5" t="s">
        <v>67</v>
      </c>
      <c r="BF94" s="5" t="s">
        <v>67</v>
      </c>
      <c r="BG94" s="5" t="s">
        <v>67</v>
      </c>
      <c r="BH94" s="5" t="s">
        <v>67</v>
      </c>
      <c r="BI94" s="5" t="s">
        <v>67</v>
      </c>
      <c r="BJ94" s="5" t="s">
        <v>67</v>
      </c>
      <c r="BK94" s="5" t="s">
        <v>67</v>
      </c>
      <c r="BL94" s="5" t="s">
        <v>67</v>
      </c>
      <c r="BM94" s="5" t="s">
        <v>67</v>
      </c>
      <c r="BN94" s="5" t="s">
        <v>67</v>
      </c>
      <c r="BO94" s="5" t="s">
        <v>67</v>
      </c>
    </row>
    <row r="95" spans="1:67" ht="409.5" x14ac:dyDescent="0.25">
      <c r="A95" s="3">
        <v>2653</v>
      </c>
      <c r="B95" s="4">
        <v>42972</v>
      </c>
      <c r="C95" s="3">
        <v>81</v>
      </c>
      <c r="D95" s="3">
        <v>0</v>
      </c>
      <c r="E95" s="3">
        <v>0</v>
      </c>
      <c r="F95" s="3">
        <v>2146189483</v>
      </c>
      <c r="G95" s="3">
        <v>2146189103</v>
      </c>
      <c r="H95" s="5" t="s">
        <v>933</v>
      </c>
      <c r="I95" s="3" t="b">
        <v>0</v>
      </c>
      <c r="J95" s="3" t="b">
        <v>0</v>
      </c>
      <c r="K95" s="3" t="b">
        <v>0</v>
      </c>
      <c r="L95" s="3" t="b">
        <v>1</v>
      </c>
      <c r="M95" s="3" t="b">
        <v>0</v>
      </c>
      <c r="N95" s="3" t="b">
        <v>0</v>
      </c>
      <c r="O95" s="3" t="b">
        <v>0</v>
      </c>
      <c r="P95" s="3" t="b">
        <v>1</v>
      </c>
      <c r="Q95" s="3" t="b">
        <v>1</v>
      </c>
      <c r="R95" s="3" t="s">
        <v>934</v>
      </c>
      <c r="S95" s="5" t="s">
        <v>935</v>
      </c>
      <c r="T95" s="3" t="b">
        <v>0</v>
      </c>
      <c r="U95" s="3" t="b">
        <v>1</v>
      </c>
      <c r="V95" s="5" t="s">
        <v>81</v>
      </c>
      <c r="W95" s="5" t="s">
        <v>936</v>
      </c>
      <c r="X95" s="3" t="b">
        <v>0</v>
      </c>
      <c r="Y95" s="3" t="b">
        <v>0</v>
      </c>
      <c r="Z95" s="3" t="b">
        <v>0</v>
      </c>
      <c r="AA95" s="3" t="b">
        <v>1</v>
      </c>
      <c r="AB95" s="5" t="s">
        <v>937</v>
      </c>
      <c r="AC95" s="5" t="s">
        <v>67</v>
      </c>
      <c r="AD95" s="5" t="s">
        <v>67</v>
      </c>
      <c r="AE95" s="5" t="s">
        <v>67</v>
      </c>
      <c r="AF95" s="5" t="s">
        <v>938</v>
      </c>
      <c r="AG95" s="5" t="s">
        <v>939</v>
      </c>
      <c r="AH95" s="5" t="s">
        <v>940</v>
      </c>
      <c r="AI95" s="5" t="s">
        <v>67</v>
      </c>
      <c r="AJ95" s="5" t="s">
        <v>941</v>
      </c>
      <c r="AK95" s="5" t="s">
        <v>942</v>
      </c>
      <c r="AL95" s="5" t="s">
        <v>67</v>
      </c>
      <c r="AM95" s="5" t="s">
        <v>943</v>
      </c>
      <c r="AN95" s="5" t="s">
        <v>67</v>
      </c>
      <c r="AO95" s="5" t="s">
        <v>67</v>
      </c>
      <c r="AP95" s="5" t="s">
        <v>67</v>
      </c>
      <c r="AQ95" s="5" t="s">
        <v>67</v>
      </c>
      <c r="AR95" s="5" t="s">
        <v>67</v>
      </c>
      <c r="AW95" s="5" t="s">
        <v>67</v>
      </c>
      <c r="AX95" s="5" t="s">
        <v>67</v>
      </c>
      <c r="AY95" s="5" t="s">
        <v>67</v>
      </c>
      <c r="AZ95" s="5" t="s">
        <v>67</v>
      </c>
      <c r="BA95" s="3">
        <v>2146189786</v>
      </c>
      <c r="BB95" s="3">
        <v>0</v>
      </c>
      <c r="BC95" s="3">
        <v>0</v>
      </c>
      <c r="BD95" s="3">
        <v>2146189021</v>
      </c>
      <c r="BE95" s="3">
        <v>2146189021</v>
      </c>
      <c r="BF95" s="5" t="s">
        <v>944</v>
      </c>
      <c r="BG95" s="5" t="s">
        <v>97</v>
      </c>
      <c r="BH95" s="5" t="s">
        <v>945</v>
      </c>
      <c r="BI95" s="5" t="s">
        <v>74</v>
      </c>
      <c r="BJ95" s="5" t="s">
        <v>946</v>
      </c>
      <c r="BK95" s="5" t="s">
        <v>947</v>
      </c>
      <c r="BL95" s="5" t="s">
        <v>948</v>
      </c>
      <c r="BM95" s="5" t="s">
        <v>67</v>
      </c>
      <c r="BN95" s="5" t="s">
        <v>949</v>
      </c>
      <c r="BO95" s="5" t="s">
        <v>950</v>
      </c>
    </row>
    <row r="96" spans="1:67" x14ac:dyDescent="0.25">
      <c r="A96" s="3">
        <v>2654</v>
      </c>
      <c r="B96" s="4">
        <v>42405</v>
      </c>
      <c r="H96" s="5" t="s">
        <v>67</v>
      </c>
      <c r="I96" s="3" t="b">
        <v>0</v>
      </c>
      <c r="J96" s="3" t="b">
        <v>0</v>
      </c>
      <c r="K96" s="3" t="b">
        <v>0</v>
      </c>
      <c r="L96" s="3" t="b">
        <v>0</v>
      </c>
      <c r="M96" s="3" t="b">
        <v>0</v>
      </c>
      <c r="N96" s="3" t="b">
        <v>0</v>
      </c>
      <c r="O96" s="3" t="b">
        <v>0</v>
      </c>
      <c r="P96" s="3" t="b">
        <v>0</v>
      </c>
      <c r="Q96" s="3" t="b">
        <v>0</v>
      </c>
      <c r="R96" s="3" t="s">
        <v>67</v>
      </c>
      <c r="S96" s="5" t="s">
        <v>67</v>
      </c>
      <c r="T96" s="3" t="b">
        <v>0</v>
      </c>
      <c r="U96" s="3" t="b">
        <v>0</v>
      </c>
      <c r="V96" s="5" t="s">
        <v>67</v>
      </c>
      <c r="W96" s="5" t="s">
        <v>67</v>
      </c>
      <c r="X96" s="3" t="b">
        <v>0</v>
      </c>
      <c r="Y96" s="3" t="b">
        <v>0</v>
      </c>
      <c r="Z96" s="3" t="b">
        <v>0</v>
      </c>
      <c r="AA96" s="3" t="b">
        <v>0</v>
      </c>
      <c r="AB96" s="5" t="s">
        <v>67</v>
      </c>
      <c r="AC96" s="5" t="s">
        <v>67</v>
      </c>
      <c r="AD96" s="5" t="s">
        <v>67</v>
      </c>
      <c r="AE96" s="5" t="s">
        <v>67</v>
      </c>
      <c r="AF96" s="5" t="s">
        <v>67</v>
      </c>
      <c r="AG96" s="5" t="s">
        <v>67</v>
      </c>
      <c r="AH96" s="5" t="s">
        <v>67</v>
      </c>
      <c r="AI96" s="5" t="s">
        <v>67</v>
      </c>
      <c r="AJ96" s="5" t="s">
        <v>67</v>
      </c>
      <c r="AK96" s="5" t="s">
        <v>67</v>
      </c>
      <c r="AL96" s="5" t="s">
        <v>67</v>
      </c>
      <c r="AM96" s="5" t="s">
        <v>67</v>
      </c>
      <c r="AN96" s="5" t="s">
        <v>67</v>
      </c>
      <c r="AO96" s="5" t="s">
        <v>67</v>
      </c>
      <c r="AP96" s="5" t="s">
        <v>67</v>
      </c>
      <c r="AQ96" s="5" t="s">
        <v>67</v>
      </c>
      <c r="AR96" s="5" t="s">
        <v>67</v>
      </c>
      <c r="AW96" s="5" t="s">
        <v>67</v>
      </c>
      <c r="AX96" s="5" t="s">
        <v>67</v>
      </c>
      <c r="AY96" s="5" t="s">
        <v>67</v>
      </c>
      <c r="AZ96" s="5" t="s">
        <v>67</v>
      </c>
      <c r="BF96" s="5" t="s">
        <v>67</v>
      </c>
      <c r="BG96" s="5" t="s">
        <v>67</v>
      </c>
      <c r="BH96" s="5" t="s">
        <v>67</v>
      </c>
      <c r="BI96" s="5" t="s">
        <v>67</v>
      </c>
      <c r="BJ96" s="5" t="s">
        <v>67</v>
      </c>
      <c r="BK96" s="5" t="s">
        <v>67</v>
      </c>
      <c r="BL96" s="5" t="s">
        <v>67</v>
      </c>
      <c r="BM96" s="5" t="s">
        <v>67</v>
      </c>
      <c r="BN96" s="5" t="s">
        <v>67</v>
      </c>
      <c r="BO96" s="5" t="s">
        <v>67</v>
      </c>
    </row>
    <row r="97" spans="1:67" ht="405" x14ac:dyDescent="0.25">
      <c r="A97" s="3">
        <v>2655</v>
      </c>
      <c r="B97" s="4">
        <v>42426</v>
      </c>
      <c r="C97" s="3">
        <v>-367246467</v>
      </c>
      <c r="D97" s="3">
        <v>2027</v>
      </c>
      <c r="E97" s="3">
        <v>0</v>
      </c>
      <c r="F97" s="3">
        <v>1424</v>
      </c>
      <c r="G97" s="3">
        <v>1424</v>
      </c>
      <c r="H97" s="5" t="s">
        <v>67</v>
      </c>
      <c r="I97" s="3" t="b">
        <v>0</v>
      </c>
      <c r="J97" s="3" t="b">
        <v>0</v>
      </c>
      <c r="K97" s="3" t="b">
        <v>0</v>
      </c>
      <c r="L97" s="3" t="b">
        <v>1</v>
      </c>
      <c r="M97" s="3" t="b">
        <v>0</v>
      </c>
      <c r="N97" s="3" t="b">
        <v>1</v>
      </c>
      <c r="O97" s="3" t="b">
        <v>0</v>
      </c>
      <c r="P97" s="3" t="b">
        <v>1</v>
      </c>
      <c r="Q97" s="3" t="b">
        <v>0</v>
      </c>
      <c r="R97" s="3" t="s">
        <v>951</v>
      </c>
      <c r="S97" s="5" t="s">
        <v>952</v>
      </c>
      <c r="T97" s="3" t="b">
        <v>0</v>
      </c>
      <c r="U97" s="3" t="b">
        <v>1</v>
      </c>
      <c r="V97" s="5" t="s">
        <v>67</v>
      </c>
      <c r="W97" s="5" t="s">
        <v>953</v>
      </c>
      <c r="X97" s="3" t="b">
        <v>0</v>
      </c>
      <c r="Y97" s="3" t="b">
        <v>0</v>
      </c>
      <c r="Z97" s="3" t="b">
        <v>0</v>
      </c>
      <c r="AA97" s="3" t="b">
        <v>1</v>
      </c>
      <c r="AB97" s="5" t="s">
        <v>954</v>
      </c>
      <c r="AC97" s="5" t="s">
        <v>955</v>
      </c>
      <c r="AD97" s="5" t="s">
        <v>67</v>
      </c>
      <c r="AE97" s="5" t="s">
        <v>67</v>
      </c>
      <c r="AF97" s="5" t="s">
        <v>956</v>
      </c>
      <c r="AG97" s="5" t="s">
        <v>957</v>
      </c>
      <c r="AH97" s="5" t="s">
        <v>958</v>
      </c>
      <c r="AI97" s="5" t="s">
        <v>67</v>
      </c>
      <c r="AJ97" s="5" t="s">
        <v>959</v>
      </c>
      <c r="AK97" s="5" t="s">
        <v>67</v>
      </c>
      <c r="AL97" s="5" t="s">
        <v>67</v>
      </c>
      <c r="AM97" s="5" t="s">
        <v>960</v>
      </c>
      <c r="AN97" s="5" t="s">
        <v>67</v>
      </c>
      <c r="AO97" s="5" t="s">
        <v>67</v>
      </c>
      <c r="AP97" s="5" t="s">
        <v>961</v>
      </c>
      <c r="AQ97" s="5" t="s">
        <v>67</v>
      </c>
      <c r="AR97" s="5" t="s">
        <v>67</v>
      </c>
      <c r="AW97" s="5" t="s">
        <v>67</v>
      </c>
      <c r="AX97" s="5" t="s">
        <v>67</v>
      </c>
      <c r="AY97" s="5" t="s">
        <v>67</v>
      </c>
      <c r="AZ97" s="5" t="s">
        <v>67</v>
      </c>
      <c r="BA97" s="3">
        <v>107</v>
      </c>
      <c r="BB97" s="3">
        <v>-749136963</v>
      </c>
      <c r="BC97" s="3">
        <v>0</v>
      </c>
      <c r="BD97" s="3">
        <v>2146188969</v>
      </c>
      <c r="BE97" s="3">
        <v>2146188974</v>
      </c>
      <c r="BF97" s="5" t="s">
        <v>962</v>
      </c>
      <c r="BG97" s="5" t="s">
        <v>963</v>
      </c>
      <c r="BH97" s="5" t="s">
        <v>964</v>
      </c>
      <c r="BI97" s="5" t="s">
        <v>67</v>
      </c>
      <c r="BJ97" s="5" t="s">
        <v>965</v>
      </c>
      <c r="BK97" s="5" t="s">
        <v>966</v>
      </c>
      <c r="BL97" s="5" t="s">
        <v>967</v>
      </c>
      <c r="BM97" s="5" t="s">
        <v>67</v>
      </c>
      <c r="BN97" s="5" t="s">
        <v>67</v>
      </c>
      <c r="BO97" s="5" t="s">
        <v>67</v>
      </c>
    </row>
    <row r="98" spans="1:67" ht="330" x14ac:dyDescent="0.25">
      <c r="A98" s="3">
        <v>2657</v>
      </c>
      <c r="B98" s="4">
        <v>37833.489710648202</v>
      </c>
      <c r="C98" s="3">
        <v>700</v>
      </c>
      <c r="D98" s="3">
        <v>0</v>
      </c>
      <c r="E98" s="3">
        <v>0</v>
      </c>
      <c r="F98" s="3">
        <v>-199496155</v>
      </c>
      <c r="G98" s="3">
        <v>-199496155</v>
      </c>
      <c r="H98" s="5" t="s">
        <v>67</v>
      </c>
      <c r="I98" s="3" t="b">
        <v>0</v>
      </c>
      <c r="J98" s="3" t="b">
        <v>0</v>
      </c>
      <c r="K98" s="3" t="b">
        <v>0</v>
      </c>
      <c r="L98" s="3" t="b">
        <v>0</v>
      </c>
      <c r="M98" s="3" t="b">
        <v>0</v>
      </c>
      <c r="N98" s="3" t="b">
        <v>0</v>
      </c>
      <c r="O98" s="3" t="b">
        <v>0</v>
      </c>
      <c r="P98" s="3" t="b">
        <v>0</v>
      </c>
      <c r="Q98" s="3" t="b">
        <v>0</v>
      </c>
      <c r="R98" s="3" t="s">
        <v>67</v>
      </c>
      <c r="S98" s="5" t="s">
        <v>882</v>
      </c>
      <c r="T98" s="3" t="b">
        <v>1</v>
      </c>
      <c r="U98" s="3" t="b">
        <v>1</v>
      </c>
      <c r="V98" s="5" t="s">
        <v>67</v>
      </c>
      <c r="W98" s="5" t="s">
        <v>67</v>
      </c>
      <c r="X98" s="3" t="b">
        <v>0</v>
      </c>
      <c r="Y98" s="3" t="b">
        <v>0</v>
      </c>
      <c r="Z98" s="3" t="b">
        <v>0</v>
      </c>
      <c r="AA98" s="3" t="b">
        <v>0</v>
      </c>
      <c r="AB98" s="5" t="s">
        <v>968</v>
      </c>
      <c r="AC98" s="5" t="s">
        <v>969</v>
      </c>
      <c r="AD98" s="5" t="s">
        <v>970</v>
      </c>
      <c r="AE98" s="5" t="s">
        <v>67</v>
      </c>
      <c r="AF98" s="5" t="s">
        <v>971</v>
      </c>
      <c r="AG98" s="5" t="s">
        <v>67</v>
      </c>
      <c r="AH98" s="5" t="s">
        <v>67</v>
      </c>
      <c r="AI98" s="5" t="s">
        <v>67</v>
      </c>
      <c r="AJ98" s="5" t="s">
        <v>67</v>
      </c>
      <c r="AK98" s="5" t="s">
        <v>67</v>
      </c>
      <c r="AL98" s="5" t="s">
        <v>67</v>
      </c>
      <c r="AM98" s="5" t="s">
        <v>67</v>
      </c>
      <c r="AN98" s="5" t="s">
        <v>67</v>
      </c>
      <c r="AO98" s="5" t="s">
        <v>67</v>
      </c>
      <c r="AP98" s="5" t="s">
        <v>67</v>
      </c>
      <c r="AQ98" s="5" t="s">
        <v>67</v>
      </c>
      <c r="AR98" s="5" t="s">
        <v>67</v>
      </c>
      <c r="AW98" s="5" t="s">
        <v>67</v>
      </c>
      <c r="AX98" s="5" t="s">
        <v>67</v>
      </c>
      <c r="AY98" s="5" t="s">
        <v>67</v>
      </c>
      <c r="AZ98" s="5" t="s">
        <v>67</v>
      </c>
      <c r="BA98" s="3">
        <v>107</v>
      </c>
      <c r="BB98" s="3">
        <v>0</v>
      </c>
      <c r="BC98" s="3">
        <v>0</v>
      </c>
      <c r="BE98" s="3">
        <v>0</v>
      </c>
      <c r="BF98" s="5" t="s">
        <v>67</v>
      </c>
      <c r="BG98" s="5" t="s">
        <v>972</v>
      </c>
      <c r="BH98" s="5" t="s">
        <v>714</v>
      </c>
      <c r="BI98" s="5" t="s">
        <v>67</v>
      </c>
      <c r="BJ98" s="5" t="s">
        <v>973</v>
      </c>
      <c r="BK98" s="5" t="s">
        <v>67</v>
      </c>
      <c r="BL98" s="5" t="s">
        <v>67</v>
      </c>
      <c r="BM98" s="5" t="s">
        <v>456</v>
      </c>
      <c r="BN98" s="5" t="s">
        <v>67</v>
      </c>
      <c r="BO98" s="5" t="s">
        <v>67</v>
      </c>
    </row>
    <row r="99" spans="1:67" ht="240" x14ac:dyDescent="0.25">
      <c r="A99" s="3">
        <v>2659</v>
      </c>
      <c r="B99" s="4">
        <v>37847.488437499997</v>
      </c>
      <c r="C99" s="3">
        <v>1018357734</v>
      </c>
      <c r="D99" s="3">
        <v>2210</v>
      </c>
      <c r="E99" s="3">
        <v>0</v>
      </c>
      <c r="H99" s="5" t="s">
        <v>67</v>
      </c>
      <c r="I99" s="3" t="b">
        <v>0</v>
      </c>
      <c r="J99" s="3" t="b">
        <v>0</v>
      </c>
      <c r="K99" s="3" t="b">
        <v>0</v>
      </c>
      <c r="L99" s="3" t="b">
        <v>0</v>
      </c>
      <c r="M99" s="3" t="b">
        <v>0</v>
      </c>
      <c r="N99" s="3" t="b">
        <v>0</v>
      </c>
      <c r="O99" s="3" t="b">
        <v>0</v>
      </c>
      <c r="P99" s="3" t="b">
        <v>0</v>
      </c>
      <c r="Q99" s="3" t="b">
        <v>0</v>
      </c>
      <c r="R99" s="3" t="s">
        <v>67</v>
      </c>
      <c r="S99" s="5" t="s">
        <v>974</v>
      </c>
      <c r="T99" s="3" t="b">
        <v>0</v>
      </c>
      <c r="U99" s="3" t="b">
        <v>0</v>
      </c>
      <c r="V99" s="5" t="s">
        <v>67</v>
      </c>
      <c r="W99" s="5" t="s">
        <v>67</v>
      </c>
      <c r="X99" s="3" t="b">
        <v>0</v>
      </c>
      <c r="Y99" s="3" t="b">
        <v>0</v>
      </c>
      <c r="Z99" s="3" t="b">
        <v>0</v>
      </c>
      <c r="AA99" s="3" t="b">
        <v>0</v>
      </c>
      <c r="AB99" s="5" t="s">
        <v>373</v>
      </c>
      <c r="AC99" s="5" t="s">
        <v>975</v>
      </c>
      <c r="AD99" s="5" t="s">
        <v>67</v>
      </c>
      <c r="AE99" s="5" t="s">
        <v>67</v>
      </c>
      <c r="AF99" s="5" t="s">
        <v>67</v>
      </c>
      <c r="AG99" s="5" t="s">
        <v>67</v>
      </c>
      <c r="AH99" s="5" t="s">
        <v>67</v>
      </c>
      <c r="AI99" s="5" t="s">
        <v>67</v>
      </c>
      <c r="AJ99" s="5" t="s">
        <v>67</v>
      </c>
      <c r="AK99" s="5" t="s">
        <v>67</v>
      </c>
      <c r="AL99" s="5" t="s">
        <v>67</v>
      </c>
      <c r="AM99" s="5" t="s">
        <v>67</v>
      </c>
      <c r="AN99" s="5" t="s">
        <v>67</v>
      </c>
      <c r="AO99" s="5" t="s">
        <v>67</v>
      </c>
      <c r="AP99" s="5" t="s">
        <v>67</v>
      </c>
      <c r="AQ99" s="5" t="s">
        <v>67</v>
      </c>
      <c r="AR99" s="5" t="s">
        <v>67</v>
      </c>
      <c r="AW99" s="5" t="s">
        <v>67</v>
      </c>
      <c r="AX99" s="5" t="s">
        <v>67</v>
      </c>
      <c r="AY99" s="5" t="s">
        <v>67</v>
      </c>
      <c r="AZ99" s="5" t="s">
        <v>67</v>
      </c>
      <c r="BA99" s="3">
        <v>2154</v>
      </c>
      <c r="BB99" s="3">
        <v>534</v>
      </c>
      <c r="BC99" s="3">
        <v>0</v>
      </c>
      <c r="BE99" s="3">
        <v>0</v>
      </c>
      <c r="BF99" s="5" t="s">
        <v>67</v>
      </c>
      <c r="BG99" s="5" t="s">
        <v>976</v>
      </c>
      <c r="BH99" s="5" t="s">
        <v>67</v>
      </c>
      <c r="BI99" s="5" t="s">
        <v>67</v>
      </c>
      <c r="BJ99" s="5" t="s">
        <v>977</v>
      </c>
      <c r="BK99" s="5" t="s">
        <v>67</v>
      </c>
      <c r="BL99" s="5" t="s">
        <v>67</v>
      </c>
      <c r="BM99" s="5" t="s">
        <v>67</v>
      </c>
      <c r="BN99" s="5" t="s">
        <v>67</v>
      </c>
      <c r="BO99" s="5" t="s">
        <v>67</v>
      </c>
    </row>
    <row r="100" spans="1:67" ht="210" x14ac:dyDescent="0.25">
      <c r="A100" s="3">
        <v>2734</v>
      </c>
      <c r="B100" s="4">
        <v>37847.633518518502</v>
      </c>
      <c r="C100" s="3">
        <v>2210</v>
      </c>
      <c r="D100" s="3">
        <v>1429</v>
      </c>
      <c r="E100" s="3">
        <v>0</v>
      </c>
      <c r="F100" s="3">
        <v>0</v>
      </c>
      <c r="G100" s="3">
        <v>0</v>
      </c>
      <c r="H100" s="5" t="s">
        <v>67</v>
      </c>
      <c r="I100" s="3" t="b">
        <v>0</v>
      </c>
      <c r="J100" s="3" t="b">
        <v>0</v>
      </c>
      <c r="K100" s="3" t="b">
        <v>0</v>
      </c>
      <c r="L100" s="3" t="b">
        <v>0</v>
      </c>
      <c r="M100" s="3" t="b">
        <v>0</v>
      </c>
      <c r="N100" s="3" t="b">
        <v>0</v>
      </c>
      <c r="O100" s="3" t="b">
        <v>0</v>
      </c>
      <c r="P100" s="3" t="b">
        <v>0</v>
      </c>
      <c r="Q100" s="3" t="b">
        <v>0</v>
      </c>
      <c r="R100" s="3" t="s">
        <v>67</v>
      </c>
      <c r="S100" s="5" t="s">
        <v>978</v>
      </c>
      <c r="T100" s="3" t="b">
        <v>0</v>
      </c>
      <c r="U100" s="3" t="b">
        <v>1</v>
      </c>
      <c r="V100" s="5" t="s">
        <v>67</v>
      </c>
      <c r="W100" s="5" t="s">
        <v>67</v>
      </c>
      <c r="X100" s="3" t="b">
        <v>0</v>
      </c>
      <c r="Y100" s="3" t="b">
        <v>0</v>
      </c>
      <c r="Z100" s="3" t="b">
        <v>0</v>
      </c>
      <c r="AA100" s="3" t="b">
        <v>0</v>
      </c>
      <c r="AB100" s="5" t="s">
        <v>979</v>
      </c>
      <c r="AC100" s="5" t="s">
        <v>980</v>
      </c>
      <c r="AD100" s="5" t="s">
        <v>67</v>
      </c>
      <c r="AE100" s="5" t="s">
        <v>67</v>
      </c>
      <c r="AF100" s="5" t="s">
        <v>67</v>
      </c>
      <c r="AG100" s="5" t="s">
        <v>67</v>
      </c>
      <c r="AH100" s="5" t="s">
        <v>67</v>
      </c>
      <c r="AI100" s="5" t="s">
        <v>67</v>
      </c>
      <c r="AJ100" s="5" t="s">
        <v>67</v>
      </c>
      <c r="AK100" s="5" t="s">
        <v>67</v>
      </c>
      <c r="AL100" s="5" t="s">
        <v>67</v>
      </c>
      <c r="AM100" s="5" t="s">
        <v>67</v>
      </c>
      <c r="AN100" s="5" t="s">
        <v>67</v>
      </c>
      <c r="AO100" s="5" t="s">
        <v>67</v>
      </c>
      <c r="AP100" s="5" t="s">
        <v>67</v>
      </c>
      <c r="AQ100" s="5" t="s">
        <v>67</v>
      </c>
      <c r="AR100" s="5" t="s">
        <v>67</v>
      </c>
      <c r="AW100" s="5" t="s">
        <v>67</v>
      </c>
      <c r="AX100" s="5" t="s">
        <v>67</v>
      </c>
      <c r="AY100" s="5" t="s">
        <v>67</v>
      </c>
      <c r="AZ100" s="5" t="s">
        <v>67</v>
      </c>
      <c r="BA100" s="3">
        <v>1379</v>
      </c>
      <c r="BB100" s="3">
        <v>0</v>
      </c>
      <c r="BC100" s="3">
        <v>0</v>
      </c>
      <c r="BD100" s="3">
        <v>1533</v>
      </c>
      <c r="BE100" s="3">
        <v>1533</v>
      </c>
      <c r="BF100" s="5" t="s">
        <v>67</v>
      </c>
      <c r="BG100" s="5" t="s">
        <v>97</v>
      </c>
      <c r="BH100" s="5" t="s">
        <v>67</v>
      </c>
      <c r="BI100" s="5" t="s">
        <v>67</v>
      </c>
      <c r="BJ100" s="5" t="s">
        <v>981</v>
      </c>
      <c r="BK100" s="5" t="s">
        <v>67</v>
      </c>
      <c r="BL100" s="5" t="s">
        <v>67</v>
      </c>
      <c r="BM100" s="5" t="s">
        <v>67</v>
      </c>
      <c r="BN100" s="5" t="s">
        <v>67</v>
      </c>
      <c r="BO100" s="5" t="s">
        <v>67</v>
      </c>
    </row>
    <row r="101" spans="1:67" ht="315" x14ac:dyDescent="0.25">
      <c r="A101" s="3">
        <v>2746</v>
      </c>
      <c r="B101" s="4">
        <v>37832.664259259298</v>
      </c>
      <c r="C101" s="3">
        <v>1473</v>
      </c>
      <c r="D101" s="3">
        <v>0</v>
      </c>
      <c r="E101" s="3">
        <v>0</v>
      </c>
      <c r="F101" s="3">
        <v>1052395336</v>
      </c>
      <c r="G101" s="3">
        <v>1052395336</v>
      </c>
      <c r="H101" s="5" t="s">
        <v>67</v>
      </c>
      <c r="I101" s="3" t="b">
        <v>0</v>
      </c>
      <c r="J101" s="3" t="b">
        <v>0</v>
      </c>
      <c r="K101" s="3" t="b">
        <v>0</v>
      </c>
      <c r="L101" s="3" t="b">
        <v>0</v>
      </c>
      <c r="M101" s="3" t="b">
        <v>0</v>
      </c>
      <c r="N101" s="3" t="b">
        <v>0</v>
      </c>
      <c r="O101" s="3" t="b">
        <v>0</v>
      </c>
      <c r="P101" s="3" t="b">
        <v>0</v>
      </c>
      <c r="Q101" s="3" t="b">
        <v>0</v>
      </c>
      <c r="R101" s="3" t="s">
        <v>67</v>
      </c>
      <c r="S101" s="5" t="s">
        <v>982</v>
      </c>
      <c r="T101" s="3" t="b">
        <v>1</v>
      </c>
      <c r="U101" s="3" t="b">
        <v>1</v>
      </c>
      <c r="V101" s="5" t="s">
        <v>67</v>
      </c>
      <c r="W101" s="5" t="s">
        <v>67</v>
      </c>
      <c r="X101" s="3" t="b">
        <v>0</v>
      </c>
      <c r="Y101" s="3" t="b">
        <v>0</v>
      </c>
      <c r="Z101" s="3" t="b">
        <v>0</v>
      </c>
      <c r="AA101" s="3" t="b">
        <v>0</v>
      </c>
      <c r="AB101" s="5" t="s">
        <v>983</v>
      </c>
      <c r="AC101" s="5" t="s">
        <v>984</v>
      </c>
      <c r="AD101" s="5" t="s">
        <v>67</v>
      </c>
      <c r="AE101" s="5" t="s">
        <v>985</v>
      </c>
      <c r="AF101" s="5" t="s">
        <v>986</v>
      </c>
      <c r="AG101" s="5" t="s">
        <v>987</v>
      </c>
      <c r="AH101" s="5" t="s">
        <v>67</v>
      </c>
      <c r="AI101" s="5" t="s">
        <v>67</v>
      </c>
      <c r="AJ101" s="5" t="s">
        <v>67</v>
      </c>
      <c r="AK101" s="5" t="s">
        <v>67</v>
      </c>
      <c r="AL101" s="5" t="s">
        <v>67</v>
      </c>
      <c r="AM101" s="5" t="s">
        <v>67</v>
      </c>
      <c r="AN101" s="5" t="s">
        <v>67</v>
      </c>
      <c r="AO101" s="5" t="s">
        <v>67</v>
      </c>
      <c r="AP101" s="5" t="s">
        <v>67</v>
      </c>
      <c r="AQ101" s="5" t="s">
        <v>67</v>
      </c>
      <c r="AR101" s="5" t="s">
        <v>67</v>
      </c>
      <c r="AW101" s="5" t="s">
        <v>67</v>
      </c>
      <c r="AX101" s="5" t="s">
        <v>67</v>
      </c>
      <c r="AY101" s="5" t="s">
        <v>67</v>
      </c>
      <c r="AZ101" s="5" t="s">
        <v>67</v>
      </c>
      <c r="BA101" s="3">
        <v>107</v>
      </c>
      <c r="BB101" s="3">
        <v>0</v>
      </c>
      <c r="BC101" s="3">
        <v>0</v>
      </c>
      <c r="BD101" s="3">
        <v>1059574031</v>
      </c>
      <c r="BE101" s="3">
        <v>1059574031</v>
      </c>
      <c r="BF101" s="5" t="s">
        <v>67</v>
      </c>
      <c r="BG101" s="5" t="s">
        <v>67</v>
      </c>
      <c r="BH101" s="5" t="s">
        <v>988</v>
      </c>
      <c r="BI101" s="5" t="s">
        <v>67</v>
      </c>
      <c r="BJ101" s="5" t="s">
        <v>989</v>
      </c>
      <c r="BK101" s="5" t="s">
        <v>67</v>
      </c>
      <c r="BL101" s="5" t="s">
        <v>67</v>
      </c>
      <c r="BM101" s="5" t="s">
        <v>67</v>
      </c>
      <c r="BN101" s="5" t="s">
        <v>67</v>
      </c>
      <c r="BO101" s="5" t="s">
        <v>67</v>
      </c>
    </row>
    <row r="102" spans="1:67" ht="150" x14ac:dyDescent="0.25">
      <c r="A102" s="3">
        <v>2762</v>
      </c>
      <c r="B102" s="4">
        <v>37847.5000462963</v>
      </c>
      <c r="C102" s="3">
        <v>-83359897</v>
      </c>
      <c r="D102" s="3">
        <v>2210</v>
      </c>
      <c r="E102" s="3">
        <v>0</v>
      </c>
      <c r="F102" s="3">
        <v>0</v>
      </c>
      <c r="G102" s="3">
        <v>0</v>
      </c>
      <c r="H102" s="5" t="s">
        <v>67</v>
      </c>
      <c r="I102" s="3" t="b">
        <v>0</v>
      </c>
      <c r="J102" s="3" t="b">
        <v>0</v>
      </c>
      <c r="K102" s="3" t="b">
        <v>0</v>
      </c>
      <c r="L102" s="3" t="b">
        <v>0</v>
      </c>
      <c r="M102" s="3" t="b">
        <v>0</v>
      </c>
      <c r="N102" s="3" t="b">
        <v>0</v>
      </c>
      <c r="O102" s="3" t="b">
        <v>0</v>
      </c>
      <c r="P102" s="3" t="b">
        <v>0</v>
      </c>
      <c r="Q102" s="3" t="b">
        <v>0</v>
      </c>
      <c r="R102" s="3" t="s">
        <v>67</v>
      </c>
      <c r="S102" s="5" t="s">
        <v>990</v>
      </c>
      <c r="T102" s="3" t="b">
        <v>0</v>
      </c>
      <c r="U102" s="3" t="b">
        <v>1</v>
      </c>
      <c r="V102" s="5" t="s">
        <v>67</v>
      </c>
      <c r="W102" s="5" t="s">
        <v>67</v>
      </c>
      <c r="X102" s="3" t="b">
        <v>0</v>
      </c>
      <c r="Y102" s="3" t="b">
        <v>0</v>
      </c>
      <c r="Z102" s="3" t="b">
        <v>0</v>
      </c>
      <c r="AA102" s="3" t="b">
        <v>0</v>
      </c>
      <c r="AB102" s="5" t="s">
        <v>991</v>
      </c>
      <c r="AC102" s="5" t="s">
        <v>992</v>
      </c>
      <c r="AD102" s="5" t="s">
        <v>67</v>
      </c>
      <c r="AE102" s="5" t="s">
        <v>67</v>
      </c>
      <c r="AF102" s="5" t="s">
        <v>67</v>
      </c>
      <c r="AG102" s="5" t="s">
        <v>67</v>
      </c>
      <c r="AH102" s="5" t="s">
        <v>67</v>
      </c>
      <c r="AI102" s="5" t="s">
        <v>67</v>
      </c>
      <c r="AJ102" s="5" t="s">
        <v>67</v>
      </c>
      <c r="AK102" s="5" t="s">
        <v>67</v>
      </c>
      <c r="AL102" s="5" t="s">
        <v>67</v>
      </c>
      <c r="AM102" s="5" t="s">
        <v>67</v>
      </c>
      <c r="AN102" s="5" t="s">
        <v>67</v>
      </c>
      <c r="AO102" s="5" t="s">
        <v>67</v>
      </c>
      <c r="AP102" s="5" t="s">
        <v>67</v>
      </c>
      <c r="AQ102" s="5" t="s">
        <v>67</v>
      </c>
      <c r="AR102" s="5" t="s">
        <v>67</v>
      </c>
      <c r="AW102" s="5" t="s">
        <v>67</v>
      </c>
      <c r="AX102" s="5" t="s">
        <v>67</v>
      </c>
      <c r="AY102" s="5" t="s">
        <v>67</v>
      </c>
      <c r="AZ102" s="5" t="s">
        <v>67</v>
      </c>
      <c r="BA102" s="3">
        <v>107</v>
      </c>
      <c r="BB102" s="3">
        <v>1246</v>
      </c>
      <c r="BE102" s="3">
        <v>0</v>
      </c>
      <c r="BF102" s="5" t="s">
        <v>67</v>
      </c>
      <c r="BG102" s="5" t="s">
        <v>97</v>
      </c>
      <c r="BH102" s="5" t="s">
        <v>993</v>
      </c>
      <c r="BI102" s="5" t="s">
        <v>67</v>
      </c>
      <c r="BJ102" s="5" t="s">
        <v>663</v>
      </c>
      <c r="BK102" s="5" t="s">
        <v>67</v>
      </c>
      <c r="BL102" s="5" t="s">
        <v>67</v>
      </c>
      <c r="BM102" s="5" t="s">
        <v>67</v>
      </c>
      <c r="BN102" s="5" t="s">
        <v>67</v>
      </c>
      <c r="BO102" s="5" t="s">
        <v>67</v>
      </c>
    </row>
    <row r="103" spans="1:67" ht="90" x14ac:dyDescent="0.25">
      <c r="A103" s="3">
        <v>2811</v>
      </c>
      <c r="B103" s="4">
        <v>37847.400960648098</v>
      </c>
      <c r="C103" s="3">
        <v>2810</v>
      </c>
      <c r="D103" s="3">
        <v>0</v>
      </c>
      <c r="E103" s="3">
        <v>0</v>
      </c>
      <c r="F103" s="3">
        <v>0</v>
      </c>
      <c r="H103" s="5" t="s">
        <v>67</v>
      </c>
      <c r="I103" s="3" t="b">
        <v>0</v>
      </c>
      <c r="J103" s="3" t="b">
        <v>0</v>
      </c>
      <c r="K103" s="3" t="b">
        <v>0</v>
      </c>
      <c r="L103" s="3" t="b">
        <v>0</v>
      </c>
      <c r="M103" s="3" t="b">
        <v>0</v>
      </c>
      <c r="N103" s="3" t="b">
        <v>0</v>
      </c>
      <c r="O103" s="3" t="b">
        <v>0</v>
      </c>
      <c r="P103" s="3" t="b">
        <v>0</v>
      </c>
      <c r="Q103" s="3" t="b">
        <v>0</v>
      </c>
      <c r="R103" s="3" t="s">
        <v>67</v>
      </c>
      <c r="S103" s="5" t="s">
        <v>994</v>
      </c>
      <c r="T103" s="3" t="b">
        <v>0</v>
      </c>
      <c r="U103" s="3" t="b">
        <v>1</v>
      </c>
      <c r="V103" s="5" t="s">
        <v>67</v>
      </c>
      <c r="W103" s="5" t="s">
        <v>67</v>
      </c>
      <c r="X103" s="3" t="b">
        <v>0</v>
      </c>
      <c r="Y103" s="3" t="b">
        <v>0</v>
      </c>
      <c r="Z103" s="3" t="b">
        <v>0</v>
      </c>
      <c r="AA103" s="3" t="b">
        <v>0</v>
      </c>
      <c r="AB103" s="5" t="s">
        <v>995</v>
      </c>
      <c r="AC103" s="5" t="s">
        <v>996</v>
      </c>
      <c r="AD103" s="5" t="s">
        <v>67</v>
      </c>
      <c r="AE103" s="5" t="s">
        <v>67</v>
      </c>
      <c r="AF103" s="5" t="s">
        <v>67</v>
      </c>
      <c r="AG103" s="5" t="s">
        <v>997</v>
      </c>
      <c r="AH103" s="5" t="s">
        <v>67</v>
      </c>
      <c r="AI103" s="5" t="s">
        <v>67</v>
      </c>
      <c r="AJ103" s="5" t="s">
        <v>67</v>
      </c>
      <c r="AK103" s="5" t="s">
        <v>67</v>
      </c>
      <c r="AL103" s="5" t="s">
        <v>67</v>
      </c>
      <c r="AM103" s="5" t="s">
        <v>67</v>
      </c>
      <c r="AN103" s="5" t="s">
        <v>67</v>
      </c>
      <c r="AO103" s="5" t="s">
        <v>67</v>
      </c>
      <c r="AP103" s="5" t="s">
        <v>67</v>
      </c>
      <c r="AQ103" s="5" t="s">
        <v>67</v>
      </c>
      <c r="AR103" s="5" t="s">
        <v>67</v>
      </c>
      <c r="AW103" s="5" t="s">
        <v>67</v>
      </c>
      <c r="AX103" s="5" t="s">
        <v>67</v>
      </c>
      <c r="AY103" s="5" t="s">
        <v>67</v>
      </c>
      <c r="AZ103" s="5" t="s">
        <v>67</v>
      </c>
      <c r="BB103" s="3">
        <v>0</v>
      </c>
      <c r="BC103" s="3">
        <v>0</v>
      </c>
      <c r="BE103" s="3">
        <v>0</v>
      </c>
      <c r="BF103" s="5" t="s">
        <v>67</v>
      </c>
      <c r="BG103" s="5" t="s">
        <v>97</v>
      </c>
      <c r="BH103" s="5" t="s">
        <v>998</v>
      </c>
      <c r="BI103" s="5" t="s">
        <v>67</v>
      </c>
      <c r="BJ103" s="5" t="s">
        <v>999</v>
      </c>
      <c r="BK103" s="5" t="s">
        <v>67</v>
      </c>
      <c r="BL103" s="5" t="s">
        <v>67</v>
      </c>
      <c r="BM103" s="5" t="s">
        <v>67</v>
      </c>
      <c r="BN103" s="5" t="s">
        <v>67</v>
      </c>
      <c r="BO103" s="5" t="s">
        <v>67</v>
      </c>
    </row>
    <row r="104" spans="1:67" ht="225" x14ac:dyDescent="0.25">
      <c r="A104" s="3">
        <v>2846</v>
      </c>
      <c r="B104" s="4">
        <v>37847.616134259297</v>
      </c>
      <c r="C104" s="3">
        <v>0</v>
      </c>
      <c r="D104" s="3">
        <v>0</v>
      </c>
      <c r="E104" s="3">
        <v>0</v>
      </c>
      <c r="F104" s="3">
        <v>0</v>
      </c>
      <c r="G104" s="3">
        <v>0</v>
      </c>
      <c r="H104" s="5" t="s">
        <v>67</v>
      </c>
      <c r="I104" s="3" t="b">
        <v>0</v>
      </c>
      <c r="J104" s="3" t="b">
        <v>0</v>
      </c>
      <c r="K104" s="3" t="b">
        <v>0</v>
      </c>
      <c r="L104" s="3" t="b">
        <v>0</v>
      </c>
      <c r="M104" s="3" t="b">
        <v>0</v>
      </c>
      <c r="N104" s="3" t="b">
        <v>0</v>
      </c>
      <c r="O104" s="3" t="b">
        <v>0</v>
      </c>
      <c r="P104" s="3" t="b">
        <v>0</v>
      </c>
      <c r="Q104" s="3" t="b">
        <v>0</v>
      </c>
      <c r="R104" s="3" t="s">
        <v>67</v>
      </c>
      <c r="S104" s="5" t="s">
        <v>1000</v>
      </c>
      <c r="T104" s="3" t="b">
        <v>0</v>
      </c>
      <c r="U104" s="3" t="b">
        <v>0</v>
      </c>
      <c r="V104" s="5" t="s">
        <v>67</v>
      </c>
      <c r="W104" s="5" t="s">
        <v>67</v>
      </c>
      <c r="X104" s="3" t="b">
        <v>0</v>
      </c>
      <c r="Y104" s="3" t="b">
        <v>0</v>
      </c>
      <c r="Z104" s="3" t="b">
        <v>0</v>
      </c>
      <c r="AA104" s="3" t="b">
        <v>0</v>
      </c>
      <c r="AB104" s="5" t="s">
        <v>431</v>
      </c>
      <c r="AC104" s="5" t="s">
        <v>1001</v>
      </c>
      <c r="AD104" s="5" t="s">
        <v>67</v>
      </c>
      <c r="AE104" s="5" t="s">
        <v>67</v>
      </c>
      <c r="AF104" s="5" t="s">
        <v>67</v>
      </c>
      <c r="AG104" s="5" t="s">
        <v>67</v>
      </c>
      <c r="AH104" s="5" t="s">
        <v>67</v>
      </c>
      <c r="AI104" s="5" t="s">
        <v>67</v>
      </c>
      <c r="AJ104" s="5" t="s">
        <v>67</v>
      </c>
      <c r="AK104" s="5" t="s">
        <v>67</v>
      </c>
      <c r="AL104" s="5" t="s">
        <v>67</v>
      </c>
      <c r="AM104" s="5" t="s">
        <v>67</v>
      </c>
      <c r="AN104" s="5" t="s">
        <v>67</v>
      </c>
      <c r="AO104" s="5" t="s">
        <v>67</v>
      </c>
      <c r="AP104" s="5" t="s">
        <v>67</v>
      </c>
      <c r="AQ104" s="5" t="s">
        <v>67</v>
      </c>
      <c r="AR104" s="5" t="s">
        <v>67</v>
      </c>
      <c r="AW104" s="5" t="s">
        <v>67</v>
      </c>
      <c r="AX104" s="5" t="s">
        <v>67</v>
      </c>
      <c r="AY104" s="5" t="s">
        <v>67</v>
      </c>
      <c r="AZ104" s="5" t="s">
        <v>67</v>
      </c>
      <c r="BA104" s="3">
        <v>107</v>
      </c>
      <c r="BC104" s="3">
        <v>0</v>
      </c>
      <c r="BE104" s="3">
        <v>0</v>
      </c>
      <c r="BF104" s="5" t="s">
        <v>67</v>
      </c>
      <c r="BG104" s="5" t="s">
        <v>1002</v>
      </c>
      <c r="BH104" s="5" t="s">
        <v>1003</v>
      </c>
      <c r="BI104" s="5" t="s">
        <v>67</v>
      </c>
      <c r="BJ104" s="5" t="s">
        <v>1004</v>
      </c>
      <c r="BK104" s="5" t="s">
        <v>67</v>
      </c>
      <c r="BL104" s="5" t="s">
        <v>67</v>
      </c>
      <c r="BM104" s="5" t="s">
        <v>67</v>
      </c>
      <c r="BN104" s="5" t="s">
        <v>67</v>
      </c>
      <c r="BO104" s="5" t="s">
        <v>67</v>
      </c>
    </row>
    <row r="105" spans="1:67" ht="60" x14ac:dyDescent="0.25">
      <c r="A105" s="3">
        <v>50038399</v>
      </c>
      <c r="B105" s="4">
        <v>37859.566724536999</v>
      </c>
      <c r="C105" s="3">
        <v>0</v>
      </c>
      <c r="D105" s="3">
        <v>2210</v>
      </c>
      <c r="E105" s="3">
        <v>0</v>
      </c>
      <c r="F105" s="3">
        <v>0</v>
      </c>
      <c r="G105" s="3">
        <v>0</v>
      </c>
      <c r="H105" s="5" t="s">
        <v>67</v>
      </c>
      <c r="I105" s="3" t="b">
        <v>0</v>
      </c>
      <c r="J105" s="3" t="b">
        <v>0</v>
      </c>
      <c r="K105" s="3" t="b">
        <v>0</v>
      </c>
      <c r="L105" s="3" t="b">
        <v>0</v>
      </c>
      <c r="M105" s="3" t="b">
        <v>0</v>
      </c>
      <c r="N105" s="3" t="b">
        <v>0</v>
      </c>
      <c r="O105" s="3" t="b">
        <v>0</v>
      </c>
      <c r="P105" s="3" t="b">
        <v>0</v>
      </c>
      <c r="Q105" s="3" t="b">
        <v>0</v>
      </c>
      <c r="R105" s="3" t="s">
        <v>67</v>
      </c>
      <c r="S105" s="5" t="s">
        <v>67</v>
      </c>
      <c r="T105" s="3" t="b">
        <v>0</v>
      </c>
      <c r="U105" s="3" t="b">
        <v>0</v>
      </c>
      <c r="V105" s="5" t="s">
        <v>67</v>
      </c>
      <c r="W105" s="5" t="s">
        <v>67</v>
      </c>
      <c r="X105" s="3" t="b">
        <v>0</v>
      </c>
      <c r="Y105" s="3" t="b">
        <v>0</v>
      </c>
      <c r="Z105" s="3" t="b">
        <v>0</v>
      </c>
      <c r="AA105" s="3" t="b">
        <v>0</v>
      </c>
      <c r="AB105" s="5" t="s">
        <v>120</v>
      </c>
      <c r="AC105" s="5" t="s">
        <v>1005</v>
      </c>
      <c r="AD105" s="5" t="s">
        <v>67</v>
      </c>
      <c r="AE105" s="5" t="s">
        <v>67</v>
      </c>
      <c r="AF105" s="5" t="s">
        <v>67</v>
      </c>
      <c r="AG105" s="5" t="s">
        <v>67</v>
      </c>
      <c r="AH105" s="5" t="s">
        <v>67</v>
      </c>
      <c r="AI105" s="5" t="s">
        <v>67</v>
      </c>
      <c r="AJ105" s="5" t="s">
        <v>67</v>
      </c>
      <c r="AK105" s="5" t="s">
        <v>67</v>
      </c>
      <c r="AL105" s="5" t="s">
        <v>67</v>
      </c>
      <c r="AM105" s="5" t="s">
        <v>67</v>
      </c>
      <c r="AN105" s="5" t="s">
        <v>67</v>
      </c>
      <c r="AO105" s="5" t="s">
        <v>67</v>
      </c>
      <c r="AP105" s="5" t="s">
        <v>67</v>
      </c>
      <c r="AQ105" s="5" t="s">
        <v>67</v>
      </c>
      <c r="AR105" s="5" t="s">
        <v>67</v>
      </c>
      <c r="AW105" s="5" t="s">
        <v>67</v>
      </c>
      <c r="AX105" s="5" t="s">
        <v>67</v>
      </c>
      <c r="AY105" s="5" t="s">
        <v>67</v>
      </c>
      <c r="AZ105" s="5" t="s">
        <v>67</v>
      </c>
      <c r="BA105" s="3">
        <v>0</v>
      </c>
      <c r="BB105" s="3">
        <v>0</v>
      </c>
      <c r="BC105" s="3">
        <v>0</v>
      </c>
      <c r="BD105" s="3">
        <v>0</v>
      </c>
      <c r="BE105" s="3">
        <v>0</v>
      </c>
      <c r="BF105" s="5" t="s">
        <v>67</v>
      </c>
      <c r="BG105" s="5" t="s">
        <v>465</v>
      </c>
      <c r="BH105" s="5" t="s">
        <v>67</v>
      </c>
      <c r="BI105" s="5" t="s">
        <v>67</v>
      </c>
      <c r="BJ105" s="5" t="s">
        <v>67</v>
      </c>
      <c r="BK105" s="5" t="s">
        <v>67</v>
      </c>
      <c r="BL105" s="5" t="s">
        <v>67</v>
      </c>
      <c r="BM105" s="5" t="s">
        <v>67</v>
      </c>
      <c r="BN105" s="5" t="s">
        <v>67</v>
      </c>
      <c r="BO105" s="5" t="s">
        <v>67</v>
      </c>
    </row>
    <row r="106" spans="1:67" x14ac:dyDescent="0.25">
      <c r="A106" s="3">
        <v>55168688</v>
      </c>
      <c r="B106" s="4">
        <v>41089.452743055597</v>
      </c>
      <c r="H106" s="5" t="s">
        <v>67</v>
      </c>
      <c r="I106" s="3" t="b">
        <v>0</v>
      </c>
      <c r="J106" s="3" t="b">
        <v>0</v>
      </c>
      <c r="K106" s="3" t="b">
        <v>0</v>
      </c>
      <c r="L106" s="3" t="b">
        <v>0</v>
      </c>
      <c r="M106" s="3" t="b">
        <v>0</v>
      </c>
      <c r="N106" s="3" t="b">
        <v>0</v>
      </c>
      <c r="O106" s="3" t="b">
        <v>0</v>
      </c>
      <c r="P106" s="3" t="b">
        <v>0</v>
      </c>
      <c r="Q106" s="3" t="b">
        <v>0</v>
      </c>
      <c r="R106" s="3" t="s">
        <v>67</v>
      </c>
      <c r="S106" s="5" t="s">
        <v>67</v>
      </c>
      <c r="T106" s="3" t="b">
        <v>0</v>
      </c>
      <c r="U106" s="3" t="b">
        <v>0</v>
      </c>
      <c r="V106" s="5" t="s">
        <v>67</v>
      </c>
      <c r="W106" s="5" t="s">
        <v>67</v>
      </c>
      <c r="X106" s="3" t="b">
        <v>0</v>
      </c>
      <c r="Y106" s="3" t="b">
        <v>0</v>
      </c>
      <c r="Z106" s="3" t="b">
        <v>0</v>
      </c>
      <c r="AA106" s="3" t="b">
        <v>0</v>
      </c>
      <c r="AB106" s="5" t="s">
        <v>67</v>
      </c>
      <c r="AC106" s="5" t="s">
        <v>67</v>
      </c>
      <c r="AD106" s="5" t="s">
        <v>67</v>
      </c>
      <c r="AE106" s="5" t="s">
        <v>67</v>
      </c>
      <c r="AF106" s="5" t="s">
        <v>67</v>
      </c>
      <c r="AG106" s="5" t="s">
        <v>67</v>
      </c>
      <c r="AH106" s="5" t="s">
        <v>67</v>
      </c>
      <c r="AI106" s="5" t="s">
        <v>67</v>
      </c>
      <c r="AJ106" s="5" t="s">
        <v>67</v>
      </c>
      <c r="AK106" s="5" t="s">
        <v>67</v>
      </c>
      <c r="AL106" s="5" t="s">
        <v>67</v>
      </c>
      <c r="AM106" s="5" t="s">
        <v>67</v>
      </c>
      <c r="AN106" s="5" t="s">
        <v>67</v>
      </c>
      <c r="AO106" s="5" t="s">
        <v>67</v>
      </c>
      <c r="AP106" s="5" t="s">
        <v>67</v>
      </c>
      <c r="AQ106" s="5" t="s">
        <v>67</v>
      </c>
      <c r="AR106" s="5" t="s">
        <v>67</v>
      </c>
      <c r="AW106" s="5" t="s">
        <v>67</v>
      </c>
      <c r="AX106" s="5" t="s">
        <v>67</v>
      </c>
      <c r="AY106" s="5" t="s">
        <v>67</v>
      </c>
      <c r="AZ106" s="5" t="s">
        <v>67</v>
      </c>
      <c r="BF106" s="5" t="s">
        <v>67</v>
      </c>
      <c r="BG106" s="5" t="s">
        <v>67</v>
      </c>
      <c r="BH106" s="5" t="s">
        <v>67</v>
      </c>
      <c r="BI106" s="5" t="s">
        <v>67</v>
      </c>
      <c r="BJ106" s="5" t="s">
        <v>67</v>
      </c>
      <c r="BK106" s="5" t="s">
        <v>67</v>
      </c>
      <c r="BL106" s="5" t="s">
        <v>67</v>
      </c>
      <c r="BM106" s="5" t="s">
        <v>67</v>
      </c>
      <c r="BN106" s="5" t="s">
        <v>67</v>
      </c>
      <c r="BO106" s="5" t="s">
        <v>67</v>
      </c>
    </row>
    <row r="107" spans="1:67" x14ac:dyDescent="0.25">
      <c r="A107" s="3">
        <v>187714814</v>
      </c>
      <c r="B107" s="4">
        <v>37860.687847222202</v>
      </c>
      <c r="C107" s="3">
        <v>0</v>
      </c>
      <c r="D107" s="3">
        <v>0</v>
      </c>
      <c r="E107" s="3">
        <v>0</v>
      </c>
      <c r="F107" s="3">
        <v>0</v>
      </c>
      <c r="G107" s="3">
        <v>0</v>
      </c>
      <c r="H107" s="5" t="s">
        <v>67</v>
      </c>
      <c r="I107" s="3" t="b">
        <v>0</v>
      </c>
      <c r="J107" s="3" t="b">
        <v>0</v>
      </c>
      <c r="K107" s="3" t="b">
        <v>0</v>
      </c>
      <c r="L107" s="3" t="b">
        <v>0</v>
      </c>
      <c r="M107" s="3" t="b">
        <v>0</v>
      </c>
      <c r="N107" s="3" t="b">
        <v>0</v>
      </c>
      <c r="O107" s="3" t="b">
        <v>0</v>
      </c>
      <c r="P107" s="3" t="b">
        <v>0</v>
      </c>
      <c r="Q107" s="3" t="b">
        <v>0</v>
      </c>
      <c r="R107" s="3" t="s">
        <v>67</v>
      </c>
      <c r="S107" s="5" t="s">
        <v>67</v>
      </c>
      <c r="T107" s="3" t="b">
        <v>0</v>
      </c>
      <c r="U107" s="3" t="b">
        <v>0</v>
      </c>
      <c r="V107" s="5" t="s">
        <v>67</v>
      </c>
      <c r="W107" s="5" t="s">
        <v>67</v>
      </c>
      <c r="X107" s="3" t="b">
        <v>0</v>
      </c>
      <c r="Y107" s="3" t="b">
        <v>0</v>
      </c>
      <c r="Z107" s="3" t="b">
        <v>0</v>
      </c>
      <c r="AA107" s="3" t="b">
        <v>0</v>
      </c>
      <c r="AB107" s="5" t="s">
        <v>67</v>
      </c>
      <c r="AC107" s="5" t="s">
        <v>67</v>
      </c>
      <c r="AD107" s="5" t="s">
        <v>67</v>
      </c>
      <c r="AE107" s="5" t="s">
        <v>67</v>
      </c>
      <c r="AF107" s="5" t="s">
        <v>67</v>
      </c>
      <c r="AG107" s="5" t="s">
        <v>67</v>
      </c>
      <c r="AH107" s="5" t="s">
        <v>67</v>
      </c>
      <c r="AI107" s="5" t="s">
        <v>67</v>
      </c>
      <c r="AJ107" s="5" t="s">
        <v>67</v>
      </c>
      <c r="AK107" s="5" t="s">
        <v>67</v>
      </c>
      <c r="AL107" s="5" t="s">
        <v>67</v>
      </c>
      <c r="AM107" s="5" t="s">
        <v>67</v>
      </c>
      <c r="AN107" s="5" t="s">
        <v>67</v>
      </c>
      <c r="AO107" s="5" t="s">
        <v>67</v>
      </c>
      <c r="AP107" s="5" t="s">
        <v>67</v>
      </c>
      <c r="AQ107" s="5" t="s">
        <v>67</v>
      </c>
      <c r="AR107" s="5" t="s">
        <v>67</v>
      </c>
      <c r="AW107" s="5" t="s">
        <v>67</v>
      </c>
      <c r="AX107" s="5" t="s">
        <v>67</v>
      </c>
      <c r="AY107" s="5" t="s">
        <v>67</v>
      </c>
      <c r="AZ107" s="5" t="s">
        <v>67</v>
      </c>
      <c r="BA107" s="3">
        <v>-1729217284</v>
      </c>
      <c r="BC107" s="3">
        <v>0</v>
      </c>
      <c r="BE107" s="3">
        <v>0</v>
      </c>
      <c r="BF107" s="5" t="s">
        <v>67</v>
      </c>
      <c r="BG107" s="5" t="s">
        <v>67</v>
      </c>
      <c r="BH107" s="5" t="s">
        <v>67</v>
      </c>
      <c r="BI107" s="5" t="s">
        <v>67</v>
      </c>
      <c r="BJ107" s="5" t="s">
        <v>67</v>
      </c>
      <c r="BK107" s="5" t="s">
        <v>67</v>
      </c>
      <c r="BL107" s="5" t="s">
        <v>67</v>
      </c>
      <c r="BM107" s="5" t="s">
        <v>67</v>
      </c>
      <c r="BN107" s="5" t="s">
        <v>67</v>
      </c>
      <c r="BO107" s="5" t="s">
        <v>67</v>
      </c>
    </row>
    <row r="108" spans="1:67" ht="345" x14ac:dyDescent="0.25">
      <c r="A108" s="3">
        <v>207468492</v>
      </c>
      <c r="B108" s="4">
        <v>42949</v>
      </c>
      <c r="C108" s="3">
        <v>1178011863</v>
      </c>
      <c r="F108" s="3">
        <v>1434</v>
      </c>
      <c r="G108" s="3">
        <v>1434</v>
      </c>
      <c r="H108" s="5" t="s">
        <v>1006</v>
      </c>
      <c r="I108" s="3" t="b">
        <v>1</v>
      </c>
      <c r="J108" s="3" t="b">
        <v>1</v>
      </c>
      <c r="K108" s="3" t="b">
        <v>0</v>
      </c>
      <c r="L108" s="3" t="b">
        <v>0</v>
      </c>
      <c r="M108" s="3" t="b">
        <v>0</v>
      </c>
      <c r="N108" s="3" t="b">
        <v>0</v>
      </c>
      <c r="O108" s="3" t="b">
        <v>0</v>
      </c>
      <c r="P108" s="3" t="b">
        <v>0</v>
      </c>
      <c r="Q108" s="3" t="b">
        <v>1</v>
      </c>
      <c r="R108" s="3" t="s">
        <v>1007</v>
      </c>
      <c r="S108" s="5" t="s">
        <v>1008</v>
      </c>
      <c r="T108" s="3" t="b">
        <v>0</v>
      </c>
      <c r="U108" s="3" t="b">
        <v>1</v>
      </c>
      <c r="V108" s="5" t="s">
        <v>1009</v>
      </c>
      <c r="W108" s="5" t="s">
        <v>1010</v>
      </c>
      <c r="X108" s="3" t="b">
        <v>0</v>
      </c>
      <c r="Y108" s="3" t="b">
        <v>0</v>
      </c>
      <c r="Z108" s="3" t="b">
        <v>0</v>
      </c>
      <c r="AA108" s="3" t="b">
        <v>0</v>
      </c>
      <c r="AB108" s="5" t="s">
        <v>1011</v>
      </c>
      <c r="AC108" s="5" t="s">
        <v>67</v>
      </c>
      <c r="AD108" s="5" t="s">
        <v>1012</v>
      </c>
      <c r="AE108" s="5" t="s">
        <v>67</v>
      </c>
      <c r="AF108" s="5" t="s">
        <v>1013</v>
      </c>
      <c r="AG108" s="5" t="s">
        <v>1014</v>
      </c>
      <c r="AH108" s="5" t="s">
        <v>1015</v>
      </c>
      <c r="AI108" s="5" t="s">
        <v>1016</v>
      </c>
      <c r="AJ108" s="5" t="s">
        <v>67</v>
      </c>
      <c r="AK108" s="5" t="s">
        <v>1017</v>
      </c>
      <c r="AL108" s="5" t="s">
        <v>67</v>
      </c>
      <c r="AM108" s="5" t="s">
        <v>1018</v>
      </c>
      <c r="AN108" s="5" t="s">
        <v>1019</v>
      </c>
      <c r="AO108" s="5" t="s">
        <v>67</v>
      </c>
      <c r="AP108" s="5" t="s">
        <v>67</v>
      </c>
      <c r="AQ108" s="5" t="s">
        <v>67</v>
      </c>
      <c r="AR108" s="5" t="s">
        <v>67</v>
      </c>
      <c r="AW108" s="5" t="s">
        <v>67</v>
      </c>
      <c r="AX108" s="5" t="s">
        <v>67</v>
      </c>
      <c r="AY108" s="5" t="s">
        <v>67</v>
      </c>
      <c r="AZ108" s="5" t="s">
        <v>67</v>
      </c>
      <c r="BA108" s="3">
        <v>2146189977</v>
      </c>
      <c r="BD108" s="3">
        <v>2146188976</v>
      </c>
      <c r="BE108" s="3">
        <v>2146188976</v>
      </c>
      <c r="BF108" s="5" t="s">
        <v>1020</v>
      </c>
      <c r="BG108" s="5" t="s">
        <v>97</v>
      </c>
      <c r="BH108" s="5" t="s">
        <v>67</v>
      </c>
      <c r="BI108" s="5" t="s">
        <v>67</v>
      </c>
      <c r="BJ108" s="5" t="s">
        <v>67</v>
      </c>
      <c r="BK108" s="5" t="s">
        <v>493</v>
      </c>
      <c r="BL108" s="5" t="s">
        <v>1015</v>
      </c>
      <c r="BM108" s="5" t="s">
        <v>67</v>
      </c>
      <c r="BN108" s="5" t="s">
        <v>1021</v>
      </c>
      <c r="BO108" s="5" t="s">
        <v>67</v>
      </c>
    </row>
    <row r="109" spans="1:67" ht="90" x14ac:dyDescent="0.25">
      <c r="A109" s="3">
        <v>243437724</v>
      </c>
      <c r="B109" s="4">
        <v>42843</v>
      </c>
      <c r="C109" s="3">
        <v>2146189922</v>
      </c>
      <c r="G109" s="3">
        <v>2146189922</v>
      </c>
      <c r="H109" s="5" t="s">
        <v>67</v>
      </c>
      <c r="I109" s="3" t="b">
        <v>0</v>
      </c>
      <c r="J109" s="3" t="b">
        <v>0</v>
      </c>
      <c r="K109" s="3" t="b">
        <v>0</v>
      </c>
      <c r="L109" s="3" t="b">
        <v>1</v>
      </c>
      <c r="M109" s="3" t="b">
        <v>1</v>
      </c>
      <c r="N109" s="3" t="b">
        <v>0</v>
      </c>
      <c r="O109" s="3" t="b">
        <v>0</v>
      </c>
      <c r="P109" s="3" t="b">
        <v>0</v>
      </c>
      <c r="Q109" s="3" t="b">
        <v>0</v>
      </c>
      <c r="R109" s="3" t="s">
        <v>67</v>
      </c>
      <c r="S109" s="5" t="s">
        <v>687</v>
      </c>
      <c r="T109" s="3" t="b">
        <v>1</v>
      </c>
      <c r="U109" s="3" t="b">
        <v>0</v>
      </c>
      <c r="V109" s="5" t="s">
        <v>1022</v>
      </c>
      <c r="W109" s="5" t="s">
        <v>1023</v>
      </c>
      <c r="X109" s="3" t="b">
        <v>0</v>
      </c>
      <c r="Y109" s="3" t="b">
        <v>0</v>
      </c>
      <c r="Z109" s="3" t="b">
        <v>0</v>
      </c>
      <c r="AA109" s="3" t="b">
        <v>1</v>
      </c>
      <c r="AB109" s="5" t="s">
        <v>67</v>
      </c>
      <c r="AC109" s="5" t="s">
        <v>67</v>
      </c>
      <c r="AD109" s="5" t="s">
        <v>67</v>
      </c>
      <c r="AE109" s="5" t="s">
        <v>67</v>
      </c>
      <c r="AF109" s="5" t="s">
        <v>67</v>
      </c>
      <c r="AG109" s="5" t="s">
        <v>67</v>
      </c>
      <c r="AH109" s="5" t="s">
        <v>67</v>
      </c>
      <c r="AI109" s="5" t="s">
        <v>67</v>
      </c>
      <c r="AJ109" s="5" t="s">
        <v>67</v>
      </c>
      <c r="AK109" s="5" t="s">
        <v>67</v>
      </c>
      <c r="AL109" s="5" t="s">
        <v>67</v>
      </c>
      <c r="AM109" s="5" t="s">
        <v>67</v>
      </c>
      <c r="AN109" s="5" t="s">
        <v>67</v>
      </c>
      <c r="AO109" s="5" t="s">
        <v>67</v>
      </c>
      <c r="AP109" s="5" t="s">
        <v>67</v>
      </c>
      <c r="AQ109" s="5" t="s">
        <v>67</v>
      </c>
      <c r="AR109" s="5" t="s">
        <v>67</v>
      </c>
      <c r="AS109" s="3">
        <v>2146189636</v>
      </c>
      <c r="AW109" s="5" t="s">
        <v>67</v>
      </c>
      <c r="AX109" s="5" t="s">
        <v>67</v>
      </c>
      <c r="AY109" s="5" t="s">
        <v>67</v>
      </c>
      <c r="AZ109" s="5" t="s">
        <v>67</v>
      </c>
      <c r="BF109" s="5" t="s">
        <v>67</v>
      </c>
      <c r="BG109" s="5" t="s">
        <v>67</v>
      </c>
      <c r="BH109" s="5" t="s">
        <v>67</v>
      </c>
      <c r="BI109" s="5" t="s">
        <v>67</v>
      </c>
      <c r="BJ109" s="5" t="s">
        <v>67</v>
      </c>
      <c r="BK109" s="5" t="s">
        <v>67</v>
      </c>
      <c r="BL109" s="5" t="s">
        <v>67</v>
      </c>
      <c r="BM109" s="5" t="s">
        <v>67</v>
      </c>
      <c r="BN109" s="5" t="s">
        <v>67</v>
      </c>
      <c r="BO109" s="5" t="s">
        <v>67</v>
      </c>
    </row>
    <row r="110" spans="1:67" x14ac:dyDescent="0.25">
      <c r="A110" s="3">
        <v>396742077</v>
      </c>
      <c r="B110" s="4">
        <v>42405</v>
      </c>
      <c r="H110" s="5" t="s">
        <v>67</v>
      </c>
      <c r="I110" s="3" t="b">
        <v>0</v>
      </c>
      <c r="J110" s="3" t="b">
        <v>0</v>
      </c>
      <c r="K110" s="3" t="b">
        <v>0</v>
      </c>
      <c r="L110" s="3" t="b">
        <v>0</v>
      </c>
      <c r="M110" s="3" t="b">
        <v>0</v>
      </c>
      <c r="N110" s="3" t="b">
        <v>0</v>
      </c>
      <c r="O110" s="3" t="b">
        <v>0</v>
      </c>
      <c r="P110" s="3" t="b">
        <v>0</v>
      </c>
      <c r="Q110" s="3" t="b">
        <v>0</v>
      </c>
      <c r="R110" s="3" t="s">
        <v>67</v>
      </c>
      <c r="S110" s="5" t="s">
        <v>67</v>
      </c>
      <c r="T110" s="3" t="b">
        <v>0</v>
      </c>
      <c r="U110" s="3" t="b">
        <v>0</v>
      </c>
      <c r="V110" s="5" t="s">
        <v>67</v>
      </c>
      <c r="W110" s="5" t="s">
        <v>67</v>
      </c>
      <c r="X110" s="3" t="b">
        <v>0</v>
      </c>
      <c r="Y110" s="3" t="b">
        <v>0</v>
      </c>
      <c r="Z110" s="3" t="b">
        <v>0</v>
      </c>
      <c r="AA110" s="3" t="b">
        <v>0</v>
      </c>
      <c r="AB110" s="5" t="s">
        <v>67</v>
      </c>
      <c r="AC110" s="5" t="s">
        <v>67</v>
      </c>
      <c r="AD110" s="5" t="s">
        <v>67</v>
      </c>
      <c r="AE110" s="5" t="s">
        <v>67</v>
      </c>
      <c r="AF110" s="5" t="s">
        <v>67</v>
      </c>
      <c r="AG110" s="5" t="s">
        <v>67</v>
      </c>
      <c r="AH110" s="5" t="s">
        <v>67</v>
      </c>
      <c r="AI110" s="5" t="s">
        <v>67</v>
      </c>
      <c r="AJ110" s="5" t="s">
        <v>67</v>
      </c>
      <c r="AK110" s="5" t="s">
        <v>67</v>
      </c>
      <c r="AL110" s="5" t="s">
        <v>67</v>
      </c>
      <c r="AM110" s="5" t="s">
        <v>67</v>
      </c>
      <c r="AN110" s="5" t="s">
        <v>67</v>
      </c>
      <c r="AO110" s="5" t="s">
        <v>67</v>
      </c>
      <c r="AP110" s="5" t="s">
        <v>67</v>
      </c>
      <c r="AQ110" s="5" t="s">
        <v>67</v>
      </c>
      <c r="AR110" s="5" t="s">
        <v>67</v>
      </c>
      <c r="AW110" s="5" t="s">
        <v>67</v>
      </c>
      <c r="AX110" s="5" t="s">
        <v>67</v>
      </c>
      <c r="AY110" s="5" t="s">
        <v>67</v>
      </c>
      <c r="AZ110" s="5" t="s">
        <v>67</v>
      </c>
      <c r="BF110" s="5" t="s">
        <v>67</v>
      </c>
      <c r="BG110" s="5" t="s">
        <v>67</v>
      </c>
      <c r="BH110" s="5" t="s">
        <v>67</v>
      </c>
      <c r="BI110" s="5" t="s">
        <v>67</v>
      </c>
      <c r="BJ110" s="5" t="s">
        <v>67</v>
      </c>
      <c r="BK110" s="5" t="s">
        <v>67</v>
      </c>
      <c r="BL110" s="5" t="s">
        <v>67</v>
      </c>
      <c r="BM110" s="5" t="s">
        <v>67</v>
      </c>
      <c r="BN110" s="5" t="s">
        <v>67</v>
      </c>
      <c r="BO110" s="5" t="s">
        <v>67</v>
      </c>
    </row>
    <row r="111" spans="1:67" ht="180" x14ac:dyDescent="0.25">
      <c r="A111" s="3">
        <v>644630123</v>
      </c>
      <c r="B111" s="4">
        <v>37862.378587963001</v>
      </c>
      <c r="C111" s="3">
        <v>0</v>
      </c>
      <c r="D111" s="3">
        <v>0</v>
      </c>
      <c r="E111" s="3">
        <v>0</v>
      </c>
      <c r="F111" s="3">
        <v>1962259043</v>
      </c>
      <c r="G111" s="3">
        <v>0</v>
      </c>
      <c r="H111" s="5" t="s">
        <v>67</v>
      </c>
      <c r="I111" s="3" t="b">
        <v>0</v>
      </c>
      <c r="J111" s="3" t="b">
        <v>0</v>
      </c>
      <c r="K111" s="3" t="b">
        <v>0</v>
      </c>
      <c r="L111" s="3" t="b">
        <v>0</v>
      </c>
      <c r="M111" s="3" t="b">
        <v>0</v>
      </c>
      <c r="N111" s="3" t="b">
        <v>0</v>
      </c>
      <c r="O111" s="3" t="b">
        <v>0</v>
      </c>
      <c r="P111" s="3" t="b">
        <v>0</v>
      </c>
      <c r="Q111" s="3" t="b">
        <v>0</v>
      </c>
      <c r="R111" s="3" t="s">
        <v>67</v>
      </c>
      <c r="S111" s="5" t="s">
        <v>1024</v>
      </c>
      <c r="T111" s="3" t="b">
        <v>0</v>
      </c>
      <c r="U111" s="3" t="b">
        <v>0</v>
      </c>
      <c r="V111" s="5" t="s">
        <v>67</v>
      </c>
      <c r="W111" s="5" t="s">
        <v>67</v>
      </c>
      <c r="X111" s="3" t="b">
        <v>0</v>
      </c>
      <c r="Y111" s="3" t="b">
        <v>0</v>
      </c>
      <c r="Z111" s="3" t="b">
        <v>0</v>
      </c>
      <c r="AA111" s="3" t="b">
        <v>0</v>
      </c>
      <c r="AB111" s="5" t="s">
        <v>120</v>
      </c>
      <c r="AC111" s="5" t="s">
        <v>1025</v>
      </c>
      <c r="AD111" s="5" t="s">
        <v>67</v>
      </c>
      <c r="AE111" s="5" t="s">
        <v>67</v>
      </c>
      <c r="AF111" s="5" t="s">
        <v>67</v>
      </c>
      <c r="AG111" s="5" t="s">
        <v>67</v>
      </c>
      <c r="AH111" s="5" t="s">
        <v>67</v>
      </c>
      <c r="AI111" s="5" t="s">
        <v>67</v>
      </c>
      <c r="AJ111" s="5" t="s">
        <v>67</v>
      </c>
      <c r="AK111" s="5" t="s">
        <v>67</v>
      </c>
      <c r="AL111" s="5" t="s">
        <v>67</v>
      </c>
      <c r="AM111" s="5" t="s">
        <v>67</v>
      </c>
      <c r="AN111" s="5" t="s">
        <v>67</v>
      </c>
      <c r="AO111" s="5" t="s">
        <v>67</v>
      </c>
      <c r="AP111" s="5" t="s">
        <v>67</v>
      </c>
      <c r="AQ111" s="5" t="s">
        <v>67</v>
      </c>
      <c r="AR111" s="5" t="s">
        <v>67</v>
      </c>
      <c r="AW111" s="5" t="s">
        <v>67</v>
      </c>
      <c r="AX111" s="5" t="s">
        <v>67</v>
      </c>
      <c r="AY111" s="5" t="s">
        <v>67</v>
      </c>
      <c r="AZ111" s="5" t="s">
        <v>67</v>
      </c>
      <c r="BA111" s="3">
        <v>1544346540</v>
      </c>
      <c r="BB111" s="3">
        <v>0</v>
      </c>
      <c r="BC111" s="3">
        <v>0</v>
      </c>
      <c r="BD111" s="3">
        <v>0</v>
      </c>
      <c r="BE111" s="3">
        <v>0</v>
      </c>
      <c r="BF111" s="5" t="s">
        <v>67</v>
      </c>
      <c r="BG111" s="5" t="s">
        <v>1026</v>
      </c>
      <c r="BH111" s="5" t="s">
        <v>1027</v>
      </c>
      <c r="BI111" s="5" t="s">
        <v>67</v>
      </c>
      <c r="BJ111" s="5" t="s">
        <v>67</v>
      </c>
      <c r="BK111" s="5" t="s">
        <v>67</v>
      </c>
      <c r="BL111" s="5" t="s">
        <v>67</v>
      </c>
      <c r="BM111" s="5" t="s">
        <v>67</v>
      </c>
      <c r="BN111" s="5" t="s">
        <v>67</v>
      </c>
      <c r="BO111" s="5" t="s">
        <v>67</v>
      </c>
    </row>
    <row r="112" spans="1:67" ht="135" x14ac:dyDescent="0.25">
      <c r="A112" s="3">
        <v>674040117</v>
      </c>
      <c r="B112" s="4">
        <v>42865</v>
      </c>
      <c r="C112" s="3">
        <v>-1972356014</v>
      </c>
      <c r="D112" s="3">
        <v>0</v>
      </c>
      <c r="E112" s="3">
        <v>-1972356014</v>
      </c>
      <c r="F112" s="3">
        <v>67</v>
      </c>
      <c r="G112" s="3">
        <v>-1972356014</v>
      </c>
      <c r="H112" s="5" t="s">
        <v>67</v>
      </c>
      <c r="I112" s="3" t="b">
        <v>1</v>
      </c>
      <c r="J112" s="3" t="b">
        <v>0</v>
      </c>
      <c r="K112" s="3" t="b">
        <v>1</v>
      </c>
      <c r="L112" s="3" t="b">
        <v>0</v>
      </c>
      <c r="M112" s="3" t="b">
        <v>0</v>
      </c>
      <c r="N112" s="3" t="b">
        <v>1</v>
      </c>
      <c r="O112" s="3" t="b">
        <v>0</v>
      </c>
      <c r="P112" s="3" t="b">
        <v>1</v>
      </c>
      <c r="Q112" s="3" t="b">
        <v>0</v>
      </c>
      <c r="R112" s="3" t="s">
        <v>1028</v>
      </c>
      <c r="S112" s="5" t="s">
        <v>1029</v>
      </c>
      <c r="T112" s="3" t="b">
        <v>1</v>
      </c>
      <c r="U112" s="3" t="b">
        <v>0</v>
      </c>
      <c r="V112" s="5" t="s">
        <v>1030</v>
      </c>
      <c r="W112" s="5" t="s">
        <v>1031</v>
      </c>
      <c r="X112" s="3" t="b">
        <v>0</v>
      </c>
      <c r="Y112" s="3" t="b">
        <v>0</v>
      </c>
      <c r="Z112" s="3" t="b">
        <v>0</v>
      </c>
      <c r="AA112" s="3" t="b">
        <v>0</v>
      </c>
      <c r="AB112" s="5" t="s">
        <v>1032</v>
      </c>
      <c r="AC112" s="5" t="s">
        <v>67</v>
      </c>
      <c r="AD112" s="5" t="s">
        <v>1033</v>
      </c>
      <c r="AE112" s="5" t="s">
        <v>1034</v>
      </c>
      <c r="AF112" s="5" t="s">
        <v>1035</v>
      </c>
      <c r="AG112" s="5" t="s">
        <v>67</v>
      </c>
      <c r="AH112" s="5" t="s">
        <v>1036</v>
      </c>
      <c r="AI112" s="5" t="s">
        <v>1037</v>
      </c>
      <c r="AJ112" s="5" t="s">
        <v>67</v>
      </c>
      <c r="AK112" s="5" t="s">
        <v>67</v>
      </c>
      <c r="AL112" s="5" t="s">
        <v>67</v>
      </c>
      <c r="AM112" s="5" t="s">
        <v>1038</v>
      </c>
      <c r="AN112" s="5" t="s">
        <v>1039</v>
      </c>
      <c r="AO112" s="5" t="s">
        <v>67</v>
      </c>
      <c r="AP112" s="5" t="s">
        <v>67</v>
      </c>
      <c r="AQ112" s="5" t="s">
        <v>1040</v>
      </c>
      <c r="AR112" s="5" t="s">
        <v>67</v>
      </c>
      <c r="AS112" s="3">
        <v>2146189228</v>
      </c>
      <c r="AT112" s="3">
        <v>2146189588</v>
      </c>
      <c r="AW112" s="5" t="s">
        <v>67</v>
      </c>
      <c r="AX112" s="5" t="s">
        <v>67</v>
      </c>
      <c r="AY112" s="5" t="s">
        <v>67</v>
      </c>
      <c r="AZ112" s="5" t="s">
        <v>67</v>
      </c>
      <c r="BA112" s="3">
        <v>2146189729</v>
      </c>
      <c r="BB112" s="3">
        <v>2146189739</v>
      </c>
      <c r="BC112" s="3">
        <v>2146189740</v>
      </c>
      <c r="BD112" s="3">
        <v>2146189029</v>
      </c>
      <c r="BE112" s="3">
        <v>2146189029</v>
      </c>
      <c r="BF112" s="5" t="s">
        <v>1041</v>
      </c>
      <c r="BG112" s="5" t="s">
        <v>1042</v>
      </c>
      <c r="BH112" s="5" t="s">
        <v>1043</v>
      </c>
      <c r="BI112" s="5" t="s">
        <v>210</v>
      </c>
      <c r="BJ112" s="5" t="s">
        <v>1044</v>
      </c>
      <c r="BK112" s="5" t="s">
        <v>1045</v>
      </c>
      <c r="BL112" s="5" t="s">
        <v>1046</v>
      </c>
      <c r="BM112" s="5" t="s">
        <v>67</v>
      </c>
      <c r="BN112" s="5" t="s">
        <v>67</v>
      </c>
      <c r="BO112" s="5" t="s">
        <v>67</v>
      </c>
    </row>
    <row r="113" spans="1:67" x14ac:dyDescent="0.25">
      <c r="A113" s="3">
        <v>674820052</v>
      </c>
      <c r="B113" s="4">
        <v>42249</v>
      </c>
      <c r="H113" s="5" t="s">
        <v>67</v>
      </c>
      <c r="I113" s="3" t="b">
        <v>0</v>
      </c>
      <c r="J113" s="3" t="b">
        <v>0</v>
      </c>
      <c r="K113" s="3" t="b">
        <v>0</v>
      </c>
      <c r="L113" s="3" t="b">
        <v>0</v>
      </c>
      <c r="M113" s="3" t="b">
        <v>0</v>
      </c>
      <c r="N113" s="3" t="b">
        <v>0</v>
      </c>
      <c r="O113" s="3" t="b">
        <v>0</v>
      </c>
      <c r="P113" s="3" t="b">
        <v>0</v>
      </c>
      <c r="Q113" s="3" t="b">
        <v>0</v>
      </c>
      <c r="R113" s="3" t="s">
        <v>67</v>
      </c>
      <c r="S113" s="5" t="s">
        <v>67</v>
      </c>
      <c r="T113" s="3" t="b">
        <v>0</v>
      </c>
      <c r="U113" s="3" t="b">
        <v>0</v>
      </c>
      <c r="V113" s="5" t="s">
        <v>67</v>
      </c>
      <c r="W113" s="5" t="s">
        <v>67</v>
      </c>
      <c r="X113" s="3" t="b">
        <v>0</v>
      </c>
      <c r="Y113" s="3" t="b">
        <v>0</v>
      </c>
      <c r="Z113" s="3" t="b">
        <v>0</v>
      </c>
      <c r="AA113" s="3" t="b">
        <v>0</v>
      </c>
      <c r="AB113" s="5" t="s">
        <v>67</v>
      </c>
      <c r="AC113" s="5" t="s">
        <v>67</v>
      </c>
      <c r="AD113" s="5" t="s">
        <v>67</v>
      </c>
      <c r="AE113" s="5" t="s">
        <v>67</v>
      </c>
      <c r="AF113" s="5" t="s">
        <v>67</v>
      </c>
      <c r="AG113" s="5" t="s">
        <v>67</v>
      </c>
      <c r="AH113" s="5" t="s">
        <v>67</v>
      </c>
      <c r="AI113" s="5" t="s">
        <v>67</v>
      </c>
      <c r="AJ113" s="5" t="s">
        <v>67</v>
      </c>
      <c r="AK113" s="5" t="s">
        <v>67</v>
      </c>
      <c r="AL113" s="5" t="s">
        <v>67</v>
      </c>
      <c r="AM113" s="5" t="s">
        <v>67</v>
      </c>
      <c r="AN113" s="5" t="s">
        <v>67</v>
      </c>
      <c r="AO113" s="5" t="s">
        <v>67</v>
      </c>
      <c r="AP113" s="5" t="s">
        <v>67</v>
      </c>
      <c r="AQ113" s="5" t="s">
        <v>67</v>
      </c>
      <c r="AR113" s="5" t="s">
        <v>67</v>
      </c>
      <c r="AW113" s="5" t="s">
        <v>67</v>
      </c>
      <c r="AX113" s="5" t="s">
        <v>67</v>
      </c>
      <c r="AY113" s="5" t="s">
        <v>67</v>
      </c>
      <c r="AZ113" s="5" t="s">
        <v>67</v>
      </c>
      <c r="BF113" s="5" t="s">
        <v>67</v>
      </c>
      <c r="BG113" s="5" t="s">
        <v>67</v>
      </c>
      <c r="BH113" s="5" t="s">
        <v>67</v>
      </c>
      <c r="BI113" s="5" t="s">
        <v>67</v>
      </c>
      <c r="BJ113" s="5" t="s">
        <v>67</v>
      </c>
      <c r="BK113" s="5" t="s">
        <v>67</v>
      </c>
      <c r="BL113" s="5" t="s">
        <v>67</v>
      </c>
      <c r="BM113" s="5" t="s">
        <v>67</v>
      </c>
      <c r="BN113" s="5" t="s">
        <v>67</v>
      </c>
      <c r="BO113" s="5" t="s">
        <v>67</v>
      </c>
    </row>
    <row r="114" spans="1:67" ht="300" x14ac:dyDescent="0.25">
      <c r="A114" s="3">
        <v>788283754</v>
      </c>
      <c r="B114" s="4">
        <v>37833.396064814799</v>
      </c>
      <c r="C114" s="3">
        <v>0</v>
      </c>
      <c r="D114" s="3">
        <v>2210</v>
      </c>
      <c r="E114" s="3">
        <v>0</v>
      </c>
      <c r="F114" s="3">
        <v>1040296841</v>
      </c>
      <c r="G114" s="3">
        <v>1040296841</v>
      </c>
      <c r="H114" s="5" t="s">
        <v>67</v>
      </c>
      <c r="I114" s="3" t="b">
        <v>0</v>
      </c>
      <c r="J114" s="3" t="b">
        <v>0</v>
      </c>
      <c r="K114" s="3" t="b">
        <v>0</v>
      </c>
      <c r="L114" s="3" t="b">
        <v>0</v>
      </c>
      <c r="M114" s="3" t="b">
        <v>0</v>
      </c>
      <c r="N114" s="3" t="b">
        <v>0</v>
      </c>
      <c r="O114" s="3" t="b">
        <v>0</v>
      </c>
      <c r="P114" s="3" t="b">
        <v>0</v>
      </c>
      <c r="Q114" s="3" t="b">
        <v>0</v>
      </c>
      <c r="R114" s="3" t="s">
        <v>67</v>
      </c>
      <c r="S114" s="5" t="s">
        <v>1047</v>
      </c>
      <c r="T114" s="3" t="b">
        <v>0</v>
      </c>
      <c r="U114" s="3" t="b">
        <v>1</v>
      </c>
      <c r="V114" s="5" t="s">
        <v>67</v>
      </c>
      <c r="W114" s="5" t="s">
        <v>67</v>
      </c>
      <c r="X114" s="3" t="b">
        <v>0</v>
      </c>
      <c r="Y114" s="3" t="b">
        <v>0</v>
      </c>
      <c r="Z114" s="3" t="b">
        <v>0</v>
      </c>
      <c r="AA114" s="3" t="b">
        <v>0</v>
      </c>
      <c r="AB114" s="5" t="s">
        <v>1048</v>
      </c>
      <c r="AC114" s="5" t="s">
        <v>1049</v>
      </c>
      <c r="AD114" s="5" t="s">
        <v>1050</v>
      </c>
      <c r="AE114" s="5" t="s">
        <v>67</v>
      </c>
      <c r="AF114" s="5" t="s">
        <v>1051</v>
      </c>
      <c r="AG114" s="5" t="s">
        <v>67</v>
      </c>
      <c r="AH114" s="5" t="s">
        <v>67</v>
      </c>
      <c r="AI114" s="5" t="s">
        <v>67</v>
      </c>
      <c r="AJ114" s="5" t="s">
        <v>67</v>
      </c>
      <c r="AK114" s="5" t="s">
        <v>67</v>
      </c>
      <c r="AL114" s="5" t="s">
        <v>67</v>
      </c>
      <c r="AM114" s="5" t="s">
        <v>67</v>
      </c>
      <c r="AN114" s="5" t="s">
        <v>67</v>
      </c>
      <c r="AO114" s="5" t="s">
        <v>67</v>
      </c>
      <c r="AP114" s="5" t="s">
        <v>67</v>
      </c>
      <c r="AQ114" s="5" t="s">
        <v>67</v>
      </c>
      <c r="AR114" s="5" t="s">
        <v>67</v>
      </c>
      <c r="AW114" s="5" t="s">
        <v>67</v>
      </c>
      <c r="AX114" s="5" t="s">
        <v>67</v>
      </c>
      <c r="AY114" s="5" t="s">
        <v>67</v>
      </c>
      <c r="AZ114" s="5" t="s">
        <v>67</v>
      </c>
      <c r="BA114" s="3">
        <v>107</v>
      </c>
      <c r="BB114" s="3">
        <v>0</v>
      </c>
      <c r="BC114" s="3">
        <v>0</v>
      </c>
      <c r="BE114" s="3">
        <v>0</v>
      </c>
      <c r="BF114" s="5" t="s">
        <v>67</v>
      </c>
      <c r="BG114" s="5" t="s">
        <v>97</v>
      </c>
      <c r="BH114" s="5" t="s">
        <v>714</v>
      </c>
      <c r="BI114" s="5" t="s">
        <v>67</v>
      </c>
      <c r="BJ114" s="5" t="s">
        <v>1052</v>
      </c>
      <c r="BK114" s="5" t="s">
        <v>67</v>
      </c>
      <c r="BL114" s="5" t="s">
        <v>67</v>
      </c>
      <c r="BM114" s="5" t="s">
        <v>67</v>
      </c>
      <c r="BN114" s="5" t="s">
        <v>67</v>
      </c>
      <c r="BO114" s="5" t="s">
        <v>67</v>
      </c>
    </row>
    <row r="115" spans="1:67" ht="409.5" x14ac:dyDescent="0.25">
      <c r="A115" s="3">
        <v>982284145</v>
      </c>
      <c r="B115" s="4">
        <v>42685</v>
      </c>
      <c r="E115" s="3">
        <v>288223704</v>
      </c>
      <c r="F115" s="3">
        <v>1424</v>
      </c>
      <c r="G115" s="3">
        <v>2146189130</v>
      </c>
      <c r="H115" s="5" t="s">
        <v>1053</v>
      </c>
      <c r="I115" s="3" t="b">
        <v>0</v>
      </c>
      <c r="J115" s="3" t="b">
        <v>1</v>
      </c>
      <c r="K115" s="3" t="b">
        <v>1</v>
      </c>
      <c r="L115" s="3" t="b">
        <v>0</v>
      </c>
      <c r="M115" s="3" t="b">
        <v>0</v>
      </c>
      <c r="N115" s="3" t="b">
        <v>0</v>
      </c>
      <c r="O115" s="3" t="b">
        <v>0</v>
      </c>
      <c r="P115" s="3" t="b">
        <v>1</v>
      </c>
      <c r="Q115" s="3" t="b">
        <v>0</v>
      </c>
      <c r="R115" s="3" t="s">
        <v>1054</v>
      </c>
      <c r="S115" s="5" t="s">
        <v>1055</v>
      </c>
      <c r="T115" s="3" t="b">
        <v>1</v>
      </c>
      <c r="U115" s="3" t="b">
        <v>1</v>
      </c>
      <c r="V115" s="5" t="s">
        <v>1056</v>
      </c>
      <c r="W115" s="5" t="s">
        <v>1057</v>
      </c>
      <c r="X115" s="3" t="b">
        <v>0</v>
      </c>
      <c r="Y115" s="3" t="b">
        <v>0</v>
      </c>
      <c r="Z115" s="3" t="b">
        <v>0</v>
      </c>
      <c r="AA115" s="3" t="b">
        <v>1</v>
      </c>
      <c r="AB115" s="5" t="s">
        <v>1058</v>
      </c>
      <c r="AC115" s="5" t="s">
        <v>67</v>
      </c>
      <c r="AD115" s="5" t="s">
        <v>1059</v>
      </c>
      <c r="AE115" s="5" t="s">
        <v>67</v>
      </c>
      <c r="AF115" s="5" t="s">
        <v>1060</v>
      </c>
      <c r="AG115" s="5" t="s">
        <v>1061</v>
      </c>
      <c r="AH115" s="5" t="s">
        <v>1062</v>
      </c>
      <c r="AI115" s="5" t="s">
        <v>1063</v>
      </c>
      <c r="AJ115" s="5" t="s">
        <v>67</v>
      </c>
      <c r="AK115" s="5" t="s">
        <v>1064</v>
      </c>
      <c r="AL115" s="5" t="s">
        <v>67</v>
      </c>
      <c r="AM115" s="5" t="s">
        <v>1065</v>
      </c>
      <c r="AN115" s="5" t="s">
        <v>67</v>
      </c>
      <c r="AO115" s="5" t="s">
        <v>67</v>
      </c>
      <c r="AP115" s="5" t="s">
        <v>67</v>
      </c>
      <c r="AQ115" s="5" t="s">
        <v>67</v>
      </c>
      <c r="AR115" s="5" t="s">
        <v>67</v>
      </c>
      <c r="AW115" s="5" t="s">
        <v>67</v>
      </c>
      <c r="AX115" s="5" t="s">
        <v>67</v>
      </c>
      <c r="AY115" s="5" t="s">
        <v>67</v>
      </c>
      <c r="AZ115" s="5" t="s">
        <v>67</v>
      </c>
      <c r="BA115" s="3">
        <v>107</v>
      </c>
      <c r="BD115" s="3">
        <v>2146188985</v>
      </c>
      <c r="BE115" s="3">
        <v>2146188985</v>
      </c>
      <c r="BF115" s="5" t="s">
        <v>1066</v>
      </c>
      <c r="BG115" s="5" t="s">
        <v>97</v>
      </c>
      <c r="BH115" s="5" t="s">
        <v>1067</v>
      </c>
      <c r="BI115" s="5" t="s">
        <v>74</v>
      </c>
      <c r="BJ115" s="5" t="s">
        <v>1068</v>
      </c>
      <c r="BK115" s="5" t="s">
        <v>1069</v>
      </c>
      <c r="BL115" s="5" t="s">
        <v>1070</v>
      </c>
      <c r="BM115" s="5" t="s">
        <v>67</v>
      </c>
      <c r="BN115" s="5" t="s">
        <v>1071</v>
      </c>
      <c r="BO115" s="5" t="s">
        <v>67</v>
      </c>
    </row>
    <row r="116" spans="1:67" ht="345" x14ac:dyDescent="0.25">
      <c r="A116" s="3">
        <v>1005056097</v>
      </c>
      <c r="B116" s="4">
        <v>37847.644965277803</v>
      </c>
      <c r="C116" s="3">
        <v>2210</v>
      </c>
      <c r="D116" s="3">
        <v>0</v>
      </c>
      <c r="E116" s="3">
        <v>0</v>
      </c>
      <c r="F116" s="3">
        <v>0</v>
      </c>
      <c r="G116" s="3">
        <v>0</v>
      </c>
      <c r="H116" s="5" t="s">
        <v>67</v>
      </c>
      <c r="I116" s="3" t="b">
        <v>0</v>
      </c>
      <c r="J116" s="3" t="b">
        <v>0</v>
      </c>
      <c r="K116" s="3" t="b">
        <v>0</v>
      </c>
      <c r="L116" s="3" t="b">
        <v>0</v>
      </c>
      <c r="M116" s="3" t="b">
        <v>0</v>
      </c>
      <c r="N116" s="3" t="b">
        <v>0</v>
      </c>
      <c r="O116" s="3" t="b">
        <v>0</v>
      </c>
      <c r="P116" s="3" t="b">
        <v>0</v>
      </c>
      <c r="Q116" s="3" t="b">
        <v>0</v>
      </c>
      <c r="R116" s="3" t="s">
        <v>67</v>
      </c>
      <c r="S116" s="5" t="s">
        <v>1072</v>
      </c>
      <c r="T116" s="3" t="b">
        <v>0</v>
      </c>
      <c r="U116" s="3" t="b">
        <v>0</v>
      </c>
      <c r="V116" s="5" t="s">
        <v>67</v>
      </c>
      <c r="W116" s="5" t="s">
        <v>67</v>
      </c>
      <c r="X116" s="3" t="b">
        <v>0</v>
      </c>
      <c r="Y116" s="3" t="b">
        <v>0</v>
      </c>
      <c r="Z116" s="3" t="b">
        <v>0</v>
      </c>
      <c r="AA116" s="3" t="b">
        <v>0</v>
      </c>
      <c r="AB116" s="5" t="s">
        <v>431</v>
      </c>
      <c r="AC116" s="5" t="s">
        <v>1073</v>
      </c>
      <c r="AD116" s="5" t="s">
        <v>67</v>
      </c>
      <c r="AE116" s="5" t="s">
        <v>67</v>
      </c>
      <c r="AF116" s="5" t="s">
        <v>67</v>
      </c>
      <c r="AG116" s="5" t="s">
        <v>1074</v>
      </c>
      <c r="AH116" s="5" t="s">
        <v>67</v>
      </c>
      <c r="AI116" s="5" t="s">
        <v>67</v>
      </c>
      <c r="AJ116" s="5" t="s">
        <v>67</v>
      </c>
      <c r="AK116" s="5" t="s">
        <v>67</v>
      </c>
      <c r="AL116" s="5" t="s">
        <v>67</v>
      </c>
      <c r="AM116" s="5" t="s">
        <v>67</v>
      </c>
      <c r="AN116" s="5" t="s">
        <v>67</v>
      </c>
      <c r="AO116" s="5" t="s">
        <v>67</v>
      </c>
      <c r="AP116" s="5" t="s">
        <v>67</v>
      </c>
      <c r="AQ116" s="5" t="s">
        <v>67</v>
      </c>
      <c r="AR116" s="5" t="s">
        <v>67</v>
      </c>
      <c r="AW116" s="5" t="s">
        <v>67</v>
      </c>
      <c r="AX116" s="5" t="s">
        <v>67</v>
      </c>
      <c r="AY116" s="5" t="s">
        <v>67</v>
      </c>
      <c r="AZ116" s="5" t="s">
        <v>67</v>
      </c>
      <c r="BA116" s="3">
        <v>39</v>
      </c>
      <c r="BB116" s="3">
        <v>0</v>
      </c>
      <c r="BC116" s="3">
        <v>0</v>
      </c>
      <c r="BD116" s="3">
        <v>1238</v>
      </c>
      <c r="BE116" s="3">
        <v>1238</v>
      </c>
      <c r="BF116" s="5" t="s">
        <v>67</v>
      </c>
      <c r="BG116" s="5" t="s">
        <v>97</v>
      </c>
      <c r="BH116" s="5" t="s">
        <v>1075</v>
      </c>
      <c r="BI116" s="5" t="s">
        <v>67</v>
      </c>
      <c r="BJ116" s="5" t="s">
        <v>1076</v>
      </c>
      <c r="BK116" s="5" t="s">
        <v>67</v>
      </c>
      <c r="BL116" s="5" t="s">
        <v>67</v>
      </c>
      <c r="BM116" s="5" t="s">
        <v>67</v>
      </c>
      <c r="BN116" s="5" t="s">
        <v>67</v>
      </c>
      <c r="BO116" s="5" t="s">
        <v>67</v>
      </c>
    </row>
    <row r="117" spans="1:67" ht="210" x14ac:dyDescent="0.25">
      <c r="A117" s="3">
        <v>1014636521</v>
      </c>
      <c r="B117" s="4">
        <v>42426</v>
      </c>
      <c r="C117" s="3">
        <v>-2023558666</v>
      </c>
      <c r="D117" s="3">
        <v>-2023558666</v>
      </c>
      <c r="E117" s="3">
        <v>0</v>
      </c>
      <c r="F117" s="3">
        <v>0</v>
      </c>
      <c r="G117" s="3">
        <v>-2023558666</v>
      </c>
      <c r="H117" s="5" t="s">
        <v>1077</v>
      </c>
      <c r="I117" s="3" t="b">
        <v>0</v>
      </c>
      <c r="J117" s="3" t="b">
        <v>1</v>
      </c>
      <c r="K117" s="3" t="b">
        <v>1</v>
      </c>
      <c r="L117" s="3" t="b">
        <v>0</v>
      </c>
      <c r="M117" s="3" t="b">
        <v>0</v>
      </c>
      <c r="N117" s="3" t="b">
        <v>0</v>
      </c>
      <c r="O117" s="3" t="b">
        <v>0</v>
      </c>
      <c r="P117" s="3" t="b">
        <v>1</v>
      </c>
      <c r="Q117" s="3" t="b">
        <v>0</v>
      </c>
      <c r="R117" s="3" t="s">
        <v>1078</v>
      </c>
      <c r="S117" s="5" t="s">
        <v>1079</v>
      </c>
      <c r="T117" s="3" t="b">
        <v>1</v>
      </c>
      <c r="U117" s="3" t="b">
        <v>1</v>
      </c>
      <c r="V117" s="5" t="s">
        <v>1080</v>
      </c>
      <c r="W117" s="5" t="s">
        <v>1081</v>
      </c>
      <c r="X117" s="3" t="b">
        <v>0</v>
      </c>
      <c r="Y117" s="3" t="b">
        <v>0</v>
      </c>
      <c r="Z117" s="3" t="b">
        <v>0</v>
      </c>
      <c r="AA117" s="3" t="b">
        <v>0</v>
      </c>
      <c r="AB117" s="5" t="s">
        <v>1082</v>
      </c>
      <c r="AC117" s="5" t="s">
        <v>67</v>
      </c>
      <c r="AD117" s="5" t="s">
        <v>67</v>
      </c>
      <c r="AE117" s="5" t="s">
        <v>67</v>
      </c>
      <c r="AF117" s="5" t="s">
        <v>1083</v>
      </c>
      <c r="AG117" s="5" t="s">
        <v>67</v>
      </c>
      <c r="AH117" s="5" t="s">
        <v>1084</v>
      </c>
      <c r="AI117" s="5" t="s">
        <v>67</v>
      </c>
      <c r="AJ117" s="5" t="s">
        <v>67</v>
      </c>
      <c r="AK117" s="5" t="s">
        <v>67</v>
      </c>
      <c r="AL117" s="5" t="s">
        <v>1085</v>
      </c>
      <c r="AM117" s="5" t="s">
        <v>67</v>
      </c>
      <c r="AN117" s="5" t="s">
        <v>67</v>
      </c>
      <c r="AO117" s="5" t="s">
        <v>67</v>
      </c>
      <c r="AP117" s="5" t="s">
        <v>67</v>
      </c>
      <c r="AQ117" s="5" t="s">
        <v>67</v>
      </c>
      <c r="AR117" s="5" t="s">
        <v>67</v>
      </c>
      <c r="AW117" s="5" t="s">
        <v>67</v>
      </c>
      <c r="AX117" s="5" t="s">
        <v>67</v>
      </c>
      <c r="AY117" s="5" t="s">
        <v>67</v>
      </c>
      <c r="AZ117" s="5" t="s">
        <v>67</v>
      </c>
      <c r="BA117" s="3">
        <v>2146188988</v>
      </c>
      <c r="BB117" s="3">
        <v>107</v>
      </c>
      <c r="BC117" s="3">
        <v>0</v>
      </c>
      <c r="BD117" s="3">
        <v>2146188984</v>
      </c>
      <c r="BE117" s="3">
        <v>2146188984</v>
      </c>
      <c r="BF117" s="5" t="s">
        <v>1086</v>
      </c>
      <c r="BG117" s="5" t="s">
        <v>97</v>
      </c>
      <c r="BH117" s="5" t="s">
        <v>1087</v>
      </c>
      <c r="BI117" s="5" t="s">
        <v>210</v>
      </c>
      <c r="BJ117" s="5" t="s">
        <v>1088</v>
      </c>
      <c r="BK117" s="5" t="s">
        <v>1089</v>
      </c>
      <c r="BL117" s="5" t="s">
        <v>1090</v>
      </c>
      <c r="BM117" s="5" t="s">
        <v>67</v>
      </c>
      <c r="BN117" s="5" t="s">
        <v>67</v>
      </c>
      <c r="BO117" s="5" t="s">
        <v>67</v>
      </c>
    </row>
    <row r="118" spans="1:67" x14ac:dyDescent="0.25">
      <c r="A118" s="3">
        <v>1026306511</v>
      </c>
      <c r="B118" s="4">
        <v>40878</v>
      </c>
      <c r="H118" s="5" t="s">
        <v>67</v>
      </c>
      <c r="I118" s="3" t="b">
        <v>0</v>
      </c>
      <c r="J118" s="3" t="b">
        <v>0</v>
      </c>
      <c r="K118" s="3" t="b">
        <v>0</v>
      </c>
      <c r="L118" s="3" t="b">
        <v>0</v>
      </c>
      <c r="M118" s="3" t="b">
        <v>0</v>
      </c>
      <c r="N118" s="3" t="b">
        <v>0</v>
      </c>
      <c r="O118" s="3" t="b">
        <v>0</v>
      </c>
      <c r="P118" s="3" t="b">
        <v>0</v>
      </c>
      <c r="Q118" s="3" t="b">
        <v>0</v>
      </c>
      <c r="R118" s="3" t="s">
        <v>67</v>
      </c>
      <c r="S118" s="5" t="s">
        <v>67</v>
      </c>
      <c r="T118" s="3" t="b">
        <v>0</v>
      </c>
      <c r="U118" s="3" t="b">
        <v>0</v>
      </c>
      <c r="V118" s="5" t="s">
        <v>67</v>
      </c>
      <c r="W118" s="5" t="s">
        <v>67</v>
      </c>
      <c r="X118" s="3" t="b">
        <v>0</v>
      </c>
      <c r="Y118" s="3" t="b">
        <v>0</v>
      </c>
      <c r="Z118" s="3" t="b">
        <v>0</v>
      </c>
      <c r="AA118" s="3" t="b">
        <v>0</v>
      </c>
      <c r="AB118" s="5" t="s">
        <v>67</v>
      </c>
      <c r="AC118" s="5" t="s">
        <v>67</v>
      </c>
      <c r="AD118" s="5" t="s">
        <v>67</v>
      </c>
      <c r="AE118" s="5" t="s">
        <v>67</v>
      </c>
      <c r="AF118" s="5" t="s">
        <v>67</v>
      </c>
      <c r="AG118" s="5" t="s">
        <v>67</v>
      </c>
      <c r="AH118" s="5" t="s">
        <v>67</v>
      </c>
      <c r="AI118" s="5" t="s">
        <v>67</v>
      </c>
      <c r="AJ118" s="5" t="s">
        <v>67</v>
      </c>
      <c r="AK118" s="5" t="s">
        <v>67</v>
      </c>
      <c r="AL118" s="5" t="s">
        <v>67</v>
      </c>
      <c r="AM118" s="5" t="s">
        <v>67</v>
      </c>
      <c r="AN118" s="5" t="s">
        <v>67</v>
      </c>
      <c r="AO118" s="5" t="s">
        <v>67</v>
      </c>
      <c r="AP118" s="5" t="s">
        <v>67</v>
      </c>
      <c r="AQ118" s="5" t="s">
        <v>67</v>
      </c>
      <c r="AR118" s="5" t="s">
        <v>67</v>
      </c>
      <c r="AW118" s="5" t="s">
        <v>67</v>
      </c>
      <c r="AX118" s="5" t="s">
        <v>67</v>
      </c>
      <c r="AY118" s="5" t="s">
        <v>67</v>
      </c>
      <c r="AZ118" s="5" t="s">
        <v>67</v>
      </c>
      <c r="BF118" s="5" t="s">
        <v>67</v>
      </c>
      <c r="BG118" s="5" t="s">
        <v>67</v>
      </c>
      <c r="BH118" s="5" t="s">
        <v>67</v>
      </c>
      <c r="BI118" s="5" t="s">
        <v>67</v>
      </c>
      <c r="BJ118" s="5" t="s">
        <v>67</v>
      </c>
      <c r="BK118" s="5" t="s">
        <v>67</v>
      </c>
      <c r="BL118" s="5" t="s">
        <v>67</v>
      </c>
      <c r="BM118" s="5" t="s">
        <v>67</v>
      </c>
      <c r="BN118" s="5" t="s">
        <v>67</v>
      </c>
      <c r="BO118" s="5" t="s">
        <v>67</v>
      </c>
    </row>
    <row r="119" spans="1:67" x14ac:dyDescent="0.25">
      <c r="A119" s="3">
        <v>1031232110</v>
      </c>
      <c r="B119" s="4">
        <v>40933</v>
      </c>
      <c r="H119" s="5" t="s">
        <v>67</v>
      </c>
      <c r="I119" s="3" t="b">
        <v>0</v>
      </c>
      <c r="J119" s="3" t="b">
        <v>0</v>
      </c>
      <c r="K119" s="3" t="b">
        <v>0</v>
      </c>
      <c r="L119" s="3" t="b">
        <v>0</v>
      </c>
      <c r="M119" s="3" t="b">
        <v>0</v>
      </c>
      <c r="N119" s="3" t="b">
        <v>0</v>
      </c>
      <c r="O119" s="3" t="b">
        <v>0</v>
      </c>
      <c r="P119" s="3" t="b">
        <v>0</v>
      </c>
      <c r="Q119" s="3" t="b">
        <v>0</v>
      </c>
      <c r="R119" s="3" t="s">
        <v>67</v>
      </c>
      <c r="S119" s="5" t="s">
        <v>67</v>
      </c>
      <c r="T119" s="3" t="b">
        <v>0</v>
      </c>
      <c r="U119" s="3" t="b">
        <v>0</v>
      </c>
      <c r="V119" s="5" t="s">
        <v>67</v>
      </c>
      <c r="W119" s="5" t="s">
        <v>67</v>
      </c>
      <c r="X119" s="3" t="b">
        <v>0</v>
      </c>
      <c r="Y119" s="3" t="b">
        <v>0</v>
      </c>
      <c r="Z119" s="3" t="b">
        <v>0</v>
      </c>
      <c r="AA119" s="3" t="b">
        <v>0</v>
      </c>
      <c r="AB119" s="5" t="s">
        <v>67</v>
      </c>
      <c r="AC119" s="5" t="s">
        <v>67</v>
      </c>
      <c r="AD119" s="5" t="s">
        <v>67</v>
      </c>
      <c r="AE119" s="5" t="s">
        <v>67</v>
      </c>
      <c r="AF119" s="5" t="s">
        <v>67</v>
      </c>
      <c r="AG119" s="5" t="s">
        <v>67</v>
      </c>
      <c r="AH119" s="5" t="s">
        <v>67</v>
      </c>
      <c r="AI119" s="5" t="s">
        <v>67</v>
      </c>
      <c r="AJ119" s="5" t="s">
        <v>67</v>
      </c>
      <c r="AK119" s="5" t="s">
        <v>67</v>
      </c>
      <c r="AL119" s="5" t="s">
        <v>67</v>
      </c>
      <c r="AM119" s="5" t="s">
        <v>67</v>
      </c>
      <c r="AN119" s="5" t="s">
        <v>67</v>
      </c>
      <c r="AO119" s="5" t="s">
        <v>67</v>
      </c>
      <c r="AP119" s="5" t="s">
        <v>67</v>
      </c>
      <c r="AQ119" s="5" t="s">
        <v>67</v>
      </c>
      <c r="AR119" s="5" t="s">
        <v>67</v>
      </c>
      <c r="AW119" s="5" t="s">
        <v>67</v>
      </c>
      <c r="AX119" s="5" t="s">
        <v>67</v>
      </c>
      <c r="AY119" s="5" t="s">
        <v>67</v>
      </c>
      <c r="AZ119" s="5" t="s">
        <v>67</v>
      </c>
      <c r="BF119" s="5" t="s">
        <v>67</v>
      </c>
      <c r="BG119" s="5" t="s">
        <v>67</v>
      </c>
      <c r="BH119" s="5" t="s">
        <v>67</v>
      </c>
      <c r="BI119" s="5" t="s">
        <v>67</v>
      </c>
      <c r="BJ119" s="5" t="s">
        <v>67</v>
      </c>
      <c r="BK119" s="5" t="s">
        <v>67</v>
      </c>
      <c r="BL119" s="5" t="s">
        <v>67</v>
      </c>
      <c r="BM119" s="5" t="s">
        <v>67</v>
      </c>
      <c r="BN119" s="5" t="s">
        <v>67</v>
      </c>
      <c r="BO119" s="5" t="s">
        <v>67</v>
      </c>
    </row>
    <row r="120" spans="1:67" x14ac:dyDescent="0.25">
      <c r="A120" s="3">
        <v>1034322144</v>
      </c>
      <c r="B120" s="4">
        <v>37916.569652777798</v>
      </c>
      <c r="C120" s="3">
        <v>0</v>
      </c>
      <c r="D120" s="3">
        <v>0</v>
      </c>
      <c r="E120" s="3">
        <v>0</v>
      </c>
      <c r="F120" s="3">
        <v>0</v>
      </c>
      <c r="G120" s="3">
        <v>0</v>
      </c>
      <c r="H120" s="5" t="s">
        <v>67</v>
      </c>
      <c r="I120" s="3" t="b">
        <v>0</v>
      </c>
      <c r="J120" s="3" t="b">
        <v>0</v>
      </c>
      <c r="K120" s="3" t="b">
        <v>0</v>
      </c>
      <c r="L120" s="3" t="b">
        <v>0</v>
      </c>
      <c r="M120" s="3" t="b">
        <v>0</v>
      </c>
      <c r="N120" s="3" t="b">
        <v>0</v>
      </c>
      <c r="O120" s="3" t="b">
        <v>0</v>
      </c>
      <c r="P120" s="3" t="b">
        <v>0</v>
      </c>
      <c r="Q120" s="3" t="b">
        <v>0</v>
      </c>
      <c r="R120" s="3" t="s">
        <v>67</v>
      </c>
      <c r="S120" s="5" t="s">
        <v>67</v>
      </c>
      <c r="T120" s="3" t="b">
        <v>0</v>
      </c>
      <c r="U120" s="3" t="b">
        <v>0</v>
      </c>
      <c r="V120" s="5" t="s">
        <v>67</v>
      </c>
      <c r="W120" s="5" t="s">
        <v>67</v>
      </c>
      <c r="X120" s="3" t="b">
        <v>0</v>
      </c>
      <c r="Y120" s="3" t="b">
        <v>0</v>
      </c>
      <c r="Z120" s="3" t="b">
        <v>0</v>
      </c>
      <c r="AA120" s="3" t="b">
        <v>0</v>
      </c>
      <c r="AB120" s="5" t="s">
        <v>67</v>
      </c>
      <c r="AC120" s="5" t="s">
        <v>67</v>
      </c>
      <c r="AD120" s="5" t="s">
        <v>67</v>
      </c>
      <c r="AE120" s="5" t="s">
        <v>67</v>
      </c>
      <c r="AF120" s="5" t="s">
        <v>67</v>
      </c>
      <c r="AG120" s="5" t="s">
        <v>67</v>
      </c>
      <c r="AH120" s="5" t="s">
        <v>67</v>
      </c>
      <c r="AI120" s="5" t="s">
        <v>67</v>
      </c>
      <c r="AJ120" s="5" t="s">
        <v>67</v>
      </c>
      <c r="AK120" s="5" t="s">
        <v>67</v>
      </c>
      <c r="AL120" s="5" t="s">
        <v>67</v>
      </c>
      <c r="AM120" s="5" t="s">
        <v>67</v>
      </c>
      <c r="AN120" s="5" t="s">
        <v>67</v>
      </c>
      <c r="AO120" s="5" t="s">
        <v>67</v>
      </c>
      <c r="AP120" s="5" t="s">
        <v>67</v>
      </c>
      <c r="AQ120" s="5" t="s">
        <v>67</v>
      </c>
      <c r="AR120" s="5" t="s">
        <v>67</v>
      </c>
      <c r="AW120" s="5" t="s">
        <v>67</v>
      </c>
      <c r="AX120" s="5" t="s">
        <v>67</v>
      </c>
      <c r="AY120" s="5" t="s">
        <v>67</v>
      </c>
      <c r="AZ120" s="5" t="s">
        <v>67</v>
      </c>
      <c r="BA120" s="3">
        <v>0</v>
      </c>
      <c r="BB120" s="3">
        <v>0</v>
      </c>
      <c r="BC120" s="3">
        <v>0</v>
      </c>
      <c r="BD120" s="3">
        <v>0</v>
      </c>
      <c r="BE120" s="3">
        <v>0</v>
      </c>
      <c r="BF120" s="5" t="s">
        <v>67</v>
      </c>
      <c r="BG120" s="5" t="s">
        <v>67</v>
      </c>
      <c r="BH120" s="5" t="s">
        <v>67</v>
      </c>
      <c r="BI120" s="5" t="s">
        <v>67</v>
      </c>
      <c r="BJ120" s="5" t="s">
        <v>67</v>
      </c>
      <c r="BK120" s="5" t="s">
        <v>67</v>
      </c>
      <c r="BL120" s="5" t="s">
        <v>67</v>
      </c>
      <c r="BM120" s="5" t="s">
        <v>67</v>
      </c>
      <c r="BN120" s="5" t="s">
        <v>67</v>
      </c>
      <c r="BO120" s="5" t="s">
        <v>67</v>
      </c>
    </row>
    <row r="121" spans="1:67" ht="270" x14ac:dyDescent="0.25">
      <c r="A121" s="3">
        <v>1035988716</v>
      </c>
      <c r="B121" s="4">
        <v>42858</v>
      </c>
      <c r="C121" s="3">
        <v>1785005949</v>
      </c>
      <c r="F121" s="3">
        <v>1424</v>
      </c>
      <c r="G121" s="3">
        <v>1785005949</v>
      </c>
      <c r="H121" s="5" t="s">
        <v>1091</v>
      </c>
      <c r="I121" s="3" t="b">
        <v>0</v>
      </c>
      <c r="J121" s="3" t="b">
        <v>0</v>
      </c>
      <c r="K121" s="3" t="b">
        <v>0</v>
      </c>
      <c r="L121" s="3" t="b">
        <v>1</v>
      </c>
      <c r="M121" s="3" t="b">
        <v>0</v>
      </c>
      <c r="N121" s="3" t="b">
        <v>0</v>
      </c>
      <c r="O121" s="3" t="b">
        <v>0</v>
      </c>
      <c r="P121" s="3" t="b">
        <v>0</v>
      </c>
      <c r="Q121" s="3" t="b">
        <v>1</v>
      </c>
      <c r="R121" s="3" t="s">
        <v>718</v>
      </c>
      <c r="S121" s="5" t="s">
        <v>1092</v>
      </c>
      <c r="T121" s="3" t="b">
        <v>0</v>
      </c>
      <c r="U121" s="3" t="b">
        <v>1</v>
      </c>
      <c r="V121" s="5" t="s">
        <v>1093</v>
      </c>
      <c r="W121" s="5" t="s">
        <v>67</v>
      </c>
      <c r="X121" s="3" t="b">
        <v>0</v>
      </c>
      <c r="Y121" s="3" t="b">
        <v>0</v>
      </c>
      <c r="Z121" s="3" t="b">
        <v>0</v>
      </c>
      <c r="AA121" s="3" t="b">
        <v>1</v>
      </c>
      <c r="AB121" s="5" t="s">
        <v>1094</v>
      </c>
      <c r="AC121" s="5" t="s">
        <v>67</v>
      </c>
      <c r="AD121" s="5" t="s">
        <v>67</v>
      </c>
      <c r="AE121" s="5" t="s">
        <v>67</v>
      </c>
      <c r="AF121" s="5" t="s">
        <v>1095</v>
      </c>
      <c r="AG121" s="5" t="s">
        <v>1096</v>
      </c>
      <c r="AH121" s="5" t="s">
        <v>1097</v>
      </c>
      <c r="AI121" s="5" t="s">
        <v>67</v>
      </c>
      <c r="AJ121" s="5" t="s">
        <v>67</v>
      </c>
      <c r="AK121" s="5" t="s">
        <v>67</v>
      </c>
      <c r="AL121" s="5" t="s">
        <v>67</v>
      </c>
      <c r="AM121" s="5" t="s">
        <v>1098</v>
      </c>
      <c r="AN121" s="5" t="s">
        <v>67</v>
      </c>
      <c r="AO121" s="5" t="s">
        <v>67</v>
      </c>
      <c r="AP121" s="5" t="s">
        <v>67</v>
      </c>
      <c r="AQ121" s="5" t="s">
        <v>67</v>
      </c>
      <c r="AR121" s="5" t="s">
        <v>67</v>
      </c>
      <c r="AW121" s="5" t="s">
        <v>67</v>
      </c>
      <c r="AX121" s="5" t="s">
        <v>67</v>
      </c>
      <c r="AY121" s="5" t="s">
        <v>67</v>
      </c>
      <c r="AZ121" s="5" t="s">
        <v>67</v>
      </c>
      <c r="BA121" s="3">
        <v>2146189027</v>
      </c>
      <c r="BB121" s="3">
        <v>0</v>
      </c>
      <c r="BC121" s="3">
        <v>0</v>
      </c>
      <c r="BD121" s="3">
        <v>2146188974</v>
      </c>
      <c r="BE121" s="3">
        <v>2146188974</v>
      </c>
      <c r="BF121" s="5" t="s">
        <v>1099</v>
      </c>
      <c r="BG121" s="5" t="s">
        <v>97</v>
      </c>
      <c r="BH121" s="5" t="s">
        <v>714</v>
      </c>
      <c r="BI121" s="5" t="s">
        <v>74</v>
      </c>
      <c r="BJ121" s="5" t="s">
        <v>1100</v>
      </c>
      <c r="BK121" s="5" t="s">
        <v>1101</v>
      </c>
      <c r="BL121" s="5" t="s">
        <v>1102</v>
      </c>
      <c r="BM121" s="5" t="s">
        <v>67</v>
      </c>
      <c r="BN121" s="5" t="s">
        <v>1103</v>
      </c>
      <c r="BO121" s="5" t="s">
        <v>67</v>
      </c>
    </row>
    <row r="122" spans="1:67" ht="240" x14ac:dyDescent="0.25">
      <c r="A122" s="3">
        <v>1041958732</v>
      </c>
      <c r="B122" s="4">
        <v>37858.420439814799</v>
      </c>
      <c r="C122" s="3">
        <v>-1549982252</v>
      </c>
      <c r="D122" s="3">
        <v>0</v>
      </c>
      <c r="E122" s="3">
        <v>0</v>
      </c>
      <c r="F122" s="3">
        <v>0</v>
      </c>
      <c r="G122" s="3">
        <v>0</v>
      </c>
      <c r="H122" s="5" t="s">
        <v>67</v>
      </c>
      <c r="I122" s="3" t="b">
        <v>0</v>
      </c>
      <c r="J122" s="3" t="b">
        <v>0</v>
      </c>
      <c r="K122" s="3" t="b">
        <v>0</v>
      </c>
      <c r="L122" s="3" t="b">
        <v>0</v>
      </c>
      <c r="M122" s="3" t="b">
        <v>0</v>
      </c>
      <c r="N122" s="3" t="b">
        <v>0</v>
      </c>
      <c r="O122" s="3" t="b">
        <v>0</v>
      </c>
      <c r="P122" s="3" t="b">
        <v>0</v>
      </c>
      <c r="Q122" s="3" t="b">
        <v>0</v>
      </c>
      <c r="R122" s="3" t="s">
        <v>67</v>
      </c>
      <c r="S122" s="5" t="s">
        <v>1104</v>
      </c>
      <c r="T122" s="3" t="b">
        <v>0</v>
      </c>
      <c r="U122" s="3" t="b">
        <v>1</v>
      </c>
      <c r="V122" s="5" t="s">
        <v>67</v>
      </c>
      <c r="W122" s="5" t="s">
        <v>67</v>
      </c>
      <c r="X122" s="3" t="b">
        <v>0</v>
      </c>
      <c r="Y122" s="3" t="b">
        <v>0</v>
      </c>
      <c r="Z122" s="3" t="b">
        <v>0</v>
      </c>
      <c r="AA122" s="3" t="b">
        <v>0</v>
      </c>
      <c r="AB122" s="5" t="s">
        <v>373</v>
      </c>
      <c r="AC122" s="5" t="s">
        <v>1105</v>
      </c>
      <c r="AD122" s="5" t="s">
        <v>67</v>
      </c>
      <c r="AE122" s="5" t="s">
        <v>67</v>
      </c>
      <c r="AF122" s="5" t="s">
        <v>67</v>
      </c>
      <c r="AG122" s="5" t="s">
        <v>1106</v>
      </c>
      <c r="AH122" s="5" t="s">
        <v>67</v>
      </c>
      <c r="AI122" s="5" t="s">
        <v>67</v>
      </c>
      <c r="AJ122" s="5" t="s">
        <v>67</v>
      </c>
      <c r="AK122" s="5" t="s">
        <v>67</v>
      </c>
      <c r="AL122" s="5" t="s">
        <v>67</v>
      </c>
      <c r="AM122" s="5" t="s">
        <v>67</v>
      </c>
      <c r="AN122" s="5" t="s">
        <v>67</v>
      </c>
      <c r="AO122" s="5" t="s">
        <v>67</v>
      </c>
      <c r="AP122" s="5" t="s">
        <v>67</v>
      </c>
      <c r="AQ122" s="5" t="s">
        <v>67</v>
      </c>
      <c r="AR122" s="5" t="s">
        <v>67</v>
      </c>
      <c r="AW122" s="5" t="s">
        <v>67</v>
      </c>
      <c r="AX122" s="5" t="s">
        <v>67</v>
      </c>
      <c r="AY122" s="5" t="s">
        <v>67</v>
      </c>
      <c r="AZ122" s="5" t="s">
        <v>67</v>
      </c>
      <c r="BA122" s="3">
        <v>835</v>
      </c>
      <c r="BB122" s="3">
        <v>0</v>
      </c>
      <c r="BC122" s="3">
        <v>0</v>
      </c>
      <c r="BD122" s="3">
        <v>0</v>
      </c>
      <c r="BE122" s="3">
        <v>0</v>
      </c>
      <c r="BF122" s="5" t="s">
        <v>67</v>
      </c>
      <c r="BG122" s="5" t="s">
        <v>1107</v>
      </c>
      <c r="BH122" s="5" t="s">
        <v>1108</v>
      </c>
      <c r="BI122" s="5" t="s">
        <v>67</v>
      </c>
      <c r="BJ122" s="5" t="s">
        <v>1109</v>
      </c>
      <c r="BK122" s="5" t="s">
        <v>67</v>
      </c>
      <c r="BL122" s="5" t="s">
        <v>67</v>
      </c>
      <c r="BM122" s="5" t="s">
        <v>67</v>
      </c>
      <c r="BN122" s="5" t="s">
        <v>67</v>
      </c>
      <c r="BO122" s="5" t="s">
        <v>67</v>
      </c>
    </row>
    <row r="123" spans="1:67" ht="210" x14ac:dyDescent="0.25">
      <c r="A123" s="3">
        <v>1045738360</v>
      </c>
      <c r="B123" s="4">
        <v>37833.347453703696</v>
      </c>
      <c r="C123" s="3">
        <v>2210</v>
      </c>
      <c r="D123" s="3">
        <v>0</v>
      </c>
      <c r="E123" s="3">
        <v>0</v>
      </c>
      <c r="F123" s="3">
        <v>1537752342</v>
      </c>
      <c r="H123" s="5" t="s">
        <v>67</v>
      </c>
      <c r="I123" s="3" t="b">
        <v>0</v>
      </c>
      <c r="J123" s="3" t="b">
        <v>0</v>
      </c>
      <c r="K123" s="3" t="b">
        <v>0</v>
      </c>
      <c r="L123" s="3" t="b">
        <v>0</v>
      </c>
      <c r="M123" s="3" t="b">
        <v>0</v>
      </c>
      <c r="N123" s="3" t="b">
        <v>0</v>
      </c>
      <c r="O123" s="3" t="b">
        <v>0</v>
      </c>
      <c r="P123" s="3" t="b">
        <v>0</v>
      </c>
      <c r="Q123" s="3" t="b">
        <v>0</v>
      </c>
      <c r="R123" s="3" t="s">
        <v>67</v>
      </c>
      <c r="S123" s="5" t="s">
        <v>1110</v>
      </c>
      <c r="T123" s="3" t="b">
        <v>1</v>
      </c>
      <c r="U123" s="3" t="b">
        <v>1</v>
      </c>
      <c r="V123" s="5" t="s">
        <v>67</v>
      </c>
      <c r="W123" s="5" t="s">
        <v>67</v>
      </c>
      <c r="X123" s="3" t="b">
        <v>0</v>
      </c>
      <c r="Y123" s="3" t="b">
        <v>0</v>
      </c>
      <c r="Z123" s="3" t="b">
        <v>0</v>
      </c>
      <c r="AA123" s="3" t="b">
        <v>0</v>
      </c>
      <c r="AB123" s="5" t="s">
        <v>1111</v>
      </c>
      <c r="AC123" s="5" t="s">
        <v>1112</v>
      </c>
      <c r="AD123" s="5" t="s">
        <v>1113</v>
      </c>
      <c r="AE123" s="5" t="s">
        <v>67</v>
      </c>
      <c r="AF123" s="5" t="s">
        <v>1114</v>
      </c>
      <c r="AG123" s="5" t="s">
        <v>712</v>
      </c>
      <c r="AH123" s="5" t="s">
        <v>67</v>
      </c>
      <c r="AI123" s="5" t="s">
        <v>67</v>
      </c>
      <c r="AJ123" s="5" t="s">
        <v>67</v>
      </c>
      <c r="AK123" s="5" t="s">
        <v>67</v>
      </c>
      <c r="AL123" s="5" t="s">
        <v>67</v>
      </c>
      <c r="AM123" s="5" t="s">
        <v>67</v>
      </c>
      <c r="AN123" s="5" t="s">
        <v>67</v>
      </c>
      <c r="AO123" s="5" t="s">
        <v>67</v>
      </c>
      <c r="AP123" s="5" t="s">
        <v>67</v>
      </c>
      <c r="AQ123" s="5" t="s">
        <v>67</v>
      </c>
      <c r="AR123" s="5" t="s">
        <v>67</v>
      </c>
      <c r="AW123" s="5" t="s">
        <v>67</v>
      </c>
      <c r="AX123" s="5" t="s">
        <v>67</v>
      </c>
      <c r="AY123" s="5" t="s">
        <v>67</v>
      </c>
      <c r="AZ123" s="5" t="s">
        <v>67</v>
      </c>
      <c r="BA123" s="3">
        <v>107</v>
      </c>
      <c r="BC123" s="3">
        <v>0</v>
      </c>
      <c r="BE123" s="3">
        <v>0</v>
      </c>
      <c r="BF123" s="5" t="s">
        <v>67</v>
      </c>
      <c r="BG123" s="5" t="s">
        <v>1115</v>
      </c>
      <c r="BH123" s="5" t="s">
        <v>1116</v>
      </c>
      <c r="BI123" s="5" t="s">
        <v>67</v>
      </c>
      <c r="BJ123" s="5" t="s">
        <v>1117</v>
      </c>
      <c r="BK123" s="5" t="s">
        <v>67</v>
      </c>
      <c r="BL123" s="5" t="s">
        <v>67</v>
      </c>
      <c r="BM123" s="5" t="s">
        <v>67</v>
      </c>
      <c r="BN123" s="5" t="s">
        <v>67</v>
      </c>
      <c r="BO123" s="5" t="s">
        <v>67</v>
      </c>
    </row>
    <row r="124" spans="1:67" ht="285" x14ac:dyDescent="0.25">
      <c r="A124" s="3">
        <v>1061796863</v>
      </c>
      <c r="B124" s="4">
        <v>37858.405289351896</v>
      </c>
      <c r="C124" s="3">
        <v>-1549982252</v>
      </c>
      <c r="D124" s="3">
        <v>2210</v>
      </c>
      <c r="E124" s="3">
        <v>0</v>
      </c>
      <c r="F124" s="3">
        <v>0</v>
      </c>
      <c r="H124" s="5" t="s">
        <v>67</v>
      </c>
      <c r="I124" s="3" t="b">
        <v>0</v>
      </c>
      <c r="J124" s="3" t="b">
        <v>0</v>
      </c>
      <c r="K124" s="3" t="b">
        <v>0</v>
      </c>
      <c r="L124" s="3" t="b">
        <v>0</v>
      </c>
      <c r="M124" s="3" t="b">
        <v>0</v>
      </c>
      <c r="N124" s="3" t="b">
        <v>0</v>
      </c>
      <c r="O124" s="3" t="b">
        <v>0</v>
      </c>
      <c r="P124" s="3" t="b">
        <v>0</v>
      </c>
      <c r="Q124" s="3" t="b">
        <v>0</v>
      </c>
      <c r="R124" s="3" t="s">
        <v>67</v>
      </c>
      <c r="S124" s="5" t="s">
        <v>1118</v>
      </c>
      <c r="T124" s="3" t="b">
        <v>0</v>
      </c>
      <c r="U124" s="3" t="b">
        <v>1</v>
      </c>
      <c r="V124" s="5" t="s">
        <v>67</v>
      </c>
      <c r="W124" s="5" t="s">
        <v>67</v>
      </c>
      <c r="X124" s="3" t="b">
        <v>0</v>
      </c>
      <c r="Y124" s="3" t="b">
        <v>0</v>
      </c>
      <c r="Z124" s="3" t="b">
        <v>0</v>
      </c>
      <c r="AA124" s="3" t="b">
        <v>0</v>
      </c>
      <c r="AB124" s="5" t="s">
        <v>373</v>
      </c>
      <c r="AC124" s="5" t="s">
        <v>1119</v>
      </c>
      <c r="AD124" s="5" t="s">
        <v>67</v>
      </c>
      <c r="AE124" s="5" t="s">
        <v>67</v>
      </c>
      <c r="AF124" s="5" t="s">
        <v>67</v>
      </c>
      <c r="AG124" s="5" t="s">
        <v>1120</v>
      </c>
      <c r="AH124" s="5" t="s">
        <v>67</v>
      </c>
      <c r="AI124" s="5" t="s">
        <v>67</v>
      </c>
      <c r="AJ124" s="5" t="s">
        <v>67</v>
      </c>
      <c r="AK124" s="5" t="s">
        <v>67</v>
      </c>
      <c r="AL124" s="5" t="s">
        <v>67</v>
      </c>
      <c r="AM124" s="5" t="s">
        <v>67</v>
      </c>
      <c r="AN124" s="5" t="s">
        <v>67</v>
      </c>
      <c r="AO124" s="5" t="s">
        <v>67</v>
      </c>
      <c r="AP124" s="5" t="s">
        <v>67</v>
      </c>
      <c r="AQ124" s="5" t="s">
        <v>67</v>
      </c>
      <c r="AR124" s="5" t="s">
        <v>67</v>
      </c>
      <c r="AW124" s="5" t="s">
        <v>67</v>
      </c>
      <c r="AX124" s="5" t="s">
        <v>67</v>
      </c>
      <c r="AY124" s="5" t="s">
        <v>67</v>
      </c>
      <c r="AZ124" s="5" t="s">
        <v>67</v>
      </c>
      <c r="BA124" s="3">
        <v>835</v>
      </c>
      <c r="BB124" s="3">
        <v>0</v>
      </c>
      <c r="BC124" s="3">
        <v>0</v>
      </c>
      <c r="BD124" s="3">
        <v>0</v>
      </c>
      <c r="BE124" s="3">
        <v>0</v>
      </c>
      <c r="BF124" s="5" t="s">
        <v>67</v>
      </c>
      <c r="BG124" s="5" t="s">
        <v>976</v>
      </c>
      <c r="BH124" s="5" t="s">
        <v>1121</v>
      </c>
      <c r="BI124" s="5" t="s">
        <v>67</v>
      </c>
      <c r="BJ124" s="5" t="s">
        <v>67</v>
      </c>
      <c r="BK124" s="5" t="s">
        <v>67</v>
      </c>
      <c r="BL124" s="5" t="s">
        <v>67</v>
      </c>
      <c r="BM124" s="5" t="s">
        <v>67</v>
      </c>
      <c r="BN124" s="5" t="s">
        <v>67</v>
      </c>
      <c r="BO124" s="5" t="s">
        <v>67</v>
      </c>
    </row>
    <row r="125" spans="1:67" ht="135" x14ac:dyDescent="0.25">
      <c r="A125" s="3">
        <v>1061896702</v>
      </c>
      <c r="B125" s="4">
        <v>37859.555740740703</v>
      </c>
      <c r="C125" s="3">
        <v>0</v>
      </c>
      <c r="D125" s="3">
        <v>0</v>
      </c>
      <c r="E125" s="3">
        <v>0</v>
      </c>
      <c r="F125" s="3">
        <v>0</v>
      </c>
      <c r="G125" s="3">
        <v>0</v>
      </c>
      <c r="H125" s="5" t="s">
        <v>67</v>
      </c>
      <c r="I125" s="3" t="b">
        <v>0</v>
      </c>
      <c r="J125" s="3" t="b">
        <v>0</v>
      </c>
      <c r="K125" s="3" t="b">
        <v>0</v>
      </c>
      <c r="L125" s="3" t="b">
        <v>0</v>
      </c>
      <c r="M125" s="3" t="b">
        <v>0</v>
      </c>
      <c r="N125" s="3" t="b">
        <v>0</v>
      </c>
      <c r="O125" s="3" t="b">
        <v>0</v>
      </c>
      <c r="P125" s="3" t="b">
        <v>0</v>
      </c>
      <c r="Q125" s="3" t="b">
        <v>0</v>
      </c>
      <c r="R125" s="3" t="s">
        <v>67</v>
      </c>
      <c r="S125" s="5" t="s">
        <v>1122</v>
      </c>
      <c r="T125" s="3" t="b">
        <v>0</v>
      </c>
      <c r="U125" s="3" t="b">
        <v>0</v>
      </c>
      <c r="V125" s="5" t="s">
        <v>67</v>
      </c>
      <c r="W125" s="5" t="s">
        <v>67</v>
      </c>
      <c r="X125" s="3" t="b">
        <v>0</v>
      </c>
      <c r="Y125" s="3" t="b">
        <v>0</v>
      </c>
      <c r="Z125" s="3" t="b">
        <v>0</v>
      </c>
      <c r="AA125" s="3" t="b">
        <v>0</v>
      </c>
      <c r="AB125" s="5" t="s">
        <v>67</v>
      </c>
      <c r="AC125" s="5" t="s">
        <v>1123</v>
      </c>
      <c r="AD125" s="5" t="s">
        <v>67</v>
      </c>
      <c r="AE125" s="5" t="s">
        <v>67</v>
      </c>
      <c r="AF125" s="5" t="s">
        <v>67</v>
      </c>
      <c r="AG125" s="5" t="s">
        <v>1124</v>
      </c>
      <c r="AH125" s="5" t="s">
        <v>67</v>
      </c>
      <c r="AI125" s="5" t="s">
        <v>67</v>
      </c>
      <c r="AJ125" s="5" t="s">
        <v>67</v>
      </c>
      <c r="AK125" s="5" t="s">
        <v>67</v>
      </c>
      <c r="AL125" s="5" t="s">
        <v>67</v>
      </c>
      <c r="AM125" s="5" t="s">
        <v>67</v>
      </c>
      <c r="AN125" s="5" t="s">
        <v>67</v>
      </c>
      <c r="AO125" s="5" t="s">
        <v>67</v>
      </c>
      <c r="AP125" s="5" t="s">
        <v>67</v>
      </c>
      <c r="AQ125" s="5" t="s">
        <v>67</v>
      </c>
      <c r="AR125" s="5" t="s">
        <v>67</v>
      </c>
      <c r="AW125" s="5" t="s">
        <v>67</v>
      </c>
      <c r="AX125" s="5" t="s">
        <v>67</v>
      </c>
      <c r="AY125" s="5" t="s">
        <v>67</v>
      </c>
      <c r="AZ125" s="5" t="s">
        <v>67</v>
      </c>
      <c r="BA125" s="3">
        <v>107</v>
      </c>
      <c r="BB125" s="3">
        <v>39</v>
      </c>
      <c r="BC125" s="3">
        <v>0</v>
      </c>
      <c r="BD125" s="3">
        <v>0</v>
      </c>
      <c r="BE125" s="3">
        <v>0</v>
      </c>
      <c r="BF125" s="5" t="s">
        <v>67</v>
      </c>
      <c r="BG125" s="5" t="s">
        <v>73</v>
      </c>
      <c r="BH125" s="5" t="s">
        <v>67</v>
      </c>
      <c r="BI125" s="5" t="s">
        <v>67</v>
      </c>
      <c r="BJ125" s="5" t="s">
        <v>1125</v>
      </c>
      <c r="BK125" s="5" t="s">
        <v>67</v>
      </c>
      <c r="BL125" s="5" t="s">
        <v>67</v>
      </c>
      <c r="BM125" s="5" t="s">
        <v>67</v>
      </c>
      <c r="BN125" s="5" t="s">
        <v>67</v>
      </c>
      <c r="BO125" s="5" t="s">
        <v>67</v>
      </c>
    </row>
    <row r="126" spans="1:67" ht="120" x14ac:dyDescent="0.25">
      <c r="A126" s="3">
        <v>1061977115</v>
      </c>
      <c r="B126" s="4">
        <v>38103.477175925902</v>
      </c>
      <c r="C126" s="3">
        <v>305</v>
      </c>
      <c r="E126" s="3">
        <v>0</v>
      </c>
      <c r="F126" s="3">
        <v>0</v>
      </c>
      <c r="G126" s="3">
        <v>0</v>
      </c>
      <c r="H126" s="5" t="s">
        <v>67</v>
      </c>
      <c r="I126" s="3" t="b">
        <v>0</v>
      </c>
      <c r="J126" s="3" t="b">
        <v>0</v>
      </c>
      <c r="K126" s="3" t="b">
        <v>0</v>
      </c>
      <c r="L126" s="3" t="b">
        <v>0</v>
      </c>
      <c r="M126" s="3" t="b">
        <v>0</v>
      </c>
      <c r="N126" s="3" t="b">
        <v>0</v>
      </c>
      <c r="O126" s="3" t="b">
        <v>0</v>
      </c>
      <c r="P126" s="3" t="b">
        <v>0</v>
      </c>
      <c r="Q126" s="3" t="b">
        <v>0</v>
      </c>
      <c r="R126" s="3" t="s">
        <v>67</v>
      </c>
      <c r="S126" s="5" t="s">
        <v>1126</v>
      </c>
      <c r="T126" s="3" t="b">
        <v>0</v>
      </c>
      <c r="U126" s="3" t="b">
        <v>1</v>
      </c>
      <c r="V126" s="5" t="s">
        <v>67</v>
      </c>
      <c r="W126" s="5" t="s">
        <v>67</v>
      </c>
      <c r="X126" s="3" t="b">
        <v>0</v>
      </c>
      <c r="Y126" s="3" t="b">
        <v>0</v>
      </c>
      <c r="Z126" s="3" t="b">
        <v>0</v>
      </c>
      <c r="AA126" s="3" t="b">
        <v>0</v>
      </c>
      <c r="AB126" s="5" t="s">
        <v>373</v>
      </c>
      <c r="AC126" s="5" t="s">
        <v>1127</v>
      </c>
      <c r="AD126" s="5" t="s">
        <v>67</v>
      </c>
      <c r="AE126" s="5" t="s">
        <v>67</v>
      </c>
      <c r="AF126" s="5" t="s">
        <v>67</v>
      </c>
      <c r="AG126" s="5" t="s">
        <v>1128</v>
      </c>
      <c r="AH126" s="5" t="s">
        <v>67</v>
      </c>
      <c r="AI126" s="5" t="s">
        <v>67</v>
      </c>
      <c r="AJ126" s="5" t="s">
        <v>67</v>
      </c>
      <c r="AK126" s="5" t="s">
        <v>67</v>
      </c>
      <c r="AL126" s="5" t="s">
        <v>67</v>
      </c>
      <c r="AM126" s="5" t="s">
        <v>67</v>
      </c>
      <c r="AN126" s="5" t="s">
        <v>67</v>
      </c>
      <c r="AO126" s="5" t="s">
        <v>67</v>
      </c>
      <c r="AP126" s="5" t="s">
        <v>67</v>
      </c>
      <c r="AQ126" s="5" t="s">
        <v>67</v>
      </c>
      <c r="AR126" s="5" t="s">
        <v>67</v>
      </c>
      <c r="AW126" s="5" t="s">
        <v>67</v>
      </c>
      <c r="AX126" s="5" t="s">
        <v>67</v>
      </c>
      <c r="AY126" s="5" t="s">
        <v>67</v>
      </c>
      <c r="AZ126" s="5" t="s">
        <v>67</v>
      </c>
      <c r="BA126" s="3">
        <v>0</v>
      </c>
      <c r="BB126" s="3">
        <v>0</v>
      </c>
      <c r="BC126" s="3">
        <v>0</v>
      </c>
      <c r="BD126" s="3">
        <v>0</v>
      </c>
      <c r="BE126" s="3">
        <v>0</v>
      </c>
      <c r="BF126" s="5" t="s">
        <v>67</v>
      </c>
      <c r="BG126" s="5" t="s">
        <v>67</v>
      </c>
      <c r="BH126" s="5" t="s">
        <v>623</v>
      </c>
      <c r="BI126" s="5" t="s">
        <v>67</v>
      </c>
      <c r="BJ126" s="5" t="s">
        <v>1129</v>
      </c>
      <c r="BK126" s="5" t="s">
        <v>67</v>
      </c>
      <c r="BL126" s="5" t="s">
        <v>67</v>
      </c>
      <c r="BM126" s="5" t="s">
        <v>67</v>
      </c>
      <c r="BN126" s="5" t="s">
        <v>67</v>
      </c>
      <c r="BO126" s="5" t="s">
        <v>67</v>
      </c>
    </row>
    <row r="127" spans="1:67" ht="165" x14ac:dyDescent="0.25">
      <c r="A127" s="3">
        <v>1074518627</v>
      </c>
      <c r="B127" s="4">
        <v>38030.6251388889</v>
      </c>
      <c r="C127" s="3">
        <v>0</v>
      </c>
      <c r="D127" s="3">
        <v>0</v>
      </c>
      <c r="E127" s="3">
        <v>0</v>
      </c>
      <c r="F127" s="3">
        <v>269</v>
      </c>
      <c r="H127" s="5" t="s">
        <v>67</v>
      </c>
      <c r="I127" s="3" t="b">
        <v>0</v>
      </c>
      <c r="J127" s="3" t="b">
        <v>0</v>
      </c>
      <c r="K127" s="3" t="b">
        <v>0</v>
      </c>
      <c r="L127" s="3" t="b">
        <v>0</v>
      </c>
      <c r="M127" s="3" t="b">
        <v>0</v>
      </c>
      <c r="N127" s="3" t="b">
        <v>0</v>
      </c>
      <c r="O127" s="3" t="b">
        <v>0</v>
      </c>
      <c r="P127" s="3" t="b">
        <v>0</v>
      </c>
      <c r="Q127" s="3" t="b">
        <v>0</v>
      </c>
      <c r="R127" s="3" t="s">
        <v>67</v>
      </c>
      <c r="S127" s="5" t="s">
        <v>1130</v>
      </c>
      <c r="T127" s="3" t="b">
        <v>0</v>
      </c>
      <c r="U127" s="3" t="b">
        <v>1</v>
      </c>
      <c r="V127" s="5" t="s">
        <v>67</v>
      </c>
      <c r="W127" s="5" t="s">
        <v>67</v>
      </c>
      <c r="X127" s="3" t="b">
        <v>0</v>
      </c>
      <c r="Y127" s="3" t="b">
        <v>0</v>
      </c>
      <c r="Z127" s="3" t="b">
        <v>0</v>
      </c>
      <c r="AA127" s="3" t="b">
        <v>0</v>
      </c>
      <c r="AB127" s="5" t="s">
        <v>1131</v>
      </c>
      <c r="AC127" s="5" t="s">
        <v>1132</v>
      </c>
      <c r="AD127" s="5" t="s">
        <v>67</v>
      </c>
      <c r="AE127" s="5" t="s">
        <v>67</v>
      </c>
      <c r="AF127" s="5" t="s">
        <v>67</v>
      </c>
      <c r="AG127" s="5" t="s">
        <v>67</v>
      </c>
      <c r="AH127" s="5" t="s">
        <v>67</v>
      </c>
      <c r="AI127" s="5" t="s">
        <v>67</v>
      </c>
      <c r="AJ127" s="5" t="s">
        <v>67</v>
      </c>
      <c r="AK127" s="5" t="s">
        <v>67</v>
      </c>
      <c r="AL127" s="5" t="s">
        <v>67</v>
      </c>
      <c r="AM127" s="5" t="s">
        <v>67</v>
      </c>
      <c r="AN127" s="5" t="s">
        <v>67</v>
      </c>
      <c r="AO127" s="5" t="s">
        <v>67</v>
      </c>
      <c r="AP127" s="5" t="s">
        <v>67</v>
      </c>
      <c r="AQ127" s="5" t="s">
        <v>67</v>
      </c>
      <c r="AR127" s="5" t="s">
        <v>67</v>
      </c>
      <c r="AW127" s="5" t="s">
        <v>67</v>
      </c>
      <c r="AX127" s="5" t="s">
        <v>67</v>
      </c>
      <c r="AY127" s="5" t="s">
        <v>67</v>
      </c>
      <c r="AZ127" s="5" t="s">
        <v>67</v>
      </c>
      <c r="BA127" s="3">
        <v>0</v>
      </c>
      <c r="BB127" s="3">
        <v>0</v>
      </c>
      <c r="BC127" s="3">
        <v>0</v>
      </c>
      <c r="BE127" s="3">
        <v>0</v>
      </c>
      <c r="BF127" s="5" t="s">
        <v>67</v>
      </c>
      <c r="BG127" s="5" t="s">
        <v>97</v>
      </c>
      <c r="BH127" s="5" t="s">
        <v>1133</v>
      </c>
      <c r="BI127" s="5" t="s">
        <v>67</v>
      </c>
      <c r="BJ127" s="5" t="s">
        <v>67</v>
      </c>
      <c r="BK127" s="5" t="s">
        <v>67</v>
      </c>
      <c r="BL127" s="5" t="s">
        <v>67</v>
      </c>
      <c r="BM127" s="5" t="s">
        <v>67</v>
      </c>
      <c r="BN127" s="5" t="s">
        <v>67</v>
      </c>
      <c r="BO127" s="5" t="s">
        <v>67</v>
      </c>
    </row>
    <row r="128" spans="1:67" x14ac:dyDescent="0.25">
      <c r="A128" s="3">
        <v>1083240723</v>
      </c>
      <c r="B128" s="4">
        <v>38198.520671296297</v>
      </c>
      <c r="C128" s="3">
        <v>0</v>
      </c>
      <c r="D128" s="3">
        <v>0</v>
      </c>
      <c r="E128" s="3">
        <v>0</v>
      </c>
      <c r="F128" s="3">
        <v>0</v>
      </c>
      <c r="G128" s="3">
        <v>0</v>
      </c>
      <c r="H128" s="5" t="s">
        <v>67</v>
      </c>
      <c r="I128" s="3" t="b">
        <v>0</v>
      </c>
      <c r="J128" s="3" t="b">
        <v>0</v>
      </c>
      <c r="K128" s="3" t="b">
        <v>0</v>
      </c>
      <c r="L128" s="3" t="b">
        <v>0</v>
      </c>
      <c r="M128" s="3" t="b">
        <v>0</v>
      </c>
      <c r="N128" s="3" t="b">
        <v>0</v>
      </c>
      <c r="O128" s="3" t="b">
        <v>0</v>
      </c>
      <c r="P128" s="3" t="b">
        <v>0</v>
      </c>
      <c r="Q128" s="3" t="b">
        <v>0</v>
      </c>
      <c r="R128" s="3" t="s">
        <v>67</v>
      </c>
      <c r="S128" s="5" t="s">
        <v>67</v>
      </c>
      <c r="T128" s="3" t="b">
        <v>0</v>
      </c>
      <c r="U128" s="3" t="b">
        <v>0</v>
      </c>
      <c r="V128" s="5" t="s">
        <v>67</v>
      </c>
      <c r="W128" s="5" t="s">
        <v>67</v>
      </c>
      <c r="X128" s="3" t="b">
        <v>0</v>
      </c>
      <c r="Y128" s="3" t="b">
        <v>0</v>
      </c>
      <c r="Z128" s="3" t="b">
        <v>0</v>
      </c>
      <c r="AA128" s="3" t="b">
        <v>0</v>
      </c>
      <c r="AB128" s="5" t="s">
        <v>67</v>
      </c>
      <c r="AC128" s="5" t="s">
        <v>67</v>
      </c>
      <c r="AD128" s="5" t="s">
        <v>67</v>
      </c>
      <c r="AE128" s="5" t="s">
        <v>67</v>
      </c>
      <c r="AF128" s="5" t="s">
        <v>67</v>
      </c>
      <c r="AG128" s="5" t="s">
        <v>67</v>
      </c>
      <c r="AH128" s="5" t="s">
        <v>67</v>
      </c>
      <c r="AI128" s="5" t="s">
        <v>67</v>
      </c>
      <c r="AJ128" s="5" t="s">
        <v>67</v>
      </c>
      <c r="AK128" s="5" t="s">
        <v>67</v>
      </c>
      <c r="AL128" s="5" t="s">
        <v>67</v>
      </c>
      <c r="AM128" s="5" t="s">
        <v>67</v>
      </c>
      <c r="AN128" s="5" t="s">
        <v>67</v>
      </c>
      <c r="AO128" s="5" t="s">
        <v>67</v>
      </c>
      <c r="AP128" s="5" t="s">
        <v>67</v>
      </c>
      <c r="AQ128" s="5" t="s">
        <v>67</v>
      </c>
      <c r="AR128" s="5" t="s">
        <v>67</v>
      </c>
      <c r="AW128" s="5" t="s">
        <v>67</v>
      </c>
      <c r="AX128" s="5" t="s">
        <v>67</v>
      </c>
      <c r="AY128" s="5" t="s">
        <v>67</v>
      </c>
      <c r="AZ128" s="5" t="s">
        <v>67</v>
      </c>
      <c r="BA128" s="3">
        <v>0</v>
      </c>
      <c r="BB128" s="3">
        <v>0</v>
      </c>
      <c r="BC128" s="3">
        <v>0</v>
      </c>
      <c r="BD128" s="3">
        <v>0</v>
      </c>
      <c r="BE128" s="3">
        <v>0</v>
      </c>
      <c r="BF128" s="5" t="s">
        <v>67</v>
      </c>
      <c r="BG128" s="5" t="s">
        <v>1134</v>
      </c>
      <c r="BH128" s="5" t="s">
        <v>67</v>
      </c>
      <c r="BI128" s="5" t="s">
        <v>67</v>
      </c>
      <c r="BJ128" s="5" t="s">
        <v>67</v>
      </c>
      <c r="BK128" s="5" t="s">
        <v>67</v>
      </c>
      <c r="BL128" s="5" t="s">
        <v>67</v>
      </c>
      <c r="BM128" s="5" t="s">
        <v>67</v>
      </c>
      <c r="BN128" s="5" t="s">
        <v>67</v>
      </c>
      <c r="BO128" s="5" t="s">
        <v>67</v>
      </c>
    </row>
    <row r="129" spans="1:67" ht="409.5" x14ac:dyDescent="0.25">
      <c r="A129" s="3">
        <v>1087386639</v>
      </c>
      <c r="B129" s="4">
        <v>42888</v>
      </c>
      <c r="D129" s="3">
        <v>0</v>
      </c>
      <c r="F129" s="3">
        <v>2146189130</v>
      </c>
      <c r="G129" s="3">
        <v>1424</v>
      </c>
      <c r="H129" s="5" t="s">
        <v>1135</v>
      </c>
      <c r="I129" s="3" t="b">
        <v>0</v>
      </c>
      <c r="J129" s="3" t="b">
        <v>0</v>
      </c>
      <c r="K129" s="3" t="b">
        <v>0</v>
      </c>
      <c r="L129" s="3" t="b">
        <v>1</v>
      </c>
      <c r="M129" s="3" t="b">
        <v>0</v>
      </c>
      <c r="N129" s="3" t="b">
        <v>0</v>
      </c>
      <c r="O129" s="3" t="b">
        <v>0</v>
      </c>
      <c r="P129" s="3" t="b">
        <v>1</v>
      </c>
      <c r="Q129" s="3" t="b">
        <v>0</v>
      </c>
      <c r="R129" s="3" t="s">
        <v>1136</v>
      </c>
      <c r="S129" s="5" t="s">
        <v>1137</v>
      </c>
      <c r="T129" s="3" t="b">
        <v>1</v>
      </c>
      <c r="U129" s="3" t="b">
        <v>1</v>
      </c>
      <c r="V129" s="5" t="s">
        <v>1138</v>
      </c>
      <c r="W129" s="5" t="s">
        <v>1139</v>
      </c>
      <c r="X129" s="3" t="b">
        <v>0</v>
      </c>
      <c r="Y129" s="3" t="b">
        <v>0</v>
      </c>
      <c r="Z129" s="3" t="b">
        <v>0</v>
      </c>
      <c r="AA129" s="3" t="b">
        <v>1</v>
      </c>
      <c r="AB129" s="5" t="s">
        <v>1140</v>
      </c>
      <c r="AC129" s="5" t="s">
        <v>1141</v>
      </c>
      <c r="AD129" s="5" t="s">
        <v>67</v>
      </c>
      <c r="AE129" s="5" t="s">
        <v>67</v>
      </c>
      <c r="AF129" s="5" t="s">
        <v>1142</v>
      </c>
      <c r="AG129" s="5" t="s">
        <v>1143</v>
      </c>
      <c r="AH129" s="5" t="s">
        <v>1144</v>
      </c>
      <c r="AI129" s="5" t="s">
        <v>1145</v>
      </c>
      <c r="AJ129" s="5" t="s">
        <v>1146</v>
      </c>
      <c r="AK129" s="5" t="s">
        <v>67</v>
      </c>
      <c r="AL129" s="5" t="s">
        <v>67</v>
      </c>
      <c r="AM129" s="5" t="s">
        <v>1147</v>
      </c>
      <c r="AN129" s="5" t="s">
        <v>1148</v>
      </c>
      <c r="AO129" s="5" t="s">
        <v>67</v>
      </c>
      <c r="AP129" s="5" t="s">
        <v>1149</v>
      </c>
      <c r="AQ129" s="5" t="s">
        <v>67</v>
      </c>
      <c r="AR129" s="5" t="s">
        <v>67</v>
      </c>
      <c r="AW129" s="5" t="s">
        <v>67</v>
      </c>
      <c r="AX129" s="5" t="s">
        <v>67</v>
      </c>
      <c r="AY129" s="5" t="s">
        <v>67</v>
      </c>
      <c r="AZ129" s="5" t="s">
        <v>67</v>
      </c>
      <c r="BA129" s="3">
        <v>2146189786</v>
      </c>
      <c r="BB129" s="3">
        <v>0</v>
      </c>
      <c r="BC129" s="3">
        <v>0</v>
      </c>
      <c r="BD129" s="3">
        <v>2146189005</v>
      </c>
      <c r="BE129" s="3">
        <v>2146189005</v>
      </c>
      <c r="BF129" s="5" t="s">
        <v>1150</v>
      </c>
      <c r="BG129" s="5" t="s">
        <v>1151</v>
      </c>
      <c r="BH129" s="5" t="s">
        <v>1152</v>
      </c>
      <c r="BI129" s="5" t="s">
        <v>74</v>
      </c>
      <c r="BJ129" s="5" t="s">
        <v>1153</v>
      </c>
      <c r="BK129" s="5" t="s">
        <v>1154</v>
      </c>
      <c r="BL129" s="5" t="s">
        <v>1155</v>
      </c>
      <c r="BM129" s="5" t="s">
        <v>1156</v>
      </c>
      <c r="BN129" s="5" t="s">
        <v>1157</v>
      </c>
      <c r="BO129" s="5" t="s">
        <v>1158</v>
      </c>
    </row>
    <row r="130" spans="1:67" ht="390" x14ac:dyDescent="0.25">
      <c r="A130" s="3">
        <v>1087391122</v>
      </c>
      <c r="B130" s="4">
        <v>41093</v>
      </c>
      <c r="C130" s="3">
        <v>1087394735</v>
      </c>
      <c r="D130" s="3">
        <v>1087394735</v>
      </c>
      <c r="E130" s="3">
        <v>0</v>
      </c>
      <c r="F130" s="3">
        <v>1424</v>
      </c>
      <c r="G130" s="3">
        <v>1424</v>
      </c>
      <c r="H130" s="5" t="s">
        <v>1159</v>
      </c>
      <c r="I130" s="3" t="b">
        <v>0</v>
      </c>
      <c r="J130" s="3" t="b">
        <v>1</v>
      </c>
      <c r="K130" s="3" t="b">
        <v>1</v>
      </c>
      <c r="L130" s="3" t="b">
        <v>0</v>
      </c>
      <c r="M130" s="3" t="b">
        <v>0</v>
      </c>
      <c r="N130" s="3" t="b">
        <v>0</v>
      </c>
      <c r="O130" s="3" t="b">
        <v>0</v>
      </c>
      <c r="P130" s="3" t="b">
        <v>1</v>
      </c>
      <c r="Q130" s="3" t="b">
        <v>0</v>
      </c>
      <c r="R130" s="3" t="s">
        <v>1160</v>
      </c>
      <c r="S130" s="5" t="s">
        <v>1161</v>
      </c>
      <c r="T130" s="3" t="b">
        <v>1</v>
      </c>
      <c r="U130" s="3" t="b">
        <v>0</v>
      </c>
      <c r="V130" s="5" t="s">
        <v>81</v>
      </c>
      <c r="W130" s="5" t="s">
        <v>1162</v>
      </c>
      <c r="X130" s="3" t="b">
        <v>0</v>
      </c>
      <c r="Y130" s="3" t="b">
        <v>0</v>
      </c>
      <c r="Z130" s="3" t="b">
        <v>0</v>
      </c>
      <c r="AA130" s="3" t="b">
        <v>1</v>
      </c>
      <c r="AB130" s="5" t="s">
        <v>1163</v>
      </c>
      <c r="AC130" s="5" t="s">
        <v>67</v>
      </c>
      <c r="AD130" s="5" t="s">
        <v>1164</v>
      </c>
      <c r="AE130" s="5" t="s">
        <v>67</v>
      </c>
      <c r="AF130" s="5" t="s">
        <v>1165</v>
      </c>
      <c r="AG130" s="5" t="s">
        <v>1166</v>
      </c>
      <c r="AH130" s="5" t="s">
        <v>1167</v>
      </c>
      <c r="AI130" s="5" t="s">
        <v>67</v>
      </c>
      <c r="AJ130" s="5" t="s">
        <v>1168</v>
      </c>
      <c r="AK130" s="5" t="s">
        <v>67</v>
      </c>
      <c r="AL130" s="5" t="s">
        <v>67</v>
      </c>
      <c r="AM130" s="5" t="s">
        <v>1169</v>
      </c>
      <c r="AN130" s="5" t="s">
        <v>1170</v>
      </c>
      <c r="AO130" s="5" t="s">
        <v>67</v>
      </c>
      <c r="AP130" s="5" t="s">
        <v>1171</v>
      </c>
      <c r="AQ130" s="5" t="s">
        <v>67</v>
      </c>
      <c r="AR130" s="5" t="s">
        <v>67</v>
      </c>
      <c r="AW130" s="5" t="s">
        <v>67</v>
      </c>
      <c r="AX130" s="5" t="s">
        <v>67</v>
      </c>
      <c r="AY130" s="5" t="s">
        <v>67</v>
      </c>
      <c r="AZ130" s="5" t="s">
        <v>67</v>
      </c>
      <c r="BA130" s="3">
        <v>107</v>
      </c>
      <c r="BB130" s="3">
        <v>0</v>
      </c>
      <c r="BC130" s="3">
        <v>0</v>
      </c>
      <c r="BD130" s="3">
        <v>2146188984</v>
      </c>
      <c r="BE130" s="3">
        <v>2146188984</v>
      </c>
      <c r="BF130" s="5" t="s">
        <v>1172</v>
      </c>
      <c r="BG130" s="5" t="s">
        <v>72</v>
      </c>
      <c r="BH130" s="5" t="s">
        <v>73</v>
      </c>
      <c r="BI130" s="5" t="s">
        <v>74</v>
      </c>
      <c r="BJ130" s="5" t="s">
        <v>1173</v>
      </c>
      <c r="BK130" s="5" t="s">
        <v>1174</v>
      </c>
      <c r="BL130" s="5" t="s">
        <v>1175</v>
      </c>
      <c r="BM130" s="5" t="s">
        <v>1176</v>
      </c>
      <c r="BN130" s="5" t="s">
        <v>1177</v>
      </c>
      <c r="BO130" s="5" t="s">
        <v>1178</v>
      </c>
    </row>
    <row r="131" spans="1:67" x14ac:dyDescent="0.25">
      <c r="A131" s="3">
        <v>1088577847</v>
      </c>
      <c r="B131" s="4">
        <v>41089</v>
      </c>
      <c r="H131" s="5" t="s">
        <v>67</v>
      </c>
      <c r="I131" s="3" t="b">
        <v>0</v>
      </c>
      <c r="J131" s="3" t="b">
        <v>0</v>
      </c>
      <c r="K131" s="3" t="b">
        <v>0</v>
      </c>
      <c r="L131" s="3" t="b">
        <v>0</v>
      </c>
      <c r="M131" s="3" t="b">
        <v>0</v>
      </c>
      <c r="N131" s="3" t="b">
        <v>0</v>
      </c>
      <c r="O131" s="3" t="b">
        <v>0</v>
      </c>
      <c r="P131" s="3" t="b">
        <v>0</v>
      </c>
      <c r="Q131" s="3" t="b">
        <v>0</v>
      </c>
      <c r="R131" s="3" t="s">
        <v>67</v>
      </c>
      <c r="S131" s="5" t="s">
        <v>67</v>
      </c>
      <c r="T131" s="3" t="b">
        <v>0</v>
      </c>
      <c r="U131" s="3" t="b">
        <v>0</v>
      </c>
      <c r="V131" s="5" t="s">
        <v>67</v>
      </c>
      <c r="W131" s="5" t="s">
        <v>67</v>
      </c>
      <c r="X131" s="3" t="b">
        <v>0</v>
      </c>
      <c r="Y131" s="3" t="b">
        <v>0</v>
      </c>
      <c r="Z131" s="3" t="b">
        <v>0</v>
      </c>
      <c r="AA131" s="3" t="b">
        <v>0</v>
      </c>
      <c r="AB131" s="5" t="s">
        <v>67</v>
      </c>
      <c r="AC131" s="5" t="s">
        <v>67</v>
      </c>
      <c r="AD131" s="5" t="s">
        <v>67</v>
      </c>
      <c r="AE131" s="5" t="s">
        <v>67</v>
      </c>
      <c r="AF131" s="5" t="s">
        <v>67</v>
      </c>
      <c r="AG131" s="5" t="s">
        <v>67</v>
      </c>
      <c r="AH131" s="5" t="s">
        <v>67</v>
      </c>
      <c r="AI131" s="5" t="s">
        <v>67</v>
      </c>
      <c r="AJ131" s="5" t="s">
        <v>67</v>
      </c>
      <c r="AK131" s="5" t="s">
        <v>67</v>
      </c>
      <c r="AL131" s="5" t="s">
        <v>67</v>
      </c>
      <c r="AM131" s="5" t="s">
        <v>67</v>
      </c>
      <c r="AN131" s="5" t="s">
        <v>67</v>
      </c>
      <c r="AO131" s="5" t="s">
        <v>67</v>
      </c>
      <c r="AP131" s="5" t="s">
        <v>67</v>
      </c>
      <c r="AQ131" s="5" t="s">
        <v>67</v>
      </c>
      <c r="AR131" s="5" t="s">
        <v>67</v>
      </c>
      <c r="AW131" s="5" t="s">
        <v>67</v>
      </c>
      <c r="AX131" s="5" t="s">
        <v>67</v>
      </c>
      <c r="AY131" s="5" t="s">
        <v>67</v>
      </c>
      <c r="AZ131" s="5" t="s">
        <v>67</v>
      </c>
      <c r="BF131" s="5" t="s">
        <v>67</v>
      </c>
      <c r="BG131" s="5" t="s">
        <v>67</v>
      </c>
      <c r="BH131" s="5" t="s">
        <v>67</v>
      </c>
      <c r="BI131" s="5" t="s">
        <v>67</v>
      </c>
      <c r="BJ131" s="5" t="s">
        <v>67</v>
      </c>
      <c r="BK131" s="5" t="s">
        <v>67</v>
      </c>
      <c r="BL131" s="5" t="s">
        <v>67</v>
      </c>
      <c r="BM131" s="5" t="s">
        <v>67</v>
      </c>
      <c r="BN131" s="5" t="s">
        <v>67</v>
      </c>
      <c r="BO131" s="5" t="s">
        <v>67</v>
      </c>
    </row>
    <row r="132" spans="1:67" ht="270" x14ac:dyDescent="0.25">
      <c r="A132" s="3">
        <v>1100016670</v>
      </c>
      <c r="B132" s="4">
        <v>42886</v>
      </c>
      <c r="E132" s="3">
        <v>461</v>
      </c>
      <c r="G132" s="3">
        <v>461</v>
      </c>
      <c r="H132" s="5" t="s">
        <v>67</v>
      </c>
      <c r="I132" s="3" t="b">
        <v>0</v>
      </c>
      <c r="J132" s="3" t="b">
        <v>0</v>
      </c>
      <c r="K132" s="3" t="b">
        <v>0</v>
      </c>
      <c r="L132" s="3" t="b">
        <v>1</v>
      </c>
      <c r="M132" s="3" t="b">
        <v>0</v>
      </c>
      <c r="N132" s="3" t="b">
        <v>1</v>
      </c>
      <c r="O132" s="3" t="b">
        <v>0</v>
      </c>
      <c r="P132" s="3" t="b">
        <v>1</v>
      </c>
      <c r="Q132" s="3" t="b">
        <v>0</v>
      </c>
      <c r="R132" s="3" t="s">
        <v>1179</v>
      </c>
      <c r="S132" s="5" t="s">
        <v>1180</v>
      </c>
      <c r="T132" s="3" t="b">
        <v>0</v>
      </c>
      <c r="U132" s="3" t="b">
        <v>1</v>
      </c>
      <c r="V132" s="5" t="s">
        <v>1181</v>
      </c>
      <c r="W132" s="5" t="s">
        <v>1182</v>
      </c>
      <c r="X132" s="3" t="b">
        <v>0</v>
      </c>
      <c r="Y132" s="3" t="b">
        <v>0</v>
      </c>
      <c r="Z132" s="3" t="b">
        <v>0</v>
      </c>
      <c r="AA132" s="3" t="b">
        <v>0</v>
      </c>
      <c r="AB132" s="5" t="s">
        <v>1183</v>
      </c>
      <c r="AC132" s="5" t="s">
        <v>67</v>
      </c>
      <c r="AD132" s="5" t="s">
        <v>1184</v>
      </c>
      <c r="AE132" s="5" t="s">
        <v>67</v>
      </c>
      <c r="AF132" s="5" t="s">
        <v>1185</v>
      </c>
      <c r="AG132" s="5" t="s">
        <v>67</v>
      </c>
      <c r="AH132" s="5" t="s">
        <v>1186</v>
      </c>
      <c r="AI132" s="5" t="s">
        <v>1187</v>
      </c>
      <c r="AJ132" s="5" t="s">
        <v>67</v>
      </c>
      <c r="AK132" s="5" t="s">
        <v>1188</v>
      </c>
      <c r="AL132" s="5" t="s">
        <v>67</v>
      </c>
      <c r="AM132" s="5" t="s">
        <v>1189</v>
      </c>
      <c r="AN132" s="5" t="s">
        <v>67</v>
      </c>
      <c r="AO132" s="5" t="s">
        <v>67</v>
      </c>
      <c r="AP132" s="5" t="s">
        <v>911</v>
      </c>
      <c r="AQ132" s="5" t="s">
        <v>67</v>
      </c>
      <c r="AR132" s="5" t="s">
        <v>67</v>
      </c>
      <c r="AS132" s="3">
        <v>2146189417</v>
      </c>
      <c r="AW132" s="5" t="s">
        <v>67</v>
      </c>
      <c r="AX132" s="5" t="s">
        <v>67</v>
      </c>
      <c r="AY132" s="5" t="s">
        <v>67</v>
      </c>
      <c r="AZ132" s="5" t="s">
        <v>67</v>
      </c>
      <c r="BA132" s="3">
        <v>107</v>
      </c>
      <c r="BD132" s="3">
        <v>2146188974</v>
      </c>
      <c r="BE132" s="3">
        <v>2146188974</v>
      </c>
      <c r="BF132" s="5" t="s">
        <v>1190</v>
      </c>
      <c r="BG132" s="5" t="s">
        <v>97</v>
      </c>
      <c r="BH132" s="5" t="s">
        <v>1191</v>
      </c>
      <c r="BI132" s="5" t="s">
        <v>74</v>
      </c>
      <c r="BJ132" s="5" t="s">
        <v>1192</v>
      </c>
      <c r="BK132" s="5" t="s">
        <v>1193</v>
      </c>
      <c r="BL132" s="5" t="s">
        <v>1194</v>
      </c>
      <c r="BM132" s="5" t="s">
        <v>67</v>
      </c>
      <c r="BN132" s="5" t="s">
        <v>213</v>
      </c>
      <c r="BO132" s="5" t="s">
        <v>67</v>
      </c>
    </row>
    <row r="133" spans="1:67" ht="409.5" x14ac:dyDescent="0.25">
      <c r="A133" s="3">
        <v>1100158231</v>
      </c>
      <c r="B133" s="4">
        <v>42859</v>
      </c>
      <c r="C133" s="3">
        <v>1194363996</v>
      </c>
      <c r="F133" s="3">
        <v>2677</v>
      </c>
      <c r="H133" s="5" t="s">
        <v>1195</v>
      </c>
      <c r="I133" s="3" t="b">
        <v>0</v>
      </c>
      <c r="J133" s="3" t="b">
        <v>0</v>
      </c>
      <c r="K133" s="3" t="b">
        <v>0</v>
      </c>
      <c r="L133" s="3" t="b">
        <v>1</v>
      </c>
      <c r="M133" s="3" t="b">
        <v>1</v>
      </c>
      <c r="N133" s="3" t="b">
        <v>1</v>
      </c>
      <c r="O133" s="3" t="b">
        <v>0</v>
      </c>
      <c r="P133" s="3" t="b">
        <v>0</v>
      </c>
      <c r="Q133" s="3" t="b">
        <v>0</v>
      </c>
      <c r="R133" s="3" t="s">
        <v>1196</v>
      </c>
      <c r="S133" s="5" t="s">
        <v>1197</v>
      </c>
      <c r="T133" s="3" t="b">
        <v>1</v>
      </c>
      <c r="U133" s="3" t="b">
        <v>1</v>
      </c>
      <c r="V133" s="5" t="s">
        <v>1198</v>
      </c>
      <c r="W133" s="5" t="s">
        <v>1199</v>
      </c>
      <c r="X133" s="3" t="b">
        <v>0</v>
      </c>
      <c r="Y133" s="3" t="b">
        <v>0</v>
      </c>
      <c r="Z133" s="3" t="b">
        <v>0</v>
      </c>
      <c r="AA133" s="3" t="b">
        <v>0</v>
      </c>
      <c r="AB133" s="5" t="s">
        <v>1200</v>
      </c>
      <c r="AC133" s="5" t="s">
        <v>1201</v>
      </c>
      <c r="AD133" s="5" t="s">
        <v>1202</v>
      </c>
      <c r="AE133" s="5" t="s">
        <v>67</v>
      </c>
      <c r="AF133" s="5" t="s">
        <v>1203</v>
      </c>
      <c r="AG133" s="5" t="s">
        <v>1204</v>
      </c>
      <c r="AH133" s="5" t="s">
        <v>1205</v>
      </c>
      <c r="AI133" s="5" t="s">
        <v>67</v>
      </c>
      <c r="AJ133" s="5" t="s">
        <v>67</v>
      </c>
      <c r="AK133" s="5" t="s">
        <v>1206</v>
      </c>
      <c r="AL133" s="5" t="s">
        <v>1207</v>
      </c>
      <c r="AM133" s="5" t="s">
        <v>1208</v>
      </c>
      <c r="AN133" s="5" t="s">
        <v>1209</v>
      </c>
      <c r="AO133" s="5" t="s">
        <v>67</v>
      </c>
      <c r="AP133" s="5" t="s">
        <v>1210</v>
      </c>
      <c r="AQ133" s="5" t="s">
        <v>67</v>
      </c>
      <c r="AR133" s="5" t="s">
        <v>67</v>
      </c>
      <c r="AW133" s="5" t="s">
        <v>67</v>
      </c>
      <c r="AX133" s="5" t="s">
        <v>67</v>
      </c>
      <c r="AY133" s="5" t="s">
        <v>67</v>
      </c>
      <c r="AZ133" s="5" t="s">
        <v>67</v>
      </c>
      <c r="BA133" s="3">
        <v>2146189012</v>
      </c>
      <c r="BD133" s="3">
        <v>2146189011</v>
      </c>
      <c r="BE133" s="3">
        <v>2146188982</v>
      </c>
      <c r="BF133" s="5" t="s">
        <v>1211</v>
      </c>
      <c r="BG133" s="5" t="s">
        <v>97</v>
      </c>
      <c r="BH133" s="5" t="s">
        <v>1212</v>
      </c>
      <c r="BI133" s="5" t="s">
        <v>210</v>
      </c>
      <c r="BJ133" s="5" t="s">
        <v>176</v>
      </c>
      <c r="BK133" s="5" t="s">
        <v>1213</v>
      </c>
      <c r="BL133" s="5" t="s">
        <v>1214</v>
      </c>
      <c r="BM133" s="5" t="s">
        <v>67</v>
      </c>
      <c r="BN133" s="5" t="s">
        <v>1215</v>
      </c>
      <c r="BO133" s="5" t="s">
        <v>67</v>
      </c>
    </row>
    <row r="134" spans="1:67" x14ac:dyDescent="0.25">
      <c r="A134" s="3">
        <v>1106056329</v>
      </c>
      <c r="B134" s="4">
        <v>42426</v>
      </c>
      <c r="H134" s="5" t="s">
        <v>67</v>
      </c>
      <c r="I134" s="3" t="b">
        <v>0</v>
      </c>
      <c r="J134" s="3" t="b">
        <v>0</v>
      </c>
      <c r="K134" s="3" t="b">
        <v>0</v>
      </c>
      <c r="L134" s="3" t="b">
        <v>0</v>
      </c>
      <c r="M134" s="3" t="b">
        <v>0</v>
      </c>
      <c r="N134" s="3" t="b">
        <v>0</v>
      </c>
      <c r="O134" s="3" t="b">
        <v>0</v>
      </c>
      <c r="P134" s="3" t="b">
        <v>0</v>
      </c>
      <c r="Q134" s="3" t="b">
        <v>0</v>
      </c>
      <c r="R134" s="3" t="s">
        <v>67</v>
      </c>
      <c r="S134" s="5" t="s">
        <v>67</v>
      </c>
      <c r="T134" s="3" t="b">
        <v>0</v>
      </c>
      <c r="U134" s="3" t="b">
        <v>0</v>
      </c>
      <c r="V134" s="5" t="s">
        <v>67</v>
      </c>
      <c r="W134" s="5" t="s">
        <v>67</v>
      </c>
      <c r="X134" s="3" t="b">
        <v>0</v>
      </c>
      <c r="Y134" s="3" t="b">
        <v>0</v>
      </c>
      <c r="Z134" s="3" t="b">
        <v>0</v>
      </c>
      <c r="AA134" s="3" t="b">
        <v>0</v>
      </c>
      <c r="AB134" s="5" t="s">
        <v>67</v>
      </c>
      <c r="AC134" s="5" t="s">
        <v>67</v>
      </c>
      <c r="AD134" s="5" t="s">
        <v>67</v>
      </c>
      <c r="AE134" s="5" t="s">
        <v>67</v>
      </c>
      <c r="AF134" s="5" t="s">
        <v>67</v>
      </c>
      <c r="AG134" s="5" t="s">
        <v>67</v>
      </c>
      <c r="AH134" s="5" t="s">
        <v>67</v>
      </c>
      <c r="AI134" s="5" t="s">
        <v>67</v>
      </c>
      <c r="AJ134" s="5" t="s">
        <v>67</v>
      </c>
      <c r="AK134" s="5" t="s">
        <v>67</v>
      </c>
      <c r="AL134" s="5" t="s">
        <v>67</v>
      </c>
      <c r="AM134" s="5" t="s">
        <v>67</v>
      </c>
      <c r="AN134" s="5" t="s">
        <v>67</v>
      </c>
      <c r="AO134" s="5" t="s">
        <v>67</v>
      </c>
      <c r="AP134" s="5" t="s">
        <v>67</v>
      </c>
      <c r="AQ134" s="5" t="s">
        <v>67</v>
      </c>
      <c r="AR134" s="5" t="s">
        <v>67</v>
      </c>
      <c r="AW134" s="5" t="s">
        <v>67</v>
      </c>
      <c r="AX134" s="5" t="s">
        <v>67</v>
      </c>
      <c r="AY134" s="5" t="s">
        <v>67</v>
      </c>
      <c r="AZ134" s="5" t="s">
        <v>67</v>
      </c>
      <c r="BF134" s="5" t="s">
        <v>67</v>
      </c>
      <c r="BG134" s="5" t="s">
        <v>67</v>
      </c>
      <c r="BH134" s="5" t="s">
        <v>67</v>
      </c>
      <c r="BI134" s="5" t="s">
        <v>67</v>
      </c>
      <c r="BJ134" s="5" t="s">
        <v>67</v>
      </c>
      <c r="BK134" s="5" t="s">
        <v>67</v>
      </c>
      <c r="BL134" s="5" t="s">
        <v>67</v>
      </c>
      <c r="BM134" s="5" t="s">
        <v>67</v>
      </c>
      <c r="BN134" s="5" t="s">
        <v>67</v>
      </c>
      <c r="BO134" s="5" t="s">
        <v>67</v>
      </c>
    </row>
    <row r="135" spans="1:67" ht="315" x14ac:dyDescent="0.25">
      <c r="A135" s="3">
        <v>1115645303</v>
      </c>
      <c r="B135" s="4">
        <v>42955</v>
      </c>
      <c r="E135" s="3">
        <v>1117457943</v>
      </c>
      <c r="F135" s="3">
        <v>1424</v>
      </c>
      <c r="G135" s="3">
        <v>2146189128</v>
      </c>
      <c r="H135" s="5" t="s">
        <v>1216</v>
      </c>
      <c r="I135" s="3" t="b">
        <v>0</v>
      </c>
      <c r="J135" s="3" t="b">
        <v>1</v>
      </c>
      <c r="K135" s="3" t="b">
        <v>0</v>
      </c>
      <c r="L135" s="3" t="b">
        <v>1</v>
      </c>
      <c r="M135" s="3" t="b">
        <v>0</v>
      </c>
      <c r="N135" s="3" t="b">
        <v>1</v>
      </c>
      <c r="O135" s="3" t="b">
        <v>0</v>
      </c>
      <c r="P135" s="3" t="b">
        <v>1</v>
      </c>
      <c r="Q135" s="3" t="b">
        <v>0</v>
      </c>
      <c r="R135" s="3" t="s">
        <v>1217</v>
      </c>
      <c r="S135" s="5" t="s">
        <v>81</v>
      </c>
      <c r="T135" s="3" t="b">
        <v>1</v>
      </c>
      <c r="U135" s="3" t="b">
        <v>1</v>
      </c>
      <c r="V135" s="5" t="s">
        <v>1218</v>
      </c>
      <c r="W135" s="5" t="s">
        <v>1219</v>
      </c>
      <c r="X135" s="3" t="b">
        <v>0</v>
      </c>
      <c r="Y135" s="3" t="b">
        <v>0</v>
      </c>
      <c r="Z135" s="3" t="b">
        <v>1</v>
      </c>
      <c r="AA135" s="3" t="b">
        <v>1</v>
      </c>
      <c r="AB135" s="5" t="s">
        <v>1220</v>
      </c>
      <c r="AC135" s="5" t="s">
        <v>67</v>
      </c>
      <c r="AD135" s="5" t="s">
        <v>1221</v>
      </c>
      <c r="AE135" s="5" t="s">
        <v>67</v>
      </c>
      <c r="AF135" s="5" t="s">
        <v>1222</v>
      </c>
      <c r="AG135" s="5" t="s">
        <v>1223</v>
      </c>
      <c r="AH135" s="5" t="s">
        <v>1224</v>
      </c>
      <c r="AI135" s="5" t="s">
        <v>1225</v>
      </c>
      <c r="AJ135" s="5" t="s">
        <v>1226</v>
      </c>
      <c r="AK135" s="5" t="s">
        <v>1227</v>
      </c>
      <c r="AL135" s="5" t="s">
        <v>1228</v>
      </c>
      <c r="AM135" s="5" t="s">
        <v>1229</v>
      </c>
      <c r="AN135" s="5" t="s">
        <v>1230</v>
      </c>
      <c r="AO135" s="5" t="s">
        <v>67</v>
      </c>
      <c r="AP135" s="5" t="s">
        <v>67</v>
      </c>
      <c r="AQ135" s="5" t="s">
        <v>67</v>
      </c>
      <c r="AR135" s="5" t="s">
        <v>67</v>
      </c>
      <c r="AW135" s="5" t="s">
        <v>67</v>
      </c>
      <c r="AX135" s="5" t="s">
        <v>67</v>
      </c>
      <c r="AY135" s="5" t="s">
        <v>67</v>
      </c>
      <c r="AZ135" s="5" t="s">
        <v>67</v>
      </c>
      <c r="BA135" s="3">
        <v>2146189787</v>
      </c>
      <c r="BD135" s="3">
        <v>2146188991</v>
      </c>
      <c r="BF135" s="5" t="s">
        <v>1231</v>
      </c>
      <c r="BG135" s="5" t="s">
        <v>97</v>
      </c>
      <c r="BH135" s="5" t="s">
        <v>1232</v>
      </c>
      <c r="BI135" s="5" t="s">
        <v>74</v>
      </c>
      <c r="BJ135" s="5" t="s">
        <v>67</v>
      </c>
      <c r="BK135" s="5" t="s">
        <v>1233</v>
      </c>
      <c r="BL135" s="5" t="s">
        <v>1234</v>
      </c>
      <c r="BM135" s="5" t="s">
        <v>67</v>
      </c>
      <c r="BN135" s="5" t="s">
        <v>1235</v>
      </c>
      <c r="BO135" s="5" t="s">
        <v>1236</v>
      </c>
    </row>
    <row r="136" spans="1:67" ht="409.5" x14ac:dyDescent="0.25">
      <c r="A136" s="3">
        <v>1116339152</v>
      </c>
      <c r="B136" s="4">
        <v>42852</v>
      </c>
      <c r="C136" s="3">
        <v>1298966339</v>
      </c>
      <c r="D136" s="3">
        <v>173</v>
      </c>
      <c r="E136" s="3">
        <v>1298966339</v>
      </c>
      <c r="G136" s="3">
        <v>2146189128</v>
      </c>
      <c r="H136" s="5" t="s">
        <v>67</v>
      </c>
      <c r="I136" s="3" t="b">
        <v>0</v>
      </c>
      <c r="J136" s="3" t="b">
        <v>1</v>
      </c>
      <c r="K136" s="3" t="b">
        <v>0</v>
      </c>
      <c r="L136" s="3" t="b">
        <v>1</v>
      </c>
      <c r="M136" s="3" t="b">
        <v>0</v>
      </c>
      <c r="N136" s="3" t="b">
        <v>0</v>
      </c>
      <c r="O136" s="3" t="b">
        <v>0</v>
      </c>
      <c r="P136" s="3" t="b">
        <v>1</v>
      </c>
      <c r="Q136" s="3" t="b">
        <v>0</v>
      </c>
      <c r="R136" s="3" t="s">
        <v>1237</v>
      </c>
      <c r="S136" s="5" t="s">
        <v>576</v>
      </c>
      <c r="T136" s="3" t="b">
        <v>1</v>
      </c>
      <c r="U136" s="3" t="b">
        <v>0</v>
      </c>
      <c r="V136" s="5" t="s">
        <v>81</v>
      </c>
      <c r="W136" s="5" t="s">
        <v>1238</v>
      </c>
      <c r="X136" s="3" t="b">
        <v>0</v>
      </c>
      <c r="Y136" s="3" t="b">
        <v>0</v>
      </c>
      <c r="Z136" s="3" t="b">
        <v>0</v>
      </c>
      <c r="AA136" s="3" t="b">
        <v>0</v>
      </c>
      <c r="AB136" s="5" t="s">
        <v>1239</v>
      </c>
      <c r="AC136" s="5" t="s">
        <v>1240</v>
      </c>
      <c r="AD136" s="5" t="s">
        <v>67</v>
      </c>
      <c r="AE136" s="5" t="s">
        <v>67</v>
      </c>
      <c r="AF136" s="5" t="s">
        <v>1241</v>
      </c>
      <c r="AG136" s="5" t="s">
        <v>581</v>
      </c>
      <c r="AH136" s="5" t="s">
        <v>1242</v>
      </c>
      <c r="AI136" s="5" t="s">
        <v>1243</v>
      </c>
      <c r="AJ136" s="5" t="s">
        <v>67</v>
      </c>
      <c r="AK136" s="5" t="s">
        <v>1244</v>
      </c>
      <c r="AL136" s="5" t="s">
        <v>67</v>
      </c>
      <c r="AM136" s="5" t="s">
        <v>1245</v>
      </c>
      <c r="AN136" s="5" t="s">
        <v>67</v>
      </c>
      <c r="AO136" s="5" t="s">
        <v>67</v>
      </c>
      <c r="AP136" s="5" t="s">
        <v>67</v>
      </c>
      <c r="AQ136" s="5" t="s">
        <v>67</v>
      </c>
      <c r="AR136" s="5" t="s">
        <v>67</v>
      </c>
      <c r="AW136" s="5" t="s">
        <v>67</v>
      </c>
      <c r="AX136" s="5" t="s">
        <v>67</v>
      </c>
      <c r="AY136" s="5" t="s">
        <v>67</v>
      </c>
      <c r="AZ136" s="5" t="s">
        <v>67</v>
      </c>
      <c r="BD136" s="3">
        <v>2146189010</v>
      </c>
      <c r="BE136" s="3">
        <v>2146189010</v>
      </c>
      <c r="BF136" s="5" t="s">
        <v>587</v>
      </c>
      <c r="BG136" s="5" t="s">
        <v>67</v>
      </c>
      <c r="BH136" s="5" t="s">
        <v>67</v>
      </c>
      <c r="BI136" s="5" t="s">
        <v>67</v>
      </c>
      <c r="BJ136" s="5" t="s">
        <v>67</v>
      </c>
      <c r="BK136" s="5" t="s">
        <v>67</v>
      </c>
      <c r="BL136" s="5" t="s">
        <v>592</v>
      </c>
      <c r="BM136" s="5" t="s">
        <v>1246</v>
      </c>
      <c r="BN136" s="5" t="s">
        <v>1247</v>
      </c>
      <c r="BO136" s="5" t="s">
        <v>1248</v>
      </c>
    </row>
    <row r="137" spans="1:67" x14ac:dyDescent="0.25">
      <c r="A137" s="3">
        <v>1119442659</v>
      </c>
      <c r="B137" s="4">
        <v>41073</v>
      </c>
      <c r="H137" s="5" t="s">
        <v>67</v>
      </c>
      <c r="I137" s="3" t="b">
        <v>0</v>
      </c>
      <c r="J137" s="3" t="b">
        <v>0</v>
      </c>
      <c r="K137" s="3" t="b">
        <v>0</v>
      </c>
      <c r="L137" s="3" t="b">
        <v>0</v>
      </c>
      <c r="M137" s="3" t="b">
        <v>0</v>
      </c>
      <c r="N137" s="3" t="b">
        <v>0</v>
      </c>
      <c r="O137" s="3" t="b">
        <v>0</v>
      </c>
      <c r="P137" s="3" t="b">
        <v>0</v>
      </c>
      <c r="Q137" s="3" t="b">
        <v>0</v>
      </c>
      <c r="R137" s="3" t="s">
        <v>67</v>
      </c>
      <c r="S137" s="5" t="s">
        <v>67</v>
      </c>
      <c r="T137" s="3" t="b">
        <v>0</v>
      </c>
      <c r="U137" s="3" t="b">
        <v>0</v>
      </c>
      <c r="V137" s="5" t="s">
        <v>67</v>
      </c>
      <c r="W137" s="5" t="s">
        <v>67</v>
      </c>
      <c r="X137" s="3" t="b">
        <v>0</v>
      </c>
      <c r="Y137" s="3" t="b">
        <v>0</v>
      </c>
      <c r="Z137" s="3" t="b">
        <v>0</v>
      </c>
      <c r="AA137" s="3" t="b">
        <v>0</v>
      </c>
      <c r="AB137" s="5" t="s">
        <v>67</v>
      </c>
      <c r="AC137" s="5" t="s">
        <v>67</v>
      </c>
      <c r="AD137" s="5" t="s">
        <v>67</v>
      </c>
      <c r="AE137" s="5" t="s">
        <v>67</v>
      </c>
      <c r="AF137" s="5" t="s">
        <v>67</v>
      </c>
      <c r="AG137" s="5" t="s">
        <v>67</v>
      </c>
      <c r="AH137" s="5" t="s">
        <v>67</v>
      </c>
      <c r="AI137" s="5" t="s">
        <v>67</v>
      </c>
      <c r="AJ137" s="5" t="s">
        <v>67</v>
      </c>
      <c r="AK137" s="5" t="s">
        <v>67</v>
      </c>
      <c r="AL137" s="5" t="s">
        <v>67</v>
      </c>
      <c r="AM137" s="5" t="s">
        <v>67</v>
      </c>
      <c r="AN137" s="5" t="s">
        <v>67</v>
      </c>
      <c r="AO137" s="5" t="s">
        <v>67</v>
      </c>
      <c r="AP137" s="5" t="s">
        <v>67</v>
      </c>
      <c r="AQ137" s="5" t="s">
        <v>67</v>
      </c>
      <c r="AR137" s="5" t="s">
        <v>67</v>
      </c>
      <c r="AW137" s="5" t="s">
        <v>67</v>
      </c>
      <c r="AX137" s="5" t="s">
        <v>67</v>
      </c>
      <c r="AY137" s="5" t="s">
        <v>67</v>
      </c>
      <c r="AZ137" s="5" t="s">
        <v>67</v>
      </c>
      <c r="BF137" s="5" t="s">
        <v>67</v>
      </c>
      <c r="BG137" s="5" t="s">
        <v>67</v>
      </c>
      <c r="BH137" s="5" t="s">
        <v>67</v>
      </c>
      <c r="BI137" s="5" t="s">
        <v>67</v>
      </c>
      <c r="BJ137" s="5" t="s">
        <v>67</v>
      </c>
      <c r="BK137" s="5" t="s">
        <v>67</v>
      </c>
      <c r="BL137" s="5" t="s">
        <v>67</v>
      </c>
      <c r="BM137" s="5" t="s">
        <v>67</v>
      </c>
      <c r="BN137" s="5" t="s">
        <v>67</v>
      </c>
      <c r="BO137" s="5" t="s">
        <v>67</v>
      </c>
    </row>
    <row r="138" spans="1:67" ht="409.5" x14ac:dyDescent="0.25">
      <c r="A138" s="3">
        <v>1119443187</v>
      </c>
      <c r="B138" s="4">
        <v>41766</v>
      </c>
      <c r="C138" s="3">
        <v>-367246467</v>
      </c>
      <c r="F138" s="3">
        <v>1424</v>
      </c>
      <c r="G138" s="3">
        <v>1424</v>
      </c>
      <c r="H138" s="5" t="s">
        <v>1249</v>
      </c>
      <c r="I138" s="3" t="b">
        <v>0</v>
      </c>
      <c r="J138" s="3" t="b">
        <v>0</v>
      </c>
      <c r="K138" s="3" t="b">
        <v>0</v>
      </c>
      <c r="L138" s="3" t="b">
        <v>1</v>
      </c>
      <c r="M138" s="3" t="b">
        <v>0</v>
      </c>
      <c r="N138" s="3" t="b">
        <v>1</v>
      </c>
      <c r="O138" s="3" t="b">
        <v>0</v>
      </c>
      <c r="P138" s="3" t="b">
        <v>1</v>
      </c>
      <c r="Q138" s="3" t="b">
        <v>0</v>
      </c>
      <c r="R138" s="3" t="s">
        <v>1250</v>
      </c>
      <c r="S138" s="5" t="s">
        <v>1251</v>
      </c>
      <c r="T138" s="3" t="b">
        <v>0</v>
      </c>
      <c r="U138" s="3" t="b">
        <v>0</v>
      </c>
      <c r="V138" s="5" t="s">
        <v>1252</v>
      </c>
      <c r="W138" s="5" t="s">
        <v>1253</v>
      </c>
      <c r="X138" s="3" t="b">
        <v>0</v>
      </c>
      <c r="Y138" s="3" t="b">
        <v>1</v>
      </c>
      <c r="Z138" s="3" t="b">
        <v>1</v>
      </c>
      <c r="AA138" s="3" t="b">
        <v>1</v>
      </c>
      <c r="AB138" s="5" t="s">
        <v>1254</v>
      </c>
      <c r="AC138" s="5" t="s">
        <v>67</v>
      </c>
      <c r="AD138" s="5" t="s">
        <v>955</v>
      </c>
      <c r="AE138" s="5" t="s">
        <v>67</v>
      </c>
      <c r="AF138" s="5" t="s">
        <v>1255</v>
      </c>
      <c r="AG138" s="5" t="s">
        <v>1256</v>
      </c>
      <c r="AH138" s="5" t="s">
        <v>1257</v>
      </c>
      <c r="AI138" s="5" t="s">
        <v>67</v>
      </c>
      <c r="AJ138" s="5" t="s">
        <v>67</v>
      </c>
      <c r="AK138" s="5" t="s">
        <v>67</v>
      </c>
      <c r="AL138" s="5" t="s">
        <v>67</v>
      </c>
      <c r="AM138" s="5" t="s">
        <v>1258</v>
      </c>
      <c r="AN138" s="5" t="s">
        <v>67</v>
      </c>
      <c r="AO138" s="5" t="s">
        <v>67</v>
      </c>
      <c r="AP138" s="5" t="s">
        <v>1259</v>
      </c>
      <c r="AQ138" s="5" t="s">
        <v>67</v>
      </c>
      <c r="AR138" s="5" t="s">
        <v>67</v>
      </c>
      <c r="AW138" s="5" t="s">
        <v>67</v>
      </c>
      <c r="AX138" s="5" t="s">
        <v>67</v>
      </c>
      <c r="AY138" s="5" t="s">
        <v>67</v>
      </c>
      <c r="AZ138" s="5" t="s">
        <v>67</v>
      </c>
      <c r="BA138" s="3">
        <v>107</v>
      </c>
      <c r="BF138" s="5" t="s">
        <v>67</v>
      </c>
      <c r="BG138" s="5" t="s">
        <v>963</v>
      </c>
      <c r="BH138" s="5" t="s">
        <v>1260</v>
      </c>
      <c r="BI138" s="5" t="s">
        <v>74</v>
      </c>
      <c r="BJ138" s="5" t="s">
        <v>1261</v>
      </c>
      <c r="BK138" s="5" t="s">
        <v>1262</v>
      </c>
      <c r="BL138" s="5" t="s">
        <v>1263</v>
      </c>
      <c r="BM138" s="5" t="s">
        <v>67</v>
      </c>
      <c r="BN138" s="5" t="s">
        <v>515</v>
      </c>
      <c r="BO138" s="5" t="s">
        <v>67</v>
      </c>
    </row>
    <row r="139" spans="1:67" ht="390" x14ac:dyDescent="0.25">
      <c r="A139" s="3">
        <v>1119448530</v>
      </c>
      <c r="B139" s="4">
        <v>43055</v>
      </c>
      <c r="C139" s="3">
        <v>1007640806</v>
      </c>
      <c r="G139" s="3">
        <v>1007640806</v>
      </c>
      <c r="H139" s="5" t="s">
        <v>67</v>
      </c>
      <c r="I139" s="3" t="b">
        <v>0</v>
      </c>
      <c r="J139" s="3" t="b">
        <v>1</v>
      </c>
      <c r="K139" s="3" t="b">
        <v>0</v>
      </c>
      <c r="L139" s="3" t="b">
        <v>0</v>
      </c>
      <c r="M139" s="3" t="b">
        <v>0</v>
      </c>
      <c r="N139" s="3" t="b">
        <v>1</v>
      </c>
      <c r="O139" s="3" t="b">
        <v>0</v>
      </c>
      <c r="P139" s="3" t="b">
        <v>1</v>
      </c>
      <c r="Q139" s="3" t="b">
        <v>0</v>
      </c>
      <c r="R139" s="3" t="s">
        <v>1264</v>
      </c>
      <c r="S139" s="5" t="s">
        <v>122</v>
      </c>
      <c r="T139" s="3" t="b">
        <v>0</v>
      </c>
      <c r="U139" s="3" t="b">
        <v>1</v>
      </c>
      <c r="V139" s="5" t="s">
        <v>1265</v>
      </c>
      <c r="W139" s="5" t="s">
        <v>1266</v>
      </c>
      <c r="X139" s="3" t="b">
        <v>0</v>
      </c>
      <c r="Y139" s="3" t="b">
        <v>0</v>
      </c>
      <c r="Z139" s="3" t="b">
        <v>0</v>
      </c>
      <c r="AA139" s="3" t="b">
        <v>0</v>
      </c>
      <c r="AB139" s="5" t="s">
        <v>123</v>
      </c>
      <c r="AC139" s="5" t="s">
        <v>1267</v>
      </c>
      <c r="AD139" s="5" t="s">
        <v>1268</v>
      </c>
      <c r="AE139" s="5" t="s">
        <v>67</v>
      </c>
      <c r="AF139" s="5" t="s">
        <v>1269</v>
      </c>
      <c r="AG139" s="5" t="s">
        <v>67</v>
      </c>
      <c r="AH139" s="5" t="s">
        <v>3262</v>
      </c>
      <c r="AI139" s="5" t="s">
        <v>67</v>
      </c>
      <c r="AJ139" s="5" t="s">
        <v>1270</v>
      </c>
      <c r="AK139" s="5" t="s">
        <v>1271</v>
      </c>
      <c r="AL139" s="5" t="s">
        <v>1272</v>
      </c>
      <c r="AM139" s="5" t="s">
        <v>1273</v>
      </c>
      <c r="AN139" s="5" t="s">
        <v>1274</v>
      </c>
      <c r="AO139" s="5" t="s">
        <v>67</v>
      </c>
      <c r="AP139" s="5" t="s">
        <v>911</v>
      </c>
      <c r="AQ139" s="5" t="s">
        <v>67</v>
      </c>
      <c r="AR139" s="5" t="s">
        <v>67</v>
      </c>
      <c r="AS139" s="3">
        <v>1231232923</v>
      </c>
      <c r="AT139" s="3">
        <v>2146189576</v>
      </c>
      <c r="AW139" s="5" t="s">
        <v>67</v>
      </c>
      <c r="AX139" s="5" t="s">
        <v>67</v>
      </c>
      <c r="AY139" s="5" t="s">
        <v>67</v>
      </c>
      <c r="AZ139" s="5" t="s">
        <v>67</v>
      </c>
      <c r="BB139" s="3">
        <v>107</v>
      </c>
      <c r="BD139" s="3">
        <v>2146189444</v>
      </c>
      <c r="BE139" s="3">
        <v>2146189444</v>
      </c>
      <c r="BF139" s="5" t="s">
        <v>1275</v>
      </c>
      <c r="BG139" s="5" t="s">
        <v>125</v>
      </c>
      <c r="BH139" s="5" t="s">
        <v>126</v>
      </c>
      <c r="BI139" s="5" t="s">
        <v>74</v>
      </c>
      <c r="BJ139" s="5" t="s">
        <v>1276</v>
      </c>
      <c r="BK139" s="5" t="s">
        <v>1277</v>
      </c>
      <c r="BL139" s="5" t="s">
        <v>1278</v>
      </c>
      <c r="BM139" s="5" t="s">
        <v>67</v>
      </c>
      <c r="BN139" s="5" t="s">
        <v>1279</v>
      </c>
      <c r="BO139" s="5" t="s">
        <v>67</v>
      </c>
    </row>
    <row r="140" spans="1:67" x14ac:dyDescent="0.25">
      <c r="A140" s="3">
        <v>1125316835</v>
      </c>
      <c r="B140" s="4">
        <v>42503</v>
      </c>
      <c r="H140" s="5" t="s">
        <v>67</v>
      </c>
      <c r="I140" s="3" t="b">
        <v>0</v>
      </c>
      <c r="J140" s="3" t="b">
        <v>0</v>
      </c>
      <c r="K140" s="3" t="b">
        <v>0</v>
      </c>
      <c r="L140" s="3" t="b">
        <v>0</v>
      </c>
      <c r="M140" s="3" t="b">
        <v>0</v>
      </c>
      <c r="N140" s="3" t="b">
        <v>0</v>
      </c>
      <c r="O140" s="3" t="b">
        <v>0</v>
      </c>
      <c r="P140" s="3" t="b">
        <v>0</v>
      </c>
      <c r="Q140" s="3" t="b">
        <v>0</v>
      </c>
      <c r="R140" s="3" t="s">
        <v>67</v>
      </c>
      <c r="S140" s="5" t="s">
        <v>67</v>
      </c>
      <c r="T140" s="3" t="b">
        <v>0</v>
      </c>
      <c r="U140" s="3" t="b">
        <v>0</v>
      </c>
      <c r="V140" s="5" t="s">
        <v>67</v>
      </c>
      <c r="W140" s="5" t="s">
        <v>67</v>
      </c>
      <c r="X140" s="3" t="b">
        <v>0</v>
      </c>
      <c r="Y140" s="3" t="b">
        <v>0</v>
      </c>
      <c r="Z140" s="3" t="b">
        <v>0</v>
      </c>
      <c r="AA140" s="3" t="b">
        <v>0</v>
      </c>
      <c r="AB140" s="5" t="s">
        <v>67</v>
      </c>
      <c r="AC140" s="5" t="s">
        <v>67</v>
      </c>
      <c r="AD140" s="5" t="s">
        <v>67</v>
      </c>
      <c r="AE140" s="5" t="s">
        <v>67</v>
      </c>
      <c r="AF140" s="5" t="s">
        <v>67</v>
      </c>
      <c r="AG140" s="5" t="s">
        <v>67</v>
      </c>
      <c r="AH140" s="5" t="s">
        <v>67</v>
      </c>
      <c r="AI140" s="5" t="s">
        <v>67</v>
      </c>
      <c r="AJ140" s="5" t="s">
        <v>67</v>
      </c>
      <c r="AK140" s="5" t="s">
        <v>67</v>
      </c>
      <c r="AL140" s="5" t="s">
        <v>67</v>
      </c>
      <c r="AM140" s="5" t="s">
        <v>67</v>
      </c>
      <c r="AN140" s="5" t="s">
        <v>67</v>
      </c>
      <c r="AO140" s="5" t="s">
        <v>67</v>
      </c>
      <c r="AP140" s="5" t="s">
        <v>67</v>
      </c>
      <c r="AQ140" s="5" t="s">
        <v>67</v>
      </c>
      <c r="AR140" s="5" t="s">
        <v>67</v>
      </c>
      <c r="AS140" s="3">
        <v>1823686857</v>
      </c>
      <c r="AW140" s="5" t="s">
        <v>67</v>
      </c>
      <c r="AX140" s="5" t="s">
        <v>67</v>
      </c>
      <c r="AY140" s="5" t="s">
        <v>67</v>
      </c>
      <c r="AZ140" s="5" t="s">
        <v>67</v>
      </c>
      <c r="BF140" s="5" t="s">
        <v>67</v>
      </c>
      <c r="BG140" s="5" t="s">
        <v>67</v>
      </c>
      <c r="BH140" s="5" t="s">
        <v>67</v>
      </c>
      <c r="BI140" s="5" t="s">
        <v>67</v>
      </c>
      <c r="BJ140" s="5" t="s">
        <v>67</v>
      </c>
      <c r="BK140" s="5" t="s">
        <v>67</v>
      </c>
      <c r="BL140" s="5" t="s">
        <v>67</v>
      </c>
      <c r="BM140" s="5" t="s">
        <v>67</v>
      </c>
      <c r="BN140" s="5" t="s">
        <v>67</v>
      </c>
      <c r="BO140" s="5" t="s">
        <v>67</v>
      </c>
    </row>
    <row r="141" spans="1:67" ht="255" x14ac:dyDescent="0.25">
      <c r="A141" s="3">
        <v>1127891338</v>
      </c>
      <c r="B141" s="4">
        <v>41309</v>
      </c>
      <c r="C141" s="3">
        <v>672994874</v>
      </c>
      <c r="H141" s="5" t="s">
        <v>67</v>
      </c>
      <c r="I141" s="3" t="b">
        <v>0</v>
      </c>
      <c r="J141" s="3" t="b">
        <v>1</v>
      </c>
      <c r="K141" s="3" t="b">
        <v>1</v>
      </c>
      <c r="L141" s="3" t="b">
        <v>0</v>
      </c>
      <c r="M141" s="3" t="b">
        <v>1</v>
      </c>
      <c r="N141" s="3" t="b">
        <v>0</v>
      </c>
      <c r="O141" s="3" t="b">
        <v>0</v>
      </c>
      <c r="P141" s="3" t="b">
        <v>0</v>
      </c>
      <c r="Q141" s="3" t="b">
        <v>0</v>
      </c>
      <c r="R141" s="3" t="s">
        <v>1280</v>
      </c>
      <c r="S141" s="5" t="s">
        <v>573</v>
      </c>
      <c r="T141" s="3" t="b">
        <v>0</v>
      </c>
      <c r="U141" s="3" t="b">
        <v>1</v>
      </c>
      <c r="V141" s="5" t="s">
        <v>67</v>
      </c>
      <c r="W141" s="5" t="s">
        <v>67</v>
      </c>
      <c r="X141" s="3" t="b">
        <v>0</v>
      </c>
      <c r="Y141" s="3" t="b">
        <v>0</v>
      </c>
      <c r="Z141" s="3" t="b">
        <v>0</v>
      </c>
      <c r="AA141" s="3" t="b">
        <v>0</v>
      </c>
      <c r="AB141" s="5" t="s">
        <v>1281</v>
      </c>
      <c r="AC141" s="5" t="s">
        <v>67</v>
      </c>
      <c r="AD141" s="5" t="s">
        <v>1282</v>
      </c>
      <c r="AE141" s="5" t="s">
        <v>67</v>
      </c>
      <c r="AF141" s="5" t="s">
        <v>1283</v>
      </c>
      <c r="AG141" s="5" t="s">
        <v>1284</v>
      </c>
      <c r="AH141" s="5" t="s">
        <v>1285</v>
      </c>
      <c r="AI141" s="5" t="s">
        <v>67</v>
      </c>
      <c r="AJ141" s="5" t="s">
        <v>67</v>
      </c>
      <c r="AK141" s="5" t="s">
        <v>1286</v>
      </c>
      <c r="AL141" s="5" t="s">
        <v>67</v>
      </c>
      <c r="AM141" s="5" t="s">
        <v>67</v>
      </c>
      <c r="AN141" s="5" t="s">
        <v>67</v>
      </c>
      <c r="AO141" s="5" t="s">
        <v>67</v>
      </c>
      <c r="AP141" s="5" t="s">
        <v>67</v>
      </c>
      <c r="AQ141" s="5" t="s">
        <v>67</v>
      </c>
      <c r="AR141" s="5" t="s">
        <v>67</v>
      </c>
      <c r="AS141" s="3">
        <v>1003999342</v>
      </c>
      <c r="AW141" s="5" t="s">
        <v>67</v>
      </c>
      <c r="AX141" s="5" t="s">
        <v>67</v>
      </c>
      <c r="AY141" s="5" t="s">
        <v>67</v>
      </c>
      <c r="AZ141" s="5" t="s">
        <v>67</v>
      </c>
      <c r="BA141" s="3">
        <v>107</v>
      </c>
      <c r="BD141" s="3">
        <v>2146188984</v>
      </c>
      <c r="BE141" s="3">
        <v>2146188984</v>
      </c>
      <c r="BF141" s="5" t="s">
        <v>1287</v>
      </c>
      <c r="BG141" s="5" t="s">
        <v>67</v>
      </c>
      <c r="BH141" s="5" t="s">
        <v>117</v>
      </c>
      <c r="BI141" s="5" t="s">
        <v>210</v>
      </c>
      <c r="BJ141" s="5" t="s">
        <v>67</v>
      </c>
      <c r="BK141" s="5" t="s">
        <v>1288</v>
      </c>
      <c r="BL141" s="5" t="s">
        <v>1289</v>
      </c>
      <c r="BM141" s="5" t="s">
        <v>67</v>
      </c>
      <c r="BN141" s="5" t="s">
        <v>67</v>
      </c>
      <c r="BO141" s="5" t="s">
        <v>67</v>
      </c>
    </row>
    <row r="142" spans="1:67" ht="360" x14ac:dyDescent="0.25">
      <c r="A142" s="3">
        <v>1138806721</v>
      </c>
      <c r="B142" s="4">
        <v>43000</v>
      </c>
      <c r="C142" s="3">
        <v>2146189965</v>
      </c>
      <c r="D142" s="3">
        <v>2146189965</v>
      </c>
      <c r="F142" s="3">
        <v>1424</v>
      </c>
      <c r="G142" s="3">
        <v>1424</v>
      </c>
      <c r="H142" s="5" t="s">
        <v>1290</v>
      </c>
      <c r="I142" s="3" t="b">
        <v>0</v>
      </c>
      <c r="J142" s="3" t="b">
        <v>0</v>
      </c>
      <c r="K142" s="3" t="b">
        <v>0</v>
      </c>
      <c r="L142" s="3" t="b">
        <v>1</v>
      </c>
      <c r="M142" s="3" t="b">
        <v>1</v>
      </c>
      <c r="N142" s="3" t="b">
        <v>0</v>
      </c>
      <c r="O142" s="3" t="b">
        <v>0</v>
      </c>
      <c r="P142" s="3" t="b">
        <v>0</v>
      </c>
      <c r="Q142" s="3" t="b">
        <v>0</v>
      </c>
      <c r="R142" s="3" t="s">
        <v>1291</v>
      </c>
      <c r="S142" s="5" t="s">
        <v>1292</v>
      </c>
      <c r="T142" s="3" t="b">
        <v>0</v>
      </c>
      <c r="U142" s="3" t="b">
        <v>1</v>
      </c>
      <c r="V142" s="5" t="s">
        <v>1293</v>
      </c>
      <c r="W142" s="5" t="s">
        <v>1294</v>
      </c>
      <c r="X142" s="3" t="b">
        <v>0</v>
      </c>
      <c r="Y142" s="3" t="b">
        <v>0</v>
      </c>
      <c r="Z142" s="3" t="b">
        <v>0</v>
      </c>
      <c r="AA142" s="3" t="b">
        <v>1</v>
      </c>
      <c r="AB142" s="5" t="s">
        <v>1295</v>
      </c>
      <c r="AC142" s="5" t="s">
        <v>1296</v>
      </c>
      <c r="AD142" s="5" t="s">
        <v>67</v>
      </c>
      <c r="AE142" s="5" t="s">
        <v>67</v>
      </c>
      <c r="AF142" s="5" t="s">
        <v>1297</v>
      </c>
      <c r="AG142" s="5" t="s">
        <v>1298</v>
      </c>
      <c r="AH142" s="5" t="s">
        <v>1299</v>
      </c>
      <c r="AI142" s="5" t="s">
        <v>380</v>
      </c>
      <c r="AJ142" s="5" t="s">
        <v>380</v>
      </c>
      <c r="AK142" s="5" t="s">
        <v>380</v>
      </c>
      <c r="AL142" s="5" t="s">
        <v>380</v>
      </c>
      <c r="AM142" s="5" t="s">
        <v>67</v>
      </c>
      <c r="AN142" s="5" t="s">
        <v>1300</v>
      </c>
      <c r="AO142" s="5" t="s">
        <v>67</v>
      </c>
      <c r="AP142" s="5" t="s">
        <v>67</v>
      </c>
      <c r="AQ142" s="5" t="s">
        <v>67</v>
      </c>
      <c r="AR142" s="5" t="s">
        <v>67</v>
      </c>
      <c r="AS142" s="3">
        <v>1272349759</v>
      </c>
      <c r="AT142" s="3">
        <v>1823686857</v>
      </c>
      <c r="AU142" s="3">
        <v>1231232923</v>
      </c>
      <c r="AW142" s="5" t="s">
        <v>67</v>
      </c>
      <c r="AX142" s="5" t="s">
        <v>67</v>
      </c>
      <c r="AY142" s="5" t="s">
        <v>67</v>
      </c>
      <c r="AZ142" s="5" t="s">
        <v>67</v>
      </c>
      <c r="BA142" s="3">
        <v>107</v>
      </c>
      <c r="BD142" s="3">
        <v>2146189099</v>
      </c>
      <c r="BE142" s="3">
        <v>2146188968</v>
      </c>
      <c r="BF142" s="5" t="s">
        <v>1301</v>
      </c>
      <c r="BG142" s="5" t="s">
        <v>1302</v>
      </c>
      <c r="BH142" s="5" t="s">
        <v>1303</v>
      </c>
      <c r="BI142" s="5" t="s">
        <v>74</v>
      </c>
      <c r="BJ142" s="5" t="s">
        <v>1304</v>
      </c>
      <c r="BK142" s="5" t="s">
        <v>673</v>
      </c>
      <c r="BL142" s="5" t="s">
        <v>1305</v>
      </c>
      <c r="BM142" s="5" t="s">
        <v>67</v>
      </c>
      <c r="BN142" s="5" t="s">
        <v>67</v>
      </c>
      <c r="BO142" s="5" t="s">
        <v>67</v>
      </c>
    </row>
    <row r="143" spans="1:67" x14ac:dyDescent="0.25">
      <c r="A143" s="3">
        <v>1144677323</v>
      </c>
      <c r="B143" s="4">
        <v>41339</v>
      </c>
      <c r="H143" s="5" t="s">
        <v>67</v>
      </c>
      <c r="I143" s="3" t="b">
        <v>0</v>
      </c>
      <c r="J143" s="3" t="b">
        <v>0</v>
      </c>
      <c r="K143" s="3" t="b">
        <v>0</v>
      </c>
      <c r="L143" s="3" t="b">
        <v>0</v>
      </c>
      <c r="M143" s="3" t="b">
        <v>0</v>
      </c>
      <c r="N143" s="3" t="b">
        <v>0</v>
      </c>
      <c r="O143" s="3" t="b">
        <v>0</v>
      </c>
      <c r="P143" s="3" t="b">
        <v>0</v>
      </c>
      <c r="Q143" s="3" t="b">
        <v>0</v>
      </c>
      <c r="R143" s="3" t="s">
        <v>67</v>
      </c>
      <c r="S143" s="5" t="s">
        <v>67</v>
      </c>
      <c r="T143" s="3" t="b">
        <v>0</v>
      </c>
      <c r="U143" s="3" t="b">
        <v>0</v>
      </c>
      <c r="V143" s="5" t="s">
        <v>67</v>
      </c>
      <c r="W143" s="5" t="s">
        <v>67</v>
      </c>
      <c r="X143" s="3" t="b">
        <v>0</v>
      </c>
      <c r="Y143" s="3" t="b">
        <v>0</v>
      </c>
      <c r="Z143" s="3" t="b">
        <v>0</v>
      </c>
      <c r="AA143" s="3" t="b">
        <v>0</v>
      </c>
      <c r="AB143" s="5" t="s">
        <v>67</v>
      </c>
      <c r="AC143" s="5" t="s">
        <v>67</v>
      </c>
      <c r="AD143" s="5" t="s">
        <v>67</v>
      </c>
      <c r="AE143" s="5" t="s">
        <v>67</v>
      </c>
      <c r="AF143" s="5" t="s">
        <v>67</v>
      </c>
      <c r="AG143" s="5" t="s">
        <v>67</v>
      </c>
      <c r="AH143" s="5" t="s">
        <v>573</v>
      </c>
      <c r="AI143" s="5" t="s">
        <v>67</v>
      </c>
      <c r="AJ143" s="5" t="s">
        <v>67</v>
      </c>
      <c r="AK143" s="5" t="s">
        <v>67</v>
      </c>
      <c r="AL143" s="5" t="s">
        <v>67</v>
      </c>
      <c r="AM143" s="5" t="s">
        <v>67</v>
      </c>
      <c r="AN143" s="5" t="s">
        <v>67</v>
      </c>
      <c r="AO143" s="5" t="s">
        <v>67</v>
      </c>
      <c r="AP143" s="5" t="s">
        <v>67</v>
      </c>
      <c r="AQ143" s="5" t="s">
        <v>67</v>
      </c>
      <c r="AR143" s="5" t="s">
        <v>67</v>
      </c>
      <c r="AW143" s="5" t="s">
        <v>67</v>
      </c>
      <c r="AX143" s="5" t="s">
        <v>67</v>
      </c>
      <c r="AY143" s="5" t="s">
        <v>67</v>
      </c>
      <c r="AZ143" s="5" t="s">
        <v>67</v>
      </c>
      <c r="BF143" s="5" t="s">
        <v>67</v>
      </c>
      <c r="BG143" s="5" t="s">
        <v>67</v>
      </c>
      <c r="BH143" s="5" t="s">
        <v>67</v>
      </c>
      <c r="BI143" s="5" t="s">
        <v>67</v>
      </c>
      <c r="BJ143" s="5" t="s">
        <v>67</v>
      </c>
      <c r="BK143" s="5" t="s">
        <v>67</v>
      </c>
      <c r="BL143" s="5" t="s">
        <v>67</v>
      </c>
      <c r="BM143" s="5" t="s">
        <v>67</v>
      </c>
      <c r="BN143" s="5" t="s">
        <v>67</v>
      </c>
      <c r="BO143" s="5" t="s">
        <v>67</v>
      </c>
    </row>
    <row r="144" spans="1:67" ht="409.5" x14ac:dyDescent="0.25">
      <c r="A144" s="3">
        <v>1148904896</v>
      </c>
      <c r="B144" s="4">
        <v>42327</v>
      </c>
      <c r="C144" s="3">
        <v>604299969</v>
      </c>
      <c r="F144" s="3">
        <v>67</v>
      </c>
      <c r="H144" s="5" t="s">
        <v>1306</v>
      </c>
      <c r="I144" s="3" t="b">
        <v>0</v>
      </c>
      <c r="J144" s="3" t="b">
        <v>1</v>
      </c>
      <c r="K144" s="3" t="b">
        <v>1</v>
      </c>
      <c r="L144" s="3" t="b">
        <v>0</v>
      </c>
      <c r="M144" s="3" t="b">
        <v>0</v>
      </c>
      <c r="N144" s="3" t="b">
        <v>0</v>
      </c>
      <c r="O144" s="3" t="b">
        <v>0</v>
      </c>
      <c r="P144" s="3" t="b">
        <v>1</v>
      </c>
      <c r="Q144" s="3" t="b">
        <v>0</v>
      </c>
      <c r="R144" s="3" t="s">
        <v>1307</v>
      </c>
      <c r="S144" s="5" t="s">
        <v>1308</v>
      </c>
      <c r="T144" s="3" t="b">
        <v>0</v>
      </c>
      <c r="U144" s="3" t="b">
        <v>1</v>
      </c>
      <c r="V144" s="5" t="s">
        <v>1309</v>
      </c>
      <c r="W144" s="5" t="s">
        <v>1310</v>
      </c>
      <c r="X144" s="3" t="b">
        <v>0</v>
      </c>
      <c r="Y144" s="3" t="b">
        <v>1</v>
      </c>
      <c r="Z144" s="3" t="b">
        <v>0</v>
      </c>
      <c r="AA144" s="3" t="b">
        <v>1</v>
      </c>
      <c r="AB144" s="5" t="s">
        <v>1311</v>
      </c>
      <c r="AC144" s="5" t="s">
        <v>1312</v>
      </c>
      <c r="AD144" s="5" t="s">
        <v>67</v>
      </c>
      <c r="AE144" s="5" t="s">
        <v>1313</v>
      </c>
      <c r="AF144" s="5" t="s">
        <v>1314</v>
      </c>
      <c r="AG144" s="5" t="s">
        <v>1315</v>
      </c>
      <c r="AH144" s="5" t="s">
        <v>1316</v>
      </c>
      <c r="AI144" s="5" t="s">
        <v>1317</v>
      </c>
      <c r="AJ144" s="5" t="s">
        <v>1318</v>
      </c>
      <c r="AK144" s="5" t="s">
        <v>1319</v>
      </c>
      <c r="AL144" s="5" t="s">
        <v>1320</v>
      </c>
      <c r="AM144" s="5" t="s">
        <v>1321</v>
      </c>
      <c r="AN144" s="5" t="s">
        <v>1322</v>
      </c>
      <c r="AO144" s="5" t="s">
        <v>67</v>
      </c>
      <c r="AP144" s="5" t="s">
        <v>67</v>
      </c>
      <c r="AQ144" s="5" t="s">
        <v>67</v>
      </c>
      <c r="AR144" s="5" t="s">
        <v>67</v>
      </c>
      <c r="AW144" s="5" t="s">
        <v>67</v>
      </c>
      <c r="AX144" s="5" t="s">
        <v>67</v>
      </c>
      <c r="AY144" s="5" t="s">
        <v>67</v>
      </c>
      <c r="AZ144" s="5" t="s">
        <v>67</v>
      </c>
      <c r="BA144" s="3">
        <v>107</v>
      </c>
      <c r="BD144" s="3">
        <v>2146188974</v>
      </c>
      <c r="BE144" s="3">
        <v>2146188974</v>
      </c>
      <c r="BF144" s="5" t="s">
        <v>1323</v>
      </c>
      <c r="BG144" s="5" t="s">
        <v>1324</v>
      </c>
      <c r="BH144" s="5" t="s">
        <v>1325</v>
      </c>
      <c r="BI144" s="5" t="s">
        <v>74</v>
      </c>
      <c r="BJ144" s="5" t="s">
        <v>1326</v>
      </c>
      <c r="BK144" s="5" t="s">
        <v>1327</v>
      </c>
      <c r="BL144" s="5" t="s">
        <v>1328</v>
      </c>
      <c r="BM144" s="5" t="s">
        <v>67</v>
      </c>
      <c r="BN144" s="5" t="s">
        <v>1329</v>
      </c>
      <c r="BO144" s="5" t="s">
        <v>67</v>
      </c>
    </row>
    <row r="145" spans="1:67" ht="300" x14ac:dyDescent="0.25">
      <c r="A145" s="3">
        <v>1172471980</v>
      </c>
      <c r="B145" s="4">
        <v>42440</v>
      </c>
      <c r="E145" s="3">
        <v>1087394322</v>
      </c>
      <c r="H145" s="5" t="s">
        <v>67</v>
      </c>
      <c r="I145" s="3" t="b">
        <v>1</v>
      </c>
      <c r="J145" s="3" t="b">
        <v>0</v>
      </c>
      <c r="K145" s="3" t="b">
        <v>0</v>
      </c>
      <c r="L145" s="3" t="b">
        <v>0</v>
      </c>
      <c r="M145" s="3" t="b">
        <v>0</v>
      </c>
      <c r="N145" s="3" t="b">
        <v>0</v>
      </c>
      <c r="O145" s="3" t="b">
        <v>0</v>
      </c>
      <c r="P145" s="3" t="b">
        <v>1</v>
      </c>
      <c r="Q145" s="3" t="b">
        <v>0</v>
      </c>
      <c r="R145" s="3" t="s">
        <v>67</v>
      </c>
      <c r="S145" s="5" t="s">
        <v>1330</v>
      </c>
      <c r="T145" s="3" t="b">
        <v>0</v>
      </c>
      <c r="U145" s="3" t="b">
        <v>0</v>
      </c>
      <c r="V145" s="5" t="s">
        <v>67</v>
      </c>
      <c r="W145" s="5" t="s">
        <v>67</v>
      </c>
      <c r="X145" s="3" t="b">
        <v>0</v>
      </c>
      <c r="Y145" s="3" t="b">
        <v>0</v>
      </c>
      <c r="Z145" s="3" t="b">
        <v>0</v>
      </c>
      <c r="AA145" s="3" t="b">
        <v>0</v>
      </c>
      <c r="AB145" s="5" t="s">
        <v>1331</v>
      </c>
      <c r="AC145" s="5" t="s">
        <v>1332</v>
      </c>
      <c r="AD145" s="5" t="s">
        <v>67</v>
      </c>
      <c r="AE145" s="5" t="s">
        <v>67</v>
      </c>
      <c r="AF145" s="5" t="s">
        <v>1333</v>
      </c>
      <c r="AG145" s="5" t="s">
        <v>1334</v>
      </c>
      <c r="AH145" s="5" t="s">
        <v>67</v>
      </c>
      <c r="AI145" s="5" t="s">
        <v>67</v>
      </c>
      <c r="AJ145" s="5" t="s">
        <v>67</v>
      </c>
      <c r="AK145" s="5" t="s">
        <v>67</v>
      </c>
      <c r="AL145" s="5" t="s">
        <v>67</v>
      </c>
      <c r="AM145" s="5" t="s">
        <v>67</v>
      </c>
      <c r="AN145" s="5" t="s">
        <v>67</v>
      </c>
      <c r="AO145" s="5" t="s">
        <v>67</v>
      </c>
      <c r="AP145" s="5" t="s">
        <v>67</v>
      </c>
      <c r="AQ145" s="5" t="s">
        <v>67</v>
      </c>
      <c r="AR145" s="5" t="s">
        <v>67</v>
      </c>
      <c r="AW145" s="5" t="s">
        <v>67</v>
      </c>
      <c r="AX145" s="5" t="s">
        <v>67</v>
      </c>
      <c r="AY145" s="5" t="s">
        <v>67</v>
      </c>
      <c r="AZ145" s="5" t="s">
        <v>67</v>
      </c>
      <c r="BF145" s="5" t="s">
        <v>67</v>
      </c>
      <c r="BG145" s="5" t="s">
        <v>67</v>
      </c>
      <c r="BH145" s="5" t="s">
        <v>67</v>
      </c>
      <c r="BI145" s="5" t="s">
        <v>67</v>
      </c>
      <c r="BJ145" s="5" t="s">
        <v>67</v>
      </c>
      <c r="BK145" s="5" t="s">
        <v>67</v>
      </c>
      <c r="BL145" s="5" t="s">
        <v>67</v>
      </c>
      <c r="BM145" s="5" t="s">
        <v>67</v>
      </c>
      <c r="BN145" s="5" t="s">
        <v>67</v>
      </c>
      <c r="BO145" s="5" t="s">
        <v>67</v>
      </c>
    </row>
    <row r="146" spans="1:67" x14ac:dyDescent="0.25">
      <c r="A146" s="3">
        <v>1172577274</v>
      </c>
      <c r="B146" s="4">
        <v>37861.330312500002</v>
      </c>
      <c r="C146" s="3">
        <v>0</v>
      </c>
      <c r="D146" s="3">
        <v>0</v>
      </c>
      <c r="E146" s="3">
        <v>0</v>
      </c>
      <c r="G146" s="3">
        <v>0</v>
      </c>
      <c r="H146" s="5" t="s">
        <v>67</v>
      </c>
      <c r="I146" s="3" t="b">
        <v>0</v>
      </c>
      <c r="J146" s="3" t="b">
        <v>0</v>
      </c>
      <c r="K146" s="3" t="b">
        <v>0</v>
      </c>
      <c r="L146" s="3" t="b">
        <v>0</v>
      </c>
      <c r="M146" s="3" t="b">
        <v>0</v>
      </c>
      <c r="N146" s="3" t="b">
        <v>0</v>
      </c>
      <c r="O146" s="3" t="b">
        <v>0</v>
      </c>
      <c r="P146" s="3" t="b">
        <v>0</v>
      </c>
      <c r="Q146" s="3" t="b">
        <v>0</v>
      </c>
      <c r="R146" s="3" t="s">
        <v>67</v>
      </c>
      <c r="S146" s="5" t="s">
        <v>67</v>
      </c>
      <c r="T146" s="3" t="b">
        <v>0</v>
      </c>
      <c r="U146" s="3" t="b">
        <v>0</v>
      </c>
      <c r="V146" s="5" t="s">
        <v>67</v>
      </c>
      <c r="W146" s="5" t="s">
        <v>67</v>
      </c>
      <c r="X146" s="3" t="b">
        <v>0</v>
      </c>
      <c r="Y146" s="3" t="b">
        <v>0</v>
      </c>
      <c r="Z146" s="3" t="b">
        <v>0</v>
      </c>
      <c r="AA146" s="3" t="b">
        <v>0</v>
      </c>
      <c r="AB146" s="5" t="s">
        <v>67</v>
      </c>
      <c r="AC146" s="5" t="s">
        <v>67</v>
      </c>
      <c r="AD146" s="5" t="s">
        <v>67</v>
      </c>
      <c r="AE146" s="5" t="s">
        <v>67</v>
      </c>
      <c r="AF146" s="5" t="s">
        <v>67</v>
      </c>
      <c r="AG146" s="5" t="s">
        <v>67</v>
      </c>
      <c r="AH146" s="5" t="s">
        <v>67</v>
      </c>
      <c r="AI146" s="5" t="s">
        <v>67</v>
      </c>
      <c r="AJ146" s="5" t="s">
        <v>67</v>
      </c>
      <c r="AK146" s="5" t="s">
        <v>67</v>
      </c>
      <c r="AL146" s="5" t="s">
        <v>67</v>
      </c>
      <c r="AM146" s="5" t="s">
        <v>67</v>
      </c>
      <c r="AN146" s="5" t="s">
        <v>67</v>
      </c>
      <c r="AO146" s="5" t="s">
        <v>67</v>
      </c>
      <c r="AP146" s="5" t="s">
        <v>67</v>
      </c>
      <c r="AQ146" s="5" t="s">
        <v>67</v>
      </c>
      <c r="AR146" s="5" t="s">
        <v>67</v>
      </c>
      <c r="AW146" s="5" t="s">
        <v>67</v>
      </c>
      <c r="AX146" s="5" t="s">
        <v>67</v>
      </c>
      <c r="AY146" s="5" t="s">
        <v>67</v>
      </c>
      <c r="AZ146" s="5" t="s">
        <v>67</v>
      </c>
      <c r="BA146" s="3">
        <v>0</v>
      </c>
      <c r="BB146" s="3">
        <v>0</v>
      </c>
      <c r="BC146" s="3">
        <v>0</v>
      </c>
      <c r="BE146" s="3">
        <v>0</v>
      </c>
      <c r="BF146" s="5" t="s">
        <v>67</v>
      </c>
      <c r="BG146" s="5" t="s">
        <v>67</v>
      </c>
      <c r="BH146" s="5" t="s">
        <v>67</v>
      </c>
      <c r="BI146" s="5" t="s">
        <v>67</v>
      </c>
      <c r="BJ146" s="5" t="s">
        <v>67</v>
      </c>
      <c r="BK146" s="5" t="s">
        <v>67</v>
      </c>
      <c r="BL146" s="5" t="s">
        <v>67</v>
      </c>
      <c r="BM146" s="5" t="s">
        <v>67</v>
      </c>
      <c r="BN146" s="5" t="s">
        <v>67</v>
      </c>
      <c r="BO146" s="5" t="s">
        <v>67</v>
      </c>
    </row>
    <row r="147" spans="1:67" ht="180" x14ac:dyDescent="0.25">
      <c r="A147" s="3">
        <v>1175782861</v>
      </c>
      <c r="B147" s="4">
        <v>42858</v>
      </c>
      <c r="C147" s="3">
        <v>1025868472</v>
      </c>
      <c r="H147" s="5" t="s">
        <v>67</v>
      </c>
      <c r="I147" s="3" t="b">
        <v>0</v>
      </c>
      <c r="J147" s="3" t="b">
        <v>1</v>
      </c>
      <c r="K147" s="3" t="b">
        <v>0</v>
      </c>
      <c r="L147" s="3" t="b">
        <v>0</v>
      </c>
      <c r="M147" s="3" t="b">
        <v>1</v>
      </c>
      <c r="N147" s="3" t="b">
        <v>0</v>
      </c>
      <c r="O147" s="3" t="b">
        <v>0</v>
      </c>
      <c r="P147" s="3" t="b">
        <v>0</v>
      </c>
      <c r="Q147" s="3" t="b">
        <v>0</v>
      </c>
      <c r="R147" s="3" t="s">
        <v>1335</v>
      </c>
      <c r="S147" s="5" t="s">
        <v>1336</v>
      </c>
      <c r="T147" s="3" t="b">
        <v>0</v>
      </c>
      <c r="U147" s="3" t="b">
        <v>1</v>
      </c>
      <c r="V147" s="5" t="s">
        <v>1337</v>
      </c>
      <c r="W147" s="5" t="s">
        <v>1338</v>
      </c>
      <c r="X147" s="3" t="b">
        <v>0</v>
      </c>
      <c r="Y147" s="3" t="b">
        <v>0</v>
      </c>
      <c r="Z147" s="3" t="b">
        <v>0</v>
      </c>
      <c r="AA147" s="3" t="b">
        <v>0</v>
      </c>
      <c r="AB147" s="5" t="s">
        <v>1339</v>
      </c>
      <c r="AC147" s="5" t="s">
        <v>1340</v>
      </c>
      <c r="AD147" s="5" t="s">
        <v>1341</v>
      </c>
      <c r="AE147" s="5" t="s">
        <v>67</v>
      </c>
      <c r="AF147" s="5" t="s">
        <v>1342</v>
      </c>
      <c r="AG147" s="5" t="s">
        <v>1343</v>
      </c>
      <c r="AH147" s="5" t="s">
        <v>1344</v>
      </c>
      <c r="AI147" s="5" t="s">
        <v>380</v>
      </c>
      <c r="AJ147" s="5" t="s">
        <v>380</v>
      </c>
      <c r="AK147" s="5" t="s">
        <v>1345</v>
      </c>
      <c r="AL147" s="5" t="s">
        <v>1346</v>
      </c>
      <c r="AM147" s="5" t="s">
        <v>1347</v>
      </c>
      <c r="AN147" s="5" t="s">
        <v>380</v>
      </c>
      <c r="AO147" s="5" t="s">
        <v>380</v>
      </c>
      <c r="AP147" s="5" t="s">
        <v>1348</v>
      </c>
      <c r="AQ147" s="5" t="s">
        <v>67</v>
      </c>
      <c r="AR147" s="5" t="s">
        <v>67</v>
      </c>
      <c r="AW147" s="5" t="s">
        <v>67</v>
      </c>
      <c r="AX147" s="5" t="s">
        <v>67</v>
      </c>
      <c r="AY147" s="5" t="s">
        <v>67</v>
      </c>
      <c r="AZ147" s="5" t="s">
        <v>67</v>
      </c>
      <c r="BA147" s="3">
        <v>2146189964</v>
      </c>
      <c r="BB147" s="3">
        <v>2146189557</v>
      </c>
      <c r="BD147" s="3">
        <v>2146188969</v>
      </c>
      <c r="BE147" s="3">
        <v>2146188969</v>
      </c>
      <c r="BF147" s="5" t="s">
        <v>1349</v>
      </c>
      <c r="BG147" s="5" t="s">
        <v>1350</v>
      </c>
      <c r="BH147" s="5" t="s">
        <v>1351</v>
      </c>
      <c r="BI147" s="5" t="s">
        <v>210</v>
      </c>
      <c r="BJ147" s="5" t="s">
        <v>1352</v>
      </c>
      <c r="BK147" s="5" t="s">
        <v>1353</v>
      </c>
      <c r="BL147" s="5" t="s">
        <v>1354</v>
      </c>
      <c r="BM147" s="5" t="s">
        <v>380</v>
      </c>
      <c r="BN147" s="5" t="s">
        <v>1355</v>
      </c>
      <c r="BO147" s="5" t="s">
        <v>1356</v>
      </c>
    </row>
    <row r="148" spans="1:67" ht="409.5" x14ac:dyDescent="0.25">
      <c r="A148" s="3">
        <v>1175783172</v>
      </c>
      <c r="B148" s="4">
        <v>42873</v>
      </c>
      <c r="C148" s="3">
        <v>174</v>
      </c>
      <c r="G148" s="3">
        <v>174</v>
      </c>
      <c r="H148" s="5" t="s">
        <v>1357</v>
      </c>
      <c r="I148" s="3" t="b">
        <v>1</v>
      </c>
      <c r="J148" s="3" t="b">
        <v>1</v>
      </c>
      <c r="K148" s="3" t="b">
        <v>0</v>
      </c>
      <c r="L148" s="3" t="b">
        <v>0</v>
      </c>
      <c r="M148" s="3" t="b">
        <v>0</v>
      </c>
      <c r="N148" s="3" t="b">
        <v>0</v>
      </c>
      <c r="O148" s="3" t="b">
        <v>0</v>
      </c>
      <c r="P148" s="3" t="b">
        <v>0</v>
      </c>
      <c r="Q148" s="3" t="b">
        <v>1</v>
      </c>
      <c r="R148" s="3" t="s">
        <v>1358</v>
      </c>
      <c r="S148" s="5" t="s">
        <v>1359</v>
      </c>
      <c r="T148" s="3" t="b">
        <v>0</v>
      </c>
      <c r="U148" s="3" t="b">
        <v>1</v>
      </c>
      <c r="V148" s="5" t="s">
        <v>81</v>
      </c>
      <c r="W148" s="5" t="s">
        <v>1360</v>
      </c>
      <c r="X148" s="3" t="b">
        <v>0</v>
      </c>
      <c r="Y148" s="3" t="b">
        <v>0</v>
      </c>
      <c r="Z148" s="3" t="b">
        <v>0</v>
      </c>
      <c r="AA148" s="3" t="b">
        <v>1</v>
      </c>
      <c r="AB148" s="5" t="s">
        <v>1361</v>
      </c>
      <c r="AC148" s="5" t="s">
        <v>67</v>
      </c>
      <c r="AD148" s="5" t="s">
        <v>67</v>
      </c>
      <c r="AE148" s="5" t="s">
        <v>67</v>
      </c>
      <c r="AF148" s="5" t="s">
        <v>1362</v>
      </c>
      <c r="AG148" s="5" t="s">
        <v>1363</v>
      </c>
      <c r="AH148" s="5" t="s">
        <v>1364</v>
      </c>
      <c r="AI148" s="5" t="s">
        <v>67</v>
      </c>
      <c r="AJ148" s="5" t="s">
        <v>1365</v>
      </c>
      <c r="AK148" s="5" t="s">
        <v>1366</v>
      </c>
      <c r="AL148" s="5" t="s">
        <v>1367</v>
      </c>
      <c r="AM148" s="5" t="s">
        <v>1368</v>
      </c>
      <c r="AN148" s="5" t="s">
        <v>67</v>
      </c>
      <c r="AO148" s="5" t="s">
        <v>67</v>
      </c>
      <c r="AP148" s="5" t="s">
        <v>1369</v>
      </c>
      <c r="AQ148" s="5" t="s">
        <v>67</v>
      </c>
      <c r="AR148" s="5" t="s">
        <v>67</v>
      </c>
      <c r="AW148" s="5" t="s">
        <v>67</v>
      </c>
      <c r="AX148" s="5" t="s">
        <v>67</v>
      </c>
      <c r="AY148" s="5" t="s">
        <v>67</v>
      </c>
      <c r="AZ148" s="5" t="s">
        <v>67</v>
      </c>
      <c r="BA148" s="3">
        <v>2146189812</v>
      </c>
      <c r="BD148" s="3">
        <v>2146188984</v>
      </c>
      <c r="BE148" s="3">
        <v>2146188984</v>
      </c>
      <c r="BF148" s="5" t="s">
        <v>1370</v>
      </c>
      <c r="BG148" s="5" t="s">
        <v>97</v>
      </c>
      <c r="BH148" s="5" t="s">
        <v>786</v>
      </c>
      <c r="BI148" s="5" t="s">
        <v>74</v>
      </c>
      <c r="BJ148" s="5" t="s">
        <v>1371</v>
      </c>
      <c r="BK148" s="5" t="s">
        <v>81</v>
      </c>
      <c r="BL148" s="5" t="s">
        <v>1372</v>
      </c>
      <c r="BM148" s="5" t="s">
        <v>1373</v>
      </c>
      <c r="BN148" s="5" t="s">
        <v>1374</v>
      </c>
      <c r="BO148" s="5" t="s">
        <v>67</v>
      </c>
    </row>
    <row r="149" spans="1:67" x14ac:dyDescent="0.25">
      <c r="A149" s="3">
        <v>1176728538</v>
      </c>
      <c r="B149" s="4">
        <v>41826</v>
      </c>
      <c r="H149" s="5" t="s">
        <v>67</v>
      </c>
      <c r="I149" s="3" t="b">
        <v>0</v>
      </c>
      <c r="J149" s="3" t="b">
        <v>0</v>
      </c>
      <c r="K149" s="3" t="b">
        <v>0</v>
      </c>
      <c r="L149" s="3" t="b">
        <v>0</v>
      </c>
      <c r="M149" s="3" t="b">
        <v>0</v>
      </c>
      <c r="N149" s="3" t="b">
        <v>0</v>
      </c>
      <c r="O149" s="3" t="b">
        <v>0</v>
      </c>
      <c r="P149" s="3" t="b">
        <v>0</v>
      </c>
      <c r="Q149" s="3" t="b">
        <v>0</v>
      </c>
      <c r="R149" s="3" t="s">
        <v>67</v>
      </c>
      <c r="S149" s="5" t="s">
        <v>67</v>
      </c>
      <c r="T149" s="3" t="b">
        <v>0</v>
      </c>
      <c r="U149" s="3" t="b">
        <v>0</v>
      </c>
      <c r="V149" s="5" t="s">
        <v>67</v>
      </c>
      <c r="W149" s="5" t="s">
        <v>67</v>
      </c>
      <c r="X149" s="3" t="b">
        <v>0</v>
      </c>
      <c r="Y149" s="3" t="b">
        <v>0</v>
      </c>
      <c r="Z149" s="3" t="b">
        <v>0</v>
      </c>
      <c r="AA149" s="3" t="b">
        <v>0</v>
      </c>
      <c r="AB149" s="5" t="s">
        <v>67</v>
      </c>
      <c r="AC149" s="5" t="s">
        <v>67</v>
      </c>
      <c r="AD149" s="5" t="s">
        <v>67</v>
      </c>
      <c r="AE149" s="5" t="s">
        <v>67</v>
      </c>
      <c r="AF149" s="5" t="s">
        <v>67</v>
      </c>
      <c r="AG149" s="5" t="s">
        <v>67</v>
      </c>
      <c r="AH149" s="5" t="s">
        <v>67</v>
      </c>
      <c r="AI149" s="5" t="s">
        <v>67</v>
      </c>
      <c r="AJ149" s="5" t="s">
        <v>67</v>
      </c>
      <c r="AK149" s="5" t="s">
        <v>67</v>
      </c>
      <c r="AL149" s="5" t="s">
        <v>67</v>
      </c>
      <c r="AM149" s="5" t="s">
        <v>67</v>
      </c>
      <c r="AN149" s="5" t="s">
        <v>67</v>
      </c>
      <c r="AO149" s="5" t="s">
        <v>67</v>
      </c>
      <c r="AP149" s="5" t="s">
        <v>67</v>
      </c>
      <c r="AQ149" s="5" t="s">
        <v>67</v>
      </c>
      <c r="AR149" s="5" t="s">
        <v>67</v>
      </c>
      <c r="AW149" s="5" t="s">
        <v>67</v>
      </c>
      <c r="AX149" s="5" t="s">
        <v>67</v>
      </c>
      <c r="AY149" s="5" t="s">
        <v>67</v>
      </c>
      <c r="AZ149" s="5" t="s">
        <v>67</v>
      </c>
      <c r="BF149" s="5" t="s">
        <v>67</v>
      </c>
      <c r="BG149" s="5" t="s">
        <v>67</v>
      </c>
      <c r="BH149" s="5" t="s">
        <v>67</v>
      </c>
      <c r="BI149" s="5" t="s">
        <v>67</v>
      </c>
      <c r="BJ149" s="5" t="s">
        <v>67</v>
      </c>
      <c r="BK149" s="5" t="s">
        <v>67</v>
      </c>
      <c r="BL149" s="5" t="s">
        <v>67</v>
      </c>
      <c r="BM149" s="5" t="s">
        <v>67</v>
      </c>
      <c r="BN149" s="5" t="s">
        <v>67</v>
      </c>
      <c r="BO149" s="5" t="s">
        <v>67</v>
      </c>
    </row>
    <row r="150" spans="1:67" x14ac:dyDescent="0.25">
      <c r="A150" s="3">
        <v>1184667370</v>
      </c>
      <c r="B150" s="4">
        <v>42482</v>
      </c>
      <c r="H150" s="5" t="s">
        <v>67</v>
      </c>
      <c r="I150" s="3" t="b">
        <v>0</v>
      </c>
      <c r="J150" s="3" t="b">
        <v>0</v>
      </c>
      <c r="K150" s="3" t="b">
        <v>0</v>
      </c>
      <c r="L150" s="3" t="b">
        <v>0</v>
      </c>
      <c r="M150" s="3" t="b">
        <v>0</v>
      </c>
      <c r="N150" s="3" t="b">
        <v>0</v>
      </c>
      <c r="O150" s="3" t="b">
        <v>0</v>
      </c>
      <c r="P150" s="3" t="b">
        <v>0</v>
      </c>
      <c r="Q150" s="3" t="b">
        <v>0</v>
      </c>
      <c r="R150" s="3" t="s">
        <v>67</v>
      </c>
      <c r="S150" s="5" t="s">
        <v>67</v>
      </c>
      <c r="T150" s="3" t="b">
        <v>0</v>
      </c>
      <c r="U150" s="3" t="b">
        <v>0</v>
      </c>
      <c r="V150" s="5" t="s">
        <v>67</v>
      </c>
      <c r="W150" s="5" t="s">
        <v>67</v>
      </c>
      <c r="X150" s="3" t="b">
        <v>0</v>
      </c>
      <c r="Y150" s="3" t="b">
        <v>0</v>
      </c>
      <c r="Z150" s="3" t="b">
        <v>0</v>
      </c>
      <c r="AA150" s="3" t="b">
        <v>0</v>
      </c>
      <c r="AB150" s="5" t="s">
        <v>67</v>
      </c>
      <c r="AC150" s="5" t="s">
        <v>67</v>
      </c>
      <c r="AD150" s="5" t="s">
        <v>67</v>
      </c>
      <c r="AE150" s="5" t="s">
        <v>67</v>
      </c>
      <c r="AF150" s="5" t="s">
        <v>67</v>
      </c>
      <c r="AG150" s="5" t="s">
        <v>67</v>
      </c>
      <c r="AH150" s="5" t="s">
        <v>67</v>
      </c>
      <c r="AI150" s="5" t="s">
        <v>67</v>
      </c>
      <c r="AJ150" s="5" t="s">
        <v>67</v>
      </c>
      <c r="AK150" s="5" t="s">
        <v>67</v>
      </c>
      <c r="AL150" s="5" t="s">
        <v>67</v>
      </c>
      <c r="AM150" s="5" t="s">
        <v>67</v>
      </c>
      <c r="AN150" s="5" t="s">
        <v>67</v>
      </c>
      <c r="AO150" s="5" t="s">
        <v>67</v>
      </c>
      <c r="AP150" s="5" t="s">
        <v>67</v>
      </c>
      <c r="AQ150" s="5" t="s">
        <v>67</v>
      </c>
      <c r="AR150" s="5" t="s">
        <v>67</v>
      </c>
      <c r="AW150" s="5" t="s">
        <v>67</v>
      </c>
      <c r="AX150" s="5" t="s">
        <v>67</v>
      </c>
      <c r="AY150" s="5" t="s">
        <v>67</v>
      </c>
      <c r="AZ150" s="5" t="s">
        <v>67</v>
      </c>
      <c r="BF150" s="5" t="s">
        <v>67</v>
      </c>
      <c r="BG150" s="5" t="s">
        <v>67</v>
      </c>
      <c r="BH150" s="5" t="s">
        <v>67</v>
      </c>
      <c r="BI150" s="5" t="s">
        <v>67</v>
      </c>
      <c r="BJ150" s="5" t="s">
        <v>67</v>
      </c>
      <c r="BK150" s="5" t="s">
        <v>67</v>
      </c>
      <c r="BL150" s="5" t="s">
        <v>67</v>
      </c>
      <c r="BM150" s="5" t="s">
        <v>67</v>
      </c>
      <c r="BN150" s="5" t="s">
        <v>67</v>
      </c>
      <c r="BO150" s="5" t="s">
        <v>67</v>
      </c>
    </row>
    <row r="151" spans="1:67" ht="240" x14ac:dyDescent="0.25">
      <c r="A151" s="3">
        <v>1191311576</v>
      </c>
      <c r="B151" s="4">
        <v>42815</v>
      </c>
      <c r="F151" s="3">
        <v>1424</v>
      </c>
      <c r="H151" s="5" t="s">
        <v>67</v>
      </c>
      <c r="I151" s="3" t="b">
        <v>0</v>
      </c>
      <c r="J151" s="3" t="b">
        <v>0</v>
      </c>
      <c r="K151" s="3" t="b">
        <v>0</v>
      </c>
      <c r="L151" s="3" t="b">
        <v>1</v>
      </c>
      <c r="M151" s="3" t="b">
        <v>0</v>
      </c>
      <c r="N151" s="3" t="b">
        <v>0</v>
      </c>
      <c r="O151" s="3" t="b">
        <v>0</v>
      </c>
      <c r="P151" s="3" t="b">
        <v>0</v>
      </c>
      <c r="Q151" s="3" t="b">
        <v>1</v>
      </c>
      <c r="R151" s="3" t="s">
        <v>1375</v>
      </c>
      <c r="S151" s="5" t="s">
        <v>1376</v>
      </c>
      <c r="T151" s="3" t="b">
        <v>1</v>
      </c>
      <c r="U151" s="3" t="b">
        <v>0</v>
      </c>
      <c r="V151" s="5" t="s">
        <v>1377</v>
      </c>
      <c r="W151" s="5" t="s">
        <v>1378</v>
      </c>
      <c r="X151" s="3" t="b">
        <v>0</v>
      </c>
      <c r="Y151" s="3" t="b">
        <v>0</v>
      </c>
      <c r="Z151" s="3" t="b">
        <v>0</v>
      </c>
      <c r="AA151" s="3" t="b">
        <v>1</v>
      </c>
      <c r="AB151" s="5" t="s">
        <v>1379</v>
      </c>
      <c r="AC151" s="5" t="s">
        <v>67</v>
      </c>
      <c r="AD151" s="5" t="s">
        <v>67</v>
      </c>
      <c r="AE151" s="5" t="s">
        <v>67</v>
      </c>
      <c r="AF151" s="5" t="s">
        <v>1380</v>
      </c>
      <c r="AG151" s="5" t="s">
        <v>1381</v>
      </c>
      <c r="AH151" s="5" t="s">
        <v>1382</v>
      </c>
      <c r="AI151" s="5" t="s">
        <v>1383</v>
      </c>
      <c r="AJ151" s="5" t="s">
        <v>67</v>
      </c>
      <c r="AK151" s="5" t="s">
        <v>1384</v>
      </c>
      <c r="AL151" s="5" t="s">
        <v>1385</v>
      </c>
      <c r="AM151" s="5" t="s">
        <v>1382</v>
      </c>
      <c r="AN151" s="5" t="s">
        <v>1383</v>
      </c>
      <c r="AO151" s="5" t="s">
        <v>67</v>
      </c>
      <c r="AP151" s="5" t="s">
        <v>67</v>
      </c>
      <c r="AQ151" s="5" t="s">
        <v>1386</v>
      </c>
      <c r="AR151" s="5" t="s">
        <v>67</v>
      </c>
      <c r="AW151" s="5" t="s">
        <v>67</v>
      </c>
      <c r="AX151" s="5" t="s">
        <v>67</v>
      </c>
      <c r="AY151" s="5" t="s">
        <v>67</v>
      </c>
      <c r="AZ151" s="5" t="s">
        <v>67</v>
      </c>
      <c r="BA151" s="3">
        <v>107</v>
      </c>
      <c r="BD151" s="3">
        <v>2146189015</v>
      </c>
      <c r="BE151" s="3">
        <v>2146189015</v>
      </c>
      <c r="BF151" s="5" t="s">
        <v>67</v>
      </c>
      <c r="BG151" s="5" t="s">
        <v>97</v>
      </c>
      <c r="BH151" s="5" t="s">
        <v>1387</v>
      </c>
      <c r="BI151" s="5" t="s">
        <v>74</v>
      </c>
      <c r="BJ151" s="5" t="s">
        <v>1388</v>
      </c>
      <c r="BK151" s="5" t="s">
        <v>1389</v>
      </c>
      <c r="BL151" s="5" t="s">
        <v>1390</v>
      </c>
      <c r="BM151" s="5" t="s">
        <v>1391</v>
      </c>
      <c r="BN151" s="5" t="s">
        <v>1392</v>
      </c>
      <c r="BO151" s="5" t="s">
        <v>67</v>
      </c>
    </row>
    <row r="152" spans="1:67" ht="409.5" x14ac:dyDescent="0.25">
      <c r="A152" s="3">
        <v>1191915897</v>
      </c>
      <c r="B152" s="4">
        <v>42475</v>
      </c>
      <c r="C152" s="3">
        <v>187</v>
      </c>
      <c r="E152" s="3">
        <v>187</v>
      </c>
      <c r="H152" s="5" t="s">
        <v>67</v>
      </c>
      <c r="I152" s="3" t="b">
        <v>0</v>
      </c>
      <c r="J152" s="3" t="b">
        <v>1</v>
      </c>
      <c r="K152" s="3" t="b">
        <v>0</v>
      </c>
      <c r="L152" s="3" t="b">
        <v>1</v>
      </c>
      <c r="M152" s="3" t="b">
        <v>0</v>
      </c>
      <c r="N152" s="3" t="b">
        <v>0</v>
      </c>
      <c r="O152" s="3" t="b">
        <v>0</v>
      </c>
      <c r="P152" s="3" t="b">
        <v>1</v>
      </c>
      <c r="Q152" s="3" t="b">
        <v>0</v>
      </c>
      <c r="R152" s="3" t="s">
        <v>1393</v>
      </c>
      <c r="S152" s="5" t="s">
        <v>1394</v>
      </c>
      <c r="T152" s="3" t="b">
        <v>0</v>
      </c>
      <c r="U152" s="3" t="b">
        <v>1</v>
      </c>
      <c r="V152" s="5" t="s">
        <v>1395</v>
      </c>
      <c r="W152" s="5" t="s">
        <v>1396</v>
      </c>
      <c r="X152" s="3" t="b">
        <v>0</v>
      </c>
      <c r="Y152" s="3" t="b">
        <v>0</v>
      </c>
      <c r="Z152" s="3" t="b">
        <v>0</v>
      </c>
      <c r="AA152" s="3" t="b">
        <v>1</v>
      </c>
      <c r="AB152" s="5" t="s">
        <v>431</v>
      </c>
      <c r="AC152" s="5" t="s">
        <v>67</v>
      </c>
      <c r="AD152" s="5" t="s">
        <v>67</v>
      </c>
      <c r="AE152" s="5" t="s">
        <v>67</v>
      </c>
      <c r="AF152" s="5" t="s">
        <v>1397</v>
      </c>
      <c r="AG152" s="5" t="s">
        <v>67</v>
      </c>
      <c r="AH152" s="5" t="s">
        <v>1398</v>
      </c>
      <c r="AI152" s="5" t="s">
        <v>1399</v>
      </c>
      <c r="AJ152" s="5" t="s">
        <v>1400</v>
      </c>
      <c r="AK152" s="5" t="s">
        <v>67</v>
      </c>
      <c r="AL152" s="5" t="s">
        <v>67</v>
      </c>
      <c r="AM152" s="5" t="s">
        <v>1401</v>
      </c>
      <c r="AN152" s="5" t="s">
        <v>67</v>
      </c>
      <c r="AO152" s="5" t="s">
        <v>67</v>
      </c>
      <c r="AP152" s="5" t="s">
        <v>67</v>
      </c>
      <c r="AQ152" s="5" t="s">
        <v>67</v>
      </c>
      <c r="AR152" s="5" t="s">
        <v>67</v>
      </c>
      <c r="AW152" s="5" t="s">
        <v>67</v>
      </c>
      <c r="AX152" s="5" t="s">
        <v>67</v>
      </c>
      <c r="AY152" s="5" t="s">
        <v>67</v>
      </c>
      <c r="AZ152" s="5" t="s">
        <v>67</v>
      </c>
      <c r="BA152" s="3">
        <v>107</v>
      </c>
      <c r="BD152" s="3">
        <v>2146189005</v>
      </c>
      <c r="BE152" s="3">
        <v>2146189005</v>
      </c>
      <c r="BF152" s="5" t="s">
        <v>1402</v>
      </c>
      <c r="BG152" s="5" t="s">
        <v>97</v>
      </c>
      <c r="BH152" s="5" t="s">
        <v>67</v>
      </c>
      <c r="BI152" s="5" t="s">
        <v>74</v>
      </c>
      <c r="BJ152" s="5" t="s">
        <v>1403</v>
      </c>
      <c r="BK152" s="5" t="s">
        <v>1404</v>
      </c>
      <c r="BL152" s="5" t="s">
        <v>1405</v>
      </c>
      <c r="BM152" s="5" t="s">
        <v>67</v>
      </c>
      <c r="BN152" s="5" t="s">
        <v>1406</v>
      </c>
      <c r="BO152" s="5" t="s">
        <v>1407</v>
      </c>
    </row>
    <row r="153" spans="1:67" ht="409.5" x14ac:dyDescent="0.25">
      <c r="A153" s="3">
        <v>1194356555</v>
      </c>
      <c r="B153" s="4">
        <v>42284</v>
      </c>
      <c r="C153" s="3">
        <v>-1556024784</v>
      </c>
      <c r="H153" s="5" t="s">
        <v>67</v>
      </c>
      <c r="I153" s="3" t="b">
        <v>0</v>
      </c>
      <c r="J153" s="3" t="b">
        <v>0</v>
      </c>
      <c r="K153" s="3" t="b">
        <v>1</v>
      </c>
      <c r="L153" s="3" t="b">
        <v>1</v>
      </c>
      <c r="M153" s="3" t="b">
        <v>1</v>
      </c>
      <c r="N153" s="3" t="b">
        <v>0</v>
      </c>
      <c r="O153" s="3" t="b">
        <v>0</v>
      </c>
      <c r="P153" s="3" t="b">
        <v>0</v>
      </c>
      <c r="Q153" s="3" t="b">
        <v>0</v>
      </c>
      <c r="R153" s="3" t="s">
        <v>1408</v>
      </c>
      <c r="S153" s="5" t="s">
        <v>1409</v>
      </c>
      <c r="T153" s="3" t="b">
        <v>0</v>
      </c>
      <c r="U153" s="3" t="b">
        <v>1</v>
      </c>
      <c r="V153" s="5" t="s">
        <v>1410</v>
      </c>
      <c r="W153" s="5" t="s">
        <v>1411</v>
      </c>
      <c r="X153" s="3" t="b">
        <v>0</v>
      </c>
      <c r="Y153" s="3" t="b">
        <v>1</v>
      </c>
      <c r="Z153" s="3" t="b">
        <v>0</v>
      </c>
      <c r="AA153" s="3" t="b">
        <v>1</v>
      </c>
      <c r="AB153" s="5" t="s">
        <v>1412</v>
      </c>
      <c r="AC153" s="5" t="s">
        <v>67</v>
      </c>
      <c r="AD153" s="5" t="s">
        <v>1413</v>
      </c>
      <c r="AE153" s="5" t="s">
        <v>67</v>
      </c>
      <c r="AF153" s="5" t="s">
        <v>1414</v>
      </c>
      <c r="AG153" s="5" t="s">
        <v>1415</v>
      </c>
      <c r="AH153" s="5" t="s">
        <v>1416</v>
      </c>
      <c r="AI153" s="5" t="s">
        <v>67</v>
      </c>
      <c r="AJ153" s="5" t="s">
        <v>67</v>
      </c>
      <c r="AK153" s="5" t="s">
        <v>67</v>
      </c>
      <c r="AL153" s="5" t="s">
        <v>67</v>
      </c>
      <c r="AM153" s="5" t="s">
        <v>1417</v>
      </c>
      <c r="AN153" s="5" t="s">
        <v>1418</v>
      </c>
      <c r="AO153" s="5" t="s">
        <v>67</v>
      </c>
      <c r="AP153" s="5" t="s">
        <v>67</v>
      </c>
      <c r="AQ153" s="5" t="s">
        <v>67</v>
      </c>
      <c r="AR153" s="5" t="s">
        <v>67</v>
      </c>
      <c r="AS153" s="3">
        <v>1318928318</v>
      </c>
      <c r="AT153" s="3">
        <v>2146189064</v>
      </c>
      <c r="AU153" s="3">
        <v>1300885603</v>
      </c>
      <c r="AW153" s="5" t="s">
        <v>67</v>
      </c>
      <c r="AX153" s="5" t="s">
        <v>67</v>
      </c>
      <c r="AY153" s="5" t="s">
        <v>67</v>
      </c>
      <c r="AZ153" s="5" t="s">
        <v>67</v>
      </c>
      <c r="BA153" s="3">
        <v>107</v>
      </c>
      <c r="BD153" s="3">
        <v>2146188975</v>
      </c>
      <c r="BE153" s="3">
        <v>2146188975</v>
      </c>
      <c r="BF153" s="5" t="s">
        <v>67</v>
      </c>
      <c r="BG153" s="5" t="s">
        <v>1419</v>
      </c>
      <c r="BH153" s="5" t="s">
        <v>213</v>
      </c>
      <c r="BI153" s="5" t="s">
        <v>210</v>
      </c>
      <c r="BJ153" s="5" t="s">
        <v>213</v>
      </c>
      <c r="BK153" s="5" t="s">
        <v>1420</v>
      </c>
      <c r="BL153" s="5" t="s">
        <v>1421</v>
      </c>
      <c r="BM153" s="5" t="s">
        <v>67</v>
      </c>
      <c r="BN153" s="5" t="s">
        <v>1422</v>
      </c>
      <c r="BO153" s="5" t="s">
        <v>67</v>
      </c>
    </row>
    <row r="154" spans="1:67" ht="409.5" x14ac:dyDescent="0.25">
      <c r="A154" s="3">
        <v>1194358603</v>
      </c>
      <c r="B154" s="4">
        <v>42405</v>
      </c>
      <c r="C154" s="3">
        <v>2619</v>
      </c>
      <c r="H154" s="5" t="s">
        <v>67</v>
      </c>
      <c r="I154" s="3" t="b">
        <v>0</v>
      </c>
      <c r="J154" s="3" t="b">
        <v>0</v>
      </c>
      <c r="K154" s="3" t="b">
        <v>1</v>
      </c>
      <c r="L154" s="3" t="b">
        <v>0</v>
      </c>
      <c r="M154" s="3" t="b">
        <v>0</v>
      </c>
      <c r="N154" s="3" t="b">
        <v>0</v>
      </c>
      <c r="O154" s="3" t="b">
        <v>0</v>
      </c>
      <c r="P154" s="3" t="b">
        <v>1</v>
      </c>
      <c r="Q154" s="3" t="b">
        <v>0</v>
      </c>
      <c r="R154" s="3" t="s">
        <v>1423</v>
      </c>
      <c r="S154" s="5" t="s">
        <v>1424</v>
      </c>
      <c r="T154" s="3" t="b">
        <v>0</v>
      </c>
      <c r="U154" s="3" t="b">
        <v>0</v>
      </c>
      <c r="V154" s="5" t="s">
        <v>1425</v>
      </c>
      <c r="W154" s="5" t="s">
        <v>1426</v>
      </c>
      <c r="X154" s="3" t="b">
        <v>0</v>
      </c>
      <c r="Y154" s="3" t="b">
        <v>0</v>
      </c>
      <c r="Z154" s="3" t="b">
        <v>0</v>
      </c>
      <c r="AA154" s="3" t="b">
        <v>1</v>
      </c>
      <c r="AB154" s="5" t="s">
        <v>1427</v>
      </c>
      <c r="AC154" s="5" t="s">
        <v>67</v>
      </c>
      <c r="AD154" s="5" t="s">
        <v>67</v>
      </c>
      <c r="AE154" s="5" t="s">
        <v>67</v>
      </c>
      <c r="AF154" s="5" t="s">
        <v>1428</v>
      </c>
      <c r="AG154" s="5" t="s">
        <v>1429</v>
      </c>
      <c r="AH154" s="5" t="s">
        <v>1430</v>
      </c>
      <c r="AI154" s="5" t="s">
        <v>67</v>
      </c>
      <c r="AJ154" s="5" t="s">
        <v>1431</v>
      </c>
      <c r="AK154" s="5" t="s">
        <v>67</v>
      </c>
      <c r="AL154" s="5" t="s">
        <v>67</v>
      </c>
      <c r="AM154" s="5" t="s">
        <v>1432</v>
      </c>
      <c r="AN154" s="5" t="s">
        <v>67</v>
      </c>
      <c r="AO154" s="5" t="s">
        <v>67</v>
      </c>
      <c r="AP154" s="5" t="s">
        <v>67</v>
      </c>
      <c r="AQ154" s="5" t="s">
        <v>67</v>
      </c>
      <c r="AR154" s="5" t="s">
        <v>67</v>
      </c>
      <c r="AW154" s="5" t="s">
        <v>67</v>
      </c>
      <c r="AX154" s="5" t="s">
        <v>67</v>
      </c>
      <c r="AY154" s="5" t="s">
        <v>67</v>
      </c>
      <c r="AZ154" s="5" t="s">
        <v>67</v>
      </c>
      <c r="BA154" s="3">
        <v>107</v>
      </c>
      <c r="BD154" s="3">
        <v>2146188970</v>
      </c>
      <c r="BE154" s="3">
        <v>2146188970</v>
      </c>
      <c r="BF154" s="5" t="s">
        <v>1433</v>
      </c>
      <c r="BG154" s="5" t="s">
        <v>67</v>
      </c>
      <c r="BH154" s="5" t="s">
        <v>1434</v>
      </c>
      <c r="BI154" s="5" t="s">
        <v>74</v>
      </c>
      <c r="BJ154" s="5" t="s">
        <v>1435</v>
      </c>
      <c r="BK154" s="5" t="s">
        <v>1436</v>
      </c>
      <c r="BL154" s="5" t="s">
        <v>67</v>
      </c>
      <c r="BM154" s="5" t="s">
        <v>67</v>
      </c>
      <c r="BN154" s="5" t="s">
        <v>1437</v>
      </c>
      <c r="BO154" s="5" t="s">
        <v>67</v>
      </c>
    </row>
    <row r="155" spans="1:67" x14ac:dyDescent="0.25">
      <c r="A155" s="3">
        <v>1194881278</v>
      </c>
      <c r="B155" s="4">
        <v>42503</v>
      </c>
      <c r="H155" s="5" t="s">
        <v>67</v>
      </c>
      <c r="I155" s="3" t="b">
        <v>0</v>
      </c>
      <c r="J155" s="3" t="b">
        <v>0</v>
      </c>
      <c r="K155" s="3" t="b">
        <v>0</v>
      </c>
      <c r="L155" s="3" t="b">
        <v>0</v>
      </c>
      <c r="M155" s="3" t="b">
        <v>0</v>
      </c>
      <c r="N155" s="3" t="b">
        <v>0</v>
      </c>
      <c r="O155" s="3" t="b">
        <v>0</v>
      </c>
      <c r="P155" s="3" t="b">
        <v>0</v>
      </c>
      <c r="Q155" s="3" t="b">
        <v>0</v>
      </c>
      <c r="R155" s="3" t="s">
        <v>67</v>
      </c>
      <c r="S155" s="5" t="s">
        <v>67</v>
      </c>
      <c r="T155" s="3" t="b">
        <v>0</v>
      </c>
      <c r="U155" s="3" t="b">
        <v>0</v>
      </c>
      <c r="V155" s="5" t="s">
        <v>67</v>
      </c>
      <c r="W155" s="5" t="s">
        <v>67</v>
      </c>
      <c r="X155" s="3" t="b">
        <v>0</v>
      </c>
      <c r="Y155" s="3" t="b">
        <v>0</v>
      </c>
      <c r="Z155" s="3" t="b">
        <v>0</v>
      </c>
      <c r="AA155" s="3" t="b">
        <v>0</v>
      </c>
      <c r="AB155" s="5" t="s">
        <v>67</v>
      </c>
      <c r="AC155" s="5" t="s">
        <v>67</v>
      </c>
      <c r="AD155" s="5" t="s">
        <v>67</v>
      </c>
      <c r="AE155" s="5" t="s">
        <v>67</v>
      </c>
      <c r="AF155" s="5" t="s">
        <v>67</v>
      </c>
      <c r="AG155" s="5" t="s">
        <v>67</v>
      </c>
      <c r="AH155" s="5" t="s">
        <v>67</v>
      </c>
      <c r="AI155" s="5" t="s">
        <v>67</v>
      </c>
      <c r="AJ155" s="5" t="s">
        <v>67</v>
      </c>
      <c r="AK155" s="5" t="s">
        <v>67</v>
      </c>
      <c r="AL155" s="5" t="s">
        <v>67</v>
      </c>
      <c r="AM155" s="5" t="s">
        <v>67</v>
      </c>
      <c r="AN155" s="5" t="s">
        <v>67</v>
      </c>
      <c r="AO155" s="5" t="s">
        <v>67</v>
      </c>
      <c r="AP155" s="5" t="s">
        <v>67</v>
      </c>
      <c r="AQ155" s="5" t="s">
        <v>67</v>
      </c>
      <c r="AR155" s="5" t="s">
        <v>67</v>
      </c>
      <c r="AW155" s="5" t="s">
        <v>67</v>
      </c>
      <c r="AX155" s="5" t="s">
        <v>67</v>
      </c>
      <c r="AY155" s="5" t="s">
        <v>67</v>
      </c>
      <c r="AZ155" s="5" t="s">
        <v>67</v>
      </c>
      <c r="BD155" s="3">
        <v>2146189010</v>
      </c>
      <c r="BF155" s="5" t="s">
        <v>207</v>
      </c>
      <c r="BG155" s="5" t="s">
        <v>67</v>
      </c>
      <c r="BH155" s="5" t="s">
        <v>67</v>
      </c>
      <c r="BI155" s="5" t="s">
        <v>67</v>
      </c>
      <c r="BJ155" s="5" t="s">
        <v>67</v>
      </c>
      <c r="BK155" s="5" t="s">
        <v>67</v>
      </c>
      <c r="BL155" s="5" t="s">
        <v>67</v>
      </c>
      <c r="BM155" s="5" t="s">
        <v>67</v>
      </c>
      <c r="BN155" s="5" t="s">
        <v>67</v>
      </c>
      <c r="BO155" s="5" t="s">
        <v>67</v>
      </c>
    </row>
    <row r="156" spans="1:67" ht="255" x14ac:dyDescent="0.25">
      <c r="A156" s="3">
        <v>1195664924</v>
      </c>
      <c r="B156" s="4">
        <v>42886</v>
      </c>
      <c r="D156" s="3">
        <v>2146189984</v>
      </c>
      <c r="E156" s="3">
        <v>2146189289</v>
      </c>
      <c r="F156" s="3">
        <v>1424</v>
      </c>
      <c r="G156" s="3">
        <v>1424</v>
      </c>
      <c r="H156" s="5" t="s">
        <v>1438</v>
      </c>
      <c r="I156" s="3" t="b">
        <v>0</v>
      </c>
      <c r="J156" s="3" t="b">
        <v>0</v>
      </c>
      <c r="K156" s="3" t="b">
        <v>0</v>
      </c>
      <c r="L156" s="3" t="b">
        <v>1</v>
      </c>
      <c r="M156" s="3" t="b">
        <v>0</v>
      </c>
      <c r="N156" s="3" t="b">
        <v>0</v>
      </c>
      <c r="O156" s="3" t="b">
        <v>0</v>
      </c>
      <c r="P156" s="3" t="b">
        <v>1</v>
      </c>
      <c r="Q156" s="3" t="b">
        <v>0</v>
      </c>
      <c r="R156" s="3" t="s">
        <v>1439</v>
      </c>
      <c r="S156" s="5" t="s">
        <v>1440</v>
      </c>
      <c r="T156" s="3" t="b">
        <v>0</v>
      </c>
      <c r="U156" s="3" t="b">
        <v>1</v>
      </c>
      <c r="V156" s="5" t="s">
        <v>1441</v>
      </c>
      <c r="W156" s="5" t="s">
        <v>1442</v>
      </c>
      <c r="X156" s="3" t="b">
        <v>0</v>
      </c>
      <c r="Y156" s="3" t="b">
        <v>0</v>
      </c>
      <c r="Z156" s="3" t="b">
        <v>0</v>
      </c>
      <c r="AA156" s="3" t="b">
        <v>1</v>
      </c>
      <c r="AB156" s="5" t="s">
        <v>1443</v>
      </c>
      <c r="AC156" s="5" t="s">
        <v>1444</v>
      </c>
      <c r="AD156" s="5" t="s">
        <v>1445</v>
      </c>
      <c r="AE156" s="5" t="s">
        <v>67</v>
      </c>
      <c r="AF156" s="5" t="s">
        <v>1446</v>
      </c>
      <c r="AG156" s="5" t="s">
        <v>1447</v>
      </c>
      <c r="AH156" s="5" t="s">
        <v>1448</v>
      </c>
      <c r="AI156" s="5" t="s">
        <v>67</v>
      </c>
      <c r="AJ156" s="5" t="s">
        <v>1449</v>
      </c>
      <c r="AK156" s="5" t="s">
        <v>67</v>
      </c>
      <c r="AL156" s="5" t="s">
        <v>380</v>
      </c>
      <c r="AM156" s="5" t="s">
        <v>1450</v>
      </c>
      <c r="AN156" s="5" t="s">
        <v>1451</v>
      </c>
      <c r="AO156" s="5" t="s">
        <v>67</v>
      </c>
      <c r="AP156" s="5" t="s">
        <v>67</v>
      </c>
      <c r="AQ156" s="5" t="s">
        <v>67</v>
      </c>
      <c r="AR156" s="5" t="s">
        <v>67</v>
      </c>
      <c r="AW156" s="5" t="s">
        <v>67</v>
      </c>
      <c r="AX156" s="5" t="s">
        <v>67</v>
      </c>
      <c r="AY156" s="5" t="s">
        <v>67</v>
      </c>
      <c r="AZ156" s="5" t="s">
        <v>67</v>
      </c>
      <c r="BB156" s="3">
        <v>0</v>
      </c>
      <c r="BC156" s="3">
        <v>0</v>
      </c>
      <c r="BD156" s="3">
        <v>2146188974</v>
      </c>
      <c r="BE156" s="3">
        <v>2146188974</v>
      </c>
      <c r="BF156" s="5" t="s">
        <v>1452</v>
      </c>
      <c r="BG156" s="5" t="s">
        <v>97</v>
      </c>
      <c r="BH156" s="5" t="s">
        <v>1453</v>
      </c>
      <c r="BI156" s="5" t="s">
        <v>74</v>
      </c>
      <c r="BJ156" s="5" t="s">
        <v>1454</v>
      </c>
      <c r="BK156" s="5" t="s">
        <v>1455</v>
      </c>
      <c r="BL156" s="5" t="s">
        <v>1456</v>
      </c>
      <c r="BM156" s="5" t="s">
        <v>67</v>
      </c>
      <c r="BN156" s="5" t="s">
        <v>1457</v>
      </c>
      <c r="BO156" s="5" t="s">
        <v>67</v>
      </c>
    </row>
    <row r="157" spans="1:67" ht="409.5" x14ac:dyDescent="0.25">
      <c r="A157" s="3">
        <v>1196153139</v>
      </c>
      <c r="B157" s="4">
        <v>40994</v>
      </c>
      <c r="F157" s="3">
        <v>1424</v>
      </c>
      <c r="H157" s="5" t="s">
        <v>1458</v>
      </c>
      <c r="I157" s="3" t="b">
        <v>0</v>
      </c>
      <c r="J157" s="3" t="b">
        <v>0</v>
      </c>
      <c r="K157" s="3" t="b">
        <v>0</v>
      </c>
      <c r="L157" s="3" t="b">
        <v>1</v>
      </c>
      <c r="M157" s="3" t="b">
        <v>0</v>
      </c>
      <c r="N157" s="3" t="b">
        <v>0</v>
      </c>
      <c r="O157" s="3" t="b">
        <v>0</v>
      </c>
      <c r="P157" s="3" t="b">
        <v>0</v>
      </c>
      <c r="Q157" s="3" t="b">
        <v>0</v>
      </c>
      <c r="R157" s="3" t="s">
        <v>1459</v>
      </c>
      <c r="S157" s="5" t="s">
        <v>1460</v>
      </c>
      <c r="T157" s="3" t="b">
        <v>1</v>
      </c>
      <c r="U157" s="3" t="b">
        <v>1</v>
      </c>
      <c r="V157" s="5" t="s">
        <v>67</v>
      </c>
      <c r="W157" s="5" t="s">
        <v>1461</v>
      </c>
      <c r="X157" s="3" t="b">
        <v>0</v>
      </c>
      <c r="Y157" s="3" t="b">
        <v>0</v>
      </c>
      <c r="Z157" s="3" t="b">
        <v>0</v>
      </c>
      <c r="AA157" s="3" t="b">
        <v>1</v>
      </c>
      <c r="AB157" s="5" t="s">
        <v>1462</v>
      </c>
      <c r="AC157" s="5" t="s">
        <v>67</v>
      </c>
      <c r="AD157" s="5" t="s">
        <v>67</v>
      </c>
      <c r="AE157" s="5" t="s">
        <v>67</v>
      </c>
      <c r="AF157" s="5" t="s">
        <v>1463</v>
      </c>
      <c r="AG157" s="5" t="s">
        <v>67</v>
      </c>
      <c r="AH157" s="5" t="s">
        <v>1464</v>
      </c>
      <c r="AI157" s="5" t="s">
        <v>67</v>
      </c>
      <c r="AJ157" s="5" t="s">
        <v>1465</v>
      </c>
      <c r="AK157" s="5" t="s">
        <v>67</v>
      </c>
      <c r="AL157" s="5" t="s">
        <v>67</v>
      </c>
      <c r="AM157" s="5" t="s">
        <v>1466</v>
      </c>
      <c r="AN157" s="5" t="s">
        <v>67</v>
      </c>
      <c r="AO157" s="5" t="s">
        <v>67</v>
      </c>
      <c r="AP157" s="5" t="s">
        <v>1149</v>
      </c>
      <c r="AQ157" s="5" t="s">
        <v>67</v>
      </c>
      <c r="AR157" s="5" t="s">
        <v>67</v>
      </c>
      <c r="AW157" s="5" t="s">
        <v>67</v>
      </c>
      <c r="AX157" s="5" t="s">
        <v>67</v>
      </c>
      <c r="AY157" s="5" t="s">
        <v>67</v>
      </c>
      <c r="AZ157" s="5" t="s">
        <v>67</v>
      </c>
      <c r="BA157" s="3">
        <v>107</v>
      </c>
      <c r="BD157" s="3">
        <v>2146189018</v>
      </c>
      <c r="BE157" s="3">
        <v>2146189018</v>
      </c>
      <c r="BF157" s="5" t="s">
        <v>1467</v>
      </c>
      <c r="BG157" s="5" t="s">
        <v>972</v>
      </c>
      <c r="BH157" s="5" t="s">
        <v>1468</v>
      </c>
      <c r="BI157" s="5" t="s">
        <v>74</v>
      </c>
      <c r="BJ157" s="5" t="s">
        <v>1469</v>
      </c>
      <c r="BK157" s="5" t="s">
        <v>1470</v>
      </c>
      <c r="BL157" s="5" t="s">
        <v>1471</v>
      </c>
      <c r="BM157" s="5" t="s">
        <v>67</v>
      </c>
      <c r="BN157" s="5" t="s">
        <v>67</v>
      </c>
      <c r="BO157" s="5" t="s">
        <v>67</v>
      </c>
    </row>
    <row r="158" spans="1:67" ht="409.5" x14ac:dyDescent="0.25">
      <c r="A158" s="3">
        <v>1197467512</v>
      </c>
      <c r="B158" s="4">
        <v>42419</v>
      </c>
      <c r="C158" s="3">
        <v>163</v>
      </c>
      <c r="D158" s="3">
        <v>1137414434</v>
      </c>
      <c r="F158" s="3">
        <v>1424</v>
      </c>
      <c r="H158" s="5" t="s">
        <v>67</v>
      </c>
      <c r="I158" s="3" t="b">
        <v>0</v>
      </c>
      <c r="J158" s="3" t="b">
        <v>0</v>
      </c>
      <c r="K158" s="3" t="b">
        <v>1</v>
      </c>
      <c r="L158" s="3" t="b">
        <v>1</v>
      </c>
      <c r="M158" s="3" t="b">
        <v>0</v>
      </c>
      <c r="N158" s="3" t="b">
        <v>0</v>
      </c>
      <c r="O158" s="3" t="b">
        <v>0</v>
      </c>
      <c r="P158" s="3" t="b">
        <v>0</v>
      </c>
      <c r="Q158" s="3" t="b">
        <v>1</v>
      </c>
      <c r="R158" s="3" t="s">
        <v>1472</v>
      </c>
      <c r="S158" s="5" t="s">
        <v>1473</v>
      </c>
      <c r="T158" s="3" t="b">
        <v>1</v>
      </c>
      <c r="U158" s="3" t="b">
        <v>1</v>
      </c>
      <c r="V158" s="5" t="s">
        <v>1474</v>
      </c>
      <c r="W158" s="5" t="s">
        <v>1475</v>
      </c>
      <c r="X158" s="3" t="b">
        <v>0</v>
      </c>
      <c r="Y158" s="3" t="b">
        <v>0</v>
      </c>
      <c r="Z158" s="3" t="b">
        <v>0</v>
      </c>
      <c r="AA158" s="3" t="b">
        <v>1</v>
      </c>
      <c r="AB158" s="5" t="s">
        <v>1476</v>
      </c>
      <c r="AC158" s="5" t="s">
        <v>1477</v>
      </c>
      <c r="AD158" s="5" t="s">
        <v>67</v>
      </c>
      <c r="AE158" s="5" t="s">
        <v>67</v>
      </c>
      <c r="AF158" s="5" t="s">
        <v>1478</v>
      </c>
      <c r="AG158" s="5" t="s">
        <v>552</v>
      </c>
      <c r="AH158" s="5" t="s">
        <v>1479</v>
      </c>
      <c r="AI158" s="5" t="s">
        <v>1480</v>
      </c>
      <c r="AJ158" s="5" t="s">
        <v>1481</v>
      </c>
      <c r="AK158" s="5" t="s">
        <v>1482</v>
      </c>
      <c r="AL158" s="5" t="s">
        <v>67</v>
      </c>
      <c r="AM158" s="5" t="s">
        <v>1483</v>
      </c>
      <c r="AN158" s="5" t="s">
        <v>67</v>
      </c>
      <c r="AO158" s="5" t="s">
        <v>67</v>
      </c>
      <c r="AP158" s="5" t="s">
        <v>67</v>
      </c>
      <c r="AQ158" s="5" t="s">
        <v>67</v>
      </c>
      <c r="AR158" s="5" t="s">
        <v>67</v>
      </c>
      <c r="AW158" s="5" t="s">
        <v>67</v>
      </c>
      <c r="AX158" s="5" t="s">
        <v>67</v>
      </c>
      <c r="AY158" s="5" t="s">
        <v>67</v>
      </c>
      <c r="AZ158" s="5" t="s">
        <v>67</v>
      </c>
      <c r="BA158" s="3">
        <v>107</v>
      </c>
      <c r="BD158" s="3">
        <v>2146189005</v>
      </c>
      <c r="BF158" s="5" t="s">
        <v>1484</v>
      </c>
      <c r="BG158" s="5" t="s">
        <v>97</v>
      </c>
      <c r="BH158" s="5" t="s">
        <v>1485</v>
      </c>
      <c r="BI158" s="5" t="s">
        <v>74</v>
      </c>
      <c r="BJ158" s="5" t="s">
        <v>1486</v>
      </c>
      <c r="BK158" s="5" t="s">
        <v>1487</v>
      </c>
      <c r="BL158" s="5" t="s">
        <v>1488</v>
      </c>
      <c r="BM158" s="5" t="s">
        <v>1489</v>
      </c>
      <c r="BN158" s="5" t="s">
        <v>91</v>
      </c>
      <c r="BO158" s="5" t="s">
        <v>1490</v>
      </c>
    </row>
    <row r="159" spans="1:67" x14ac:dyDescent="0.25">
      <c r="A159" s="3">
        <v>1201506572</v>
      </c>
      <c r="B159" s="4">
        <v>42391</v>
      </c>
      <c r="C159" s="3">
        <v>1201536087</v>
      </c>
      <c r="H159" s="5" t="s">
        <v>67</v>
      </c>
      <c r="I159" s="3" t="b">
        <v>0</v>
      </c>
      <c r="J159" s="3" t="b">
        <v>0</v>
      </c>
      <c r="K159" s="3" t="b">
        <v>0</v>
      </c>
      <c r="L159" s="3" t="b">
        <v>0</v>
      </c>
      <c r="M159" s="3" t="b">
        <v>0</v>
      </c>
      <c r="N159" s="3" t="b">
        <v>0</v>
      </c>
      <c r="O159" s="3" t="b">
        <v>0</v>
      </c>
      <c r="P159" s="3" t="b">
        <v>0</v>
      </c>
      <c r="Q159" s="3" t="b">
        <v>0</v>
      </c>
      <c r="R159" s="3" t="s">
        <v>67</v>
      </c>
      <c r="S159" s="5" t="s">
        <v>67</v>
      </c>
      <c r="T159" s="3" t="b">
        <v>0</v>
      </c>
      <c r="U159" s="3" t="b">
        <v>0</v>
      </c>
      <c r="V159" s="5" t="s">
        <v>67</v>
      </c>
      <c r="W159" s="5" t="s">
        <v>67</v>
      </c>
      <c r="X159" s="3" t="b">
        <v>0</v>
      </c>
      <c r="Y159" s="3" t="b">
        <v>0</v>
      </c>
      <c r="Z159" s="3" t="b">
        <v>0</v>
      </c>
      <c r="AA159" s="3" t="b">
        <v>0</v>
      </c>
      <c r="AB159" s="5" t="s">
        <v>67</v>
      </c>
      <c r="AC159" s="5" t="s">
        <v>67</v>
      </c>
      <c r="AD159" s="5" t="s">
        <v>67</v>
      </c>
      <c r="AE159" s="5" t="s">
        <v>67</v>
      </c>
      <c r="AF159" s="5" t="s">
        <v>67</v>
      </c>
      <c r="AG159" s="5" t="s">
        <v>67</v>
      </c>
      <c r="AH159" s="5" t="s">
        <v>67</v>
      </c>
      <c r="AI159" s="5" t="s">
        <v>67</v>
      </c>
      <c r="AJ159" s="5" t="s">
        <v>67</v>
      </c>
      <c r="AK159" s="5" t="s">
        <v>67</v>
      </c>
      <c r="AL159" s="5" t="s">
        <v>67</v>
      </c>
      <c r="AM159" s="5" t="s">
        <v>67</v>
      </c>
      <c r="AN159" s="5" t="s">
        <v>67</v>
      </c>
      <c r="AO159" s="5" t="s">
        <v>67</v>
      </c>
      <c r="AP159" s="5" t="s">
        <v>67</v>
      </c>
      <c r="AQ159" s="5" t="s">
        <v>67</v>
      </c>
      <c r="AR159" s="5" t="s">
        <v>67</v>
      </c>
      <c r="AW159" s="5" t="s">
        <v>67</v>
      </c>
      <c r="AX159" s="5" t="s">
        <v>67</v>
      </c>
      <c r="AY159" s="5" t="s">
        <v>67</v>
      </c>
      <c r="AZ159" s="5" t="s">
        <v>67</v>
      </c>
      <c r="BF159" s="5" t="s">
        <v>67</v>
      </c>
      <c r="BG159" s="5" t="s">
        <v>67</v>
      </c>
      <c r="BH159" s="5" t="s">
        <v>67</v>
      </c>
      <c r="BI159" s="5" t="s">
        <v>67</v>
      </c>
      <c r="BJ159" s="5" t="s">
        <v>67</v>
      </c>
      <c r="BK159" s="5" t="s">
        <v>67</v>
      </c>
      <c r="BL159" s="5" t="s">
        <v>67</v>
      </c>
      <c r="BM159" s="5" t="s">
        <v>67</v>
      </c>
      <c r="BN159" s="5" t="s">
        <v>67</v>
      </c>
      <c r="BO159" s="5" t="s">
        <v>67</v>
      </c>
    </row>
    <row r="160" spans="1:67" x14ac:dyDescent="0.25">
      <c r="A160" s="3">
        <v>1201536087</v>
      </c>
      <c r="B160" s="4">
        <v>41059</v>
      </c>
      <c r="H160" s="5" t="s">
        <v>67</v>
      </c>
      <c r="I160" s="3" t="b">
        <v>0</v>
      </c>
      <c r="J160" s="3" t="b">
        <v>0</v>
      </c>
      <c r="K160" s="3" t="b">
        <v>0</v>
      </c>
      <c r="L160" s="3" t="b">
        <v>0</v>
      </c>
      <c r="M160" s="3" t="b">
        <v>0</v>
      </c>
      <c r="N160" s="3" t="b">
        <v>0</v>
      </c>
      <c r="O160" s="3" t="b">
        <v>0</v>
      </c>
      <c r="P160" s="3" t="b">
        <v>0</v>
      </c>
      <c r="Q160" s="3" t="b">
        <v>0</v>
      </c>
      <c r="R160" s="3" t="s">
        <v>67</v>
      </c>
      <c r="S160" s="5" t="s">
        <v>67</v>
      </c>
      <c r="T160" s="3" t="b">
        <v>0</v>
      </c>
      <c r="U160" s="3" t="b">
        <v>0</v>
      </c>
      <c r="V160" s="5" t="s">
        <v>67</v>
      </c>
      <c r="W160" s="5" t="s">
        <v>67</v>
      </c>
      <c r="X160" s="3" t="b">
        <v>0</v>
      </c>
      <c r="Y160" s="3" t="b">
        <v>0</v>
      </c>
      <c r="Z160" s="3" t="b">
        <v>0</v>
      </c>
      <c r="AA160" s="3" t="b">
        <v>0</v>
      </c>
      <c r="AB160" s="5" t="s">
        <v>67</v>
      </c>
      <c r="AC160" s="5" t="s">
        <v>67</v>
      </c>
      <c r="AD160" s="5" t="s">
        <v>67</v>
      </c>
      <c r="AE160" s="5" t="s">
        <v>67</v>
      </c>
      <c r="AF160" s="5" t="s">
        <v>67</v>
      </c>
      <c r="AG160" s="5" t="s">
        <v>67</v>
      </c>
      <c r="AH160" s="5" t="s">
        <v>67</v>
      </c>
      <c r="AI160" s="5" t="s">
        <v>67</v>
      </c>
      <c r="AJ160" s="5" t="s">
        <v>67</v>
      </c>
      <c r="AK160" s="5" t="s">
        <v>67</v>
      </c>
      <c r="AL160" s="5" t="s">
        <v>67</v>
      </c>
      <c r="AM160" s="5" t="s">
        <v>67</v>
      </c>
      <c r="AN160" s="5" t="s">
        <v>67</v>
      </c>
      <c r="AO160" s="5" t="s">
        <v>67</v>
      </c>
      <c r="AP160" s="5" t="s">
        <v>67</v>
      </c>
      <c r="AQ160" s="5" t="s">
        <v>67</v>
      </c>
      <c r="AR160" s="5" t="s">
        <v>67</v>
      </c>
      <c r="AW160" s="5" t="s">
        <v>67</v>
      </c>
      <c r="AX160" s="5" t="s">
        <v>67</v>
      </c>
      <c r="AY160" s="5" t="s">
        <v>67</v>
      </c>
      <c r="AZ160" s="5" t="s">
        <v>67</v>
      </c>
      <c r="BF160" s="5" t="s">
        <v>67</v>
      </c>
      <c r="BG160" s="5" t="s">
        <v>67</v>
      </c>
      <c r="BH160" s="5" t="s">
        <v>67</v>
      </c>
      <c r="BI160" s="5" t="s">
        <v>67</v>
      </c>
      <c r="BJ160" s="5" t="s">
        <v>67</v>
      </c>
      <c r="BK160" s="5" t="s">
        <v>67</v>
      </c>
      <c r="BL160" s="5" t="s">
        <v>67</v>
      </c>
      <c r="BM160" s="5" t="s">
        <v>67</v>
      </c>
      <c r="BN160" s="5" t="s">
        <v>67</v>
      </c>
      <c r="BO160" s="5" t="s">
        <v>67</v>
      </c>
    </row>
    <row r="161" spans="1:67" ht="345" x14ac:dyDescent="0.25">
      <c r="A161" s="3">
        <v>1206538880</v>
      </c>
      <c r="B161" s="4">
        <v>41766</v>
      </c>
      <c r="C161" s="3">
        <v>1246724225</v>
      </c>
      <c r="F161" s="3">
        <v>1434</v>
      </c>
      <c r="H161" s="5" t="s">
        <v>67</v>
      </c>
      <c r="I161" s="3" t="b">
        <v>0</v>
      </c>
      <c r="J161" s="3" t="b">
        <v>0</v>
      </c>
      <c r="K161" s="3" t="b">
        <v>1</v>
      </c>
      <c r="L161" s="3" t="b">
        <v>0</v>
      </c>
      <c r="M161" s="3" t="b">
        <v>0</v>
      </c>
      <c r="N161" s="3" t="b">
        <v>0</v>
      </c>
      <c r="O161" s="3" t="b">
        <v>0</v>
      </c>
      <c r="P161" s="3" t="b">
        <v>1</v>
      </c>
      <c r="Q161" s="3" t="b">
        <v>1</v>
      </c>
      <c r="R161" s="3" t="s">
        <v>881</v>
      </c>
      <c r="S161" s="5" t="s">
        <v>1491</v>
      </c>
      <c r="T161" s="3" t="b">
        <v>0</v>
      </c>
      <c r="U161" s="3" t="b">
        <v>1</v>
      </c>
      <c r="V161" s="5" t="s">
        <v>1492</v>
      </c>
      <c r="W161" s="5" t="s">
        <v>1493</v>
      </c>
      <c r="X161" s="3" t="b">
        <v>0</v>
      </c>
      <c r="Y161" s="3" t="b">
        <v>0</v>
      </c>
      <c r="Z161" s="3" t="b">
        <v>0</v>
      </c>
      <c r="AA161" s="3" t="b">
        <v>0</v>
      </c>
      <c r="AB161" s="5" t="s">
        <v>1494</v>
      </c>
      <c r="AC161" s="5" t="s">
        <v>67</v>
      </c>
      <c r="AD161" s="5" t="s">
        <v>1495</v>
      </c>
      <c r="AE161" s="5" t="s">
        <v>67</v>
      </c>
      <c r="AF161" s="5" t="s">
        <v>1496</v>
      </c>
      <c r="AG161" s="5" t="s">
        <v>1497</v>
      </c>
      <c r="AH161" s="5" t="s">
        <v>1498</v>
      </c>
      <c r="AI161" s="5" t="s">
        <v>67</v>
      </c>
      <c r="AJ161" s="5" t="s">
        <v>67</v>
      </c>
      <c r="AK161" s="5" t="s">
        <v>67</v>
      </c>
      <c r="AL161" s="5" t="s">
        <v>1499</v>
      </c>
      <c r="AM161" s="5" t="s">
        <v>1500</v>
      </c>
      <c r="AN161" s="5" t="s">
        <v>67</v>
      </c>
      <c r="AO161" s="5" t="s">
        <v>67</v>
      </c>
      <c r="AP161" s="5" t="s">
        <v>67</v>
      </c>
      <c r="AQ161" s="5" t="s">
        <v>67</v>
      </c>
      <c r="AR161" s="5" t="s">
        <v>67</v>
      </c>
      <c r="AW161" s="5" t="s">
        <v>67</v>
      </c>
      <c r="AX161" s="5" t="s">
        <v>67</v>
      </c>
      <c r="AY161" s="5" t="s">
        <v>67</v>
      </c>
      <c r="AZ161" s="5" t="s">
        <v>67</v>
      </c>
      <c r="BA161" s="3">
        <v>2146189424</v>
      </c>
      <c r="BB161" s="3">
        <v>2146189425</v>
      </c>
      <c r="BD161" s="3">
        <v>2146188975</v>
      </c>
      <c r="BE161" s="3">
        <v>2146188975</v>
      </c>
      <c r="BF161" s="5" t="s">
        <v>1501</v>
      </c>
      <c r="BG161" s="5" t="s">
        <v>97</v>
      </c>
      <c r="BH161" s="5" t="s">
        <v>67</v>
      </c>
      <c r="BI161" s="5" t="s">
        <v>210</v>
      </c>
      <c r="BJ161" s="5" t="s">
        <v>1502</v>
      </c>
      <c r="BK161" s="5" t="s">
        <v>1503</v>
      </c>
      <c r="BL161" s="5" t="s">
        <v>1504</v>
      </c>
      <c r="BM161" s="5" t="s">
        <v>67</v>
      </c>
      <c r="BN161" s="5" t="s">
        <v>1505</v>
      </c>
      <c r="BO161" s="5" t="s">
        <v>67</v>
      </c>
    </row>
    <row r="162" spans="1:67" ht="180" x14ac:dyDescent="0.25">
      <c r="A162" s="3">
        <v>1210064527</v>
      </c>
      <c r="B162" s="4">
        <v>42391</v>
      </c>
      <c r="C162" s="3">
        <v>280</v>
      </c>
      <c r="E162" s="3">
        <v>1192527076</v>
      </c>
      <c r="H162" s="5" t="s">
        <v>67</v>
      </c>
      <c r="I162" s="3" t="b">
        <v>0</v>
      </c>
      <c r="J162" s="3" t="b">
        <v>1</v>
      </c>
      <c r="K162" s="3" t="b">
        <v>0</v>
      </c>
      <c r="L162" s="3" t="b">
        <v>0</v>
      </c>
      <c r="M162" s="3" t="b">
        <v>1</v>
      </c>
      <c r="N162" s="3" t="b">
        <v>0</v>
      </c>
      <c r="O162" s="3" t="b">
        <v>0</v>
      </c>
      <c r="P162" s="3" t="b">
        <v>0</v>
      </c>
      <c r="Q162" s="3" t="b">
        <v>0</v>
      </c>
      <c r="R162" s="3" t="s">
        <v>1506</v>
      </c>
      <c r="S162" s="5" t="s">
        <v>461</v>
      </c>
      <c r="T162" s="3" t="b">
        <v>0</v>
      </c>
      <c r="U162" s="3" t="b">
        <v>1</v>
      </c>
      <c r="V162" s="5" t="s">
        <v>1507</v>
      </c>
      <c r="W162" s="5" t="s">
        <v>1508</v>
      </c>
      <c r="X162" s="3" t="b">
        <v>0</v>
      </c>
      <c r="Y162" s="3" t="b">
        <v>0</v>
      </c>
      <c r="Z162" s="3" t="b">
        <v>0</v>
      </c>
      <c r="AA162" s="3" t="b">
        <v>0</v>
      </c>
      <c r="AB162" s="5" t="s">
        <v>1509</v>
      </c>
      <c r="AC162" s="5" t="s">
        <v>67</v>
      </c>
      <c r="AD162" s="5" t="s">
        <v>1510</v>
      </c>
      <c r="AE162" s="5" t="s">
        <v>67</v>
      </c>
      <c r="AF162" s="5" t="s">
        <v>67</v>
      </c>
      <c r="AG162" s="5" t="s">
        <v>67</v>
      </c>
      <c r="AH162" s="5" t="s">
        <v>1511</v>
      </c>
      <c r="AI162" s="5" t="s">
        <v>67</v>
      </c>
      <c r="AJ162" s="5" t="s">
        <v>1512</v>
      </c>
      <c r="AK162" s="5" t="s">
        <v>67</v>
      </c>
      <c r="AL162" s="5" t="s">
        <v>67</v>
      </c>
      <c r="AM162" s="5" t="s">
        <v>67</v>
      </c>
      <c r="AN162" s="5" t="s">
        <v>67</v>
      </c>
      <c r="AO162" s="5" t="s">
        <v>67</v>
      </c>
      <c r="AP162" s="5" t="s">
        <v>67</v>
      </c>
      <c r="AQ162" s="5" t="s">
        <v>67</v>
      </c>
      <c r="AR162" s="5" t="s">
        <v>67</v>
      </c>
      <c r="AW162" s="5" t="s">
        <v>67</v>
      </c>
      <c r="AX162" s="5" t="s">
        <v>67</v>
      </c>
      <c r="AY162" s="5" t="s">
        <v>67</v>
      </c>
      <c r="AZ162" s="5" t="s">
        <v>67</v>
      </c>
      <c r="BA162" s="3">
        <v>2146189153</v>
      </c>
      <c r="BD162" s="3">
        <v>2146188979</v>
      </c>
      <c r="BE162" s="3">
        <v>2146188979</v>
      </c>
      <c r="BF162" s="5" t="s">
        <v>1513</v>
      </c>
      <c r="BG162" s="5" t="s">
        <v>1514</v>
      </c>
      <c r="BH162" s="5" t="s">
        <v>1515</v>
      </c>
      <c r="BI162" s="5" t="s">
        <v>74</v>
      </c>
      <c r="BJ162" s="5" t="s">
        <v>1516</v>
      </c>
      <c r="BK162" s="5" t="s">
        <v>1517</v>
      </c>
      <c r="BL162" s="5" t="s">
        <v>1518</v>
      </c>
      <c r="BM162" s="5" t="s">
        <v>67</v>
      </c>
      <c r="BN162" s="5" t="s">
        <v>67</v>
      </c>
      <c r="BO162" s="5" t="s">
        <v>67</v>
      </c>
    </row>
    <row r="163" spans="1:67" ht="409.5" x14ac:dyDescent="0.25">
      <c r="A163" s="3">
        <v>1219752667</v>
      </c>
      <c r="B163" s="4">
        <v>43041</v>
      </c>
      <c r="C163" s="3">
        <v>1613241293</v>
      </c>
      <c r="D163" s="3">
        <v>2146190060</v>
      </c>
      <c r="F163" s="3">
        <v>2146189103</v>
      </c>
      <c r="G163" s="3">
        <v>2146189103</v>
      </c>
      <c r="H163" s="5" t="s">
        <v>3263</v>
      </c>
      <c r="I163" s="3" t="b">
        <v>0</v>
      </c>
      <c r="J163" s="3" t="b">
        <v>0</v>
      </c>
      <c r="K163" s="3" t="b">
        <v>0</v>
      </c>
      <c r="L163" s="3" t="b">
        <v>1</v>
      </c>
      <c r="M163" s="3" t="b">
        <v>1</v>
      </c>
      <c r="N163" s="3" t="b">
        <v>0</v>
      </c>
      <c r="O163" s="3" t="b">
        <v>0</v>
      </c>
      <c r="P163" s="3" t="b">
        <v>0</v>
      </c>
      <c r="Q163" s="3" t="b">
        <v>0</v>
      </c>
      <c r="R163" s="3" t="s">
        <v>3264</v>
      </c>
      <c r="S163" s="5" t="s">
        <v>3265</v>
      </c>
      <c r="T163" s="3" t="b">
        <v>1</v>
      </c>
      <c r="U163" s="3" t="b">
        <v>1</v>
      </c>
      <c r="V163" s="5" t="s">
        <v>3266</v>
      </c>
      <c r="W163" s="5" t="s">
        <v>3267</v>
      </c>
      <c r="X163" s="3" t="b">
        <v>0</v>
      </c>
      <c r="Y163" s="3" t="b">
        <v>0</v>
      </c>
      <c r="Z163" s="3" t="b">
        <v>0</v>
      </c>
      <c r="AA163" s="3" t="b">
        <v>1</v>
      </c>
      <c r="AB163" s="5" t="s">
        <v>3268</v>
      </c>
      <c r="AC163" s="5" t="s">
        <v>3269</v>
      </c>
      <c r="AD163" s="5" t="s">
        <v>3270</v>
      </c>
      <c r="AE163" s="5" t="s">
        <v>3271</v>
      </c>
      <c r="AF163" s="5" t="s">
        <v>3272</v>
      </c>
      <c r="AG163" s="5" t="s">
        <v>3273</v>
      </c>
      <c r="AH163" s="5" t="s">
        <v>3274</v>
      </c>
      <c r="AI163" s="5" t="s">
        <v>3275</v>
      </c>
      <c r="AJ163" s="5" t="s">
        <v>67</v>
      </c>
      <c r="AK163" s="5" t="s">
        <v>3276</v>
      </c>
      <c r="AL163" s="5" t="s">
        <v>67</v>
      </c>
      <c r="AM163" s="5" t="s">
        <v>3277</v>
      </c>
      <c r="AN163" s="5" t="s">
        <v>3278</v>
      </c>
      <c r="AO163" s="5" t="s">
        <v>3279</v>
      </c>
      <c r="AP163" s="5" t="s">
        <v>3280</v>
      </c>
      <c r="AQ163" s="5" t="s">
        <v>67</v>
      </c>
      <c r="AR163" s="5" t="s">
        <v>67</v>
      </c>
      <c r="AW163" s="5" t="s">
        <v>67</v>
      </c>
      <c r="AX163" s="5" t="s">
        <v>67</v>
      </c>
      <c r="AY163" s="5" t="s">
        <v>67</v>
      </c>
      <c r="AZ163" s="5" t="s">
        <v>67</v>
      </c>
      <c r="BA163" s="3">
        <v>2146189787</v>
      </c>
      <c r="BB163" s="3">
        <v>2146190061</v>
      </c>
      <c r="BF163" s="5" t="s">
        <v>67</v>
      </c>
      <c r="BG163" s="5" t="s">
        <v>3281</v>
      </c>
      <c r="BH163" s="5" t="s">
        <v>3282</v>
      </c>
      <c r="BI163" s="5" t="s">
        <v>210</v>
      </c>
      <c r="BJ163" s="5" t="s">
        <v>3283</v>
      </c>
      <c r="BK163" s="5" t="s">
        <v>3284</v>
      </c>
      <c r="BL163" s="5" t="s">
        <v>3285</v>
      </c>
      <c r="BM163" s="5" t="s">
        <v>3286</v>
      </c>
      <c r="BN163" s="5" t="s">
        <v>3287</v>
      </c>
      <c r="BO163" s="5" t="s">
        <v>67</v>
      </c>
    </row>
    <row r="164" spans="1:67" ht="360" x14ac:dyDescent="0.25">
      <c r="A164" s="3">
        <v>1220344826</v>
      </c>
      <c r="B164" s="4">
        <v>42866</v>
      </c>
      <c r="C164" s="3">
        <v>2146189239</v>
      </c>
      <c r="F164" s="3">
        <v>2146189241</v>
      </c>
      <c r="G164" s="3">
        <v>2146189241</v>
      </c>
      <c r="H164" s="5" t="s">
        <v>1519</v>
      </c>
      <c r="I164" s="3" t="b">
        <v>0</v>
      </c>
      <c r="J164" s="3" t="b">
        <v>0</v>
      </c>
      <c r="K164" s="3" t="b">
        <v>1</v>
      </c>
      <c r="L164" s="3" t="b">
        <v>1</v>
      </c>
      <c r="M164" s="3" t="b">
        <v>0</v>
      </c>
      <c r="N164" s="3" t="b">
        <v>0</v>
      </c>
      <c r="O164" s="3" t="b">
        <v>1</v>
      </c>
      <c r="P164" s="3" t="b">
        <v>1</v>
      </c>
      <c r="Q164" s="3" t="b">
        <v>0</v>
      </c>
      <c r="R164" s="3" t="s">
        <v>1520</v>
      </c>
      <c r="S164" s="5" t="s">
        <v>1521</v>
      </c>
      <c r="T164" s="3" t="b">
        <v>0</v>
      </c>
      <c r="U164" s="3" t="b">
        <v>1</v>
      </c>
      <c r="V164" s="5" t="s">
        <v>1522</v>
      </c>
      <c r="W164" s="5" t="s">
        <v>1523</v>
      </c>
      <c r="X164" s="3" t="b">
        <v>0</v>
      </c>
      <c r="Y164" s="3" t="b">
        <v>0</v>
      </c>
      <c r="Z164" s="3" t="b">
        <v>0</v>
      </c>
      <c r="AA164" s="3" t="b">
        <v>1</v>
      </c>
      <c r="AB164" s="5" t="s">
        <v>369</v>
      </c>
      <c r="AC164" s="5" t="s">
        <v>1524</v>
      </c>
      <c r="AD164" s="5" t="s">
        <v>67</v>
      </c>
      <c r="AE164" s="5" t="s">
        <v>1525</v>
      </c>
      <c r="AF164" s="5" t="s">
        <v>1526</v>
      </c>
      <c r="AG164" s="5" t="s">
        <v>67</v>
      </c>
      <c r="AH164" s="5" t="s">
        <v>1527</v>
      </c>
      <c r="AI164" s="5" t="s">
        <v>67</v>
      </c>
      <c r="AJ164" s="5" t="s">
        <v>1528</v>
      </c>
      <c r="AK164" s="5" t="s">
        <v>1529</v>
      </c>
      <c r="AL164" s="5" t="s">
        <v>67</v>
      </c>
      <c r="AM164" s="5" t="s">
        <v>573</v>
      </c>
      <c r="AN164" s="5" t="s">
        <v>1530</v>
      </c>
      <c r="AO164" s="5" t="s">
        <v>1531</v>
      </c>
      <c r="AP164" s="5" t="s">
        <v>67</v>
      </c>
      <c r="AQ164" s="5" t="s">
        <v>67</v>
      </c>
      <c r="AR164" s="5" t="s">
        <v>67</v>
      </c>
      <c r="AW164" s="5" t="s">
        <v>67</v>
      </c>
      <c r="AX164" s="5" t="s">
        <v>67</v>
      </c>
      <c r="AY164" s="5" t="s">
        <v>67</v>
      </c>
      <c r="AZ164" s="5" t="s">
        <v>67</v>
      </c>
      <c r="BA164" s="3">
        <v>107</v>
      </c>
      <c r="BD164" s="3">
        <v>2146188976</v>
      </c>
      <c r="BF164" s="5" t="s">
        <v>1532</v>
      </c>
      <c r="BG164" s="5" t="s">
        <v>1533</v>
      </c>
      <c r="BH164" s="5" t="s">
        <v>67</v>
      </c>
      <c r="BI164" s="5" t="s">
        <v>74</v>
      </c>
      <c r="BJ164" s="5" t="s">
        <v>1534</v>
      </c>
      <c r="BK164" s="5" t="s">
        <v>1535</v>
      </c>
      <c r="BL164" s="5" t="s">
        <v>1536</v>
      </c>
      <c r="BM164" s="5" t="s">
        <v>67</v>
      </c>
      <c r="BN164" s="5" t="s">
        <v>1537</v>
      </c>
      <c r="BO164" s="5" t="s">
        <v>67</v>
      </c>
    </row>
    <row r="165" spans="1:67" x14ac:dyDescent="0.25">
      <c r="A165" s="3">
        <v>1228834647</v>
      </c>
      <c r="B165" s="4">
        <v>42384</v>
      </c>
      <c r="H165" s="5" t="s">
        <v>67</v>
      </c>
      <c r="I165" s="3" t="b">
        <v>0</v>
      </c>
      <c r="J165" s="3" t="b">
        <v>0</v>
      </c>
      <c r="K165" s="3" t="b">
        <v>0</v>
      </c>
      <c r="L165" s="3" t="b">
        <v>0</v>
      </c>
      <c r="M165" s="3" t="b">
        <v>0</v>
      </c>
      <c r="N165" s="3" t="b">
        <v>0</v>
      </c>
      <c r="O165" s="3" t="b">
        <v>0</v>
      </c>
      <c r="P165" s="3" t="b">
        <v>0</v>
      </c>
      <c r="Q165" s="3" t="b">
        <v>0</v>
      </c>
      <c r="R165" s="3" t="s">
        <v>67</v>
      </c>
      <c r="S165" s="5" t="s">
        <v>67</v>
      </c>
      <c r="T165" s="3" t="b">
        <v>0</v>
      </c>
      <c r="U165" s="3" t="b">
        <v>0</v>
      </c>
      <c r="V165" s="5" t="s">
        <v>67</v>
      </c>
      <c r="W165" s="5" t="s">
        <v>67</v>
      </c>
      <c r="X165" s="3" t="b">
        <v>0</v>
      </c>
      <c r="Y165" s="3" t="b">
        <v>0</v>
      </c>
      <c r="Z165" s="3" t="b">
        <v>0</v>
      </c>
      <c r="AA165" s="3" t="b">
        <v>0</v>
      </c>
      <c r="AB165" s="5" t="s">
        <v>67</v>
      </c>
      <c r="AC165" s="5" t="s">
        <v>67</v>
      </c>
      <c r="AD165" s="5" t="s">
        <v>67</v>
      </c>
      <c r="AE165" s="5" t="s">
        <v>67</v>
      </c>
      <c r="AF165" s="5" t="s">
        <v>67</v>
      </c>
      <c r="AG165" s="5" t="s">
        <v>67</v>
      </c>
      <c r="AH165" s="5" t="s">
        <v>67</v>
      </c>
      <c r="AI165" s="5" t="s">
        <v>67</v>
      </c>
      <c r="AJ165" s="5" t="s">
        <v>67</v>
      </c>
      <c r="AK165" s="5" t="s">
        <v>67</v>
      </c>
      <c r="AL165" s="5" t="s">
        <v>67</v>
      </c>
      <c r="AM165" s="5" t="s">
        <v>67</v>
      </c>
      <c r="AN165" s="5" t="s">
        <v>67</v>
      </c>
      <c r="AO165" s="5" t="s">
        <v>67</v>
      </c>
      <c r="AP165" s="5" t="s">
        <v>67</v>
      </c>
      <c r="AQ165" s="5" t="s">
        <v>67</v>
      </c>
      <c r="AR165" s="5" t="s">
        <v>67</v>
      </c>
      <c r="AW165" s="5" t="s">
        <v>67</v>
      </c>
      <c r="AX165" s="5" t="s">
        <v>67</v>
      </c>
      <c r="AY165" s="5" t="s">
        <v>67</v>
      </c>
      <c r="AZ165" s="5" t="s">
        <v>67</v>
      </c>
      <c r="BF165" s="5" t="s">
        <v>67</v>
      </c>
      <c r="BG165" s="5" t="s">
        <v>67</v>
      </c>
      <c r="BH165" s="5" t="s">
        <v>67</v>
      </c>
      <c r="BI165" s="5" t="s">
        <v>67</v>
      </c>
      <c r="BJ165" s="5" t="s">
        <v>67</v>
      </c>
      <c r="BK165" s="5" t="s">
        <v>67</v>
      </c>
      <c r="BL165" s="5" t="s">
        <v>67</v>
      </c>
      <c r="BM165" s="5" t="s">
        <v>67</v>
      </c>
      <c r="BN165" s="5" t="s">
        <v>67</v>
      </c>
      <c r="BO165" s="5" t="s">
        <v>67</v>
      </c>
    </row>
    <row r="166" spans="1:67" ht="409.5" x14ac:dyDescent="0.25">
      <c r="A166" s="3">
        <v>1228835384</v>
      </c>
      <c r="B166" s="4">
        <v>42886</v>
      </c>
      <c r="C166" s="3">
        <v>2619</v>
      </c>
      <c r="E166" s="3">
        <v>2619</v>
      </c>
      <c r="F166" s="3">
        <v>1424</v>
      </c>
      <c r="G166" s="3">
        <v>1424</v>
      </c>
      <c r="H166" s="5" t="s">
        <v>1538</v>
      </c>
      <c r="I166" s="3" t="b">
        <v>0</v>
      </c>
      <c r="J166" s="3" t="b">
        <v>1</v>
      </c>
      <c r="K166" s="3" t="b">
        <v>1</v>
      </c>
      <c r="L166" s="3" t="b">
        <v>0</v>
      </c>
      <c r="M166" s="3" t="b">
        <v>0</v>
      </c>
      <c r="N166" s="3" t="b">
        <v>0</v>
      </c>
      <c r="O166" s="3" t="b">
        <v>0</v>
      </c>
      <c r="P166" s="3" t="b">
        <v>1</v>
      </c>
      <c r="Q166" s="3" t="b">
        <v>0</v>
      </c>
      <c r="R166" s="3" t="s">
        <v>1539</v>
      </c>
      <c r="S166" s="5" t="s">
        <v>1540</v>
      </c>
      <c r="T166" s="3" t="b">
        <v>0</v>
      </c>
      <c r="U166" s="3" t="b">
        <v>1</v>
      </c>
      <c r="V166" s="5" t="s">
        <v>1541</v>
      </c>
      <c r="W166" s="5" t="s">
        <v>1542</v>
      </c>
      <c r="X166" s="3" t="b">
        <v>0</v>
      </c>
      <c r="Y166" s="3" t="b">
        <v>0</v>
      </c>
      <c r="Z166" s="3" t="b">
        <v>0</v>
      </c>
      <c r="AA166" s="3" t="b">
        <v>1</v>
      </c>
      <c r="AB166" s="5" t="s">
        <v>1543</v>
      </c>
      <c r="AC166" s="5" t="s">
        <v>1544</v>
      </c>
      <c r="AD166" s="5" t="s">
        <v>1545</v>
      </c>
      <c r="AE166" s="5" t="s">
        <v>67</v>
      </c>
      <c r="AF166" s="5" t="s">
        <v>1546</v>
      </c>
      <c r="AG166" s="5" t="s">
        <v>1547</v>
      </c>
      <c r="AH166" s="5" t="s">
        <v>1548</v>
      </c>
      <c r="AI166" s="5" t="s">
        <v>1549</v>
      </c>
      <c r="AJ166" s="5" t="s">
        <v>1550</v>
      </c>
      <c r="AK166" s="5" t="s">
        <v>67</v>
      </c>
      <c r="AL166" s="5" t="s">
        <v>67</v>
      </c>
      <c r="AM166" s="5" t="s">
        <v>1551</v>
      </c>
      <c r="AN166" s="5" t="s">
        <v>1552</v>
      </c>
      <c r="AO166" s="5" t="s">
        <v>67</v>
      </c>
      <c r="AP166" s="5" t="s">
        <v>67</v>
      </c>
      <c r="AQ166" s="5" t="s">
        <v>67</v>
      </c>
      <c r="AR166" s="5" t="s">
        <v>67</v>
      </c>
      <c r="AW166" s="5" t="s">
        <v>67</v>
      </c>
      <c r="AX166" s="5" t="s">
        <v>67</v>
      </c>
      <c r="AY166" s="5" t="s">
        <v>67</v>
      </c>
      <c r="AZ166" s="5" t="s">
        <v>67</v>
      </c>
      <c r="BA166" s="3">
        <v>107</v>
      </c>
      <c r="BD166" s="3">
        <v>2146188974</v>
      </c>
      <c r="BE166" s="3">
        <v>2146188974</v>
      </c>
      <c r="BF166" s="5" t="s">
        <v>1433</v>
      </c>
      <c r="BG166" s="5" t="s">
        <v>1553</v>
      </c>
      <c r="BH166" s="5" t="s">
        <v>1554</v>
      </c>
      <c r="BI166" s="5" t="s">
        <v>74</v>
      </c>
      <c r="BJ166" s="5" t="s">
        <v>1555</v>
      </c>
      <c r="BK166" s="5" t="s">
        <v>1556</v>
      </c>
      <c r="BL166" s="5" t="s">
        <v>1557</v>
      </c>
      <c r="BM166" s="5" t="s">
        <v>1558</v>
      </c>
      <c r="BN166" s="5" t="s">
        <v>1559</v>
      </c>
      <c r="BO166" s="5" t="s">
        <v>1560</v>
      </c>
    </row>
    <row r="167" spans="1:67" x14ac:dyDescent="0.25">
      <c r="A167" s="3">
        <v>1228837894</v>
      </c>
      <c r="B167" s="4">
        <v>41096.488622685203</v>
      </c>
      <c r="H167" s="5" t="s">
        <v>67</v>
      </c>
      <c r="I167" s="3" t="b">
        <v>0</v>
      </c>
      <c r="J167" s="3" t="b">
        <v>0</v>
      </c>
      <c r="K167" s="3" t="b">
        <v>0</v>
      </c>
      <c r="L167" s="3" t="b">
        <v>0</v>
      </c>
      <c r="M167" s="3" t="b">
        <v>0</v>
      </c>
      <c r="N167" s="3" t="b">
        <v>0</v>
      </c>
      <c r="O167" s="3" t="b">
        <v>0</v>
      </c>
      <c r="P167" s="3" t="b">
        <v>0</v>
      </c>
      <c r="Q167" s="3" t="b">
        <v>0</v>
      </c>
      <c r="R167" s="3" t="s">
        <v>67</v>
      </c>
      <c r="S167" s="5" t="s">
        <v>67</v>
      </c>
      <c r="T167" s="3" t="b">
        <v>0</v>
      </c>
      <c r="U167" s="3" t="b">
        <v>0</v>
      </c>
      <c r="V167" s="5" t="s">
        <v>67</v>
      </c>
      <c r="W167" s="5" t="s">
        <v>67</v>
      </c>
      <c r="X167" s="3" t="b">
        <v>0</v>
      </c>
      <c r="Y167" s="3" t="b">
        <v>0</v>
      </c>
      <c r="Z167" s="3" t="b">
        <v>0</v>
      </c>
      <c r="AA167" s="3" t="b">
        <v>0</v>
      </c>
      <c r="AB167" s="5" t="s">
        <v>67</v>
      </c>
      <c r="AC167" s="5" t="s">
        <v>67</v>
      </c>
      <c r="AD167" s="5" t="s">
        <v>67</v>
      </c>
      <c r="AE167" s="5" t="s">
        <v>67</v>
      </c>
      <c r="AF167" s="5" t="s">
        <v>67</v>
      </c>
      <c r="AG167" s="5" t="s">
        <v>67</v>
      </c>
      <c r="AH167" s="5" t="s">
        <v>67</v>
      </c>
      <c r="AI167" s="5" t="s">
        <v>67</v>
      </c>
      <c r="AJ167" s="5" t="s">
        <v>67</v>
      </c>
      <c r="AK167" s="5" t="s">
        <v>67</v>
      </c>
      <c r="AL167" s="5" t="s">
        <v>67</v>
      </c>
      <c r="AM167" s="5" t="s">
        <v>67</v>
      </c>
      <c r="AN167" s="5" t="s">
        <v>67</v>
      </c>
      <c r="AO167" s="5" t="s">
        <v>67</v>
      </c>
      <c r="AP167" s="5" t="s">
        <v>67</v>
      </c>
      <c r="AQ167" s="5" t="s">
        <v>67</v>
      </c>
      <c r="AR167" s="5" t="s">
        <v>67</v>
      </c>
      <c r="AW167" s="5" t="s">
        <v>67</v>
      </c>
      <c r="AX167" s="5" t="s">
        <v>67</v>
      </c>
      <c r="AY167" s="5" t="s">
        <v>67</v>
      </c>
      <c r="AZ167" s="5" t="s">
        <v>67</v>
      </c>
      <c r="BF167" s="5" t="s">
        <v>67</v>
      </c>
      <c r="BG167" s="5" t="s">
        <v>67</v>
      </c>
      <c r="BH167" s="5" t="s">
        <v>67</v>
      </c>
      <c r="BI167" s="5" t="s">
        <v>67</v>
      </c>
      <c r="BJ167" s="5" t="s">
        <v>67</v>
      </c>
      <c r="BK167" s="5" t="s">
        <v>67</v>
      </c>
      <c r="BL167" s="5" t="s">
        <v>67</v>
      </c>
      <c r="BM167" s="5" t="s">
        <v>67</v>
      </c>
      <c r="BN167" s="5" t="s">
        <v>67</v>
      </c>
      <c r="BO167" s="5" t="s">
        <v>67</v>
      </c>
    </row>
    <row r="168" spans="1:67" ht="409.5" x14ac:dyDescent="0.25">
      <c r="A168" s="3">
        <v>1228923808</v>
      </c>
      <c r="B168" s="4">
        <v>42886</v>
      </c>
      <c r="C168" s="3">
        <v>148</v>
      </c>
      <c r="F168" s="3">
        <v>1424</v>
      </c>
      <c r="H168" s="5" t="s">
        <v>1561</v>
      </c>
      <c r="I168" s="3" t="b">
        <v>0</v>
      </c>
      <c r="J168" s="3" t="b">
        <v>1</v>
      </c>
      <c r="K168" s="3" t="b">
        <v>1</v>
      </c>
      <c r="L168" s="3" t="b">
        <v>0</v>
      </c>
      <c r="M168" s="3" t="b">
        <v>0</v>
      </c>
      <c r="N168" s="3" t="b">
        <v>0</v>
      </c>
      <c r="O168" s="3" t="b">
        <v>0</v>
      </c>
      <c r="P168" s="3" t="b">
        <v>1</v>
      </c>
      <c r="Q168" s="3" t="b">
        <v>0</v>
      </c>
      <c r="R168" s="3" t="s">
        <v>1562</v>
      </c>
      <c r="S168" s="5" t="s">
        <v>1563</v>
      </c>
      <c r="T168" s="3" t="b">
        <v>0</v>
      </c>
      <c r="U168" s="3" t="b">
        <v>1</v>
      </c>
      <c r="V168" s="5" t="s">
        <v>1564</v>
      </c>
      <c r="W168" s="5" t="s">
        <v>1565</v>
      </c>
      <c r="X168" s="3" t="b">
        <v>0</v>
      </c>
      <c r="Y168" s="3" t="b">
        <v>0</v>
      </c>
      <c r="Z168" s="3" t="b">
        <v>0</v>
      </c>
      <c r="AA168" s="3" t="b">
        <v>1</v>
      </c>
      <c r="AB168" s="5" t="s">
        <v>1566</v>
      </c>
      <c r="AC168" s="5" t="s">
        <v>1567</v>
      </c>
      <c r="AD168" s="5" t="s">
        <v>1568</v>
      </c>
      <c r="AE168" s="5" t="s">
        <v>67</v>
      </c>
      <c r="AF168" s="5" t="s">
        <v>1569</v>
      </c>
      <c r="AG168" s="5" t="s">
        <v>67</v>
      </c>
      <c r="AH168" s="5" t="s">
        <v>1570</v>
      </c>
      <c r="AI168" s="5" t="s">
        <v>1571</v>
      </c>
      <c r="AJ168" s="5" t="s">
        <v>67</v>
      </c>
      <c r="AK168" s="5" t="s">
        <v>67</v>
      </c>
      <c r="AL168" s="5" t="s">
        <v>67</v>
      </c>
      <c r="AM168" s="5" t="s">
        <v>1572</v>
      </c>
      <c r="AN168" s="5" t="s">
        <v>1573</v>
      </c>
      <c r="AO168" s="5" t="s">
        <v>67</v>
      </c>
      <c r="AP168" s="5" t="s">
        <v>67</v>
      </c>
      <c r="AQ168" s="5" t="s">
        <v>67</v>
      </c>
      <c r="AR168" s="5" t="s">
        <v>67</v>
      </c>
      <c r="AW168" s="5" t="s">
        <v>67</v>
      </c>
      <c r="AX168" s="5" t="s">
        <v>67</v>
      </c>
      <c r="AY168" s="5" t="s">
        <v>67</v>
      </c>
      <c r="AZ168" s="5" t="s">
        <v>67</v>
      </c>
      <c r="BA168" s="3">
        <v>107</v>
      </c>
      <c r="BD168" s="3">
        <v>2146188976</v>
      </c>
      <c r="BE168" s="3">
        <v>2146188976</v>
      </c>
      <c r="BF168" s="5" t="s">
        <v>1574</v>
      </c>
      <c r="BG168" s="5" t="s">
        <v>97</v>
      </c>
      <c r="BH168" s="5" t="s">
        <v>73</v>
      </c>
      <c r="BI168" s="5" t="s">
        <v>74</v>
      </c>
      <c r="BJ168" s="5" t="s">
        <v>1575</v>
      </c>
      <c r="BK168" s="5" t="s">
        <v>1576</v>
      </c>
      <c r="BL168" s="5" t="s">
        <v>1577</v>
      </c>
      <c r="BM168" s="5" t="s">
        <v>1578</v>
      </c>
      <c r="BN168" s="5" t="s">
        <v>1579</v>
      </c>
      <c r="BO168" s="5" t="s">
        <v>754</v>
      </c>
    </row>
    <row r="169" spans="1:67" ht="409.5" x14ac:dyDescent="0.25">
      <c r="A169" s="3">
        <v>1228924280</v>
      </c>
      <c r="B169" s="4">
        <v>41827</v>
      </c>
      <c r="F169" s="3">
        <v>1424</v>
      </c>
      <c r="H169" s="5" t="s">
        <v>1580</v>
      </c>
      <c r="I169" s="3" t="b">
        <v>0</v>
      </c>
      <c r="J169" s="3" t="b">
        <v>1</v>
      </c>
      <c r="K169" s="3" t="b">
        <v>0</v>
      </c>
      <c r="L169" s="3" t="b">
        <v>1</v>
      </c>
      <c r="M169" s="3" t="b">
        <v>0</v>
      </c>
      <c r="N169" s="3" t="b">
        <v>0</v>
      </c>
      <c r="O169" s="3" t="b">
        <v>0</v>
      </c>
      <c r="P169" s="3" t="b">
        <v>1</v>
      </c>
      <c r="Q169" s="3" t="b">
        <v>1</v>
      </c>
      <c r="R169" s="3" t="s">
        <v>613</v>
      </c>
      <c r="S169" s="5" t="s">
        <v>1581</v>
      </c>
      <c r="T169" s="3" t="b">
        <v>1</v>
      </c>
      <c r="U169" s="3" t="b">
        <v>1</v>
      </c>
      <c r="V169" s="5" t="s">
        <v>1582</v>
      </c>
      <c r="W169" s="5" t="s">
        <v>1583</v>
      </c>
      <c r="X169" s="3" t="b">
        <v>0</v>
      </c>
      <c r="Y169" s="3" t="b">
        <v>0</v>
      </c>
      <c r="Z169" s="3" t="b">
        <v>0</v>
      </c>
      <c r="AA169" s="3" t="b">
        <v>1</v>
      </c>
      <c r="AB169" s="5" t="s">
        <v>1584</v>
      </c>
      <c r="AC169" s="5" t="s">
        <v>67</v>
      </c>
      <c r="AD169" s="5" t="s">
        <v>67</v>
      </c>
      <c r="AE169" s="5" t="s">
        <v>67</v>
      </c>
      <c r="AF169" s="5" t="s">
        <v>1585</v>
      </c>
      <c r="AG169" s="5" t="s">
        <v>1586</v>
      </c>
      <c r="AH169" s="5" t="s">
        <v>1587</v>
      </c>
      <c r="AI169" s="5" t="s">
        <v>1588</v>
      </c>
      <c r="AJ169" s="5" t="s">
        <v>1589</v>
      </c>
      <c r="AK169" s="5" t="s">
        <v>67</v>
      </c>
      <c r="AL169" s="5" t="s">
        <v>1590</v>
      </c>
      <c r="AM169" s="5" t="s">
        <v>1591</v>
      </c>
      <c r="AN169" s="5" t="s">
        <v>1592</v>
      </c>
      <c r="AO169" s="5" t="s">
        <v>67</v>
      </c>
      <c r="AP169" s="5" t="s">
        <v>67</v>
      </c>
      <c r="AQ169" s="5" t="s">
        <v>67</v>
      </c>
      <c r="AR169" s="5" t="s">
        <v>67</v>
      </c>
      <c r="AW169" s="5" t="s">
        <v>67</v>
      </c>
      <c r="AX169" s="5" t="s">
        <v>67</v>
      </c>
      <c r="AY169" s="5" t="s">
        <v>67</v>
      </c>
      <c r="AZ169" s="5" t="s">
        <v>67</v>
      </c>
      <c r="BA169" s="3">
        <v>107</v>
      </c>
      <c r="BD169" s="3">
        <v>2146189015</v>
      </c>
      <c r="BE169" s="3">
        <v>2146189015</v>
      </c>
      <c r="BF169" s="5" t="s">
        <v>1593</v>
      </c>
      <c r="BG169" s="5" t="s">
        <v>97</v>
      </c>
      <c r="BH169" s="5" t="s">
        <v>1594</v>
      </c>
      <c r="BI169" s="5" t="s">
        <v>67</v>
      </c>
      <c r="BJ169" s="5" t="s">
        <v>1595</v>
      </c>
      <c r="BK169" s="5" t="s">
        <v>1596</v>
      </c>
      <c r="BL169" s="5" t="s">
        <v>1597</v>
      </c>
      <c r="BM169" s="5" t="s">
        <v>1598</v>
      </c>
      <c r="BN169" s="5" t="s">
        <v>1599</v>
      </c>
      <c r="BO169" s="5" t="s">
        <v>1600</v>
      </c>
    </row>
    <row r="170" spans="1:67" ht="315" x14ac:dyDescent="0.25">
      <c r="A170" s="3">
        <v>1228924570</v>
      </c>
      <c r="B170" s="4">
        <v>42711</v>
      </c>
      <c r="C170" s="3">
        <v>-464138546</v>
      </c>
      <c r="E170" s="3">
        <v>-464138546</v>
      </c>
      <c r="F170" s="3">
        <v>1424</v>
      </c>
      <c r="H170" s="5" t="s">
        <v>1538</v>
      </c>
      <c r="I170" s="3" t="b">
        <v>0</v>
      </c>
      <c r="J170" s="3" t="b">
        <v>0</v>
      </c>
      <c r="K170" s="3" t="b">
        <v>0</v>
      </c>
      <c r="L170" s="3" t="b">
        <v>1</v>
      </c>
      <c r="M170" s="3" t="b">
        <v>0</v>
      </c>
      <c r="N170" s="3" t="b">
        <v>0</v>
      </c>
      <c r="O170" s="3" t="b">
        <v>0</v>
      </c>
      <c r="P170" s="3" t="b">
        <v>1</v>
      </c>
      <c r="Q170" s="3" t="b">
        <v>0</v>
      </c>
      <c r="R170" s="3" t="s">
        <v>1601</v>
      </c>
      <c r="S170" s="5" t="s">
        <v>81</v>
      </c>
      <c r="T170" s="3" t="b">
        <v>1</v>
      </c>
      <c r="U170" s="3" t="b">
        <v>1</v>
      </c>
      <c r="V170" s="5" t="s">
        <v>81</v>
      </c>
      <c r="W170" s="5" t="s">
        <v>1602</v>
      </c>
      <c r="X170" s="3" t="b">
        <v>0</v>
      </c>
      <c r="Y170" s="3" t="b">
        <v>0</v>
      </c>
      <c r="Z170" s="3" t="b">
        <v>0</v>
      </c>
      <c r="AA170" s="3" t="b">
        <v>1</v>
      </c>
      <c r="AB170" s="5" t="s">
        <v>1603</v>
      </c>
      <c r="AC170" s="5" t="s">
        <v>67</v>
      </c>
      <c r="AD170" s="5" t="s">
        <v>67</v>
      </c>
      <c r="AE170" s="5" t="s">
        <v>67</v>
      </c>
      <c r="AF170" s="5" t="s">
        <v>1604</v>
      </c>
      <c r="AG170" s="5" t="s">
        <v>670</v>
      </c>
      <c r="AH170" s="5" t="s">
        <v>1605</v>
      </c>
      <c r="AI170" s="5" t="s">
        <v>67</v>
      </c>
      <c r="AJ170" s="5" t="s">
        <v>67</v>
      </c>
      <c r="AK170" s="5" t="s">
        <v>67</v>
      </c>
      <c r="AL170" s="5" t="s">
        <v>67</v>
      </c>
      <c r="AM170" s="5" t="s">
        <v>1606</v>
      </c>
      <c r="AN170" s="5" t="s">
        <v>1607</v>
      </c>
      <c r="AO170" s="5" t="s">
        <v>67</v>
      </c>
      <c r="AP170" s="5" t="s">
        <v>67</v>
      </c>
      <c r="AQ170" s="5" t="s">
        <v>67</v>
      </c>
      <c r="AR170" s="5" t="s">
        <v>67</v>
      </c>
      <c r="AW170" s="5" t="s">
        <v>67</v>
      </c>
      <c r="AX170" s="5" t="s">
        <v>67</v>
      </c>
      <c r="AY170" s="5" t="s">
        <v>67</v>
      </c>
      <c r="AZ170" s="5" t="s">
        <v>67</v>
      </c>
      <c r="BA170" s="3">
        <v>107</v>
      </c>
      <c r="BD170" s="3">
        <v>2146188969</v>
      </c>
      <c r="BF170" s="5" t="s">
        <v>267</v>
      </c>
      <c r="BG170" s="5" t="s">
        <v>1608</v>
      </c>
      <c r="BH170" s="5" t="s">
        <v>117</v>
      </c>
      <c r="BI170" s="5" t="s">
        <v>74</v>
      </c>
      <c r="BJ170" s="5" t="s">
        <v>67</v>
      </c>
      <c r="BK170" s="5" t="s">
        <v>1609</v>
      </c>
      <c r="BL170" s="5" t="s">
        <v>1610</v>
      </c>
      <c r="BM170" s="5" t="s">
        <v>67</v>
      </c>
      <c r="BN170" s="5" t="s">
        <v>272</v>
      </c>
      <c r="BO170" s="5" t="s">
        <v>754</v>
      </c>
    </row>
    <row r="171" spans="1:67" ht="255" x14ac:dyDescent="0.25">
      <c r="A171" s="3">
        <v>1228928441</v>
      </c>
      <c r="B171" s="4">
        <v>41732</v>
      </c>
      <c r="C171" s="3">
        <v>2643</v>
      </c>
      <c r="F171" s="3">
        <v>1424</v>
      </c>
      <c r="G171" s="3">
        <v>1424</v>
      </c>
      <c r="H171" s="5" t="s">
        <v>1611</v>
      </c>
      <c r="I171" s="3" t="b">
        <v>0</v>
      </c>
      <c r="J171" s="3" t="b">
        <v>1</v>
      </c>
      <c r="K171" s="3" t="b">
        <v>1</v>
      </c>
      <c r="L171" s="3" t="b">
        <v>1</v>
      </c>
      <c r="M171" s="3" t="b">
        <v>0</v>
      </c>
      <c r="N171" s="3" t="b">
        <v>0</v>
      </c>
      <c r="O171" s="3" t="b">
        <v>0</v>
      </c>
      <c r="P171" s="3" t="b">
        <v>1</v>
      </c>
      <c r="Q171" s="3" t="b">
        <v>0</v>
      </c>
      <c r="R171" s="3" t="s">
        <v>1612</v>
      </c>
      <c r="S171" s="5" t="s">
        <v>1613</v>
      </c>
      <c r="T171" s="3" t="b">
        <v>0</v>
      </c>
      <c r="U171" s="3" t="b">
        <v>1</v>
      </c>
      <c r="V171" s="5" t="s">
        <v>1614</v>
      </c>
      <c r="W171" s="5" t="s">
        <v>67</v>
      </c>
      <c r="X171" s="3" t="b">
        <v>0</v>
      </c>
      <c r="Y171" s="3" t="b">
        <v>0</v>
      </c>
      <c r="Z171" s="3" t="b">
        <v>0</v>
      </c>
      <c r="AA171" s="3" t="b">
        <v>0</v>
      </c>
      <c r="AB171" s="5" t="s">
        <v>1615</v>
      </c>
      <c r="AC171" s="5" t="s">
        <v>1616</v>
      </c>
      <c r="AD171" s="5" t="s">
        <v>1617</v>
      </c>
      <c r="AE171" s="5" t="s">
        <v>67</v>
      </c>
      <c r="AF171" s="5" t="s">
        <v>1618</v>
      </c>
      <c r="AG171" s="5" t="s">
        <v>1619</v>
      </c>
      <c r="AH171" s="5" t="s">
        <v>1620</v>
      </c>
      <c r="AI171" s="5" t="s">
        <v>67</v>
      </c>
      <c r="AJ171" s="5" t="s">
        <v>67</v>
      </c>
      <c r="AK171" s="5" t="s">
        <v>1621</v>
      </c>
      <c r="AL171" s="5" t="s">
        <v>1622</v>
      </c>
      <c r="AM171" s="5" t="s">
        <v>67</v>
      </c>
      <c r="AN171" s="5" t="s">
        <v>67</v>
      </c>
      <c r="AO171" s="5" t="s">
        <v>67</v>
      </c>
      <c r="AP171" s="5" t="s">
        <v>67</v>
      </c>
      <c r="AQ171" s="5" t="s">
        <v>67</v>
      </c>
      <c r="AR171" s="5" t="s">
        <v>67</v>
      </c>
      <c r="AW171" s="5" t="s">
        <v>67</v>
      </c>
      <c r="AX171" s="5" t="s">
        <v>67</v>
      </c>
      <c r="AY171" s="5" t="s">
        <v>67</v>
      </c>
      <c r="AZ171" s="5" t="s">
        <v>67</v>
      </c>
      <c r="BA171" s="3">
        <v>107</v>
      </c>
      <c r="BD171" s="3">
        <v>2146189026</v>
      </c>
      <c r="BE171" s="3">
        <v>2146189026</v>
      </c>
      <c r="BF171" s="5" t="s">
        <v>1623</v>
      </c>
      <c r="BG171" s="5" t="s">
        <v>97</v>
      </c>
      <c r="BH171" s="5" t="s">
        <v>1624</v>
      </c>
      <c r="BI171" s="5" t="s">
        <v>67</v>
      </c>
      <c r="BJ171" s="5" t="s">
        <v>67</v>
      </c>
      <c r="BK171" s="5" t="s">
        <v>1625</v>
      </c>
      <c r="BL171" s="5" t="s">
        <v>1626</v>
      </c>
      <c r="BM171" s="5" t="s">
        <v>67</v>
      </c>
      <c r="BN171" s="5" t="s">
        <v>1627</v>
      </c>
      <c r="BO171" s="5" t="s">
        <v>67</v>
      </c>
    </row>
    <row r="172" spans="1:67" x14ac:dyDescent="0.25">
      <c r="A172" s="3">
        <v>1228928949</v>
      </c>
      <c r="B172" s="4">
        <v>42397</v>
      </c>
      <c r="H172" s="5" t="s">
        <v>67</v>
      </c>
      <c r="I172" s="3" t="b">
        <v>0</v>
      </c>
      <c r="J172" s="3" t="b">
        <v>0</v>
      </c>
      <c r="K172" s="3" t="b">
        <v>0</v>
      </c>
      <c r="L172" s="3" t="b">
        <v>0</v>
      </c>
      <c r="M172" s="3" t="b">
        <v>0</v>
      </c>
      <c r="N172" s="3" t="b">
        <v>0</v>
      </c>
      <c r="O172" s="3" t="b">
        <v>0</v>
      </c>
      <c r="P172" s="3" t="b">
        <v>0</v>
      </c>
      <c r="Q172" s="3" t="b">
        <v>0</v>
      </c>
      <c r="R172" s="3" t="s">
        <v>67</v>
      </c>
      <c r="S172" s="5" t="s">
        <v>67</v>
      </c>
      <c r="T172" s="3" t="b">
        <v>0</v>
      </c>
      <c r="U172" s="3" t="b">
        <v>0</v>
      </c>
      <c r="V172" s="5" t="s">
        <v>67</v>
      </c>
      <c r="W172" s="5" t="s">
        <v>67</v>
      </c>
      <c r="X172" s="3" t="b">
        <v>0</v>
      </c>
      <c r="Y172" s="3" t="b">
        <v>0</v>
      </c>
      <c r="Z172" s="3" t="b">
        <v>0</v>
      </c>
      <c r="AA172" s="3" t="b">
        <v>0</v>
      </c>
      <c r="AB172" s="5" t="s">
        <v>67</v>
      </c>
      <c r="AC172" s="5" t="s">
        <v>67</v>
      </c>
      <c r="AD172" s="5" t="s">
        <v>67</v>
      </c>
      <c r="AE172" s="5" t="s">
        <v>67</v>
      </c>
      <c r="AF172" s="5" t="s">
        <v>67</v>
      </c>
      <c r="AG172" s="5" t="s">
        <v>67</v>
      </c>
      <c r="AH172" s="5" t="s">
        <v>67</v>
      </c>
      <c r="AI172" s="5" t="s">
        <v>67</v>
      </c>
      <c r="AJ172" s="5" t="s">
        <v>67</v>
      </c>
      <c r="AK172" s="5" t="s">
        <v>67</v>
      </c>
      <c r="AL172" s="5" t="s">
        <v>67</v>
      </c>
      <c r="AM172" s="5" t="s">
        <v>67</v>
      </c>
      <c r="AN172" s="5" t="s">
        <v>67</v>
      </c>
      <c r="AO172" s="5" t="s">
        <v>67</v>
      </c>
      <c r="AP172" s="5" t="s">
        <v>67</v>
      </c>
      <c r="AQ172" s="5" t="s">
        <v>67</v>
      </c>
      <c r="AR172" s="5" t="s">
        <v>67</v>
      </c>
      <c r="AW172" s="5" t="s">
        <v>67</v>
      </c>
      <c r="AX172" s="5" t="s">
        <v>67</v>
      </c>
      <c r="AY172" s="5" t="s">
        <v>67</v>
      </c>
      <c r="AZ172" s="5" t="s">
        <v>67</v>
      </c>
      <c r="BF172" s="5" t="s">
        <v>67</v>
      </c>
      <c r="BG172" s="5" t="s">
        <v>67</v>
      </c>
      <c r="BH172" s="5" t="s">
        <v>67</v>
      </c>
      <c r="BI172" s="5" t="s">
        <v>67</v>
      </c>
      <c r="BJ172" s="5" t="s">
        <v>67</v>
      </c>
      <c r="BK172" s="5" t="s">
        <v>67</v>
      </c>
      <c r="BL172" s="5" t="s">
        <v>67</v>
      </c>
      <c r="BM172" s="5" t="s">
        <v>67</v>
      </c>
      <c r="BN172" s="5" t="s">
        <v>67</v>
      </c>
      <c r="BO172" s="5" t="s">
        <v>67</v>
      </c>
    </row>
    <row r="173" spans="1:67" x14ac:dyDescent="0.25">
      <c r="A173" s="3">
        <v>1241531093</v>
      </c>
      <c r="B173" s="4">
        <v>42590</v>
      </c>
      <c r="H173" s="5" t="s">
        <v>67</v>
      </c>
      <c r="I173" s="3" t="b">
        <v>0</v>
      </c>
      <c r="J173" s="3" t="b">
        <v>0</v>
      </c>
      <c r="K173" s="3" t="b">
        <v>0</v>
      </c>
      <c r="L173" s="3" t="b">
        <v>0</v>
      </c>
      <c r="M173" s="3" t="b">
        <v>0</v>
      </c>
      <c r="N173" s="3" t="b">
        <v>0</v>
      </c>
      <c r="O173" s="3" t="b">
        <v>0</v>
      </c>
      <c r="P173" s="3" t="b">
        <v>0</v>
      </c>
      <c r="Q173" s="3" t="b">
        <v>0</v>
      </c>
      <c r="R173" s="3" t="s">
        <v>67</v>
      </c>
      <c r="S173" s="5" t="s">
        <v>67</v>
      </c>
      <c r="T173" s="3" t="b">
        <v>0</v>
      </c>
      <c r="U173" s="3" t="b">
        <v>0</v>
      </c>
      <c r="V173" s="5" t="s">
        <v>67</v>
      </c>
      <c r="W173" s="5" t="s">
        <v>67</v>
      </c>
      <c r="X173" s="3" t="b">
        <v>0</v>
      </c>
      <c r="Y173" s="3" t="b">
        <v>0</v>
      </c>
      <c r="Z173" s="3" t="b">
        <v>0</v>
      </c>
      <c r="AA173" s="3" t="b">
        <v>0</v>
      </c>
      <c r="AB173" s="5" t="s">
        <v>67</v>
      </c>
      <c r="AC173" s="5" t="s">
        <v>67</v>
      </c>
      <c r="AD173" s="5" t="s">
        <v>67</v>
      </c>
      <c r="AE173" s="5" t="s">
        <v>67</v>
      </c>
      <c r="AF173" s="5" t="s">
        <v>67</v>
      </c>
      <c r="AG173" s="5" t="s">
        <v>67</v>
      </c>
      <c r="AH173" s="5" t="s">
        <v>67</v>
      </c>
      <c r="AI173" s="5" t="s">
        <v>67</v>
      </c>
      <c r="AJ173" s="5" t="s">
        <v>67</v>
      </c>
      <c r="AK173" s="5" t="s">
        <v>67</v>
      </c>
      <c r="AL173" s="5" t="s">
        <v>67</v>
      </c>
      <c r="AM173" s="5" t="s">
        <v>67</v>
      </c>
      <c r="AN173" s="5" t="s">
        <v>67</v>
      </c>
      <c r="AO173" s="5" t="s">
        <v>67</v>
      </c>
      <c r="AP173" s="5" t="s">
        <v>67</v>
      </c>
      <c r="AQ173" s="5" t="s">
        <v>67</v>
      </c>
      <c r="AR173" s="5" t="s">
        <v>67</v>
      </c>
      <c r="AW173" s="5" t="s">
        <v>67</v>
      </c>
      <c r="AX173" s="5" t="s">
        <v>67</v>
      </c>
      <c r="AY173" s="5" t="s">
        <v>67</v>
      </c>
      <c r="AZ173" s="5" t="s">
        <v>67</v>
      </c>
      <c r="BF173" s="5" t="s">
        <v>67</v>
      </c>
      <c r="BG173" s="5" t="s">
        <v>67</v>
      </c>
      <c r="BH173" s="5" t="s">
        <v>67</v>
      </c>
      <c r="BI173" s="5" t="s">
        <v>67</v>
      </c>
      <c r="BJ173" s="5" t="s">
        <v>67</v>
      </c>
      <c r="BK173" s="5" t="s">
        <v>67</v>
      </c>
      <c r="BL173" s="5" t="s">
        <v>67</v>
      </c>
      <c r="BM173" s="5" t="s">
        <v>67</v>
      </c>
      <c r="BN173" s="5" t="s">
        <v>67</v>
      </c>
      <c r="BO173" s="5" t="s">
        <v>67</v>
      </c>
    </row>
    <row r="174" spans="1:67" ht="300" x14ac:dyDescent="0.25">
      <c r="A174" s="3">
        <v>1264433332</v>
      </c>
      <c r="B174" s="4">
        <v>42503</v>
      </c>
      <c r="C174" s="3">
        <v>2281</v>
      </c>
      <c r="F174" s="3">
        <v>1424</v>
      </c>
      <c r="G174" s="3">
        <v>1424</v>
      </c>
      <c r="H174" s="5" t="s">
        <v>1628</v>
      </c>
      <c r="I174" s="3" t="b">
        <v>0</v>
      </c>
      <c r="J174" s="3" t="b">
        <v>0</v>
      </c>
      <c r="K174" s="3" t="b">
        <v>0</v>
      </c>
      <c r="L174" s="3" t="b">
        <v>1</v>
      </c>
      <c r="M174" s="3" t="b">
        <v>0</v>
      </c>
      <c r="N174" s="3" t="b">
        <v>0</v>
      </c>
      <c r="O174" s="3" t="b">
        <v>0</v>
      </c>
      <c r="P174" s="3" t="b">
        <v>1</v>
      </c>
      <c r="Q174" s="3" t="b">
        <v>1</v>
      </c>
      <c r="R174" s="3" t="s">
        <v>1629</v>
      </c>
      <c r="S174" s="5" t="s">
        <v>1630</v>
      </c>
      <c r="T174" s="3" t="b">
        <v>1</v>
      </c>
      <c r="U174" s="3" t="b">
        <v>1</v>
      </c>
      <c r="V174" s="5" t="s">
        <v>81</v>
      </c>
      <c r="W174" s="5" t="s">
        <v>1631</v>
      </c>
      <c r="X174" s="3" t="b">
        <v>0</v>
      </c>
      <c r="Y174" s="3" t="b">
        <v>0</v>
      </c>
      <c r="Z174" s="3" t="b">
        <v>0</v>
      </c>
      <c r="AA174" s="3" t="b">
        <v>1</v>
      </c>
      <c r="AB174" s="5" t="s">
        <v>1632</v>
      </c>
      <c r="AC174" s="5" t="s">
        <v>1633</v>
      </c>
      <c r="AD174" s="5" t="s">
        <v>67</v>
      </c>
      <c r="AE174" s="5" t="s">
        <v>67</v>
      </c>
      <c r="AF174" s="5" t="s">
        <v>1634</v>
      </c>
      <c r="AG174" s="5" t="s">
        <v>1635</v>
      </c>
      <c r="AH174" s="5" t="s">
        <v>1636</v>
      </c>
      <c r="AI174" s="5" t="s">
        <v>1637</v>
      </c>
      <c r="AJ174" s="5" t="s">
        <v>1638</v>
      </c>
      <c r="AK174" s="5" t="s">
        <v>67</v>
      </c>
      <c r="AL174" s="5" t="s">
        <v>67</v>
      </c>
      <c r="AM174" s="5" t="s">
        <v>1639</v>
      </c>
      <c r="AN174" s="5" t="s">
        <v>1640</v>
      </c>
      <c r="AO174" s="5" t="s">
        <v>67</v>
      </c>
      <c r="AP174" s="5" t="s">
        <v>67</v>
      </c>
      <c r="AQ174" s="5" t="s">
        <v>67</v>
      </c>
      <c r="AR174" s="5" t="s">
        <v>67</v>
      </c>
      <c r="AW174" s="5" t="s">
        <v>67</v>
      </c>
      <c r="AX174" s="5" t="s">
        <v>67</v>
      </c>
      <c r="AY174" s="5" t="s">
        <v>67</v>
      </c>
      <c r="AZ174" s="5" t="s">
        <v>67</v>
      </c>
      <c r="BA174" s="3">
        <v>107</v>
      </c>
      <c r="BD174" s="3">
        <v>2146189029</v>
      </c>
      <c r="BE174" s="3">
        <v>2146189029</v>
      </c>
      <c r="BF174" s="5" t="s">
        <v>1641</v>
      </c>
      <c r="BG174" s="5" t="s">
        <v>97</v>
      </c>
      <c r="BH174" s="5" t="s">
        <v>67</v>
      </c>
      <c r="BI174" s="5" t="s">
        <v>74</v>
      </c>
      <c r="BJ174" s="5" t="s">
        <v>176</v>
      </c>
      <c r="BK174" s="5" t="s">
        <v>81</v>
      </c>
      <c r="BL174" s="5" t="s">
        <v>1642</v>
      </c>
      <c r="BM174" s="5" t="s">
        <v>1643</v>
      </c>
      <c r="BN174" s="5" t="s">
        <v>1644</v>
      </c>
      <c r="BO174" s="5" t="s">
        <v>1645</v>
      </c>
    </row>
    <row r="175" spans="1:67" x14ac:dyDescent="0.25">
      <c r="A175" s="3">
        <v>1264491950</v>
      </c>
      <c r="B175" s="4">
        <v>42419</v>
      </c>
      <c r="H175" s="5" t="s">
        <v>67</v>
      </c>
      <c r="I175" s="3" t="b">
        <v>0</v>
      </c>
      <c r="J175" s="3" t="b">
        <v>0</v>
      </c>
      <c r="K175" s="3" t="b">
        <v>0</v>
      </c>
      <c r="L175" s="3" t="b">
        <v>0</v>
      </c>
      <c r="M175" s="3" t="b">
        <v>0</v>
      </c>
      <c r="N175" s="3" t="b">
        <v>0</v>
      </c>
      <c r="O175" s="3" t="b">
        <v>0</v>
      </c>
      <c r="P175" s="3" t="b">
        <v>0</v>
      </c>
      <c r="Q175" s="3" t="b">
        <v>0</v>
      </c>
      <c r="R175" s="3" t="s">
        <v>67</v>
      </c>
      <c r="S175" s="5" t="s">
        <v>67</v>
      </c>
      <c r="T175" s="3" t="b">
        <v>0</v>
      </c>
      <c r="U175" s="3" t="b">
        <v>0</v>
      </c>
      <c r="V175" s="5" t="s">
        <v>67</v>
      </c>
      <c r="W175" s="5" t="s">
        <v>67</v>
      </c>
      <c r="X175" s="3" t="b">
        <v>0</v>
      </c>
      <c r="Y175" s="3" t="b">
        <v>0</v>
      </c>
      <c r="Z175" s="3" t="b">
        <v>0</v>
      </c>
      <c r="AA175" s="3" t="b">
        <v>0</v>
      </c>
      <c r="AB175" s="5" t="s">
        <v>67</v>
      </c>
      <c r="AC175" s="5" t="s">
        <v>67</v>
      </c>
      <c r="AD175" s="5" t="s">
        <v>67</v>
      </c>
      <c r="AE175" s="5" t="s">
        <v>67</v>
      </c>
      <c r="AF175" s="5" t="s">
        <v>67</v>
      </c>
      <c r="AG175" s="5" t="s">
        <v>67</v>
      </c>
      <c r="AH175" s="5" t="s">
        <v>67</v>
      </c>
      <c r="AI175" s="5" t="s">
        <v>67</v>
      </c>
      <c r="AJ175" s="5" t="s">
        <v>67</v>
      </c>
      <c r="AK175" s="5" t="s">
        <v>67</v>
      </c>
      <c r="AL175" s="5" t="s">
        <v>67</v>
      </c>
      <c r="AM175" s="5" t="s">
        <v>67</v>
      </c>
      <c r="AN175" s="5" t="s">
        <v>67</v>
      </c>
      <c r="AO175" s="5" t="s">
        <v>67</v>
      </c>
      <c r="AP175" s="5" t="s">
        <v>67</v>
      </c>
      <c r="AQ175" s="5" t="s">
        <v>67</v>
      </c>
      <c r="AR175" s="5" t="s">
        <v>67</v>
      </c>
      <c r="AW175" s="5" t="s">
        <v>67</v>
      </c>
      <c r="AX175" s="5" t="s">
        <v>67</v>
      </c>
      <c r="AY175" s="5" t="s">
        <v>67</v>
      </c>
      <c r="AZ175" s="5" t="s">
        <v>67</v>
      </c>
      <c r="BF175" s="5" t="s">
        <v>67</v>
      </c>
      <c r="BG175" s="5" t="s">
        <v>67</v>
      </c>
      <c r="BH175" s="5" t="s">
        <v>67</v>
      </c>
      <c r="BI175" s="5" t="s">
        <v>67</v>
      </c>
      <c r="BJ175" s="5" t="s">
        <v>67</v>
      </c>
      <c r="BK175" s="5" t="s">
        <v>67</v>
      </c>
      <c r="BL175" s="5" t="s">
        <v>67</v>
      </c>
      <c r="BM175" s="5" t="s">
        <v>67</v>
      </c>
      <c r="BN175" s="5" t="s">
        <v>67</v>
      </c>
      <c r="BO175" s="5" t="s">
        <v>67</v>
      </c>
    </row>
    <row r="176" spans="1:67" ht="210" x14ac:dyDescent="0.25">
      <c r="A176" s="3">
        <v>1270805862</v>
      </c>
      <c r="B176" s="4">
        <v>42611</v>
      </c>
      <c r="C176" s="3">
        <v>-1131755793</v>
      </c>
      <c r="D176" s="3">
        <v>2146189774</v>
      </c>
      <c r="G176" s="3">
        <v>-1131755793</v>
      </c>
      <c r="H176" s="5" t="s">
        <v>1646</v>
      </c>
      <c r="I176" s="3" t="b">
        <v>0</v>
      </c>
      <c r="J176" s="3" t="b">
        <v>0</v>
      </c>
      <c r="K176" s="3" t="b">
        <v>0</v>
      </c>
      <c r="L176" s="3" t="b">
        <v>1</v>
      </c>
      <c r="M176" s="3" t="b">
        <v>0</v>
      </c>
      <c r="N176" s="3" t="b">
        <v>0</v>
      </c>
      <c r="O176" s="3" t="b">
        <v>0</v>
      </c>
      <c r="P176" s="3" t="b">
        <v>1</v>
      </c>
      <c r="Q176" s="3" t="b">
        <v>0</v>
      </c>
      <c r="R176" s="3" t="s">
        <v>1647</v>
      </c>
      <c r="S176" s="5" t="s">
        <v>1648</v>
      </c>
      <c r="T176" s="3" t="b">
        <v>0</v>
      </c>
      <c r="U176" s="3" t="b">
        <v>1</v>
      </c>
      <c r="V176" s="5" t="s">
        <v>1649</v>
      </c>
      <c r="W176" s="5" t="s">
        <v>1650</v>
      </c>
      <c r="X176" s="3" t="b">
        <v>0</v>
      </c>
      <c r="Y176" s="3" t="b">
        <v>0</v>
      </c>
      <c r="Z176" s="3" t="b">
        <v>0</v>
      </c>
      <c r="AA176" s="3" t="b">
        <v>0</v>
      </c>
      <c r="AB176" s="5" t="s">
        <v>1651</v>
      </c>
      <c r="AC176" s="5" t="s">
        <v>67</v>
      </c>
      <c r="AD176" s="5" t="s">
        <v>1652</v>
      </c>
      <c r="AE176" s="5" t="s">
        <v>67</v>
      </c>
      <c r="AF176" s="5" t="s">
        <v>1653</v>
      </c>
      <c r="AG176" s="5" t="s">
        <v>67</v>
      </c>
      <c r="AH176" s="5" t="s">
        <v>1654</v>
      </c>
      <c r="AI176" s="5" t="s">
        <v>1655</v>
      </c>
      <c r="AJ176" s="5" t="s">
        <v>67</v>
      </c>
      <c r="AK176" s="5" t="s">
        <v>1656</v>
      </c>
      <c r="AL176" s="5" t="s">
        <v>67</v>
      </c>
      <c r="AM176" s="5" t="s">
        <v>1657</v>
      </c>
      <c r="AN176" s="5" t="s">
        <v>1658</v>
      </c>
      <c r="AO176" s="5" t="s">
        <v>67</v>
      </c>
      <c r="AP176" s="5" t="s">
        <v>67</v>
      </c>
      <c r="AQ176" s="5" t="s">
        <v>67</v>
      </c>
      <c r="AR176" s="5" t="s">
        <v>67</v>
      </c>
      <c r="AS176" s="3">
        <v>2146189156</v>
      </c>
      <c r="AT176" s="3">
        <v>2146189284</v>
      </c>
      <c r="AW176" s="5" t="s">
        <v>67</v>
      </c>
      <c r="AX176" s="5" t="s">
        <v>67</v>
      </c>
      <c r="AY176" s="5" t="s">
        <v>67</v>
      </c>
      <c r="AZ176" s="5" t="s">
        <v>67</v>
      </c>
      <c r="BA176" s="3">
        <v>2146189397</v>
      </c>
      <c r="BB176" s="3">
        <v>2146189703</v>
      </c>
      <c r="BC176" s="3">
        <v>2146189813</v>
      </c>
      <c r="BD176" s="3">
        <v>2146188974</v>
      </c>
      <c r="BE176" s="3">
        <v>2146188974</v>
      </c>
      <c r="BF176" s="5" t="s">
        <v>1659</v>
      </c>
      <c r="BG176" s="5" t="s">
        <v>97</v>
      </c>
      <c r="BH176" s="5" t="s">
        <v>1660</v>
      </c>
      <c r="BI176" s="5" t="s">
        <v>74</v>
      </c>
      <c r="BJ176" s="5" t="s">
        <v>1661</v>
      </c>
      <c r="BK176" s="5" t="s">
        <v>1662</v>
      </c>
      <c r="BL176" s="5" t="s">
        <v>67</v>
      </c>
      <c r="BM176" s="5" t="s">
        <v>67</v>
      </c>
      <c r="BN176" s="5" t="s">
        <v>67</v>
      </c>
      <c r="BO176" s="5" t="s">
        <v>67</v>
      </c>
    </row>
    <row r="177" spans="1:67" ht="180" x14ac:dyDescent="0.25">
      <c r="A177" s="3">
        <v>1298294561</v>
      </c>
      <c r="B177" s="4">
        <v>42965</v>
      </c>
      <c r="F177" s="3">
        <v>1434</v>
      </c>
      <c r="H177" s="5" t="s">
        <v>1663</v>
      </c>
      <c r="I177" s="3" t="b">
        <v>1</v>
      </c>
      <c r="J177" s="3" t="b">
        <v>0</v>
      </c>
      <c r="K177" s="3" t="b">
        <v>0</v>
      </c>
      <c r="L177" s="3" t="b">
        <v>0</v>
      </c>
      <c r="M177" s="3" t="b">
        <v>0</v>
      </c>
      <c r="N177" s="3" t="b">
        <v>0</v>
      </c>
      <c r="O177" s="3" t="b">
        <v>0</v>
      </c>
      <c r="P177" s="3" t="b">
        <v>0</v>
      </c>
      <c r="Q177" s="3" t="b">
        <v>1</v>
      </c>
      <c r="R177" s="3" t="s">
        <v>1629</v>
      </c>
      <c r="S177" s="5" t="s">
        <v>1664</v>
      </c>
      <c r="T177" s="3" t="b">
        <v>1</v>
      </c>
      <c r="U177" s="3" t="b">
        <v>1</v>
      </c>
      <c r="V177" s="5" t="s">
        <v>1665</v>
      </c>
      <c r="W177" s="5" t="s">
        <v>1666</v>
      </c>
      <c r="X177" s="3" t="b">
        <v>0</v>
      </c>
      <c r="Y177" s="3" t="b">
        <v>0</v>
      </c>
      <c r="Z177" s="3" t="b">
        <v>0</v>
      </c>
      <c r="AA177" s="3" t="b">
        <v>1</v>
      </c>
      <c r="AB177" s="5" t="s">
        <v>1667</v>
      </c>
      <c r="AC177" s="5" t="s">
        <v>1668</v>
      </c>
      <c r="AD177" s="5" t="s">
        <v>67</v>
      </c>
      <c r="AE177" s="5" t="s">
        <v>67</v>
      </c>
      <c r="AF177" s="5" t="s">
        <v>1669</v>
      </c>
      <c r="AG177" s="5" t="s">
        <v>1670</v>
      </c>
      <c r="AH177" s="5" t="s">
        <v>1671</v>
      </c>
      <c r="AI177" s="5" t="s">
        <v>67</v>
      </c>
      <c r="AJ177" s="5" t="s">
        <v>67</v>
      </c>
      <c r="AK177" s="5" t="s">
        <v>67</v>
      </c>
      <c r="AL177" s="5" t="s">
        <v>1672</v>
      </c>
      <c r="AM177" s="5" t="s">
        <v>1673</v>
      </c>
      <c r="AN177" s="5" t="s">
        <v>67</v>
      </c>
      <c r="AO177" s="5" t="s">
        <v>67</v>
      </c>
      <c r="AP177" s="5" t="s">
        <v>67</v>
      </c>
      <c r="AQ177" s="5" t="s">
        <v>67</v>
      </c>
      <c r="AR177" s="5" t="s">
        <v>67</v>
      </c>
      <c r="AW177" s="5" t="s">
        <v>67</v>
      </c>
      <c r="AX177" s="5" t="s">
        <v>67</v>
      </c>
      <c r="AY177" s="5" t="s">
        <v>67</v>
      </c>
      <c r="AZ177" s="5" t="s">
        <v>67</v>
      </c>
      <c r="BA177" s="3">
        <v>2146189812</v>
      </c>
      <c r="BD177" s="3">
        <v>2146188972</v>
      </c>
      <c r="BE177" s="3">
        <v>2146188972</v>
      </c>
      <c r="BF177" s="5" t="s">
        <v>1674</v>
      </c>
      <c r="BG177" s="5" t="s">
        <v>97</v>
      </c>
      <c r="BH177" s="5" t="s">
        <v>1675</v>
      </c>
      <c r="BI177" s="5" t="s">
        <v>74</v>
      </c>
      <c r="BJ177" s="5" t="s">
        <v>1676</v>
      </c>
      <c r="BK177" s="5" t="s">
        <v>1677</v>
      </c>
      <c r="BL177" s="5" t="s">
        <v>1678</v>
      </c>
      <c r="BM177" s="5" t="s">
        <v>67</v>
      </c>
      <c r="BN177" s="5" t="s">
        <v>118</v>
      </c>
      <c r="BO177" s="5" t="s">
        <v>67</v>
      </c>
    </row>
    <row r="178" spans="1:67" ht="135" x14ac:dyDescent="0.25">
      <c r="A178" s="3">
        <v>1299487111</v>
      </c>
      <c r="B178" s="4">
        <v>42557</v>
      </c>
      <c r="E178" s="3">
        <v>2146189129</v>
      </c>
      <c r="G178" s="3">
        <v>2146189129</v>
      </c>
      <c r="H178" s="5" t="s">
        <v>1679</v>
      </c>
      <c r="I178" s="3" t="b">
        <v>1</v>
      </c>
      <c r="J178" s="3" t="b">
        <v>0</v>
      </c>
      <c r="K178" s="3" t="b">
        <v>0</v>
      </c>
      <c r="L178" s="3" t="b">
        <v>0</v>
      </c>
      <c r="M178" s="3" t="b">
        <v>0</v>
      </c>
      <c r="N178" s="3" t="b">
        <v>0</v>
      </c>
      <c r="O178" s="3" t="b">
        <v>0</v>
      </c>
      <c r="P178" s="3" t="b">
        <v>1</v>
      </c>
      <c r="Q178" s="3" t="b">
        <v>0</v>
      </c>
      <c r="R178" s="3" t="s">
        <v>1680</v>
      </c>
      <c r="S178" s="5" t="s">
        <v>1423</v>
      </c>
      <c r="T178" s="3" t="b">
        <v>0</v>
      </c>
      <c r="U178" s="3" t="b">
        <v>1</v>
      </c>
      <c r="V178" s="5" t="s">
        <v>1681</v>
      </c>
      <c r="W178" s="5" t="s">
        <v>1682</v>
      </c>
      <c r="X178" s="3" t="b">
        <v>0</v>
      </c>
      <c r="Y178" s="3" t="b">
        <v>0</v>
      </c>
      <c r="Z178" s="3" t="b">
        <v>0</v>
      </c>
      <c r="AA178" s="3" t="b">
        <v>1</v>
      </c>
      <c r="AB178" s="5" t="s">
        <v>1683</v>
      </c>
      <c r="AC178" s="5" t="s">
        <v>67</v>
      </c>
      <c r="AD178" s="5" t="s">
        <v>1684</v>
      </c>
      <c r="AE178" s="5" t="s">
        <v>67</v>
      </c>
      <c r="AF178" s="5" t="s">
        <v>1685</v>
      </c>
      <c r="AG178" s="5" t="s">
        <v>67</v>
      </c>
      <c r="AH178" s="5" t="s">
        <v>1686</v>
      </c>
      <c r="AI178" s="5" t="s">
        <v>67</v>
      </c>
      <c r="AJ178" s="5" t="s">
        <v>67</v>
      </c>
      <c r="AK178" s="5" t="s">
        <v>67</v>
      </c>
      <c r="AL178" s="5" t="s">
        <v>1687</v>
      </c>
      <c r="AM178" s="5" t="s">
        <v>67</v>
      </c>
      <c r="AN178" s="5" t="s">
        <v>67</v>
      </c>
      <c r="AO178" s="5" t="s">
        <v>67</v>
      </c>
      <c r="AP178" s="5" t="s">
        <v>67</v>
      </c>
      <c r="AQ178" s="5" t="s">
        <v>1688</v>
      </c>
      <c r="AR178" s="5" t="s">
        <v>67</v>
      </c>
      <c r="AW178" s="5" t="s">
        <v>67</v>
      </c>
      <c r="AX178" s="5" t="s">
        <v>67</v>
      </c>
      <c r="AY178" s="5" t="s">
        <v>67</v>
      </c>
      <c r="AZ178" s="5" t="s">
        <v>67</v>
      </c>
      <c r="BA178" s="3">
        <v>2146189074</v>
      </c>
      <c r="BD178" s="3">
        <v>2146188979</v>
      </c>
      <c r="BE178" s="3">
        <v>2146188979</v>
      </c>
      <c r="BF178" s="5" t="s">
        <v>1689</v>
      </c>
      <c r="BG178" s="5" t="s">
        <v>623</v>
      </c>
      <c r="BH178" s="5" t="s">
        <v>67</v>
      </c>
      <c r="BI178" s="5" t="s">
        <v>67</v>
      </c>
      <c r="BJ178" s="5" t="s">
        <v>67</v>
      </c>
      <c r="BK178" s="5" t="s">
        <v>1690</v>
      </c>
      <c r="BL178" s="5" t="s">
        <v>1691</v>
      </c>
      <c r="BM178" s="5" t="s">
        <v>67</v>
      </c>
      <c r="BN178" s="5" t="s">
        <v>1692</v>
      </c>
      <c r="BO178" s="5" t="s">
        <v>67</v>
      </c>
    </row>
    <row r="179" spans="1:67" ht="409.5" x14ac:dyDescent="0.25">
      <c r="A179" s="3">
        <v>1306135154</v>
      </c>
      <c r="B179" s="4">
        <v>42641</v>
      </c>
      <c r="C179" s="3">
        <v>1299162980</v>
      </c>
      <c r="H179" s="5" t="s">
        <v>67</v>
      </c>
      <c r="I179" s="3" t="b">
        <v>0</v>
      </c>
      <c r="J179" s="3" t="b">
        <v>0</v>
      </c>
      <c r="K179" s="3" t="b">
        <v>0</v>
      </c>
      <c r="L179" s="3" t="b">
        <v>1</v>
      </c>
      <c r="M179" s="3" t="b">
        <v>0</v>
      </c>
      <c r="N179" s="3" t="b">
        <v>0</v>
      </c>
      <c r="O179" s="3" t="b">
        <v>0</v>
      </c>
      <c r="P179" s="3" t="b">
        <v>1</v>
      </c>
      <c r="Q179" s="3" t="b">
        <v>0</v>
      </c>
      <c r="R179" s="3" t="s">
        <v>1693</v>
      </c>
      <c r="S179" s="5" t="s">
        <v>1694</v>
      </c>
      <c r="T179" s="3" t="b">
        <v>0</v>
      </c>
      <c r="U179" s="3" t="b">
        <v>1</v>
      </c>
      <c r="V179" s="5" t="s">
        <v>165</v>
      </c>
      <c r="W179" s="5" t="s">
        <v>1695</v>
      </c>
      <c r="X179" s="3" t="b">
        <v>0</v>
      </c>
      <c r="Y179" s="3" t="b">
        <v>0</v>
      </c>
      <c r="Z179" s="3" t="b">
        <v>0</v>
      </c>
      <c r="AA179" s="3" t="b">
        <v>1</v>
      </c>
      <c r="AB179" s="5" t="s">
        <v>1696</v>
      </c>
      <c r="AC179" s="5" t="s">
        <v>67</v>
      </c>
      <c r="AD179" s="5" t="s">
        <v>1697</v>
      </c>
      <c r="AE179" s="5" t="s">
        <v>67</v>
      </c>
      <c r="AF179" s="5" t="s">
        <v>1698</v>
      </c>
      <c r="AG179" s="5" t="s">
        <v>67</v>
      </c>
      <c r="AH179" s="5" t="s">
        <v>1699</v>
      </c>
      <c r="AI179" s="5" t="s">
        <v>1700</v>
      </c>
      <c r="AJ179" s="5" t="s">
        <v>1701</v>
      </c>
      <c r="AK179" s="5" t="s">
        <v>1702</v>
      </c>
      <c r="AL179" s="5" t="s">
        <v>1703</v>
      </c>
      <c r="AM179" s="5" t="s">
        <v>1704</v>
      </c>
      <c r="AN179" s="5" t="s">
        <v>1705</v>
      </c>
      <c r="AO179" s="5" t="s">
        <v>67</v>
      </c>
      <c r="AP179" s="5" t="s">
        <v>67</v>
      </c>
      <c r="AQ179" s="5" t="s">
        <v>67</v>
      </c>
      <c r="AR179" s="5" t="s">
        <v>67</v>
      </c>
      <c r="AS179" s="3">
        <v>2146189064</v>
      </c>
      <c r="AT179" s="3">
        <v>2146188959</v>
      </c>
      <c r="AU179" s="3">
        <v>2146189358</v>
      </c>
      <c r="AW179" s="5" t="s">
        <v>67</v>
      </c>
      <c r="AX179" s="5" t="s">
        <v>67</v>
      </c>
      <c r="AY179" s="5" t="s">
        <v>67</v>
      </c>
      <c r="AZ179" s="5" t="s">
        <v>67</v>
      </c>
      <c r="BA179" s="3">
        <v>107</v>
      </c>
      <c r="BD179" s="3">
        <v>2146189023</v>
      </c>
      <c r="BE179" s="3">
        <v>2146189023</v>
      </c>
      <c r="BF179" s="5" t="s">
        <v>1706</v>
      </c>
      <c r="BG179" s="5" t="s">
        <v>97</v>
      </c>
      <c r="BH179" s="5" t="s">
        <v>67</v>
      </c>
      <c r="BI179" s="5" t="s">
        <v>74</v>
      </c>
      <c r="BJ179" s="5" t="s">
        <v>1707</v>
      </c>
      <c r="BK179" s="5" t="s">
        <v>165</v>
      </c>
      <c r="BL179" s="5" t="s">
        <v>1708</v>
      </c>
      <c r="BM179" s="5" t="s">
        <v>67</v>
      </c>
      <c r="BN179" s="5" t="s">
        <v>1709</v>
      </c>
      <c r="BO179" s="5" t="s">
        <v>67</v>
      </c>
    </row>
    <row r="180" spans="1:67" ht="255" x14ac:dyDescent="0.25">
      <c r="A180" s="3">
        <v>1306411305</v>
      </c>
      <c r="B180" s="4">
        <v>42867</v>
      </c>
      <c r="C180" s="3">
        <v>1231421477</v>
      </c>
      <c r="F180" s="3">
        <v>2146189000</v>
      </c>
      <c r="G180" s="3">
        <v>1231421477</v>
      </c>
      <c r="H180" s="5" t="s">
        <v>1710</v>
      </c>
      <c r="I180" s="3" t="b">
        <v>1</v>
      </c>
      <c r="J180" s="3" t="b">
        <v>0</v>
      </c>
      <c r="K180" s="3" t="b">
        <v>0</v>
      </c>
      <c r="L180" s="3" t="b">
        <v>0</v>
      </c>
      <c r="M180" s="3" t="b">
        <v>0</v>
      </c>
      <c r="N180" s="3" t="b">
        <v>0</v>
      </c>
      <c r="O180" s="3" t="b">
        <v>0</v>
      </c>
      <c r="P180" s="3" t="b">
        <v>0</v>
      </c>
      <c r="Q180" s="3" t="b">
        <v>1</v>
      </c>
      <c r="R180" s="3" t="s">
        <v>1711</v>
      </c>
      <c r="S180" s="5" t="s">
        <v>1712</v>
      </c>
      <c r="T180" s="3" t="b">
        <v>0</v>
      </c>
      <c r="U180" s="3" t="b">
        <v>0</v>
      </c>
      <c r="V180" s="5" t="s">
        <v>1713</v>
      </c>
      <c r="W180" s="5" t="s">
        <v>1714</v>
      </c>
      <c r="X180" s="3" t="b">
        <v>0</v>
      </c>
      <c r="Y180" s="3" t="b">
        <v>0</v>
      </c>
      <c r="Z180" s="3" t="b">
        <v>0</v>
      </c>
      <c r="AA180" s="3" t="b">
        <v>1</v>
      </c>
      <c r="AB180" s="5" t="s">
        <v>1715</v>
      </c>
      <c r="AC180" s="5" t="s">
        <v>67</v>
      </c>
      <c r="AD180" s="5" t="s">
        <v>1716</v>
      </c>
      <c r="AE180" s="5" t="s">
        <v>67</v>
      </c>
      <c r="AF180" s="5" t="s">
        <v>1717</v>
      </c>
      <c r="AG180" s="5" t="s">
        <v>1718</v>
      </c>
      <c r="AH180" s="5" t="s">
        <v>1719</v>
      </c>
      <c r="AI180" s="5" t="s">
        <v>67</v>
      </c>
      <c r="AJ180" s="5" t="s">
        <v>67</v>
      </c>
      <c r="AK180" s="5" t="s">
        <v>1720</v>
      </c>
      <c r="AL180" s="5" t="s">
        <v>67</v>
      </c>
      <c r="AM180" s="5" t="s">
        <v>1721</v>
      </c>
      <c r="AN180" s="5" t="s">
        <v>67</v>
      </c>
      <c r="AO180" s="5" t="s">
        <v>67</v>
      </c>
      <c r="AP180" s="5" t="s">
        <v>1722</v>
      </c>
      <c r="AQ180" s="5" t="s">
        <v>67</v>
      </c>
      <c r="AR180" s="5" t="s">
        <v>67</v>
      </c>
      <c r="AW180" s="5" t="s">
        <v>67</v>
      </c>
      <c r="AX180" s="5" t="s">
        <v>67</v>
      </c>
      <c r="AY180" s="5" t="s">
        <v>67</v>
      </c>
      <c r="AZ180" s="5" t="s">
        <v>67</v>
      </c>
      <c r="BA180" s="3">
        <v>2146189850</v>
      </c>
      <c r="BB180" s="3">
        <v>2146189014</v>
      </c>
      <c r="BD180" s="3">
        <v>2146188969</v>
      </c>
      <c r="BE180" s="3">
        <v>2146188982</v>
      </c>
      <c r="BF180" s="5" t="s">
        <v>1723</v>
      </c>
      <c r="BG180" s="5" t="s">
        <v>1724</v>
      </c>
      <c r="BH180" s="5" t="s">
        <v>67</v>
      </c>
      <c r="BI180" s="5" t="s">
        <v>74</v>
      </c>
      <c r="BJ180" s="5" t="s">
        <v>67</v>
      </c>
      <c r="BK180" s="5" t="s">
        <v>1725</v>
      </c>
      <c r="BL180" s="5" t="s">
        <v>1726</v>
      </c>
      <c r="BM180" s="5" t="s">
        <v>67</v>
      </c>
      <c r="BN180" s="5" t="s">
        <v>1727</v>
      </c>
      <c r="BO180" s="5" t="s">
        <v>1728</v>
      </c>
    </row>
    <row r="181" spans="1:67" ht="409.5" x14ac:dyDescent="0.25">
      <c r="A181" s="3">
        <v>1306825490</v>
      </c>
      <c r="B181" s="4">
        <v>42368</v>
      </c>
      <c r="C181" s="3">
        <v>0</v>
      </c>
      <c r="D181" s="3">
        <v>0</v>
      </c>
      <c r="E181" s="3">
        <v>0</v>
      </c>
      <c r="F181" s="3">
        <v>0</v>
      </c>
      <c r="G181" s="3">
        <v>0</v>
      </c>
      <c r="H181" s="5" t="s">
        <v>1729</v>
      </c>
      <c r="I181" s="3" t="b">
        <v>0</v>
      </c>
      <c r="J181" s="3" t="b">
        <v>0</v>
      </c>
      <c r="K181" s="3" t="b">
        <v>0</v>
      </c>
      <c r="L181" s="3" t="b">
        <v>0</v>
      </c>
      <c r="M181" s="3" t="b">
        <v>0</v>
      </c>
      <c r="N181" s="3" t="b">
        <v>0</v>
      </c>
      <c r="O181" s="3" t="b">
        <v>0</v>
      </c>
      <c r="P181" s="3" t="b">
        <v>0</v>
      </c>
      <c r="Q181" s="3" t="b">
        <v>0</v>
      </c>
      <c r="R181" s="3" t="s">
        <v>1730</v>
      </c>
      <c r="S181" s="5" t="s">
        <v>1731</v>
      </c>
      <c r="T181" s="3" t="b">
        <v>1</v>
      </c>
      <c r="U181" s="3" t="b">
        <v>0</v>
      </c>
      <c r="V181" s="5" t="s">
        <v>1732</v>
      </c>
      <c r="W181" s="5" t="s">
        <v>1733</v>
      </c>
      <c r="X181" s="3" t="b">
        <v>0</v>
      </c>
      <c r="Y181" s="3" t="b">
        <v>0</v>
      </c>
      <c r="Z181" s="3" t="b">
        <v>0</v>
      </c>
      <c r="AA181" s="3" t="b">
        <v>0</v>
      </c>
      <c r="AB181" s="5" t="s">
        <v>1731</v>
      </c>
      <c r="AC181" s="5" t="s">
        <v>1734</v>
      </c>
      <c r="AD181" s="5" t="s">
        <v>1734</v>
      </c>
      <c r="AE181" s="5" t="s">
        <v>1730</v>
      </c>
      <c r="AF181" s="5" t="s">
        <v>1735</v>
      </c>
      <c r="AG181" s="5" t="s">
        <v>1736</v>
      </c>
      <c r="AH181" s="5" t="s">
        <v>1737</v>
      </c>
      <c r="AI181" s="5" t="s">
        <v>1738</v>
      </c>
      <c r="AJ181" s="5" t="s">
        <v>1738</v>
      </c>
      <c r="AK181" s="5" t="s">
        <v>1738</v>
      </c>
      <c r="AL181" s="5" t="s">
        <v>1730</v>
      </c>
      <c r="AM181" s="5" t="s">
        <v>67</v>
      </c>
      <c r="AN181" s="5" t="s">
        <v>67</v>
      </c>
      <c r="AO181" s="5" t="s">
        <v>67</v>
      </c>
      <c r="AP181" s="5" t="s">
        <v>67</v>
      </c>
      <c r="AQ181" s="5" t="s">
        <v>67</v>
      </c>
      <c r="AR181" s="5" t="s">
        <v>67</v>
      </c>
      <c r="AW181" s="5" t="s">
        <v>67</v>
      </c>
      <c r="AX181" s="5" t="s">
        <v>67</v>
      </c>
      <c r="AY181" s="5" t="s">
        <v>67</v>
      </c>
      <c r="AZ181" s="5" t="s">
        <v>67</v>
      </c>
      <c r="BA181" s="3">
        <v>0</v>
      </c>
      <c r="BB181" s="3">
        <v>0</v>
      </c>
      <c r="BC181" s="3">
        <v>0</v>
      </c>
      <c r="BD181" s="3">
        <v>0</v>
      </c>
      <c r="BE181" s="3">
        <v>0</v>
      </c>
      <c r="BF181" s="5" t="s">
        <v>67</v>
      </c>
      <c r="BG181" s="5" t="s">
        <v>1738</v>
      </c>
      <c r="BH181" s="5" t="s">
        <v>1738</v>
      </c>
      <c r="BI181" s="5" t="s">
        <v>67</v>
      </c>
      <c r="BJ181" s="5" t="s">
        <v>1730</v>
      </c>
      <c r="BK181" s="5" t="s">
        <v>1733</v>
      </c>
      <c r="BL181" s="5" t="s">
        <v>1739</v>
      </c>
      <c r="BM181" s="5" t="s">
        <v>1730</v>
      </c>
      <c r="BN181" s="5" t="s">
        <v>1738</v>
      </c>
      <c r="BO181" s="5" t="s">
        <v>1730</v>
      </c>
    </row>
    <row r="182" spans="1:67" ht="105" x14ac:dyDescent="0.25">
      <c r="A182" s="3">
        <v>1307716338</v>
      </c>
      <c r="B182" s="4">
        <v>40980</v>
      </c>
      <c r="C182" s="3">
        <v>2092442015</v>
      </c>
      <c r="F182" s="3">
        <v>1434</v>
      </c>
      <c r="H182" s="5" t="s">
        <v>67</v>
      </c>
      <c r="I182" s="3" t="b">
        <v>0</v>
      </c>
      <c r="J182" s="3" t="b">
        <v>0</v>
      </c>
      <c r="K182" s="3" t="b">
        <v>0</v>
      </c>
      <c r="L182" s="3" t="b">
        <v>1</v>
      </c>
      <c r="M182" s="3" t="b">
        <v>0</v>
      </c>
      <c r="N182" s="3" t="b">
        <v>1</v>
      </c>
      <c r="O182" s="3" t="b">
        <v>0</v>
      </c>
      <c r="P182" s="3" t="b">
        <v>1</v>
      </c>
      <c r="Q182" s="3" t="b">
        <v>1</v>
      </c>
      <c r="R182" s="3" t="s">
        <v>1740</v>
      </c>
      <c r="S182" s="5" t="s">
        <v>1741</v>
      </c>
      <c r="T182" s="3" t="b">
        <v>0</v>
      </c>
      <c r="U182" s="3" t="b">
        <v>0</v>
      </c>
      <c r="V182" s="5" t="s">
        <v>1742</v>
      </c>
      <c r="W182" s="5" t="s">
        <v>67</v>
      </c>
      <c r="X182" s="3" t="b">
        <v>0</v>
      </c>
      <c r="Y182" s="3" t="b">
        <v>0</v>
      </c>
      <c r="Z182" s="3" t="b">
        <v>0</v>
      </c>
      <c r="AA182" s="3" t="b">
        <v>0</v>
      </c>
      <c r="AB182" s="5" t="s">
        <v>1743</v>
      </c>
      <c r="AC182" s="5" t="s">
        <v>67</v>
      </c>
      <c r="AD182" s="5" t="s">
        <v>1744</v>
      </c>
      <c r="AE182" s="5" t="s">
        <v>67</v>
      </c>
      <c r="AF182" s="5" t="s">
        <v>188</v>
      </c>
      <c r="AG182" s="5" t="s">
        <v>67</v>
      </c>
      <c r="AH182" s="5" t="s">
        <v>1745</v>
      </c>
      <c r="AI182" s="5" t="s">
        <v>67</v>
      </c>
      <c r="AJ182" s="5" t="s">
        <v>67</v>
      </c>
      <c r="AK182" s="5" t="s">
        <v>67</v>
      </c>
      <c r="AL182" s="5" t="s">
        <v>67</v>
      </c>
      <c r="AM182" s="5" t="s">
        <v>67</v>
      </c>
      <c r="AN182" s="5" t="s">
        <v>67</v>
      </c>
      <c r="AO182" s="5" t="s">
        <v>67</v>
      </c>
      <c r="AP182" s="5" t="s">
        <v>67</v>
      </c>
      <c r="AQ182" s="5" t="s">
        <v>67</v>
      </c>
      <c r="AR182" s="5" t="s">
        <v>67</v>
      </c>
      <c r="AW182" s="5" t="s">
        <v>67</v>
      </c>
      <c r="AX182" s="5" t="s">
        <v>67</v>
      </c>
      <c r="AY182" s="5" t="s">
        <v>67</v>
      </c>
      <c r="AZ182" s="5" t="s">
        <v>67</v>
      </c>
      <c r="BF182" s="5" t="s">
        <v>67</v>
      </c>
      <c r="BG182" s="5" t="s">
        <v>67</v>
      </c>
      <c r="BH182" s="5" t="s">
        <v>67</v>
      </c>
      <c r="BI182" s="5" t="s">
        <v>67</v>
      </c>
      <c r="BJ182" s="5" t="s">
        <v>67</v>
      </c>
      <c r="BK182" s="5" t="s">
        <v>67</v>
      </c>
      <c r="BL182" s="5" t="s">
        <v>67</v>
      </c>
      <c r="BM182" s="5" t="s">
        <v>67</v>
      </c>
      <c r="BN182" s="5" t="s">
        <v>67</v>
      </c>
      <c r="BO182" s="5" t="s">
        <v>67</v>
      </c>
    </row>
    <row r="183" spans="1:67" x14ac:dyDescent="0.25">
      <c r="A183" s="3">
        <v>1309859639</v>
      </c>
      <c r="B183" s="4">
        <v>41311</v>
      </c>
      <c r="H183" s="5" t="s">
        <v>67</v>
      </c>
      <c r="I183" s="3" t="b">
        <v>0</v>
      </c>
      <c r="J183" s="3" t="b">
        <v>0</v>
      </c>
      <c r="K183" s="3" t="b">
        <v>0</v>
      </c>
      <c r="L183" s="3" t="b">
        <v>0</v>
      </c>
      <c r="M183" s="3" t="b">
        <v>0</v>
      </c>
      <c r="N183" s="3" t="b">
        <v>0</v>
      </c>
      <c r="O183" s="3" t="b">
        <v>0</v>
      </c>
      <c r="P183" s="3" t="b">
        <v>0</v>
      </c>
      <c r="Q183" s="3" t="b">
        <v>0</v>
      </c>
      <c r="R183" s="3" t="s">
        <v>67</v>
      </c>
      <c r="S183" s="5" t="s">
        <v>67</v>
      </c>
      <c r="T183" s="3" t="b">
        <v>0</v>
      </c>
      <c r="U183" s="3" t="b">
        <v>0</v>
      </c>
      <c r="V183" s="5" t="s">
        <v>67</v>
      </c>
      <c r="W183" s="5" t="s">
        <v>67</v>
      </c>
      <c r="X183" s="3" t="b">
        <v>0</v>
      </c>
      <c r="Y183" s="3" t="b">
        <v>0</v>
      </c>
      <c r="Z183" s="3" t="b">
        <v>0</v>
      </c>
      <c r="AA183" s="3" t="b">
        <v>0</v>
      </c>
      <c r="AB183" s="5" t="s">
        <v>67</v>
      </c>
      <c r="AC183" s="5" t="s">
        <v>67</v>
      </c>
      <c r="AD183" s="5" t="s">
        <v>67</v>
      </c>
      <c r="AE183" s="5" t="s">
        <v>67</v>
      </c>
      <c r="AF183" s="5" t="s">
        <v>67</v>
      </c>
      <c r="AG183" s="5" t="s">
        <v>67</v>
      </c>
      <c r="AH183" s="5" t="s">
        <v>67</v>
      </c>
      <c r="AI183" s="5" t="s">
        <v>67</v>
      </c>
      <c r="AJ183" s="5" t="s">
        <v>67</v>
      </c>
      <c r="AK183" s="5" t="s">
        <v>67</v>
      </c>
      <c r="AL183" s="5" t="s">
        <v>67</v>
      </c>
      <c r="AM183" s="5" t="s">
        <v>67</v>
      </c>
      <c r="AN183" s="5" t="s">
        <v>67</v>
      </c>
      <c r="AO183" s="5" t="s">
        <v>67</v>
      </c>
      <c r="AP183" s="5" t="s">
        <v>67</v>
      </c>
      <c r="AQ183" s="5" t="s">
        <v>67</v>
      </c>
      <c r="AR183" s="5" t="s">
        <v>67</v>
      </c>
      <c r="AW183" s="5" t="s">
        <v>67</v>
      </c>
      <c r="AX183" s="5" t="s">
        <v>67</v>
      </c>
      <c r="AY183" s="5" t="s">
        <v>67</v>
      </c>
      <c r="AZ183" s="5" t="s">
        <v>67</v>
      </c>
      <c r="BF183" s="5" t="s">
        <v>67</v>
      </c>
      <c r="BG183" s="5" t="s">
        <v>67</v>
      </c>
      <c r="BH183" s="5" t="s">
        <v>67</v>
      </c>
      <c r="BI183" s="5" t="s">
        <v>67</v>
      </c>
      <c r="BJ183" s="5" t="s">
        <v>67</v>
      </c>
      <c r="BK183" s="5" t="s">
        <v>67</v>
      </c>
      <c r="BL183" s="5" t="s">
        <v>67</v>
      </c>
      <c r="BM183" s="5" t="s">
        <v>67</v>
      </c>
      <c r="BN183" s="5" t="s">
        <v>67</v>
      </c>
      <c r="BO183" s="5" t="s">
        <v>67</v>
      </c>
    </row>
    <row r="184" spans="1:67" x14ac:dyDescent="0.25">
      <c r="A184" s="3">
        <v>1315228613</v>
      </c>
      <c r="B184" s="4">
        <v>42391</v>
      </c>
      <c r="H184" s="5" t="s">
        <v>67</v>
      </c>
      <c r="I184" s="3" t="b">
        <v>0</v>
      </c>
      <c r="J184" s="3" t="b">
        <v>0</v>
      </c>
      <c r="K184" s="3" t="b">
        <v>0</v>
      </c>
      <c r="L184" s="3" t="b">
        <v>0</v>
      </c>
      <c r="M184" s="3" t="b">
        <v>0</v>
      </c>
      <c r="N184" s="3" t="b">
        <v>0</v>
      </c>
      <c r="O184" s="3" t="b">
        <v>0</v>
      </c>
      <c r="P184" s="3" t="b">
        <v>0</v>
      </c>
      <c r="Q184" s="3" t="b">
        <v>0</v>
      </c>
      <c r="R184" s="3" t="s">
        <v>67</v>
      </c>
      <c r="S184" s="5" t="s">
        <v>67</v>
      </c>
      <c r="T184" s="3" t="b">
        <v>0</v>
      </c>
      <c r="U184" s="3" t="b">
        <v>0</v>
      </c>
      <c r="V184" s="5" t="s">
        <v>67</v>
      </c>
      <c r="W184" s="5" t="s">
        <v>67</v>
      </c>
      <c r="X184" s="3" t="b">
        <v>0</v>
      </c>
      <c r="Y184" s="3" t="b">
        <v>0</v>
      </c>
      <c r="Z184" s="3" t="b">
        <v>0</v>
      </c>
      <c r="AA184" s="3" t="b">
        <v>0</v>
      </c>
      <c r="AB184" s="5" t="s">
        <v>67</v>
      </c>
      <c r="AC184" s="5" t="s">
        <v>67</v>
      </c>
      <c r="AD184" s="5" t="s">
        <v>67</v>
      </c>
      <c r="AE184" s="5" t="s">
        <v>67</v>
      </c>
      <c r="AF184" s="5" t="s">
        <v>67</v>
      </c>
      <c r="AG184" s="5" t="s">
        <v>67</v>
      </c>
      <c r="AH184" s="5" t="s">
        <v>67</v>
      </c>
      <c r="AI184" s="5" t="s">
        <v>67</v>
      </c>
      <c r="AJ184" s="5" t="s">
        <v>67</v>
      </c>
      <c r="AK184" s="5" t="s">
        <v>67</v>
      </c>
      <c r="AL184" s="5" t="s">
        <v>67</v>
      </c>
      <c r="AM184" s="5" t="s">
        <v>67</v>
      </c>
      <c r="AN184" s="5" t="s">
        <v>67</v>
      </c>
      <c r="AO184" s="5" t="s">
        <v>67</v>
      </c>
      <c r="AP184" s="5" t="s">
        <v>67</v>
      </c>
      <c r="AQ184" s="5" t="s">
        <v>67</v>
      </c>
      <c r="AR184" s="5" t="s">
        <v>67</v>
      </c>
      <c r="AW184" s="5" t="s">
        <v>67</v>
      </c>
      <c r="AX184" s="5" t="s">
        <v>67</v>
      </c>
      <c r="AY184" s="5" t="s">
        <v>67</v>
      </c>
      <c r="AZ184" s="5" t="s">
        <v>67</v>
      </c>
      <c r="BF184" s="5" t="s">
        <v>67</v>
      </c>
      <c r="BG184" s="5" t="s">
        <v>67</v>
      </c>
      <c r="BH184" s="5" t="s">
        <v>67</v>
      </c>
      <c r="BI184" s="5" t="s">
        <v>67</v>
      </c>
      <c r="BJ184" s="5" t="s">
        <v>67</v>
      </c>
      <c r="BK184" s="5" t="s">
        <v>67</v>
      </c>
      <c r="BL184" s="5" t="s">
        <v>67</v>
      </c>
      <c r="BM184" s="5" t="s">
        <v>67</v>
      </c>
      <c r="BN184" s="5" t="s">
        <v>67</v>
      </c>
      <c r="BO184" s="5" t="s">
        <v>67</v>
      </c>
    </row>
    <row r="185" spans="1:67" x14ac:dyDescent="0.25">
      <c r="A185" s="3">
        <v>1318585409</v>
      </c>
      <c r="B185" s="4">
        <v>40878</v>
      </c>
      <c r="H185" s="5" t="s">
        <v>67</v>
      </c>
      <c r="I185" s="3" t="b">
        <v>0</v>
      </c>
      <c r="J185" s="3" t="b">
        <v>0</v>
      </c>
      <c r="K185" s="3" t="b">
        <v>0</v>
      </c>
      <c r="L185" s="3" t="b">
        <v>0</v>
      </c>
      <c r="M185" s="3" t="b">
        <v>0</v>
      </c>
      <c r="N185" s="3" t="b">
        <v>0</v>
      </c>
      <c r="O185" s="3" t="b">
        <v>0</v>
      </c>
      <c r="P185" s="3" t="b">
        <v>0</v>
      </c>
      <c r="Q185" s="3" t="b">
        <v>0</v>
      </c>
      <c r="R185" s="3" t="s">
        <v>67</v>
      </c>
      <c r="S185" s="5" t="s">
        <v>67</v>
      </c>
      <c r="T185" s="3" t="b">
        <v>0</v>
      </c>
      <c r="U185" s="3" t="b">
        <v>0</v>
      </c>
      <c r="V185" s="5" t="s">
        <v>67</v>
      </c>
      <c r="W185" s="5" t="s">
        <v>67</v>
      </c>
      <c r="X185" s="3" t="b">
        <v>0</v>
      </c>
      <c r="Y185" s="3" t="b">
        <v>0</v>
      </c>
      <c r="Z185" s="3" t="b">
        <v>0</v>
      </c>
      <c r="AA185" s="3" t="b">
        <v>0</v>
      </c>
      <c r="AB185" s="5" t="s">
        <v>67</v>
      </c>
      <c r="AC185" s="5" t="s">
        <v>67</v>
      </c>
      <c r="AD185" s="5" t="s">
        <v>67</v>
      </c>
      <c r="AE185" s="5" t="s">
        <v>67</v>
      </c>
      <c r="AF185" s="5" t="s">
        <v>67</v>
      </c>
      <c r="AG185" s="5" t="s">
        <v>67</v>
      </c>
      <c r="AH185" s="5" t="s">
        <v>67</v>
      </c>
      <c r="AI185" s="5" t="s">
        <v>67</v>
      </c>
      <c r="AJ185" s="5" t="s">
        <v>67</v>
      </c>
      <c r="AK185" s="5" t="s">
        <v>67</v>
      </c>
      <c r="AL185" s="5" t="s">
        <v>67</v>
      </c>
      <c r="AM185" s="5" t="s">
        <v>67</v>
      </c>
      <c r="AN185" s="5" t="s">
        <v>67</v>
      </c>
      <c r="AO185" s="5" t="s">
        <v>67</v>
      </c>
      <c r="AP185" s="5" t="s">
        <v>67</v>
      </c>
      <c r="AQ185" s="5" t="s">
        <v>67</v>
      </c>
      <c r="AR185" s="5" t="s">
        <v>67</v>
      </c>
      <c r="AW185" s="5" t="s">
        <v>67</v>
      </c>
      <c r="AX185" s="5" t="s">
        <v>67</v>
      </c>
      <c r="AY185" s="5" t="s">
        <v>67</v>
      </c>
      <c r="AZ185" s="5" t="s">
        <v>67</v>
      </c>
      <c r="BF185" s="5" t="s">
        <v>67</v>
      </c>
      <c r="BG185" s="5" t="s">
        <v>67</v>
      </c>
      <c r="BH185" s="5" t="s">
        <v>67</v>
      </c>
      <c r="BI185" s="5" t="s">
        <v>67</v>
      </c>
      <c r="BJ185" s="5" t="s">
        <v>67</v>
      </c>
      <c r="BK185" s="5" t="s">
        <v>67</v>
      </c>
      <c r="BL185" s="5" t="s">
        <v>67</v>
      </c>
      <c r="BM185" s="5" t="s">
        <v>67</v>
      </c>
      <c r="BN185" s="5" t="s">
        <v>67</v>
      </c>
      <c r="BO185" s="5" t="s">
        <v>67</v>
      </c>
    </row>
    <row r="186" spans="1:67" ht="409.5" x14ac:dyDescent="0.25">
      <c r="A186" s="3">
        <v>1349252291</v>
      </c>
      <c r="B186" s="4">
        <v>42873</v>
      </c>
      <c r="C186" s="3">
        <v>2034</v>
      </c>
      <c r="F186" s="3">
        <v>1434</v>
      </c>
      <c r="G186" s="3">
        <v>2034</v>
      </c>
      <c r="H186" s="5" t="s">
        <v>215</v>
      </c>
      <c r="I186" s="3" t="b">
        <v>0</v>
      </c>
      <c r="J186" s="3" t="b">
        <v>1</v>
      </c>
      <c r="K186" s="3" t="b">
        <v>0</v>
      </c>
      <c r="L186" s="3" t="b">
        <v>1</v>
      </c>
      <c r="M186" s="3" t="b">
        <v>0</v>
      </c>
      <c r="N186" s="3" t="b">
        <v>0</v>
      </c>
      <c r="O186" s="3" t="b">
        <v>0</v>
      </c>
      <c r="P186" s="3" t="b">
        <v>1</v>
      </c>
      <c r="Q186" s="3" t="b">
        <v>0</v>
      </c>
      <c r="R186" s="3" t="s">
        <v>1746</v>
      </c>
      <c r="S186" s="5" t="s">
        <v>1747</v>
      </c>
      <c r="T186" s="3" t="b">
        <v>0</v>
      </c>
      <c r="U186" s="3" t="b">
        <v>1</v>
      </c>
      <c r="V186" s="5" t="s">
        <v>1748</v>
      </c>
      <c r="W186" s="5" t="s">
        <v>67</v>
      </c>
      <c r="X186" s="3" t="b">
        <v>0</v>
      </c>
      <c r="Y186" s="3" t="b">
        <v>0</v>
      </c>
      <c r="Z186" s="3" t="b">
        <v>0</v>
      </c>
      <c r="AA186" s="3" t="b">
        <v>0</v>
      </c>
      <c r="AB186" s="5" t="s">
        <v>1749</v>
      </c>
      <c r="AC186" s="5" t="s">
        <v>67</v>
      </c>
      <c r="AD186" s="5" t="s">
        <v>220</v>
      </c>
      <c r="AE186" s="5" t="s">
        <v>221</v>
      </c>
      <c r="AF186" s="5" t="s">
        <v>1750</v>
      </c>
      <c r="AG186" s="5" t="s">
        <v>1751</v>
      </c>
      <c r="AH186" s="5" t="s">
        <v>1752</v>
      </c>
      <c r="AI186" s="5" t="s">
        <v>1753</v>
      </c>
      <c r="AJ186" s="5" t="s">
        <v>1754</v>
      </c>
      <c r="AK186" s="5" t="s">
        <v>1755</v>
      </c>
      <c r="AL186" s="5" t="s">
        <v>67</v>
      </c>
      <c r="AM186" s="5" t="s">
        <v>1756</v>
      </c>
      <c r="AN186" s="5" t="s">
        <v>1757</v>
      </c>
      <c r="AO186" s="5" t="s">
        <v>67</v>
      </c>
      <c r="AP186" s="5" t="s">
        <v>1758</v>
      </c>
      <c r="AQ186" s="5" t="s">
        <v>67</v>
      </c>
      <c r="AR186" s="5" t="s">
        <v>67</v>
      </c>
      <c r="AW186" s="5" t="s">
        <v>67</v>
      </c>
      <c r="AX186" s="5" t="s">
        <v>67</v>
      </c>
      <c r="AY186" s="5" t="s">
        <v>67</v>
      </c>
      <c r="AZ186" s="5" t="s">
        <v>67</v>
      </c>
      <c r="BA186" s="3">
        <v>2146188983</v>
      </c>
      <c r="BD186" s="3">
        <v>2146188985</v>
      </c>
      <c r="BE186" s="3">
        <v>2146188985</v>
      </c>
      <c r="BF186" s="5" t="s">
        <v>229</v>
      </c>
      <c r="BG186" s="5" t="s">
        <v>97</v>
      </c>
      <c r="BH186" s="5" t="s">
        <v>1759</v>
      </c>
      <c r="BI186" s="5" t="s">
        <v>141</v>
      </c>
      <c r="BJ186" s="5" t="s">
        <v>1760</v>
      </c>
      <c r="BK186" s="5" t="s">
        <v>1761</v>
      </c>
      <c r="BL186" s="5" t="s">
        <v>1762</v>
      </c>
      <c r="BM186" s="5" t="s">
        <v>1763</v>
      </c>
      <c r="BN186" s="5" t="s">
        <v>1764</v>
      </c>
      <c r="BO186" s="5" t="s">
        <v>67</v>
      </c>
    </row>
    <row r="187" spans="1:67" ht="240" x14ac:dyDescent="0.25">
      <c r="A187" s="3">
        <v>1457402239</v>
      </c>
      <c r="B187" s="4">
        <v>41059</v>
      </c>
      <c r="C187" s="3">
        <v>807998366</v>
      </c>
      <c r="H187" s="5" t="s">
        <v>67</v>
      </c>
      <c r="I187" s="3" t="b">
        <v>0</v>
      </c>
      <c r="J187" s="3" t="b">
        <v>1</v>
      </c>
      <c r="K187" s="3" t="b">
        <v>0</v>
      </c>
      <c r="L187" s="3" t="b">
        <v>1</v>
      </c>
      <c r="M187" s="3" t="b">
        <v>1</v>
      </c>
      <c r="N187" s="3" t="b">
        <v>0</v>
      </c>
      <c r="O187" s="3" t="b">
        <v>0</v>
      </c>
      <c r="P187" s="3" t="b">
        <v>0</v>
      </c>
      <c r="Q187" s="3" t="b">
        <v>0</v>
      </c>
      <c r="R187" s="3" t="s">
        <v>1765</v>
      </c>
      <c r="S187" s="5" t="s">
        <v>1766</v>
      </c>
      <c r="T187" s="3" t="b">
        <v>0</v>
      </c>
      <c r="U187" s="3" t="b">
        <v>1</v>
      </c>
      <c r="V187" s="5" t="s">
        <v>1767</v>
      </c>
      <c r="W187" s="5" t="s">
        <v>1768</v>
      </c>
      <c r="X187" s="3" t="b">
        <v>0</v>
      </c>
      <c r="Y187" s="3" t="b">
        <v>0</v>
      </c>
      <c r="Z187" s="3" t="b">
        <v>0</v>
      </c>
      <c r="AA187" s="3" t="b">
        <v>0</v>
      </c>
      <c r="AB187" s="5" t="s">
        <v>1769</v>
      </c>
      <c r="AC187" s="5" t="s">
        <v>67</v>
      </c>
      <c r="AD187" s="5" t="s">
        <v>67</v>
      </c>
      <c r="AE187" s="5" t="s">
        <v>67</v>
      </c>
      <c r="AF187" s="5" t="s">
        <v>1770</v>
      </c>
      <c r="AG187" s="5" t="s">
        <v>1771</v>
      </c>
      <c r="AH187" s="5" t="s">
        <v>1772</v>
      </c>
      <c r="AI187" s="5" t="s">
        <v>67</v>
      </c>
      <c r="AJ187" s="5" t="s">
        <v>1773</v>
      </c>
      <c r="AK187" s="5" t="s">
        <v>67</v>
      </c>
      <c r="AL187" s="5" t="s">
        <v>1773</v>
      </c>
      <c r="AM187" s="5" t="s">
        <v>1774</v>
      </c>
      <c r="AN187" s="5" t="s">
        <v>67</v>
      </c>
      <c r="AO187" s="5" t="s">
        <v>67</v>
      </c>
      <c r="AP187" s="5" t="s">
        <v>67</v>
      </c>
      <c r="AQ187" s="5" t="s">
        <v>67</v>
      </c>
      <c r="AR187" s="5" t="s">
        <v>67</v>
      </c>
      <c r="AW187" s="5" t="s">
        <v>67</v>
      </c>
      <c r="AX187" s="5" t="s">
        <v>67</v>
      </c>
      <c r="AY187" s="5" t="s">
        <v>67</v>
      </c>
      <c r="AZ187" s="5" t="s">
        <v>67</v>
      </c>
      <c r="BA187" s="3">
        <v>107</v>
      </c>
      <c r="BB187" s="3">
        <v>2146189081</v>
      </c>
      <c r="BE187" s="3">
        <v>2146189082</v>
      </c>
      <c r="BF187" s="5" t="s">
        <v>1775</v>
      </c>
      <c r="BG187" s="5" t="s">
        <v>1776</v>
      </c>
      <c r="BH187" s="5" t="s">
        <v>1777</v>
      </c>
      <c r="BI187" s="5" t="s">
        <v>67</v>
      </c>
      <c r="BJ187" s="5" t="s">
        <v>213</v>
      </c>
      <c r="BK187" s="5" t="s">
        <v>1778</v>
      </c>
      <c r="BL187" s="5" t="s">
        <v>1779</v>
      </c>
      <c r="BM187" s="5" t="s">
        <v>67</v>
      </c>
      <c r="BN187" s="5" t="s">
        <v>67</v>
      </c>
      <c r="BO187" s="5" t="s">
        <v>67</v>
      </c>
    </row>
    <row r="188" spans="1:67" x14ac:dyDescent="0.25">
      <c r="A188" s="3">
        <v>1493190852</v>
      </c>
      <c r="B188" s="4">
        <v>42473</v>
      </c>
      <c r="H188" s="5" t="s">
        <v>67</v>
      </c>
      <c r="I188" s="3" t="b">
        <v>0</v>
      </c>
      <c r="J188" s="3" t="b">
        <v>0</v>
      </c>
      <c r="K188" s="3" t="b">
        <v>0</v>
      </c>
      <c r="L188" s="3" t="b">
        <v>0</v>
      </c>
      <c r="M188" s="3" t="b">
        <v>0</v>
      </c>
      <c r="N188" s="3" t="b">
        <v>0</v>
      </c>
      <c r="O188" s="3" t="b">
        <v>0</v>
      </c>
      <c r="P188" s="3" t="b">
        <v>0</v>
      </c>
      <c r="Q188" s="3" t="b">
        <v>0</v>
      </c>
      <c r="R188" s="3" t="s">
        <v>67</v>
      </c>
      <c r="S188" s="5" t="s">
        <v>67</v>
      </c>
      <c r="T188" s="3" t="b">
        <v>0</v>
      </c>
      <c r="U188" s="3" t="b">
        <v>0</v>
      </c>
      <c r="V188" s="5" t="s">
        <v>67</v>
      </c>
      <c r="W188" s="5" t="s">
        <v>67</v>
      </c>
      <c r="X188" s="3" t="b">
        <v>0</v>
      </c>
      <c r="Y188" s="3" t="b">
        <v>0</v>
      </c>
      <c r="Z188" s="3" t="b">
        <v>0</v>
      </c>
      <c r="AA188" s="3" t="b">
        <v>0</v>
      </c>
      <c r="AB188" s="5" t="s">
        <v>67</v>
      </c>
      <c r="AC188" s="5" t="s">
        <v>67</v>
      </c>
      <c r="AD188" s="5" t="s">
        <v>67</v>
      </c>
      <c r="AE188" s="5" t="s">
        <v>67</v>
      </c>
      <c r="AF188" s="5" t="s">
        <v>67</v>
      </c>
      <c r="AG188" s="5" t="s">
        <v>67</v>
      </c>
      <c r="AH188" s="5" t="s">
        <v>67</v>
      </c>
      <c r="AI188" s="5" t="s">
        <v>67</v>
      </c>
      <c r="AJ188" s="5" t="s">
        <v>67</v>
      </c>
      <c r="AK188" s="5" t="s">
        <v>67</v>
      </c>
      <c r="AL188" s="5" t="s">
        <v>67</v>
      </c>
      <c r="AM188" s="5" t="s">
        <v>67</v>
      </c>
      <c r="AN188" s="5" t="s">
        <v>67</v>
      </c>
      <c r="AO188" s="5" t="s">
        <v>67</v>
      </c>
      <c r="AP188" s="5" t="s">
        <v>67</v>
      </c>
      <c r="AQ188" s="5" t="s">
        <v>67</v>
      </c>
      <c r="AR188" s="5" t="s">
        <v>67</v>
      </c>
      <c r="AW188" s="5" t="s">
        <v>67</v>
      </c>
      <c r="AX188" s="5" t="s">
        <v>67</v>
      </c>
      <c r="AY188" s="5" t="s">
        <v>67</v>
      </c>
      <c r="AZ188" s="5" t="s">
        <v>67</v>
      </c>
      <c r="BF188" s="5" t="s">
        <v>67</v>
      </c>
      <c r="BG188" s="5" t="s">
        <v>67</v>
      </c>
      <c r="BH188" s="5" t="s">
        <v>67</v>
      </c>
      <c r="BI188" s="5" t="s">
        <v>67</v>
      </c>
      <c r="BJ188" s="5" t="s">
        <v>67</v>
      </c>
      <c r="BK188" s="5" t="s">
        <v>67</v>
      </c>
      <c r="BL188" s="5" t="s">
        <v>67</v>
      </c>
      <c r="BM188" s="5" t="s">
        <v>67</v>
      </c>
      <c r="BN188" s="5" t="s">
        <v>67</v>
      </c>
      <c r="BO188" s="5" t="s">
        <v>67</v>
      </c>
    </row>
    <row r="189" spans="1:67" ht="360" x14ac:dyDescent="0.25">
      <c r="A189" s="3">
        <v>1540756715</v>
      </c>
      <c r="B189" s="4">
        <v>42873</v>
      </c>
      <c r="C189" s="3">
        <v>132</v>
      </c>
      <c r="E189" s="3">
        <v>2146189332</v>
      </c>
      <c r="F189" s="3">
        <v>1434</v>
      </c>
      <c r="H189" s="5" t="s">
        <v>1780</v>
      </c>
      <c r="I189" s="3" t="b">
        <v>0</v>
      </c>
      <c r="J189" s="3" t="b">
        <v>1</v>
      </c>
      <c r="K189" s="3" t="b">
        <v>1</v>
      </c>
      <c r="L189" s="3" t="b">
        <v>0</v>
      </c>
      <c r="M189" s="3" t="b">
        <v>0</v>
      </c>
      <c r="N189" s="3" t="b">
        <v>0</v>
      </c>
      <c r="O189" s="3" t="b">
        <v>0</v>
      </c>
      <c r="P189" s="3" t="b">
        <v>1</v>
      </c>
      <c r="Q189" s="3" t="b">
        <v>1</v>
      </c>
      <c r="R189" s="3" t="s">
        <v>1781</v>
      </c>
      <c r="S189" s="5" t="s">
        <v>81</v>
      </c>
      <c r="T189" s="3" t="b">
        <v>0</v>
      </c>
      <c r="U189" s="3" t="b">
        <v>1</v>
      </c>
      <c r="V189" s="5" t="s">
        <v>1782</v>
      </c>
      <c r="W189" s="5" t="s">
        <v>1783</v>
      </c>
      <c r="X189" s="3" t="b">
        <v>0</v>
      </c>
      <c r="Y189" s="3" t="b">
        <v>0</v>
      </c>
      <c r="Z189" s="3" t="b">
        <v>0</v>
      </c>
      <c r="AA189" s="3" t="b">
        <v>0</v>
      </c>
      <c r="AB189" s="5" t="s">
        <v>373</v>
      </c>
      <c r="AC189" s="5" t="s">
        <v>380</v>
      </c>
      <c r="AD189" s="5" t="s">
        <v>1784</v>
      </c>
      <c r="AE189" s="5" t="s">
        <v>380</v>
      </c>
      <c r="AF189" s="5" t="s">
        <v>1785</v>
      </c>
      <c r="AG189" s="5" t="s">
        <v>1786</v>
      </c>
      <c r="AH189" s="5" t="s">
        <v>1787</v>
      </c>
      <c r="AI189" s="5" t="s">
        <v>1788</v>
      </c>
      <c r="AJ189" s="5" t="s">
        <v>1789</v>
      </c>
      <c r="AK189" s="5" t="s">
        <v>380</v>
      </c>
      <c r="AL189" s="5" t="s">
        <v>380</v>
      </c>
      <c r="AM189" s="5" t="s">
        <v>1790</v>
      </c>
      <c r="AN189" s="5" t="s">
        <v>1791</v>
      </c>
      <c r="AO189" s="5" t="s">
        <v>1792</v>
      </c>
      <c r="AP189" s="5" t="s">
        <v>380</v>
      </c>
      <c r="AQ189" s="5" t="s">
        <v>380</v>
      </c>
      <c r="AR189" s="5" t="s">
        <v>67</v>
      </c>
      <c r="AW189" s="5" t="s">
        <v>67</v>
      </c>
      <c r="AX189" s="5" t="s">
        <v>67</v>
      </c>
      <c r="AY189" s="5" t="s">
        <v>67</v>
      </c>
      <c r="AZ189" s="5" t="s">
        <v>67</v>
      </c>
      <c r="BA189" s="3">
        <v>2146189812</v>
      </c>
      <c r="BD189" s="3">
        <v>2146188976</v>
      </c>
      <c r="BE189" s="3">
        <v>2146188976</v>
      </c>
      <c r="BF189" s="5" t="s">
        <v>1793</v>
      </c>
      <c r="BG189" s="5" t="s">
        <v>1794</v>
      </c>
      <c r="BH189" s="5" t="s">
        <v>1795</v>
      </c>
      <c r="BI189" s="5" t="s">
        <v>210</v>
      </c>
      <c r="BJ189" s="5" t="s">
        <v>1796</v>
      </c>
      <c r="BK189" s="5" t="s">
        <v>1797</v>
      </c>
      <c r="BL189" s="5" t="s">
        <v>1798</v>
      </c>
      <c r="BM189" s="5" t="s">
        <v>1799</v>
      </c>
      <c r="BN189" s="5" t="s">
        <v>1800</v>
      </c>
      <c r="BO189" s="5" t="s">
        <v>1801</v>
      </c>
    </row>
    <row r="190" spans="1:67" x14ac:dyDescent="0.25">
      <c r="A190" s="3">
        <v>1639681950</v>
      </c>
      <c r="B190" s="4">
        <v>42482</v>
      </c>
      <c r="H190" s="5" t="s">
        <v>67</v>
      </c>
      <c r="I190" s="3" t="b">
        <v>0</v>
      </c>
      <c r="J190" s="3" t="b">
        <v>0</v>
      </c>
      <c r="K190" s="3" t="b">
        <v>0</v>
      </c>
      <c r="L190" s="3" t="b">
        <v>0</v>
      </c>
      <c r="M190" s="3" t="b">
        <v>0</v>
      </c>
      <c r="N190" s="3" t="b">
        <v>0</v>
      </c>
      <c r="O190" s="3" t="b">
        <v>0</v>
      </c>
      <c r="P190" s="3" t="b">
        <v>0</v>
      </c>
      <c r="Q190" s="3" t="b">
        <v>0</v>
      </c>
      <c r="R190" s="3" t="s">
        <v>67</v>
      </c>
      <c r="S190" s="5" t="s">
        <v>67</v>
      </c>
      <c r="T190" s="3" t="b">
        <v>0</v>
      </c>
      <c r="U190" s="3" t="b">
        <v>0</v>
      </c>
      <c r="V190" s="5" t="s">
        <v>67</v>
      </c>
      <c r="W190" s="5" t="s">
        <v>67</v>
      </c>
      <c r="X190" s="3" t="b">
        <v>0</v>
      </c>
      <c r="Y190" s="3" t="b">
        <v>0</v>
      </c>
      <c r="Z190" s="3" t="b">
        <v>0</v>
      </c>
      <c r="AA190" s="3" t="b">
        <v>0</v>
      </c>
      <c r="AB190" s="5" t="s">
        <v>67</v>
      </c>
      <c r="AC190" s="5" t="s">
        <v>67</v>
      </c>
      <c r="AD190" s="5" t="s">
        <v>67</v>
      </c>
      <c r="AE190" s="5" t="s">
        <v>67</v>
      </c>
      <c r="AF190" s="5" t="s">
        <v>67</v>
      </c>
      <c r="AG190" s="5" t="s">
        <v>67</v>
      </c>
      <c r="AH190" s="5" t="s">
        <v>67</v>
      </c>
      <c r="AI190" s="5" t="s">
        <v>67</v>
      </c>
      <c r="AJ190" s="5" t="s">
        <v>67</v>
      </c>
      <c r="AK190" s="5" t="s">
        <v>67</v>
      </c>
      <c r="AL190" s="5" t="s">
        <v>67</v>
      </c>
      <c r="AM190" s="5" t="s">
        <v>67</v>
      </c>
      <c r="AN190" s="5" t="s">
        <v>67</v>
      </c>
      <c r="AO190" s="5" t="s">
        <v>67</v>
      </c>
      <c r="AP190" s="5" t="s">
        <v>67</v>
      </c>
      <c r="AQ190" s="5" t="s">
        <v>67</v>
      </c>
      <c r="AR190" s="5" t="s">
        <v>67</v>
      </c>
      <c r="AW190" s="5" t="s">
        <v>67</v>
      </c>
      <c r="AX190" s="5" t="s">
        <v>67</v>
      </c>
      <c r="AY190" s="5" t="s">
        <v>67</v>
      </c>
      <c r="AZ190" s="5" t="s">
        <v>67</v>
      </c>
      <c r="BF190" s="5" t="s">
        <v>67</v>
      </c>
      <c r="BG190" s="5" t="s">
        <v>67</v>
      </c>
      <c r="BH190" s="5" t="s">
        <v>67</v>
      </c>
      <c r="BI190" s="5" t="s">
        <v>67</v>
      </c>
      <c r="BJ190" s="5" t="s">
        <v>67</v>
      </c>
      <c r="BK190" s="5" t="s">
        <v>67</v>
      </c>
      <c r="BL190" s="5" t="s">
        <v>67</v>
      </c>
      <c r="BM190" s="5" t="s">
        <v>67</v>
      </c>
      <c r="BN190" s="5" t="s">
        <v>67</v>
      </c>
      <c r="BO190" s="5" t="s">
        <v>67</v>
      </c>
    </row>
    <row r="191" spans="1:67" ht="210" x14ac:dyDescent="0.25">
      <c r="A191" s="3">
        <v>1674789794</v>
      </c>
      <c r="B191" s="4">
        <v>42936</v>
      </c>
      <c r="C191" s="3">
        <v>483875403</v>
      </c>
      <c r="G191" s="3">
        <v>2146189507</v>
      </c>
      <c r="H191" s="5" t="s">
        <v>67</v>
      </c>
      <c r="I191" s="3" t="b">
        <v>0</v>
      </c>
      <c r="J191" s="3" t="b">
        <v>0</v>
      </c>
      <c r="K191" s="3" t="b">
        <v>0</v>
      </c>
      <c r="L191" s="3" t="b">
        <v>1</v>
      </c>
      <c r="M191" s="3" t="b">
        <v>0</v>
      </c>
      <c r="N191" s="3" t="b">
        <v>1</v>
      </c>
      <c r="O191" s="3" t="b">
        <v>0</v>
      </c>
      <c r="P191" s="3" t="b">
        <v>1</v>
      </c>
      <c r="Q191" s="3" t="b">
        <v>1</v>
      </c>
      <c r="R191" s="3" t="s">
        <v>1802</v>
      </c>
      <c r="S191" s="5" t="s">
        <v>1803</v>
      </c>
      <c r="T191" s="3" t="b">
        <v>0</v>
      </c>
      <c r="U191" s="3" t="b">
        <v>1</v>
      </c>
      <c r="V191" s="5" t="s">
        <v>1804</v>
      </c>
      <c r="W191" s="5" t="s">
        <v>1805</v>
      </c>
      <c r="X191" s="3" t="b">
        <v>0</v>
      </c>
      <c r="Y191" s="3" t="b">
        <v>0</v>
      </c>
      <c r="Z191" s="3" t="b">
        <v>0</v>
      </c>
      <c r="AA191" s="3" t="b">
        <v>1</v>
      </c>
      <c r="AB191" s="5" t="s">
        <v>1806</v>
      </c>
      <c r="AC191" s="5" t="s">
        <v>67</v>
      </c>
      <c r="AD191" s="5" t="s">
        <v>1807</v>
      </c>
      <c r="AE191" s="5" t="s">
        <v>1808</v>
      </c>
      <c r="AF191" s="5" t="s">
        <v>1809</v>
      </c>
      <c r="AG191" s="5" t="s">
        <v>67</v>
      </c>
      <c r="AH191" s="5" t="s">
        <v>1810</v>
      </c>
      <c r="AI191" s="5" t="s">
        <v>67</v>
      </c>
      <c r="AJ191" s="5" t="s">
        <v>67</v>
      </c>
      <c r="AK191" s="5" t="s">
        <v>67</v>
      </c>
      <c r="AL191" s="5" t="s">
        <v>67</v>
      </c>
      <c r="AM191" s="5" t="s">
        <v>1811</v>
      </c>
      <c r="AN191" s="5" t="s">
        <v>67</v>
      </c>
      <c r="AO191" s="5" t="s">
        <v>67</v>
      </c>
      <c r="AP191" s="5" t="s">
        <v>67</v>
      </c>
      <c r="AQ191" s="5" t="s">
        <v>67</v>
      </c>
      <c r="AR191" s="5" t="s">
        <v>67</v>
      </c>
      <c r="AW191" s="5" t="s">
        <v>67</v>
      </c>
      <c r="AX191" s="5" t="s">
        <v>67</v>
      </c>
      <c r="AY191" s="5" t="s">
        <v>67</v>
      </c>
      <c r="AZ191" s="5" t="s">
        <v>67</v>
      </c>
      <c r="BB191" s="3">
        <v>2146189738</v>
      </c>
      <c r="BD191" s="3">
        <v>2146188974</v>
      </c>
      <c r="BE191" s="3">
        <v>2146188974</v>
      </c>
      <c r="BF191" s="5" t="s">
        <v>67</v>
      </c>
      <c r="BG191" s="5" t="s">
        <v>97</v>
      </c>
      <c r="BH191" s="5" t="s">
        <v>126</v>
      </c>
      <c r="BI191" s="5" t="s">
        <v>67</v>
      </c>
      <c r="BJ191" s="5" t="s">
        <v>67</v>
      </c>
      <c r="BK191" s="5" t="s">
        <v>1812</v>
      </c>
      <c r="BL191" s="5" t="s">
        <v>1813</v>
      </c>
      <c r="BM191" s="5" t="s">
        <v>67</v>
      </c>
      <c r="BN191" s="5" t="s">
        <v>1814</v>
      </c>
      <c r="BO191" s="5" t="s">
        <v>612</v>
      </c>
    </row>
    <row r="192" spans="1:67" x14ac:dyDescent="0.25">
      <c r="A192" s="3">
        <v>1700385237</v>
      </c>
      <c r="B192" s="4">
        <v>42685</v>
      </c>
      <c r="H192" s="5" t="s">
        <v>67</v>
      </c>
      <c r="I192" s="3" t="b">
        <v>0</v>
      </c>
      <c r="J192" s="3" t="b">
        <v>0</v>
      </c>
      <c r="K192" s="3" t="b">
        <v>0</v>
      </c>
      <c r="L192" s="3" t="b">
        <v>0</v>
      </c>
      <c r="M192" s="3" t="b">
        <v>0</v>
      </c>
      <c r="N192" s="3" t="b">
        <v>0</v>
      </c>
      <c r="O192" s="3" t="b">
        <v>0</v>
      </c>
      <c r="P192" s="3" t="b">
        <v>0</v>
      </c>
      <c r="Q192" s="3" t="b">
        <v>0</v>
      </c>
      <c r="R192" s="3" t="s">
        <v>67</v>
      </c>
      <c r="S192" s="5" t="s">
        <v>67</v>
      </c>
      <c r="T192" s="3" t="b">
        <v>0</v>
      </c>
      <c r="U192" s="3" t="b">
        <v>0</v>
      </c>
      <c r="V192" s="5" t="s">
        <v>67</v>
      </c>
      <c r="W192" s="5" t="s">
        <v>67</v>
      </c>
      <c r="X192" s="3" t="b">
        <v>0</v>
      </c>
      <c r="Y192" s="3" t="b">
        <v>0</v>
      </c>
      <c r="Z192" s="3" t="b">
        <v>0</v>
      </c>
      <c r="AA192" s="3" t="b">
        <v>0</v>
      </c>
      <c r="AB192" s="5" t="s">
        <v>67</v>
      </c>
      <c r="AC192" s="5" t="s">
        <v>67</v>
      </c>
      <c r="AD192" s="5" t="s">
        <v>67</v>
      </c>
      <c r="AE192" s="5" t="s">
        <v>67</v>
      </c>
      <c r="AF192" s="5" t="s">
        <v>67</v>
      </c>
      <c r="AG192" s="5" t="s">
        <v>67</v>
      </c>
      <c r="AH192" s="5" t="s">
        <v>67</v>
      </c>
      <c r="AI192" s="5" t="s">
        <v>67</v>
      </c>
      <c r="AJ192" s="5" t="s">
        <v>67</v>
      </c>
      <c r="AK192" s="5" t="s">
        <v>67</v>
      </c>
      <c r="AL192" s="5" t="s">
        <v>67</v>
      </c>
      <c r="AM192" s="5" t="s">
        <v>67</v>
      </c>
      <c r="AN192" s="5" t="s">
        <v>67</v>
      </c>
      <c r="AO192" s="5" t="s">
        <v>67</v>
      </c>
      <c r="AP192" s="5" t="s">
        <v>67</v>
      </c>
      <c r="AQ192" s="5" t="s">
        <v>67</v>
      </c>
      <c r="AR192" s="5" t="s">
        <v>67</v>
      </c>
      <c r="AW192" s="5" t="s">
        <v>67</v>
      </c>
      <c r="AX192" s="5" t="s">
        <v>67</v>
      </c>
      <c r="AY192" s="5" t="s">
        <v>67</v>
      </c>
      <c r="AZ192" s="5" t="s">
        <v>67</v>
      </c>
      <c r="BF192" s="5" t="s">
        <v>67</v>
      </c>
      <c r="BG192" s="5" t="s">
        <v>67</v>
      </c>
      <c r="BH192" s="5" t="s">
        <v>67</v>
      </c>
      <c r="BI192" s="5" t="s">
        <v>67</v>
      </c>
      <c r="BJ192" s="5" t="s">
        <v>67</v>
      </c>
      <c r="BK192" s="5" t="s">
        <v>67</v>
      </c>
      <c r="BL192" s="5" t="s">
        <v>67</v>
      </c>
      <c r="BM192" s="5" t="s">
        <v>67</v>
      </c>
      <c r="BN192" s="5" t="s">
        <v>67</v>
      </c>
      <c r="BO192" s="5" t="s">
        <v>67</v>
      </c>
    </row>
    <row r="193" spans="1:67" ht="195" x14ac:dyDescent="0.25">
      <c r="A193" s="3">
        <v>1730687754</v>
      </c>
      <c r="B193" s="4">
        <v>42852</v>
      </c>
      <c r="C193" s="3">
        <v>145</v>
      </c>
      <c r="G193" s="3">
        <v>2146189245</v>
      </c>
      <c r="H193" s="5" t="s">
        <v>67</v>
      </c>
      <c r="I193" s="3" t="b">
        <v>1</v>
      </c>
      <c r="J193" s="3" t="b">
        <v>0</v>
      </c>
      <c r="K193" s="3" t="b">
        <v>0</v>
      </c>
      <c r="L193" s="3" t="b">
        <v>0</v>
      </c>
      <c r="M193" s="3" t="b">
        <v>0</v>
      </c>
      <c r="N193" s="3" t="b">
        <v>0</v>
      </c>
      <c r="O193" s="3" t="b">
        <v>0</v>
      </c>
      <c r="P193" s="3" t="b">
        <v>1</v>
      </c>
      <c r="Q193" s="3" t="b">
        <v>1</v>
      </c>
      <c r="R193" s="3" t="s">
        <v>1815</v>
      </c>
      <c r="S193" s="5" t="s">
        <v>1816</v>
      </c>
      <c r="T193" s="3" t="b">
        <v>0</v>
      </c>
      <c r="U193" s="3" t="b">
        <v>1</v>
      </c>
      <c r="V193" s="5" t="s">
        <v>1817</v>
      </c>
      <c r="W193" s="5" t="s">
        <v>1818</v>
      </c>
      <c r="X193" s="3" t="b">
        <v>0</v>
      </c>
      <c r="Y193" s="3" t="b">
        <v>0</v>
      </c>
      <c r="Z193" s="3" t="b">
        <v>0</v>
      </c>
      <c r="AA193" s="3" t="b">
        <v>0</v>
      </c>
      <c r="AB193" s="5" t="s">
        <v>120</v>
      </c>
      <c r="AC193" s="5" t="s">
        <v>67</v>
      </c>
      <c r="AD193" s="5" t="s">
        <v>67</v>
      </c>
      <c r="AE193" s="5" t="s">
        <v>67</v>
      </c>
      <c r="AF193" s="5" t="s">
        <v>1819</v>
      </c>
      <c r="AG193" s="5" t="s">
        <v>1820</v>
      </c>
      <c r="AH193" s="5" t="s">
        <v>1821</v>
      </c>
      <c r="AI193" s="5" t="s">
        <v>67</v>
      </c>
      <c r="AJ193" s="5" t="s">
        <v>67</v>
      </c>
      <c r="AK193" s="5" t="s">
        <v>67</v>
      </c>
      <c r="AL193" s="5" t="s">
        <v>67</v>
      </c>
      <c r="AM193" s="5" t="s">
        <v>1822</v>
      </c>
      <c r="AN193" s="5" t="s">
        <v>67</v>
      </c>
      <c r="AO193" s="5" t="s">
        <v>67</v>
      </c>
      <c r="AP193" s="5" t="s">
        <v>67</v>
      </c>
      <c r="AQ193" s="5" t="s">
        <v>67</v>
      </c>
      <c r="AR193" s="5" t="s">
        <v>67</v>
      </c>
      <c r="AW193" s="5" t="s">
        <v>67</v>
      </c>
      <c r="AX193" s="5" t="s">
        <v>67</v>
      </c>
      <c r="AY193" s="5" t="s">
        <v>67</v>
      </c>
      <c r="AZ193" s="5" t="s">
        <v>67</v>
      </c>
      <c r="BA193" s="3">
        <v>2146189001</v>
      </c>
      <c r="BB193" s="3">
        <v>2146189663</v>
      </c>
      <c r="BD193" s="3">
        <v>2146189003</v>
      </c>
      <c r="BE193" s="3">
        <v>2146189003</v>
      </c>
      <c r="BF193" s="5" t="s">
        <v>1823</v>
      </c>
      <c r="BG193" s="5" t="s">
        <v>1824</v>
      </c>
      <c r="BH193" s="5" t="s">
        <v>786</v>
      </c>
      <c r="BI193" s="5" t="s">
        <v>74</v>
      </c>
      <c r="BJ193" s="5" t="s">
        <v>1825</v>
      </c>
      <c r="BK193" s="5" t="s">
        <v>1826</v>
      </c>
      <c r="BL193" s="5" t="s">
        <v>1827</v>
      </c>
      <c r="BM193" s="5" t="s">
        <v>1828</v>
      </c>
      <c r="BN193" s="5" t="s">
        <v>67</v>
      </c>
      <c r="BO193" s="5" t="s">
        <v>67</v>
      </c>
    </row>
    <row r="194" spans="1:67" ht="240" x14ac:dyDescent="0.25">
      <c r="A194" s="3">
        <v>1844045075</v>
      </c>
      <c r="B194" s="4">
        <v>42852</v>
      </c>
      <c r="C194" s="3">
        <v>77</v>
      </c>
      <c r="F194" s="3">
        <v>1424</v>
      </c>
      <c r="H194" s="5" t="s">
        <v>1829</v>
      </c>
      <c r="I194" s="3" t="b">
        <v>0</v>
      </c>
      <c r="J194" s="3" t="b">
        <v>0</v>
      </c>
      <c r="K194" s="3" t="b">
        <v>0</v>
      </c>
      <c r="L194" s="3" t="b">
        <v>1</v>
      </c>
      <c r="M194" s="3" t="b">
        <v>0</v>
      </c>
      <c r="N194" s="3" t="b">
        <v>0</v>
      </c>
      <c r="O194" s="3" t="b">
        <v>0</v>
      </c>
      <c r="P194" s="3" t="b">
        <v>1</v>
      </c>
      <c r="Q194" s="3" t="b">
        <v>0</v>
      </c>
      <c r="R194" s="3" t="s">
        <v>1830</v>
      </c>
      <c r="S194" s="5" t="s">
        <v>1831</v>
      </c>
      <c r="T194" s="3" t="b">
        <v>0</v>
      </c>
      <c r="U194" s="3" t="b">
        <v>1</v>
      </c>
      <c r="V194" s="5" t="s">
        <v>67</v>
      </c>
      <c r="W194" s="5" t="s">
        <v>1832</v>
      </c>
      <c r="X194" s="3" t="b">
        <v>0</v>
      </c>
      <c r="Y194" s="3" t="b">
        <v>0</v>
      </c>
      <c r="Z194" s="3" t="b">
        <v>0</v>
      </c>
      <c r="AA194" s="3" t="b">
        <v>1</v>
      </c>
      <c r="AB194" s="5" t="s">
        <v>1833</v>
      </c>
      <c r="AC194" s="5" t="s">
        <v>67</v>
      </c>
      <c r="AD194" s="5" t="s">
        <v>1834</v>
      </c>
      <c r="AE194" s="5" t="s">
        <v>67</v>
      </c>
      <c r="AF194" s="5" t="s">
        <v>1835</v>
      </c>
      <c r="AG194" s="5" t="s">
        <v>67</v>
      </c>
      <c r="AH194" s="5" t="s">
        <v>1836</v>
      </c>
      <c r="AI194" s="5" t="s">
        <v>1837</v>
      </c>
      <c r="AJ194" s="5" t="s">
        <v>67</v>
      </c>
      <c r="AK194" s="5" t="s">
        <v>67</v>
      </c>
      <c r="AL194" s="5" t="s">
        <v>67</v>
      </c>
      <c r="AM194" s="5" t="s">
        <v>67</v>
      </c>
      <c r="AN194" s="5" t="s">
        <v>1838</v>
      </c>
      <c r="AO194" s="5" t="s">
        <v>67</v>
      </c>
      <c r="AP194" s="5" t="s">
        <v>67</v>
      </c>
      <c r="AQ194" s="5" t="s">
        <v>67</v>
      </c>
      <c r="AR194" s="5" t="s">
        <v>67</v>
      </c>
      <c r="AW194" s="5" t="s">
        <v>67</v>
      </c>
      <c r="AX194" s="5" t="s">
        <v>67</v>
      </c>
      <c r="AY194" s="5" t="s">
        <v>67</v>
      </c>
      <c r="AZ194" s="5" t="s">
        <v>67</v>
      </c>
      <c r="BA194" s="3">
        <v>2146189786</v>
      </c>
      <c r="BD194" s="3">
        <v>2146189275</v>
      </c>
      <c r="BF194" s="5" t="s">
        <v>67</v>
      </c>
      <c r="BG194" s="5" t="s">
        <v>97</v>
      </c>
      <c r="BH194" s="5" t="s">
        <v>1839</v>
      </c>
      <c r="BI194" s="5" t="s">
        <v>67</v>
      </c>
      <c r="BJ194" s="5" t="s">
        <v>663</v>
      </c>
      <c r="BK194" s="5" t="s">
        <v>1840</v>
      </c>
      <c r="BL194" s="5" t="s">
        <v>1841</v>
      </c>
      <c r="BM194" s="5" t="s">
        <v>1842</v>
      </c>
      <c r="BN194" s="5" t="s">
        <v>67</v>
      </c>
      <c r="BO194" s="5" t="s">
        <v>67</v>
      </c>
    </row>
    <row r="195" spans="1:67" ht="360" x14ac:dyDescent="0.25">
      <c r="A195" s="3">
        <v>1855965489</v>
      </c>
      <c r="B195" s="4">
        <v>42895</v>
      </c>
      <c r="C195" s="3">
        <v>-1886495760</v>
      </c>
      <c r="E195" s="3">
        <v>-1886495760</v>
      </c>
      <c r="F195" s="3">
        <v>1434</v>
      </c>
      <c r="G195" s="3">
        <v>-1886495760</v>
      </c>
      <c r="H195" s="5" t="s">
        <v>1843</v>
      </c>
      <c r="I195" s="3" t="b">
        <v>1</v>
      </c>
      <c r="J195" s="3" t="b">
        <v>1</v>
      </c>
      <c r="K195" s="3" t="b">
        <v>0</v>
      </c>
      <c r="L195" s="3" t="b">
        <v>0</v>
      </c>
      <c r="M195" s="3" t="b">
        <v>0</v>
      </c>
      <c r="N195" s="3" t="b">
        <v>0</v>
      </c>
      <c r="O195" s="3" t="b">
        <v>0</v>
      </c>
      <c r="P195" s="3" t="b">
        <v>0</v>
      </c>
      <c r="Q195" s="3" t="b">
        <v>1</v>
      </c>
      <c r="R195" s="3" t="s">
        <v>919</v>
      </c>
      <c r="S195" s="5" t="s">
        <v>1844</v>
      </c>
      <c r="T195" s="3" t="b">
        <v>0</v>
      </c>
      <c r="U195" s="3" t="b">
        <v>1</v>
      </c>
      <c r="V195" s="5" t="s">
        <v>1845</v>
      </c>
      <c r="W195" s="5" t="s">
        <v>1846</v>
      </c>
      <c r="X195" s="3" t="b">
        <v>0</v>
      </c>
      <c r="Y195" s="3" t="b">
        <v>0</v>
      </c>
      <c r="Z195" s="3" t="b">
        <v>0</v>
      </c>
      <c r="AA195" s="3" t="b">
        <v>0</v>
      </c>
      <c r="AB195" s="5" t="s">
        <v>1847</v>
      </c>
      <c r="AC195" s="5" t="s">
        <v>67</v>
      </c>
      <c r="AD195" s="5" t="s">
        <v>1848</v>
      </c>
      <c r="AE195" s="5" t="s">
        <v>67</v>
      </c>
      <c r="AF195" s="5" t="s">
        <v>1849</v>
      </c>
      <c r="AG195" s="5" t="s">
        <v>1850</v>
      </c>
      <c r="AH195" s="5" t="s">
        <v>1851</v>
      </c>
      <c r="AI195" s="5" t="s">
        <v>380</v>
      </c>
      <c r="AJ195" s="5" t="s">
        <v>380</v>
      </c>
      <c r="AK195" s="5" t="s">
        <v>67</v>
      </c>
      <c r="AL195" s="5" t="s">
        <v>1852</v>
      </c>
      <c r="AM195" s="5" t="s">
        <v>1853</v>
      </c>
      <c r="AN195" s="5" t="s">
        <v>1854</v>
      </c>
      <c r="AO195" s="5" t="s">
        <v>380</v>
      </c>
      <c r="AP195" s="5" t="s">
        <v>1855</v>
      </c>
      <c r="AQ195" s="5" t="s">
        <v>380</v>
      </c>
      <c r="AR195" s="5" t="s">
        <v>67</v>
      </c>
      <c r="AW195" s="5" t="s">
        <v>67</v>
      </c>
      <c r="AX195" s="5" t="s">
        <v>67</v>
      </c>
      <c r="AY195" s="5" t="s">
        <v>67</v>
      </c>
      <c r="AZ195" s="5" t="s">
        <v>67</v>
      </c>
      <c r="BA195" s="3">
        <v>2146189423</v>
      </c>
      <c r="BD195" s="3">
        <v>2146188969</v>
      </c>
      <c r="BE195" s="3">
        <v>2146188969</v>
      </c>
      <c r="BF195" s="5" t="s">
        <v>1856</v>
      </c>
      <c r="BG195" s="5" t="s">
        <v>97</v>
      </c>
      <c r="BH195" s="5" t="s">
        <v>1857</v>
      </c>
      <c r="BI195" s="5" t="s">
        <v>74</v>
      </c>
      <c r="BJ195" s="5" t="s">
        <v>1858</v>
      </c>
      <c r="BK195" s="5" t="s">
        <v>1859</v>
      </c>
      <c r="BL195" s="5" t="s">
        <v>1860</v>
      </c>
      <c r="BM195" s="5" t="s">
        <v>1861</v>
      </c>
      <c r="BN195" s="5" t="s">
        <v>1862</v>
      </c>
      <c r="BO195" s="5" t="s">
        <v>1863</v>
      </c>
    </row>
    <row r="196" spans="1:67" x14ac:dyDescent="0.25">
      <c r="A196" s="3">
        <v>1884143596</v>
      </c>
      <c r="B196" s="4">
        <v>42888</v>
      </c>
      <c r="H196" s="5" t="s">
        <v>67</v>
      </c>
      <c r="I196" s="3" t="b">
        <v>0</v>
      </c>
      <c r="J196" s="3" t="b">
        <v>0</v>
      </c>
      <c r="K196" s="3" t="b">
        <v>0</v>
      </c>
      <c r="L196" s="3" t="b">
        <v>0</v>
      </c>
      <c r="M196" s="3" t="b">
        <v>0</v>
      </c>
      <c r="N196" s="3" t="b">
        <v>0</v>
      </c>
      <c r="O196" s="3" t="b">
        <v>0</v>
      </c>
      <c r="P196" s="3" t="b">
        <v>0</v>
      </c>
      <c r="Q196" s="3" t="b">
        <v>0</v>
      </c>
      <c r="R196" s="3" t="s">
        <v>67</v>
      </c>
      <c r="S196" s="5" t="s">
        <v>67</v>
      </c>
      <c r="T196" s="3" t="b">
        <v>0</v>
      </c>
      <c r="U196" s="3" t="b">
        <v>0</v>
      </c>
      <c r="V196" s="5" t="s">
        <v>67</v>
      </c>
      <c r="W196" s="5" t="s">
        <v>67</v>
      </c>
      <c r="X196" s="3" t="b">
        <v>0</v>
      </c>
      <c r="Y196" s="3" t="b">
        <v>0</v>
      </c>
      <c r="Z196" s="3" t="b">
        <v>0</v>
      </c>
      <c r="AA196" s="3" t="b">
        <v>0</v>
      </c>
      <c r="AB196" s="5" t="s">
        <v>67</v>
      </c>
      <c r="AC196" s="5" t="s">
        <v>67</v>
      </c>
      <c r="AD196" s="5" t="s">
        <v>67</v>
      </c>
      <c r="AE196" s="5" t="s">
        <v>67</v>
      </c>
      <c r="AF196" s="5" t="s">
        <v>67</v>
      </c>
      <c r="AG196" s="5" t="s">
        <v>67</v>
      </c>
      <c r="AH196" s="5" t="s">
        <v>67</v>
      </c>
      <c r="AI196" s="5" t="s">
        <v>67</v>
      </c>
      <c r="AJ196" s="5" t="s">
        <v>67</v>
      </c>
      <c r="AK196" s="5" t="s">
        <v>67</v>
      </c>
      <c r="AL196" s="5" t="s">
        <v>67</v>
      </c>
      <c r="AM196" s="5" t="s">
        <v>67</v>
      </c>
      <c r="AN196" s="5" t="s">
        <v>67</v>
      </c>
      <c r="AO196" s="5" t="s">
        <v>67</v>
      </c>
      <c r="AP196" s="5" t="s">
        <v>67</v>
      </c>
      <c r="AQ196" s="5" t="s">
        <v>67</v>
      </c>
      <c r="AR196" s="5" t="s">
        <v>67</v>
      </c>
      <c r="AS196" s="3">
        <v>2072341970</v>
      </c>
      <c r="AW196" s="5" t="s">
        <v>67</v>
      </c>
      <c r="AX196" s="5" t="s">
        <v>67</v>
      </c>
      <c r="AY196" s="5" t="s">
        <v>67</v>
      </c>
      <c r="AZ196" s="5" t="s">
        <v>67</v>
      </c>
      <c r="BF196" s="5" t="s">
        <v>67</v>
      </c>
      <c r="BG196" s="5" t="s">
        <v>67</v>
      </c>
      <c r="BH196" s="5" t="s">
        <v>67</v>
      </c>
      <c r="BI196" s="5" t="s">
        <v>67</v>
      </c>
      <c r="BJ196" s="5" t="s">
        <v>67</v>
      </c>
      <c r="BK196" s="5" t="s">
        <v>67</v>
      </c>
      <c r="BL196" s="5" t="s">
        <v>67</v>
      </c>
      <c r="BM196" s="5" t="s">
        <v>67</v>
      </c>
      <c r="BN196" s="5" t="s">
        <v>67</v>
      </c>
      <c r="BO196" s="5" t="s">
        <v>67</v>
      </c>
    </row>
    <row r="197" spans="1:67" x14ac:dyDescent="0.25">
      <c r="A197" s="3">
        <v>1925632802</v>
      </c>
      <c r="B197" s="4">
        <v>42503</v>
      </c>
      <c r="H197" s="5" t="s">
        <v>67</v>
      </c>
      <c r="I197" s="3" t="b">
        <v>0</v>
      </c>
      <c r="J197" s="3" t="b">
        <v>0</v>
      </c>
      <c r="K197" s="3" t="b">
        <v>0</v>
      </c>
      <c r="L197" s="3" t="b">
        <v>0</v>
      </c>
      <c r="M197" s="3" t="b">
        <v>0</v>
      </c>
      <c r="N197" s="3" t="b">
        <v>0</v>
      </c>
      <c r="O197" s="3" t="b">
        <v>0</v>
      </c>
      <c r="P197" s="3" t="b">
        <v>0</v>
      </c>
      <c r="Q197" s="3" t="b">
        <v>0</v>
      </c>
      <c r="R197" s="3" t="s">
        <v>67</v>
      </c>
      <c r="S197" s="5" t="s">
        <v>67</v>
      </c>
      <c r="T197" s="3" t="b">
        <v>0</v>
      </c>
      <c r="U197" s="3" t="b">
        <v>0</v>
      </c>
      <c r="V197" s="5" t="s">
        <v>67</v>
      </c>
      <c r="W197" s="5" t="s">
        <v>67</v>
      </c>
      <c r="X197" s="3" t="b">
        <v>0</v>
      </c>
      <c r="Y197" s="3" t="b">
        <v>0</v>
      </c>
      <c r="Z197" s="3" t="b">
        <v>0</v>
      </c>
      <c r="AA197" s="3" t="b">
        <v>0</v>
      </c>
      <c r="AB197" s="5" t="s">
        <v>67</v>
      </c>
      <c r="AC197" s="5" t="s">
        <v>67</v>
      </c>
      <c r="AD197" s="5" t="s">
        <v>67</v>
      </c>
      <c r="AE197" s="5" t="s">
        <v>67</v>
      </c>
      <c r="AF197" s="5" t="s">
        <v>67</v>
      </c>
      <c r="AG197" s="5" t="s">
        <v>67</v>
      </c>
      <c r="AH197" s="5" t="s">
        <v>67</v>
      </c>
      <c r="AI197" s="5" t="s">
        <v>67</v>
      </c>
      <c r="AJ197" s="5" t="s">
        <v>67</v>
      </c>
      <c r="AK197" s="5" t="s">
        <v>67</v>
      </c>
      <c r="AL197" s="5" t="s">
        <v>67</v>
      </c>
      <c r="AM197" s="5" t="s">
        <v>67</v>
      </c>
      <c r="AN197" s="5" t="s">
        <v>67</v>
      </c>
      <c r="AO197" s="5" t="s">
        <v>67</v>
      </c>
      <c r="AP197" s="5" t="s">
        <v>67</v>
      </c>
      <c r="AQ197" s="5" t="s">
        <v>67</v>
      </c>
      <c r="AR197" s="5" t="s">
        <v>67</v>
      </c>
      <c r="AW197" s="5" t="s">
        <v>67</v>
      </c>
      <c r="AX197" s="5" t="s">
        <v>67</v>
      </c>
      <c r="AY197" s="5" t="s">
        <v>67</v>
      </c>
      <c r="AZ197" s="5" t="s">
        <v>67</v>
      </c>
      <c r="BF197" s="5" t="s">
        <v>67</v>
      </c>
      <c r="BG197" s="5" t="s">
        <v>67</v>
      </c>
      <c r="BH197" s="5" t="s">
        <v>67</v>
      </c>
      <c r="BI197" s="5" t="s">
        <v>67</v>
      </c>
      <c r="BJ197" s="5" t="s">
        <v>67</v>
      </c>
      <c r="BK197" s="5" t="s">
        <v>67</v>
      </c>
      <c r="BL197" s="5" t="s">
        <v>67</v>
      </c>
      <c r="BM197" s="5" t="s">
        <v>67</v>
      </c>
      <c r="BN197" s="5" t="s">
        <v>67</v>
      </c>
      <c r="BO197" s="5" t="s">
        <v>67</v>
      </c>
    </row>
    <row r="198" spans="1:67" ht="345" x14ac:dyDescent="0.25">
      <c r="A198" s="3">
        <v>1958467881</v>
      </c>
      <c r="B198" s="4">
        <v>42933</v>
      </c>
      <c r="C198" s="3">
        <v>1067942828</v>
      </c>
      <c r="H198" s="5" t="s">
        <v>67</v>
      </c>
      <c r="I198" s="3" t="b">
        <v>0</v>
      </c>
      <c r="J198" s="3" t="b">
        <v>1</v>
      </c>
      <c r="K198" s="3" t="b">
        <v>1</v>
      </c>
      <c r="L198" s="3" t="b">
        <v>0</v>
      </c>
      <c r="M198" s="3" t="b">
        <v>1</v>
      </c>
      <c r="N198" s="3" t="b">
        <v>0</v>
      </c>
      <c r="O198" s="3" t="b">
        <v>1</v>
      </c>
      <c r="P198" s="3" t="b">
        <v>1</v>
      </c>
      <c r="Q198" s="3" t="b">
        <v>0</v>
      </c>
      <c r="R198" s="3" t="s">
        <v>1864</v>
      </c>
      <c r="S198" s="5" t="s">
        <v>1865</v>
      </c>
      <c r="T198" s="3" t="b">
        <v>1</v>
      </c>
      <c r="U198" s="3" t="b">
        <v>1</v>
      </c>
      <c r="V198" s="5" t="s">
        <v>1866</v>
      </c>
      <c r="W198" s="5" t="s">
        <v>1867</v>
      </c>
      <c r="X198" s="3" t="b">
        <v>0</v>
      </c>
      <c r="Y198" s="3" t="b">
        <v>0</v>
      </c>
      <c r="Z198" s="3" t="b">
        <v>0</v>
      </c>
      <c r="AA198" s="3" t="b">
        <v>0</v>
      </c>
      <c r="AB198" s="5" t="s">
        <v>1651</v>
      </c>
      <c r="AC198" s="5" t="s">
        <v>67</v>
      </c>
      <c r="AD198" s="5" t="s">
        <v>67</v>
      </c>
      <c r="AE198" s="5" t="s">
        <v>67</v>
      </c>
      <c r="AF198" s="5" t="s">
        <v>1868</v>
      </c>
      <c r="AG198" s="5" t="s">
        <v>1869</v>
      </c>
      <c r="AH198" s="5" t="s">
        <v>1870</v>
      </c>
      <c r="AI198" s="5" t="s">
        <v>67</v>
      </c>
      <c r="AJ198" s="5" t="s">
        <v>1871</v>
      </c>
      <c r="AK198" s="5" t="s">
        <v>1872</v>
      </c>
      <c r="AL198" s="5" t="s">
        <v>67</v>
      </c>
      <c r="AM198" s="5" t="s">
        <v>1873</v>
      </c>
      <c r="AN198" s="5" t="s">
        <v>1874</v>
      </c>
      <c r="AO198" s="5" t="s">
        <v>67</v>
      </c>
      <c r="AP198" s="5" t="s">
        <v>1875</v>
      </c>
      <c r="AQ198" s="5" t="s">
        <v>67</v>
      </c>
      <c r="AR198" s="5" t="s">
        <v>67</v>
      </c>
      <c r="AW198" s="5" t="s">
        <v>67</v>
      </c>
      <c r="AX198" s="5" t="s">
        <v>67</v>
      </c>
      <c r="AY198" s="5" t="s">
        <v>67</v>
      </c>
      <c r="AZ198" s="5" t="s">
        <v>67</v>
      </c>
      <c r="BA198" s="3">
        <v>2146189787</v>
      </c>
      <c r="BB198" s="3">
        <v>2146189114</v>
      </c>
      <c r="BD198" s="3">
        <v>2146188974</v>
      </c>
      <c r="BE198" s="3">
        <v>2146188974</v>
      </c>
      <c r="BF198" s="5" t="s">
        <v>1876</v>
      </c>
      <c r="BG198" s="5" t="s">
        <v>1877</v>
      </c>
      <c r="BH198" s="5" t="s">
        <v>1878</v>
      </c>
      <c r="BI198" s="5" t="s">
        <v>67</v>
      </c>
      <c r="BJ198" s="5" t="s">
        <v>1879</v>
      </c>
      <c r="BK198" s="5" t="s">
        <v>1880</v>
      </c>
      <c r="BL198" s="5" t="s">
        <v>1881</v>
      </c>
      <c r="BM198" s="5" t="s">
        <v>380</v>
      </c>
      <c r="BN198" s="5" t="s">
        <v>1882</v>
      </c>
      <c r="BO198" s="5" t="s">
        <v>67</v>
      </c>
    </row>
    <row r="199" spans="1:67" ht="375" x14ac:dyDescent="0.25">
      <c r="A199" s="3">
        <v>1985796047</v>
      </c>
      <c r="B199" s="4">
        <v>42255</v>
      </c>
      <c r="C199" s="3">
        <v>1315228613</v>
      </c>
      <c r="G199" s="3">
        <v>1315228613</v>
      </c>
      <c r="H199" s="5" t="s">
        <v>67</v>
      </c>
      <c r="I199" s="3" t="b">
        <v>0</v>
      </c>
      <c r="J199" s="3" t="b">
        <v>0</v>
      </c>
      <c r="K199" s="3" t="b">
        <v>0</v>
      </c>
      <c r="L199" s="3" t="b">
        <v>0</v>
      </c>
      <c r="M199" s="3" t="b">
        <v>1</v>
      </c>
      <c r="N199" s="3" t="b">
        <v>1</v>
      </c>
      <c r="O199" s="3" t="b">
        <v>1</v>
      </c>
      <c r="P199" s="3" t="b">
        <v>0</v>
      </c>
      <c r="Q199" s="3" t="b">
        <v>0</v>
      </c>
      <c r="R199" s="3" t="s">
        <v>1883</v>
      </c>
      <c r="S199" s="5" t="s">
        <v>67</v>
      </c>
      <c r="T199" s="3" t="b">
        <v>0</v>
      </c>
      <c r="U199" s="3" t="b">
        <v>1</v>
      </c>
      <c r="V199" s="5" t="s">
        <v>1884</v>
      </c>
      <c r="W199" s="5" t="s">
        <v>1885</v>
      </c>
      <c r="X199" s="3" t="b">
        <v>0</v>
      </c>
      <c r="Y199" s="3" t="b">
        <v>0</v>
      </c>
      <c r="Z199" s="3" t="b">
        <v>0</v>
      </c>
      <c r="AA199" s="3" t="b">
        <v>0</v>
      </c>
      <c r="AB199" s="5" t="s">
        <v>1886</v>
      </c>
      <c r="AC199" s="5" t="s">
        <v>1887</v>
      </c>
      <c r="AD199" s="5" t="s">
        <v>1888</v>
      </c>
      <c r="AE199" s="5" t="s">
        <v>67</v>
      </c>
      <c r="AF199" s="5" t="s">
        <v>67</v>
      </c>
      <c r="AG199" s="5" t="s">
        <v>1889</v>
      </c>
      <c r="AH199" s="5" t="s">
        <v>1890</v>
      </c>
      <c r="AI199" s="5" t="s">
        <v>67</v>
      </c>
      <c r="AJ199" s="5" t="s">
        <v>67</v>
      </c>
      <c r="AK199" s="5" t="s">
        <v>1891</v>
      </c>
      <c r="AL199" s="5" t="s">
        <v>67</v>
      </c>
      <c r="AM199" s="5" t="s">
        <v>67</v>
      </c>
      <c r="AN199" s="5" t="s">
        <v>67</v>
      </c>
      <c r="AO199" s="5" t="s">
        <v>67</v>
      </c>
      <c r="AP199" s="5" t="s">
        <v>67</v>
      </c>
      <c r="AQ199" s="5" t="s">
        <v>67</v>
      </c>
      <c r="AR199" s="5" t="s">
        <v>67</v>
      </c>
      <c r="AW199" s="5" t="s">
        <v>67</v>
      </c>
      <c r="AX199" s="5" t="s">
        <v>67</v>
      </c>
      <c r="AY199" s="5" t="s">
        <v>67</v>
      </c>
      <c r="AZ199" s="5" t="s">
        <v>67</v>
      </c>
      <c r="BA199" s="3">
        <v>1309859639</v>
      </c>
      <c r="BD199" s="3">
        <v>2146189275</v>
      </c>
      <c r="BF199" s="5" t="s">
        <v>1892</v>
      </c>
      <c r="BG199" s="5" t="s">
        <v>1893</v>
      </c>
      <c r="BH199" s="5" t="s">
        <v>67</v>
      </c>
      <c r="BI199" s="5" t="s">
        <v>67</v>
      </c>
      <c r="BJ199" s="5" t="s">
        <v>1894</v>
      </c>
      <c r="BK199" s="5" t="s">
        <v>1895</v>
      </c>
      <c r="BL199" s="5" t="s">
        <v>1896</v>
      </c>
      <c r="BM199" s="5" t="s">
        <v>67</v>
      </c>
      <c r="BN199" s="5" t="s">
        <v>213</v>
      </c>
      <c r="BO199" s="5" t="s">
        <v>67</v>
      </c>
    </row>
    <row r="200" spans="1:67" x14ac:dyDescent="0.25">
      <c r="A200" s="3">
        <v>1996993420</v>
      </c>
      <c r="B200" s="4">
        <v>42185</v>
      </c>
      <c r="H200" s="5" t="s">
        <v>67</v>
      </c>
      <c r="I200" s="3" t="b">
        <v>0</v>
      </c>
      <c r="J200" s="3" t="b">
        <v>0</v>
      </c>
      <c r="K200" s="3" t="b">
        <v>0</v>
      </c>
      <c r="L200" s="3" t="b">
        <v>0</v>
      </c>
      <c r="M200" s="3" t="b">
        <v>0</v>
      </c>
      <c r="N200" s="3" t="b">
        <v>0</v>
      </c>
      <c r="O200" s="3" t="b">
        <v>0</v>
      </c>
      <c r="P200" s="3" t="b">
        <v>0</v>
      </c>
      <c r="Q200" s="3" t="b">
        <v>0</v>
      </c>
      <c r="R200" s="3" t="s">
        <v>67</v>
      </c>
      <c r="S200" s="5" t="s">
        <v>67</v>
      </c>
      <c r="T200" s="3" t="b">
        <v>0</v>
      </c>
      <c r="U200" s="3" t="b">
        <v>0</v>
      </c>
      <c r="V200" s="5" t="s">
        <v>67</v>
      </c>
      <c r="W200" s="5" t="s">
        <v>67</v>
      </c>
      <c r="X200" s="3" t="b">
        <v>0</v>
      </c>
      <c r="Y200" s="3" t="b">
        <v>0</v>
      </c>
      <c r="Z200" s="3" t="b">
        <v>0</v>
      </c>
      <c r="AA200" s="3" t="b">
        <v>0</v>
      </c>
      <c r="AB200" s="5" t="s">
        <v>67</v>
      </c>
      <c r="AC200" s="5" t="s">
        <v>67</v>
      </c>
      <c r="AD200" s="5" t="s">
        <v>67</v>
      </c>
      <c r="AE200" s="5" t="s">
        <v>67</v>
      </c>
      <c r="AF200" s="5" t="s">
        <v>67</v>
      </c>
      <c r="AG200" s="5" t="s">
        <v>67</v>
      </c>
      <c r="AH200" s="5" t="s">
        <v>67</v>
      </c>
      <c r="AI200" s="5" t="s">
        <v>67</v>
      </c>
      <c r="AJ200" s="5" t="s">
        <v>67</v>
      </c>
      <c r="AK200" s="5" t="s">
        <v>67</v>
      </c>
      <c r="AL200" s="5" t="s">
        <v>67</v>
      </c>
      <c r="AM200" s="5" t="s">
        <v>67</v>
      </c>
      <c r="AN200" s="5" t="s">
        <v>67</v>
      </c>
      <c r="AO200" s="5" t="s">
        <v>67</v>
      </c>
      <c r="AP200" s="5" t="s">
        <v>67</v>
      </c>
      <c r="AQ200" s="5" t="s">
        <v>67</v>
      </c>
      <c r="AR200" s="5" t="s">
        <v>67</v>
      </c>
      <c r="AW200" s="5" t="s">
        <v>67</v>
      </c>
      <c r="AX200" s="5" t="s">
        <v>67</v>
      </c>
      <c r="AY200" s="5" t="s">
        <v>67</v>
      </c>
      <c r="AZ200" s="5" t="s">
        <v>67</v>
      </c>
      <c r="BF200" s="5" t="s">
        <v>67</v>
      </c>
      <c r="BG200" s="5" t="s">
        <v>67</v>
      </c>
      <c r="BH200" s="5" t="s">
        <v>67</v>
      </c>
      <c r="BI200" s="5" t="s">
        <v>67</v>
      </c>
      <c r="BJ200" s="5" t="s">
        <v>67</v>
      </c>
      <c r="BK200" s="5" t="s">
        <v>67</v>
      </c>
      <c r="BL200" s="5" t="s">
        <v>67</v>
      </c>
      <c r="BM200" s="5" t="s">
        <v>67</v>
      </c>
      <c r="BN200" s="5" t="s">
        <v>67</v>
      </c>
      <c r="BO200" s="5" t="s">
        <v>67</v>
      </c>
    </row>
    <row r="201" spans="1:67" ht="405" x14ac:dyDescent="0.25">
      <c r="A201" s="3">
        <v>2000044555</v>
      </c>
      <c r="B201" s="4">
        <v>43013</v>
      </c>
      <c r="C201" s="3">
        <v>1299162980</v>
      </c>
      <c r="H201" s="5" t="s">
        <v>67</v>
      </c>
      <c r="I201" s="3" t="b">
        <v>0</v>
      </c>
      <c r="J201" s="3" t="b">
        <v>0</v>
      </c>
      <c r="K201" s="3" t="b">
        <v>0</v>
      </c>
      <c r="L201" s="3" t="b">
        <v>1</v>
      </c>
      <c r="M201" s="3" t="b">
        <v>0</v>
      </c>
      <c r="N201" s="3" t="b">
        <v>0</v>
      </c>
      <c r="O201" s="3" t="b">
        <v>0</v>
      </c>
      <c r="P201" s="3" t="b">
        <v>1</v>
      </c>
      <c r="Q201" s="3" t="b">
        <v>0</v>
      </c>
      <c r="R201" s="3" t="s">
        <v>1897</v>
      </c>
      <c r="S201" s="5" t="s">
        <v>1898</v>
      </c>
      <c r="T201" s="3" t="b">
        <v>0</v>
      </c>
      <c r="U201" s="3" t="b">
        <v>1</v>
      </c>
      <c r="V201" s="5" t="s">
        <v>1899</v>
      </c>
      <c r="W201" s="5" t="s">
        <v>1900</v>
      </c>
      <c r="X201" s="3" t="b">
        <v>0</v>
      </c>
      <c r="Y201" s="3" t="b">
        <v>0</v>
      </c>
      <c r="Z201" s="3" t="b">
        <v>0</v>
      </c>
      <c r="AA201" s="3" t="b">
        <v>0</v>
      </c>
      <c r="AB201" s="5" t="s">
        <v>1901</v>
      </c>
      <c r="AC201" s="5" t="s">
        <v>67</v>
      </c>
      <c r="AD201" s="5" t="s">
        <v>1902</v>
      </c>
      <c r="AE201" s="5" t="s">
        <v>67</v>
      </c>
      <c r="AF201" s="5" t="s">
        <v>1903</v>
      </c>
      <c r="AG201" s="5" t="s">
        <v>1904</v>
      </c>
      <c r="AH201" s="5" t="s">
        <v>1905</v>
      </c>
      <c r="AI201" s="5" t="s">
        <v>1906</v>
      </c>
      <c r="AJ201" s="5" t="s">
        <v>67</v>
      </c>
      <c r="AK201" s="5" t="s">
        <v>67</v>
      </c>
      <c r="AL201" s="5" t="s">
        <v>67</v>
      </c>
      <c r="AM201" s="5" t="s">
        <v>1907</v>
      </c>
      <c r="AN201" s="5" t="s">
        <v>67</v>
      </c>
      <c r="AO201" s="5" t="s">
        <v>67</v>
      </c>
      <c r="AP201" s="5" t="s">
        <v>1908</v>
      </c>
      <c r="AQ201" s="5" t="s">
        <v>67</v>
      </c>
      <c r="AR201" s="5" t="s">
        <v>67</v>
      </c>
      <c r="AS201" s="3">
        <v>2146189771</v>
      </c>
      <c r="AT201" s="3">
        <v>2146189733</v>
      </c>
      <c r="AU201" s="3">
        <v>2146189358</v>
      </c>
      <c r="AW201" s="5" t="s">
        <v>67</v>
      </c>
      <c r="AX201" s="5" t="s">
        <v>67</v>
      </c>
      <c r="AY201" s="5" t="s">
        <v>67</v>
      </c>
      <c r="AZ201" s="5" t="s">
        <v>67</v>
      </c>
      <c r="BA201" s="3">
        <v>107</v>
      </c>
      <c r="BD201" s="3">
        <v>2146189023</v>
      </c>
      <c r="BE201" s="3">
        <v>2146189023</v>
      </c>
      <c r="BF201" s="5" t="s">
        <v>1909</v>
      </c>
      <c r="BG201" s="5" t="s">
        <v>97</v>
      </c>
      <c r="BH201" s="5" t="s">
        <v>1910</v>
      </c>
      <c r="BI201" s="5" t="s">
        <v>74</v>
      </c>
      <c r="BJ201" s="5" t="s">
        <v>67</v>
      </c>
      <c r="BK201" s="5" t="s">
        <v>165</v>
      </c>
      <c r="BL201" s="5" t="s">
        <v>1911</v>
      </c>
      <c r="BM201" s="5" t="s">
        <v>67</v>
      </c>
      <c r="BN201" s="5" t="s">
        <v>1912</v>
      </c>
      <c r="BO201" s="5" t="s">
        <v>1913</v>
      </c>
    </row>
    <row r="202" spans="1:67" ht="390" x14ac:dyDescent="0.25">
      <c r="A202" s="3">
        <v>2080662280</v>
      </c>
      <c r="B202" s="4">
        <v>42909</v>
      </c>
      <c r="C202" s="3">
        <v>166873846</v>
      </c>
      <c r="G202" s="3">
        <v>166873846</v>
      </c>
      <c r="H202" s="5" t="s">
        <v>67</v>
      </c>
      <c r="I202" s="3" t="b">
        <v>0</v>
      </c>
      <c r="J202" s="3" t="b">
        <v>1</v>
      </c>
      <c r="K202" s="3" t="b">
        <v>1</v>
      </c>
      <c r="L202" s="3" t="b">
        <v>0</v>
      </c>
      <c r="M202" s="3" t="b">
        <v>0</v>
      </c>
      <c r="N202" s="3" t="b">
        <v>0</v>
      </c>
      <c r="O202" s="3" t="b">
        <v>0</v>
      </c>
      <c r="P202" s="3" t="b">
        <v>1</v>
      </c>
      <c r="Q202" s="3" t="b">
        <v>1</v>
      </c>
      <c r="R202" s="3" t="s">
        <v>1914</v>
      </c>
      <c r="S202" s="5" t="s">
        <v>1915</v>
      </c>
      <c r="T202" s="3" t="b">
        <v>0</v>
      </c>
      <c r="U202" s="3" t="b">
        <v>1</v>
      </c>
      <c r="V202" s="5" t="s">
        <v>1916</v>
      </c>
      <c r="W202" s="5" t="s">
        <v>1917</v>
      </c>
      <c r="X202" s="3" t="b">
        <v>0</v>
      </c>
      <c r="Y202" s="3" t="b">
        <v>0</v>
      </c>
      <c r="Z202" s="3" t="b">
        <v>0</v>
      </c>
      <c r="AA202" s="3" t="b">
        <v>0</v>
      </c>
      <c r="AB202" s="5" t="s">
        <v>637</v>
      </c>
      <c r="AC202" s="5" t="s">
        <v>67</v>
      </c>
      <c r="AD202" s="5" t="s">
        <v>1918</v>
      </c>
      <c r="AE202" s="5" t="s">
        <v>67</v>
      </c>
      <c r="AF202" s="5" t="s">
        <v>1919</v>
      </c>
      <c r="AG202" s="5" t="s">
        <v>1920</v>
      </c>
      <c r="AH202" s="5" t="s">
        <v>1921</v>
      </c>
      <c r="AI202" s="5" t="s">
        <v>67</v>
      </c>
      <c r="AJ202" s="5" t="s">
        <v>67</v>
      </c>
      <c r="AK202" s="5" t="s">
        <v>67</v>
      </c>
      <c r="AL202" s="5" t="s">
        <v>67</v>
      </c>
      <c r="AM202" s="5" t="s">
        <v>1922</v>
      </c>
      <c r="AN202" s="5" t="s">
        <v>67</v>
      </c>
      <c r="AO202" s="5" t="s">
        <v>67</v>
      </c>
      <c r="AP202" s="5" t="s">
        <v>67</v>
      </c>
      <c r="AQ202" s="5" t="s">
        <v>67</v>
      </c>
      <c r="AR202" s="5" t="s">
        <v>67</v>
      </c>
      <c r="AS202" s="3">
        <v>2146189436</v>
      </c>
      <c r="AW202" s="5" t="s">
        <v>67</v>
      </c>
      <c r="AX202" s="5" t="s">
        <v>67</v>
      </c>
      <c r="AY202" s="5" t="s">
        <v>67</v>
      </c>
      <c r="AZ202" s="5" t="s">
        <v>67</v>
      </c>
      <c r="BA202" s="3">
        <v>2146189772</v>
      </c>
      <c r="BB202" s="3">
        <v>2146189739</v>
      </c>
      <c r="BD202" s="3">
        <v>2146188974</v>
      </c>
      <c r="BE202" s="3">
        <v>2146188982</v>
      </c>
      <c r="BF202" s="5" t="s">
        <v>1923</v>
      </c>
      <c r="BG202" s="5" t="s">
        <v>97</v>
      </c>
      <c r="BH202" s="5" t="s">
        <v>1924</v>
      </c>
      <c r="BI202" s="5" t="s">
        <v>210</v>
      </c>
      <c r="BJ202" s="5" t="s">
        <v>1925</v>
      </c>
      <c r="BK202" s="5" t="s">
        <v>1926</v>
      </c>
      <c r="BL202" s="5" t="s">
        <v>1927</v>
      </c>
      <c r="BM202" s="5" t="s">
        <v>1928</v>
      </c>
      <c r="BN202" s="5" t="s">
        <v>1929</v>
      </c>
      <c r="BO202" s="5" t="s">
        <v>67</v>
      </c>
    </row>
    <row r="203" spans="1:67" ht="405" x14ac:dyDescent="0.25">
      <c r="A203" s="3">
        <v>2088593679</v>
      </c>
      <c r="B203" s="4">
        <v>42503</v>
      </c>
      <c r="C203" s="3">
        <v>1038843490</v>
      </c>
      <c r="E203" s="3">
        <v>1087393567</v>
      </c>
      <c r="F203" s="3">
        <v>1424</v>
      </c>
      <c r="G203" s="3">
        <v>1087393567</v>
      </c>
      <c r="H203" s="5" t="s">
        <v>1930</v>
      </c>
      <c r="I203" s="3" t="b">
        <v>0</v>
      </c>
      <c r="J203" s="3" t="b">
        <v>1</v>
      </c>
      <c r="K203" s="3" t="b">
        <v>0</v>
      </c>
      <c r="L203" s="3" t="b">
        <v>1</v>
      </c>
      <c r="M203" s="3" t="b">
        <v>0</v>
      </c>
      <c r="N203" s="3" t="b">
        <v>0</v>
      </c>
      <c r="O203" s="3" t="b">
        <v>0</v>
      </c>
      <c r="P203" s="3" t="b">
        <v>1</v>
      </c>
      <c r="Q203" s="3" t="b">
        <v>0</v>
      </c>
      <c r="R203" s="3" t="s">
        <v>919</v>
      </c>
      <c r="S203" s="5" t="s">
        <v>67</v>
      </c>
      <c r="T203" s="3" t="b">
        <v>1</v>
      </c>
      <c r="U203" s="3" t="b">
        <v>1</v>
      </c>
      <c r="V203" s="5" t="s">
        <v>81</v>
      </c>
      <c r="W203" s="5" t="s">
        <v>1931</v>
      </c>
      <c r="X203" s="3" t="b">
        <v>0</v>
      </c>
      <c r="Y203" s="3" t="b">
        <v>0</v>
      </c>
      <c r="Z203" s="3" t="b">
        <v>0</v>
      </c>
      <c r="AA203" s="3" t="b">
        <v>1</v>
      </c>
      <c r="AB203" s="5" t="s">
        <v>1932</v>
      </c>
      <c r="AC203" s="5" t="s">
        <v>1933</v>
      </c>
      <c r="AD203" s="5" t="s">
        <v>1934</v>
      </c>
      <c r="AE203" s="5" t="s">
        <v>1935</v>
      </c>
      <c r="AF203" s="5" t="s">
        <v>1936</v>
      </c>
      <c r="AG203" s="5" t="s">
        <v>1937</v>
      </c>
      <c r="AH203" s="5" t="s">
        <v>1938</v>
      </c>
      <c r="AI203" s="5" t="s">
        <v>1939</v>
      </c>
      <c r="AJ203" s="5" t="s">
        <v>67</v>
      </c>
      <c r="AK203" s="5" t="s">
        <v>67</v>
      </c>
      <c r="AL203" s="5" t="s">
        <v>1940</v>
      </c>
      <c r="AM203" s="5" t="s">
        <v>1639</v>
      </c>
      <c r="AN203" s="5" t="s">
        <v>1941</v>
      </c>
      <c r="AO203" s="5" t="s">
        <v>67</v>
      </c>
      <c r="AP203" s="5" t="s">
        <v>67</v>
      </c>
      <c r="AQ203" s="5" t="s">
        <v>67</v>
      </c>
      <c r="AR203" s="5" t="s">
        <v>67</v>
      </c>
      <c r="AW203" s="5" t="s">
        <v>67</v>
      </c>
      <c r="AX203" s="5" t="s">
        <v>67</v>
      </c>
      <c r="AY203" s="5" t="s">
        <v>67</v>
      </c>
      <c r="AZ203" s="5" t="s">
        <v>67</v>
      </c>
      <c r="BF203" s="5" t="s">
        <v>67</v>
      </c>
      <c r="BG203" s="5" t="s">
        <v>97</v>
      </c>
      <c r="BH203" s="5" t="s">
        <v>1232</v>
      </c>
      <c r="BI203" s="5" t="s">
        <v>74</v>
      </c>
      <c r="BJ203" s="5" t="s">
        <v>1942</v>
      </c>
      <c r="BK203" s="5" t="s">
        <v>1943</v>
      </c>
      <c r="BL203" s="5" t="s">
        <v>1944</v>
      </c>
      <c r="BM203" s="5" t="s">
        <v>67</v>
      </c>
      <c r="BN203" s="5" t="s">
        <v>1945</v>
      </c>
      <c r="BO203" s="5" t="s">
        <v>1946</v>
      </c>
    </row>
    <row r="204" spans="1:67" x14ac:dyDescent="0.25">
      <c r="A204" s="3">
        <v>2105684264</v>
      </c>
      <c r="B204" s="4">
        <v>37860.701261574097</v>
      </c>
      <c r="C204" s="3">
        <v>0</v>
      </c>
      <c r="D204" s="3">
        <v>0</v>
      </c>
      <c r="E204" s="3">
        <v>0</v>
      </c>
      <c r="H204" s="5" t="s">
        <v>67</v>
      </c>
      <c r="I204" s="3" t="b">
        <v>0</v>
      </c>
      <c r="J204" s="3" t="b">
        <v>0</v>
      </c>
      <c r="K204" s="3" t="b">
        <v>0</v>
      </c>
      <c r="L204" s="3" t="b">
        <v>0</v>
      </c>
      <c r="M204" s="3" t="b">
        <v>0</v>
      </c>
      <c r="N204" s="3" t="b">
        <v>0</v>
      </c>
      <c r="O204" s="3" t="b">
        <v>0</v>
      </c>
      <c r="P204" s="3" t="b">
        <v>0</v>
      </c>
      <c r="Q204" s="3" t="b">
        <v>0</v>
      </c>
      <c r="R204" s="3" t="s">
        <v>67</v>
      </c>
      <c r="S204" s="5" t="s">
        <v>67</v>
      </c>
      <c r="T204" s="3" t="b">
        <v>0</v>
      </c>
      <c r="U204" s="3" t="b">
        <v>0</v>
      </c>
      <c r="V204" s="5" t="s">
        <v>67</v>
      </c>
      <c r="W204" s="5" t="s">
        <v>67</v>
      </c>
      <c r="X204" s="3" t="b">
        <v>0</v>
      </c>
      <c r="Y204" s="3" t="b">
        <v>0</v>
      </c>
      <c r="Z204" s="3" t="b">
        <v>0</v>
      </c>
      <c r="AA204" s="3" t="b">
        <v>0</v>
      </c>
      <c r="AB204" s="5" t="s">
        <v>67</v>
      </c>
      <c r="AC204" s="5" t="s">
        <v>67</v>
      </c>
      <c r="AD204" s="5" t="s">
        <v>67</v>
      </c>
      <c r="AE204" s="5" t="s">
        <v>67</v>
      </c>
      <c r="AF204" s="5" t="s">
        <v>67</v>
      </c>
      <c r="AG204" s="5" t="s">
        <v>67</v>
      </c>
      <c r="AH204" s="5" t="s">
        <v>67</v>
      </c>
      <c r="AI204" s="5" t="s">
        <v>67</v>
      </c>
      <c r="AJ204" s="5" t="s">
        <v>67</v>
      </c>
      <c r="AK204" s="5" t="s">
        <v>67</v>
      </c>
      <c r="AL204" s="5" t="s">
        <v>67</v>
      </c>
      <c r="AM204" s="5" t="s">
        <v>67</v>
      </c>
      <c r="AN204" s="5" t="s">
        <v>67</v>
      </c>
      <c r="AO204" s="5" t="s">
        <v>67</v>
      </c>
      <c r="AP204" s="5" t="s">
        <v>67</v>
      </c>
      <c r="AQ204" s="5" t="s">
        <v>67</v>
      </c>
      <c r="AR204" s="5" t="s">
        <v>67</v>
      </c>
      <c r="AW204" s="5" t="s">
        <v>67</v>
      </c>
      <c r="AX204" s="5" t="s">
        <v>67</v>
      </c>
      <c r="AY204" s="5" t="s">
        <v>67</v>
      </c>
      <c r="AZ204" s="5" t="s">
        <v>67</v>
      </c>
      <c r="BA204" s="3">
        <v>0</v>
      </c>
      <c r="BB204" s="3">
        <v>0</v>
      </c>
      <c r="BC204" s="3">
        <v>0</v>
      </c>
      <c r="BD204" s="3">
        <v>0</v>
      </c>
      <c r="BE204" s="3">
        <v>0</v>
      </c>
      <c r="BF204" s="5" t="s">
        <v>67</v>
      </c>
      <c r="BG204" s="5" t="s">
        <v>67</v>
      </c>
      <c r="BH204" s="5" t="s">
        <v>67</v>
      </c>
      <c r="BI204" s="5" t="s">
        <v>67</v>
      </c>
      <c r="BJ204" s="5" t="s">
        <v>67</v>
      </c>
      <c r="BK204" s="5" t="s">
        <v>67</v>
      </c>
      <c r="BL204" s="5" t="s">
        <v>67</v>
      </c>
      <c r="BM204" s="5" t="s">
        <v>67</v>
      </c>
      <c r="BN204" s="5" t="s">
        <v>67</v>
      </c>
      <c r="BO204" s="5" t="s">
        <v>67</v>
      </c>
    </row>
    <row r="205" spans="1:67" x14ac:dyDescent="0.25">
      <c r="A205" s="3">
        <v>2146188983</v>
      </c>
      <c r="B205" s="4">
        <v>41053</v>
      </c>
      <c r="H205" s="5" t="s">
        <v>67</v>
      </c>
      <c r="I205" s="3" t="b">
        <v>0</v>
      </c>
      <c r="J205" s="3" t="b">
        <v>0</v>
      </c>
      <c r="K205" s="3" t="b">
        <v>0</v>
      </c>
      <c r="L205" s="3" t="b">
        <v>0</v>
      </c>
      <c r="M205" s="3" t="b">
        <v>0</v>
      </c>
      <c r="N205" s="3" t="b">
        <v>0</v>
      </c>
      <c r="O205" s="3" t="b">
        <v>0</v>
      </c>
      <c r="P205" s="3" t="b">
        <v>0</v>
      </c>
      <c r="Q205" s="3" t="b">
        <v>0</v>
      </c>
      <c r="R205" s="3" t="s">
        <v>67</v>
      </c>
      <c r="S205" s="5" t="s">
        <v>67</v>
      </c>
      <c r="T205" s="3" t="b">
        <v>0</v>
      </c>
      <c r="U205" s="3" t="b">
        <v>0</v>
      </c>
      <c r="V205" s="5" t="s">
        <v>67</v>
      </c>
      <c r="W205" s="5" t="s">
        <v>67</v>
      </c>
      <c r="X205" s="3" t="b">
        <v>0</v>
      </c>
      <c r="Y205" s="3" t="b">
        <v>0</v>
      </c>
      <c r="Z205" s="3" t="b">
        <v>0</v>
      </c>
      <c r="AA205" s="3" t="b">
        <v>0</v>
      </c>
      <c r="AB205" s="5" t="s">
        <v>67</v>
      </c>
      <c r="AC205" s="5" t="s">
        <v>67</v>
      </c>
      <c r="AD205" s="5" t="s">
        <v>67</v>
      </c>
      <c r="AE205" s="5" t="s">
        <v>67</v>
      </c>
      <c r="AF205" s="5" t="s">
        <v>67</v>
      </c>
      <c r="AG205" s="5" t="s">
        <v>67</v>
      </c>
      <c r="AH205" s="5" t="s">
        <v>67</v>
      </c>
      <c r="AI205" s="5" t="s">
        <v>67</v>
      </c>
      <c r="AJ205" s="5" t="s">
        <v>67</v>
      </c>
      <c r="AK205" s="5" t="s">
        <v>67</v>
      </c>
      <c r="AL205" s="5" t="s">
        <v>67</v>
      </c>
      <c r="AM205" s="5" t="s">
        <v>67</v>
      </c>
      <c r="AN205" s="5" t="s">
        <v>67</v>
      </c>
      <c r="AO205" s="5" t="s">
        <v>67</v>
      </c>
      <c r="AP205" s="5" t="s">
        <v>67</v>
      </c>
      <c r="AQ205" s="5" t="s">
        <v>67</v>
      </c>
      <c r="AR205" s="5" t="s">
        <v>67</v>
      </c>
      <c r="AW205" s="5" t="s">
        <v>67</v>
      </c>
      <c r="AX205" s="5" t="s">
        <v>67</v>
      </c>
      <c r="AY205" s="5" t="s">
        <v>67</v>
      </c>
      <c r="AZ205" s="5" t="s">
        <v>67</v>
      </c>
      <c r="BF205" s="5" t="s">
        <v>67</v>
      </c>
      <c r="BG205" s="5" t="s">
        <v>67</v>
      </c>
      <c r="BH205" s="5" t="s">
        <v>67</v>
      </c>
      <c r="BI205" s="5" t="s">
        <v>67</v>
      </c>
      <c r="BJ205" s="5" t="s">
        <v>67</v>
      </c>
      <c r="BK205" s="5" t="s">
        <v>67</v>
      </c>
      <c r="BL205" s="5" t="s">
        <v>67</v>
      </c>
      <c r="BM205" s="5" t="s">
        <v>67</v>
      </c>
      <c r="BN205" s="5" t="s">
        <v>67</v>
      </c>
      <c r="BO205" s="5" t="s">
        <v>67</v>
      </c>
    </row>
    <row r="206" spans="1:67" x14ac:dyDescent="0.25">
      <c r="A206" s="3">
        <v>2146189030</v>
      </c>
      <c r="B206" s="4">
        <v>41625</v>
      </c>
      <c r="H206" s="5" t="s">
        <v>67</v>
      </c>
      <c r="I206" s="3" t="b">
        <v>0</v>
      </c>
      <c r="J206" s="3" t="b">
        <v>0</v>
      </c>
      <c r="K206" s="3" t="b">
        <v>0</v>
      </c>
      <c r="L206" s="3" t="b">
        <v>0</v>
      </c>
      <c r="M206" s="3" t="b">
        <v>0</v>
      </c>
      <c r="N206" s="3" t="b">
        <v>0</v>
      </c>
      <c r="O206" s="3" t="b">
        <v>0</v>
      </c>
      <c r="P206" s="3" t="b">
        <v>0</v>
      </c>
      <c r="Q206" s="3" t="b">
        <v>0</v>
      </c>
      <c r="R206" s="3" t="s">
        <v>67</v>
      </c>
      <c r="S206" s="5" t="s">
        <v>67</v>
      </c>
      <c r="T206" s="3" t="b">
        <v>0</v>
      </c>
      <c r="U206" s="3" t="b">
        <v>0</v>
      </c>
      <c r="V206" s="5" t="s">
        <v>67</v>
      </c>
      <c r="W206" s="5" t="s">
        <v>67</v>
      </c>
      <c r="X206" s="3" t="b">
        <v>0</v>
      </c>
      <c r="Y206" s="3" t="b">
        <v>0</v>
      </c>
      <c r="Z206" s="3" t="b">
        <v>0</v>
      </c>
      <c r="AA206" s="3" t="b">
        <v>0</v>
      </c>
      <c r="AB206" s="5" t="s">
        <v>67</v>
      </c>
      <c r="AC206" s="5" t="s">
        <v>67</v>
      </c>
      <c r="AD206" s="5" t="s">
        <v>67</v>
      </c>
      <c r="AE206" s="5" t="s">
        <v>67</v>
      </c>
      <c r="AF206" s="5" t="s">
        <v>67</v>
      </c>
      <c r="AG206" s="5" t="s">
        <v>67</v>
      </c>
      <c r="AH206" s="5" t="s">
        <v>67</v>
      </c>
      <c r="AI206" s="5" t="s">
        <v>67</v>
      </c>
      <c r="AJ206" s="5" t="s">
        <v>67</v>
      </c>
      <c r="AK206" s="5" t="s">
        <v>67</v>
      </c>
      <c r="AL206" s="5" t="s">
        <v>67</v>
      </c>
      <c r="AM206" s="5" t="s">
        <v>67</v>
      </c>
      <c r="AN206" s="5" t="s">
        <v>67</v>
      </c>
      <c r="AO206" s="5" t="s">
        <v>67</v>
      </c>
      <c r="AP206" s="5" t="s">
        <v>67</v>
      </c>
      <c r="AQ206" s="5" t="s">
        <v>67</v>
      </c>
      <c r="AR206" s="5" t="s">
        <v>67</v>
      </c>
      <c r="AW206" s="5" t="s">
        <v>67</v>
      </c>
      <c r="AX206" s="5" t="s">
        <v>67</v>
      </c>
      <c r="AY206" s="5" t="s">
        <v>67</v>
      </c>
      <c r="AZ206" s="5" t="s">
        <v>67</v>
      </c>
      <c r="BF206" s="5" t="s">
        <v>67</v>
      </c>
      <c r="BG206" s="5" t="s">
        <v>67</v>
      </c>
      <c r="BH206" s="5" t="s">
        <v>67</v>
      </c>
      <c r="BI206" s="5" t="s">
        <v>67</v>
      </c>
      <c r="BJ206" s="5" t="s">
        <v>67</v>
      </c>
      <c r="BK206" s="5" t="s">
        <v>67</v>
      </c>
      <c r="BL206" s="5" t="s">
        <v>67</v>
      </c>
      <c r="BM206" s="5" t="s">
        <v>67</v>
      </c>
      <c r="BN206" s="5" t="s">
        <v>67</v>
      </c>
      <c r="BO206" s="5" t="s">
        <v>67</v>
      </c>
    </row>
    <row r="207" spans="1:67" ht="90" x14ac:dyDescent="0.25">
      <c r="A207" s="3">
        <v>2146189066</v>
      </c>
      <c r="B207" s="4">
        <v>41080</v>
      </c>
      <c r="C207" s="3">
        <v>2146189094</v>
      </c>
      <c r="H207" s="5" t="s">
        <v>67</v>
      </c>
      <c r="I207" s="3" t="b">
        <v>0</v>
      </c>
      <c r="J207" s="3" t="b">
        <v>0</v>
      </c>
      <c r="K207" s="3" t="b">
        <v>0</v>
      </c>
      <c r="L207" s="3" t="b">
        <v>1</v>
      </c>
      <c r="M207" s="3" t="b">
        <v>1</v>
      </c>
      <c r="N207" s="3" t="b">
        <v>0</v>
      </c>
      <c r="O207" s="3" t="b">
        <v>0</v>
      </c>
      <c r="P207" s="3" t="b">
        <v>0</v>
      </c>
      <c r="Q207" s="3" t="b">
        <v>0</v>
      </c>
      <c r="R207" s="3" t="s">
        <v>1947</v>
      </c>
      <c r="S207" s="5" t="s">
        <v>1948</v>
      </c>
      <c r="T207" s="3" t="b">
        <v>0</v>
      </c>
      <c r="U207" s="3" t="b">
        <v>0</v>
      </c>
      <c r="V207" s="5" t="s">
        <v>1949</v>
      </c>
      <c r="W207" s="5" t="s">
        <v>1950</v>
      </c>
      <c r="X207" s="3" t="b">
        <v>0</v>
      </c>
      <c r="Y207" s="3" t="b">
        <v>0</v>
      </c>
      <c r="Z207" s="3" t="b">
        <v>0</v>
      </c>
      <c r="AA207" s="3" t="b">
        <v>0</v>
      </c>
      <c r="AB207" s="5" t="s">
        <v>67</v>
      </c>
      <c r="AC207" s="5" t="s">
        <v>67</v>
      </c>
      <c r="AD207" s="5" t="s">
        <v>1951</v>
      </c>
      <c r="AE207" s="5" t="s">
        <v>67</v>
      </c>
      <c r="AF207" s="5" t="s">
        <v>1952</v>
      </c>
      <c r="AG207" s="5" t="s">
        <v>1953</v>
      </c>
      <c r="AH207" s="5" t="s">
        <v>1954</v>
      </c>
      <c r="AI207" s="5" t="s">
        <v>1955</v>
      </c>
      <c r="AJ207" s="5" t="s">
        <v>67</v>
      </c>
      <c r="AK207" s="5" t="s">
        <v>67</v>
      </c>
      <c r="AL207" s="5" t="s">
        <v>67</v>
      </c>
      <c r="AM207" s="5" t="s">
        <v>67</v>
      </c>
      <c r="AN207" s="5" t="s">
        <v>67</v>
      </c>
      <c r="AO207" s="5" t="s">
        <v>67</v>
      </c>
      <c r="AP207" s="5" t="s">
        <v>67</v>
      </c>
      <c r="AQ207" s="5" t="s">
        <v>67</v>
      </c>
      <c r="AR207" s="5" t="s">
        <v>67</v>
      </c>
      <c r="AT207" s="3">
        <v>2146189068</v>
      </c>
      <c r="AW207" s="5" t="s">
        <v>67</v>
      </c>
      <c r="AX207" s="5" t="s">
        <v>67</v>
      </c>
      <c r="AY207" s="5" t="s">
        <v>67</v>
      </c>
      <c r="AZ207" s="5" t="s">
        <v>67</v>
      </c>
      <c r="BF207" s="5" t="s">
        <v>67</v>
      </c>
      <c r="BG207" s="5" t="s">
        <v>1956</v>
      </c>
      <c r="BH207" s="5" t="s">
        <v>67</v>
      </c>
      <c r="BI207" s="5" t="s">
        <v>141</v>
      </c>
      <c r="BJ207" s="5" t="s">
        <v>67</v>
      </c>
      <c r="BK207" s="5" t="s">
        <v>1949</v>
      </c>
      <c r="BL207" s="5" t="s">
        <v>67</v>
      </c>
      <c r="BM207" s="5" t="s">
        <v>67</v>
      </c>
      <c r="BN207" s="5" t="s">
        <v>67</v>
      </c>
      <c r="BO207" s="5" t="s">
        <v>67</v>
      </c>
    </row>
    <row r="208" spans="1:67" x14ac:dyDescent="0.25">
      <c r="A208" s="3">
        <v>2146189075</v>
      </c>
      <c r="B208" s="4">
        <v>41036</v>
      </c>
      <c r="H208" s="5" t="s">
        <v>67</v>
      </c>
      <c r="I208" s="3" t="b">
        <v>0</v>
      </c>
      <c r="J208" s="3" t="b">
        <v>0</v>
      </c>
      <c r="K208" s="3" t="b">
        <v>0</v>
      </c>
      <c r="L208" s="3" t="b">
        <v>0</v>
      </c>
      <c r="M208" s="3" t="b">
        <v>0</v>
      </c>
      <c r="N208" s="3" t="b">
        <v>0</v>
      </c>
      <c r="O208" s="3" t="b">
        <v>0</v>
      </c>
      <c r="P208" s="3" t="b">
        <v>0</v>
      </c>
      <c r="Q208" s="3" t="b">
        <v>0</v>
      </c>
      <c r="R208" s="3" t="s">
        <v>67</v>
      </c>
      <c r="S208" s="5" t="s">
        <v>67</v>
      </c>
      <c r="T208" s="3" t="b">
        <v>0</v>
      </c>
      <c r="U208" s="3" t="b">
        <v>0</v>
      </c>
      <c r="V208" s="5" t="s">
        <v>67</v>
      </c>
      <c r="W208" s="5" t="s">
        <v>67</v>
      </c>
      <c r="X208" s="3" t="b">
        <v>0</v>
      </c>
      <c r="Y208" s="3" t="b">
        <v>0</v>
      </c>
      <c r="Z208" s="3" t="b">
        <v>0</v>
      </c>
      <c r="AA208" s="3" t="b">
        <v>0</v>
      </c>
      <c r="AB208" s="5" t="s">
        <v>67</v>
      </c>
      <c r="AC208" s="5" t="s">
        <v>67</v>
      </c>
      <c r="AD208" s="5" t="s">
        <v>67</v>
      </c>
      <c r="AE208" s="5" t="s">
        <v>67</v>
      </c>
      <c r="AF208" s="5" t="s">
        <v>67</v>
      </c>
      <c r="AG208" s="5" t="s">
        <v>67</v>
      </c>
      <c r="AH208" s="5" t="s">
        <v>67</v>
      </c>
      <c r="AI208" s="5" t="s">
        <v>67</v>
      </c>
      <c r="AJ208" s="5" t="s">
        <v>67</v>
      </c>
      <c r="AK208" s="5" t="s">
        <v>67</v>
      </c>
      <c r="AL208" s="5" t="s">
        <v>67</v>
      </c>
      <c r="AM208" s="5" t="s">
        <v>67</v>
      </c>
      <c r="AN208" s="5" t="s">
        <v>67</v>
      </c>
      <c r="AO208" s="5" t="s">
        <v>67</v>
      </c>
      <c r="AP208" s="5" t="s">
        <v>67</v>
      </c>
      <c r="AQ208" s="5" t="s">
        <v>67</v>
      </c>
      <c r="AR208" s="5" t="s">
        <v>67</v>
      </c>
      <c r="AW208" s="5" t="s">
        <v>67</v>
      </c>
      <c r="AX208" s="5" t="s">
        <v>67</v>
      </c>
      <c r="AY208" s="5" t="s">
        <v>67</v>
      </c>
      <c r="AZ208" s="5" t="s">
        <v>67</v>
      </c>
      <c r="BF208" s="5" t="s">
        <v>67</v>
      </c>
      <c r="BG208" s="5" t="s">
        <v>67</v>
      </c>
      <c r="BH208" s="5" t="s">
        <v>67</v>
      </c>
      <c r="BI208" s="5" t="s">
        <v>67</v>
      </c>
      <c r="BJ208" s="5" t="s">
        <v>67</v>
      </c>
      <c r="BK208" s="5" t="s">
        <v>67</v>
      </c>
      <c r="BL208" s="5" t="s">
        <v>67</v>
      </c>
      <c r="BM208" s="5" t="s">
        <v>67</v>
      </c>
      <c r="BN208" s="5" t="s">
        <v>67</v>
      </c>
      <c r="BO208" s="5" t="s">
        <v>67</v>
      </c>
    </row>
    <row r="209" spans="1:67" x14ac:dyDescent="0.25">
      <c r="A209" s="3">
        <v>2146189086</v>
      </c>
      <c r="B209" s="4">
        <v>41080</v>
      </c>
      <c r="H209" s="5" t="s">
        <v>67</v>
      </c>
      <c r="I209" s="3" t="b">
        <v>0</v>
      </c>
      <c r="J209" s="3" t="b">
        <v>0</v>
      </c>
      <c r="K209" s="3" t="b">
        <v>0</v>
      </c>
      <c r="L209" s="3" t="b">
        <v>0</v>
      </c>
      <c r="M209" s="3" t="b">
        <v>0</v>
      </c>
      <c r="N209" s="3" t="b">
        <v>0</v>
      </c>
      <c r="O209" s="3" t="b">
        <v>0</v>
      </c>
      <c r="P209" s="3" t="b">
        <v>0</v>
      </c>
      <c r="Q209" s="3" t="b">
        <v>0</v>
      </c>
      <c r="R209" s="3" t="s">
        <v>67</v>
      </c>
      <c r="S209" s="5" t="s">
        <v>67</v>
      </c>
      <c r="T209" s="3" t="b">
        <v>0</v>
      </c>
      <c r="U209" s="3" t="b">
        <v>0</v>
      </c>
      <c r="V209" s="5" t="s">
        <v>67</v>
      </c>
      <c r="W209" s="5" t="s">
        <v>67</v>
      </c>
      <c r="X209" s="3" t="b">
        <v>0</v>
      </c>
      <c r="Y209" s="3" t="b">
        <v>0</v>
      </c>
      <c r="Z209" s="3" t="b">
        <v>0</v>
      </c>
      <c r="AA209" s="3" t="b">
        <v>0</v>
      </c>
      <c r="AB209" s="5" t="s">
        <v>67</v>
      </c>
      <c r="AC209" s="5" t="s">
        <v>67</v>
      </c>
      <c r="AD209" s="5" t="s">
        <v>67</v>
      </c>
      <c r="AE209" s="5" t="s">
        <v>67</v>
      </c>
      <c r="AF209" s="5" t="s">
        <v>67</v>
      </c>
      <c r="AG209" s="5" t="s">
        <v>67</v>
      </c>
      <c r="AH209" s="5" t="s">
        <v>67</v>
      </c>
      <c r="AI209" s="5" t="s">
        <v>67</v>
      </c>
      <c r="AJ209" s="5" t="s">
        <v>67</v>
      </c>
      <c r="AK209" s="5" t="s">
        <v>67</v>
      </c>
      <c r="AL209" s="5" t="s">
        <v>67</v>
      </c>
      <c r="AM209" s="5" t="s">
        <v>67</v>
      </c>
      <c r="AN209" s="5" t="s">
        <v>67</v>
      </c>
      <c r="AO209" s="5" t="s">
        <v>67</v>
      </c>
      <c r="AP209" s="5" t="s">
        <v>67</v>
      </c>
      <c r="AQ209" s="5" t="s">
        <v>67</v>
      </c>
      <c r="AR209" s="5" t="s">
        <v>67</v>
      </c>
      <c r="AW209" s="5" t="s">
        <v>67</v>
      </c>
      <c r="AX209" s="5" t="s">
        <v>67</v>
      </c>
      <c r="AY209" s="5" t="s">
        <v>67</v>
      </c>
      <c r="AZ209" s="5" t="s">
        <v>67</v>
      </c>
      <c r="BF209" s="5" t="s">
        <v>67</v>
      </c>
      <c r="BG209" s="5" t="s">
        <v>67</v>
      </c>
      <c r="BH209" s="5" t="s">
        <v>67</v>
      </c>
      <c r="BI209" s="5" t="s">
        <v>67</v>
      </c>
      <c r="BJ209" s="5" t="s">
        <v>67</v>
      </c>
      <c r="BK209" s="5" t="s">
        <v>67</v>
      </c>
      <c r="BL209" s="5" t="s">
        <v>67</v>
      </c>
      <c r="BM209" s="5" t="s">
        <v>67</v>
      </c>
      <c r="BN209" s="5" t="s">
        <v>67</v>
      </c>
      <c r="BO209" s="5" t="s">
        <v>67</v>
      </c>
    </row>
    <row r="210" spans="1:67" x14ac:dyDescent="0.25">
      <c r="A210" s="3">
        <v>2146189102</v>
      </c>
      <c r="B210" s="4">
        <v>41185</v>
      </c>
      <c r="H210" s="5" t="s">
        <v>67</v>
      </c>
      <c r="I210" s="3" t="b">
        <v>0</v>
      </c>
      <c r="J210" s="3" t="b">
        <v>0</v>
      </c>
      <c r="K210" s="3" t="b">
        <v>0</v>
      </c>
      <c r="L210" s="3" t="b">
        <v>0</v>
      </c>
      <c r="M210" s="3" t="b">
        <v>0</v>
      </c>
      <c r="N210" s="3" t="b">
        <v>0</v>
      </c>
      <c r="O210" s="3" t="b">
        <v>0</v>
      </c>
      <c r="P210" s="3" t="b">
        <v>0</v>
      </c>
      <c r="Q210" s="3" t="b">
        <v>0</v>
      </c>
      <c r="R210" s="3" t="s">
        <v>67</v>
      </c>
      <c r="S210" s="5" t="s">
        <v>67</v>
      </c>
      <c r="T210" s="3" t="b">
        <v>0</v>
      </c>
      <c r="U210" s="3" t="b">
        <v>0</v>
      </c>
      <c r="V210" s="5" t="s">
        <v>67</v>
      </c>
      <c r="W210" s="5" t="s">
        <v>67</v>
      </c>
      <c r="X210" s="3" t="b">
        <v>0</v>
      </c>
      <c r="Y210" s="3" t="b">
        <v>0</v>
      </c>
      <c r="Z210" s="3" t="b">
        <v>0</v>
      </c>
      <c r="AA210" s="3" t="b">
        <v>0</v>
      </c>
      <c r="AB210" s="5" t="s">
        <v>67</v>
      </c>
      <c r="AC210" s="5" t="s">
        <v>67</v>
      </c>
      <c r="AD210" s="5" t="s">
        <v>67</v>
      </c>
      <c r="AE210" s="5" t="s">
        <v>67</v>
      </c>
      <c r="AF210" s="5" t="s">
        <v>67</v>
      </c>
      <c r="AG210" s="5" t="s">
        <v>67</v>
      </c>
      <c r="AH210" s="5" t="s">
        <v>67</v>
      </c>
      <c r="AI210" s="5" t="s">
        <v>67</v>
      </c>
      <c r="AJ210" s="5" t="s">
        <v>67</v>
      </c>
      <c r="AK210" s="5" t="s">
        <v>67</v>
      </c>
      <c r="AL210" s="5" t="s">
        <v>67</v>
      </c>
      <c r="AM210" s="5" t="s">
        <v>67</v>
      </c>
      <c r="AN210" s="5" t="s">
        <v>67</v>
      </c>
      <c r="AO210" s="5" t="s">
        <v>67</v>
      </c>
      <c r="AP210" s="5" t="s">
        <v>67</v>
      </c>
      <c r="AQ210" s="5" t="s">
        <v>67</v>
      </c>
      <c r="AR210" s="5" t="s">
        <v>67</v>
      </c>
      <c r="AW210" s="5" t="s">
        <v>67</v>
      </c>
      <c r="AX210" s="5" t="s">
        <v>67</v>
      </c>
      <c r="AY210" s="5" t="s">
        <v>67</v>
      </c>
      <c r="AZ210" s="5" t="s">
        <v>67</v>
      </c>
      <c r="BF210" s="5" t="s">
        <v>67</v>
      </c>
      <c r="BG210" s="5" t="s">
        <v>67</v>
      </c>
      <c r="BH210" s="5" t="s">
        <v>67</v>
      </c>
      <c r="BI210" s="5" t="s">
        <v>67</v>
      </c>
      <c r="BJ210" s="5" t="s">
        <v>67</v>
      </c>
      <c r="BK210" s="5" t="s">
        <v>67</v>
      </c>
      <c r="BL210" s="5" t="s">
        <v>67</v>
      </c>
      <c r="BM210" s="5" t="s">
        <v>67</v>
      </c>
      <c r="BN210" s="5" t="s">
        <v>67</v>
      </c>
      <c r="BO210" s="5" t="s">
        <v>67</v>
      </c>
    </row>
    <row r="211" spans="1:67" ht="375" x14ac:dyDescent="0.25">
      <c r="A211" s="3">
        <v>2146189111</v>
      </c>
      <c r="B211" s="4">
        <v>41992</v>
      </c>
      <c r="C211" s="3">
        <v>2146189110</v>
      </c>
      <c r="H211" s="5" t="s">
        <v>67</v>
      </c>
      <c r="I211" s="3" t="b">
        <v>0</v>
      </c>
      <c r="J211" s="3" t="b">
        <v>0</v>
      </c>
      <c r="K211" s="3" t="b">
        <v>0</v>
      </c>
      <c r="L211" s="3" t="b">
        <v>1</v>
      </c>
      <c r="M211" s="3" t="b">
        <v>0</v>
      </c>
      <c r="N211" s="3" t="b">
        <v>1</v>
      </c>
      <c r="O211" s="3" t="b">
        <v>0</v>
      </c>
      <c r="P211" s="3" t="b">
        <v>0</v>
      </c>
      <c r="Q211" s="3" t="b">
        <v>0</v>
      </c>
      <c r="R211" s="3" t="s">
        <v>1957</v>
      </c>
      <c r="S211" s="5" t="s">
        <v>1958</v>
      </c>
      <c r="T211" s="3" t="b">
        <v>0</v>
      </c>
      <c r="U211" s="3" t="b">
        <v>0</v>
      </c>
      <c r="V211" s="5" t="s">
        <v>1959</v>
      </c>
      <c r="W211" s="5" t="s">
        <v>1960</v>
      </c>
      <c r="X211" s="3" t="b">
        <v>0</v>
      </c>
      <c r="Y211" s="3" t="b">
        <v>0</v>
      </c>
      <c r="Z211" s="3" t="b">
        <v>0</v>
      </c>
      <c r="AA211" s="3" t="b">
        <v>1</v>
      </c>
      <c r="AB211" s="5" t="s">
        <v>1961</v>
      </c>
      <c r="AC211" s="5" t="s">
        <v>67</v>
      </c>
      <c r="AD211" s="5" t="s">
        <v>67</v>
      </c>
      <c r="AE211" s="5" t="s">
        <v>67</v>
      </c>
      <c r="AF211" s="5" t="s">
        <v>1962</v>
      </c>
      <c r="AG211" s="5" t="s">
        <v>1963</v>
      </c>
      <c r="AH211" s="5" t="s">
        <v>1964</v>
      </c>
      <c r="AI211" s="5" t="s">
        <v>1965</v>
      </c>
      <c r="AJ211" s="5" t="s">
        <v>67</v>
      </c>
      <c r="AK211" s="5" t="s">
        <v>67</v>
      </c>
      <c r="AL211" s="5" t="s">
        <v>1966</v>
      </c>
      <c r="AM211" s="5" t="s">
        <v>1967</v>
      </c>
      <c r="AN211" s="5" t="s">
        <v>1968</v>
      </c>
      <c r="AO211" s="5" t="s">
        <v>67</v>
      </c>
      <c r="AP211" s="5" t="s">
        <v>67</v>
      </c>
      <c r="AQ211" s="5" t="s">
        <v>67</v>
      </c>
      <c r="AR211" s="5" t="s">
        <v>67</v>
      </c>
      <c r="AS211" s="3">
        <v>2146189482</v>
      </c>
      <c r="AT211" s="3">
        <v>2146189436</v>
      </c>
      <c r="AW211" s="5" t="s">
        <v>67</v>
      </c>
      <c r="AX211" s="5" t="s">
        <v>67</v>
      </c>
      <c r="AY211" s="5" t="s">
        <v>67</v>
      </c>
      <c r="AZ211" s="5" t="s">
        <v>67</v>
      </c>
      <c r="BA211" s="3">
        <v>2146189112</v>
      </c>
      <c r="BD211" s="3">
        <v>2146189005</v>
      </c>
      <c r="BF211" s="5" t="s">
        <v>1969</v>
      </c>
      <c r="BG211" s="5" t="s">
        <v>1970</v>
      </c>
      <c r="BH211" s="5" t="s">
        <v>1971</v>
      </c>
      <c r="BI211" s="5" t="s">
        <v>210</v>
      </c>
      <c r="BJ211" s="5" t="s">
        <v>1972</v>
      </c>
      <c r="BK211" s="5" t="s">
        <v>1973</v>
      </c>
      <c r="BL211" s="5" t="s">
        <v>1974</v>
      </c>
      <c r="BM211" s="5" t="s">
        <v>67</v>
      </c>
      <c r="BN211" s="5" t="s">
        <v>1975</v>
      </c>
      <c r="BO211" s="5" t="s">
        <v>67</v>
      </c>
    </row>
    <row r="212" spans="1:67" ht="210" x14ac:dyDescent="0.25">
      <c r="A212" s="3">
        <v>2146189118</v>
      </c>
      <c r="B212" s="4">
        <v>42858</v>
      </c>
      <c r="E212" s="3">
        <v>2146189121</v>
      </c>
      <c r="F212" s="3">
        <v>2146189000</v>
      </c>
      <c r="G212" s="3">
        <v>2146189000</v>
      </c>
      <c r="H212" s="5" t="s">
        <v>1976</v>
      </c>
      <c r="I212" s="3" t="b">
        <v>1</v>
      </c>
      <c r="J212" s="3" t="b">
        <v>0</v>
      </c>
      <c r="K212" s="3" t="b">
        <v>0</v>
      </c>
      <c r="L212" s="3" t="b">
        <v>0</v>
      </c>
      <c r="M212" s="3" t="b">
        <v>0</v>
      </c>
      <c r="N212" s="3" t="b">
        <v>0</v>
      </c>
      <c r="O212" s="3" t="b">
        <v>0</v>
      </c>
      <c r="P212" s="3" t="b">
        <v>0</v>
      </c>
      <c r="Q212" s="3" t="b">
        <v>1</v>
      </c>
      <c r="R212" s="3" t="s">
        <v>1977</v>
      </c>
      <c r="S212" s="5" t="s">
        <v>1978</v>
      </c>
      <c r="T212" s="3" t="b">
        <v>0</v>
      </c>
      <c r="U212" s="3" t="b">
        <v>1</v>
      </c>
      <c r="V212" s="5" t="s">
        <v>1979</v>
      </c>
      <c r="W212" s="5" t="s">
        <v>1980</v>
      </c>
      <c r="X212" s="3" t="b">
        <v>0</v>
      </c>
      <c r="Y212" s="3" t="b">
        <v>0</v>
      </c>
      <c r="Z212" s="3" t="b">
        <v>0</v>
      </c>
      <c r="AA212" s="3" t="b">
        <v>0</v>
      </c>
      <c r="AB212" s="5" t="s">
        <v>1981</v>
      </c>
      <c r="AC212" s="5" t="s">
        <v>67</v>
      </c>
      <c r="AD212" s="5" t="s">
        <v>67</v>
      </c>
      <c r="AE212" s="5" t="s">
        <v>67</v>
      </c>
      <c r="AF212" s="5" t="s">
        <v>1982</v>
      </c>
      <c r="AG212" s="5" t="s">
        <v>67</v>
      </c>
      <c r="AH212" s="5" t="s">
        <v>1983</v>
      </c>
      <c r="AI212" s="5" t="s">
        <v>67</v>
      </c>
      <c r="AJ212" s="5" t="s">
        <v>67</v>
      </c>
      <c r="AK212" s="5" t="s">
        <v>1984</v>
      </c>
      <c r="AL212" s="5" t="s">
        <v>67</v>
      </c>
      <c r="AM212" s="5" t="s">
        <v>1979</v>
      </c>
      <c r="AN212" s="5" t="s">
        <v>67</v>
      </c>
      <c r="AO212" s="5" t="s">
        <v>67</v>
      </c>
      <c r="AP212" s="5" t="s">
        <v>67</v>
      </c>
      <c r="AQ212" s="5" t="s">
        <v>67</v>
      </c>
      <c r="AR212" s="5" t="s">
        <v>67</v>
      </c>
      <c r="AW212" s="5" t="s">
        <v>67</v>
      </c>
      <c r="AX212" s="5" t="s">
        <v>67</v>
      </c>
      <c r="AY212" s="5" t="s">
        <v>67</v>
      </c>
      <c r="AZ212" s="5" t="s">
        <v>67</v>
      </c>
      <c r="BA212" s="3">
        <v>2146189119</v>
      </c>
      <c r="BD212" s="3">
        <v>2146189120</v>
      </c>
      <c r="BE212" s="3">
        <v>2146189120</v>
      </c>
      <c r="BF212" s="5" t="s">
        <v>1985</v>
      </c>
      <c r="BG212" s="5" t="s">
        <v>1986</v>
      </c>
      <c r="BH212" s="5" t="s">
        <v>1987</v>
      </c>
      <c r="BI212" s="5" t="s">
        <v>74</v>
      </c>
      <c r="BJ212" s="5" t="s">
        <v>1988</v>
      </c>
      <c r="BK212" s="5" t="s">
        <v>1989</v>
      </c>
      <c r="BL212" s="5" t="s">
        <v>1990</v>
      </c>
      <c r="BM212" s="5" t="s">
        <v>1991</v>
      </c>
      <c r="BN212" s="5" t="s">
        <v>1992</v>
      </c>
      <c r="BO212" s="5" t="s">
        <v>67</v>
      </c>
    </row>
    <row r="213" spans="1:67" x14ac:dyDescent="0.25">
      <c r="A213" s="3">
        <v>2146189129</v>
      </c>
      <c r="B213" s="4">
        <v>41584.618946759299</v>
      </c>
      <c r="C213" s="3">
        <v>2146189129</v>
      </c>
      <c r="G213" s="3">
        <v>2146189129</v>
      </c>
      <c r="H213" s="5" t="s">
        <v>67</v>
      </c>
      <c r="I213" s="3" t="b">
        <v>0</v>
      </c>
      <c r="J213" s="3" t="b">
        <v>0</v>
      </c>
      <c r="K213" s="3" t="b">
        <v>0</v>
      </c>
      <c r="L213" s="3" t="b">
        <v>0</v>
      </c>
      <c r="M213" s="3" t="b">
        <v>0</v>
      </c>
      <c r="N213" s="3" t="b">
        <v>0</v>
      </c>
      <c r="O213" s="3" t="b">
        <v>0</v>
      </c>
      <c r="P213" s="3" t="b">
        <v>0</v>
      </c>
      <c r="Q213" s="3" t="b">
        <v>0</v>
      </c>
      <c r="R213" s="3" t="s">
        <v>67</v>
      </c>
      <c r="S213" s="5" t="s">
        <v>67</v>
      </c>
      <c r="T213" s="3" t="b">
        <v>0</v>
      </c>
      <c r="U213" s="3" t="b">
        <v>0</v>
      </c>
      <c r="V213" s="5" t="s">
        <v>67</v>
      </c>
      <c r="W213" s="5" t="s">
        <v>67</v>
      </c>
      <c r="X213" s="3" t="b">
        <v>0</v>
      </c>
      <c r="Y213" s="3" t="b">
        <v>0</v>
      </c>
      <c r="Z213" s="3" t="b">
        <v>0</v>
      </c>
      <c r="AA213" s="3" t="b">
        <v>0</v>
      </c>
      <c r="AB213" s="5" t="s">
        <v>67</v>
      </c>
      <c r="AC213" s="5" t="s">
        <v>67</v>
      </c>
      <c r="AD213" s="5" t="s">
        <v>67</v>
      </c>
      <c r="AE213" s="5" t="s">
        <v>67</v>
      </c>
      <c r="AF213" s="5" t="s">
        <v>67</v>
      </c>
      <c r="AG213" s="5" t="s">
        <v>67</v>
      </c>
      <c r="AH213" s="5" t="s">
        <v>67</v>
      </c>
      <c r="AI213" s="5" t="s">
        <v>67</v>
      </c>
      <c r="AJ213" s="5" t="s">
        <v>67</v>
      </c>
      <c r="AK213" s="5" t="s">
        <v>67</v>
      </c>
      <c r="AL213" s="5" t="s">
        <v>67</v>
      </c>
      <c r="AM213" s="5" t="s">
        <v>67</v>
      </c>
      <c r="AN213" s="5" t="s">
        <v>67</v>
      </c>
      <c r="AO213" s="5" t="s">
        <v>67</v>
      </c>
      <c r="AP213" s="5" t="s">
        <v>67</v>
      </c>
      <c r="AQ213" s="5" t="s">
        <v>67</v>
      </c>
      <c r="AR213" s="5" t="s">
        <v>67</v>
      </c>
      <c r="AW213" s="5" t="s">
        <v>67</v>
      </c>
      <c r="AX213" s="5" t="s">
        <v>67</v>
      </c>
      <c r="AY213" s="5" t="s">
        <v>67</v>
      </c>
      <c r="AZ213" s="5" t="s">
        <v>67</v>
      </c>
      <c r="BF213" s="5" t="s">
        <v>67</v>
      </c>
      <c r="BG213" s="5" t="s">
        <v>67</v>
      </c>
      <c r="BH213" s="5" t="s">
        <v>67</v>
      </c>
      <c r="BI213" s="5" t="s">
        <v>67</v>
      </c>
      <c r="BJ213" s="5" t="s">
        <v>67</v>
      </c>
      <c r="BK213" s="5" t="s">
        <v>67</v>
      </c>
      <c r="BL213" s="5" t="s">
        <v>67</v>
      </c>
      <c r="BM213" s="5" t="s">
        <v>67</v>
      </c>
      <c r="BN213" s="5" t="s">
        <v>67</v>
      </c>
      <c r="BO213" s="5" t="s">
        <v>67</v>
      </c>
    </row>
    <row r="214" spans="1:67" ht="285" x14ac:dyDescent="0.25">
      <c r="A214" s="3">
        <v>2146189159</v>
      </c>
      <c r="B214" s="4">
        <v>42843</v>
      </c>
      <c r="C214" s="3">
        <v>2146189196</v>
      </c>
      <c r="H214" s="5" t="s">
        <v>67</v>
      </c>
      <c r="I214" s="3" t="b">
        <v>0</v>
      </c>
      <c r="J214" s="3" t="b">
        <v>0</v>
      </c>
      <c r="K214" s="3" t="b">
        <v>0</v>
      </c>
      <c r="L214" s="3" t="b">
        <v>1</v>
      </c>
      <c r="M214" s="3" t="b">
        <v>1</v>
      </c>
      <c r="N214" s="3" t="b">
        <v>0</v>
      </c>
      <c r="O214" s="3" t="b">
        <v>0</v>
      </c>
      <c r="P214" s="3" t="b">
        <v>0</v>
      </c>
      <c r="Q214" s="3" t="b">
        <v>0</v>
      </c>
      <c r="R214" s="3" t="s">
        <v>67</v>
      </c>
      <c r="S214" s="5" t="s">
        <v>1993</v>
      </c>
      <c r="T214" s="3" t="b">
        <v>0</v>
      </c>
      <c r="U214" s="3" t="b">
        <v>1</v>
      </c>
      <c r="V214" s="5" t="s">
        <v>67</v>
      </c>
      <c r="W214" s="5" t="s">
        <v>67</v>
      </c>
      <c r="X214" s="3" t="b">
        <v>0</v>
      </c>
      <c r="Y214" s="3" t="b">
        <v>0</v>
      </c>
      <c r="Z214" s="3" t="b">
        <v>0</v>
      </c>
      <c r="AA214" s="3" t="b">
        <v>0</v>
      </c>
      <c r="AB214" s="5" t="s">
        <v>1994</v>
      </c>
      <c r="AC214" s="5" t="s">
        <v>67</v>
      </c>
      <c r="AD214" s="5" t="s">
        <v>67</v>
      </c>
      <c r="AE214" s="5" t="s">
        <v>67</v>
      </c>
      <c r="AF214" s="5" t="s">
        <v>1995</v>
      </c>
      <c r="AG214" s="5" t="s">
        <v>67</v>
      </c>
      <c r="AH214" s="5" t="s">
        <v>1996</v>
      </c>
      <c r="AI214" s="5" t="s">
        <v>67</v>
      </c>
      <c r="AJ214" s="5" t="s">
        <v>515</v>
      </c>
      <c r="AK214" s="5" t="s">
        <v>1773</v>
      </c>
      <c r="AL214" s="5" t="s">
        <v>515</v>
      </c>
      <c r="AM214" s="5" t="s">
        <v>1997</v>
      </c>
      <c r="AN214" s="5" t="s">
        <v>67</v>
      </c>
      <c r="AO214" s="5" t="s">
        <v>67</v>
      </c>
      <c r="AP214" s="5" t="s">
        <v>67</v>
      </c>
      <c r="AQ214" s="5" t="s">
        <v>67</v>
      </c>
      <c r="AR214" s="5" t="s">
        <v>67</v>
      </c>
      <c r="AS214" s="3">
        <v>2146189824</v>
      </c>
      <c r="AT214" s="3">
        <v>2146189714</v>
      </c>
      <c r="AU214" s="3">
        <v>-509124961</v>
      </c>
      <c r="AW214" s="5" t="s">
        <v>67</v>
      </c>
      <c r="AX214" s="5" t="s">
        <v>67</v>
      </c>
      <c r="AY214" s="5" t="s">
        <v>67</v>
      </c>
      <c r="AZ214" s="5" t="s">
        <v>67</v>
      </c>
      <c r="BA214" s="3">
        <v>2146189197</v>
      </c>
      <c r="BD214" s="3">
        <v>2146188981</v>
      </c>
      <c r="BF214" s="5" t="s">
        <v>67</v>
      </c>
      <c r="BG214" s="5" t="s">
        <v>1998</v>
      </c>
      <c r="BH214" s="5" t="s">
        <v>1999</v>
      </c>
      <c r="BI214" s="5" t="s">
        <v>210</v>
      </c>
      <c r="BJ214" s="5" t="s">
        <v>67</v>
      </c>
      <c r="BK214" s="5" t="s">
        <v>2000</v>
      </c>
      <c r="BL214" s="5" t="s">
        <v>2001</v>
      </c>
      <c r="BM214" s="5" t="s">
        <v>67</v>
      </c>
      <c r="BN214" s="5" t="s">
        <v>67</v>
      </c>
      <c r="BO214" s="5" t="s">
        <v>67</v>
      </c>
    </row>
    <row r="215" spans="1:67" x14ac:dyDescent="0.25">
      <c r="A215" s="3">
        <v>2146189167</v>
      </c>
      <c r="B215" s="4">
        <v>41786</v>
      </c>
      <c r="C215" s="3">
        <v>1143082632</v>
      </c>
      <c r="G215" s="3">
        <v>2146189168</v>
      </c>
      <c r="H215" s="5" t="s">
        <v>67</v>
      </c>
      <c r="I215" s="3" t="b">
        <v>0</v>
      </c>
      <c r="J215" s="3" t="b">
        <v>0</v>
      </c>
      <c r="K215" s="3" t="b">
        <v>0</v>
      </c>
      <c r="L215" s="3" t="b">
        <v>0</v>
      </c>
      <c r="M215" s="3" t="b">
        <v>0</v>
      </c>
      <c r="N215" s="3" t="b">
        <v>0</v>
      </c>
      <c r="O215" s="3" t="b">
        <v>0</v>
      </c>
      <c r="P215" s="3" t="b">
        <v>0</v>
      </c>
      <c r="Q215" s="3" t="b">
        <v>0</v>
      </c>
      <c r="R215" s="3" t="s">
        <v>67</v>
      </c>
      <c r="S215" s="5" t="s">
        <v>67</v>
      </c>
      <c r="T215" s="3" t="b">
        <v>0</v>
      </c>
      <c r="U215" s="3" t="b">
        <v>0</v>
      </c>
      <c r="V215" s="5" t="s">
        <v>67</v>
      </c>
      <c r="W215" s="5" t="s">
        <v>67</v>
      </c>
      <c r="X215" s="3" t="b">
        <v>0</v>
      </c>
      <c r="Y215" s="3" t="b">
        <v>0</v>
      </c>
      <c r="Z215" s="3" t="b">
        <v>0</v>
      </c>
      <c r="AA215" s="3" t="b">
        <v>0</v>
      </c>
      <c r="AB215" s="5" t="s">
        <v>67</v>
      </c>
      <c r="AC215" s="5" t="s">
        <v>67</v>
      </c>
      <c r="AD215" s="5" t="s">
        <v>67</v>
      </c>
      <c r="AE215" s="5" t="s">
        <v>67</v>
      </c>
      <c r="AF215" s="5" t="s">
        <v>67</v>
      </c>
      <c r="AG215" s="5" t="s">
        <v>67</v>
      </c>
      <c r="AH215" s="5" t="s">
        <v>67</v>
      </c>
      <c r="AI215" s="5" t="s">
        <v>67</v>
      </c>
      <c r="AJ215" s="5" t="s">
        <v>67</v>
      </c>
      <c r="AK215" s="5" t="s">
        <v>67</v>
      </c>
      <c r="AL215" s="5" t="s">
        <v>67</v>
      </c>
      <c r="AM215" s="5" t="s">
        <v>67</v>
      </c>
      <c r="AN215" s="5" t="s">
        <v>67</v>
      </c>
      <c r="AO215" s="5" t="s">
        <v>67</v>
      </c>
      <c r="AP215" s="5" t="s">
        <v>67</v>
      </c>
      <c r="AQ215" s="5" t="s">
        <v>67</v>
      </c>
      <c r="AR215" s="5" t="s">
        <v>67</v>
      </c>
      <c r="AS215" s="3">
        <v>2146189163</v>
      </c>
      <c r="AW215" s="5" t="s">
        <v>67</v>
      </c>
      <c r="AX215" s="5" t="s">
        <v>67</v>
      </c>
      <c r="AY215" s="5" t="s">
        <v>67</v>
      </c>
      <c r="AZ215" s="5" t="s">
        <v>67</v>
      </c>
      <c r="BA215" s="3">
        <v>2146189169</v>
      </c>
      <c r="BD215" s="3">
        <v>2146189082</v>
      </c>
      <c r="BF215" s="5" t="s">
        <v>67</v>
      </c>
      <c r="BG215" s="5" t="s">
        <v>67</v>
      </c>
      <c r="BH215" s="5" t="s">
        <v>67</v>
      </c>
      <c r="BI215" s="5" t="s">
        <v>67</v>
      </c>
      <c r="BJ215" s="5" t="s">
        <v>67</v>
      </c>
      <c r="BK215" s="5" t="s">
        <v>67</v>
      </c>
      <c r="BL215" s="5" t="s">
        <v>67</v>
      </c>
      <c r="BM215" s="5" t="s">
        <v>67</v>
      </c>
      <c r="BN215" s="5" t="s">
        <v>67</v>
      </c>
      <c r="BO215" s="5" t="s">
        <v>67</v>
      </c>
    </row>
    <row r="216" spans="1:67" ht="360" x14ac:dyDescent="0.25">
      <c r="A216" s="3">
        <v>2146189179</v>
      </c>
      <c r="B216" s="4">
        <v>42933</v>
      </c>
      <c r="C216" s="3">
        <v>2146189189</v>
      </c>
      <c r="F216" s="3">
        <v>2146189000</v>
      </c>
      <c r="G216" s="3">
        <v>2146189000</v>
      </c>
      <c r="H216" s="5" t="s">
        <v>2002</v>
      </c>
      <c r="I216" s="3" t="b">
        <v>1</v>
      </c>
      <c r="J216" s="3" t="b">
        <v>0</v>
      </c>
      <c r="K216" s="3" t="b">
        <v>0</v>
      </c>
      <c r="L216" s="3" t="b">
        <v>0</v>
      </c>
      <c r="M216" s="3" t="b">
        <v>0</v>
      </c>
      <c r="N216" s="3" t="b">
        <v>1</v>
      </c>
      <c r="O216" s="3" t="b">
        <v>1</v>
      </c>
      <c r="P216" s="3" t="b">
        <v>1</v>
      </c>
      <c r="Q216" s="3" t="b">
        <v>0</v>
      </c>
      <c r="R216" s="3" t="s">
        <v>2003</v>
      </c>
      <c r="S216" s="5" t="s">
        <v>2004</v>
      </c>
      <c r="T216" s="3" t="b">
        <v>0</v>
      </c>
      <c r="U216" s="3" t="b">
        <v>0</v>
      </c>
      <c r="V216" s="5" t="s">
        <v>2005</v>
      </c>
      <c r="W216" s="5" t="s">
        <v>2006</v>
      </c>
      <c r="X216" s="3" t="b">
        <v>0</v>
      </c>
      <c r="Y216" s="3" t="b">
        <v>0</v>
      </c>
      <c r="Z216" s="3" t="b">
        <v>0</v>
      </c>
      <c r="AA216" s="3" t="b">
        <v>0</v>
      </c>
      <c r="AB216" s="5" t="s">
        <v>2007</v>
      </c>
      <c r="AC216" s="5" t="s">
        <v>2008</v>
      </c>
      <c r="AD216" s="5" t="s">
        <v>2009</v>
      </c>
      <c r="AE216" s="5" t="s">
        <v>67</v>
      </c>
      <c r="AF216" s="5" t="s">
        <v>2010</v>
      </c>
      <c r="AG216" s="5" t="s">
        <v>67</v>
      </c>
      <c r="AH216" s="5" t="s">
        <v>2011</v>
      </c>
      <c r="AI216" s="5" t="s">
        <v>67</v>
      </c>
      <c r="AJ216" s="5" t="s">
        <v>67</v>
      </c>
      <c r="AK216" s="5" t="s">
        <v>2012</v>
      </c>
      <c r="AL216" s="5" t="s">
        <v>67</v>
      </c>
      <c r="AM216" s="5" t="s">
        <v>2013</v>
      </c>
      <c r="AN216" s="5" t="s">
        <v>67</v>
      </c>
      <c r="AO216" s="5" t="s">
        <v>2014</v>
      </c>
      <c r="AP216" s="5" t="s">
        <v>67</v>
      </c>
      <c r="AQ216" s="5" t="s">
        <v>912</v>
      </c>
      <c r="AR216" s="5" t="s">
        <v>67</v>
      </c>
      <c r="AW216" s="5" t="s">
        <v>67</v>
      </c>
      <c r="AX216" s="5" t="s">
        <v>67</v>
      </c>
      <c r="AY216" s="5" t="s">
        <v>67</v>
      </c>
      <c r="AZ216" s="5" t="s">
        <v>67</v>
      </c>
      <c r="BA216" s="3">
        <v>2146189227</v>
      </c>
      <c r="BD216" s="3">
        <v>2146188975</v>
      </c>
      <c r="BF216" s="5" t="s">
        <v>2015</v>
      </c>
      <c r="BG216" s="5" t="s">
        <v>2016</v>
      </c>
      <c r="BH216" s="5" t="s">
        <v>2017</v>
      </c>
      <c r="BI216" s="5" t="s">
        <v>210</v>
      </c>
      <c r="BJ216" s="5" t="s">
        <v>67</v>
      </c>
      <c r="BK216" s="5" t="s">
        <v>2018</v>
      </c>
      <c r="BL216" s="5" t="s">
        <v>2019</v>
      </c>
      <c r="BM216" s="5" t="s">
        <v>2020</v>
      </c>
      <c r="BN216" s="5" t="s">
        <v>2021</v>
      </c>
      <c r="BO216" s="5" t="s">
        <v>67</v>
      </c>
    </row>
    <row r="217" spans="1:67" ht="240" x14ac:dyDescent="0.25">
      <c r="A217" s="3">
        <v>2146189191</v>
      </c>
      <c r="B217" s="4">
        <v>41305</v>
      </c>
      <c r="C217" s="3">
        <v>2146189192</v>
      </c>
      <c r="F217" s="3">
        <v>1434</v>
      </c>
      <c r="H217" s="5" t="s">
        <v>2022</v>
      </c>
      <c r="I217" s="3" t="b">
        <v>1</v>
      </c>
      <c r="J217" s="3" t="b">
        <v>0</v>
      </c>
      <c r="K217" s="3" t="b">
        <v>0</v>
      </c>
      <c r="L217" s="3" t="b">
        <v>0</v>
      </c>
      <c r="M217" s="3" t="b">
        <v>0</v>
      </c>
      <c r="N217" s="3" t="b">
        <v>0</v>
      </c>
      <c r="O217" s="3" t="b">
        <v>0</v>
      </c>
      <c r="P217" s="3" t="b">
        <v>1</v>
      </c>
      <c r="Q217" s="3" t="b">
        <v>0</v>
      </c>
      <c r="R217" s="3" t="s">
        <v>2023</v>
      </c>
      <c r="S217" s="5" t="s">
        <v>2024</v>
      </c>
      <c r="T217" s="3" t="b">
        <v>0</v>
      </c>
      <c r="U217" s="3" t="b">
        <v>0</v>
      </c>
      <c r="V217" s="5" t="s">
        <v>67</v>
      </c>
      <c r="W217" s="5" t="s">
        <v>67</v>
      </c>
      <c r="X217" s="3" t="b">
        <v>0</v>
      </c>
      <c r="Y217" s="3" t="b">
        <v>0</v>
      </c>
      <c r="Z217" s="3" t="b">
        <v>0</v>
      </c>
      <c r="AA217" s="3" t="b">
        <v>0</v>
      </c>
      <c r="AB217" s="5" t="s">
        <v>2025</v>
      </c>
      <c r="AC217" s="5" t="s">
        <v>67</v>
      </c>
      <c r="AD217" s="5" t="s">
        <v>67</v>
      </c>
      <c r="AE217" s="5" t="s">
        <v>67</v>
      </c>
      <c r="AF217" s="5" t="s">
        <v>2026</v>
      </c>
      <c r="AG217" s="5" t="s">
        <v>2027</v>
      </c>
      <c r="AH217" s="5" t="s">
        <v>2028</v>
      </c>
      <c r="AI217" s="5" t="s">
        <v>67</v>
      </c>
      <c r="AJ217" s="5" t="s">
        <v>515</v>
      </c>
      <c r="AK217" s="5" t="s">
        <v>1773</v>
      </c>
      <c r="AL217" s="5" t="s">
        <v>1773</v>
      </c>
      <c r="AM217" s="5" t="s">
        <v>67</v>
      </c>
      <c r="AN217" s="5" t="s">
        <v>67</v>
      </c>
      <c r="AO217" s="5" t="s">
        <v>67</v>
      </c>
      <c r="AP217" s="5" t="s">
        <v>67</v>
      </c>
      <c r="AQ217" s="5" t="s">
        <v>67</v>
      </c>
      <c r="AR217" s="5" t="s">
        <v>67</v>
      </c>
      <c r="AW217" s="5" t="s">
        <v>67</v>
      </c>
      <c r="AX217" s="5" t="s">
        <v>67</v>
      </c>
      <c r="AY217" s="5" t="s">
        <v>67</v>
      </c>
      <c r="AZ217" s="5" t="s">
        <v>67</v>
      </c>
      <c r="BA217" s="3">
        <v>2146188977</v>
      </c>
      <c r="BD217" s="3">
        <v>2146188984</v>
      </c>
      <c r="BF217" s="5" t="s">
        <v>2029</v>
      </c>
      <c r="BG217" s="5" t="s">
        <v>2030</v>
      </c>
      <c r="BH217" s="5" t="s">
        <v>213</v>
      </c>
      <c r="BI217" s="5" t="s">
        <v>74</v>
      </c>
      <c r="BJ217" s="5" t="s">
        <v>213</v>
      </c>
      <c r="BK217" s="5" t="s">
        <v>67</v>
      </c>
      <c r="BL217" s="5" t="s">
        <v>2031</v>
      </c>
      <c r="BM217" s="5" t="s">
        <v>67</v>
      </c>
      <c r="BN217" s="5" t="s">
        <v>2032</v>
      </c>
      <c r="BO217" s="5" t="s">
        <v>67</v>
      </c>
    </row>
    <row r="218" spans="1:67" ht="225" x14ac:dyDescent="0.25">
      <c r="A218" s="3">
        <v>2146189203</v>
      </c>
      <c r="B218" s="4">
        <v>41766</v>
      </c>
      <c r="F218" s="3">
        <v>2146189000</v>
      </c>
      <c r="H218" s="5" t="s">
        <v>2033</v>
      </c>
      <c r="I218" s="3" t="b">
        <v>1</v>
      </c>
      <c r="J218" s="3" t="b">
        <v>0</v>
      </c>
      <c r="K218" s="3" t="b">
        <v>0</v>
      </c>
      <c r="L218" s="3" t="b">
        <v>0</v>
      </c>
      <c r="M218" s="3" t="b">
        <v>1</v>
      </c>
      <c r="N218" s="3" t="b">
        <v>0</v>
      </c>
      <c r="O218" s="3" t="b">
        <v>0</v>
      </c>
      <c r="P218" s="3" t="b">
        <v>0</v>
      </c>
      <c r="Q218" s="3" t="b">
        <v>0</v>
      </c>
      <c r="R218" s="3" t="s">
        <v>2034</v>
      </c>
      <c r="S218" s="5" t="s">
        <v>2035</v>
      </c>
      <c r="T218" s="3" t="b">
        <v>0</v>
      </c>
      <c r="U218" s="3" t="b">
        <v>1</v>
      </c>
      <c r="V218" s="5" t="s">
        <v>2036</v>
      </c>
      <c r="W218" s="5" t="s">
        <v>67</v>
      </c>
      <c r="X218" s="3" t="b">
        <v>0</v>
      </c>
      <c r="Y218" s="3" t="b">
        <v>0</v>
      </c>
      <c r="Z218" s="3" t="b">
        <v>0</v>
      </c>
      <c r="AA218" s="3" t="b">
        <v>0</v>
      </c>
      <c r="AB218" s="5" t="s">
        <v>2037</v>
      </c>
      <c r="AC218" s="5" t="s">
        <v>67</v>
      </c>
      <c r="AD218" s="5" t="s">
        <v>67</v>
      </c>
      <c r="AE218" s="5" t="s">
        <v>67</v>
      </c>
      <c r="AF218" s="5" t="s">
        <v>2038</v>
      </c>
      <c r="AG218" s="5" t="s">
        <v>67</v>
      </c>
      <c r="AH218" s="5" t="s">
        <v>573</v>
      </c>
      <c r="AI218" s="5" t="s">
        <v>67</v>
      </c>
      <c r="AJ218" s="5" t="s">
        <v>2039</v>
      </c>
      <c r="AK218" s="5" t="s">
        <v>67</v>
      </c>
      <c r="AL218" s="5" t="s">
        <v>67</v>
      </c>
      <c r="AM218" s="5" t="s">
        <v>573</v>
      </c>
      <c r="AN218" s="5" t="s">
        <v>67</v>
      </c>
      <c r="AO218" s="5" t="s">
        <v>2040</v>
      </c>
      <c r="AP218" s="5" t="s">
        <v>2041</v>
      </c>
      <c r="AQ218" s="5" t="s">
        <v>67</v>
      </c>
      <c r="AR218" s="5" t="s">
        <v>67</v>
      </c>
      <c r="AW218" s="5" t="s">
        <v>67</v>
      </c>
      <c r="AX218" s="5" t="s">
        <v>67</v>
      </c>
      <c r="AY218" s="5" t="s">
        <v>67</v>
      </c>
      <c r="AZ218" s="5" t="s">
        <v>67</v>
      </c>
      <c r="BD218" s="3">
        <v>2146189004</v>
      </c>
      <c r="BF218" s="5" t="s">
        <v>2042</v>
      </c>
      <c r="BG218" s="5" t="s">
        <v>2043</v>
      </c>
      <c r="BH218" s="5" t="s">
        <v>67</v>
      </c>
      <c r="BI218" s="5" t="s">
        <v>210</v>
      </c>
      <c r="BJ218" s="5" t="s">
        <v>67</v>
      </c>
      <c r="BK218" s="5" t="s">
        <v>2044</v>
      </c>
      <c r="BL218" s="5" t="s">
        <v>573</v>
      </c>
      <c r="BM218" s="5" t="s">
        <v>67</v>
      </c>
      <c r="BN218" s="5" t="s">
        <v>67</v>
      </c>
      <c r="BO218" s="5" t="s">
        <v>67</v>
      </c>
    </row>
    <row r="219" spans="1:67" x14ac:dyDescent="0.25">
      <c r="A219" s="3">
        <v>2146189217</v>
      </c>
      <c r="B219" s="4">
        <v>41340</v>
      </c>
      <c r="H219" s="5" t="s">
        <v>67</v>
      </c>
      <c r="I219" s="3" t="b">
        <v>0</v>
      </c>
      <c r="J219" s="3" t="b">
        <v>0</v>
      </c>
      <c r="K219" s="3" t="b">
        <v>0</v>
      </c>
      <c r="L219" s="3" t="b">
        <v>0</v>
      </c>
      <c r="M219" s="3" t="b">
        <v>0</v>
      </c>
      <c r="N219" s="3" t="b">
        <v>0</v>
      </c>
      <c r="O219" s="3" t="b">
        <v>0</v>
      </c>
      <c r="P219" s="3" t="b">
        <v>0</v>
      </c>
      <c r="Q219" s="3" t="b">
        <v>0</v>
      </c>
      <c r="R219" s="3" t="s">
        <v>67</v>
      </c>
      <c r="S219" s="5" t="s">
        <v>67</v>
      </c>
      <c r="T219" s="3" t="b">
        <v>0</v>
      </c>
      <c r="U219" s="3" t="b">
        <v>0</v>
      </c>
      <c r="V219" s="5" t="s">
        <v>67</v>
      </c>
      <c r="W219" s="5" t="s">
        <v>67</v>
      </c>
      <c r="X219" s="3" t="b">
        <v>0</v>
      </c>
      <c r="Y219" s="3" t="b">
        <v>0</v>
      </c>
      <c r="Z219" s="3" t="b">
        <v>0</v>
      </c>
      <c r="AA219" s="3" t="b">
        <v>0</v>
      </c>
      <c r="AB219" s="5" t="s">
        <v>67</v>
      </c>
      <c r="AC219" s="5" t="s">
        <v>67</v>
      </c>
      <c r="AD219" s="5" t="s">
        <v>67</v>
      </c>
      <c r="AE219" s="5" t="s">
        <v>67</v>
      </c>
      <c r="AF219" s="5" t="s">
        <v>67</v>
      </c>
      <c r="AG219" s="5" t="s">
        <v>67</v>
      </c>
      <c r="AH219" s="5" t="s">
        <v>67</v>
      </c>
      <c r="AI219" s="5" t="s">
        <v>67</v>
      </c>
      <c r="AJ219" s="5" t="s">
        <v>67</v>
      </c>
      <c r="AK219" s="5" t="s">
        <v>67</v>
      </c>
      <c r="AL219" s="5" t="s">
        <v>67</v>
      </c>
      <c r="AM219" s="5" t="s">
        <v>67</v>
      </c>
      <c r="AN219" s="5" t="s">
        <v>67</v>
      </c>
      <c r="AO219" s="5" t="s">
        <v>67</v>
      </c>
      <c r="AP219" s="5" t="s">
        <v>67</v>
      </c>
      <c r="AQ219" s="5" t="s">
        <v>67</v>
      </c>
      <c r="AR219" s="5" t="s">
        <v>67</v>
      </c>
      <c r="AW219" s="5" t="s">
        <v>67</v>
      </c>
      <c r="AX219" s="5" t="s">
        <v>67</v>
      </c>
      <c r="AY219" s="5" t="s">
        <v>67</v>
      </c>
      <c r="AZ219" s="5" t="s">
        <v>67</v>
      </c>
      <c r="BF219" s="5" t="s">
        <v>67</v>
      </c>
      <c r="BG219" s="5" t="s">
        <v>67</v>
      </c>
      <c r="BH219" s="5" t="s">
        <v>67</v>
      </c>
      <c r="BI219" s="5" t="s">
        <v>67</v>
      </c>
      <c r="BJ219" s="5" t="s">
        <v>67</v>
      </c>
      <c r="BK219" s="5" t="s">
        <v>67</v>
      </c>
      <c r="BL219" s="5" t="s">
        <v>67</v>
      </c>
      <c r="BM219" s="5" t="s">
        <v>67</v>
      </c>
      <c r="BN219" s="5" t="s">
        <v>67</v>
      </c>
      <c r="BO219" s="5" t="s">
        <v>67</v>
      </c>
    </row>
    <row r="220" spans="1:67" ht="285" x14ac:dyDescent="0.25">
      <c r="A220" s="3">
        <v>2146189218</v>
      </c>
      <c r="B220" s="4">
        <v>42657</v>
      </c>
      <c r="C220" s="3">
        <v>2146189273</v>
      </c>
      <c r="F220" s="3">
        <v>2146189000</v>
      </c>
      <c r="H220" s="5" t="s">
        <v>67</v>
      </c>
      <c r="I220" s="3" t="b">
        <v>1</v>
      </c>
      <c r="J220" s="3" t="b">
        <v>0</v>
      </c>
      <c r="K220" s="3" t="b">
        <v>1</v>
      </c>
      <c r="L220" s="3" t="b">
        <v>0</v>
      </c>
      <c r="M220" s="3" t="b">
        <v>1</v>
      </c>
      <c r="N220" s="3" t="b">
        <v>0</v>
      </c>
      <c r="O220" s="3" t="b">
        <v>0</v>
      </c>
      <c r="P220" s="3" t="b">
        <v>0</v>
      </c>
      <c r="Q220" s="3" t="b">
        <v>0</v>
      </c>
      <c r="R220" s="3" t="s">
        <v>2045</v>
      </c>
      <c r="S220" s="5" t="s">
        <v>2046</v>
      </c>
      <c r="T220" s="3" t="b">
        <v>0</v>
      </c>
      <c r="U220" s="3" t="b">
        <v>1</v>
      </c>
      <c r="V220" s="5" t="s">
        <v>2047</v>
      </c>
      <c r="W220" s="5" t="s">
        <v>2048</v>
      </c>
      <c r="X220" s="3" t="b">
        <v>0</v>
      </c>
      <c r="Y220" s="3" t="b">
        <v>0</v>
      </c>
      <c r="Z220" s="3" t="b">
        <v>0</v>
      </c>
      <c r="AA220" s="3" t="b">
        <v>0</v>
      </c>
      <c r="AB220" s="5" t="s">
        <v>2049</v>
      </c>
      <c r="AC220" s="5" t="s">
        <v>67</v>
      </c>
      <c r="AD220" s="5" t="s">
        <v>67</v>
      </c>
      <c r="AE220" s="5" t="s">
        <v>67</v>
      </c>
      <c r="AF220" s="5" t="s">
        <v>2050</v>
      </c>
      <c r="AG220" s="5" t="s">
        <v>2051</v>
      </c>
      <c r="AH220" s="5" t="s">
        <v>2052</v>
      </c>
      <c r="AI220" s="5" t="s">
        <v>67</v>
      </c>
      <c r="AJ220" s="5" t="s">
        <v>67</v>
      </c>
      <c r="AK220" s="5" t="s">
        <v>67</v>
      </c>
      <c r="AL220" s="5" t="s">
        <v>67</v>
      </c>
      <c r="AM220" s="5" t="s">
        <v>2053</v>
      </c>
      <c r="AN220" s="5" t="s">
        <v>67</v>
      </c>
      <c r="AO220" s="5" t="s">
        <v>67</v>
      </c>
      <c r="AP220" s="5" t="s">
        <v>67</v>
      </c>
      <c r="AQ220" s="5" t="s">
        <v>67</v>
      </c>
      <c r="AR220" s="5" t="s">
        <v>67</v>
      </c>
      <c r="AW220" s="5" t="s">
        <v>67</v>
      </c>
      <c r="AX220" s="5" t="s">
        <v>67</v>
      </c>
      <c r="AY220" s="5" t="s">
        <v>67</v>
      </c>
      <c r="AZ220" s="5" t="s">
        <v>67</v>
      </c>
      <c r="BA220" s="3">
        <v>2146189227</v>
      </c>
      <c r="BB220" s="3">
        <v>2146189014</v>
      </c>
      <c r="BD220" s="3">
        <v>2146189275</v>
      </c>
      <c r="BF220" s="5" t="s">
        <v>2054</v>
      </c>
      <c r="BG220" s="5" t="s">
        <v>2055</v>
      </c>
      <c r="BH220" s="5" t="s">
        <v>67</v>
      </c>
      <c r="BI220" s="5" t="s">
        <v>141</v>
      </c>
      <c r="BJ220" s="5" t="s">
        <v>67</v>
      </c>
      <c r="BK220" s="5" t="s">
        <v>2053</v>
      </c>
      <c r="BL220" s="5" t="s">
        <v>2053</v>
      </c>
      <c r="BM220" s="5" t="s">
        <v>67</v>
      </c>
      <c r="BN220" s="5" t="s">
        <v>2056</v>
      </c>
      <c r="BO220" s="5" t="s">
        <v>67</v>
      </c>
    </row>
    <row r="221" spans="1:67" x14ac:dyDescent="0.25">
      <c r="A221" s="3">
        <v>2146189219</v>
      </c>
      <c r="B221" s="4">
        <v>42405</v>
      </c>
      <c r="H221" s="5" t="s">
        <v>67</v>
      </c>
      <c r="I221" s="3" t="b">
        <v>0</v>
      </c>
      <c r="J221" s="3" t="b">
        <v>0</v>
      </c>
      <c r="K221" s="3" t="b">
        <v>0</v>
      </c>
      <c r="L221" s="3" t="b">
        <v>0</v>
      </c>
      <c r="M221" s="3" t="b">
        <v>0</v>
      </c>
      <c r="N221" s="3" t="b">
        <v>0</v>
      </c>
      <c r="O221" s="3" t="b">
        <v>0</v>
      </c>
      <c r="P221" s="3" t="b">
        <v>0</v>
      </c>
      <c r="Q221" s="3" t="b">
        <v>0</v>
      </c>
      <c r="R221" s="3" t="s">
        <v>67</v>
      </c>
      <c r="S221" s="5" t="s">
        <v>67</v>
      </c>
      <c r="T221" s="3" t="b">
        <v>0</v>
      </c>
      <c r="U221" s="3" t="b">
        <v>0</v>
      </c>
      <c r="V221" s="5" t="s">
        <v>67</v>
      </c>
      <c r="W221" s="5" t="s">
        <v>67</v>
      </c>
      <c r="X221" s="3" t="b">
        <v>0</v>
      </c>
      <c r="Y221" s="3" t="b">
        <v>0</v>
      </c>
      <c r="Z221" s="3" t="b">
        <v>0</v>
      </c>
      <c r="AA221" s="3" t="b">
        <v>0</v>
      </c>
      <c r="AB221" s="5" t="s">
        <v>67</v>
      </c>
      <c r="AC221" s="5" t="s">
        <v>67</v>
      </c>
      <c r="AD221" s="5" t="s">
        <v>67</v>
      </c>
      <c r="AE221" s="5" t="s">
        <v>67</v>
      </c>
      <c r="AF221" s="5" t="s">
        <v>67</v>
      </c>
      <c r="AG221" s="5" t="s">
        <v>67</v>
      </c>
      <c r="AH221" s="5" t="s">
        <v>67</v>
      </c>
      <c r="AI221" s="5" t="s">
        <v>67</v>
      </c>
      <c r="AJ221" s="5" t="s">
        <v>67</v>
      </c>
      <c r="AK221" s="5" t="s">
        <v>67</v>
      </c>
      <c r="AL221" s="5" t="s">
        <v>67</v>
      </c>
      <c r="AM221" s="5" t="s">
        <v>67</v>
      </c>
      <c r="AN221" s="5" t="s">
        <v>67</v>
      </c>
      <c r="AO221" s="5" t="s">
        <v>67</v>
      </c>
      <c r="AP221" s="5" t="s">
        <v>67</v>
      </c>
      <c r="AQ221" s="5" t="s">
        <v>67</v>
      </c>
      <c r="AR221" s="5" t="s">
        <v>67</v>
      </c>
      <c r="AW221" s="5" t="s">
        <v>67</v>
      </c>
      <c r="AX221" s="5" t="s">
        <v>67</v>
      </c>
      <c r="AY221" s="5" t="s">
        <v>67</v>
      </c>
      <c r="AZ221" s="5" t="s">
        <v>67</v>
      </c>
      <c r="BF221" s="5" t="s">
        <v>67</v>
      </c>
      <c r="BG221" s="5" t="s">
        <v>67</v>
      </c>
      <c r="BH221" s="5" t="s">
        <v>67</v>
      </c>
      <c r="BI221" s="5" t="s">
        <v>67</v>
      </c>
      <c r="BJ221" s="5" t="s">
        <v>67</v>
      </c>
      <c r="BK221" s="5" t="s">
        <v>67</v>
      </c>
      <c r="BL221" s="5" t="s">
        <v>67</v>
      </c>
      <c r="BM221" s="5" t="s">
        <v>67</v>
      </c>
      <c r="BN221" s="5" t="s">
        <v>67</v>
      </c>
      <c r="BO221" s="5" t="s">
        <v>67</v>
      </c>
    </row>
    <row r="222" spans="1:67" ht="75" x14ac:dyDescent="0.25">
      <c r="A222" s="3">
        <v>2146189224</v>
      </c>
      <c r="B222" s="4">
        <v>41340</v>
      </c>
      <c r="C222" s="3">
        <v>2146189223</v>
      </c>
      <c r="H222" s="5" t="s">
        <v>67</v>
      </c>
      <c r="I222" s="3" t="b">
        <v>0</v>
      </c>
      <c r="J222" s="3" t="b">
        <v>0</v>
      </c>
      <c r="K222" s="3" t="b">
        <v>0</v>
      </c>
      <c r="L222" s="3" t="b">
        <v>0</v>
      </c>
      <c r="M222" s="3" t="b">
        <v>1</v>
      </c>
      <c r="N222" s="3" t="b">
        <v>0</v>
      </c>
      <c r="O222" s="3" t="b">
        <v>0</v>
      </c>
      <c r="P222" s="3" t="b">
        <v>0</v>
      </c>
      <c r="Q222" s="3" t="b">
        <v>0</v>
      </c>
      <c r="R222" s="3" t="s">
        <v>67</v>
      </c>
      <c r="S222" s="5" t="s">
        <v>67</v>
      </c>
      <c r="T222" s="3" t="b">
        <v>0</v>
      </c>
      <c r="U222" s="3" t="b">
        <v>1</v>
      </c>
      <c r="V222" s="5" t="s">
        <v>67</v>
      </c>
      <c r="W222" s="5" t="s">
        <v>2057</v>
      </c>
      <c r="X222" s="3" t="b">
        <v>0</v>
      </c>
      <c r="Y222" s="3" t="b">
        <v>0</v>
      </c>
      <c r="Z222" s="3" t="b">
        <v>0</v>
      </c>
      <c r="AA222" s="3" t="b">
        <v>0</v>
      </c>
      <c r="AB222" s="5" t="s">
        <v>2058</v>
      </c>
      <c r="AC222" s="5" t="s">
        <v>67</v>
      </c>
      <c r="AD222" s="5" t="s">
        <v>67</v>
      </c>
      <c r="AE222" s="5" t="s">
        <v>67</v>
      </c>
      <c r="AF222" s="5" t="s">
        <v>2059</v>
      </c>
      <c r="AG222" s="5" t="s">
        <v>67</v>
      </c>
      <c r="AH222" s="5" t="s">
        <v>2060</v>
      </c>
      <c r="AI222" s="5" t="s">
        <v>67</v>
      </c>
      <c r="AJ222" s="5" t="s">
        <v>118</v>
      </c>
      <c r="AK222" s="5" t="s">
        <v>118</v>
      </c>
      <c r="AL222" s="5" t="s">
        <v>118</v>
      </c>
      <c r="AM222" s="5" t="s">
        <v>67</v>
      </c>
      <c r="AN222" s="5" t="s">
        <v>67</v>
      </c>
      <c r="AO222" s="5" t="s">
        <v>67</v>
      </c>
      <c r="AP222" s="5" t="s">
        <v>67</v>
      </c>
      <c r="AQ222" s="5" t="s">
        <v>67</v>
      </c>
      <c r="AR222" s="5" t="s">
        <v>67</v>
      </c>
      <c r="AS222" s="3">
        <v>1229346852</v>
      </c>
      <c r="AW222" s="5" t="s">
        <v>67</v>
      </c>
      <c r="AX222" s="5" t="s">
        <v>67</v>
      </c>
      <c r="AY222" s="5" t="s">
        <v>67</v>
      </c>
      <c r="AZ222" s="5" t="s">
        <v>67</v>
      </c>
      <c r="BF222" s="5" t="s">
        <v>67</v>
      </c>
      <c r="BG222" s="5" t="s">
        <v>1776</v>
      </c>
      <c r="BH222" s="5" t="s">
        <v>380</v>
      </c>
      <c r="BI222" s="5" t="s">
        <v>67</v>
      </c>
      <c r="BJ222" s="5" t="s">
        <v>380</v>
      </c>
      <c r="BK222" s="5" t="s">
        <v>2061</v>
      </c>
      <c r="BL222" s="5" t="s">
        <v>380</v>
      </c>
      <c r="BM222" s="5" t="s">
        <v>67</v>
      </c>
      <c r="BN222" s="5" t="s">
        <v>118</v>
      </c>
      <c r="BO222" s="5" t="s">
        <v>67</v>
      </c>
    </row>
    <row r="223" spans="1:67" ht="225" x14ac:dyDescent="0.25">
      <c r="A223" s="3">
        <v>2146189226</v>
      </c>
      <c r="B223" s="4">
        <v>42503</v>
      </c>
      <c r="F223" s="3">
        <v>2146189000</v>
      </c>
      <c r="H223" s="5" t="s">
        <v>2062</v>
      </c>
      <c r="I223" s="3" t="b">
        <v>1</v>
      </c>
      <c r="J223" s="3" t="b">
        <v>0</v>
      </c>
      <c r="K223" s="3" t="b">
        <v>0</v>
      </c>
      <c r="L223" s="3" t="b">
        <v>0</v>
      </c>
      <c r="M223" s="3" t="b">
        <v>0</v>
      </c>
      <c r="N223" s="3" t="b">
        <v>0</v>
      </c>
      <c r="O223" s="3" t="b">
        <v>0</v>
      </c>
      <c r="P223" s="3" t="b">
        <v>1</v>
      </c>
      <c r="Q223" s="3" t="b">
        <v>0</v>
      </c>
      <c r="R223" s="3" t="s">
        <v>2063</v>
      </c>
      <c r="S223" s="5" t="s">
        <v>91</v>
      </c>
      <c r="T223" s="3" t="b">
        <v>0</v>
      </c>
      <c r="U223" s="3" t="b">
        <v>0</v>
      </c>
      <c r="V223" s="5" t="s">
        <v>2064</v>
      </c>
      <c r="W223" s="5" t="s">
        <v>2065</v>
      </c>
      <c r="X223" s="3" t="b">
        <v>0</v>
      </c>
      <c r="Y223" s="3" t="b">
        <v>0</v>
      </c>
      <c r="Z223" s="3" t="b">
        <v>0</v>
      </c>
      <c r="AA223" s="3" t="b">
        <v>1</v>
      </c>
      <c r="AB223" s="5" t="s">
        <v>2066</v>
      </c>
      <c r="AC223" s="5" t="s">
        <v>2067</v>
      </c>
      <c r="AD223" s="5" t="s">
        <v>67</v>
      </c>
      <c r="AE223" s="5" t="s">
        <v>2068</v>
      </c>
      <c r="AF223" s="5" t="s">
        <v>2069</v>
      </c>
      <c r="AG223" s="5" t="s">
        <v>2070</v>
      </c>
      <c r="AH223" s="5" t="s">
        <v>2071</v>
      </c>
      <c r="AI223" s="5" t="s">
        <v>67</v>
      </c>
      <c r="AJ223" s="5" t="s">
        <v>2072</v>
      </c>
      <c r="AK223" s="5" t="s">
        <v>67</v>
      </c>
      <c r="AL223" s="5" t="s">
        <v>67</v>
      </c>
      <c r="AM223" s="5" t="s">
        <v>67</v>
      </c>
      <c r="AN223" s="5" t="s">
        <v>67</v>
      </c>
      <c r="AO223" s="5" t="s">
        <v>67</v>
      </c>
      <c r="AP223" s="5" t="s">
        <v>67</v>
      </c>
      <c r="AQ223" s="5" t="s">
        <v>67</v>
      </c>
      <c r="AR223" s="5" t="s">
        <v>67</v>
      </c>
      <c r="AW223" s="5" t="s">
        <v>67</v>
      </c>
      <c r="AX223" s="5" t="s">
        <v>67</v>
      </c>
      <c r="AY223" s="5" t="s">
        <v>67</v>
      </c>
      <c r="AZ223" s="5" t="s">
        <v>67</v>
      </c>
      <c r="BA223" s="3">
        <v>2146189227</v>
      </c>
      <c r="BD223" s="3">
        <v>2146188974</v>
      </c>
      <c r="BF223" s="5" t="s">
        <v>2073</v>
      </c>
      <c r="BG223" s="5" t="s">
        <v>2074</v>
      </c>
      <c r="BH223" s="5" t="s">
        <v>2075</v>
      </c>
      <c r="BI223" s="5" t="s">
        <v>74</v>
      </c>
      <c r="BJ223" s="5" t="s">
        <v>67</v>
      </c>
      <c r="BK223" s="5" t="s">
        <v>2076</v>
      </c>
      <c r="BL223" s="5" t="s">
        <v>2077</v>
      </c>
      <c r="BM223" s="5" t="s">
        <v>67</v>
      </c>
      <c r="BN223" s="5" t="s">
        <v>2078</v>
      </c>
      <c r="BO223" s="5" t="s">
        <v>67</v>
      </c>
    </row>
    <row r="224" spans="1:67" x14ac:dyDescent="0.25">
      <c r="A224" s="3">
        <v>2146189272</v>
      </c>
      <c r="B224" s="4">
        <v>42299</v>
      </c>
      <c r="H224" s="5" t="s">
        <v>67</v>
      </c>
      <c r="I224" s="3" t="b">
        <v>0</v>
      </c>
      <c r="J224" s="3" t="b">
        <v>0</v>
      </c>
      <c r="K224" s="3" t="b">
        <v>0</v>
      </c>
      <c r="L224" s="3" t="b">
        <v>0</v>
      </c>
      <c r="M224" s="3" t="b">
        <v>0</v>
      </c>
      <c r="N224" s="3" t="b">
        <v>0</v>
      </c>
      <c r="O224" s="3" t="b">
        <v>0</v>
      </c>
      <c r="P224" s="3" t="b">
        <v>0</v>
      </c>
      <c r="Q224" s="3" t="b">
        <v>0</v>
      </c>
      <c r="R224" s="3" t="s">
        <v>67</v>
      </c>
      <c r="S224" s="5" t="s">
        <v>67</v>
      </c>
      <c r="T224" s="3" t="b">
        <v>0</v>
      </c>
      <c r="U224" s="3" t="b">
        <v>0</v>
      </c>
      <c r="V224" s="5" t="s">
        <v>67</v>
      </c>
      <c r="W224" s="5" t="s">
        <v>67</v>
      </c>
      <c r="X224" s="3" t="b">
        <v>0</v>
      </c>
      <c r="Y224" s="3" t="b">
        <v>0</v>
      </c>
      <c r="Z224" s="3" t="b">
        <v>0</v>
      </c>
      <c r="AA224" s="3" t="b">
        <v>0</v>
      </c>
      <c r="AB224" s="5" t="s">
        <v>67</v>
      </c>
      <c r="AC224" s="5" t="s">
        <v>67</v>
      </c>
      <c r="AD224" s="5" t="s">
        <v>67</v>
      </c>
      <c r="AE224" s="5" t="s">
        <v>67</v>
      </c>
      <c r="AF224" s="5" t="s">
        <v>67</v>
      </c>
      <c r="AG224" s="5" t="s">
        <v>67</v>
      </c>
      <c r="AH224" s="5" t="s">
        <v>67</v>
      </c>
      <c r="AI224" s="5" t="s">
        <v>67</v>
      </c>
      <c r="AJ224" s="5" t="s">
        <v>67</v>
      </c>
      <c r="AK224" s="5" t="s">
        <v>67</v>
      </c>
      <c r="AL224" s="5" t="s">
        <v>67</v>
      </c>
      <c r="AM224" s="5" t="s">
        <v>67</v>
      </c>
      <c r="AN224" s="5" t="s">
        <v>67</v>
      </c>
      <c r="AO224" s="5" t="s">
        <v>67</v>
      </c>
      <c r="AP224" s="5" t="s">
        <v>67</v>
      </c>
      <c r="AQ224" s="5" t="s">
        <v>67</v>
      </c>
      <c r="AR224" s="5" t="s">
        <v>67</v>
      </c>
      <c r="AW224" s="5" t="s">
        <v>67</v>
      </c>
      <c r="AX224" s="5" t="s">
        <v>67</v>
      </c>
      <c r="AY224" s="5" t="s">
        <v>67</v>
      </c>
      <c r="AZ224" s="5" t="s">
        <v>67</v>
      </c>
      <c r="BF224" s="5" t="s">
        <v>67</v>
      </c>
      <c r="BG224" s="5" t="s">
        <v>67</v>
      </c>
      <c r="BH224" s="5" t="s">
        <v>67</v>
      </c>
      <c r="BI224" s="5" t="s">
        <v>67</v>
      </c>
      <c r="BJ224" s="5" t="s">
        <v>67</v>
      </c>
      <c r="BK224" s="5" t="s">
        <v>67</v>
      </c>
      <c r="BL224" s="5" t="s">
        <v>67</v>
      </c>
      <c r="BM224" s="5" t="s">
        <v>67</v>
      </c>
      <c r="BN224" s="5" t="s">
        <v>67</v>
      </c>
      <c r="BO224" s="5" t="s">
        <v>67</v>
      </c>
    </row>
    <row r="225" spans="1:67" ht="105" x14ac:dyDescent="0.25">
      <c r="A225" s="3">
        <v>2146189287</v>
      </c>
      <c r="B225" s="4">
        <v>42142</v>
      </c>
      <c r="C225" s="3">
        <v>2146189286</v>
      </c>
      <c r="E225" s="3">
        <v>2146189288</v>
      </c>
      <c r="H225" s="5" t="s">
        <v>2079</v>
      </c>
      <c r="I225" s="3" t="b">
        <v>0</v>
      </c>
      <c r="J225" s="3" t="b">
        <v>0</v>
      </c>
      <c r="K225" s="3" t="b">
        <v>1</v>
      </c>
      <c r="L225" s="3" t="b">
        <v>0</v>
      </c>
      <c r="M225" s="3" t="b">
        <v>1</v>
      </c>
      <c r="N225" s="3" t="b">
        <v>0</v>
      </c>
      <c r="O225" s="3" t="b">
        <v>0</v>
      </c>
      <c r="P225" s="3" t="b">
        <v>0</v>
      </c>
      <c r="Q225" s="3" t="b">
        <v>0</v>
      </c>
      <c r="R225" s="3" t="s">
        <v>2080</v>
      </c>
      <c r="S225" s="5" t="s">
        <v>1712</v>
      </c>
      <c r="T225" s="3" t="b">
        <v>0</v>
      </c>
      <c r="U225" s="3" t="b">
        <v>0</v>
      </c>
      <c r="V225" s="5" t="s">
        <v>2053</v>
      </c>
      <c r="W225" s="5" t="s">
        <v>67</v>
      </c>
      <c r="X225" s="3" t="b">
        <v>0</v>
      </c>
      <c r="Y225" s="3" t="b">
        <v>0</v>
      </c>
      <c r="Z225" s="3" t="b">
        <v>0</v>
      </c>
      <c r="AA225" s="3" t="b">
        <v>0</v>
      </c>
      <c r="AB225" s="5" t="s">
        <v>67</v>
      </c>
      <c r="AC225" s="5" t="s">
        <v>2081</v>
      </c>
      <c r="AD225" s="5" t="s">
        <v>67</v>
      </c>
      <c r="AE225" s="5" t="s">
        <v>67</v>
      </c>
      <c r="AF225" s="5" t="s">
        <v>2082</v>
      </c>
      <c r="AG225" s="5" t="s">
        <v>2083</v>
      </c>
      <c r="AH225" s="5" t="s">
        <v>67</v>
      </c>
      <c r="AI225" s="5" t="s">
        <v>67</v>
      </c>
      <c r="AJ225" s="5" t="s">
        <v>2084</v>
      </c>
      <c r="AK225" s="5" t="s">
        <v>2085</v>
      </c>
      <c r="AL225" s="5" t="s">
        <v>2086</v>
      </c>
      <c r="AM225" s="5" t="s">
        <v>2087</v>
      </c>
      <c r="AN225" s="5" t="s">
        <v>67</v>
      </c>
      <c r="AO225" s="5" t="s">
        <v>67</v>
      </c>
      <c r="AP225" s="5" t="s">
        <v>67</v>
      </c>
      <c r="AQ225" s="5" t="s">
        <v>67</v>
      </c>
      <c r="AR225" s="5" t="s">
        <v>67</v>
      </c>
      <c r="AW225" s="5" t="s">
        <v>67</v>
      </c>
      <c r="AX225" s="5" t="s">
        <v>67</v>
      </c>
      <c r="AY225" s="5" t="s">
        <v>67</v>
      </c>
      <c r="AZ225" s="5" t="s">
        <v>67</v>
      </c>
      <c r="BA225" s="3">
        <v>107</v>
      </c>
      <c r="BD225" s="3">
        <v>2146188984</v>
      </c>
      <c r="BF225" s="5" t="s">
        <v>2088</v>
      </c>
      <c r="BG225" s="5" t="s">
        <v>2089</v>
      </c>
      <c r="BH225" s="5" t="s">
        <v>2090</v>
      </c>
      <c r="BI225" s="5" t="s">
        <v>210</v>
      </c>
      <c r="BJ225" s="5" t="s">
        <v>67</v>
      </c>
      <c r="BK225" s="5" t="s">
        <v>2053</v>
      </c>
      <c r="BL225" s="5" t="s">
        <v>2053</v>
      </c>
      <c r="BM225" s="5" t="s">
        <v>67</v>
      </c>
      <c r="BN225" s="5" t="s">
        <v>67</v>
      </c>
      <c r="BO225" s="5" t="s">
        <v>67</v>
      </c>
    </row>
    <row r="226" spans="1:67" ht="409.5" x14ac:dyDescent="0.25">
      <c r="A226" s="3">
        <v>2146189295</v>
      </c>
      <c r="B226" s="4">
        <v>42391</v>
      </c>
      <c r="C226" s="3">
        <v>2146189297</v>
      </c>
      <c r="G226" s="3">
        <v>2146189297</v>
      </c>
      <c r="H226" s="5" t="s">
        <v>67</v>
      </c>
      <c r="I226" s="3" t="b">
        <v>0</v>
      </c>
      <c r="J226" s="3" t="b">
        <v>0</v>
      </c>
      <c r="K226" s="3" t="b">
        <v>1</v>
      </c>
      <c r="L226" s="3" t="b">
        <v>0</v>
      </c>
      <c r="M226" s="3" t="b">
        <v>0</v>
      </c>
      <c r="N226" s="3" t="b">
        <v>0</v>
      </c>
      <c r="O226" s="3" t="b">
        <v>0</v>
      </c>
      <c r="P226" s="3" t="b">
        <v>1</v>
      </c>
      <c r="Q226" s="3" t="b">
        <v>1</v>
      </c>
      <c r="R226" s="3" t="s">
        <v>2091</v>
      </c>
      <c r="S226" s="5" t="s">
        <v>67</v>
      </c>
      <c r="T226" s="3" t="b">
        <v>0</v>
      </c>
      <c r="U226" s="3" t="b">
        <v>1</v>
      </c>
      <c r="V226" s="5" t="s">
        <v>2092</v>
      </c>
      <c r="W226" s="5" t="s">
        <v>2093</v>
      </c>
      <c r="X226" s="3" t="b">
        <v>0</v>
      </c>
      <c r="Y226" s="3" t="b">
        <v>0</v>
      </c>
      <c r="Z226" s="3" t="b">
        <v>0</v>
      </c>
      <c r="AA226" s="3" t="b">
        <v>1</v>
      </c>
      <c r="AB226" s="5" t="s">
        <v>2094</v>
      </c>
      <c r="AC226" s="5" t="s">
        <v>67</v>
      </c>
      <c r="AD226" s="5" t="s">
        <v>2095</v>
      </c>
      <c r="AE226" s="5" t="s">
        <v>2096</v>
      </c>
      <c r="AF226" s="5" t="s">
        <v>2097</v>
      </c>
      <c r="AG226" s="5" t="s">
        <v>67</v>
      </c>
      <c r="AH226" s="5" t="s">
        <v>2098</v>
      </c>
      <c r="AI226" s="5" t="s">
        <v>67</v>
      </c>
      <c r="AJ226" s="5" t="s">
        <v>67</v>
      </c>
      <c r="AK226" s="5" t="s">
        <v>67</v>
      </c>
      <c r="AL226" s="5" t="s">
        <v>67</v>
      </c>
      <c r="AM226" s="5" t="s">
        <v>67</v>
      </c>
      <c r="AN226" s="5" t="s">
        <v>67</v>
      </c>
      <c r="AO226" s="5" t="s">
        <v>2099</v>
      </c>
      <c r="AP226" s="5" t="s">
        <v>67</v>
      </c>
      <c r="AQ226" s="5" t="s">
        <v>67</v>
      </c>
      <c r="AR226" s="5" t="s">
        <v>67</v>
      </c>
      <c r="AS226" s="3">
        <v>1176728538</v>
      </c>
      <c r="AT226" s="3">
        <v>2146189402</v>
      </c>
      <c r="AU226" s="3">
        <v>2146189568</v>
      </c>
      <c r="AW226" s="5" t="s">
        <v>67</v>
      </c>
      <c r="AX226" s="5" t="s">
        <v>67</v>
      </c>
      <c r="AY226" s="5" t="s">
        <v>67</v>
      </c>
      <c r="AZ226" s="5" t="s">
        <v>67</v>
      </c>
      <c r="BA226" s="3">
        <v>2146189112</v>
      </c>
      <c r="BD226" s="3">
        <v>2146188969</v>
      </c>
      <c r="BF226" s="5" t="s">
        <v>2100</v>
      </c>
      <c r="BG226" s="5" t="s">
        <v>2101</v>
      </c>
      <c r="BH226" s="5" t="s">
        <v>515</v>
      </c>
      <c r="BI226" s="5" t="s">
        <v>74</v>
      </c>
      <c r="BJ226" s="5" t="s">
        <v>663</v>
      </c>
      <c r="BK226" s="5" t="s">
        <v>2102</v>
      </c>
      <c r="BL226" s="5" t="s">
        <v>2103</v>
      </c>
      <c r="BM226" s="5" t="s">
        <v>67</v>
      </c>
      <c r="BN226" s="5" t="s">
        <v>118</v>
      </c>
      <c r="BO226" s="5" t="s">
        <v>67</v>
      </c>
    </row>
    <row r="227" spans="1:67" x14ac:dyDescent="0.25">
      <c r="A227" s="3">
        <v>2146189297</v>
      </c>
      <c r="B227" s="4">
        <v>41432</v>
      </c>
      <c r="H227" s="5" t="s">
        <v>67</v>
      </c>
      <c r="I227" s="3" t="b">
        <v>0</v>
      </c>
      <c r="J227" s="3" t="b">
        <v>0</v>
      </c>
      <c r="K227" s="3" t="b">
        <v>0</v>
      </c>
      <c r="L227" s="3" t="b">
        <v>0</v>
      </c>
      <c r="M227" s="3" t="b">
        <v>0</v>
      </c>
      <c r="N227" s="3" t="b">
        <v>0</v>
      </c>
      <c r="O227" s="3" t="b">
        <v>0</v>
      </c>
      <c r="P227" s="3" t="b">
        <v>0</v>
      </c>
      <c r="Q227" s="3" t="b">
        <v>0</v>
      </c>
      <c r="R227" s="3" t="s">
        <v>67</v>
      </c>
      <c r="S227" s="5" t="s">
        <v>67</v>
      </c>
      <c r="T227" s="3" t="b">
        <v>0</v>
      </c>
      <c r="U227" s="3" t="b">
        <v>1</v>
      </c>
      <c r="V227" s="5" t="s">
        <v>67</v>
      </c>
      <c r="W227" s="5" t="s">
        <v>67</v>
      </c>
      <c r="X227" s="3" t="b">
        <v>0</v>
      </c>
      <c r="Y227" s="3" t="b">
        <v>0</v>
      </c>
      <c r="Z227" s="3" t="b">
        <v>0</v>
      </c>
      <c r="AA227" s="3" t="b">
        <v>0</v>
      </c>
      <c r="AB227" s="5" t="s">
        <v>67</v>
      </c>
      <c r="AC227" s="5" t="s">
        <v>67</v>
      </c>
      <c r="AD227" s="5" t="s">
        <v>67</v>
      </c>
      <c r="AE227" s="5" t="s">
        <v>67</v>
      </c>
      <c r="AF227" s="5" t="s">
        <v>67</v>
      </c>
      <c r="AG227" s="5" t="s">
        <v>67</v>
      </c>
      <c r="AH227" s="5" t="s">
        <v>67</v>
      </c>
      <c r="AI227" s="5" t="s">
        <v>67</v>
      </c>
      <c r="AJ227" s="5" t="s">
        <v>67</v>
      </c>
      <c r="AK227" s="5" t="s">
        <v>67</v>
      </c>
      <c r="AL227" s="5" t="s">
        <v>67</v>
      </c>
      <c r="AM227" s="5" t="s">
        <v>67</v>
      </c>
      <c r="AN227" s="5" t="s">
        <v>67</v>
      </c>
      <c r="AO227" s="5" t="s">
        <v>67</v>
      </c>
      <c r="AP227" s="5" t="s">
        <v>67</v>
      </c>
      <c r="AQ227" s="5" t="s">
        <v>67</v>
      </c>
      <c r="AR227" s="5" t="s">
        <v>67</v>
      </c>
      <c r="AW227" s="5" t="s">
        <v>67</v>
      </c>
      <c r="AX227" s="5" t="s">
        <v>67</v>
      </c>
      <c r="AY227" s="5" t="s">
        <v>67</v>
      </c>
      <c r="AZ227" s="5" t="s">
        <v>67</v>
      </c>
      <c r="BF227" s="5" t="s">
        <v>67</v>
      </c>
      <c r="BG227" s="5" t="s">
        <v>67</v>
      </c>
      <c r="BH227" s="5" t="s">
        <v>67</v>
      </c>
      <c r="BI227" s="5" t="s">
        <v>67</v>
      </c>
      <c r="BJ227" s="5" t="s">
        <v>67</v>
      </c>
      <c r="BK227" s="5" t="s">
        <v>67</v>
      </c>
      <c r="BL227" s="5" t="s">
        <v>67</v>
      </c>
      <c r="BM227" s="5" t="s">
        <v>67</v>
      </c>
      <c r="BN227" s="5" t="s">
        <v>67</v>
      </c>
      <c r="BO227" s="5" t="s">
        <v>67</v>
      </c>
    </row>
    <row r="228" spans="1:67" x14ac:dyDescent="0.25">
      <c r="A228" s="3">
        <v>2146189312</v>
      </c>
      <c r="B228" s="4">
        <v>42447</v>
      </c>
      <c r="H228" s="5" t="s">
        <v>67</v>
      </c>
      <c r="I228" s="3" t="b">
        <v>0</v>
      </c>
      <c r="J228" s="3" t="b">
        <v>0</v>
      </c>
      <c r="K228" s="3" t="b">
        <v>0</v>
      </c>
      <c r="L228" s="3" t="b">
        <v>0</v>
      </c>
      <c r="M228" s="3" t="b">
        <v>0</v>
      </c>
      <c r="N228" s="3" t="b">
        <v>0</v>
      </c>
      <c r="O228" s="3" t="b">
        <v>0</v>
      </c>
      <c r="P228" s="3" t="b">
        <v>0</v>
      </c>
      <c r="Q228" s="3" t="b">
        <v>0</v>
      </c>
      <c r="R228" s="3" t="s">
        <v>67</v>
      </c>
      <c r="S228" s="5" t="s">
        <v>67</v>
      </c>
      <c r="T228" s="3" t="b">
        <v>0</v>
      </c>
      <c r="U228" s="3" t="b">
        <v>0</v>
      </c>
      <c r="V228" s="5" t="s">
        <v>67</v>
      </c>
      <c r="W228" s="5" t="s">
        <v>67</v>
      </c>
      <c r="X228" s="3" t="b">
        <v>0</v>
      </c>
      <c r="Y228" s="3" t="b">
        <v>0</v>
      </c>
      <c r="Z228" s="3" t="b">
        <v>0</v>
      </c>
      <c r="AA228" s="3" t="b">
        <v>0</v>
      </c>
      <c r="AB228" s="5" t="s">
        <v>67</v>
      </c>
      <c r="AC228" s="5" t="s">
        <v>67</v>
      </c>
      <c r="AD228" s="5" t="s">
        <v>67</v>
      </c>
      <c r="AE228" s="5" t="s">
        <v>67</v>
      </c>
      <c r="AF228" s="5" t="s">
        <v>67</v>
      </c>
      <c r="AG228" s="5" t="s">
        <v>67</v>
      </c>
      <c r="AH228" s="5" t="s">
        <v>67</v>
      </c>
      <c r="AI228" s="5" t="s">
        <v>67</v>
      </c>
      <c r="AJ228" s="5" t="s">
        <v>67</v>
      </c>
      <c r="AK228" s="5" t="s">
        <v>67</v>
      </c>
      <c r="AL228" s="5" t="s">
        <v>67</v>
      </c>
      <c r="AM228" s="5" t="s">
        <v>67</v>
      </c>
      <c r="AN228" s="5" t="s">
        <v>67</v>
      </c>
      <c r="AO228" s="5" t="s">
        <v>67</v>
      </c>
      <c r="AP228" s="5" t="s">
        <v>67</v>
      </c>
      <c r="AQ228" s="5" t="s">
        <v>67</v>
      </c>
      <c r="AR228" s="5" t="s">
        <v>67</v>
      </c>
      <c r="AW228" s="5" t="s">
        <v>67</v>
      </c>
      <c r="AX228" s="5" t="s">
        <v>67</v>
      </c>
      <c r="AY228" s="5" t="s">
        <v>67</v>
      </c>
      <c r="AZ228" s="5" t="s">
        <v>67</v>
      </c>
      <c r="BF228" s="5" t="s">
        <v>67</v>
      </c>
      <c r="BG228" s="5" t="s">
        <v>67</v>
      </c>
      <c r="BH228" s="5" t="s">
        <v>67</v>
      </c>
      <c r="BI228" s="5" t="s">
        <v>67</v>
      </c>
      <c r="BJ228" s="5" t="s">
        <v>67</v>
      </c>
      <c r="BK228" s="5" t="s">
        <v>67</v>
      </c>
      <c r="BL228" s="5" t="s">
        <v>67</v>
      </c>
      <c r="BM228" s="5" t="s">
        <v>67</v>
      </c>
      <c r="BN228" s="5" t="s">
        <v>67</v>
      </c>
      <c r="BO228" s="5" t="s">
        <v>67</v>
      </c>
    </row>
    <row r="229" spans="1:67" ht="409.5" x14ac:dyDescent="0.25">
      <c r="A229" s="3">
        <v>2146189323</v>
      </c>
      <c r="B229" s="4">
        <v>42954</v>
      </c>
      <c r="C229" s="3">
        <v>2146189379</v>
      </c>
      <c r="D229" s="3">
        <v>2146189775</v>
      </c>
      <c r="F229" s="3">
        <v>2146189128</v>
      </c>
      <c r="G229" s="3">
        <v>2146189379</v>
      </c>
      <c r="H229" s="5" t="s">
        <v>2104</v>
      </c>
      <c r="I229" s="3" t="b">
        <v>0</v>
      </c>
      <c r="J229" s="3" t="b">
        <v>0</v>
      </c>
      <c r="K229" s="3" t="b">
        <v>0</v>
      </c>
      <c r="L229" s="3" t="b">
        <v>1</v>
      </c>
      <c r="M229" s="3" t="b">
        <v>0</v>
      </c>
      <c r="N229" s="3" t="b">
        <v>1</v>
      </c>
      <c r="O229" s="3" t="b">
        <v>1</v>
      </c>
      <c r="P229" s="3" t="b">
        <v>1</v>
      </c>
      <c r="Q229" s="3" t="b">
        <v>0</v>
      </c>
      <c r="R229" s="3" t="s">
        <v>2105</v>
      </c>
      <c r="S229" s="5" t="s">
        <v>2106</v>
      </c>
      <c r="T229" s="3" t="b">
        <v>0</v>
      </c>
      <c r="U229" s="3" t="b">
        <v>1</v>
      </c>
      <c r="V229" s="5" t="s">
        <v>2107</v>
      </c>
      <c r="W229" s="5" t="s">
        <v>2108</v>
      </c>
      <c r="X229" s="3" t="b">
        <v>0</v>
      </c>
      <c r="Y229" s="3" t="b">
        <v>0</v>
      </c>
      <c r="Z229" s="3" t="b">
        <v>0</v>
      </c>
      <c r="AA229" s="3" t="b">
        <v>1</v>
      </c>
      <c r="AB229" s="5" t="s">
        <v>2109</v>
      </c>
      <c r="AC229" s="5" t="s">
        <v>2110</v>
      </c>
      <c r="AD229" s="5" t="s">
        <v>2111</v>
      </c>
      <c r="AE229" s="5" t="s">
        <v>2112</v>
      </c>
      <c r="AF229" s="5" t="s">
        <v>2113</v>
      </c>
      <c r="AG229" s="5" t="s">
        <v>2114</v>
      </c>
      <c r="AH229" s="5" t="s">
        <v>2115</v>
      </c>
      <c r="AI229" s="5" t="s">
        <v>2116</v>
      </c>
      <c r="AJ229" s="5" t="s">
        <v>380</v>
      </c>
      <c r="AK229" s="5" t="s">
        <v>2117</v>
      </c>
      <c r="AL229" s="5" t="s">
        <v>380</v>
      </c>
      <c r="AM229" s="5" t="s">
        <v>2118</v>
      </c>
      <c r="AN229" s="5" t="s">
        <v>2119</v>
      </c>
      <c r="AO229" s="5" t="s">
        <v>67</v>
      </c>
      <c r="AP229" s="5" t="s">
        <v>2120</v>
      </c>
      <c r="AQ229" s="5" t="s">
        <v>67</v>
      </c>
      <c r="AR229" s="5" t="s">
        <v>67</v>
      </c>
      <c r="AW229" s="5" t="s">
        <v>67</v>
      </c>
      <c r="AX229" s="5" t="s">
        <v>67</v>
      </c>
      <c r="AY229" s="5" t="s">
        <v>67</v>
      </c>
      <c r="AZ229" s="5" t="s">
        <v>67</v>
      </c>
      <c r="BA229" s="3">
        <v>107</v>
      </c>
      <c r="BD229" s="3">
        <v>2146188969</v>
      </c>
      <c r="BF229" s="5" t="s">
        <v>2121</v>
      </c>
      <c r="BG229" s="5" t="s">
        <v>1893</v>
      </c>
      <c r="BH229" s="5" t="s">
        <v>2122</v>
      </c>
      <c r="BI229" s="5" t="s">
        <v>74</v>
      </c>
      <c r="BJ229" s="5" t="s">
        <v>67</v>
      </c>
      <c r="BK229" s="5" t="s">
        <v>2123</v>
      </c>
      <c r="BL229" s="5" t="s">
        <v>2124</v>
      </c>
      <c r="BM229" s="5" t="s">
        <v>67</v>
      </c>
      <c r="BN229" s="5" t="s">
        <v>2125</v>
      </c>
      <c r="BO229" s="5" t="s">
        <v>2126</v>
      </c>
    </row>
    <row r="230" spans="1:67" ht="285" x14ac:dyDescent="0.25">
      <c r="A230" s="3">
        <v>2146189330</v>
      </c>
      <c r="B230" s="4">
        <v>42843</v>
      </c>
      <c r="C230" s="3">
        <v>1062145440</v>
      </c>
      <c r="G230" s="3">
        <v>2146189235</v>
      </c>
      <c r="H230" s="5" t="s">
        <v>67</v>
      </c>
      <c r="I230" s="3" t="b">
        <v>0</v>
      </c>
      <c r="J230" s="3" t="b">
        <v>0</v>
      </c>
      <c r="K230" s="3" t="b">
        <v>0</v>
      </c>
      <c r="L230" s="3" t="b">
        <v>1</v>
      </c>
      <c r="M230" s="3" t="b">
        <v>0</v>
      </c>
      <c r="N230" s="3" t="b">
        <v>0</v>
      </c>
      <c r="O230" s="3" t="b">
        <v>0</v>
      </c>
      <c r="P230" s="3" t="b">
        <v>1</v>
      </c>
      <c r="Q230" s="3" t="b">
        <v>0</v>
      </c>
      <c r="R230" s="3" t="s">
        <v>2127</v>
      </c>
      <c r="S230" s="5" t="s">
        <v>2128</v>
      </c>
      <c r="T230" s="3" t="b">
        <v>1</v>
      </c>
      <c r="U230" s="3" t="b">
        <v>1</v>
      </c>
      <c r="V230" s="5" t="s">
        <v>2129</v>
      </c>
      <c r="W230" s="5" t="s">
        <v>2130</v>
      </c>
      <c r="X230" s="3" t="b">
        <v>0</v>
      </c>
      <c r="Y230" s="3" t="b">
        <v>1</v>
      </c>
      <c r="Z230" s="3" t="b">
        <v>0</v>
      </c>
      <c r="AA230" s="3" t="b">
        <v>1</v>
      </c>
      <c r="AB230" s="5" t="s">
        <v>2131</v>
      </c>
      <c r="AC230" s="5" t="s">
        <v>2132</v>
      </c>
      <c r="AD230" s="5" t="s">
        <v>2133</v>
      </c>
      <c r="AE230" s="5" t="s">
        <v>67</v>
      </c>
      <c r="AF230" s="5" t="s">
        <v>67</v>
      </c>
      <c r="AG230" s="5" t="s">
        <v>2134</v>
      </c>
      <c r="AH230" s="5" t="s">
        <v>2135</v>
      </c>
      <c r="AI230" s="5" t="s">
        <v>67</v>
      </c>
      <c r="AJ230" s="5" t="s">
        <v>67</v>
      </c>
      <c r="AK230" s="5" t="s">
        <v>2136</v>
      </c>
      <c r="AL230" s="5" t="s">
        <v>67</v>
      </c>
      <c r="AM230" s="5" t="s">
        <v>67</v>
      </c>
      <c r="AN230" s="5" t="s">
        <v>2137</v>
      </c>
      <c r="AO230" s="5" t="s">
        <v>67</v>
      </c>
      <c r="AP230" s="5" t="s">
        <v>67</v>
      </c>
      <c r="AQ230" s="5" t="s">
        <v>67</v>
      </c>
      <c r="AR230" s="5" t="s">
        <v>67</v>
      </c>
      <c r="AS230" s="3">
        <v>2146189770</v>
      </c>
      <c r="AT230" s="3">
        <v>2146189714</v>
      </c>
      <c r="AU230" s="3">
        <v>2146189563</v>
      </c>
      <c r="AW230" s="5" t="s">
        <v>67</v>
      </c>
      <c r="AX230" s="5" t="s">
        <v>67</v>
      </c>
      <c r="AY230" s="5" t="s">
        <v>67</v>
      </c>
      <c r="AZ230" s="5" t="s">
        <v>67</v>
      </c>
      <c r="BD230" s="3">
        <v>2146188974</v>
      </c>
      <c r="BF230" s="5" t="s">
        <v>2138</v>
      </c>
      <c r="BG230" s="5" t="s">
        <v>97</v>
      </c>
      <c r="BH230" s="5" t="s">
        <v>2139</v>
      </c>
      <c r="BI230" s="5" t="s">
        <v>74</v>
      </c>
      <c r="BJ230" s="5" t="s">
        <v>67</v>
      </c>
      <c r="BK230" s="5" t="s">
        <v>2140</v>
      </c>
      <c r="BL230" s="5" t="s">
        <v>2141</v>
      </c>
      <c r="BM230" s="5" t="s">
        <v>67</v>
      </c>
      <c r="BN230" s="5" t="s">
        <v>67</v>
      </c>
      <c r="BO230" s="5" t="s">
        <v>67</v>
      </c>
    </row>
    <row r="231" spans="1:67" ht="300" x14ac:dyDescent="0.25">
      <c r="A231" s="3">
        <v>2146189333</v>
      </c>
      <c r="B231" s="4">
        <v>42255</v>
      </c>
      <c r="C231" s="3">
        <v>2146189439</v>
      </c>
      <c r="E231" s="3">
        <v>2146189439</v>
      </c>
      <c r="G231" s="3">
        <v>2146189439</v>
      </c>
      <c r="H231" s="5" t="s">
        <v>67</v>
      </c>
      <c r="I231" s="3" t="b">
        <v>0</v>
      </c>
      <c r="J231" s="3" t="b">
        <v>0</v>
      </c>
      <c r="K231" s="3" t="b">
        <v>0</v>
      </c>
      <c r="L231" s="3" t="b">
        <v>1</v>
      </c>
      <c r="M231" s="3" t="b">
        <v>1</v>
      </c>
      <c r="N231" s="3" t="b">
        <v>0</v>
      </c>
      <c r="O231" s="3" t="b">
        <v>0</v>
      </c>
      <c r="P231" s="3" t="b">
        <v>0</v>
      </c>
      <c r="Q231" s="3" t="b">
        <v>0</v>
      </c>
      <c r="R231" s="3" t="s">
        <v>213</v>
      </c>
      <c r="S231" s="5" t="s">
        <v>2142</v>
      </c>
      <c r="T231" s="3" t="b">
        <v>0</v>
      </c>
      <c r="U231" s="3" t="b">
        <v>0</v>
      </c>
      <c r="V231" s="5" t="s">
        <v>2143</v>
      </c>
      <c r="W231" s="5" t="s">
        <v>2144</v>
      </c>
      <c r="X231" s="3" t="b">
        <v>0</v>
      </c>
      <c r="Y231" s="3" t="b">
        <v>0</v>
      </c>
      <c r="Z231" s="3" t="b">
        <v>0</v>
      </c>
      <c r="AA231" s="3" t="b">
        <v>1</v>
      </c>
      <c r="AB231" s="5" t="s">
        <v>2145</v>
      </c>
      <c r="AC231" s="5" t="s">
        <v>67</v>
      </c>
      <c r="AD231" s="5" t="s">
        <v>67</v>
      </c>
      <c r="AE231" s="5" t="s">
        <v>67</v>
      </c>
      <c r="AF231" s="5" t="s">
        <v>2146</v>
      </c>
      <c r="AG231" s="5" t="s">
        <v>2147</v>
      </c>
      <c r="AH231" s="5" t="s">
        <v>2148</v>
      </c>
      <c r="AI231" s="5" t="s">
        <v>67</v>
      </c>
      <c r="AJ231" s="5" t="s">
        <v>67</v>
      </c>
      <c r="AK231" s="5" t="s">
        <v>67</v>
      </c>
      <c r="AL231" s="5" t="s">
        <v>67</v>
      </c>
      <c r="AM231" s="5" t="s">
        <v>67</v>
      </c>
      <c r="AN231" s="5" t="s">
        <v>67</v>
      </c>
      <c r="AO231" s="5" t="s">
        <v>67</v>
      </c>
      <c r="AP231" s="5" t="s">
        <v>67</v>
      </c>
      <c r="AQ231" s="5" t="s">
        <v>67</v>
      </c>
      <c r="AR231" s="5" t="s">
        <v>67</v>
      </c>
      <c r="AS231" s="3">
        <v>2146189526</v>
      </c>
      <c r="AT231" s="3">
        <v>2146189281</v>
      </c>
      <c r="AU231" s="3">
        <v>2146189436</v>
      </c>
      <c r="AW231" s="5" t="s">
        <v>67</v>
      </c>
      <c r="AX231" s="5" t="s">
        <v>67</v>
      </c>
      <c r="AY231" s="5" t="s">
        <v>67</v>
      </c>
      <c r="AZ231" s="5" t="s">
        <v>67</v>
      </c>
      <c r="BF231" s="5" t="s">
        <v>67</v>
      </c>
      <c r="BG231" s="5" t="s">
        <v>97</v>
      </c>
      <c r="BH231" s="5" t="s">
        <v>67</v>
      </c>
      <c r="BI231" s="5" t="s">
        <v>74</v>
      </c>
      <c r="BJ231" s="5" t="s">
        <v>2149</v>
      </c>
      <c r="BK231" s="5" t="s">
        <v>2150</v>
      </c>
      <c r="BL231" s="5" t="s">
        <v>2151</v>
      </c>
      <c r="BM231" s="5" t="s">
        <v>67</v>
      </c>
      <c r="BN231" s="5" t="s">
        <v>2152</v>
      </c>
      <c r="BO231" s="5" t="s">
        <v>67</v>
      </c>
    </row>
    <row r="232" spans="1:67" ht="90" x14ac:dyDescent="0.25">
      <c r="A232" s="3">
        <v>2146189335</v>
      </c>
      <c r="B232" s="4">
        <v>42241</v>
      </c>
      <c r="C232" s="3">
        <v>2146189524</v>
      </c>
      <c r="H232" s="5" t="s">
        <v>67</v>
      </c>
      <c r="I232" s="3" t="b">
        <v>0</v>
      </c>
      <c r="J232" s="3" t="b">
        <v>0</v>
      </c>
      <c r="K232" s="3" t="b">
        <v>1</v>
      </c>
      <c r="L232" s="3" t="b">
        <v>0</v>
      </c>
      <c r="M232" s="3" t="b">
        <v>0</v>
      </c>
      <c r="N232" s="3" t="b">
        <v>0</v>
      </c>
      <c r="O232" s="3" t="b">
        <v>0</v>
      </c>
      <c r="P232" s="3" t="b">
        <v>0</v>
      </c>
      <c r="Q232" s="3" t="b">
        <v>0</v>
      </c>
      <c r="R232" s="3" t="s">
        <v>67</v>
      </c>
      <c r="S232" s="5" t="s">
        <v>2153</v>
      </c>
      <c r="T232" s="3" t="b">
        <v>0</v>
      </c>
      <c r="U232" s="3" t="b">
        <v>1</v>
      </c>
      <c r="V232" s="5" t="s">
        <v>67</v>
      </c>
      <c r="W232" s="5" t="s">
        <v>67</v>
      </c>
      <c r="X232" s="3" t="b">
        <v>0</v>
      </c>
      <c r="Y232" s="3" t="b">
        <v>0</v>
      </c>
      <c r="Z232" s="3" t="b">
        <v>0</v>
      </c>
      <c r="AA232" s="3" t="b">
        <v>0</v>
      </c>
      <c r="AB232" s="5" t="s">
        <v>2154</v>
      </c>
      <c r="AC232" s="5" t="s">
        <v>67</v>
      </c>
      <c r="AD232" s="5" t="s">
        <v>67</v>
      </c>
      <c r="AE232" s="5" t="s">
        <v>67</v>
      </c>
      <c r="AF232" s="5" t="s">
        <v>67</v>
      </c>
      <c r="AG232" s="5" t="s">
        <v>67</v>
      </c>
      <c r="AH232" s="5" t="s">
        <v>2155</v>
      </c>
      <c r="AI232" s="5" t="s">
        <v>67</v>
      </c>
      <c r="AJ232" s="5" t="s">
        <v>67</v>
      </c>
      <c r="AK232" s="5" t="s">
        <v>67</v>
      </c>
      <c r="AL232" s="5" t="s">
        <v>67</v>
      </c>
      <c r="AM232" s="5" t="s">
        <v>67</v>
      </c>
      <c r="AN232" s="5" t="s">
        <v>67</v>
      </c>
      <c r="AO232" s="5" t="s">
        <v>67</v>
      </c>
      <c r="AP232" s="5" t="s">
        <v>67</v>
      </c>
      <c r="AQ232" s="5" t="s">
        <v>67</v>
      </c>
      <c r="AR232" s="5" t="s">
        <v>67</v>
      </c>
      <c r="AW232" s="5" t="s">
        <v>67</v>
      </c>
      <c r="AX232" s="5" t="s">
        <v>67</v>
      </c>
      <c r="AY232" s="5" t="s">
        <v>67</v>
      </c>
      <c r="AZ232" s="5" t="s">
        <v>67</v>
      </c>
      <c r="BA232" s="3">
        <v>107</v>
      </c>
      <c r="BD232" s="3">
        <v>2146189019</v>
      </c>
      <c r="BF232" s="5" t="s">
        <v>2156</v>
      </c>
      <c r="BG232" s="5" t="s">
        <v>2157</v>
      </c>
      <c r="BH232" s="5" t="s">
        <v>2158</v>
      </c>
      <c r="BI232" s="5" t="s">
        <v>74</v>
      </c>
      <c r="BJ232" s="5" t="s">
        <v>213</v>
      </c>
      <c r="BK232" s="5" t="s">
        <v>2159</v>
      </c>
      <c r="BL232" s="5" t="s">
        <v>2160</v>
      </c>
      <c r="BM232" s="5" t="s">
        <v>67</v>
      </c>
      <c r="BN232" s="5" t="s">
        <v>67</v>
      </c>
      <c r="BO232" s="5" t="s">
        <v>67</v>
      </c>
    </row>
    <row r="233" spans="1:67" ht="255" x14ac:dyDescent="0.25">
      <c r="A233" s="3">
        <v>2146189337</v>
      </c>
      <c r="B233" s="4">
        <v>42955</v>
      </c>
      <c r="E233" s="3">
        <v>2146189338</v>
      </c>
      <c r="H233" s="5" t="s">
        <v>67</v>
      </c>
      <c r="I233" s="3" t="b">
        <v>1</v>
      </c>
      <c r="J233" s="3" t="b">
        <v>0</v>
      </c>
      <c r="K233" s="3" t="b">
        <v>1</v>
      </c>
      <c r="L233" s="3" t="b">
        <v>0</v>
      </c>
      <c r="M233" s="3" t="b">
        <v>0</v>
      </c>
      <c r="N233" s="3" t="b">
        <v>0</v>
      </c>
      <c r="O233" s="3" t="b">
        <v>1</v>
      </c>
      <c r="P233" s="3" t="b">
        <v>1</v>
      </c>
      <c r="Q233" s="3" t="b">
        <v>0</v>
      </c>
      <c r="R233" s="3" t="s">
        <v>2161</v>
      </c>
      <c r="S233" s="5" t="s">
        <v>2162</v>
      </c>
      <c r="T233" s="3" t="b">
        <v>0</v>
      </c>
      <c r="U233" s="3" t="b">
        <v>1</v>
      </c>
      <c r="V233" s="5" t="s">
        <v>2163</v>
      </c>
      <c r="W233" s="5" t="s">
        <v>67</v>
      </c>
      <c r="X233" s="3" t="b">
        <v>0</v>
      </c>
      <c r="Y233" s="3" t="b">
        <v>0</v>
      </c>
      <c r="Z233" s="3" t="b">
        <v>0</v>
      </c>
      <c r="AA233" s="3" t="b">
        <v>0</v>
      </c>
      <c r="AB233" s="5" t="s">
        <v>2164</v>
      </c>
      <c r="AC233" s="5" t="s">
        <v>67</v>
      </c>
      <c r="AD233" s="5" t="s">
        <v>67</v>
      </c>
      <c r="AE233" s="5" t="s">
        <v>67</v>
      </c>
      <c r="AF233" s="5" t="s">
        <v>2165</v>
      </c>
      <c r="AG233" s="5" t="s">
        <v>2166</v>
      </c>
      <c r="AH233" s="5" t="s">
        <v>2167</v>
      </c>
      <c r="AI233" s="5" t="s">
        <v>67</v>
      </c>
      <c r="AJ233" s="5" t="s">
        <v>515</v>
      </c>
      <c r="AK233" s="5" t="s">
        <v>2168</v>
      </c>
      <c r="AL233" s="5" t="s">
        <v>67</v>
      </c>
      <c r="AM233" s="5" t="s">
        <v>67</v>
      </c>
      <c r="AN233" s="5" t="s">
        <v>67</v>
      </c>
      <c r="AO233" s="5" t="s">
        <v>67</v>
      </c>
      <c r="AP233" s="5" t="s">
        <v>67</v>
      </c>
      <c r="AQ233" s="5" t="s">
        <v>2169</v>
      </c>
      <c r="AR233" s="5" t="s">
        <v>67</v>
      </c>
      <c r="AW233" s="5" t="s">
        <v>67</v>
      </c>
      <c r="AX233" s="5" t="s">
        <v>67</v>
      </c>
      <c r="AY233" s="5" t="s">
        <v>67</v>
      </c>
      <c r="AZ233" s="5" t="s">
        <v>67</v>
      </c>
      <c r="BA233" s="3">
        <v>2146189227</v>
      </c>
      <c r="BD233" s="3">
        <v>2146189339</v>
      </c>
      <c r="BE233" s="3">
        <v>2146188982</v>
      </c>
      <c r="BF233" s="5" t="s">
        <v>2170</v>
      </c>
      <c r="BG233" s="5" t="s">
        <v>2171</v>
      </c>
      <c r="BH233" s="5" t="s">
        <v>894</v>
      </c>
      <c r="BI233" s="5" t="s">
        <v>74</v>
      </c>
      <c r="BJ233" s="5" t="s">
        <v>663</v>
      </c>
      <c r="BK233" s="5" t="s">
        <v>2172</v>
      </c>
      <c r="BL233" s="5" t="s">
        <v>2173</v>
      </c>
      <c r="BM233" s="5" t="s">
        <v>67</v>
      </c>
      <c r="BN233" s="5" t="s">
        <v>2174</v>
      </c>
      <c r="BO233" s="5" t="s">
        <v>2175</v>
      </c>
    </row>
    <row r="234" spans="1:67" ht="409.5" x14ac:dyDescent="0.25">
      <c r="A234" s="3">
        <v>2146189343</v>
      </c>
      <c r="B234" s="4">
        <v>41858</v>
      </c>
      <c r="E234" s="3">
        <v>2146189359</v>
      </c>
      <c r="F234" s="3">
        <v>2146189000</v>
      </c>
      <c r="G234" s="3">
        <v>2146189000</v>
      </c>
      <c r="H234" s="5" t="s">
        <v>2176</v>
      </c>
      <c r="I234" s="3" t="b">
        <v>1</v>
      </c>
      <c r="J234" s="3" t="b">
        <v>1</v>
      </c>
      <c r="K234" s="3" t="b">
        <v>0</v>
      </c>
      <c r="L234" s="3" t="b">
        <v>0</v>
      </c>
      <c r="M234" s="3" t="b">
        <v>0</v>
      </c>
      <c r="N234" s="3" t="b">
        <v>1</v>
      </c>
      <c r="O234" s="3" t="b">
        <v>0</v>
      </c>
      <c r="P234" s="3" t="b">
        <v>1</v>
      </c>
      <c r="Q234" s="3" t="b">
        <v>0</v>
      </c>
      <c r="R234" s="3" t="s">
        <v>2177</v>
      </c>
      <c r="S234" s="5" t="s">
        <v>2178</v>
      </c>
      <c r="T234" s="3" t="b">
        <v>0</v>
      </c>
      <c r="U234" s="3" t="b">
        <v>1</v>
      </c>
      <c r="V234" s="5" t="s">
        <v>2179</v>
      </c>
      <c r="W234" s="5" t="s">
        <v>2180</v>
      </c>
      <c r="X234" s="3" t="b">
        <v>0</v>
      </c>
      <c r="Y234" s="3" t="b">
        <v>0</v>
      </c>
      <c r="Z234" s="3" t="b">
        <v>0</v>
      </c>
      <c r="AA234" s="3" t="b">
        <v>1</v>
      </c>
      <c r="AB234" s="5" t="s">
        <v>2181</v>
      </c>
      <c r="AC234" s="5" t="s">
        <v>2182</v>
      </c>
      <c r="AD234" s="5" t="s">
        <v>2183</v>
      </c>
      <c r="AE234" s="5" t="s">
        <v>67</v>
      </c>
      <c r="AF234" s="5" t="s">
        <v>2184</v>
      </c>
      <c r="AG234" s="5" t="s">
        <v>2185</v>
      </c>
      <c r="AH234" s="5" t="s">
        <v>2186</v>
      </c>
      <c r="AI234" s="5" t="s">
        <v>67</v>
      </c>
      <c r="AJ234" s="5" t="s">
        <v>2187</v>
      </c>
      <c r="AK234" s="5" t="s">
        <v>2188</v>
      </c>
      <c r="AL234" s="5" t="s">
        <v>2189</v>
      </c>
      <c r="AM234" s="5" t="s">
        <v>2190</v>
      </c>
      <c r="AN234" s="5" t="s">
        <v>67</v>
      </c>
      <c r="AO234" s="5" t="s">
        <v>2191</v>
      </c>
      <c r="AP234" s="5" t="s">
        <v>67</v>
      </c>
      <c r="AQ234" s="5" t="s">
        <v>67</v>
      </c>
      <c r="AR234" s="5" t="s">
        <v>67</v>
      </c>
      <c r="AW234" s="5" t="s">
        <v>67</v>
      </c>
      <c r="AX234" s="5" t="s">
        <v>67</v>
      </c>
      <c r="AY234" s="5" t="s">
        <v>67</v>
      </c>
      <c r="AZ234" s="5" t="s">
        <v>67</v>
      </c>
      <c r="BA234" s="3">
        <v>2146189227</v>
      </c>
      <c r="BD234" s="3">
        <v>2146189004</v>
      </c>
      <c r="BE234" s="3">
        <v>2146189004</v>
      </c>
      <c r="BF234" s="5" t="s">
        <v>2192</v>
      </c>
      <c r="BG234" s="5" t="s">
        <v>2193</v>
      </c>
      <c r="BH234" s="5" t="s">
        <v>2194</v>
      </c>
      <c r="BI234" s="5" t="s">
        <v>67</v>
      </c>
      <c r="BJ234" s="5" t="s">
        <v>67</v>
      </c>
      <c r="BK234" s="5" t="s">
        <v>2195</v>
      </c>
      <c r="BL234" s="5" t="s">
        <v>2196</v>
      </c>
      <c r="BM234" s="5" t="s">
        <v>67</v>
      </c>
      <c r="BN234" s="5" t="s">
        <v>2197</v>
      </c>
      <c r="BO234" s="5" t="s">
        <v>67</v>
      </c>
    </row>
    <row r="235" spans="1:67" ht="165" x14ac:dyDescent="0.25">
      <c r="A235" s="3">
        <v>2146189362</v>
      </c>
      <c r="B235" s="4">
        <v>42319</v>
      </c>
      <c r="C235" s="3">
        <v>2146189385</v>
      </c>
      <c r="G235" s="3">
        <v>2146189385</v>
      </c>
      <c r="H235" s="5" t="s">
        <v>67</v>
      </c>
      <c r="I235" s="3" t="b">
        <v>0</v>
      </c>
      <c r="J235" s="3" t="b">
        <v>0</v>
      </c>
      <c r="K235" s="3" t="b">
        <v>0</v>
      </c>
      <c r="L235" s="3" t="b">
        <v>1</v>
      </c>
      <c r="M235" s="3" t="b">
        <v>0</v>
      </c>
      <c r="N235" s="3" t="b">
        <v>0</v>
      </c>
      <c r="O235" s="3" t="b">
        <v>0</v>
      </c>
      <c r="P235" s="3" t="b">
        <v>0</v>
      </c>
      <c r="Q235" s="3" t="b">
        <v>0</v>
      </c>
      <c r="R235" s="3" t="s">
        <v>2198</v>
      </c>
      <c r="S235" s="5" t="s">
        <v>2199</v>
      </c>
      <c r="T235" s="3" t="b">
        <v>1</v>
      </c>
      <c r="U235" s="3" t="b">
        <v>1</v>
      </c>
      <c r="V235" s="5" t="s">
        <v>2200</v>
      </c>
      <c r="W235" s="5" t="s">
        <v>67</v>
      </c>
      <c r="X235" s="3" t="b">
        <v>0</v>
      </c>
      <c r="Y235" s="3" t="b">
        <v>1</v>
      </c>
      <c r="Z235" s="3" t="b">
        <v>0</v>
      </c>
      <c r="AA235" s="3" t="b">
        <v>1</v>
      </c>
      <c r="AB235" s="5" t="s">
        <v>2201</v>
      </c>
      <c r="AC235" s="5" t="s">
        <v>2202</v>
      </c>
      <c r="AD235" s="5" t="s">
        <v>2203</v>
      </c>
      <c r="AE235" s="5" t="s">
        <v>67</v>
      </c>
      <c r="AF235" s="5" t="s">
        <v>67</v>
      </c>
      <c r="AG235" s="5" t="s">
        <v>67</v>
      </c>
      <c r="AH235" s="5" t="s">
        <v>2204</v>
      </c>
      <c r="AI235" s="5" t="s">
        <v>67</v>
      </c>
      <c r="AJ235" s="5" t="s">
        <v>67</v>
      </c>
      <c r="AK235" s="5" t="s">
        <v>2205</v>
      </c>
      <c r="AL235" s="5" t="s">
        <v>67</v>
      </c>
      <c r="AM235" s="5" t="s">
        <v>67</v>
      </c>
      <c r="AN235" s="5" t="s">
        <v>67</v>
      </c>
      <c r="AO235" s="5" t="s">
        <v>67</v>
      </c>
      <c r="AP235" s="5" t="s">
        <v>67</v>
      </c>
      <c r="AQ235" s="5" t="s">
        <v>67</v>
      </c>
      <c r="AR235" s="5" t="s">
        <v>67</v>
      </c>
      <c r="AS235" s="3">
        <v>1175668750</v>
      </c>
      <c r="AW235" s="5" t="s">
        <v>67</v>
      </c>
      <c r="AX235" s="5" t="s">
        <v>67</v>
      </c>
      <c r="AY235" s="5" t="s">
        <v>67</v>
      </c>
      <c r="AZ235" s="5" t="s">
        <v>67</v>
      </c>
      <c r="BA235" s="3">
        <v>2146189384</v>
      </c>
      <c r="BD235" s="3">
        <v>2146189082</v>
      </c>
      <c r="BF235" s="5" t="s">
        <v>2206</v>
      </c>
      <c r="BG235" s="5" t="s">
        <v>2207</v>
      </c>
      <c r="BH235" s="5" t="s">
        <v>2208</v>
      </c>
      <c r="BI235" s="5" t="s">
        <v>67</v>
      </c>
      <c r="BJ235" s="5" t="s">
        <v>67</v>
      </c>
      <c r="BK235" s="5" t="s">
        <v>2209</v>
      </c>
      <c r="BL235" s="5" t="s">
        <v>67</v>
      </c>
      <c r="BM235" s="5" t="s">
        <v>67</v>
      </c>
      <c r="BN235" s="5" t="s">
        <v>2210</v>
      </c>
      <c r="BO235" s="5" t="s">
        <v>67</v>
      </c>
    </row>
    <row r="236" spans="1:67" ht="210" x14ac:dyDescent="0.25">
      <c r="A236" s="3">
        <v>2146189369</v>
      </c>
      <c r="B236" s="4">
        <v>41872</v>
      </c>
      <c r="H236" s="5" t="s">
        <v>67</v>
      </c>
      <c r="I236" s="3" t="b">
        <v>0</v>
      </c>
      <c r="J236" s="3" t="b">
        <v>0</v>
      </c>
      <c r="K236" s="3" t="b">
        <v>0</v>
      </c>
      <c r="L236" s="3" t="b">
        <v>0</v>
      </c>
      <c r="M236" s="3" t="b">
        <v>1</v>
      </c>
      <c r="N236" s="3" t="b">
        <v>0</v>
      </c>
      <c r="O236" s="3" t="b">
        <v>0</v>
      </c>
      <c r="P236" s="3" t="b">
        <v>0</v>
      </c>
      <c r="Q236" s="3" t="b">
        <v>0</v>
      </c>
      <c r="R236" s="3" t="s">
        <v>67</v>
      </c>
      <c r="S236" s="5" t="s">
        <v>91</v>
      </c>
      <c r="T236" s="3" t="b">
        <v>0</v>
      </c>
      <c r="U236" s="3" t="b">
        <v>0</v>
      </c>
      <c r="V236" s="5" t="s">
        <v>2211</v>
      </c>
      <c r="W236" s="5" t="s">
        <v>67</v>
      </c>
      <c r="X236" s="3" t="b">
        <v>0</v>
      </c>
      <c r="Y236" s="3" t="b">
        <v>0</v>
      </c>
      <c r="Z236" s="3" t="b">
        <v>0</v>
      </c>
      <c r="AA236" s="3" t="b">
        <v>0</v>
      </c>
      <c r="AB236" s="5" t="s">
        <v>2212</v>
      </c>
      <c r="AC236" s="5" t="s">
        <v>2213</v>
      </c>
      <c r="AD236" s="5" t="s">
        <v>67</v>
      </c>
      <c r="AE236" s="5" t="s">
        <v>67</v>
      </c>
      <c r="AF236" s="5" t="s">
        <v>2214</v>
      </c>
      <c r="AG236" s="5" t="s">
        <v>67</v>
      </c>
      <c r="AH236" s="5" t="s">
        <v>2215</v>
      </c>
      <c r="AI236" s="5" t="s">
        <v>67</v>
      </c>
      <c r="AJ236" s="5" t="s">
        <v>2216</v>
      </c>
      <c r="AK236" s="5" t="s">
        <v>67</v>
      </c>
      <c r="AL236" s="5" t="s">
        <v>2217</v>
      </c>
      <c r="AM236" s="5" t="s">
        <v>2218</v>
      </c>
      <c r="AN236" s="5" t="s">
        <v>67</v>
      </c>
      <c r="AO236" s="5" t="s">
        <v>67</v>
      </c>
      <c r="AP236" s="5" t="s">
        <v>67</v>
      </c>
      <c r="AQ236" s="5" t="s">
        <v>67</v>
      </c>
      <c r="AR236" s="5" t="s">
        <v>67</v>
      </c>
      <c r="AW236" s="5" t="s">
        <v>67</v>
      </c>
      <c r="AX236" s="5" t="s">
        <v>67</v>
      </c>
      <c r="AY236" s="5" t="s">
        <v>67</v>
      </c>
      <c r="AZ236" s="5" t="s">
        <v>67</v>
      </c>
      <c r="BF236" s="5" t="s">
        <v>67</v>
      </c>
      <c r="BG236" s="5" t="s">
        <v>2219</v>
      </c>
      <c r="BH236" s="5" t="s">
        <v>2220</v>
      </c>
      <c r="BI236" s="5" t="s">
        <v>210</v>
      </c>
      <c r="BJ236" s="5" t="s">
        <v>67</v>
      </c>
      <c r="BK236" s="5" t="s">
        <v>67</v>
      </c>
      <c r="BL236" s="5" t="s">
        <v>67</v>
      </c>
      <c r="BM236" s="5" t="s">
        <v>67</v>
      </c>
      <c r="BN236" s="5" t="s">
        <v>2221</v>
      </c>
      <c r="BO236" s="5" t="s">
        <v>67</v>
      </c>
    </row>
    <row r="237" spans="1:67" ht="240" x14ac:dyDescent="0.25">
      <c r="A237" s="3">
        <v>2146189370</v>
      </c>
      <c r="B237" s="4">
        <v>42942</v>
      </c>
      <c r="C237" s="3">
        <v>2146189377</v>
      </c>
      <c r="G237" s="3">
        <v>2146189967</v>
      </c>
      <c r="H237" s="5" t="s">
        <v>2222</v>
      </c>
      <c r="I237" s="3" t="b">
        <v>0</v>
      </c>
      <c r="J237" s="3" t="b">
        <v>0</v>
      </c>
      <c r="K237" s="3" t="b">
        <v>0</v>
      </c>
      <c r="L237" s="3" t="b">
        <v>1</v>
      </c>
      <c r="M237" s="3" t="b">
        <v>0</v>
      </c>
      <c r="N237" s="3" t="b">
        <v>1</v>
      </c>
      <c r="O237" s="3" t="b">
        <v>0</v>
      </c>
      <c r="P237" s="3" t="b">
        <v>1</v>
      </c>
      <c r="Q237" s="3" t="b">
        <v>0</v>
      </c>
      <c r="R237" s="3" t="s">
        <v>2223</v>
      </c>
      <c r="S237" s="5" t="s">
        <v>91</v>
      </c>
      <c r="T237" s="3" t="b">
        <v>0</v>
      </c>
      <c r="U237" s="3" t="b">
        <v>1</v>
      </c>
      <c r="V237" s="5" t="s">
        <v>2224</v>
      </c>
      <c r="W237" s="5" t="s">
        <v>67</v>
      </c>
      <c r="X237" s="3" t="b">
        <v>0</v>
      </c>
      <c r="Y237" s="3" t="b">
        <v>0</v>
      </c>
      <c r="Z237" s="3" t="b">
        <v>0</v>
      </c>
      <c r="AA237" s="3" t="b">
        <v>1</v>
      </c>
      <c r="AB237" s="5" t="s">
        <v>2225</v>
      </c>
      <c r="AC237" s="5" t="s">
        <v>67</v>
      </c>
      <c r="AD237" s="5" t="s">
        <v>67</v>
      </c>
      <c r="AE237" s="5" t="s">
        <v>67</v>
      </c>
      <c r="AF237" s="5" t="s">
        <v>67</v>
      </c>
      <c r="AG237" s="5" t="s">
        <v>67</v>
      </c>
      <c r="AH237" s="5" t="s">
        <v>2226</v>
      </c>
      <c r="AI237" s="5" t="s">
        <v>2227</v>
      </c>
      <c r="AJ237" s="5" t="s">
        <v>380</v>
      </c>
      <c r="AK237" s="5" t="s">
        <v>380</v>
      </c>
      <c r="AL237" s="5" t="s">
        <v>380</v>
      </c>
      <c r="AM237" s="5" t="s">
        <v>67</v>
      </c>
      <c r="AN237" s="5" t="s">
        <v>2228</v>
      </c>
      <c r="AO237" s="5" t="s">
        <v>380</v>
      </c>
      <c r="AP237" s="5" t="s">
        <v>380</v>
      </c>
      <c r="AQ237" s="5" t="s">
        <v>380</v>
      </c>
      <c r="AR237" s="5" t="s">
        <v>67</v>
      </c>
      <c r="AS237" s="3">
        <v>2146189714</v>
      </c>
      <c r="AT237" s="3">
        <v>2146189591</v>
      </c>
      <c r="AU237" s="3">
        <v>2146189228</v>
      </c>
      <c r="AW237" s="5" t="s">
        <v>67</v>
      </c>
      <c r="AX237" s="5" t="s">
        <v>67</v>
      </c>
      <c r="AY237" s="5" t="s">
        <v>67</v>
      </c>
      <c r="AZ237" s="5" t="s">
        <v>67</v>
      </c>
      <c r="BA237" s="3">
        <v>226884306</v>
      </c>
      <c r="BD237" s="3">
        <v>2146188991</v>
      </c>
      <c r="BF237" s="5" t="s">
        <v>2229</v>
      </c>
      <c r="BG237" s="5" t="s">
        <v>67</v>
      </c>
      <c r="BH237" s="5" t="s">
        <v>67</v>
      </c>
      <c r="BI237" s="5" t="s">
        <v>74</v>
      </c>
      <c r="BJ237" s="5" t="s">
        <v>67</v>
      </c>
      <c r="BK237" s="5" t="s">
        <v>2230</v>
      </c>
      <c r="BL237" s="5" t="s">
        <v>2231</v>
      </c>
      <c r="BM237" s="5" t="s">
        <v>67</v>
      </c>
      <c r="BN237" s="5" t="s">
        <v>67</v>
      </c>
      <c r="BO237" s="5" t="s">
        <v>67</v>
      </c>
    </row>
    <row r="238" spans="1:67" x14ac:dyDescent="0.25">
      <c r="A238" s="3">
        <v>2146189374</v>
      </c>
      <c r="B238" s="4">
        <v>42185</v>
      </c>
      <c r="H238" s="5" t="s">
        <v>67</v>
      </c>
      <c r="I238" s="3" t="b">
        <v>0</v>
      </c>
      <c r="J238" s="3" t="b">
        <v>0</v>
      </c>
      <c r="K238" s="3" t="b">
        <v>0</v>
      </c>
      <c r="L238" s="3" t="b">
        <v>0</v>
      </c>
      <c r="M238" s="3" t="b">
        <v>0</v>
      </c>
      <c r="N238" s="3" t="b">
        <v>0</v>
      </c>
      <c r="O238" s="3" t="b">
        <v>0</v>
      </c>
      <c r="P238" s="3" t="b">
        <v>0</v>
      </c>
      <c r="Q238" s="3" t="b">
        <v>0</v>
      </c>
      <c r="R238" s="3" t="s">
        <v>67</v>
      </c>
      <c r="S238" s="5" t="s">
        <v>67</v>
      </c>
      <c r="T238" s="3" t="b">
        <v>0</v>
      </c>
      <c r="U238" s="3" t="b">
        <v>0</v>
      </c>
      <c r="V238" s="5" t="s">
        <v>67</v>
      </c>
      <c r="W238" s="5" t="s">
        <v>67</v>
      </c>
      <c r="X238" s="3" t="b">
        <v>0</v>
      </c>
      <c r="Y238" s="3" t="b">
        <v>0</v>
      </c>
      <c r="Z238" s="3" t="b">
        <v>0</v>
      </c>
      <c r="AA238" s="3" t="b">
        <v>0</v>
      </c>
      <c r="AB238" s="5" t="s">
        <v>67</v>
      </c>
      <c r="AC238" s="5" t="s">
        <v>67</v>
      </c>
      <c r="AD238" s="5" t="s">
        <v>67</v>
      </c>
      <c r="AE238" s="5" t="s">
        <v>67</v>
      </c>
      <c r="AF238" s="5" t="s">
        <v>67</v>
      </c>
      <c r="AG238" s="5" t="s">
        <v>67</v>
      </c>
      <c r="AH238" s="5" t="s">
        <v>67</v>
      </c>
      <c r="AI238" s="5" t="s">
        <v>67</v>
      </c>
      <c r="AJ238" s="5" t="s">
        <v>67</v>
      </c>
      <c r="AK238" s="5" t="s">
        <v>67</v>
      </c>
      <c r="AL238" s="5" t="s">
        <v>67</v>
      </c>
      <c r="AM238" s="5" t="s">
        <v>67</v>
      </c>
      <c r="AN238" s="5" t="s">
        <v>67</v>
      </c>
      <c r="AO238" s="5" t="s">
        <v>67</v>
      </c>
      <c r="AP238" s="5" t="s">
        <v>67</v>
      </c>
      <c r="AQ238" s="5" t="s">
        <v>67</v>
      </c>
      <c r="AR238" s="5" t="s">
        <v>67</v>
      </c>
      <c r="AW238" s="5" t="s">
        <v>67</v>
      </c>
      <c r="AX238" s="5" t="s">
        <v>67</v>
      </c>
      <c r="AY238" s="5" t="s">
        <v>67</v>
      </c>
      <c r="AZ238" s="5" t="s">
        <v>67</v>
      </c>
      <c r="BF238" s="5" t="s">
        <v>67</v>
      </c>
      <c r="BG238" s="5" t="s">
        <v>67</v>
      </c>
      <c r="BH238" s="5" t="s">
        <v>67</v>
      </c>
      <c r="BI238" s="5" t="s">
        <v>67</v>
      </c>
      <c r="BJ238" s="5" t="s">
        <v>67</v>
      </c>
      <c r="BK238" s="5" t="s">
        <v>67</v>
      </c>
      <c r="BL238" s="5" t="s">
        <v>67</v>
      </c>
      <c r="BM238" s="5" t="s">
        <v>67</v>
      </c>
      <c r="BN238" s="5" t="s">
        <v>67</v>
      </c>
      <c r="BO238" s="5" t="s">
        <v>67</v>
      </c>
    </row>
    <row r="239" spans="1:67" x14ac:dyDescent="0.25">
      <c r="A239" s="3">
        <v>2146189377</v>
      </c>
      <c r="B239" s="4">
        <v>42503</v>
      </c>
      <c r="H239" s="5" t="s">
        <v>67</v>
      </c>
      <c r="I239" s="3" t="b">
        <v>0</v>
      </c>
      <c r="J239" s="3" t="b">
        <v>0</v>
      </c>
      <c r="K239" s="3" t="b">
        <v>0</v>
      </c>
      <c r="L239" s="3" t="b">
        <v>0</v>
      </c>
      <c r="M239" s="3" t="b">
        <v>0</v>
      </c>
      <c r="N239" s="3" t="b">
        <v>0</v>
      </c>
      <c r="O239" s="3" t="b">
        <v>0</v>
      </c>
      <c r="P239" s="3" t="b">
        <v>0</v>
      </c>
      <c r="Q239" s="3" t="b">
        <v>0</v>
      </c>
      <c r="R239" s="3" t="s">
        <v>67</v>
      </c>
      <c r="S239" s="5" t="s">
        <v>67</v>
      </c>
      <c r="T239" s="3" t="b">
        <v>0</v>
      </c>
      <c r="U239" s="3" t="b">
        <v>0</v>
      </c>
      <c r="V239" s="5" t="s">
        <v>67</v>
      </c>
      <c r="W239" s="5" t="s">
        <v>67</v>
      </c>
      <c r="X239" s="3" t="b">
        <v>0</v>
      </c>
      <c r="Y239" s="3" t="b">
        <v>0</v>
      </c>
      <c r="Z239" s="3" t="b">
        <v>0</v>
      </c>
      <c r="AA239" s="3" t="b">
        <v>0</v>
      </c>
      <c r="AB239" s="5" t="s">
        <v>67</v>
      </c>
      <c r="AC239" s="5" t="s">
        <v>67</v>
      </c>
      <c r="AD239" s="5" t="s">
        <v>67</v>
      </c>
      <c r="AE239" s="5" t="s">
        <v>67</v>
      </c>
      <c r="AF239" s="5" t="s">
        <v>67</v>
      </c>
      <c r="AG239" s="5" t="s">
        <v>67</v>
      </c>
      <c r="AH239" s="5" t="s">
        <v>67</v>
      </c>
      <c r="AI239" s="5" t="s">
        <v>67</v>
      </c>
      <c r="AJ239" s="5" t="s">
        <v>67</v>
      </c>
      <c r="AK239" s="5" t="s">
        <v>67</v>
      </c>
      <c r="AL239" s="5" t="s">
        <v>67</v>
      </c>
      <c r="AM239" s="5" t="s">
        <v>67</v>
      </c>
      <c r="AN239" s="5" t="s">
        <v>67</v>
      </c>
      <c r="AO239" s="5" t="s">
        <v>67</v>
      </c>
      <c r="AP239" s="5" t="s">
        <v>67</v>
      </c>
      <c r="AQ239" s="5" t="s">
        <v>67</v>
      </c>
      <c r="AR239" s="5" t="s">
        <v>67</v>
      </c>
      <c r="AW239" s="5" t="s">
        <v>67</v>
      </c>
      <c r="AX239" s="5" t="s">
        <v>67</v>
      </c>
      <c r="AY239" s="5" t="s">
        <v>67</v>
      </c>
      <c r="AZ239" s="5" t="s">
        <v>67</v>
      </c>
      <c r="BF239" s="5" t="s">
        <v>67</v>
      </c>
      <c r="BG239" s="5" t="s">
        <v>67</v>
      </c>
      <c r="BH239" s="5" t="s">
        <v>67</v>
      </c>
      <c r="BI239" s="5" t="s">
        <v>67</v>
      </c>
      <c r="BJ239" s="5" t="s">
        <v>67</v>
      </c>
      <c r="BK239" s="5" t="s">
        <v>67</v>
      </c>
      <c r="BL239" s="5" t="s">
        <v>67</v>
      </c>
      <c r="BM239" s="5" t="s">
        <v>67</v>
      </c>
      <c r="BN239" s="5" t="s">
        <v>67</v>
      </c>
      <c r="BO239" s="5" t="s">
        <v>67</v>
      </c>
    </row>
    <row r="240" spans="1:67" ht="270" x14ac:dyDescent="0.25">
      <c r="A240" s="3">
        <v>2146189380</v>
      </c>
      <c r="B240" s="4">
        <v>41974</v>
      </c>
      <c r="D240" s="3">
        <v>2146189381</v>
      </c>
      <c r="G240" s="3">
        <v>2146189383</v>
      </c>
      <c r="H240" s="5" t="s">
        <v>67</v>
      </c>
      <c r="I240" s="3" t="b">
        <v>0</v>
      </c>
      <c r="J240" s="3" t="b">
        <v>0</v>
      </c>
      <c r="K240" s="3" t="b">
        <v>0</v>
      </c>
      <c r="L240" s="3" t="b">
        <v>0</v>
      </c>
      <c r="M240" s="3" t="b">
        <v>0</v>
      </c>
      <c r="N240" s="3" t="b">
        <v>0</v>
      </c>
      <c r="O240" s="3" t="b">
        <v>0</v>
      </c>
      <c r="P240" s="3" t="b">
        <v>0</v>
      </c>
      <c r="Q240" s="3" t="b">
        <v>0</v>
      </c>
      <c r="R240" s="3" t="s">
        <v>2232</v>
      </c>
      <c r="S240" s="5" t="s">
        <v>2233</v>
      </c>
      <c r="T240" s="3" t="b">
        <v>0</v>
      </c>
      <c r="U240" s="3" t="b">
        <v>0</v>
      </c>
      <c r="V240" s="5" t="s">
        <v>2234</v>
      </c>
      <c r="W240" s="5" t="s">
        <v>67</v>
      </c>
      <c r="X240" s="3" t="b">
        <v>0</v>
      </c>
      <c r="Y240" s="3" t="b">
        <v>0</v>
      </c>
      <c r="Z240" s="3" t="b">
        <v>0</v>
      </c>
      <c r="AA240" s="3" t="b">
        <v>0</v>
      </c>
      <c r="AB240" s="5" t="s">
        <v>67</v>
      </c>
      <c r="AC240" s="5" t="s">
        <v>67</v>
      </c>
      <c r="AD240" s="5" t="s">
        <v>67</v>
      </c>
      <c r="AE240" s="5" t="s">
        <v>67</v>
      </c>
      <c r="AF240" s="5" t="s">
        <v>2235</v>
      </c>
      <c r="AG240" s="5" t="s">
        <v>67</v>
      </c>
      <c r="AH240" s="5" t="s">
        <v>2236</v>
      </c>
      <c r="AI240" s="5" t="s">
        <v>67</v>
      </c>
      <c r="AJ240" s="5" t="s">
        <v>2237</v>
      </c>
      <c r="AK240" s="5" t="s">
        <v>67</v>
      </c>
      <c r="AL240" s="5" t="s">
        <v>67</v>
      </c>
      <c r="AM240" s="5" t="s">
        <v>67</v>
      </c>
      <c r="AN240" s="5" t="s">
        <v>67</v>
      </c>
      <c r="AO240" s="5" t="s">
        <v>67</v>
      </c>
      <c r="AP240" s="5" t="s">
        <v>67</v>
      </c>
      <c r="AQ240" s="5" t="s">
        <v>67</v>
      </c>
      <c r="AR240" s="5" t="s">
        <v>67</v>
      </c>
      <c r="AW240" s="5" t="s">
        <v>67</v>
      </c>
      <c r="AX240" s="5" t="s">
        <v>67</v>
      </c>
      <c r="AY240" s="5" t="s">
        <v>67</v>
      </c>
      <c r="AZ240" s="5" t="s">
        <v>67</v>
      </c>
      <c r="BD240" s="3">
        <v>2146189003</v>
      </c>
      <c r="BF240" s="5" t="s">
        <v>67</v>
      </c>
      <c r="BG240" s="5" t="s">
        <v>2238</v>
      </c>
      <c r="BH240" s="5" t="s">
        <v>2239</v>
      </c>
      <c r="BI240" s="5" t="s">
        <v>67</v>
      </c>
      <c r="BJ240" s="5" t="s">
        <v>2240</v>
      </c>
      <c r="BK240" s="5" t="s">
        <v>67</v>
      </c>
      <c r="BL240" s="5" t="s">
        <v>67</v>
      </c>
      <c r="BM240" s="5" t="s">
        <v>67</v>
      </c>
      <c r="BN240" s="5" t="s">
        <v>2241</v>
      </c>
      <c r="BO240" s="5" t="s">
        <v>67</v>
      </c>
    </row>
    <row r="241" spans="1:67" x14ac:dyDescent="0.25">
      <c r="A241" s="3">
        <v>2146189381</v>
      </c>
      <c r="B241" s="4">
        <v>41780</v>
      </c>
      <c r="H241" s="5" t="s">
        <v>67</v>
      </c>
      <c r="I241" s="3" t="b">
        <v>0</v>
      </c>
      <c r="J241" s="3" t="b">
        <v>0</v>
      </c>
      <c r="K241" s="3" t="b">
        <v>0</v>
      </c>
      <c r="L241" s="3" t="b">
        <v>0</v>
      </c>
      <c r="M241" s="3" t="b">
        <v>0</v>
      </c>
      <c r="N241" s="3" t="b">
        <v>0</v>
      </c>
      <c r="O241" s="3" t="b">
        <v>0</v>
      </c>
      <c r="P241" s="3" t="b">
        <v>0</v>
      </c>
      <c r="Q241" s="3" t="b">
        <v>0</v>
      </c>
      <c r="R241" s="3" t="s">
        <v>67</v>
      </c>
      <c r="S241" s="5" t="s">
        <v>67</v>
      </c>
      <c r="T241" s="3" t="b">
        <v>0</v>
      </c>
      <c r="U241" s="3" t="b">
        <v>0</v>
      </c>
      <c r="V241" s="5" t="s">
        <v>67</v>
      </c>
      <c r="W241" s="5" t="s">
        <v>67</v>
      </c>
      <c r="X241" s="3" t="b">
        <v>0</v>
      </c>
      <c r="Y241" s="3" t="b">
        <v>0</v>
      </c>
      <c r="Z241" s="3" t="b">
        <v>0</v>
      </c>
      <c r="AA241" s="3" t="b">
        <v>0</v>
      </c>
      <c r="AB241" s="5" t="s">
        <v>67</v>
      </c>
      <c r="AC241" s="5" t="s">
        <v>67</v>
      </c>
      <c r="AD241" s="5" t="s">
        <v>67</v>
      </c>
      <c r="AE241" s="5" t="s">
        <v>67</v>
      </c>
      <c r="AF241" s="5" t="s">
        <v>67</v>
      </c>
      <c r="AG241" s="5" t="s">
        <v>67</v>
      </c>
      <c r="AH241" s="5" t="s">
        <v>67</v>
      </c>
      <c r="AI241" s="5" t="s">
        <v>67</v>
      </c>
      <c r="AJ241" s="5" t="s">
        <v>67</v>
      </c>
      <c r="AK241" s="5" t="s">
        <v>67</v>
      </c>
      <c r="AL241" s="5" t="s">
        <v>67</v>
      </c>
      <c r="AM241" s="5" t="s">
        <v>67</v>
      </c>
      <c r="AN241" s="5" t="s">
        <v>67</v>
      </c>
      <c r="AO241" s="5" t="s">
        <v>67</v>
      </c>
      <c r="AP241" s="5" t="s">
        <v>67</v>
      </c>
      <c r="AQ241" s="5" t="s">
        <v>67</v>
      </c>
      <c r="AR241" s="5" t="s">
        <v>67</v>
      </c>
      <c r="AW241" s="5" t="s">
        <v>67</v>
      </c>
      <c r="AX241" s="5" t="s">
        <v>67</v>
      </c>
      <c r="AY241" s="5" t="s">
        <v>67</v>
      </c>
      <c r="AZ241" s="5" t="s">
        <v>67</v>
      </c>
      <c r="BF241" s="5" t="s">
        <v>67</v>
      </c>
      <c r="BG241" s="5" t="s">
        <v>67</v>
      </c>
      <c r="BH241" s="5" t="s">
        <v>67</v>
      </c>
      <c r="BI241" s="5" t="s">
        <v>67</v>
      </c>
      <c r="BJ241" s="5" t="s">
        <v>67</v>
      </c>
      <c r="BK241" s="5" t="s">
        <v>67</v>
      </c>
      <c r="BL241" s="5" t="s">
        <v>67</v>
      </c>
      <c r="BM241" s="5" t="s">
        <v>67</v>
      </c>
      <c r="BN241" s="5" t="s">
        <v>67</v>
      </c>
      <c r="BO241" s="5" t="s">
        <v>67</v>
      </c>
    </row>
    <row r="242" spans="1:67" x14ac:dyDescent="0.25">
      <c r="A242" s="3">
        <v>2146189410</v>
      </c>
      <c r="B242" s="4">
        <v>42867</v>
      </c>
      <c r="H242" s="5" t="s">
        <v>67</v>
      </c>
      <c r="I242" s="3" t="b">
        <v>0</v>
      </c>
      <c r="J242" s="3" t="b">
        <v>0</v>
      </c>
      <c r="K242" s="3" t="b">
        <v>0</v>
      </c>
      <c r="L242" s="3" t="b">
        <v>0</v>
      </c>
      <c r="M242" s="3" t="b">
        <v>0</v>
      </c>
      <c r="N242" s="3" t="b">
        <v>0</v>
      </c>
      <c r="O242" s="3" t="b">
        <v>0</v>
      </c>
      <c r="P242" s="3" t="b">
        <v>0</v>
      </c>
      <c r="Q242" s="3" t="b">
        <v>0</v>
      </c>
      <c r="R242" s="3" t="s">
        <v>67</v>
      </c>
      <c r="S242" s="5" t="s">
        <v>67</v>
      </c>
      <c r="T242" s="3" t="b">
        <v>0</v>
      </c>
      <c r="U242" s="3" t="b">
        <v>0</v>
      </c>
      <c r="V242" s="5" t="s">
        <v>67</v>
      </c>
      <c r="W242" s="5" t="s">
        <v>67</v>
      </c>
      <c r="X242" s="3" t="b">
        <v>0</v>
      </c>
      <c r="Y242" s="3" t="b">
        <v>0</v>
      </c>
      <c r="Z242" s="3" t="b">
        <v>0</v>
      </c>
      <c r="AA242" s="3" t="b">
        <v>0</v>
      </c>
      <c r="AB242" s="5" t="s">
        <v>67</v>
      </c>
      <c r="AC242" s="5" t="s">
        <v>67</v>
      </c>
      <c r="AD242" s="5" t="s">
        <v>67</v>
      </c>
      <c r="AE242" s="5" t="s">
        <v>67</v>
      </c>
      <c r="AF242" s="5" t="s">
        <v>67</v>
      </c>
      <c r="AG242" s="5" t="s">
        <v>67</v>
      </c>
      <c r="AH242" s="5" t="s">
        <v>67</v>
      </c>
      <c r="AI242" s="5" t="s">
        <v>67</v>
      </c>
      <c r="AJ242" s="5" t="s">
        <v>67</v>
      </c>
      <c r="AK242" s="5" t="s">
        <v>67</v>
      </c>
      <c r="AL242" s="5" t="s">
        <v>67</v>
      </c>
      <c r="AM242" s="5" t="s">
        <v>67</v>
      </c>
      <c r="AN242" s="5" t="s">
        <v>67</v>
      </c>
      <c r="AO242" s="5" t="s">
        <v>67</v>
      </c>
      <c r="AP242" s="5" t="s">
        <v>67</v>
      </c>
      <c r="AQ242" s="5" t="s">
        <v>67</v>
      </c>
      <c r="AR242" s="5" t="s">
        <v>67</v>
      </c>
      <c r="AW242" s="5" t="s">
        <v>67</v>
      </c>
      <c r="AX242" s="5" t="s">
        <v>67</v>
      </c>
      <c r="AY242" s="5" t="s">
        <v>67</v>
      </c>
      <c r="AZ242" s="5" t="s">
        <v>67</v>
      </c>
      <c r="BF242" s="5" t="s">
        <v>67</v>
      </c>
      <c r="BG242" s="5" t="s">
        <v>67</v>
      </c>
      <c r="BH242" s="5" t="s">
        <v>67</v>
      </c>
      <c r="BI242" s="5" t="s">
        <v>67</v>
      </c>
      <c r="BJ242" s="5" t="s">
        <v>67</v>
      </c>
      <c r="BK242" s="5" t="s">
        <v>67</v>
      </c>
      <c r="BL242" s="5" t="s">
        <v>67</v>
      </c>
      <c r="BM242" s="5" t="s">
        <v>67</v>
      </c>
      <c r="BN242" s="5" t="s">
        <v>67</v>
      </c>
      <c r="BO242" s="5" t="s">
        <v>67</v>
      </c>
    </row>
    <row r="243" spans="1:67" ht="150" x14ac:dyDescent="0.25">
      <c r="A243" s="3">
        <v>2146189420</v>
      </c>
      <c r="B243" s="4">
        <v>43028</v>
      </c>
      <c r="C243" s="3">
        <v>2146189419</v>
      </c>
      <c r="H243" s="5" t="s">
        <v>67</v>
      </c>
      <c r="I243" s="3" t="b">
        <v>0</v>
      </c>
      <c r="J243" s="3" t="b">
        <v>0</v>
      </c>
      <c r="K243" s="3" t="b">
        <v>0</v>
      </c>
      <c r="L243" s="3" t="b">
        <v>0</v>
      </c>
      <c r="M243" s="3" t="b">
        <v>0</v>
      </c>
      <c r="N243" s="3" t="b">
        <v>0</v>
      </c>
      <c r="O243" s="3" t="b">
        <v>0</v>
      </c>
      <c r="P243" s="3" t="b">
        <v>0</v>
      </c>
      <c r="Q243" s="3" t="b">
        <v>0</v>
      </c>
      <c r="R243" s="3" t="s">
        <v>2242</v>
      </c>
      <c r="S243" s="5" t="s">
        <v>67</v>
      </c>
      <c r="T243" s="3" t="b">
        <v>0</v>
      </c>
      <c r="U243" s="3" t="b">
        <v>0</v>
      </c>
      <c r="V243" s="5" t="s">
        <v>2243</v>
      </c>
      <c r="W243" s="5" t="s">
        <v>2244</v>
      </c>
      <c r="X243" s="3" t="b">
        <v>0</v>
      </c>
      <c r="Y243" s="3" t="b">
        <v>0</v>
      </c>
      <c r="Z243" s="3" t="b">
        <v>0</v>
      </c>
      <c r="AA243" s="3" t="b">
        <v>0</v>
      </c>
      <c r="AB243" s="5" t="s">
        <v>2245</v>
      </c>
      <c r="AC243" s="5" t="s">
        <v>67</v>
      </c>
      <c r="AD243" s="5" t="s">
        <v>67</v>
      </c>
      <c r="AE243" s="5" t="s">
        <v>67</v>
      </c>
      <c r="AF243" s="5" t="s">
        <v>67</v>
      </c>
      <c r="AG243" s="5" t="s">
        <v>67</v>
      </c>
      <c r="AH243" s="5" t="s">
        <v>2246</v>
      </c>
      <c r="AI243" s="5" t="s">
        <v>67</v>
      </c>
      <c r="AJ243" s="5" t="s">
        <v>67</v>
      </c>
      <c r="AK243" s="5" t="s">
        <v>67</v>
      </c>
      <c r="AL243" s="5" t="s">
        <v>67</v>
      </c>
      <c r="AM243" s="5" t="s">
        <v>67</v>
      </c>
      <c r="AN243" s="5" t="s">
        <v>67</v>
      </c>
      <c r="AO243" s="5" t="s">
        <v>67</v>
      </c>
      <c r="AP243" s="5" t="s">
        <v>67</v>
      </c>
      <c r="AQ243" s="5" t="s">
        <v>67</v>
      </c>
      <c r="AR243" s="5" t="s">
        <v>67</v>
      </c>
      <c r="AS243" s="3">
        <v>2146189824</v>
      </c>
      <c r="AT243" s="3">
        <v>2146189525</v>
      </c>
      <c r="AU243" s="3">
        <v>2146189537</v>
      </c>
      <c r="AW243" s="5" t="s">
        <v>67</v>
      </c>
      <c r="AX243" s="5" t="s">
        <v>67</v>
      </c>
      <c r="AY243" s="5" t="s">
        <v>67</v>
      </c>
      <c r="AZ243" s="5" t="s">
        <v>67</v>
      </c>
      <c r="BA243" s="3">
        <v>1309859639</v>
      </c>
      <c r="BF243" s="5" t="s">
        <v>67</v>
      </c>
      <c r="BG243" s="5" t="s">
        <v>2247</v>
      </c>
      <c r="BH243" s="5" t="s">
        <v>2248</v>
      </c>
      <c r="BI243" s="5" t="s">
        <v>210</v>
      </c>
      <c r="BJ243" s="5" t="s">
        <v>67</v>
      </c>
      <c r="BK243" s="5" t="s">
        <v>67</v>
      </c>
      <c r="BL243" s="5" t="s">
        <v>2249</v>
      </c>
      <c r="BM243" s="5" t="s">
        <v>67</v>
      </c>
      <c r="BN243" s="5" t="s">
        <v>67</v>
      </c>
      <c r="BO243" s="5" t="s">
        <v>67</v>
      </c>
    </row>
    <row r="244" spans="1:67" x14ac:dyDescent="0.25">
      <c r="A244" s="3">
        <v>2146189445</v>
      </c>
      <c r="B244" s="4">
        <v>41766</v>
      </c>
      <c r="H244" s="5" t="s">
        <v>67</v>
      </c>
      <c r="I244" s="3" t="b">
        <v>0</v>
      </c>
      <c r="J244" s="3" t="b">
        <v>0</v>
      </c>
      <c r="K244" s="3" t="b">
        <v>0</v>
      </c>
      <c r="L244" s="3" t="b">
        <v>0</v>
      </c>
      <c r="M244" s="3" t="b">
        <v>0</v>
      </c>
      <c r="N244" s="3" t="b">
        <v>0</v>
      </c>
      <c r="O244" s="3" t="b">
        <v>0</v>
      </c>
      <c r="P244" s="3" t="b">
        <v>0</v>
      </c>
      <c r="Q244" s="3" t="b">
        <v>0</v>
      </c>
      <c r="R244" s="3" t="s">
        <v>67</v>
      </c>
      <c r="S244" s="5" t="s">
        <v>67</v>
      </c>
      <c r="T244" s="3" t="b">
        <v>0</v>
      </c>
      <c r="U244" s="3" t="b">
        <v>0</v>
      </c>
      <c r="V244" s="5" t="s">
        <v>67</v>
      </c>
      <c r="W244" s="5" t="s">
        <v>67</v>
      </c>
      <c r="X244" s="3" t="b">
        <v>0</v>
      </c>
      <c r="Y244" s="3" t="b">
        <v>0</v>
      </c>
      <c r="Z244" s="3" t="b">
        <v>0</v>
      </c>
      <c r="AA244" s="3" t="b">
        <v>0</v>
      </c>
      <c r="AB244" s="5" t="s">
        <v>67</v>
      </c>
      <c r="AC244" s="5" t="s">
        <v>67</v>
      </c>
      <c r="AD244" s="5" t="s">
        <v>67</v>
      </c>
      <c r="AE244" s="5" t="s">
        <v>67</v>
      </c>
      <c r="AF244" s="5" t="s">
        <v>67</v>
      </c>
      <c r="AG244" s="5" t="s">
        <v>67</v>
      </c>
      <c r="AH244" s="5" t="s">
        <v>67</v>
      </c>
      <c r="AI244" s="5" t="s">
        <v>67</v>
      </c>
      <c r="AJ244" s="5" t="s">
        <v>67</v>
      </c>
      <c r="AK244" s="5" t="s">
        <v>67</v>
      </c>
      <c r="AL244" s="5" t="s">
        <v>67</v>
      </c>
      <c r="AM244" s="5" t="s">
        <v>67</v>
      </c>
      <c r="AN244" s="5" t="s">
        <v>67</v>
      </c>
      <c r="AO244" s="5" t="s">
        <v>67</v>
      </c>
      <c r="AP244" s="5" t="s">
        <v>67</v>
      </c>
      <c r="AQ244" s="5" t="s">
        <v>67</v>
      </c>
      <c r="AR244" s="5" t="s">
        <v>67</v>
      </c>
      <c r="AW244" s="5" t="s">
        <v>67</v>
      </c>
      <c r="AX244" s="5" t="s">
        <v>67</v>
      </c>
      <c r="AY244" s="5" t="s">
        <v>67</v>
      </c>
      <c r="AZ244" s="5" t="s">
        <v>67</v>
      </c>
      <c r="BF244" s="5" t="s">
        <v>67</v>
      </c>
      <c r="BG244" s="5" t="s">
        <v>67</v>
      </c>
      <c r="BH244" s="5" t="s">
        <v>67</v>
      </c>
      <c r="BI244" s="5" t="s">
        <v>67</v>
      </c>
      <c r="BJ244" s="5" t="s">
        <v>67</v>
      </c>
      <c r="BK244" s="5" t="s">
        <v>67</v>
      </c>
      <c r="BL244" s="5" t="s">
        <v>67</v>
      </c>
      <c r="BM244" s="5" t="s">
        <v>67</v>
      </c>
      <c r="BN244" s="5" t="s">
        <v>67</v>
      </c>
      <c r="BO244" s="5" t="s">
        <v>67</v>
      </c>
    </row>
    <row r="245" spans="1:67" ht="180" x14ac:dyDescent="0.25">
      <c r="A245" s="3">
        <v>2146189450</v>
      </c>
      <c r="B245" s="4">
        <v>41919</v>
      </c>
      <c r="H245" s="5" t="s">
        <v>67</v>
      </c>
      <c r="I245" s="3" t="b">
        <v>0</v>
      </c>
      <c r="J245" s="3" t="b">
        <v>0</v>
      </c>
      <c r="K245" s="3" t="b">
        <v>0</v>
      </c>
      <c r="L245" s="3" t="b">
        <v>0</v>
      </c>
      <c r="M245" s="3" t="b">
        <v>0</v>
      </c>
      <c r="N245" s="3" t="b">
        <v>0</v>
      </c>
      <c r="O245" s="3" t="b">
        <v>1</v>
      </c>
      <c r="P245" s="3" t="b">
        <v>1</v>
      </c>
      <c r="Q245" s="3" t="b">
        <v>0</v>
      </c>
      <c r="R245" s="3" t="s">
        <v>2250</v>
      </c>
      <c r="S245" s="5" t="s">
        <v>67</v>
      </c>
      <c r="T245" s="3" t="b">
        <v>0</v>
      </c>
      <c r="U245" s="3" t="b">
        <v>0</v>
      </c>
      <c r="V245" s="5" t="s">
        <v>67</v>
      </c>
      <c r="W245" s="5" t="s">
        <v>67</v>
      </c>
      <c r="X245" s="3" t="b">
        <v>0</v>
      </c>
      <c r="Y245" s="3" t="b">
        <v>0</v>
      </c>
      <c r="Z245" s="3" t="b">
        <v>0</v>
      </c>
      <c r="AA245" s="3" t="b">
        <v>0</v>
      </c>
      <c r="AB245" s="5" t="s">
        <v>2251</v>
      </c>
      <c r="AC245" s="5" t="s">
        <v>67</v>
      </c>
      <c r="AD245" s="5" t="s">
        <v>67</v>
      </c>
      <c r="AE245" s="5" t="s">
        <v>67</v>
      </c>
      <c r="AF245" s="5" t="s">
        <v>67</v>
      </c>
      <c r="AG245" s="5" t="s">
        <v>67</v>
      </c>
      <c r="AH245" s="5" t="s">
        <v>2252</v>
      </c>
      <c r="AI245" s="5" t="s">
        <v>67</v>
      </c>
      <c r="AJ245" s="5" t="s">
        <v>67</v>
      </c>
      <c r="AK245" s="5" t="s">
        <v>67</v>
      </c>
      <c r="AL245" s="5" t="s">
        <v>67</v>
      </c>
      <c r="AM245" s="5" t="s">
        <v>67</v>
      </c>
      <c r="AN245" s="5" t="s">
        <v>67</v>
      </c>
      <c r="AO245" s="5" t="s">
        <v>67</v>
      </c>
      <c r="AP245" s="5" t="s">
        <v>67</v>
      </c>
      <c r="AQ245" s="5" t="s">
        <v>67</v>
      </c>
      <c r="AR245" s="5" t="s">
        <v>67</v>
      </c>
      <c r="AS245" s="3">
        <v>2146189325</v>
      </c>
      <c r="AT245" s="3">
        <v>2146189281</v>
      </c>
      <c r="AU245" s="3">
        <v>2146189436</v>
      </c>
      <c r="AW245" s="5" t="s">
        <v>67</v>
      </c>
      <c r="AX245" s="5" t="s">
        <v>67</v>
      </c>
      <c r="AY245" s="5" t="s">
        <v>67</v>
      </c>
      <c r="AZ245" s="5" t="s">
        <v>67</v>
      </c>
      <c r="BF245" s="5" t="s">
        <v>67</v>
      </c>
      <c r="BG245" s="5" t="s">
        <v>2253</v>
      </c>
      <c r="BH245" s="5" t="s">
        <v>67</v>
      </c>
      <c r="BI245" s="5" t="s">
        <v>141</v>
      </c>
      <c r="BJ245" s="5" t="s">
        <v>67</v>
      </c>
      <c r="BK245" s="5" t="s">
        <v>2254</v>
      </c>
      <c r="BL245" s="5" t="s">
        <v>2255</v>
      </c>
      <c r="BM245" s="5" t="s">
        <v>67</v>
      </c>
      <c r="BN245" s="5" t="s">
        <v>67</v>
      </c>
      <c r="BO245" s="5" t="s">
        <v>67</v>
      </c>
    </row>
    <row r="246" spans="1:67" ht="30" x14ac:dyDescent="0.25">
      <c r="A246" s="3">
        <v>2146189461</v>
      </c>
      <c r="B246" s="4">
        <v>42241</v>
      </c>
      <c r="H246" s="5" t="s">
        <v>67</v>
      </c>
      <c r="I246" s="3" t="b">
        <v>0</v>
      </c>
      <c r="J246" s="3" t="b">
        <v>0</v>
      </c>
      <c r="K246" s="3" t="b">
        <v>0</v>
      </c>
      <c r="L246" s="3" t="b">
        <v>0</v>
      </c>
      <c r="M246" s="3" t="b">
        <v>0</v>
      </c>
      <c r="N246" s="3" t="b">
        <v>0</v>
      </c>
      <c r="O246" s="3" t="b">
        <v>0</v>
      </c>
      <c r="P246" s="3" t="b">
        <v>0</v>
      </c>
      <c r="Q246" s="3" t="b">
        <v>0</v>
      </c>
      <c r="R246" s="3" t="s">
        <v>67</v>
      </c>
      <c r="S246" s="5" t="s">
        <v>67</v>
      </c>
      <c r="T246" s="3" t="b">
        <v>0</v>
      </c>
      <c r="U246" s="3" t="b">
        <v>0</v>
      </c>
      <c r="V246" s="5" t="s">
        <v>67</v>
      </c>
      <c r="W246" s="5" t="s">
        <v>67</v>
      </c>
      <c r="X246" s="3" t="b">
        <v>0</v>
      </c>
      <c r="Y246" s="3" t="b">
        <v>0</v>
      </c>
      <c r="Z246" s="3" t="b">
        <v>0</v>
      </c>
      <c r="AA246" s="3" t="b">
        <v>1</v>
      </c>
      <c r="AB246" s="5" t="s">
        <v>120</v>
      </c>
      <c r="AC246" s="5" t="s">
        <v>67</v>
      </c>
      <c r="AD246" s="5" t="s">
        <v>67</v>
      </c>
      <c r="AE246" s="5" t="s">
        <v>67</v>
      </c>
      <c r="AF246" s="5" t="s">
        <v>67</v>
      </c>
      <c r="AG246" s="5" t="s">
        <v>67</v>
      </c>
      <c r="AH246" s="5" t="s">
        <v>1015</v>
      </c>
      <c r="AI246" s="5" t="s">
        <v>67</v>
      </c>
      <c r="AJ246" s="5" t="s">
        <v>67</v>
      </c>
      <c r="AK246" s="5" t="s">
        <v>2256</v>
      </c>
      <c r="AL246" s="5" t="s">
        <v>67</v>
      </c>
      <c r="AM246" s="5" t="s">
        <v>67</v>
      </c>
      <c r="AN246" s="5" t="s">
        <v>67</v>
      </c>
      <c r="AO246" s="5" t="s">
        <v>67</v>
      </c>
      <c r="AP246" s="5" t="s">
        <v>67</v>
      </c>
      <c r="AQ246" s="5" t="s">
        <v>67</v>
      </c>
      <c r="AR246" s="5" t="s">
        <v>67</v>
      </c>
      <c r="AW246" s="5" t="s">
        <v>67</v>
      </c>
      <c r="AX246" s="5" t="s">
        <v>67</v>
      </c>
      <c r="AY246" s="5" t="s">
        <v>67</v>
      </c>
      <c r="AZ246" s="5" t="s">
        <v>67</v>
      </c>
      <c r="BF246" s="5" t="s">
        <v>67</v>
      </c>
      <c r="BG246" s="5" t="s">
        <v>1998</v>
      </c>
      <c r="BH246" s="5" t="s">
        <v>67</v>
      </c>
      <c r="BI246" s="5" t="s">
        <v>210</v>
      </c>
      <c r="BJ246" s="5" t="s">
        <v>67</v>
      </c>
      <c r="BK246" s="5" t="s">
        <v>2159</v>
      </c>
      <c r="BL246" s="5" t="s">
        <v>1015</v>
      </c>
      <c r="BM246" s="5" t="s">
        <v>67</v>
      </c>
      <c r="BN246" s="5" t="s">
        <v>67</v>
      </c>
      <c r="BO246" s="5" t="s">
        <v>67</v>
      </c>
    </row>
    <row r="247" spans="1:67" ht="409.5" x14ac:dyDescent="0.25">
      <c r="A247" s="3">
        <v>2146189463</v>
      </c>
      <c r="B247" s="4">
        <v>43047</v>
      </c>
      <c r="G247" s="3">
        <v>2146189556</v>
      </c>
      <c r="H247" s="5" t="s">
        <v>2257</v>
      </c>
      <c r="I247" s="3" t="b">
        <v>0</v>
      </c>
      <c r="J247" s="3" t="b">
        <v>1</v>
      </c>
      <c r="K247" s="3" t="b">
        <v>0</v>
      </c>
      <c r="L247" s="3" t="b">
        <v>1</v>
      </c>
      <c r="M247" s="3" t="b">
        <v>0</v>
      </c>
      <c r="N247" s="3" t="b">
        <v>1</v>
      </c>
      <c r="O247" s="3" t="b">
        <v>0</v>
      </c>
      <c r="P247" s="3" t="b">
        <v>1</v>
      </c>
      <c r="Q247" s="3" t="b">
        <v>1</v>
      </c>
      <c r="R247" s="3" t="s">
        <v>2258</v>
      </c>
      <c r="S247" s="5" t="s">
        <v>67</v>
      </c>
      <c r="T247" s="3" t="b">
        <v>1</v>
      </c>
      <c r="U247" s="3" t="b">
        <v>0</v>
      </c>
      <c r="V247" s="5" t="s">
        <v>2259</v>
      </c>
      <c r="W247" s="5" t="s">
        <v>2260</v>
      </c>
      <c r="X247" s="3" t="b">
        <v>0</v>
      </c>
      <c r="Y247" s="3" t="b">
        <v>0</v>
      </c>
      <c r="Z247" s="3" t="b">
        <v>0</v>
      </c>
      <c r="AA247" s="3" t="b">
        <v>0</v>
      </c>
      <c r="AB247" s="5" t="s">
        <v>2261</v>
      </c>
      <c r="AC247" s="5" t="s">
        <v>2262</v>
      </c>
      <c r="AD247" s="5" t="s">
        <v>67</v>
      </c>
      <c r="AE247" s="5" t="s">
        <v>67</v>
      </c>
      <c r="AF247" s="5" t="s">
        <v>2263</v>
      </c>
      <c r="AG247" s="5" t="s">
        <v>67</v>
      </c>
      <c r="AH247" s="5" t="s">
        <v>2264</v>
      </c>
      <c r="AI247" s="5" t="s">
        <v>2265</v>
      </c>
      <c r="AJ247" s="5" t="s">
        <v>2266</v>
      </c>
      <c r="AK247" s="5" t="s">
        <v>2267</v>
      </c>
      <c r="AL247" s="5" t="s">
        <v>67</v>
      </c>
      <c r="AM247" s="5" t="s">
        <v>2268</v>
      </c>
      <c r="AN247" s="5" t="s">
        <v>2269</v>
      </c>
      <c r="AO247" s="5" t="s">
        <v>67</v>
      </c>
      <c r="AP247" s="5" t="s">
        <v>67</v>
      </c>
      <c r="AQ247" s="5" t="s">
        <v>67</v>
      </c>
      <c r="AR247" s="5" t="s">
        <v>67</v>
      </c>
      <c r="AS247" s="3">
        <v>2146189714</v>
      </c>
      <c r="AT247" s="3">
        <v>2146189417</v>
      </c>
      <c r="AU247" s="3">
        <v>2146189591</v>
      </c>
      <c r="AW247" s="5" t="s">
        <v>67</v>
      </c>
      <c r="AX247" s="5" t="s">
        <v>67</v>
      </c>
      <c r="AY247" s="5" t="s">
        <v>67</v>
      </c>
      <c r="AZ247" s="5" t="s">
        <v>67</v>
      </c>
      <c r="BA247" s="3">
        <v>2146189464</v>
      </c>
      <c r="BB247" s="3">
        <v>2146189497</v>
      </c>
      <c r="BD247" s="3">
        <v>2146189025</v>
      </c>
      <c r="BE247" s="3">
        <v>2146188982</v>
      </c>
      <c r="BF247" s="5" t="s">
        <v>67</v>
      </c>
      <c r="BG247" s="5" t="s">
        <v>2270</v>
      </c>
      <c r="BH247" s="5" t="s">
        <v>2271</v>
      </c>
      <c r="BI247" s="5" t="s">
        <v>74</v>
      </c>
      <c r="BJ247" s="5" t="s">
        <v>67</v>
      </c>
      <c r="BK247" s="5" t="s">
        <v>2272</v>
      </c>
      <c r="BL247" s="5" t="s">
        <v>2273</v>
      </c>
      <c r="BM247" s="5" t="s">
        <v>2274</v>
      </c>
      <c r="BN247" s="5" t="s">
        <v>2275</v>
      </c>
      <c r="BO247" s="5" t="s">
        <v>2276</v>
      </c>
    </row>
    <row r="248" spans="1:67" ht="409.5" x14ac:dyDescent="0.25">
      <c r="A248" s="3">
        <v>2146189466</v>
      </c>
      <c r="B248" s="4">
        <v>42843</v>
      </c>
      <c r="C248" s="3">
        <v>2146189467</v>
      </c>
      <c r="H248" s="5" t="s">
        <v>2277</v>
      </c>
      <c r="I248" s="3" t="b">
        <v>0</v>
      </c>
      <c r="J248" s="3" t="b">
        <v>0</v>
      </c>
      <c r="K248" s="3" t="b">
        <v>0</v>
      </c>
      <c r="L248" s="3" t="b">
        <v>1</v>
      </c>
      <c r="M248" s="3" t="b">
        <v>1</v>
      </c>
      <c r="N248" s="3" t="b">
        <v>0</v>
      </c>
      <c r="O248" s="3" t="b">
        <v>0</v>
      </c>
      <c r="P248" s="3" t="b">
        <v>0</v>
      </c>
      <c r="Q248" s="3" t="b">
        <v>0</v>
      </c>
      <c r="R248" s="3" t="s">
        <v>2278</v>
      </c>
      <c r="S248" s="5" t="s">
        <v>2279</v>
      </c>
      <c r="T248" s="3" t="b">
        <v>0</v>
      </c>
      <c r="U248" s="3" t="b">
        <v>0</v>
      </c>
      <c r="V248" s="5" t="s">
        <v>2280</v>
      </c>
      <c r="W248" s="5" t="s">
        <v>2281</v>
      </c>
      <c r="X248" s="3" t="b">
        <v>0</v>
      </c>
      <c r="Y248" s="3" t="b">
        <v>0</v>
      </c>
      <c r="Z248" s="3" t="b">
        <v>0</v>
      </c>
      <c r="AA248" s="3" t="b">
        <v>1</v>
      </c>
      <c r="AB248" s="5" t="s">
        <v>2282</v>
      </c>
      <c r="AC248" s="5" t="s">
        <v>2283</v>
      </c>
      <c r="AD248" s="5" t="s">
        <v>67</v>
      </c>
      <c r="AE248" s="5" t="s">
        <v>67</v>
      </c>
      <c r="AF248" s="5" t="s">
        <v>2284</v>
      </c>
      <c r="AG248" s="5" t="s">
        <v>67</v>
      </c>
      <c r="AH248" s="5" t="s">
        <v>2285</v>
      </c>
      <c r="AI248" s="5" t="s">
        <v>2286</v>
      </c>
      <c r="AJ248" s="5" t="s">
        <v>67</v>
      </c>
      <c r="AK248" s="5" t="s">
        <v>67</v>
      </c>
      <c r="AL248" s="5" t="s">
        <v>67</v>
      </c>
      <c r="AM248" s="5" t="s">
        <v>2287</v>
      </c>
      <c r="AN248" s="5" t="s">
        <v>2288</v>
      </c>
      <c r="AO248" s="5" t="s">
        <v>67</v>
      </c>
      <c r="AP248" s="5" t="s">
        <v>67</v>
      </c>
      <c r="AQ248" s="5" t="s">
        <v>67</v>
      </c>
      <c r="AR248" s="5" t="s">
        <v>67</v>
      </c>
      <c r="AS248" s="3">
        <v>2146189636</v>
      </c>
      <c r="AT248" s="3">
        <v>2146189417</v>
      </c>
      <c r="AW248" s="5" t="s">
        <v>67</v>
      </c>
      <c r="AX248" s="5" t="s">
        <v>67</v>
      </c>
      <c r="AY248" s="5" t="s">
        <v>67</v>
      </c>
      <c r="AZ248" s="5" t="s">
        <v>67</v>
      </c>
      <c r="BA248" s="3">
        <v>2146189468</v>
      </c>
      <c r="BF248" s="5" t="s">
        <v>67</v>
      </c>
      <c r="BG248" s="5" t="s">
        <v>67</v>
      </c>
      <c r="BH248" s="5" t="s">
        <v>2289</v>
      </c>
      <c r="BI248" s="5" t="s">
        <v>210</v>
      </c>
      <c r="BJ248" s="5" t="s">
        <v>2290</v>
      </c>
      <c r="BK248" s="5" t="s">
        <v>2291</v>
      </c>
      <c r="BL248" s="5" t="s">
        <v>2292</v>
      </c>
      <c r="BM248" s="5" t="s">
        <v>67</v>
      </c>
      <c r="BN248" s="5" t="s">
        <v>2293</v>
      </c>
      <c r="BO248" s="5" t="s">
        <v>67</v>
      </c>
    </row>
    <row r="249" spans="1:67" ht="315" x14ac:dyDescent="0.25">
      <c r="A249" s="3">
        <v>2146189469</v>
      </c>
      <c r="B249" s="4">
        <v>42241</v>
      </c>
      <c r="C249" s="3">
        <v>2146189470</v>
      </c>
      <c r="H249" s="5" t="s">
        <v>67</v>
      </c>
      <c r="I249" s="3" t="b">
        <v>0</v>
      </c>
      <c r="J249" s="3" t="b">
        <v>0</v>
      </c>
      <c r="K249" s="3" t="b">
        <v>0</v>
      </c>
      <c r="L249" s="3" t="b">
        <v>1</v>
      </c>
      <c r="M249" s="3" t="b">
        <v>1</v>
      </c>
      <c r="N249" s="3" t="b">
        <v>0</v>
      </c>
      <c r="O249" s="3" t="b">
        <v>0</v>
      </c>
      <c r="P249" s="3" t="b">
        <v>0</v>
      </c>
      <c r="Q249" s="3" t="b">
        <v>0</v>
      </c>
      <c r="R249" s="3" t="s">
        <v>613</v>
      </c>
      <c r="S249" s="5" t="s">
        <v>91</v>
      </c>
      <c r="T249" s="3" t="b">
        <v>0</v>
      </c>
      <c r="U249" s="3" t="b">
        <v>0</v>
      </c>
      <c r="V249" s="5" t="s">
        <v>2294</v>
      </c>
      <c r="W249" s="5" t="s">
        <v>2295</v>
      </c>
      <c r="X249" s="3" t="b">
        <v>0</v>
      </c>
      <c r="Y249" s="3" t="b">
        <v>0</v>
      </c>
      <c r="Z249" s="3" t="b">
        <v>0</v>
      </c>
      <c r="AA249" s="3" t="b">
        <v>0</v>
      </c>
      <c r="AB249" s="5" t="s">
        <v>2296</v>
      </c>
      <c r="AC249" s="5" t="s">
        <v>2297</v>
      </c>
      <c r="AD249" s="5" t="s">
        <v>67</v>
      </c>
      <c r="AE249" s="5" t="s">
        <v>67</v>
      </c>
      <c r="AF249" s="5" t="s">
        <v>2298</v>
      </c>
      <c r="AG249" s="5" t="s">
        <v>67</v>
      </c>
      <c r="AH249" s="5" t="s">
        <v>2299</v>
      </c>
      <c r="AI249" s="5" t="s">
        <v>67</v>
      </c>
      <c r="AJ249" s="5" t="s">
        <v>2300</v>
      </c>
      <c r="AK249" s="5" t="s">
        <v>2301</v>
      </c>
      <c r="AL249" s="5" t="s">
        <v>2302</v>
      </c>
      <c r="AM249" s="5" t="s">
        <v>2303</v>
      </c>
      <c r="AN249" s="5" t="s">
        <v>67</v>
      </c>
      <c r="AO249" s="5" t="s">
        <v>2304</v>
      </c>
      <c r="AP249" s="5" t="s">
        <v>2305</v>
      </c>
      <c r="AQ249" s="5" t="s">
        <v>67</v>
      </c>
      <c r="AR249" s="5" t="s">
        <v>67</v>
      </c>
      <c r="AW249" s="5" t="s">
        <v>67</v>
      </c>
      <c r="AX249" s="5" t="s">
        <v>67</v>
      </c>
      <c r="AY249" s="5" t="s">
        <v>67</v>
      </c>
      <c r="AZ249" s="5" t="s">
        <v>67</v>
      </c>
      <c r="BF249" s="5" t="s">
        <v>67</v>
      </c>
      <c r="BG249" s="5" t="s">
        <v>1998</v>
      </c>
      <c r="BH249" s="5" t="s">
        <v>2306</v>
      </c>
      <c r="BI249" s="5" t="s">
        <v>74</v>
      </c>
      <c r="BJ249" s="5" t="s">
        <v>67</v>
      </c>
      <c r="BK249" s="5" t="s">
        <v>2307</v>
      </c>
      <c r="BL249" s="5" t="s">
        <v>2308</v>
      </c>
      <c r="BM249" s="5" t="s">
        <v>67</v>
      </c>
      <c r="BN249" s="5" t="s">
        <v>67</v>
      </c>
      <c r="BO249" s="5" t="s">
        <v>67</v>
      </c>
    </row>
    <row r="250" spans="1:67" ht="180" x14ac:dyDescent="0.25">
      <c r="A250" s="3">
        <v>2146189471</v>
      </c>
      <c r="B250" s="4">
        <v>42241</v>
      </c>
      <c r="C250" s="3">
        <v>2146189473</v>
      </c>
      <c r="G250" s="3">
        <v>2146189473</v>
      </c>
      <c r="H250" s="5" t="s">
        <v>67</v>
      </c>
      <c r="I250" s="3" t="b">
        <v>0</v>
      </c>
      <c r="J250" s="3" t="b">
        <v>0</v>
      </c>
      <c r="K250" s="3" t="b">
        <v>0</v>
      </c>
      <c r="L250" s="3" t="b">
        <v>1</v>
      </c>
      <c r="M250" s="3" t="b">
        <v>1</v>
      </c>
      <c r="N250" s="3" t="b">
        <v>0</v>
      </c>
      <c r="O250" s="3" t="b">
        <v>0</v>
      </c>
      <c r="P250" s="3" t="b">
        <v>0</v>
      </c>
      <c r="Q250" s="3" t="b">
        <v>0</v>
      </c>
      <c r="R250" s="3" t="s">
        <v>2309</v>
      </c>
      <c r="S250" s="5" t="s">
        <v>2310</v>
      </c>
      <c r="T250" s="3" t="b">
        <v>1</v>
      </c>
      <c r="U250" s="3" t="b">
        <v>0</v>
      </c>
      <c r="V250" s="5" t="s">
        <v>2311</v>
      </c>
      <c r="W250" s="5" t="s">
        <v>2312</v>
      </c>
      <c r="X250" s="3" t="b">
        <v>0</v>
      </c>
      <c r="Y250" s="3" t="b">
        <v>0</v>
      </c>
      <c r="Z250" s="3" t="b">
        <v>0</v>
      </c>
      <c r="AA250" s="3" t="b">
        <v>0</v>
      </c>
      <c r="AB250" s="5" t="s">
        <v>2313</v>
      </c>
      <c r="AC250" s="5" t="s">
        <v>2314</v>
      </c>
      <c r="AD250" s="5" t="s">
        <v>2315</v>
      </c>
      <c r="AE250" s="5" t="s">
        <v>67</v>
      </c>
      <c r="AF250" s="5" t="s">
        <v>2316</v>
      </c>
      <c r="AG250" s="5" t="s">
        <v>67</v>
      </c>
      <c r="AH250" s="5" t="s">
        <v>2317</v>
      </c>
      <c r="AI250" s="5" t="s">
        <v>67</v>
      </c>
      <c r="AJ250" s="5" t="s">
        <v>67</v>
      </c>
      <c r="AK250" s="5" t="s">
        <v>67</v>
      </c>
      <c r="AL250" s="5" t="s">
        <v>67</v>
      </c>
      <c r="AM250" s="5" t="s">
        <v>573</v>
      </c>
      <c r="AN250" s="5" t="s">
        <v>2318</v>
      </c>
      <c r="AO250" s="5" t="s">
        <v>67</v>
      </c>
      <c r="AP250" s="5" t="s">
        <v>2319</v>
      </c>
      <c r="AQ250" s="5" t="s">
        <v>67</v>
      </c>
      <c r="AR250" s="5" t="s">
        <v>67</v>
      </c>
      <c r="AW250" s="5" t="s">
        <v>67</v>
      </c>
      <c r="AX250" s="5" t="s">
        <v>67</v>
      </c>
      <c r="AY250" s="5" t="s">
        <v>67</v>
      </c>
      <c r="AZ250" s="5" t="s">
        <v>67</v>
      </c>
      <c r="BA250" s="3">
        <v>2146189548</v>
      </c>
      <c r="BD250" s="3">
        <v>2146189275</v>
      </c>
      <c r="BF250" s="5" t="s">
        <v>2320</v>
      </c>
      <c r="BG250" s="5" t="s">
        <v>2248</v>
      </c>
      <c r="BH250" s="5" t="s">
        <v>67</v>
      </c>
      <c r="BI250" s="5" t="s">
        <v>67</v>
      </c>
      <c r="BJ250" s="5" t="s">
        <v>2321</v>
      </c>
      <c r="BK250" s="5" t="s">
        <v>2322</v>
      </c>
      <c r="BL250" s="5" t="s">
        <v>2323</v>
      </c>
      <c r="BM250" s="5" t="s">
        <v>67</v>
      </c>
      <c r="BN250" s="5" t="s">
        <v>2324</v>
      </c>
      <c r="BO250" s="5" t="s">
        <v>67</v>
      </c>
    </row>
    <row r="251" spans="1:67" ht="285" x14ac:dyDescent="0.25">
      <c r="A251" s="3">
        <v>2146189475</v>
      </c>
      <c r="B251" s="4">
        <v>41822</v>
      </c>
      <c r="C251" s="3">
        <v>2146189474</v>
      </c>
      <c r="H251" s="5" t="s">
        <v>67</v>
      </c>
      <c r="I251" s="3" t="b">
        <v>0</v>
      </c>
      <c r="J251" s="3" t="b">
        <v>0</v>
      </c>
      <c r="K251" s="3" t="b">
        <v>0</v>
      </c>
      <c r="L251" s="3" t="b">
        <v>0</v>
      </c>
      <c r="M251" s="3" t="b">
        <v>1</v>
      </c>
      <c r="N251" s="3" t="b">
        <v>0</v>
      </c>
      <c r="O251" s="3" t="b">
        <v>0</v>
      </c>
      <c r="P251" s="3" t="b">
        <v>0</v>
      </c>
      <c r="Q251" s="3" t="b">
        <v>0</v>
      </c>
      <c r="R251" s="3" t="s">
        <v>67</v>
      </c>
      <c r="S251" s="5" t="s">
        <v>2325</v>
      </c>
      <c r="T251" s="3" t="b">
        <v>0</v>
      </c>
      <c r="U251" s="3" t="b">
        <v>0</v>
      </c>
      <c r="V251" s="5" t="s">
        <v>2326</v>
      </c>
      <c r="W251" s="5" t="s">
        <v>2327</v>
      </c>
      <c r="X251" s="3" t="b">
        <v>0</v>
      </c>
      <c r="Y251" s="3" t="b">
        <v>1</v>
      </c>
      <c r="Z251" s="3" t="b">
        <v>0</v>
      </c>
      <c r="AA251" s="3" t="b">
        <v>0</v>
      </c>
      <c r="AB251" s="5" t="s">
        <v>2328</v>
      </c>
      <c r="AC251" s="5" t="s">
        <v>2329</v>
      </c>
      <c r="AD251" s="5" t="s">
        <v>67</v>
      </c>
      <c r="AE251" s="5" t="s">
        <v>67</v>
      </c>
      <c r="AF251" s="5" t="s">
        <v>2330</v>
      </c>
      <c r="AG251" s="5" t="s">
        <v>67</v>
      </c>
      <c r="AH251" s="5" t="s">
        <v>2331</v>
      </c>
      <c r="AI251" s="5" t="s">
        <v>2332</v>
      </c>
      <c r="AJ251" s="5" t="s">
        <v>67</v>
      </c>
      <c r="AK251" s="5" t="s">
        <v>67</v>
      </c>
      <c r="AL251" s="5" t="s">
        <v>67</v>
      </c>
      <c r="AM251" s="5" t="s">
        <v>67</v>
      </c>
      <c r="AN251" s="5" t="s">
        <v>67</v>
      </c>
      <c r="AO251" s="5" t="s">
        <v>67</v>
      </c>
      <c r="AP251" s="5" t="s">
        <v>67</v>
      </c>
      <c r="AQ251" s="5" t="s">
        <v>67</v>
      </c>
      <c r="AR251" s="5" t="s">
        <v>67</v>
      </c>
      <c r="AW251" s="5" t="s">
        <v>67</v>
      </c>
      <c r="AX251" s="5" t="s">
        <v>67</v>
      </c>
      <c r="AY251" s="5" t="s">
        <v>67</v>
      </c>
      <c r="AZ251" s="5" t="s">
        <v>67</v>
      </c>
      <c r="BA251" s="3">
        <v>2146189468</v>
      </c>
      <c r="BF251" s="5" t="s">
        <v>67</v>
      </c>
      <c r="BG251" s="5" t="s">
        <v>2289</v>
      </c>
      <c r="BH251" s="5" t="s">
        <v>67</v>
      </c>
      <c r="BI251" s="5" t="s">
        <v>210</v>
      </c>
      <c r="BJ251" s="5" t="s">
        <v>2290</v>
      </c>
      <c r="BK251" s="5" t="s">
        <v>2333</v>
      </c>
      <c r="BL251" s="5" t="s">
        <v>67</v>
      </c>
      <c r="BM251" s="5" t="s">
        <v>67</v>
      </c>
      <c r="BN251" s="5" t="s">
        <v>213</v>
      </c>
      <c r="BO251" s="5" t="s">
        <v>67</v>
      </c>
    </row>
    <row r="252" spans="1:67" ht="75" x14ac:dyDescent="0.25">
      <c r="A252" s="3">
        <v>2146189476</v>
      </c>
      <c r="B252" s="4">
        <v>42529</v>
      </c>
      <c r="H252" s="5" t="s">
        <v>67</v>
      </c>
      <c r="I252" s="3" t="b">
        <v>0</v>
      </c>
      <c r="J252" s="3" t="b">
        <v>0</v>
      </c>
      <c r="K252" s="3" t="b">
        <v>0</v>
      </c>
      <c r="L252" s="3" t="b">
        <v>0</v>
      </c>
      <c r="M252" s="3" t="b">
        <v>0</v>
      </c>
      <c r="N252" s="3" t="b">
        <v>0</v>
      </c>
      <c r="O252" s="3" t="b">
        <v>0</v>
      </c>
      <c r="P252" s="3" t="b">
        <v>0</v>
      </c>
      <c r="Q252" s="3" t="b">
        <v>0</v>
      </c>
      <c r="R252" s="3" t="s">
        <v>67</v>
      </c>
      <c r="S252" s="5" t="s">
        <v>67</v>
      </c>
      <c r="T252" s="3" t="b">
        <v>0</v>
      </c>
      <c r="U252" s="3" t="b">
        <v>0</v>
      </c>
      <c r="V252" s="5" t="s">
        <v>67</v>
      </c>
      <c r="W252" s="5" t="s">
        <v>67</v>
      </c>
      <c r="X252" s="3" t="b">
        <v>0</v>
      </c>
      <c r="Y252" s="3" t="b">
        <v>0</v>
      </c>
      <c r="Z252" s="3" t="b">
        <v>0</v>
      </c>
      <c r="AA252" s="3" t="b">
        <v>0</v>
      </c>
      <c r="AB252" s="5" t="s">
        <v>67</v>
      </c>
      <c r="AC252" s="5" t="s">
        <v>67</v>
      </c>
      <c r="AD252" s="5" t="s">
        <v>67</v>
      </c>
      <c r="AE252" s="5" t="s">
        <v>67</v>
      </c>
      <c r="AF252" s="5" t="s">
        <v>67</v>
      </c>
      <c r="AG252" s="5" t="s">
        <v>67</v>
      </c>
      <c r="AH252" s="5" t="s">
        <v>67</v>
      </c>
      <c r="AI252" s="5" t="s">
        <v>67</v>
      </c>
      <c r="AJ252" s="5" t="s">
        <v>67</v>
      </c>
      <c r="AK252" s="5" t="s">
        <v>67</v>
      </c>
      <c r="AL252" s="5" t="s">
        <v>67</v>
      </c>
      <c r="AM252" s="5" t="s">
        <v>67</v>
      </c>
      <c r="AN252" s="5" t="s">
        <v>67</v>
      </c>
      <c r="AO252" s="5" t="s">
        <v>67</v>
      </c>
      <c r="AP252" s="5" t="s">
        <v>67</v>
      </c>
      <c r="AQ252" s="5" t="s">
        <v>67</v>
      </c>
      <c r="AR252" s="5" t="s">
        <v>67</v>
      </c>
      <c r="AS252" s="3">
        <v>2146189264</v>
      </c>
      <c r="AW252" s="5" t="s">
        <v>67</v>
      </c>
      <c r="AX252" s="5" t="s">
        <v>67</v>
      </c>
      <c r="AY252" s="5" t="s">
        <v>67</v>
      </c>
      <c r="AZ252" s="5" t="s">
        <v>67</v>
      </c>
      <c r="BF252" s="5" t="s">
        <v>67</v>
      </c>
      <c r="BG252" s="5" t="s">
        <v>2334</v>
      </c>
      <c r="BH252" s="5" t="s">
        <v>2335</v>
      </c>
      <c r="BI252" s="5" t="s">
        <v>210</v>
      </c>
      <c r="BJ252" s="5" t="s">
        <v>67</v>
      </c>
      <c r="BK252" s="5" t="s">
        <v>67</v>
      </c>
      <c r="BL252" s="5" t="s">
        <v>2336</v>
      </c>
      <c r="BM252" s="5" t="s">
        <v>67</v>
      </c>
      <c r="BN252" s="5" t="s">
        <v>67</v>
      </c>
      <c r="BO252" s="5" t="s">
        <v>67</v>
      </c>
    </row>
    <row r="253" spans="1:67" ht="375" x14ac:dyDescent="0.25">
      <c r="A253" s="3">
        <v>2146189477</v>
      </c>
      <c r="B253" s="4">
        <v>41918</v>
      </c>
      <c r="C253" s="3">
        <v>1300892519</v>
      </c>
      <c r="G253" s="3">
        <v>1300892519</v>
      </c>
      <c r="H253" s="5" t="s">
        <v>67</v>
      </c>
      <c r="I253" s="3" t="b">
        <v>0</v>
      </c>
      <c r="J253" s="3" t="b">
        <v>0</v>
      </c>
      <c r="K253" s="3" t="b">
        <v>0</v>
      </c>
      <c r="L253" s="3" t="b">
        <v>0</v>
      </c>
      <c r="M253" s="3" t="b">
        <v>1</v>
      </c>
      <c r="N253" s="3" t="b">
        <v>0</v>
      </c>
      <c r="O253" s="3" t="b">
        <v>0</v>
      </c>
      <c r="P253" s="3" t="b">
        <v>0</v>
      </c>
      <c r="Q253" s="3" t="b">
        <v>0</v>
      </c>
      <c r="R253" s="3" t="s">
        <v>2337</v>
      </c>
      <c r="S253" s="5" t="s">
        <v>67</v>
      </c>
      <c r="T253" s="3" t="b">
        <v>1</v>
      </c>
      <c r="U253" s="3" t="b">
        <v>0</v>
      </c>
      <c r="V253" s="5" t="s">
        <v>2338</v>
      </c>
      <c r="W253" s="5" t="s">
        <v>2339</v>
      </c>
      <c r="X253" s="3" t="b">
        <v>0</v>
      </c>
      <c r="Y253" s="3" t="b">
        <v>0</v>
      </c>
      <c r="Z253" s="3" t="b">
        <v>0</v>
      </c>
      <c r="AA253" s="3" t="b">
        <v>1</v>
      </c>
      <c r="AB253" s="5" t="s">
        <v>67</v>
      </c>
      <c r="AC253" s="5" t="s">
        <v>67</v>
      </c>
      <c r="AD253" s="5" t="s">
        <v>2340</v>
      </c>
      <c r="AE253" s="5" t="s">
        <v>67</v>
      </c>
      <c r="AF253" s="5" t="s">
        <v>67</v>
      </c>
      <c r="AG253" s="5" t="s">
        <v>2341</v>
      </c>
      <c r="AH253" s="5" t="s">
        <v>2342</v>
      </c>
      <c r="AI253" s="5" t="s">
        <v>67</v>
      </c>
      <c r="AJ253" s="5" t="s">
        <v>67</v>
      </c>
      <c r="AK253" s="5" t="s">
        <v>67</v>
      </c>
      <c r="AL253" s="5" t="s">
        <v>67</v>
      </c>
      <c r="AM253" s="5" t="s">
        <v>67</v>
      </c>
      <c r="AN253" s="5" t="s">
        <v>67</v>
      </c>
      <c r="AO253" s="5" t="s">
        <v>67</v>
      </c>
      <c r="AP253" s="5" t="s">
        <v>67</v>
      </c>
      <c r="AQ253" s="5" t="s">
        <v>67</v>
      </c>
      <c r="AR253" s="5" t="s">
        <v>67</v>
      </c>
      <c r="AW253" s="5" t="s">
        <v>67</v>
      </c>
      <c r="AX253" s="5" t="s">
        <v>67</v>
      </c>
      <c r="AY253" s="5" t="s">
        <v>67</v>
      </c>
      <c r="AZ253" s="5" t="s">
        <v>67</v>
      </c>
      <c r="BF253" s="5" t="s">
        <v>67</v>
      </c>
      <c r="BG253" s="5" t="s">
        <v>2343</v>
      </c>
      <c r="BH253" s="5" t="s">
        <v>2344</v>
      </c>
      <c r="BI253" s="5" t="s">
        <v>210</v>
      </c>
      <c r="BJ253" s="5" t="s">
        <v>67</v>
      </c>
      <c r="BK253" s="5" t="s">
        <v>67</v>
      </c>
      <c r="BL253" s="5" t="s">
        <v>67</v>
      </c>
      <c r="BM253" s="5" t="s">
        <v>67</v>
      </c>
      <c r="BN253" s="5" t="s">
        <v>67</v>
      </c>
      <c r="BO253" s="5" t="s">
        <v>67</v>
      </c>
    </row>
    <row r="254" spans="1:67" ht="345" x14ac:dyDescent="0.25">
      <c r="A254" s="3">
        <v>2146189478</v>
      </c>
      <c r="B254" s="4">
        <v>42997</v>
      </c>
      <c r="C254" s="3">
        <v>2146189481</v>
      </c>
      <c r="H254" s="5" t="s">
        <v>67</v>
      </c>
      <c r="I254" s="3" t="b">
        <v>0</v>
      </c>
      <c r="J254" s="3" t="b">
        <v>1</v>
      </c>
      <c r="K254" s="3" t="b">
        <v>0</v>
      </c>
      <c r="L254" s="3" t="b">
        <v>0</v>
      </c>
      <c r="M254" s="3" t="b">
        <v>1</v>
      </c>
      <c r="N254" s="3" t="b">
        <v>0</v>
      </c>
      <c r="O254" s="3" t="b">
        <v>0</v>
      </c>
      <c r="P254" s="3" t="b">
        <v>0</v>
      </c>
      <c r="Q254" s="3" t="b">
        <v>0</v>
      </c>
      <c r="R254" s="3" t="s">
        <v>2345</v>
      </c>
      <c r="S254" s="5" t="s">
        <v>2346</v>
      </c>
      <c r="T254" s="3" t="b">
        <v>0</v>
      </c>
      <c r="U254" s="3" t="b">
        <v>0</v>
      </c>
      <c r="V254" s="5" t="s">
        <v>2347</v>
      </c>
      <c r="W254" s="5" t="s">
        <v>67</v>
      </c>
      <c r="X254" s="3" t="b">
        <v>0</v>
      </c>
      <c r="Y254" s="3" t="b">
        <v>0</v>
      </c>
      <c r="Z254" s="3" t="b">
        <v>0</v>
      </c>
      <c r="AA254" s="3" t="b">
        <v>0</v>
      </c>
      <c r="AB254" s="5" t="s">
        <v>2348</v>
      </c>
      <c r="AC254" s="5" t="s">
        <v>67</v>
      </c>
      <c r="AD254" s="5" t="s">
        <v>67</v>
      </c>
      <c r="AE254" s="5" t="s">
        <v>67</v>
      </c>
      <c r="AF254" s="5" t="s">
        <v>67</v>
      </c>
      <c r="AG254" s="5" t="s">
        <v>2349</v>
      </c>
      <c r="AH254" s="5" t="s">
        <v>2350</v>
      </c>
      <c r="AI254" s="5" t="s">
        <v>67</v>
      </c>
      <c r="AJ254" s="5" t="s">
        <v>67</v>
      </c>
      <c r="AK254" s="5" t="s">
        <v>67</v>
      </c>
      <c r="AL254" s="5" t="s">
        <v>67</v>
      </c>
      <c r="AM254" s="5" t="s">
        <v>67</v>
      </c>
      <c r="AN254" s="5" t="s">
        <v>67</v>
      </c>
      <c r="AO254" s="5" t="s">
        <v>67</v>
      </c>
      <c r="AP254" s="5" t="s">
        <v>2351</v>
      </c>
      <c r="AQ254" s="5" t="s">
        <v>67</v>
      </c>
      <c r="AR254" s="5" t="s">
        <v>67</v>
      </c>
      <c r="AS254" s="3">
        <v>2146189576</v>
      </c>
      <c r="AT254" s="3">
        <v>2146189537</v>
      </c>
      <c r="AU254" s="3">
        <v>2146189417</v>
      </c>
      <c r="AW254" s="5" t="s">
        <v>67</v>
      </c>
      <c r="AX254" s="5" t="s">
        <v>67</v>
      </c>
      <c r="AY254" s="5" t="s">
        <v>67</v>
      </c>
      <c r="AZ254" s="5" t="s">
        <v>67</v>
      </c>
      <c r="BA254" s="3">
        <v>107</v>
      </c>
      <c r="BF254" s="5" t="s">
        <v>67</v>
      </c>
      <c r="BG254" s="5" t="s">
        <v>67</v>
      </c>
      <c r="BH254" s="5" t="s">
        <v>67</v>
      </c>
      <c r="BI254" s="5" t="s">
        <v>67</v>
      </c>
      <c r="BJ254" s="5" t="s">
        <v>67</v>
      </c>
      <c r="BK254" s="5" t="s">
        <v>67</v>
      </c>
      <c r="BL254" s="5" t="s">
        <v>67</v>
      </c>
      <c r="BM254" s="5" t="s">
        <v>67</v>
      </c>
      <c r="BN254" s="5" t="s">
        <v>67</v>
      </c>
      <c r="BO254" s="5" t="s">
        <v>67</v>
      </c>
    </row>
    <row r="255" spans="1:67" ht="75" x14ac:dyDescent="0.25">
      <c r="A255" s="3">
        <v>2146189479</v>
      </c>
      <c r="B255" s="4">
        <v>41858.619664351798</v>
      </c>
      <c r="H255" s="5" t="s">
        <v>67</v>
      </c>
      <c r="I255" s="3" t="b">
        <v>0</v>
      </c>
      <c r="J255" s="3" t="b">
        <v>0</v>
      </c>
      <c r="K255" s="3" t="b">
        <v>0</v>
      </c>
      <c r="L255" s="3" t="b">
        <v>0</v>
      </c>
      <c r="M255" s="3" t="b">
        <v>0</v>
      </c>
      <c r="N255" s="3" t="b">
        <v>0</v>
      </c>
      <c r="O255" s="3" t="b">
        <v>0</v>
      </c>
      <c r="P255" s="3" t="b">
        <v>1</v>
      </c>
      <c r="Q255" s="3" t="b">
        <v>0</v>
      </c>
      <c r="R255" s="3" t="s">
        <v>2352</v>
      </c>
      <c r="S255" s="5" t="s">
        <v>67</v>
      </c>
      <c r="T255" s="3" t="b">
        <v>0</v>
      </c>
      <c r="U255" s="3" t="b">
        <v>0</v>
      </c>
      <c r="V255" s="5" t="s">
        <v>67</v>
      </c>
      <c r="W255" s="5" t="s">
        <v>67</v>
      </c>
      <c r="X255" s="3" t="b">
        <v>0</v>
      </c>
      <c r="Y255" s="3" t="b">
        <v>0</v>
      </c>
      <c r="Z255" s="3" t="b">
        <v>0</v>
      </c>
      <c r="AA255" s="3" t="b">
        <v>0</v>
      </c>
      <c r="AB255" s="5" t="s">
        <v>67</v>
      </c>
      <c r="AC255" s="5" t="s">
        <v>2353</v>
      </c>
      <c r="AD255" s="5" t="s">
        <v>67</v>
      </c>
      <c r="AE255" s="5" t="s">
        <v>67</v>
      </c>
      <c r="AF255" s="5" t="s">
        <v>67</v>
      </c>
      <c r="AG255" s="5" t="s">
        <v>67</v>
      </c>
      <c r="AH255" s="5" t="s">
        <v>67</v>
      </c>
      <c r="AI255" s="5" t="s">
        <v>67</v>
      </c>
      <c r="AJ255" s="5" t="s">
        <v>67</v>
      </c>
      <c r="AK255" s="5" t="s">
        <v>67</v>
      </c>
      <c r="AL255" s="5" t="s">
        <v>67</v>
      </c>
      <c r="AM255" s="5" t="s">
        <v>67</v>
      </c>
      <c r="AN255" s="5" t="s">
        <v>67</v>
      </c>
      <c r="AO255" s="5" t="s">
        <v>67</v>
      </c>
      <c r="AP255" s="5" t="s">
        <v>67</v>
      </c>
      <c r="AQ255" s="5" t="s">
        <v>67</v>
      </c>
      <c r="AR255" s="5" t="s">
        <v>67</v>
      </c>
      <c r="AW255" s="5" t="s">
        <v>67</v>
      </c>
      <c r="AX255" s="5" t="s">
        <v>67</v>
      </c>
      <c r="AY255" s="5" t="s">
        <v>67</v>
      </c>
      <c r="AZ255" s="5" t="s">
        <v>67</v>
      </c>
      <c r="BF255" s="5" t="s">
        <v>67</v>
      </c>
      <c r="BG255" s="5" t="s">
        <v>67</v>
      </c>
      <c r="BH255" s="5" t="s">
        <v>67</v>
      </c>
      <c r="BI255" s="5" t="s">
        <v>67</v>
      </c>
      <c r="BJ255" s="5" t="s">
        <v>67</v>
      </c>
      <c r="BK255" s="5" t="s">
        <v>67</v>
      </c>
      <c r="BL255" s="5" t="s">
        <v>67</v>
      </c>
      <c r="BM255" s="5" t="s">
        <v>67</v>
      </c>
      <c r="BN255" s="5" t="s">
        <v>2354</v>
      </c>
      <c r="BO255" s="5" t="s">
        <v>67</v>
      </c>
    </row>
    <row r="256" spans="1:67" x14ac:dyDescent="0.25">
      <c r="A256" s="3">
        <v>2146189481</v>
      </c>
      <c r="B256" s="4">
        <v>41822</v>
      </c>
      <c r="H256" s="5" t="s">
        <v>67</v>
      </c>
      <c r="I256" s="3" t="b">
        <v>0</v>
      </c>
      <c r="J256" s="3" t="b">
        <v>0</v>
      </c>
      <c r="K256" s="3" t="b">
        <v>0</v>
      </c>
      <c r="L256" s="3" t="b">
        <v>0</v>
      </c>
      <c r="M256" s="3" t="b">
        <v>0</v>
      </c>
      <c r="N256" s="3" t="b">
        <v>0</v>
      </c>
      <c r="O256" s="3" t="b">
        <v>0</v>
      </c>
      <c r="P256" s="3" t="b">
        <v>0</v>
      </c>
      <c r="Q256" s="3" t="b">
        <v>0</v>
      </c>
      <c r="R256" s="3" t="s">
        <v>67</v>
      </c>
      <c r="S256" s="5" t="s">
        <v>67</v>
      </c>
      <c r="T256" s="3" t="b">
        <v>0</v>
      </c>
      <c r="U256" s="3" t="b">
        <v>0</v>
      </c>
      <c r="V256" s="5" t="s">
        <v>67</v>
      </c>
      <c r="W256" s="5" t="s">
        <v>67</v>
      </c>
      <c r="X256" s="3" t="b">
        <v>0</v>
      </c>
      <c r="Y256" s="3" t="b">
        <v>0</v>
      </c>
      <c r="Z256" s="3" t="b">
        <v>0</v>
      </c>
      <c r="AA256" s="3" t="b">
        <v>0</v>
      </c>
      <c r="AB256" s="5" t="s">
        <v>67</v>
      </c>
      <c r="AC256" s="5" t="s">
        <v>67</v>
      </c>
      <c r="AD256" s="5" t="s">
        <v>67</v>
      </c>
      <c r="AE256" s="5" t="s">
        <v>67</v>
      </c>
      <c r="AF256" s="5" t="s">
        <v>67</v>
      </c>
      <c r="AG256" s="5" t="s">
        <v>67</v>
      </c>
      <c r="AH256" s="5" t="s">
        <v>67</v>
      </c>
      <c r="AI256" s="5" t="s">
        <v>67</v>
      </c>
      <c r="AJ256" s="5" t="s">
        <v>67</v>
      </c>
      <c r="AK256" s="5" t="s">
        <v>67</v>
      </c>
      <c r="AL256" s="5" t="s">
        <v>67</v>
      </c>
      <c r="AM256" s="5" t="s">
        <v>67</v>
      </c>
      <c r="AN256" s="5" t="s">
        <v>67</v>
      </c>
      <c r="AO256" s="5" t="s">
        <v>67</v>
      </c>
      <c r="AP256" s="5" t="s">
        <v>67</v>
      </c>
      <c r="AQ256" s="5" t="s">
        <v>67</v>
      </c>
      <c r="AR256" s="5" t="s">
        <v>67</v>
      </c>
      <c r="AW256" s="5" t="s">
        <v>67</v>
      </c>
      <c r="AX256" s="5" t="s">
        <v>67</v>
      </c>
      <c r="AY256" s="5" t="s">
        <v>67</v>
      </c>
      <c r="AZ256" s="5" t="s">
        <v>67</v>
      </c>
      <c r="BF256" s="5" t="s">
        <v>67</v>
      </c>
      <c r="BG256" s="5" t="s">
        <v>67</v>
      </c>
      <c r="BH256" s="5" t="s">
        <v>67</v>
      </c>
      <c r="BI256" s="5" t="s">
        <v>67</v>
      </c>
      <c r="BJ256" s="5" t="s">
        <v>67</v>
      </c>
      <c r="BK256" s="5" t="s">
        <v>67</v>
      </c>
      <c r="BL256" s="5" t="s">
        <v>67</v>
      </c>
      <c r="BM256" s="5" t="s">
        <v>67</v>
      </c>
      <c r="BN256" s="5" t="s">
        <v>67</v>
      </c>
      <c r="BO256" s="5" t="s">
        <v>67</v>
      </c>
    </row>
    <row r="257" spans="1:67" x14ac:dyDescent="0.25">
      <c r="A257" s="3">
        <v>2146189492</v>
      </c>
      <c r="B257" s="4">
        <v>41858.574687499997</v>
      </c>
      <c r="H257" s="5" t="s">
        <v>67</v>
      </c>
      <c r="I257" s="3" t="b">
        <v>0</v>
      </c>
      <c r="J257" s="3" t="b">
        <v>0</v>
      </c>
      <c r="K257" s="3" t="b">
        <v>0</v>
      </c>
      <c r="L257" s="3" t="b">
        <v>0</v>
      </c>
      <c r="M257" s="3" t="b">
        <v>0</v>
      </c>
      <c r="N257" s="3" t="b">
        <v>1</v>
      </c>
      <c r="O257" s="3" t="b">
        <v>0</v>
      </c>
      <c r="P257" s="3" t="b">
        <v>1</v>
      </c>
      <c r="Q257" s="3" t="b">
        <v>0</v>
      </c>
      <c r="R257" s="3" t="s">
        <v>67</v>
      </c>
      <c r="S257" s="5" t="s">
        <v>67</v>
      </c>
      <c r="T257" s="3" t="b">
        <v>0</v>
      </c>
      <c r="U257" s="3" t="b">
        <v>0</v>
      </c>
      <c r="V257" s="5" t="s">
        <v>67</v>
      </c>
      <c r="W257" s="5" t="s">
        <v>67</v>
      </c>
      <c r="X257" s="3" t="b">
        <v>0</v>
      </c>
      <c r="Y257" s="3" t="b">
        <v>0</v>
      </c>
      <c r="Z257" s="3" t="b">
        <v>0</v>
      </c>
      <c r="AA257" s="3" t="b">
        <v>0</v>
      </c>
      <c r="AB257" s="5" t="s">
        <v>67</v>
      </c>
      <c r="AC257" s="5" t="s">
        <v>67</v>
      </c>
      <c r="AD257" s="5" t="s">
        <v>67</v>
      </c>
      <c r="AE257" s="5" t="s">
        <v>67</v>
      </c>
      <c r="AF257" s="5" t="s">
        <v>67</v>
      </c>
      <c r="AG257" s="5" t="s">
        <v>67</v>
      </c>
      <c r="AH257" s="5" t="s">
        <v>67</v>
      </c>
      <c r="AI257" s="5" t="s">
        <v>67</v>
      </c>
      <c r="AJ257" s="5" t="s">
        <v>67</v>
      </c>
      <c r="AK257" s="5" t="s">
        <v>67</v>
      </c>
      <c r="AL257" s="5" t="s">
        <v>67</v>
      </c>
      <c r="AM257" s="5" t="s">
        <v>67</v>
      </c>
      <c r="AN257" s="5" t="s">
        <v>67</v>
      </c>
      <c r="AO257" s="5" t="s">
        <v>67</v>
      </c>
      <c r="AP257" s="5" t="s">
        <v>67</v>
      </c>
      <c r="AQ257" s="5" t="s">
        <v>67</v>
      </c>
      <c r="AR257" s="5" t="s">
        <v>67</v>
      </c>
      <c r="AW257" s="5" t="s">
        <v>67</v>
      </c>
      <c r="AX257" s="5" t="s">
        <v>67</v>
      </c>
      <c r="AY257" s="5" t="s">
        <v>67</v>
      </c>
      <c r="AZ257" s="5" t="s">
        <v>67</v>
      </c>
      <c r="BF257" s="5" t="s">
        <v>67</v>
      </c>
      <c r="BG257" s="5" t="s">
        <v>67</v>
      </c>
      <c r="BH257" s="5" t="s">
        <v>67</v>
      </c>
      <c r="BI257" s="5" t="s">
        <v>67</v>
      </c>
      <c r="BJ257" s="5" t="s">
        <v>67</v>
      </c>
      <c r="BK257" s="5" t="s">
        <v>67</v>
      </c>
      <c r="BL257" s="5" t="s">
        <v>67</v>
      </c>
      <c r="BM257" s="5" t="s">
        <v>67</v>
      </c>
      <c r="BN257" s="5" t="s">
        <v>67</v>
      </c>
      <c r="BO257" s="5" t="s">
        <v>67</v>
      </c>
    </row>
    <row r="258" spans="1:67" ht="409.5" x14ac:dyDescent="0.25">
      <c r="A258" s="3">
        <v>2146189494</v>
      </c>
      <c r="B258" s="4">
        <v>42270</v>
      </c>
      <c r="C258" s="3">
        <v>2146189531</v>
      </c>
      <c r="G258" s="3">
        <v>2146189531</v>
      </c>
      <c r="H258" s="5" t="s">
        <v>67</v>
      </c>
      <c r="I258" s="3" t="b">
        <v>0</v>
      </c>
      <c r="J258" s="3" t="b">
        <v>0</v>
      </c>
      <c r="K258" s="3" t="b">
        <v>0</v>
      </c>
      <c r="L258" s="3" t="b">
        <v>1</v>
      </c>
      <c r="M258" s="3" t="b">
        <v>1</v>
      </c>
      <c r="N258" s="3" t="b">
        <v>0</v>
      </c>
      <c r="O258" s="3" t="b">
        <v>0</v>
      </c>
      <c r="P258" s="3" t="b">
        <v>0</v>
      </c>
      <c r="Q258" s="3" t="b">
        <v>0</v>
      </c>
      <c r="R258" s="3" t="s">
        <v>67</v>
      </c>
      <c r="S258" s="5" t="s">
        <v>67</v>
      </c>
      <c r="T258" s="3" t="b">
        <v>0</v>
      </c>
      <c r="U258" s="3" t="b">
        <v>0</v>
      </c>
      <c r="V258" s="5" t="s">
        <v>2355</v>
      </c>
      <c r="W258" s="5" t="s">
        <v>67</v>
      </c>
      <c r="X258" s="3" t="b">
        <v>0</v>
      </c>
      <c r="Y258" s="3" t="b">
        <v>0</v>
      </c>
      <c r="Z258" s="3" t="b">
        <v>0</v>
      </c>
      <c r="AA258" s="3" t="b">
        <v>0</v>
      </c>
      <c r="AB258" s="5" t="s">
        <v>2356</v>
      </c>
      <c r="AC258" s="5" t="s">
        <v>2357</v>
      </c>
      <c r="AD258" s="5" t="s">
        <v>2358</v>
      </c>
      <c r="AE258" s="5" t="s">
        <v>67</v>
      </c>
      <c r="AF258" s="5" t="s">
        <v>2359</v>
      </c>
      <c r="AG258" s="5" t="s">
        <v>2360</v>
      </c>
      <c r="AH258" s="5" t="s">
        <v>2361</v>
      </c>
      <c r="AI258" s="5" t="s">
        <v>2362</v>
      </c>
      <c r="AJ258" s="5" t="s">
        <v>67</v>
      </c>
      <c r="AK258" s="5" t="s">
        <v>2363</v>
      </c>
      <c r="AL258" s="5" t="s">
        <v>67</v>
      </c>
      <c r="AM258" s="5" t="s">
        <v>2364</v>
      </c>
      <c r="AN258" s="5" t="s">
        <v>2365</v>
      </c>
      <c r="AO258" s="5" t="s">
        <v>67</v>
      </c>
      <c r="AP258" s="5" t="s">
        <v>2366</v>
      </c>
      <c r="AQ258" s="5" t="s">
        <v>67</v>
      </c>
      <c r="AR258" s="5" t="s">
        <v>67</v>
      </c>
      <c r="AS258" s="3">
        <v>2146189527</v>
      </c>
      <c r="AT258" s="3">
        <v>1319632834</v>
      </c>
      <c r="AW258" s="5" t="s">
        <v>67</v>
      </c>
      <c r="AX258" s="5" t="s">
        <v>67</v>
      </c>
      <c r="AY258" s="5" t="s">
        <v>67</v>
      </c>
      <c r="AZ258" s="5" t="s">
        <v>67</v>
      </c>
      <c r="BA258" s="3">
        <v>2146189536</v>
      </c>
      <c r="BD258" s="3">
        <v>2146188974</v>
      </c>
      <c r="BF258" s="5" t="s">
        <v>2367</v>
      </c>
      <c r="BG258" s="5" t="s">
        <v>2368</v>
      </c>
      <c r="BH258" s="5" t="s">
        <v>2369</v>
      </c>
      <c r="BI258" s="5" t="s">
        <v>210</v>
      </c>
      <c r="BJ258" s="5" t="s">
        <v>67</v>
      </c>
      <c r="BK258" s="5" t="s">
        <v>573</v>
      </c>
      <c r="BL258" s="5" t="s">
        <v>2370</v>
      </c>
      <c r="BM258" s="5" t="s">
        <v>67</v>
      </c>
      <c r="BN258" s="5" t="s">
        <v>2371</v>
      </c>
      <c r="BO258" s="5" t="s">
        <v>67</v>
      </c>
    </row>
    <row r="259" spans="1:67" x14ac:dyDescent="0.25">
      <c r="A259" s="3">
        <v>2146189495</v>
      </c>
      <c r="B259" s="4">
        <v>41864</v>
      </c>
      <c r="C259" s="3">
        <v>2146189496</v>
      </c>
      <c r="F259" s="3">
        <v>2146189500</v>
      </c>
      <c r="H259" s="5" t="s">
        <v>67</v>
      </c>
      <c r="I259" s="3" t="b">
        <v>0</v>
      </c>
      <c r="J259" s="3" t="b">
        <v>0</v>
      </c>
      <c r="K259" s="3" t="b">
        <v>0</v>
      </c>
      <c r="L259" s="3" t="b">
        <v>0</v>
      </c>
      <c r="M259" s="3" t="b">
        <v>0</v>
      </c>
      <c r="N259" s="3" t="b">
        <v>0</v>
      </c>
      <c r="O259" s="3" t="b">
        <v>0</v>
      </c>
      <c r="P259" s="3" t="b">
        <v>0</v>
      </c>
      <c r="Q259" s="3" t="b">
        <v>0</v>
      </c>
      <c r="R259" s="3" t="s">
        <v>67</v>
      </c>
      <c r="S259" s="5" t="s">
        <v>67</v>
      </c>
      <c r="T259" s="3" t="b">
        <v>0</v>
      </c>
      <c r="U259" s="3" t="b">
        <v>1</v>
      </c>
      <c r="V259" s="5" t="s">
        <v>67</v>
      </c>
      <c r="W259" s="5" t="s">
        <v>67</v>
      </c>
      <c r="X259" s="3" t="b">
        <v>0</v>
      </c>
      <c r="Y259" s="3" t="b">
        <v>0</v>
      </c>
      <c r="Z259" s="3" t="b">
        <v>0</v>
      </c>
      <c r="AA259" s="3" t="b">
        <v>0</v>
      </c>
      <c r="AB259" s="5" t="s">
        <v>67</v>
      </c>
      <c r="AC259" s="5" t="s">
        <v>67</v>
      </c>
      <c r="AD259" s="5" t="s">
        <v>67</v>
      </c>
      <c r="AE259" s="5" t="s">
        <v>67</v>
      </c>
      <c r="AF259" s="5" t="s">
        <v>67</v>
      </c>
      <c r="AG259" s="5" t="s">
        <v>67</v>
      </c>
      <c r="AH259" s="5" t="s">
        <v>67</v>
      </c>
      <c r="AI259" s="5" t="s">
        <v>67</v>
      </c>
      <c r="AJ259" s="5" t="s">
        <v>67</v>
      </c>
      <c r="AK259" s="5" t="s">
        <v>67</v>
      </c>
      <c r="AL259" s="5" t="s">
        <v>67</v>
      </c>
      <c r="AM259" s="5" t="s">
        <v>67</v>
      </c>
      <c r="AN259" s="5" t="s">
        <v>67</v>
      </c>
      <c r="AO259" s="5" t="s">
        <v>67</v>
      </c>
      <c r="AP259" s="5" t="s">
        <v>67</v>
      </c>
      <c r="AQ259" s="5" t="s">
        <v>67</v>
      </c>
      <c r="AR259" s="5" t="s">
        <v>67</v>
      </c>
      <c r="AW259" s="5" t="s">
        <v>67</v>
      </c>
      <c r="AX259" s="5" t="s">
        <v>67</v>
      </c>
      <c r="AY259" s="5" t="s">
        <v>67</v>
      </c>
      <c r="AZ259" s="5" t="s">
        <v>67</v>
      </c>
      <c r="BA259" s="3">
        <v>107</v>
      </c>
      <c r="BD259" s="3">
        <v>2146188991</v>
      </c>
      <c r="BF259" s="5" t="s">
        <v>2372</v>
      </c>
      <c r="BG259" s="5" t="s">
        <v>67</v>
      </c>
      <c r="BH259" s="5" t="s">
        <v>67</v>
      </c>
      <c r="BI259" s="5" t="s">
        <v>74</v>
      </c>
      <c r="BJ259" s="5" t="s">
        <v>67</v>
      </c>
      <c r="BK259" s="5" t="s">
        <v>67</v>
      </c>
      <c r="BL259" s="5" t="s">
        <v>67</v>
      </c>
      <c r="BM259" s="5" t="s">
        <v>67</v>
      </c>
      <c r="BN259" s="5" t="s">
        <v>67</v>
      </c>
      <c r="BO259" s="5" t="s">
        <v>67</v>
      </c>
    </row>
    <row r="260" spans="1:67" x14ac:dyDescent="0.25">
      <c r="A260" s="3">
        <v>2146189498</v>
      </c>
      <c r="B260" s="4">
        <v>41996</v>
      </c>
      <c r="H260" s="5" t="s">
        <v>67</v>
      </c>
      <c r="I260" s="3" t="b">
        <v>0</v>
      </c>
      <c r="J260" s="3" t="b">
        <v>0</v>
      </c>
      <c r="K260" s="3" t="b">
        <v>0</v>
      </c>
      <c r="L260" s="3" t="b">
        <v>0</v>
      </c>
      <c r="M260" s="3" t="b">
        <v>0</v>
      </c>
      <c r="N260" s="3" t="b">
        <v>0</v>
      </c>
      <c r="O260" s="3" t="b">
        <v>0</v>
      </c>
      <c r="P260" s="3" t="b">
        <v>0</v>
      </c>
      <c r="Q260" s="3" t="b">
        <v>0</v>
      </c>
      <c r="R260" s="3" t="s">
        <v>67</v>
      </c>
      <c r="S260" s="5" t="s">
        <v>67</v>
      </c>
      <c r="T260" s="3" t="b">
        <v>0</v>
      </c>
      <c r="U260" s="3" t="b">
        <v>0</v>
      </c>
      <c r="V260" s="5" t="s">
        <v>67</v>
      </c>
      <c r="W260" s="5" t="s">
        <v>67</v>
      </c>
      <c r="X260" s="3" t="b">
        <v>0</v>
      </c>
      <c r="Y260" s="3" t="b">
        <v>0</v>
      </c>
      <c r="Z260" s="3" t="b">
        <v>0</v>
      </c>
      <c r="AA260" s="3" t="b">
        <v>0</v>
      </c>
      <c r="AB260" s="5" t="s">
        <v>67</v>
      </c>
      <c r="AC260" s="5" t="s">
        <v>67</v>
      </c>
      <c r="AD260" s="5" t="s">
        <v>67</v>
      </c>
      <c r="AE260" s="5" t="s">
        <v>67</v>
      </c>
      <c r="AF260" s="5" t="s">
        <v>67</v>
      </c>
      <c r="AG260" s="5" t="s">
        <v>67</v>
      </c>
      <c r="AH260" s="5" t="s">
        <v>67</v>
      </c>
      <c r="AI260" s="5" t="s">
        <v>67</v>
      </c>
      <c r="AJ260" s="5" t="s">
        <v>67</v>
      </c>
      <c r="AK260" s="5" t="s">
        <v>67</v>
      </c>
      <c r="AL260" s="5" t="s">
        <v>67</v>
      </c>
      <c r="AM260" s="5" t="s">
        <v>67</v>
      </c>
      <c r="AN260" s="5" t="s">
        <v>67</v>
      </c>
      <c r="AO260" s="5" t="s">
        <v>67</v>
      </c>
      <c r="AP260" s="5" t="s">
        <v>67</v>
      </c>
      <c r="AQ260" s="5" t="s">
        <v>67</v>
      </c>
      <c r="AR260" s="5" t="s">
        <v>67</v>
      </c>
      <c r="AW260" s="5" t="s">
        <v>67</v>
      </c>
      <c r="AX260" s="5" t="s">
        <v>67</v>
      </c>
      <c r="AY260" s="5" t="s">
        <v>67</v>
      </c>
      <c r="AZ260" s="5" t="s">
        <v>67</v>
      </c>
      <c r="BF260" s="5" t="s">
        <v>67</v>
      </c>
      <c r="BG260" s="5" t="s">
        <v>67</v>
      </c>
      <c r="BH260" s="5" t="s">
        <v>67</v>
      </c>
      <c r="BI260" s="5" t="s">
        <v>67</v>
      </c>
      <c r="BJ260" s="5" t="s">
        <v>67</v>
      </c>
      <c r="BK260" s="5" t="s">
        <v>67</v>
      </c>
      <c r="BL260" s="5" t="s">
        <v>67</v>
      </c>
      <c r="BM260" s="5" t="s">
        <v>67</v>
      </c>
      <c r="BN260" s="5" t="s">
        <v>67</v>
      </c>
      <c r="BO260" s="5" t="s">
        <v>67</v>
      </c>
    </row>
    <row r="261" spans="1:67" ht="405" x14ac:dyDescent="0.25">
      <c r="A261" s="3">
        <v>2146189502</v>
      </c>
      <c r="B261" s="4">
        <v>43041</v>
      </c>
      <c r="C261" s="3">
        <v>2146189496</v>
      </c>
      <c r="F261" s="3">
        <v>2146189500</v>
      </c>
      <c r="H261" s="5" t="s">
        <v>67</v>
      </c>
      <c r="I261" s="3" t="b">
        <v>0</v>
      </c>
      <c r="J261" s="3" t="b">
        <v>0</v>
      </c>
      <c r="K261" s="3" t="b">
        <v>0</v>
      </c>
      <c r="L261" s="3" t="b">
        <v>1</v>
      </c>
      <c r="M261" s="3" t="b">
        <v>0</v>
      </c>
      <c r="N261" s="3" t="b">
        <v>0</v>
      </c>
      <c r="O261" s="3" t="b">
        <v>0</v>
      </c>
      <c r="P261" s="3" t="b">
        <v>1</v>
      </c>
      <c r="Q261" s="3" t="b">
        <v>0</v>
      </c>
      <c r="R261" s="3" t="s">
        <v>2373</v>
      </c>
      <c r="S261" s="5" t="s">
        <v>2374</v>
      </c>
      <c r="T261" s="3" t="b">
        <v>1</v>
      </c>
      <c r="U261" s="3" t="b">
        <v>1</v>
      </c>
      <c r="V261" s="5" t="s">
        <v>2375</v>
      </c>
      <c r="W261" s="5" t="s">
        <v>2376</v>
      </c>
      <c r="X261" s="3" t="b">
        <v>0</v>
      </c>
      <c r="Y261" s="3" t="b">
        <v>1</v>
      </c>
      <c r="Z261" s="3" t="b">
        <v>0</v>
      </c>
      <c r="AA261" s="3" t="b">
        <v>1</v>
      </c>
      <c r="AB261" s="5" t="s">
        <v>2377</v>
      </c>
      <c r="AC261" s="5" t="s">
        <v>2378</v>
      </c>
      <c r="AD261" s="5" t="s">
        <v>2379</v>
      </c>
      <c r="AE261" s="5" t="s">
        <v>67</v>
      </c>
      <c r="AF261" s="5" t="s">
        <v>2380</v>
      </c>
      <c r="AG261" s="5" t="s">
        <v>2381</v>
      </c>
      <c r="AH261" s="5" t="s">
        <v>2382</v>
      </c>
      <c r="AI261" s="5" t="s">
        <v>67</v>
      </c>
      <c r="AJ261" s="5" t="s">
        <v>2383</v>
      </c>
      <c r="AK261" s="5" t="s">
        <v>67</v>
      </c>
      <c r="AL261" s="5" t="s">
        <v>67</v>
      </c>
      <c r="AM261" s="5" t="s">
        <v>2384</v>
      </c>
      <c r="AN261" s="5" t="s">
        <v>67</v>
      </c>
      <c r="AO261" s="5" t="s">
        <v>67</v>
      </c>
      <c r="AP261" s="5" t="s">
        <v>67</v>
      </c>
      <c r="AQ261" s="5" t="s">
        <v>67</v>
      </c>
      <c r="AR261" s="5" t="s">
        <v>67</v>
      </c>
      <c r="AW261" s="5" t="s">
        <v>67</v>
      </c>
      <c r="AX261" s="5" t="s">
        <v>67</v>
      </c>
      <c r="AY261" s="5" t="s">
        <v>67</v>
      </c>
      <c r="AZ261" s="5" t="s">
        <v>67</v>
      </c>
      <c r="BF261" s="5" t="s">
        <v>67</v>
      </c>
      <c r="BG261" s="5" t="s">
        <v>67</v>
      </c>
      <c r="BH261" s="5" t="s">
        <v>2385</v>
      </c>
      <c r="BI261" s="5" t="s">
        <v>74</v>
      </c>
      <c r="BJ261" s="5" t="s">
        <v>2386</v>
      </c>
      <c r="BK261" s="5" t="s">
        <v>2387</v>
      </c>
      <c r="BL261" s="5" t="s">
        <v>67</v>
      </c>
      <c r="BM261" s="5" t="s">
        <v>67</v>
      </c>
      <c r="BN261" s="5" t="s">
        <v>1423</v>
      </c>
      <c r="BO261" s="5" t="s">
        <v>2388</v>
      </c>
    </row>
    <row r="262" spans="1:67" ht="409.5" x14ac:dyDescent="0.25">
      <c r="A262" s="3">
        <v>2146189504</v>
      </c>
      <c r="B262" s="4">
        <v>42975</v>
      </c>
      <c r="H262" s="5" t="s">
        <v>67</v>
      </c>
      <c r="I262" s="3" t="b">
        <v>0</v>
      </c>
      <c r="J262" s="3" t="b">
        <v>0</v>
      </c>
      <c r="K262" s="3" t="b">
        <v>0</v>
      </c>
      <c r="L262" s="3" t="b">
        <v>1</v>
      </c>
      <c r="M262" s="3" t="b">
        <v>1</v>
      </c>
      <c r="N262" s="3" t="b">
        <v>0</v>
      </c>
      <c r="O262" s="3" t="b">
        <v>0</v>
      </c>
      <c r="P262" s="3" t="b">
        <v>0</v>
      </c>
      <c r="Q262" s="3" t="b">
        <v>0</v>
      </c>
      <c r="R262" s="3" t="s">
        <v>2389</v>
      </c>
      <c r="S262" s="5" t="s">
        <v>67</v>
      </c>
      <c r="T262" s="3" t="b">
        <v>0</v>
      </c>
      <c r="U262" s="3" t="b">
        <v>0</v>
      </c>
      <c r="V262" s="5" t="s">
        <v>2390</v>
      </c>
      <c r="W262" s="5" t="s">
        <v>2391</v>
      </c>
      <c r="X262" s="3" t="b">
        <v>0</v>
      </c>
      <c r="Y262" s="3" t="b">
        <v>0</v>
      </c>
      <c r="Z262" s="3" t="b">
        <v>0</v>
      </c>
      <c r="AA262" s="3" t="b">
        <v>0</v>
      </c>
      <c r="AB262" s="5" t="s">
        <v>2392</v>
      </c>
      <c r="AC262" s="5" t="s">
        <v>67</v>
      </c>
      <c r="AD262" s="5" t="s">
        <v>67</v>
      </c>
      <c r="AE262" s="5" t="s">
        <v>67</v>
      </c>
      <c r="AF262" s="5" t="s">
        <v>2393</v>
      </c>
      <c r="AG262" s="5" t="s">
        <v>67</v>
      </c>
      <c r="AH262" s="5" t="s">
        <v>67</v>
      </c>
      <c r="AI262" s="5" t="s">
        <v>67</v>
      </c>
      <c r="AJ262" s="5" t="s">
        <v>67</v>
      </c>
      <c r="AK262" s="5" t="s">
        <v>2394</v>
      </c>
      <c r="AL262" s="5" t="s">
        <v>2395</v>
      </c>
      <c r="AM262" s="5" t="s">
        <v>67</v>
      </c>
      <c r="AN262" s="5" t="s">
        <v>67</v>
      </c>
      <c r="AO262" s="5" t="s">
        <v>67</v>
      </c>
      <c r="AP262" s="5" t="s">
        <v>2396</v>
      </c>
      <c r="AQ262" s="5" t="s">
        <v>67</v>
      </c>
      <c r="AR262" s="5" t="s">
        <v>67</v>
      </c>
      <c r="AS262" s="3">
        <v>2146189821</v>
      </c>
      <c r="AT262" s="3">
        <v>2146189824</v>
      </c>
      <c r="AU262" s="3">
        <v>2146189525</v>
      </c>
      <c r="AW262" s="5" t="s">
        <v>67</v>
      </c>
      <c r="AX262" s="5" t="s">
        <v>67</v>
      </c>
      <c r="AY262" s="5" t="s">
        <v>67</v>
      </c>
      <c r="AZ262" s="5" t="s">
        <v>67</v>
      </c>
      <c r="BF262" s="5" t="s">
        <v>67</v>
      </c>
      <c r="BG262" s="5" t="s">
        <v>2397</v>
      </c>
      <c r="BH262" s="5" t="s">
        <v>67</v>
      </c>
      <c r="BI262" s="5" t="s">
        <v>141</v>
      </c>
      <c r="BJ262" s="5" t="s">
        <v>67</v>
      </c>
      <c r="BK262" s="5" t="s">
        <v>2398</v>
      </c>
      <c r="BL262" s="5" t="s">
        <v>2399</v>
      </c>
      <c r="BM262" s="5" t="s">
        <v>67</v>
      </c>
      <c r="BN262" s="5" t="s">
        <v>67</v>
      </c>
      <c r="BO262" s="5" t="s">
        <v>67</v>
      </c>
    </row>
    <row r="263" spans="1:67" x14ac:dyDescent="0.25">
      <c r="A263" s="3">
        <v>2146189510</v>
      </c>
      <c r="B263" s="4">
        <v>42298</v>
      </c>
      <c r="H263" s="5" t="s">
        <v>67</v>
      </c>
      <c r="I263" s="3" t="b">
        <v>0</v>
      </c>
      <c r="J263" s="3" t="b">
        <v>0</v>
      </c>
      <c r="K263" s="3" t="b">
        <v>0</v>
      </c>
      <c r="L263" s="3" t="b">
        <v>0</v>
      </c>
      <c r="M263" s="3" t="b">
        <v>0</v>
      </c>
      <c r="N263" s="3" t="b">
        <v>0</v>
      </c>
      <c r="O263" s="3" t="b">
        <v>0</v>
      </c>
      <c r="P263" s="3" t="b">
        <v>0</v>
      </c>
      <c r="Q263" s="3" t="b">
        <v>0</v>
      </c>
      <c r="R263" s="3" t="s">
        <v>67</v>
      </c>
      <c r="S263" s="5" t="s">
        <v>67</v>
      </c>
      <c r="T263" s="3" t="b">
        <v>0</v>
      </c>
      <c r="U263" s="3" t="b">
        <v>0</v>
      </c>
      <c r="V263" s="5" t="s">
        <v>67</v>
      </c>
      <c r="W263" s="5" t="s">
        <v>67</v>
      </c>
      <c r="X263" s="3" t="b">
        <v>0</v>
      </c>
      <c r="Y263" s="3" t="b">
        <v>0</v>
      </c>
      <c r="Z263" s="3" t="b">
        <v>0</v>
      </c>
      <c r="AA263" s="3" t="b">
        <v>0</v>
      </c>
      <c r="AB263" s="5" t="s">
        <v>67</v>
      </c>
      <c r="AC263" s="5" t="s">
        <v>67</v>
      </c>
      <c r="AD263" s="5" t="s">
        <v>67</v>
      </c>
      <c r="AE263" s="5" t="s">
        <v>67</v>
      </c>
      <c r="AF263" s="5" t="s">
        <v>67</v>
      </c>
      <c r="AG263" s="5" t="s">
        <v>67</v>
      </c>
      <c r="AH263" s="5" t="s">
        <v>67</v>
      </c>
      <c r="AI263" s="5" t="s">
        <v>67</v>
      </c>
      <c r="AJ263" s="5" t="s">
        <v>67</v>
      </c>
      <c r="AK263" s="5" t="s">
        <v>67</v>
      </c>
      <c r="AL263" s="5" t="s">
        <v>67</v>
      </c>
      <c r="AM263" s="5" t="s">
        <v>67</v>
      </c>
      <c r="AN263" s="5" t="s">
        <v>67</v>
      </c>
      <c r="AO263" s="5" t="s">
        <v>67</v>
      </c>
      <c r="AP263" s="5" t="s">
        <v>67</v>
      </c>
      <c r="AQ263" s="5" t="s">
        <v>67</v>
      </c>
      <c r="AR263" s="5" t="s">
        <v>67</v>
      </c>
      <c r="AW263" s="5" t="s">
        <v>67</v>
      </c>
      <c r="AX263" s="5" t="s">
        <v>67</v>
      </c>
      <c r="AY263" s="5" t="s">
        <v>67</v>
      </c>
      <c r="AZ263" s="5" t="s">
        <v>67</v>
      </c>
      <c r="BF263" s="5" t="s">
        <v>67</v>
      </c>
      <c r="BG263" s="5" t="s">
        <v>67</v>
      </c>
      <c r="BH263" s="5" t="s">
        <v>67</v>
      </c>
      <c r="BI263" s="5" t="s">
        <v>67</v>
      </c>
      <c r="BJ263" s="5" t="s">
        <v>67</v>
      </c>
      <c r="BK263" s="5" t="s">
        <v>67</v>
      </c>
      <c r="BL263" s="5" t="s">
        <v>67</v>
      </c>
      <c r="BM263" s="5" t="s">
        <v>67</v>
      </c>
      <c r="BN263" s="5" t="s">
        <v>67</v>
      </c>
      <c r="BO263" s="5" t="s">
        <v>67</v>
      </c>
    </row>
    <row r="264" spans="1:67" ht="240" x14ac:dyDescent="0.25">
      <c r="A264" s="3">
        <v>2146189512</v>
      </c>
      <c r="B264" s="4">
        <v>42137</v>
      </c>
      <c r="C264" s="3">
        <v>2146189629</v>
      </c>
      <c r="H264" s="5" t="s">
        <v>2400</v>
      </c>
      <c r="I264" s="3" t="b">
        <v>0</v>
      </c>
      <c r="J264" s="3" t="b">
        <v>0</v>
      </c>
      <c r="K264" s="3" t="b">
        <v>0</v>
      </c>
      <c r="L264" s="3" t="b">
        <v>1</v>
      </c>
      <c r="M264" s="3" t="b">
        <v>0</v>
      </c>
      <c r="N264" s="3" t="b">
        <v>0</v>
      </c>
      <c r="O264" s="3" t="b">
        <v>0</v>
      </c>
      <c r="P264" s="3" t="b">
        <v>1</v>
      </c>
      <c r="Q264" s="3" t="b">
        <v>0</v>
      </c>
      <c r="R264" s="3" t="s">
        <v>919</v>
      </c>
      <c r="S264" s="5" t="s">
        <v>2401</v>
      </c>
      <c r="T264" s="3" t="b">
        <v>0</v>
      </c>
      <c r="U264" s="3" t="b">
        <v>0</v>
      </c>
      <c r="V264" s="5" t="s">
        <v>2402</v>
      </c>
      <c r="W264" s="5" t="s">
        <v>2403</v>
      </c>
      <c r="X264" s="3" t="b">
        <v>0</v>
      </c>
      <c r="Y264" s="3" t="b">
        <v>0</v>
      </c>
      <c r="Z264" s="3" t="b">
        <v>0</v>
      </c>
      <c r="AA264" s="3" t="b">
        <v>1</v>
      </c>
      <c r="AB264" s="5" t="s">
        <v>2404</v>
      </c>
      <c r="AC264" s="5" t="s">
        <v>2405</v>
      </c>
      <c r="AD264" s="5" t="s">
        <v>2406</v>
      </c>
      <c r="AE264" s="5" t="s">
        <v>67</v>
      </c>
      <c r="AF264" s="5" t="s">
        <v>2407</v>
      </c>
      <c r="AG264" s="5" t="s">
        <v>2408</v>
      </c>
      <c r="AH264" s="5" t="s">
        <v>2409</v>
      </c>
      <c r="AI264" s="5" t="s">
        <v>2410</v>
      </c>
      <c r="AJ264" s="5" t="s">
        <v>67</v>
      </c>
      <c r="AK264" s="5" t="s">
        <v>2411</v>
      </c>
      <c r="AL264" s="5" t="s">
        <v>67</v>
      </c>
      <c r="AM264" s="5" t="s">
        <v>2412</v>
      </c>
      <c r="AN264" s="5" t="s">
        <v>2413</v>
      </c>
      <c r="AO264" s="5" t="s">
        <v>67</v>
      </c>
      <c r="AP264" s="5" t="s">
        <v>67</v>
      </c>
      <c r="AQ264" s="5" t="s">
        <v>67</v>
      </c>
      <c r="AR264" s="5" t="s">
        <v>67</v>
      </c>
      <c r="AW264" s="5" t="s">
        <v>67</v>
      </c>
      <c r="AX264" s="5" t="s">
        <v>67</v>
      </c>
      <c r="AY264" s="5" t="s">
        <v>67</v>
      </c>
      <c r="AZ264" s="5" t="s">
        <v>67</v>
      </c>
      <c r="BA264" s="3">
        <v>107</v>
      </c>
      <c r="BB264" s="3">
        <v>2152</v>
      </c>
      <c r="BD264" s="3">
        <v>2146188985</v>
      </c>
      <c r="BF264" s="5" t="s">
        <v>2414</v>
      </c>
      <c r="BG264" s="5" t="s">
        <v>97</v>
      </c>
      <c r="BH264" s="5" t="s">
        <v>2415</v>
      </c>
      <c r="BI264" s="5" t="s">
        <v>67</v>
      </c>
      <c r="BJ264" s="5" t="s">
        <v>67</v>
      </c>
      <c r="BK264" s="5" t="s">
        <v>2416</v>
      </c>
      <c r="BL264" s="5" t="s">
        <v>2417</v>
      </c>
      <c r="BM264" s="5" t="s">
        <v>67</v>
      </c>
      <c r="BN264" s="5" t="s">
        <v>2418</v>
      </c>
      <c r="BO264" s="5" t="s">
        <v>67</v>
      </c>
    </row>
    <row r="265" spans="1:67" ht="409.5" x14ac:dyDescent="0.25">
      <c r="A265" s="3">
        <v>2146189529</v>
      </c>
      <c r="B265" s="4">
        <v>42590</v>
      </c>
      <c r="C265" s="3">
        <v>1241531093</v>
      </c>
      <c r="G265" s="3">
        <v>2146189445</v>
      </c>
      <c r="H265" s="5" t="s">
        <v>67</v>
      </c>
      <c r="I265" s="3" t="b">
        <v>0</v>
      </c>
      <c r="J265" s="3" t="b">
        <v>0</v>
      </c>
      <c r="K265" s="3" t="b">
        <v>0</v>
      </c>
      <c r="L265" s="3" t="b">
        <v>1</v>
      </c>
      <c r="M265" s="3" t="b">
        <v>0</v>
      </c>
      <c r="N265" s="3" t="b">
        <v>0</v>
      </c>
      <c r="O265" s="3" t="b">
        <v>0</v>
      </c>
      <c r="P265" s="3" t="b">
        <v>1</v>
      </c>
      <c r="Q265" s="3" t="b">
        <v>0</v>
      </c>
      <c r="R265" s="3" t="s">
        <v>2419</v>
      </c>
      <c r="S265" s="5" t="s">
        <v>2420</v>
      </c>
      <c r="T265" s="3" t="b">
        <v>1</v>
      </c>
      <c r="U265" s="3" t="b">
        <v>1</v>
      </c>
      <c r="V265" s="5" t="s">
        <v>2421</v>
      </c>
      <c r="W265" s="5" t="s">
        <v>2422</v>
      </c>
      <c r="X265" s="3" t="b">
        <v>0</v>
      </c>
      <c r="Y265" s="3" t="b">
        <v>0</v>
      </c>
      <c r="Z265" s="3" t="b">
        <v>0</v>
      </c>
      <c r="AA265" s="3" t="b">
        <v>0</v>
      </c>
      <c r="AB265" s="5" t="s">
        <v>2423</v>
      </c>
      <c r="AC265" s="5" t="s">
        <v>67</v>
      </c>
      <c r="AD265" s="5" t="s">
        <v>67</v>
      </c>
      <c r="AE265" s="5" t="s">
        <v>67</v>
      </c>
      <c r="AF265" s="5" t="s">
        <v>2424</v>
      </c>
      <c r="AG265" s="5" t="s">
        <v>67</v>
      </c>
      <c r="AH265" s="5" t="s">
        <v>86</v>
      </c>
      <c r="AI265" s="5" t="s">
        <v>2425</v>
      </c>
      <c r="AJ265" s="5" t="s">
        <v>67</v>
      </c>
      <c r="AK265" s="5" t="s">
        <v>67</v>
      </c>
      <c r="AL265" s="5" t="s">
        <v>67</v>
      </c>
      <c r="AM265" s="5" t="s">
        <v>67</v>
      </c>
      <c r="AN265" s="5" t="s">
        <v>67</v>
      </c>
      <c r="AO265" s="5" t="s">
        <v>67</v>
      </c>
      <c r="AP265" s="5" t="s">
        <v>67</v>
      </c>
      <c r="AQ265" s="5" t="s">
        <v>67</v>
      </c>
      <c r="AR265" s="5" t="s">
        <v>67</v>
      </c>
      <c r="AW265" s="5" t="s">
        <v>67</v>
      </c>
      <c r="AX265" s="5" t="s">
        <v>67</v>
      </c>
      <c r="AY265" s="5" t="s">
        <v>67</v>
      </c>
      <c r="AZ265" s="5" t="s">
        <v>67</v>
      </c>
      <c r="BA265" s="3">
        <v>226884306</v>
      </c>
      <c r="BD265" s="3">
        <v>2146189019</v>
      </c>
      <c r="BF265" s="5" t="s">
        <v>2426</v>
      </c>
      <c r="BG265" s="5" t="s">
        <v>88</v>
      </c>
      <c r="BH265" s="5" t="s">
        <v>67</v>
      </c>
      <c r="BI265" s="5" t="s">
        <v>67</v>
      </c>
      <c r="BJ265" s="5" t="s">
        <v>67</v>
      </c>
      <c r="BK265" s="5" t="s">
        <v>67</v>
      </c>
      <c r="BL265" s="5" t="s">
        <v>2427</v>
      </c>
      <c r="BM265" s="5" t="s">
        <v>67</v>
      </c>
      <c r="BN265" s="5" t="s">
        <v>1423</v>
      </c>
      <c r="BO265" s="5" t="s">
        <v>67</v>
      </c>
    </row>
    <row r="266" spans="1:67" ht="135" x14ac:dyDescent="0.25">
      <c r="A266" s="3">
        <v>2146189539</v>
      </c>
      <c r="B266" s="4">
        <v>42843</v>
      </c>
      <c r="C266" s="3">
        <v>2146189538</v>
      </c>
      <c r="G266" s="3">
        <v>2146189544</v>
      </c>
      <c r="H266" s="5" t="s">
        <v>67</v>
      </c>
      <c r="I266" s="3" t="b">
        <v>0</v>
      </c>
      <c r="J266" s="3" t="b">
        <v>0</v>
      </c>
      <c r="K266" s="3" t="b">
        <v>0</v>
      </c>
      <c r="L266" s="3" t="b">
        <v>1</v>
      </c>
      <c r="M266" s="3" t="b">
        <v>1</v>
      </c>
      <c r="N266" s="3" t="b">
        <v>0</v>
      </c>
      <c r="O266" s="3" t="b">
        <v>0</v>
      </c>
      <c r="P266" s="3" t="b">
        <v>0</v>
      </c>
      <c r="Q266" s="3" t="b">
        <v>0</v>
      </c>
      <c r="R266" s="3" t="s">
        <v>2428</v>
      </c>
      <c r="S266" s="5" t="s">
        <v>2429</v>
      </c>
      <c r="T266" s="3" t="b">
        <v>0</v>
      </c>
      <c r="U266" s="3" t="b">
        <v>1</v>
      </c>
      <c r="V266" s="5" t="s">
        <v>2430</v>
      </c>
      <c r="W266" s="5" t="s">
        <v>2431</v>
      </c>
      <c r="X266" s="3" t="b">
        <v>0</v>
      </c>
      <c r="Y266" s="3" t="b">
        <v>0</v>
      </c>
      <c r="Z266" s="3" t="b">
        <v>0</v>
      </c>
      <c r="AA266" s="3" t="b">
        <v>0</v>
      </c>
      <c r="AB266" s="5" t="s">
        <v>2432</v>
      </c>
      <c r="AC266" s="5" t="s">
        <v>67</v>
      </c>
      <c r="AD266" s="5" t="s">
        <v>67</v>
      </c>
      <c r="AE266" s="5" t="s">
        <v>67</v>
      </c>
      <c r="AF266" s="5" t="s">
        <v>2433</v>
      </c>
      <c r="AG266" s="5" t="s">
        <v>2434</v>
      </c>
      <c r="AH266" s="5" t="s">
        <v>2435</v>
      </c>
      <c r="AI266" s="5" t="s">
        <v>67</v>
      </c>
      <c r="AJ266" s="5" t="s">
        <v>67</v>
      </c>
      <c r="AK266" s="5" t="s">
        <v>67</v>
      </c>
      <c r="AL266" s="5" t="s">
        <v>67</v>
      </c>
      <c r="AM266" s="5" t="s">
        <v>67</v>
      </c>
      <c r="AN266" s="5" t="s">
        <v>67</v>
      </c>
      <c r="AO266" s="5" t="s">
        <v>67</v>
      </c>
      <c r="AP266" s="5" t="s">
        <v>67</v>
      </c>
      <c r="AQ266" s="5" t="s">
        <v>67</v>
      </c>
      <c r="AR266" s="5" t="s">
        <v>67</v>
      </c>
      <c r="AS266" s="3">
        <v>2146189561</v>
      </c>
      <c r="AT266" s="3">
        <v>2146189824</v>
      </c>
      <c r="AU266" s="3">
        <v>2146189526</v>
      </c>
      <c r="AW266" s="5" t="s">
        <v>67</v>
      </c>
      <c r="AX266" s="5" t="s">
        <v>67</v>
      </c>
      <c r="AY266" s="5" t="s">
        <v>67</v>
      </c>
      <c r="AZ266" s="5" t="s">
        <v>67</v>
      </c>
      <c r="BA266" s="3">
        <v>107</v>
      </c>
      <c r="BD266" s="3">
        <v>2146188985</v>
      </c>
      <c r="BF266" s="5" t="s">
        <v>2436</v>
      </c>
      <c r="BG266" s="5" t="s">
        <v>2437</v>
      </c>
      <c r="BH266" s="5" t="s">
        <v>67</v>
      </c>
      <c r="BI266" s="5" t="s">
        <v>67</v>
      </c>
      <c r="BJ266" s="5" t="s">
        <v>118</v>
      </c>
      <c r="BK266" s="5" t="s">
        <v>2438</v>
      </c>
      <c r="BL266" s="5" t="s">
        <v>67</v>
      </c>
      <c r="BM266" s="5" t="s">
        <v>67</v>
      </c>
      <c r="BN266" s="5" t="s">
        <v>1423</v>
      </c>
      <c r="BO266" s="5" t="s">
        <v>67</v>
      </c>
    </row>
    <row r="267" spans="1:67" ht="405" x14ac:dyDescent="0.25">
      <c r="A267" s="3">
        <v>2146189541</v>
      </c>
      <c r="B267" s="4">
        <v>43041</v>
      </c>
      <c r="E267" s="3">
        <v>2146189542</v>
      </c>
      <c r="F267" s="3">
        <v>1434</v>
      </c>
      <c r="G267" s="3">
        <v>2146189542</v>
      </c>
      <c r="H267" s="5" t="s">
        <v>2439</v>
      </c>
      <c r="I267" s="3" t="b">
        <v>0</v>
      </c>
      <c r="J267" s="3" t="b">
        <v>0</v>
      </c>
      <c r="K267" s="3" t="b">
        <v>1</v>
      </c>
      <c r="L267" s="3" t="b">
        <v>0</v>
      </c>
      <c r="M267" s="3" t="b">
        <v>0</v>
      </c>
      <c r="N267" s="3" t="b">
        <v>0</v>
      </c>
      <c r="O267" s="3" t="b">
        <v>0</v>
      </c>
      <c r="P267" s="3" t="b">
        <v>1</v>
      </c>
      <c r="Q267" s="3" t="b">
        <v>1</v>
      </c>
      <c r="R267" s="3" t="s">
        <v>67</v>
      </c>
      <c r="S267" s="5" t="s">
        <v>2440</v>
      </c>
      <c r="T267" s="3" t="b">
        <v>0</v>
      </c>
      <c r="U267" s="3" t="b">
        <v>0</v>
      </c>
      <c r="V267" s="5" t="s">
        <v>2375</v>
      </c>
      <c r="W267" s="5" t="s">
        <v>2441</v>
      </c>
      <c r="X267" s="3" t="b">
        <v>0</v>
      </c>
      <c r="Y267" s="3" t="b">
        <v>0</v>
      </c>
      <c r="Z267" s="3" t="b">
        <v>0</v>
      </c>
      <c r="AA267" s="3" t="b">
        <v>1</v>
      </c>
      <c r="AB267" s="5" t="s">
        <v>2442</v>
      </c>
      <c r="AC267" s="5" t="s">
        <v>2443</v>
      </c>
      <c r="AD267" s="5" t="s">
        <v>2444</v>
      </c>
      <c r="AE267" s="5" t="s">
        <v>67</v>
      </c>
      <c r="AF267" s="5" t="s">
        <v>2445</v>
      </c>
      <c r="AG267" s="5" t="s">
        <v>3288</v>
      </c>
      <c r="AH267" s="5" t="s">
        <v>2446</v>
      </c>
      <c r="AI267" s="5" t="s">
        <v>2447</v>
      </c>
      <c r="AJ267" s="5" t="s">
        <v>67</v>
      </c>
      <c r="AK267" s="5" t="s">
        <v>2448</v>
      </c>
      <c r="AL267" s="5" t="s">
        <v>3289</v>
      </c>
      <c r="AM267" s="5" t="s">
        <v>67</v>
      </c>
      <c r="AN267" s="5" t="s">
        <v>67</v>
      </c>
      <c r="AO267" s="5" t="s">
        <v>67</v>
      </c>
      <c r="AP267" s="5" t="s">
        <v>67</v>
      </c>
      <c r="AQ267" s="5" t="s">
        <v>67</v>
      </c>
      <c r="AR267" s="5" t="s">
        <v>67</v>
      </c>
      <c r="AW267" s="5" t="s">
        <v>67</v>
      </c>
      <c r="AX267" s="5" t="s">
        <v>67</v>
      </c>
      <c r="AY267" s="5" t="s">
        <v>67</v>
      </c>
      <c r="AZ267" s="5" t="s">
        <v>67</v>
      </c>
      <c r="BA267" s="3">
        <v>2146189812</v>
      </c>
      <c r="BD267" s="3">
        <v>2146189010</v>
      </c>
      <c r="BF267" s="5" t="s">
        <v>2449</v>
      </c>
      <c r="BG267" s="5" t="s">
        <v>2450</v>
      </c>
      <c r="BH267" s="5" t="s">
        <v>2451</v>
      </c>
      <c r="BI267" s="5" t="s">
        <v>74</v>
      </c>
      <c r="BJ267" s="5" t="s">
        <v>67</v>
      </c>
      <c r="BK267" s="5" t="s">
        <v>2452</v>
      </c>
      <c r="BL267" s="5" t="s">
        <v>2453</v>
      </c>
      <c r="BM267" s="5" t="s">
        <v>2454</v>
      </c>
      <c r="BN267" s="5" t="s">
        <v>2455</v>
      </c>
      <c r="BO267" s="5" t="s">
        <v>67</v>
      </c>
    </row>
    <row r="268" spans="1:67" x14ac:dyDescent="0.25">
      <c r="A268" s="3">
        <v>2146189543</v>
      </c>
      <c r="B268" s="4">
        <v>42503</v>
      </c>
      <c r="H268" s="5" t="s">
        <v>67</v>
      </c>
      <c r="I268" s="3" t="b">
        <v>0</v>
      </c>
      <c r="J268" s="3" t="b">
        <v>0</v>
      </c>
      <c r="K268" s="3" t="b">
        <v>0</v>
      </c>
      <c r="L268" s="3" t="b">
        <v>0</v>
      </c>
      <c r="M268" s="3" t="b">
        <v>0</v>
      </c>
      <c r="N268" s="3" t="b">
        <v>0</v>
      </c>
      <c r="O268" s="3" t="b">
        <v>0</v>
      </c>
      <c r="P268" s="3" t="b">
        <v>0</v>
      </c>
      <c r="Q268" s="3" t="b">
        <v>0</v>
      </c>
      <c r="R268" s="3" t="s">
        <v>67</v>
      </c>
      <c r="S268" s="5" t="s">
        <v>67</v>
      </c>
      <c r="T268" s="3" t="b">
        <v>0</v>
      </c>
      <c r="U268" s="3" t="b">
        <v>0</v>
      </c>
      <c r="V268" s="5" t="s">
        <v>67</v>
      </c>
      <c r="W268" s="5" t="s">
        <v>67</v>
      </c>
      <c r="X268" s="3" t="b">
        <v>0</v>
      </c>
      <c r="Y268" s="3" t="b">
        <v>0</v>
      </c>
      <c r="Z268" s="3" t="b">
        <v>0</v>
      </c>
      <c r="AA268" s="3" t="b">
        <v>0</v>
      </c>
      <c r="AB268" s="5" t="s">
        <v>67</v>
      </c>
      <c r="AC268" s="5" t="s">
        <v>67</v>
      </c>
      <c r="AD268" s="5" t="s">
        <v>67</v>
      </c>
      <c r="AE268" s="5" t="s">
        <v>67</v>
      </c>
      <c r="AF268" s="5" t="s">
        <v>67</v>
      </c>
      <c r="AG268" s="5" t="s">
        <v>67</v>
      </c>
      <c r="AH268" s="5" t="s">
        <v>67</v>
      </c>
      <c r="AI268" s="5" t="s">
        <v>67</v>
      </c>
      <c r="AJ268" s="5" t="s">
        <v>67</v>
      </c>
      <c r="AK268" s="5" t="s">
        <v>67</v>
      </c>
      <c r="AL268" s="5" t="s">
        <v>67</v>
      </c>
      <c r="AM268" s="5" t="s">
        <v>67</v>
      </c>
      <c r="AN268" s="5" t="s">
        <v>67</v>
      </c>
      <c r="AO268" s="5" t="s">
        <v>67</v>
      </c>
      <c r="AP268" s="5" t="s">
        <v>67</v>
      </c>
      <c r="AQ268" s="5" t="s">
        <v>67</v>
      </c>
      <c r="AR268" s="5" t="s">
        <v>67</v>
      </c>
      <c r="AW268" s="5" t="s">
        <v>67</v>
      </c>
      <c r="AX268" s="5" t="s">
        <v>67</v>
      </c>
      <c r="AY268" s="5" t="s">
        <v>67</v>
      </c>
      <c r="AZ268" s="5" t="s">
        <v>67</v>
      </c>
      <c r="BF268" s="5" t="s">
        <v>67</v>
      </c>
      <c r="BG268" s="5" t="s">
        <v>67</v>
      </c>
      <c r="BH268" s="5" t="s">
        <v>67</v>
      </c>
      <c r="BI268" s="5" t="s">
        <v>67</v>
      </c>
      <c r="BJ268" s="5" t="s">
        <v>67</v>
      </c>
      <c r="BK268" s="5" t="s">
        <v>67</v>
      </c>
      <c r="BL268" s="5" t="s">
        <v>67</v>
      </c>
      <c r="BM268" s="5" t="s">
        <v>67</v>
      </c>
      <c r="BN268" s="5" t="s">
        <v>67</v>
      </c>
      <c r="BO268" s="5" t="s">
        <v>67</v>
      </c>
    </row>
    <row r="269" spans="1:67" ht="165" x14ac:dyDescent="0.25">
      <c r="A269" s="3">
        <v>2146189547</v>
      </c>
      <c r="B269" s="4">
        <v>42801</v>
      </c>
      <c r="C269" s="3">
        <v>2146189166</v>
      </c>
      <c r="D269" s="3">
        <v>2146189528</v>
      </c>
      <c r="G269" s="3">
        <v>2146189528</v>
      </c>
      <c r="H269" s="5" t="s">
        <v>2456</v>
      </c>
      <c r="I269" s="3" t="b">
        <v>0</v>
      </c>
      <c r="J269" s="3" t="b">
        <v>0</v>
      </c>
      <c r="K269" s="3" t="b">
        <v>0</v>
      </c>
      <c r="L269" s="3" t="b">
        <v>1</v>
      </c>
      <c r="M269" s="3" t="b">
        <v>1</v>
      </c>
      <c r="N269" s="3" t="b">
        <v>0</v>
      </c>
      <c r="O269" s="3" t="b">
        <v>0</v>
      </c>
      <c r="P269" s="3" t="b">
        <v>0</v>
      </c>
      <c r="Q269" s="3" t="b">
        <v>0</v>
      </c>
      <c r="R269" s="3" t="s">
        <v>2457</v>
      </c>
      <c r="S269" s="5" t="s">
        <v>2458</v>
      </c>
      <c r="T269" s="3" t="b">
        <v>0</v>
      </c>
      <c r="U269" s="3" t="b">
        <v>0</v>
      </c>
      <c r="V269" s="5" t="s">
        <v>2459</v>
      </c>
      <c r="W269" s="5" t="s">
        <v>2460</v>
      </c>
      <c r="X269" s="3" t="b">
        <v>0</v>
      </c>
      <c r="Y269" s="3" t="b">
        <v>0</v>
      </c>
      <c r="Z269" s="3" t="b">
        <v>0</v>
      </c>
      <c r="AA269" s="3" t="b">
        <v>0</v>
      </c>
      <c r="AB269" s="5" t="s">
        <v>2461</v>
      </c>
      <c r="AC269" s="5" t="s">
        <v>2462</v>
      </c>
      <c r="AD269" s="5" t="s">
        <v>2463</v>
      </c>
      <c r="AE269" s="5" t="s">
        <v>67</v>
      </c>
      <c r="AF269" s="5" t="s">
        <v>2464</v>
      </c>
      <c r="AG269" s="5" t="s">
        <v>2465</v>
      </c>
      <c r="AH269" s="5" t="s">
        <v>67</v>
      </c>
      <c r="AI269" s="5" t="s">
        <v>2466</v>
      </c>
      <c r="AJ269" s="5" t="s">
        <v>67</v>
      </c>
      <c r="AK269" s="5" t="s">
        <v>67</v>
      </c>
      <c r="AL269" s="5" t="s">
        <v>67</v>
      </c>
      <c r="AM269" s="5" t="s">
        <v>67</v>
      </c>
      <c r="AN269" s="5" t="s">
        <v>2467</v>
      </c>
      <c r="AO269" s="5" t="s">
        <v>67</v>
      </c>
      <c r="AP269" s="5" t="s">
        <v>2468</v>
      </c>
      <c r="AQ269" s="5" t="s">
        <v>67</v>
      </c>
      <c r="AR269" s="5" t="s">
        <v>67</v>
      </c>
      <c r="AW269" s="5" t="s">
        <v>67</v>
      </c>
      <c r="AX269" s="5" t="s">
        <v>67</v>
      </c>
      <c r="AY269" s="5" t="s">
        <v>67</v>
      </c>
      <c r="AZ269" s="5" t="s">
        <v>67</v>
      </c>
      <c r="BA269" s="3">
        <v>968</v>
      </c>
      <c r="BD269" s="3">
        <v>2146189005</v>
      </c>
      <c r="BE269" s="3">
        <v>2146189005</v>
      </c>
      <c r="BF269" s="5" t="s">
        <v>2469</v>
      </c>
      <c r="BG269" s="5" t="s">
        <v>2470</v>
      </c>
      <c r="BH269" s="5" t="s">
        <v>2471</v>
      </c>
      <c r="BI269" s="5" t="s">
        <v>210</v>
      </c>
      <c r="BJ269" s="5" t="s">
        <v>67</v>
      </c>
      <c r="BK269" s="5" t="s">
        <v>67</v>
      </c>
      <c r="BL269" s="5" t="s">
        <v>2472</v>
      </c>
      <c r="BM269" s="5" t="s">
        <v>67</v>
      </c>
      <c r="BN269" s="5" t="s">
        <v>67</v>
      </c>
      <c r="BO269" s="5" t="s">
        <v>67</v>
      </c>
    </row>
    <row r="270" spans="1:67" ht="105" x14ac:dyDescent="0.25">
      <c r="A270" s="3">
        <v>2146189550</v>
      </c>
      <c r="B270" s="4">
        <v>42408</v>
      </c>
      <c r="H270" s="5" t="s">
        <v>67</v>
      </c>
      <c r="I270" s="3" t="b">
        <v>0</v>
      </c>
      <c r="J270" s="3" t="b">
        <v>0</v>
      </c>
      <c r="K270" s="3" t="b">
        <v>0</v>
      </c>
      <c r="L270" s="3" t="b">
        <v>0</v>
      </c>
      <c r="M270" s="3" t="b">
        <v>1</v>
      </c>
      <c r="N270" s="3" t="b">
        <v>0</v>
      </c>
      <c r="O270" s="3" t="b">
        <v>0</v>
      </c>
      <c r="P270" s="3" t="b">
        <v>0</v>
      </c>
      <c r="Q270" s="3" t="b">
        <v>0</v>
      </c>
      <c r="R270" s="3" t="s">
        <v>67</v>
      </c>
      <c r="S270" s="5" t="s">
        <v>67</v>
      </c>
      <c r="T270" s="3" t="b">
        <v>0</v>
      </c>
      <c r="U270" s="3" t="b">
        <v>0</v>
      </c>
      <c r="V270" s="5" t="s">
        <v>67</v>
      </c>
      <c r="W270" s="5" t="s">
        <v>67</v>
      </c>
      <c r="X270" s="3" t="b">
        <v>0</v>
      </c>
      <c r="Y270" s="3" t="b">
        <v>0</v>
      </c>
      <c r="Z270" s="3" t="b">
        <v>0</v>
      </c>
      <c r="AA270" s="3" t="b">
        <v>1</v>
      </c>
      <c r="AB270" s="5" t="s">
        <v>2473</v>
      </c>
      <c r="AC270" s="5" t="s">
        <v>2474</v>
      </c>
      <c r="AD270" s="5" t="s">
        <v>67</v>
      </c>
      <c r="AE270" s="5" t="s">
        <v>67</v>
      </c>
      <c r="AF270" s="5" t="s">
        <v>67</v>
      </c>
      <c r="AG270" s="5" t="s">
        <v>67</v>
      </c>
      <c r="AH270" s="5" t="s">
        <v>67</v>
      </c>
      <c r="AI270" s="5" t="s">
        <v>67</v>
      </c>
      <c r="AJ270" s="5" t="s">
        <v>67</v>
      </c>
      <c r="AK270" s="5" t="s">
        <v>67</v>
      </c>
      <c r="AL270" s="5" t="s">
        <v>67</v>
      </c>
      <c r="AM270" s="5" t="s">
        <v>67</v>
      </c>
      <c r="AN270" s="5" t="s">
        <v>67</v>
      </c>
      <c r="AO270" s="5" t="s">
        <v>67</v>
      </c>
      <c r="AP270" s="5" t="s">
        <v>67</v>
      </c>
      <c r="AQ270" s="5" t="s">
        <v>67</v>
      </c>
      <c r="AR270" s="5" t="s">
        <v>67</v>
      </c>
      <c r="AW270" s="5" t="s">
        <v>67</v>
      </c>
      <c r="AX270" s="5" t="s">
        <v>67</v>
      </c>
      <c r="AY270" s="5" t="s">
        <v>67</v>
      </c>
      <c r="AZ270" s="5" t="s">
        <v>67</v>
      </c>
      <c r="BA270" s="3">
        <v>2146189557</v>
      </c>
      <c r="BD270" s="3">
        <v>2146188985</v>
      </c>
      <c r="BF270" s="5" t="s">
        <v>2475</v>
      </c>
      <c r="BG270" s="5" t="s">
        <v>67</v>
      </c>
      <c r="BH270" s="5" t="s">
        <v>67</v>
      </c>
      <c r="BI270" s="5" t="s">
        <v>67</v>
      </c>
      <c r="BJ270" s="5" t="s">
        <v>67</v>
      </c>
      <c r="BK270" s="5" t="s">
        <v>2476</v>
      </c>
      <c r="BL270" s="5" t="s">
        <v>2477</v>
      </c>
      <c r="BM270" s="5" t="s">
        <v>67</v>
      </c>
      <c r="BN270" s="5" t="s">
        <v>118</v>
      </c>
      <c r="BO270" s="5" t="s">
        <v>67</v>
      </c>
    </row>
    <row r="271" spans="1:67" ht="120" x14ac:dyDescent="0.25">
      <c r="A271" s="3">
        <v>2146189552</v>
      </c>
      <c r="B271" s="4">
        <v>41969</v>
      </c>
      <c r="F271" s="3">
        <v>2542</v>
      </c>
      <c r="H271" s="5" t="s">
        <v>2478</v>
      </c>
      <c r="I271" s="3" t="b">
        <v>0</v>
      </c>
      <c r="J271" s="3" t="b">
        <v>0</v>
      </c>
      <c r="K271" s="3" t="b">
        <v>0</v>
      </c>
      <c r="L271" s="3" t="b">
        <v>0</v>
      </c>
      <c r="M271" s="3" t="b">
        <v>0</v>
      </c>
      <c r="N271" s="3" t="b">
        <v>0</v>
      </c>
      <c r="O271" s="3" t="b">
        <v>0</v>
      </c>
      <c r="P271" s="3" t="b">
        <v>0</v>
      </c>
      <c r="Q271" s="3" t="b">
        <v>1</v>
      </c>
      <c r="R271" s="3" t="s">
        <v>67</v>
      </c>
      <c r="S271" s="5" t="s">
        <v>67</v>
      </c>
      <c r="T271" s="3" t="b">
        <v>0</v>
      </c>
      <c r="U271" s="3" t="b">
        <v>1</v>
      </c>
      <c r="V271" s="5" t="s">
        <v>2479</v>
      </c>
      <c r="W271" s="5" t="s">
        <v>67</v>
      </c>
      <c r="X271" s="3" t="b">
        <v>0</v>
      </c>
      <c r="Y271" s="3" t="b">
        <v>0</v>
      </c>
      <c r="Z271" s="3" t="b">
        <v>0</v>
      </c>
      <c r="AA271" s="3" t="b">
        <v>0</v>
      </c>
      <c r="AB271" s="5" t="s">
        <v>67</v>
      </c>
      <c r="AC271" s="5" t="s">
        <v>67</v>
      </c>
      <c r="AD271" s="5" t="s">
        <v>67</v>
      </c>
      <c r="AE271" s="5" t="s">
        <v>67</v>
      </c>
      <c r="AF271" s="5" t="s">
        <v>67</v>
      </c>
      <c r="AG271" s="5" t="s">
        <v>67</v>
      </c>
      <c r="AH271" s="5" t="s">
        <v>2480</v>
      </c>
      <c r="AI271" s="5" t="s">
        <v>67</v>
      </c>
      <c r="AJ271" s="5" t="s">
        <v>380</v>
      </c>
      <c r="AK271" s="5" t="s">
        <v>67</v>
      </c>
      <c r="AL271" s="5" t="s">
        <v>67</v>
      </c>
      <c r="AM271" s="5" t="s">
        <v>67</v>
      </c>
      <c r="AN271" s="5" t="s">
        <v>67</v>
      </c>
      <c r="AO271" s="5" t="s">
        <v>67</v>
      </c>
      <c r="AP271" s="5" t="s">
        <v>67</v>
      </c>
      <c r="AQ271" s="5" t="s">
        <v>67</v>
      </c>
      <c r="AR271" s="5" t="s">
        <v>67</v>
      </c>
      <c r="AW271" s="5" t="s">
        <v>67</v>
      </c>
      <c r="AX271" s="5" t="s">
        <v>67</v>
      </c>
      <c r="AY271" s="5" t="s">
        <v>67</v>
      </c>
      <c r="AZ271" s="5" t="s">
        <v>67</v>
      </c>
      <c r="BD271" s="3">
        <v>2146188974</v>
      </c>
      <c r="BF271" s="5" t="s">
        <v>2481</v>
      </c>
      <c r="BG271" s="5" t="s">
        <v>97</v>
      </c>
      <c r="BH271" s="5" t="s">
        <v>67</v>
      </c>
      <c r="BI271" s="5" t="s">
        <v>67</v>
      </c>
      <c r="BJ271" s="5" t="s">
        <v>67</v>
      </c>
      <c r="BK271" s="5" t="s">
        <v>67</v>
      </c>
      <c r="BL271" s="5" t="s">
        <v>67</v>
      </c>
      <c r="BM271" s="5" t="s">
        <v>67</v>
      </c>
      <c r="BN271" s="5" t="s">
        <v>213</v>
      </c>
      <c r="BO271" s="5" t="s">
        <v>67</v>
      </c>
    </row>
    <row r="272" spans="1:67" x14ac:dyDescent="0.25">
      <c r="A272" s="3">
        <v>2146189556</v>
      </c>
      <c r="B272" s="4">
        <v>42647</v>
      </c>
      <c r="H272" s="5" t="s">
        <v>67</v>
      </c>
      <c r="I272" s="3" t="b">
        <v>0</v>
      </c>
      <c r="J272" s="3" t="b">
        <v>0</v>
      </c>
      <c r="K272" s="3" t="b">
        <v>0</v>
      </c>
      <c r="L272" s="3" t="b">
        <v>0</v>
      </c>
      <c r="M272" s="3" t="b">
        <v>0</v>
      </c>
      <c r="N272" s="3" t="b">
        <v>0</v>
      </c>
      <c r="O272" s="3" t="b">
        <v>0</v>
      </c>
      <c r="P272" s="3" t="b">
        <v>0</v>
      </c>
      <c r="Q272" s="3" t="b">
        <v>0</v>
      </c>
      <c r="R272" s="3" t="s">
        <v>67</v>
      </c>
      <c r="S272" s="5" t="s">
        <v>67</v>
      </c>
      <c r="T272" s="3" t="b">
        <v>0</v>
      </c>
      <c r="U272" s="3" t="b">
        <v>0</v>
      </c>
      <c r="V272" s="5" t="s">
        <v>67</v>
      </c>
      <c r="W272" s="5" t="s">
        <v>67</v>
      </c>
      <c r="X272" s="3" t="b">
        <v>0</v>
      </c>
      <c r="Y272" s="3" t="b">
        <v>0</v>
      </c>
      <c r="Z272" s="3" t="b">
        <v>0</v>
      </c>
      <c r="AA272" s="3" t="b">
        <v>0</v>
      </c>
      <c r="AB272" s="5" t="s">
        <v>67</v>
      </c>
      <c r="AC272" s="5" t="s">
        <v>67</v>
      </c>
      <c r="AD272" s="5" t="s">
        <v>67</v>
      </c>
      <c r="AE272" s="5" t="s">
        <v>67</v>
      </c>
      <c r="AF272" s="5" t="s">
        <v>67</v>
      </c>
      <c r="AG272" s="5" t="s">
        <v>67</v>
      </c>
      <c r="AH272" s="5" t="s">
        <v>67</v>
      </c>
      <c r="AI272" s="5" t="s">
        <v>67</v>
      </c>
      <c r="AJ272" s="5" t="s">
        <v>67</v>
      </c>
      <c r="AK272" s="5" t="s">
        <v>67</v>
      </c>
      <c r="AL272" s="5" t="s">
        <v>67</v>
      </c>
      <c r="AM272" s="5" t="s">
        <v>67</v>
      </c>
      <c r="AN272" s="5" t="s">
        <v>67</v>
      </c>
      <c r="AO272" s="5" t="s">
        <v>67</v>
      </c>
      <c r="AP272" s="5" t="s">
        <v>67</v>
      </c>
      <c r="AQ272" s="5" t="s">
        <v>67</v>
      </c>
      <c r="AR272" s="5" t="s">
        <v>67</v>
      </c>
      <c r="AW272" s="5" t="s">
        <v>67</v>
      </c>
      <c r="AX272" s="5" t="s">
        <v>67</v>
      </c>
      <c r="AY272" s="5" t="s">
        <v>67</v>
      </c>
      <c r="AZ272" s="5" t="s">
        <v>67</v>
      </c>
      <c r="BF272" s="5" t="s">
        <v>67</v>
      </c>
      <c r="BG272" s="5" t="s">
        <v>67</v>
      </c>
      <c r="BH272" s="5" t="s">
        <v>67</v>
      </c>
      <c r="BI272" s="5" t="s">
        <v>67</v>
      </c>
      <c r="BJ272" s="5" t="s">
        <v>67</v>
      </c>
      <c r="BK272" s="5" t="s">
        <v>67</v>
      </c>
      <c r="BL272" s="5" t="s">
        <v>67</v>
      </c>
      <c r="BM272" s="5" t="s">
        <v>67</v>
      </c>
      <c r="BN272" s="5" t="s">
        <v>67</v>
      </c>
      <c r="BO272" s="5" t="s">
        <v>67</v>
      </c>
    </row>
    <row r="273" spans="1:67" x14ac:dyDescent="0.25">
      <c r="A273" s="3">
        <v>2146189573</v>
      </c>
      <c r="B273" s="4">
        <v>42391</v>
      </c>
      <c r="H273" s="5" t="s">
        <v>67</v>
      </c>
      <c r="I273" s="3" t="b">
        <v>0</v>
      </c>
      <c r="J273" s="3" t="b">
        <v>0</v>
      </c>
      <c r="K273" s="3" t="b">
        <v>0</v>
      </c>
      <c r="L273" s="3" t="b">
        <v>0</v>
      </c>
      <c r="M273" s="3" t="b">
        <v>0</v>
      </c>
      <c r="N273" s="3" t="b">
        <v>0</v>
      </c>
      <c r="O273" s="3" t="b">
        <v>0</v>
      </c>
      <c r="P273" s="3" t="b">
        <v>0</v>
      </c>
      <c r="Q273" s="3" t="b">
        <v>0</v>
      </c>
      <c r="R273" s="3" t="s">
        <v>67</v>
      </c>
      <c r="S273" s="5" t="s">
        <v>67</v>
      </c>
      <c r="T273" s="3" t="b">
        <v>0</v>
      </c>
      <c r="U273" s="3" t="b">
        <v>0</v>
      </c>
      <c r="V273" s="5" t="s">
        <v>67</v>
      </c>
      <c r="W273" s="5" t="s">
        <v>67</v>
      </c>
      <c r="X273" s="3" t="b">
        <v>0</v>
      </c>
      <c r="Y273" s="3" t="b">
        <v>0</v>
      </c>
      <c r="Z273" s="3" t="b">
        <v>0</v>
      </c>
      <c r="AA273" s="3" t="b">
        <v>0</v>
      </c>
      <c r="AB273" s="5" t="s">
        <v>67</v>
      </c>
      <c r="AC273" s="5" t="s">
        <v>67</v>
      </c>
      <c r="AD273" s="5" t="s">
        <v>67</v>
      </c>
      <c r="AE273" s="5" t="s">
        <v>67</v>
      </c>
      <c r="AF273" s="5" t="s">
        <v>67</v>
      </c>
      <c r="AG273" s="5" t="s">
        <v>67</v>
      </c>
      <c r="AH273" s="5" t="s">
        <v>67</v>
      </c>
      <c r="AI273" s="5" t="s">
        <v>67</v>
      </c>
      <c r="AJ273" s="5" t="s">
        <v>67</v>
      </c>
      <c r="AK273" s="5" t="s">
        <v>67</v>
      </c>
      <c r="AL273" s="5" t="s">
        <v>67</v>
      </c>
      <c r="AM273" s="5" t="s">
        <v>67</v>
      </c>
      <c r="AN273" s="5" t="s">
        <v>67</v>
      </c>
      <c r="AO273" s="5" t="s">
        <v>67</v>
      </c>
      <c r="AP273" s="5" t="s">
        <v>67</v>
      </c>
      <c r="AQ273" s="5" t="s">
        <v>67</v>
      </c>
      <c r="AR273" s="5" t="s">
        <v>67</v>
      </c>
      <c r="AW273" s="5" t="s">
        <v>67</v>
      </c>
      <c r="AX273" s="5" t="s">
        <v>67</v>
      </c>
      <c r="AY273" s="5" t="s">
        <v>67</v>
      </c>
      <c r="AZ273" s="5" t="s">
        <v>67</v>
      </c>
      <c r="BF273" s="5" t="s">
        <v>67</v>
      </c>
      <c r="BG273" s="5" t="s">
        <v>67</v>
      </c>
      <c r="BH273" s="5" t="s">
        <v>67</v>
      </c>
      <c r="BI273" s="5" t="s">
        <v>67</v>
      </c>
      <c r="BJ273" s="5" t="s">
        <v>67</v>
      </c>
      <c r="BK273" s="5" t="s">
        <v>67</v>
      </c>
      <c r="BL273" s="5" t="s">
        <v>67</v>
      </c>
      <c r="BM273" s="5" t="s">
        <v>67</v>
      </c>
      <c r="BN273" s="5" t="s">
        <v>67</v>
      </c>
      <c r="BO273" s="5" t="s">
        <v>67</v>
      </c>
    </row>
    <row r="274" spans="1:67" ht="105" x14ac:dyDescent="0.25">
      <c r="A274" s="3">
        <v>2146189577</v>
      </c>
      <c r="B274" s="4">
        <v>42530</v>
      </c>
      <c r="C274" s="3">
        <v>2146189578</v>
      </c>
      <c r="D274" s="3">
        <v>2146189688</v>
      </c>
      <c r="H274" s="5" t="s">
        <v>2482</v>
      </c>
      <c r="I274" s="3" t="b">
        <v>0</v>
      </c>
      <c r="J274" s="3" t="b">
        <v>0</v>
      </c>
      <c r="K274" s="3" t="b">
        <v>0</v>
      </c>
      <c r="L274" s="3" t="b">
        <v>1</v>
      </c>
      <c r="M274" s="3" t="b">
        <v>1</v>
      </c>
      <c r="N274" s="3" t="b">
        <v>0</v>
      </c>
      <c r="O274" s="3" t="b">
        <v>0</v>
      </c>
      <c r="P274" s="3" t="b">
        <v>0</v>
      </c>
      <c r="Q274" s="3" t="b">
        <v>0</v>
      </c>
      <c r="R274" s="3" t="s">
        <v>2483</v>
      </c>
      <c r="S274" s="5" t="s">
        <v>2484</v>
      </c>
      <c r="T274" s="3" t="b">
        <v>1</v>
      </c>
      <c r="U274" s="3" t="b">
        <v>1</v>
      </c>
      <c r="V274" s="5" t="s">
        <v>2485</v>
      </c>
      <c r="W274" s="5" t="s">
        <v>2486</v>
      </c>
      <c r="X274" s="3" t="b">
        <v>0</v>
      </c>
      <c r="Y274" s="3" t="b">
        <v>0</v>
      </c>
      <c r="Z274" s="3" t="b">
        <v>0</v>
      </c>
      <c r="AA274" s="3" t="b">
        <v>1</v>
      </c>
      <c r="AB274" s="5" t="s">
        <v>431</v>
      </c>
      <c r="AC274" s="5" t="s">
        <v>2487</v>
      </c>
      <c r="AD274" s="5" t="s">
        <v>2488</v>
      </c>
      <c r="AE274" s="5" t="s">
        <v>2489</v>
      </c>
      <c r="AF274" s="5" t="s">
        <v>2490</v>
      </c>
      <c r="AG274" s="5" t="s">
        <v>67</v>
      </c>
      <c r="AH274" s="5" t="s">
        <v>573</v>
      </c>
      <c r="AI274" s="5" t="s">
        <v>2491</v>
      </c>
      <c r="AJ274" s="5" t="s">
        <v>2492</v>
      </c>
      <c r="AK274" s="5" t="s">
        <v>2493</v>
      </c>
      <c r="AL274" s="5" t="s">
        <v>67</v>
      </c>
      <c r="AM274" s="5" t="s">
        <v>2494</v>
      </c>
      <c r="AN274" s="5" t="s">
        <v>67</v>
      </c>
      <c r="AO274" s="5" t="s">
        <v>67</v>
      </c>
      <c r="AP274" s="5" t="s">
        <v>67</v>
      </c>
      <c r="AQ274" s="5" t="s">
        <v>67</v>
      </c>
      <c r="AR274" s="5" t="s">
        <v>67</v>
      </c>
      <c r="AS274" s="3">
        <v>2146189525</v>
      </c>
      <c r="AW274" s="5" t="s">
        <v>67</v>
      </c>
      <c r="AX274" s="5" t="s">
        <v>67</v>
      </c>
      <c r="AY274" s="5" t="s">
        <v>67</v>
      </c>
      <c r="AZ274" s="5" t="s">
        <v>67</v>
      </c>
      <c r="BA274" s="3">
        <v>2146189536</v>
      </c>
      <c r="BD274" s="3">
        <v>2146189004</v>
      </c>
      <c r="BF274" s="5" t="s">
        <v>67</v>
      </c>
      <c r="BG274" s="5" t="s">
        <v>2207</v>
      </c>
      <c r="BH274" s="5" t="s">
        <v>67</v>
      </c>
      <c r="BI274" s="5" t="s">
        <v>210</v>
      </c>
      <c r="BJ274" s="5" t="s">
        <v>67</v>
      </c>
      <c r="BK274" s="5" t="s">
        <v>2495</v>
      </c>
      <c r="BL274" s="5" t="s">
        <v>2496</v>
      </c>
      <c r="BM274" s="5" t="s">
        <v>67</v>
      </c>
      <c r="BN274" s="5" t="s">
        <v>1508</v>
      </c>
      <c r="BO274" s="5" t="s">
        <v>67</v>
      </c>
    </row>
    <row r="275" spans="1:67" ht="210" x14ac:dyDescent="0.25">
      <c r="A275" s="3">
        <v>2146189579</v>
      </c>
      <c r="B275" s="4">
        <v>43028</v>
      </c>
      <c r="C275" s="3">
        <v>2146189580</v>
      </c>
      <c r="H275" s="5" t="s">
        <v>2497</v>
      </c>
      <c r="I275" s="3" t="b">
        <v>0</v>
      </c>
      <c r="J275" s="3" t="b">
        <v>0</v>
      </c>
      <c r="K275" s="3" t="b">
        <v>0</v>
      </c>
      <c r="L275" s="3" t="b">
        <v>1</v>
      </c>
      <c r="M275" s="3" t="b">
        <v>0</v>
      </c>
      <c r="N275" s="3" t="b">
        <v>0</v>
      </c>
      <c r="O275" s="3" t="b">
        <v>0</v>
      </c>
      <c r="P275" s="3" t="b">
        <v>0</v>
      </c>
      <c r="Q275" s="3" t="b">
        <v>0</v>
      </c>
      <c r="R275" s="3" t="s">
        <v>2498</v>
      </c>
      <c r="S275" s="5" t="s">
        <v>2499</v>
      </c>
      <c r="T275" s="3" t="b">
        <v>0</v>
      </c>
      <c r="U275" s="3" t="b">
        <v>1</v>
      </c>
      <c r="V275" s="5" t="s">
        <v>2500</v>
      </c>
      <c r="W275" s="5" t="s">
        <v>2501</v>
      </c>
      <c r="X275" s="3" t="b">
        <v>0</v>
      </c>
      <c r="Y275" s="3" t="b">
        <v>0</v>
      </c>
      <c r="Z275" s="3" t="b">
        <v>0</v>
      </c>
      <c r="AA275" s="3" t="b">
        <v>0</v>
      </c>
      <c r="AB275" s="5" t="s">
        <v>2502</v>
      </c>
      <c r="AC275" s="5" t="s">
        <v>67</v>
      </c>
      <c r="AD275" s="5" t="s">
        <v>67</v>
      </c>
      <c r="AE275" s="5" t="s">
        <v>67</v>
      </c>
      <c r="AF275" s="5" t="s">
        <v>2503</v>
      </c>
      <c r="AG275" s="5" t="s">
        <v>67</v>
      </c>
      <c r="AH275" s="5" t="s">
        <v>2504</v>
      </c>
      <c r="AI275" s="5" t="s">
        <v>67</v>
      </c>
      <c r="AJ275" s="5" t="s">
        <v>67</v>
      </c>
      <c r="AK275" s="5" t="s">
        <v>67</v>
      </c>
      <c r="AL275" s="5" t="s">
        <v>67</v>
      </c>
      <c r="AM275" s="5" t="s">
        <v>67</v>
      </c>
      <c r="AN275" s="5" t="s">
        <v>67</v>
      </c>
      <c r="AO275" s="5" t="s">
        <v>67</v>
      </c>
      <c r="AP275" s="5" t="s">
        <v>67</v>
      </c>
      <c r="AQ275" s="5" t="s">
        <v>67</v>
      </c>
      <c r="AR275" s="5" t="s">
        <v>67</v>
      </c>
      <c r="AW275" s="5" t="s">
        <v>67</v>
      </c>
      <c r="AX275" s="5" t="s">
        <v>67</v>
      </c>
      <c r="AY275" s="5" t="s">
        <v>67</v>
      </c>
      <c r="AZ275" s="5" t="s">
        <v>67</v>
      </c>
      <c r="BA275" s="3">
        <v>2146189868</v>
      </c>
      <c r="BD275" s="3">
        <v>2146188976</v>
      </c>
      <c r="BF275" s="5" t="s">
        <v>67</v>
      </c>
      <c r="BG275" s="5" t="s">
        <v>67</v>
      </c>
      <c r="BH275" s="5" t="s">
        <v>2505</v>
      </c>
      <c r="BI275" s="5" t="s">
        <v>67</v>
      </c>
      <c r="BJ275" s="5" t="s">
        <v>67</v>
      </c>
      <c r="BK275" s="5" t="s">
        <v>67</v>
      </c>
      <c r="BL275" s="5" t="s">
        <v>2506</v>
      </c>
      <c r="BM275" s="5" t="s">
        <v>67</v>
      </c>
      <c r="BN275" s="5" t="s">
        <v>67</v>
      </c>
      <c r="BO275" s="5" t="s">
        <v>67</v>
      </c>
    </row>
    <row r="276" spans="1:67" x14ac:dyDescent="0.25">
      <c r="A276" s="3">
        <v>2146189582</v>
      </c>
      <c r="B276" s="4">
        <v>42843</v>
      </c>
      <c r="H276" s="5" t="s">
        <v>67</v>
      </c>
      <c r="I276" s="3" t="b">
        <v>0</v>
      </c>
      <c r="J276" s="3" t="b">
        <v>0</v>
      </c>
      <c r="K276" s="3" t="b">
        <v>0</v>
      </c>
      <c r="L276" s="3" t="b">
        <v>0</v>
      </c>
      <c r="M276" s="3" t="b">
        <v>0</v>
      </c>
      <c r="N276" s="3" t="b">
        <v>0</v>
      </c>
      <c r="O276" s="3" t="b">
        <v>0</v>
      </c>
      <c r="P276" s="3" t="b">
        <v>0</v>
      </c>
      <c r="Q276" s="3" t="b">
        <v>0</v>
      </c>
      <c r="R276" s="3" t="s">
        <v>67</v>
      </c>
      <c r="S276" s="5" t="s">
        <v>67</v>
      </c>
      <c r="T276" s="3" t="b">
        <v>0</v>
      </c>
      <c r="U276" s="3" t="b">
        <v>0</v>
      </c>
      <c r="V276" s="5" t="s">
        <v>67</v>
      </c>
      <c r="W276" s="5" t="s">
        <v>67</v>
      </c>
      <c r="X276" s="3" t="b">
        <v>0</v>
      </c>
      <c r="Y276" s="3" t="b">
        <v>0</v>
      </c>
      <c r="Z276" s="3" t="b">
        <v>0</v>
      </c>
      <c r="AA276" s="3" t="b">
        <v>0</v>
      </c>
      <c r="AB276" s="5" t="s">
        <v>67</v>
      </c>
      <c r="AC276" s="5" t="s">
        <v>67</v>
      </c>
      <c r="AD276" s="5" t="s">
        <v>67</v>
      </c>
      <c r="AE276" s="5" t="s">
        <v>67</v>
      </c>
      <c r="AF276" s="5" t="s">
        <v>67</v>
      </c>
      <c r="AG276" s="5" t="s">
        <v>67</v>
      </c>
      <c r="AH276" s="5" t="s">
        <v>67</v>
      </c>
      <c r="AI276" s="5" t="s">
        <v>67</v>
      </c>
      <c r="AJ276" s="5" t="s">
        <v>67</v>
      </c>
      <c r="AK276" s="5" t="s">
        <v>67</v>
      </c>
      <c r="AL276" s="5" t="s">
        <v>67</v>
      </c>
      <c r="AM276" s="5" t="s">
        <v>67</v>
      </c>
      <c r="AN276" s="5" t="s">
        <v>67</v>
      </c>
      <c r="AO276" s="5" t="s">
        <v>67</v>
      </c>
      <c r="AP276" s="5" t="s">
        <v>67</v>
      </c>
      <c r="AQ276" s="5" t="s">
        <v>67</v>
      </c>
      <c r="AR276" s="5" t="s">
        <v>67</v>
      </c>
      <c r="AS276" s="3">
        <v>2146189821</v>
      </c>
      <c r="AV276" s="3">
        <v>2146189527</v>
      </c>
      <c r="AW276" s="5" t="s">
        <v>67</v>
      </c>
      <c r="AX276" s="5" t="s">
        <v>67</v>
      </c>
      <c r="AY276" s="5" t="s">
        <v>67</v>
      </c>
      <c r="AZ276" s="5" t="s">
        <v>67</v>
      </c>
      <c r="BA276" s="3">
        <v>2146188990</v>
      </c>
      <c r="BF276" s="5" t="s">
        <v>67</v>
      </c>
      <c r="BG276" s="5" t="s">
        <v>67</v>
      </c>
      <c r="BH276" s="5" t="s">
        <v>67</v>
      </c>
      <c r="BI276" s="5" t="s">
        <v>67</v>
      </c>
      <c r="BJ276" s="5" t="s">
        <v>67</v>
      </c>
      <c r="BK276" s="5" t="s">
        <v>67</v>
      </c>
      <c r="BL276" s="5" t="s">
        <v>67</v>
      </c>
      <c r="BM276" s="5" t="s">
        <v>67</v>
      </c>
      <c r="BN276" s="5" t="s">
        <v>2507</v>
      </c>
      <c r="BO276" s="5" t="s">
        <v>67</v>
      </c>
    </row>
    <row r="277" spans="1:67" ht="60" x14ac:dyDescent="0.25">
      <c r="A277" s="3">
        <v>2146189599</v>
      </c>
      <c r="B277" s="4">
        <v>42305</v>
      </c>
      <c r="H277" s="5" t="s">
        <v>67</v>
      </c>
      <c r="I277" s="3" t="b">
        <v>0</v>
      </c>
      <c r="J277" s="3" t="b">
        <v>0</v>
      </c>
      <c r="K277" s="3" t="b">
        <v>0</v>
      </c>
      <c r="L277" s="3" t="b">
        <v>0</v>
      </c>
      <c r="M277" s="3" t="b">
        <v>0</v>
      </c>
      <c r="N277" s="3" t="b">
        <v>0</v>
      </c>
      <c r="O277" s="3" t="b">
        <v>0</v>
      </c>
      <c r="P277" s="3" t="b">
        <v>0</v>
      </c>
      <c r="Q277" s="3" t="b">
        <v>0</v>
      </c>
      <c r="R277" s="3" t="s">
        <v>67</v>
      </c>
      <c r="S277" s="5" t="s">
        <v>67</v>
      </c>
      <c r="T277" s="3" t="b">
        <v>0</v>
      </c>
      <c r="U277" s="3" t="b">
        <v>0</v>
      </c>
      <c r="V277" s="5" t="s">
        <v>67</v>
      </c>
      <c r="W277" s="5" t="s">
        <v>67</v>
      </c>
      <c r="X277" s="3" t="b">
        <v>0</v>
      </c>
      <c r="Y277" s="3" t="b">
        <v>0</v>
      </c>
      <c r="Z277" s="3" t="b">
        <v>0</v>
      </c>
      <c r="AA277" s="3" t="b">
        <v>0</v>
      </c>
      <c r="AB277" s="5" t="s">
        <v>67</v>
      </c>
      <c r="AC277" s="5" t="s">
        <v>67</v>
      </c>
      <c r="AD277" s="5" t="s">
        <v>67</v>
      </c>
      <c r="AE277" s="5" t="s">
        <v>67</v>
      </c>
      <c r="AF277" s="5" t="s">
        <v>67</v>
      </c>
      <c r="AG277" s="5" t="s">
        <v>67</v>
      </c>
      <c r="AH277" s="5" t="s">
        <v>67</v>
      </c>
      <c r="AI277" s="5" t="s">
        <v>67</v>
      </c>
      <c r="AJ277" s="5" t="s">
        <v>67</v>
      </c>
      <c r="AK277" s="5" t="s">
        <v>67</v>
      </c>
      <c r="AL277" s="5" t="s">
        <v>67</v>
      </c>
      <c r="AM277" s="5" t="s">
        <v>67</v>
      </c>
      <c r="AN277" s="5" t="s">
        <v>67</v>
      </c>
      <c r="AO277" s="5" t="s">
        <v>67</v>
      </c>
      <c r="AP277" s="5" t="s">
        <v>67</v>
      </c>
      <c r="AQ277" s="5" t="s">
        <v>67</v>
      </c>
      <c r="AR277" s="5" t="s">
        <v>67</v>
      </c>
      <c r="AS277" s="3">
        <v>2146189563</v>
      </c>
      <c r="AW277" s="5" t="s">
        <v>67</v>
      </c>
      <c r="AX277" s="5" t="s">
        <v>67</v>
      </c>
      <c r="AY277" s="5" t="s">
        <v>67</v>
      </c>
      <c r="AZ277" s="5" t="s">
        <v>67</v>
      </c>
      <c r="BD277" s="3">
        <v>2146189275</v>
      </c>
      <c r="BF277" s="5" t="s">
        <v>1892</v>
      </c>
      <c r="BG277" s="5" t="s">
        <v>2508</v>
      </c>
      <c r="BH277" s="5" t="s">
        <v>2509</v>
      </c>
      <c r="BI277" s="5" t="s">
        <v>67</v>
      </c>
      <c r="BJ277" s="5" t="s">
        <v>2510</v>
      </c>
      <c r="BK277" s="5" t="s">
        <v>67</v>
      </c>
      <c r="BL277" s="5" t="s">
        <v>67</v>
      </c>
      <c r="BM277" s="5" t="s">
        <v>67</v>
      </c>
      <c r="BN277" s="5" t="s">
        <v>2511</v>
      </c>
      <c r="BO277" s="5" t="s">
        <v>67</v>
      </c>
    </row>
    <row r="278" spans="1:67" ht="255" x14ac:dyDescent="0.25">
      <c r="A278" s="3">
        <v>2146189610</v>
      </c>
      <c r="B278" s="4">
        <v>42290</v>
      </c>
      <c r="C278" s="3">
        <v>2146189609</v>
      </c>
      <c r="G278" s="3">
        <v>2146189609</v>
      </c>
      <c r="H278" s="5" t="s">
        <v>2512</v>
      </c>
      <c r="I278" s="3" t="b">
        <v>0</v>
      </c>
      <c r="J278" s="3" t="b">
        <v>0</v>
      </c>
      <c r="K278" s="3" t="b">
        <v>0</v>
      </c>
      <c r="L278" s="3" t="b">
        <v>1</v>
      </c>
      <c r="M278" s="3" t="b">
        <v>1</v>
      </c>
      <c r="N278" s="3" t="b">
        <v>0</v>
      </c>
      <c r="O278" s="3" t="b">
        <v>0</v>
      </c>
      <c r="P278" s="3" t="b">
        <v>0</v>
      </c>
      <c r="Q278" s="3" t="b">
        <v>0</v>
      </c>
      <c r="R278" s="3" t="s">
        <v>67</v>
      </c>
      <c r="S278" s="5" t="s">
        <v>2513</v>
      </c>
      <c r="T278" s="3" t="b">
        <v>0</v>
      </c>
      <c r="U278" s="3" t="b">
        <v>0</v>
      </c>
      <c r="V278" s="5" t="s">
        <v>2514</v>
      </c>
      <c r="W278" s="5" t="s">
        <v>67</v>
      </c>
      <c r="X278" s="3" t="b">
        <v>0</v>
      </c>
      <c r="Y278" s="3" t="b">
        <v>0</v>
      </c>
      <c r="Z278" s="3" t="b">
        <v>0</v>
      </c>
      <c r="AA278" s="3" t="b">
        <v>1</v>
      </c>
      <c r="AB278" s="5" t="s">
        <v>2515</v>
      </c>
      <c r="AC278" s="5" t="s">
        <v>67</v>
      </c>
      <c r="AD278" s="5" t="s">
        <v>67</v>
      </c>
      <c r="AE278" s="5" t="s">
        <v>67</v>
      </c>
      <c r="AF278" s="5" t="s">
        <v>2516</v>
      </c>
      <c r="AG278" s="5" t="s">
        <v>2517</v>
      </c>
      <c r="AH278" s="5" t="s">
        <v>2518</v>
      </c>
      <c r="AI278" s="5" t="s">
        <v>67</v>
      </c>
      <c r="AJ278" s="5" t="s">
        <v>67</v>
      </c>
      <c r="AK278" s="5" t="s">
        <v>2519</v>
      </c>
      <c r="AL278" s="5" t="s">
        <v>67</v>
      </c>
      <c r="AM278" s="5" t="s">
        <v>2520</v>
      </c>
      <c r="AN278" s="5" t="s">
        <v>67</v>
      </c>
      <c r="AO278" s="5" t="s">
        <v>67</v>
      </c>
      <c r="AP278" s="5" t="s">
        <v>67</v>
      </c>
      <c r="AQ278" s="5" t="s">
        <v>67</v>
      </c>
      <c r="AR278" s="5" t="s">
        <v>67</v>
      </c>
      <c r="AW278" s="5" t="s">
        <v>67</v>
      </c>
      <c r="AX278" s="5" t="s">
        <v>67</v>
      </c>
      <c r="AY278" s="5" t="s">
        <v>67</v>
      </c>
      <c r="AZ278" s="5" t="s">
        <v>67</v>
      </c>
      <c r="BA278" s="3">
        <v>2146188990</v>
      </c>
      <c r="BD278" s="3">
        <v>2146189005</v>
      </c>
      <c r="BF278" s="5" t="s">
        <v>2521</v>
      </c>
      <c r="BG278" s="5" t="s">
        <v>1893</v>
      </c>
      <c r="BH278" s="5" t="s">
        <v>2522</v>
      </c>
      <c r="BI278" s="5" t="s">
        <v>210</v>
      </c>
      <c r="BJ278" s="5" t="s">
        <v>2523</v>
      </c>
      <c r="BK278" s="5" t="s">
        <v>2524</v>
      </c>
      <c r="BL278" s="5" t="s">
        <v>2525</v>
      </c>
      <c r="BM278" s="5" t="s">
        <v>67</v>
      </c>
      <c r="BN278" s="5" t="s">
        <v>67</v>
      </c>
      <c r="BO278" s="5" t="s">
        <v>67</v>
      </c>
    </row>
    <row r="279" spans="1:67" ht="225" x14ac:dyDescent="0.25">
      <c r="A279" s="3">
        <v>2146189623</v>
      </c>
      <c r="B279" s="4">
        <v>42884</v>
      </c>
      <c r="C279" s="3">
        <v>1962</v>
      </c>
      <c r="D279" s="3">
        <v>2146189778</v>
      </c>
      <c r="H279" s="5" t="s">
        <v>2526</v>
      </c>
      <c r="I279" s="3" t="b">
        <v>0</v>
      </c>
      <c r="J279" s="3" t="b">
        <v>0</v>
      </c>
      <c r="K279" s="3" t="b">
        <v>1</v>
      </c>
      <c r="L279" s="3" t="b">
        <v>1</v>
      </c>
      <c r="M279" s="3" t="b">
        <v>1</v>
      </c>
      <c r="N279" s="3" t="b">
        <v>0</v>
      </c>
      <c r="O279" s="3" t="b">
        <v>0</v>
      </c>
      <c r="P279" s="3" t="b">
        <v>0</v>
      </c>
      <c r="Q279" s="3" t="b">
        <v>0</v>
      </c>
      <c r="R279" s="3" t="s">
        <v>2527</v>
      </c>
      <c r="S279" s="5" t="s">
        <v>2528</v>
      </c>
      <c r="T279" s="3" t="b">
        <v>1</v>
      </c>
      <c r="U279" s="3" t="b">
        <v>1</v>
      </c>
      <c r="V279" s="5" t="s">
        <v>2529</v>
      </c>
      <c r="W279" s="5" t="s">
        <v>2530</v>
      </c>
      <c r="X279" s="3" t="b">
        <v>0</v>
      </c>
      <c r="Y279" s="3" t="b">
        <v>0</v>
      </c>
      <c r="Z279" s="3" t="b">
        <v>0</v>
      </c>
      <c r="AA279" s="3" t="b">
        <v>0</v>
      </c>
      <c r="AB279" s="5" t="s">
        <v>2531</v>
      </c>
      <c r="AC279" s="5" t="s">
        <v>2532</v>
      </c>
      <c r="AD279" s="5" t="s">
        <v>2533</v>
      </c>
      <c r="AE279" s="5" t="s">
        <v>2534</v>
      </c>
      <c r="AF279" s="5" t="s">
        <v>2535</v>
      </c>
      <c r="AG279" s="5" t="s">
        <v>67</v>
      </c>
      <c r="AH279" s="5" t="s">
        <v>2536</v>
      </c>
      <c r="AI279" s="5" t="s">
        <v>2537</v>
      </c>
      <c r="AJ279" s="5" t="s">
        <v>2538</v>
      </c>
      <c r="AK279" s="5" t="s">
        <v>67</v>
      </c>
      <c r="AL279" s="5" t="s">
        <v>67</v>
      </c>
      <c r="AM279" s="5" t="s">
        <v>2539</v>
      </c>
      <c r="AN279" s="5" t="s">
        <v>2540</v>
      </c>
      <c r="AO279" s="5" t="s">
        <v>2541</v>
      </c>
      <c r="AP279" s="5" t="s">
        <v>67</v>
      </c>
      <c r="AQ279" s="5" t="s">
        <v>67</v>
      </c>
      <c r="AR279" s="5" t="s">
        <v>67</v>
      </c>
      <c r="AS279" s="3">
        <v>2146189417</v>
      </c>
      <c r="AT279" s="3">
        <v>2146189190</v>
      </c>
      <c r="AW279" s="5" t="s">
        <v>67</v>
      </c>
      <c r="AX279" s="5" t="s">
        <v>67</v>
      </c>
      <c r="AY279" s="5" t="s">
        <v>67</v>
      </c>
      <c r="AZ279" s="5" t="s">
        <v>67</v>
      </c>
      <c r="BA279" s="3">
        <v>2146189780</v>
      </c>
      <c r="BD279" s="3">
        <v>2146189029</v>
      </c>
      <c r="BE279" s="3">
        <v>2146188982</v>
      </c>
      <c r="BF279" s="5" t="s">
        <v>2542</v>
      </c>
      <c r="BG279" s="5" t="s">
        <v>117</v>
      </c>
      <c r="BH279" s="5" t="s">
        <v>67</v>
      </c>
      <c r="BI279" s="5" t="s">
        <v>210</v>
      </c>
      <c r="BJ279" s="5" t="s">
        <v>2543</v>
      </c>
      <c r="BK279" s="5" t="s">
        <v>2544</v>
      </c>
      <c r="BL279" s="5" t="s">
        <v>2545</v>
      </c>
      <c r="BM279" s="5" t="s">
        <v>67</v>
      </c>
      <c r="BN279" s="5" t="s">
        <v>67</v>
      </c>
      <c r="BO279" s="5" t="s">
        <v>67</v>
      </c>
    </row>
    <row r="280" spans="1:67" ht="90" x14ac:dyDescent="0.25">
      <c r="A280" s="3">
        <v>2146189639</v>
      </c>
      <c r="B280" s="4">
        <v>42354</v>
      </c>
      <c r="C280" s="3">
        <v>2146189640</v>
      </c>
      <c r="H280" s="5" t="s">
        <v>2546</v>
      </c>
      <c r="I280" s="3" t="b">
        <v>0</v>
      </c>
      <c r="J280" s="3" t="b">
        <v>0</v>
      </c>
      <c r="K280" s="3" t="b">
        <v>0</v>
      </c>
      <c r="L280" s="3" t="b">
        <v>0</v>
      </c>
      <c r="M280" s="3" t="b">
        <v>0</v>
      </c>
      <c r="N280" s="3" t="b">
        <v>0</v>
      </c>
      <c r="O280" s="3" t="b">
        <v>0</v>
      </c>
      <c r="P280" s="3" t="b">
        <v>0</v>
      </c>
      <c r="Q280" s="3" t="b">
        <v>0</v>
      </c>
      <c r="R280" s="3" t="s">
        <v>2547</v>
      </c>
      <c r="S280" s="5" t="s">
        <v>2548</v>
      </c>
      <c r="T280" s="3" t="b">
        <v>0</v>
      </c>
      <c r="U280" s="3" t="b">
        <v>0</v>
      </c>
      <c r="V280" s="5" t="s">
        <v>2549</v>
      </c>
      <c r="W280" s="5" t="s">
        <v>2550</v>
      </c>
      <c r="X280" s="3" t="b">
        <v>0</v>
      </c>
      <c r="Y280" s="3" t="b">
        <v>0</v>
      </c>
      <c r="Z280" s="3" t="b">
        <v>0</v>
      </c>
      <c r="AA280" s="3" t="b">
        <v>1</v>
      </c>
      <c r="AB280" s="5" t="s">
        <v>2551</v>
      </c>
      <c r="AC280" s="5" t="s">
        <v>67</v>
      </c>
      <c r="AD280" s="5" t="s">
        <v>67</v>
      </c>
      <c r="AE280" s="5" t="s">
        <v>67</v>
      </c>
      <c r="AF280" s="5" t="s">
        <v>2552</v>
      </c>
      <c r="AG280" s="5" t="s">
        <v>2553</v>
      </c>
      <c r="AH280" s="5" t="s">
        <v>2554</v>
      </c>
      <c r="AI280" s="5" t="s">
        <v>67</v>
      </c>
      <c r="AJ280" s="5" t="s">
        <v>67</v>
      </c>
      <c r="AK280" s="5" t="s">
        <v>67</v>
      </c>
      <c r="AL280" s="5" t="s">
        <v>67</v>
      </c>
      <c r="AM280" s="5" t="s">
        <v>67</v>
      </c>
      <c r="AN280" s="5" t="s">
        <v>67</v>
      </c>
      <c r="AO280" s="5" t="s">
        <v>67</v>
      </c>
      <c r="AP280" s="5" t="s">
        <v>67</v>
      </c>
      <c r="AQ280" s="5" t="s">
        <v>67</v>
      </c>
      <c r="AR280" s="5" t="s">
        <v>67</v>
      </c>
      <c r="AS280" s="3">
        <v>2146189714</v>
      </c>
      <c r="AW280" s="5" t="s">
        <v>67</v>
      </c>
      <c r="AX280" s="5" t="s">
        <v>67</v>
      </c>
      <c r="AY280" s="5" t="s">
        <v>67</v>
      </c>
      <c r="AZ280" s="5" t="s">
        <v>67</v>
      </c>
      <c r="BA280" s="3">
        <v>226884306</v>
      </c>
      <c r="BD280" s="3">
        <v>2146189275</v>
      </c>
      <c r="BF280" s="5" t="s">
        <v>2555</v>
      </c>
      <c r="BG280" s="5" t="s">
        <v>97</v>
      </c>
      <c r="BH280" s="5" t="s">
        <v>67</v>
      </c>
      <c r="BI280" s="5" t="s">
        <v>67</v>
      </c>
      <c r="BJ280" s="5" t="s">
        <v>67</v>
      </c>
      <c r="BK280" s="5" t="s">
        <v>2556</v>
      </c>
      <c r="BL280" s="5" t="s">
        <v>2557</v>
      </c>
      <c r="BM280" s="5" t="s">
        <v>67</v>
      </c>
      <c r="BN280" s="5" t="s">
        <v>67</v>
      </c>
      <c r="BO280" s="5" t="s">
        <v>67</v>
      </c>
    </row>
    <row r="281" spans="1:67" x14ac:dyDescent="0.25">
      <c r="A281" s="3">
        <v>2146189640</v>
      </c>
      <c r="B281" s="4">
        <v>42186.449918981503</v>
      </c>
      <c r="H281" s="5" t="s">
        <v>67</v>
      </c>
      <c r="I281" s="3" t="b">
        <v>0</v>
      </c>
      <c r="J281" s="3" t="b">
        <v>0</v>
      </c>
      <c r="K281" s="3" t="b">
        <v>0</v>
      </c>
      <c r="L281" s="3" t="b">
        <v>0</v>
      </c>
      <c r="M281" s="3" t="b">
        <v>0</v>
      </c>
      <c r="N281" s="3" t="b">
        <v>0</v>
      </c>
      <c r="O281" s="3" t="b">
        <v>0</v>
      </c>
      <c r="P281" s="3" t="b">
        <v>0</v>
      </c>
      <c r="Q281" s="3" t="b">
        <v>0</v>
      </c>
      <c r="R281" s="3" t="s">
        <v>67</v>
      </c>
      <c r="S281" s="5" t="s">
        <v>67</v>
      </c>
      <c r="T281" s="3" t="b">
        <v>0</v>
      </c>
      <c r="U281" s="3" t="b">
        <v>0</v>
      </c>
      <c r="V281" s="5" t="s">
        <v>67</v>
      </c>
      <c r="W281" s="5" t="s">
        <v>67</v>
      </c>
      <c r="X281" s="3" t="b">
        <v>0</v>
      </c>
      <c r="Y281" s="3" t="b">
        <v>0</v>
      </c>
      <c r="Z281" s="3" t="b">
        <v>0</v>
      </c>
      <c r="AA281" s="3" t="b">
        <v>0</v>
      </c>
      <c r="AB281" s="5" t="s">
        <v>67</v>
      </c>
      <c r="AC281" s="5" t="s">
        <v>67</v>
      </c>
      <c r="AD281" s="5" t="s">
        <v>67</v>
      </c>
      <c r="AE281" s="5" t="s">
        <v>67</v>
      </c>
      <c r="AF281" s="5" t="s">
        <v>67</v>
      </c>
      <c r="AG281" s="5" t="s">
        <v>67</v>
      </c>
      <c r="AH281" s="5" t="s">
        <v>67</v>
      </c>
      <c r="AI281" s="5" t="s">
        <v>67</v>
      </c>
      <c r="AJ281" s="5" t="s">
        <v>67</v>
      </c>
      <c r="AK281" s="5" t="s">
        <v>67</v>
      </c>
      <c r="AL281" s="5" t="s">
        <v>67</v>
      </c>
      <c r="AM281" s="5" t="s">
        <v>67</v>
      </c>
      <c r="AN281" s="5" t="s">
        <v>67</v>
      </c>
      <c r="AO281" s="5" t="s">
        <v>67</v>
      </c>
      <c r="AP281" s="5" t="s">
        <v>67</v>
      </c>
      <c r="AQ281" s="5" t="s">
        <v>67</v>
      </c>
      <c r="AR281" s="5" t="s">
        <v>67</v>
      </c>
      <c r="AW281" s="5" t="s">
        <v>67</v>
      </c>
      <c r="AX281" s="5" t="s">
        <v>67</v>
      </c>
      <c r="AY281" s="5" t="s">
        <v>67</v>
      </c>
      <c r="AZ281" s="5" t="s">
        <v>67</v>
      </c>
      <c r="BF281" s="5" t="s">
        <v>67</v>
      </c>
      <c r="BG281" s="5" t="s">
        <v>97</v>
      </c>
      <c r="BH281" s="5" t="s">
        <v>67</v>
      </c>
      <c r="BI281" s="5" t="s">
        <v>210</v>
      </c>
      <c r="BJ281" s="5" t="s">
        <v>67</v>
      </c>
      <c r="BK281" s="5" t="s">
        <v>67</v>
      </c>
      <c r="BL281" s="5" t="s">
        <v>67</v>
      </c>
      <c r="BM281" s="5" t="s">
        <v>67</v>
      </c>
      <c r="BN281" s="5" t="s">
        <v>67</v>
      </c>
      <c r="BO281" s="5" t="s">
        <v>67</v>
      </c>
    </row>
    <row r="282" spans="1:67" ht="135" x14ac:dyDescent="0.25">
      <c r="A282" s="3">
        <v>2146189642</v>
      </c>
      <c r="B282" s="4">
        <v>42843</v>
      </c>
      <c r="C282" s="3">
        <v>2146189641</v>
      </c>
      <c r="H282" s="5" t="s">
        <v>2558</v>
      </c>
      <c r="I282" s="3" t="b">
        <v>0</v>
      </c>
      <c r="J282" s="3" t="b">
        <v>0</v>
      </c>
      <c r="K282" s="3" t="b">
        <v>0</v>
      </c>
      <c r="L282" s="3" t="b">
        <v>1</v>
      </c>
      <c r="M282" s="3" t="b">
        <v>1</v>
      </c>
      <c r="N282" s="3" t="b">
        <v>0</v>
      </c>
      <c r="O282" s="3" t="b">
        <v>0</v>
      </c>
      <c r="P282" s="3" t="b">
        <v>0</v>
      </c>
      <c r="Q282" s="3" t="b">
        <v>0</v>
      </c>
      <c r="R282" s="3" t="s">
        <v>67</v>
      </c>
      <c r="S282" s="5" t="s">
        <v>2559</v>
      </c>
      <c r="T282" s="3" t="b">
        <v>0</v>
      </c>
      <c r="U282" s="3" t="b">
        <v>0</v>
      </c>
      <c r="V282" s="5" t="s">
        <v>2560</v>
      </c>
      <c r="W282" s="5" t="s">
        <v>67</v>
      </c>
      <c r="X282" s="3" t="b">
        <v>0</v>
      </c>
      <c r="Y282" s="3" t="b">
        <v>0</v>
      </c>
      <c r="Z282" s="3" t="b">
        <v>0</v>
      </c>
      <c r="AA282" s="3" t="b">
        <v>0</v>
      </c>
      <c r="AB282" s="5" t="s">
        <v>2561</v>
      </c>
      <c r="AC282" s="5" t="s">
        <v>67</v>
      </c>
      <c r="AD282" s="5" t="s">
        <v>2562</v>
      </c>
      <c r="AE282" s="5" t="s">
        <v>67</v>
      </c>
      <c r="AF282" s="5" t="s">
        <v>2563</v>
      </c>
      <c r="AG282" s="5" t="s">
        <v>2564</v>
      </c>
      <c r="AH282" s="5" t="s">
        <v>2565</v>
      </c>
      <c r="AI282" s="5" t="s">
        <v>2566</v>
      </c>
      <c r="AJ282" s="5" t="s">
        <v>67</v>
      </c>
      <c r="AK282" s="5" t="s">
        <v>67</v>
      </c>
      <c r="AL282" s="5" t="s">
        <v>67</v>
      </c>
      <c r="AM282" s="5" t="s">
        <v>67</v>
      </c>
      <c r="AN282" s="5" t="s">
        <v>67</v>
      </c>
      <c r="AO282" s="5" t="s">
        <v>67</v>
      </c>
      <c r="AP282" s="5" t="s">
        <v>67</v>
      </c>
      <c r="AQ282" s="5" t="s">
        <v>67</v>
      </c>
      <c r="AR282" s="5" t="s">
        <v>67</v>
      </c>
      <c r="AS282" s="3">
        <v>2146189636</v>
      </c>
      <c r="AT282" s="3">
        <v>2146189824</v>
      </c>
      <c r="AW282" s="5" t="s">
        <v>67</v>
      </c>
      <c r="AX282" s="5" t="s">
        <v>67</v>
      </c>
      <c r="AY282" s="5" t="s">
        <v>67</v>
      </c>
      <c r="AZ282" s="5" t="s">
        <v>67</v>
      </c>
      <c r="BA282" s="3">
        <v>107</v>
      </c>
      <c r="BD282" s="3">
        <v>2146189004</v>
      </c>
      <c r="BF282" s="5" t="s">
        <v>67</v>
      </c>
      <c r="BG282" s="5" t="s">
        <v>2567</v>
      </c>
      <c r="BH282" s="5" t="s">
        <v>67</v>
      </c>
      <c r="BI282" s="5" t="s">
        <v>67</v>
      </c>
      <c r="BJ282" s="5" t="s">
        <v>67</v>
      </c>
      <c r="BK282" s="5" t="s">
        <v>2568</v>
      </c>
      <c r="BL282" s="5" t="s">
        <v>2569</v>
      </c>
      <c r="BM282" s="5" t="s">
        <v>67</v>
      </c>
      <c r="BN282" s="5" t="s">
        <v>213</v>
      </c>
      <c r="BO282" s="5" t="s">
        <v>67</v>
      </c>
    </row>
    <row r="283" spans="1:67" ht="120" x14ac:dyDescent="0.25">
      <c r="A283" s="3">
        <v>2146189643</v>
      </c>
      <c r="B283" s="4">
        <v>42859</v>
      </c>
      <c r="C283" s="3">
        <v>2146189641</v>
      </c>
      <c r="H283" s="5" t="s">
        <v>2570</v>
      </c>
      <c r="I283" s="3" t="b">
        <v>0</v>
      </c>
      <c r="J283" s="3" t="b">
        <v>0</v>
      </c>
      <c r="K283" s="3" t="b">
        <v>0</v>
      </c>
      <c r="L283" s="3" t="b">
        <v>1</v>
      </c>
      <c r="M283" s="3" t="b">
        <v>1</v>
      </c>
      <c r="N283" s="3" t="b">
        <v>0</v>
      </c>
      <c r="O283" s="3" t="b">
        <v>0</v>
      </c>
      <c r="P283" s="3" t="b">
        <v>0</v>
      </c>
      <c r="Q283" s="3" t="b">
        <v>0</v>
      </c>
      <c r="R283" s="3" t="s">
        <v>67</v>
      </c>
      <c r="S283" s="5" t="s">
        <v>2571</v>
      </c>
      <c r="T283" s="3" t="b">
        <v>0</v>
      </c>
      <c r="U283" s="3" t="b">
        <v>0</v>
      </c>
      <c r="V283" s="5" t="s">
        <v>2572</v>
      </c>
      <c r="W283" s="5" t="s">
        <v>2573</v>
      </c>
      <c r="X283" s="3" t="b">
        <v>0</v>
      </c>
      <c r="Y283" s="3" t="b">
        <v>0</v>
      </c>
      <c r="Z283" s="3" t="b">
        <v>0</v>
      </c>
      <c r="AA283" s="3" t="b">
        <v>0</v>
      </c>
      <c r="AB283" s="5" t="s">
        <v>2574</v>
      </c>
      <c r="AC283" s="5" t="s">
        <v>67</v>
      </c>
      <c r="AD283" s="5" t="s">
        <v>2575</v>
      </c>
      <c r="AE283" s="5" t="s">
        <v>67</v>
      </c>
      <c r="AF283" s="5" t="s">
        <v>2576</v>
      </c>
      <c r="AG283" s="5" t="s">
        <v>2577</v>
      </c>
      <c r="AH283" s="5" t="s">
        <v>2578</v>
      </c>
      <c r="AI283" s="5" t="s">
        <v>67</v>
      </c>
      <c r="AJ283" s="5" t="s">
        <v>67</v>
      </c>
      <c r="AK283" s="5" t="s">
        <v>67</v>
      </c>
      <c r="AL283" s="5" t="s">
        <v>67</v>
      </c>
      <c r="AM283" s="5" t="s">
        <v>67</v>
      </c>
      <c r="AN283" s="5" t="s">
        <v>67</v>
      </c>
      <c r="AO283" s="5" t="s">
        <v>67</v>
      </c>
      <c r="AP283" s="5" t="s">
        <v>67</v>
      </c>
      <c r="AQ283" s="5" t="s">
        <v>67</v>
      </c>
      <c r="AR283" s="5" t="s">
        <v>67</v>
      </c>
      <c r="AS283" s="3">
        <v>2146189636</v>
      </c>
      <c r="AT283" s="3">
        <v>2146189824</v>
      </c>
      <c r="AW283" s="5" t="s">
        <v>67</v>
      </c>
      <c r="AX283" s="5" t="s">
        <v>67</v>
      </c>
      <c r="AY283" s="5" t="s">
        <v>67</v>
      </c>
      <c r="AZ283" s="5" t="s">
        <v>67</v>
      </c>
      <c r="BA283" s="3">
        <v>2146189536</v>
      </c>
      <c r="BD283" s="3">
        <v>2146189004</v>
      </c>
      <c r="BF283" s="5" t="s">
        <v>2579</v>
      </c>
      <c r="BG283" s="5" t="s">
        <v>2567</v>
      </c>
      <c r="BH283" s="5" t="s">
        <v>67</v>
      </c>
      <c r="BI283" s="5" t="s">
        <v>67</v>
      </c>
      <c r="BJ283" s="5" t="s">
        <v>67</v>
      </c>
      <c r="BK283" s="5" t="s">
        <v>2580</v>
      </c>
      <c r="BL283" s="5" t="s">
        <v>2581</v>
      </c>
      <c r="BM283" s="5" t="s">
        <v>67</v>
      </c>
      <c r="BN283" s="5" t="s">
        <v>213</v>
      </c>
      <c r="BO283" s="5" t="s">
        <v>67</v>
      </c>
    </row>
    <row r="284" spans="1:67" ht="375" x14ac:dyDescent="0.25">
      <c r="A284" s="3">
        <v>2146189655</v>
      </c>
      <c r="B284" s="4">
        <v>42530</v>
      </c>
      <c r="C284" s="3">
        <v>2146189656</v>
      </c>
      <c r="G284" s="3">
        <v>2146189656</v>
      </c>
      <c r="H284" s="5" t="s">
        <v>67</v>
      </c>
      <c r="I284" s="3" t="b">
        <v>0</v>
      </c>
      <c r="J284" s="3" t="b">
        <v>0</v>
      </c>
      <c r="K284" s="3" t="b">
        <v>0</v>
      </c>
      <c r="L284" s="3" t="b">
        <v>1</v>
      </c>
      <c r="M284" s="3" t="b">
        <v>1</v>
      </c>
      <c r="N284" s="3" t="b">
        <v>0</v>
      </c>
      <c r="O284" s="3" t="b">
        <v>0</v>
      </c>
      <c r="P284" s="3" t="b">
        <v>0</v>
      </c>
      <c r="Q284" s="3" t="b">
        <v>0</v>
      </c>
      <c r="R284" s="3" t="s">
        <v>67</v>
      </c>
      <c r="S284" s="5" t="s">
        <v>2582</v>
      </c>
      <c r="T284" s="3" t="b">
        <v>0</v>
      </c>
      <c r="U284" s="3" t="b">
        <v>0</v>
      </c>
      <c r="V284" s="5" t="s">
        <v>2583</v>
      </c>
      <c r="W284" s="5" t="s">
        <v>2584</v>
      </c>
      <c r="X284" s="3" t="b">
        <v>0</v>
      </c>
      <c r="Y284" s="3" t="b">
        <v>0</v>
      </c>
      <c r="Z284" s="3" t="b">
        <v>0</v>
      </c>
      <c r="AA284" s="3" t="b">
        <v>0</v>
      </c>
      <c r="AB284" s="5" t="s">
        <v>2585</v>
      </c>
      <c r="AC284" s="5" t="s">
        <v>2586</v>
      </c>
      <c r="AD284" s="5" t="s">
        <v>2587</v>
      </c>
      <c r="AE284" s="5" t="s">
        <v>67</v>
      </c>
      <c r="AF284" s="5" t="s">
        <v>2588</v>
      </c>
      <c r="AG284" s="5" t="s">
        <v>2589</v>
      </c>
      <c r="AH284" s="5" t="s">
        <v>2590</v>
      </c>
      <c r="AI284" s="5" t="s">
        <v>2591</v>
      </c>
      <c r="AJ284" s="5" t="s">
        <v>67</v>
      </c>
      <c r="AK284" s="5" t="s">
        <v>67</v>
      </c>
      <c r="AL284" s="5" t="s">
        <v>67</v>
      </c>
      <c r="AM284" s="5" t="s">
        <v>2592</v>
      </c>
      <c r="AN284" s="5" t="s">
        <v>2593</v>
      </c>
      <c r="AO284" s="5" t="s">
        <v>67</v>
      </c>
      <c r="AP284" s="5" t="s">
        <v>67</v>
      </c>
      <c r="AQ284" s="5" t="s">
        <v>67</v>
      </c>
      <c r="AR284" s="5" t="s">
        <v>67</v>
      </c>
      <c r="AS284" s="3">
        <v>2146189190</v>
      </c>
      <c r="AT284" s="3">
        <v>2146189714</v>
      </c>
      <c r="AW284" s="5" t="s">
        <v>67</v>
      </c>
      <c r="AX284" s="5" t="s">
        <v>67</v>
      </c>
      <c r="AY284" s="5" t="s">
        <v>67</v>
      </c>
      <c r="AZ284" s="5" t="s">
        <v>67</v>
      </c>
      <c r="BA284" s="3">
        <v>2146189536</v>
      </c>
      <c r="BD284" s="3">
        <v>2146189003</v>
      </c>
      <c r="BF284" s="5" t="s">
        <v>2594</v>
      </c>
      <c r="BG284" s="5" t="s">
        <v>2595</v>
      </c>
      <c r="BH284" s="5" t="s">
        <v>67</v>
      </c>
      <c r="BI284" s="5" t="s">
        <v>67</v>
      </c>
      <c r="BJ284" s="5" t="s">
        <v>67</v>
      </c>
      <c r="BK284" s="5" t="s">
        <v>2596</v>
      </c>
      <c r="BL284" s="5" t="s">
        <v>2597</v>
      </c>
      <c r="BM284" s="5" t="s">
        <v>67</v>
      </c>
      <c r="BN284" s="5" t="s">
        <v>2598</v>
      </c>
      <c r="BO284" s="5" t="s">
        <v>67</v>
      </c>
    </row>
    <row r="285" spans="1:67" x14ac:dyDescent="0.25">
      <c r="A285" s="3">
        <v>2146189658</v>
      </c>
      <c r="B285" s="4">
        <v>42446</v>
      </c>
      <c r="H285" s="5" t="s">
        <v>67</v>
      </c>
      <c r="I285" s="3" t="b">
        <v>0</v>
      </c>
      <c r="J285" s="3" t="b">
        <v>0</v>
      </c>
      <c r="K285" s="3" t="b">
        <v>0</v>
      </c>
      <c r="L285" s="3" t="b">
        <v>0</v>
      </c>
      <c r="M285" s="3" t="b">
        <v>0</v>
      </c>
      <c r="N285" s="3" t="b">
        <v>0</v>
      </c>
      <c r="O285" s="3" t="b">
        <v>0</v>
      </c>
      <c r="P285" s="3" t="b">
        <v>0</v>
      </c>
      <c r="Q285" s="3" t="b">
        <v>0</v>
      </c>
      <c r="R285" s="3" t="s">
        <v>67</v>
      </c>
      <c r="S285" s="5" t="s">
        <v>67</v>
      </c>
      <c r="T285" s="3" t="b">
        <v>0</v>
      </c>
      <c r="U285" s="3" t="b">
        <v>0</v>
      </c>
      <c r="V285" s="5" t="s">
        <v>67</v>
      </c>
      <c r="W285" s="5" t="s">
        <v>67</v>
      </c>
      <c r="X285" s="3" t="b">
        <v>0</v>
      </c>
      <c r="Y285" s="3" t="b">
        <v>0</v>
      </c>
      <c r="Z285" s="3" t="b">
        <v>0</v>
      </c>
      <c r="AA285" s="3" t="b">
        <v>0</v>
      </c>
      <c r="AB285" s="5" t="s">
        <v>67</v>
      </c>
      <c r="AC285" s="5" t="s">
        <v>67</v>
      </c>
      <c r="AD285" s="5" t="s">
        <v>67</v>
      </c>
      <c r="AE285" s="5" t="s">
        <v>67</v>
      </c>
      <c r="AF285" s="5" t="s">
        <v>67</v>
      </c>
      <c r="AG285" s="5" t="s">
        <v>67</v>
      </c>
      <c r="AH285" s="5" t="s">
        <v>67</v>
      </c>
      <c r="AI285" s="5" t="s">
        <v>67</v>
      </c>
      <c r="AJ285" s="5" t="s">
        <v>67</v>
      </c>
      <c r="AK285" s="5" t="s">
        <v>67</v>
      </c>
      <c r="AL285" s="5" t="s">
        <v>67</v>
      </c>
      <c r="AM285" s="5" t="s">
        <v>67</v>
      </c>
      <c r="AN285" s="5" t="s">
        <v>67</v>
      </c>
      <c r="AO285" s="5" t="s">
        <v>67</v>
      </c>
      <c r="AP285" s="5" t="s">
        <v>67</v>
      </c>
      <c r="AQ285" s="5" t="s">
        <v>67</v>
      </c>
      <c r="AR285" s="5" t="s">
        <v>67</v>
      </c>
      <c r="AW285" s="5" t="s">
        <v>67</v>
      </c>
      <c r="AX285" s="5" t="s">
        <v>67</v>
      </c>
      <c r="AY285" s="5" t="s">
        <v>67</v>
      </c>
      <c r="AZ285" s="5" t="s">
        <v>67</v>
      </c>
      <c r="BF285" s="5" t="s">
        <v>67</v>
      </c>
      <c r="BG285" s="5" t="s">
        <v>67</v>
      </c>
      <c r="BH285" s="5" t="s">
        <v>67</v>
      </c>
      <c r="BI285" s="5" t="s">
        <v>67</v>
      </c>
      <c r="BJ285" s="5" t="s">
        <v>67</v>
      </c>
      <c r="BK285" s="5" t="s">
        <v>67</v>
      </c>
      <c r="BL285" s="5" t="s">
        <v>67</v>
      </c>
      <c r="BM285" s="5" t="s">
        <v>67</v>
      </c>
      <c r="BN285" s="5" t="s">
        <v>67</v>
      </c>
      <c r="BO285" s="5" t="s">
        <v>67</v>
      </c>
    </row>
    <row r="286" spans="1:67" ht="409.5" x14ac:dyDescent="0.25">
      <c r="A286" s="3">
        <v>2146189676</v>
      </c>
      <c r="B286" s="4">
        <v>42866</v>
      </c>
      <c r="C286" s="3">
        <v>2146189677</v>
      </c>
      <c r="F286" s="3">
        <v>1424</v>
      </c>
      <c r="G286" s="3">
        <v>1424</v>
      </c>
      <c r="H286" s="5" t="s">
        <v>67</v>
      </c>
      <c r="I286" s="3" t="b">
        <v>0</v>
      </c>
      <c r="J286" s="3" t="b">
        <v>0</v>
      </c>
      <c r="K286" s="3" t="b">
        <v>1</v>
      </c>
      <c r="L286" s="3" t="b">
        <v>0</v>
      </c>
      <c r="M286" s="3" t="b">
        <v>0</v>
      </c>
      <c r="N286" s="3" t="b">
        <v>0</v>
      </c>
      <c r="O286" s="3" t="b">
        <v>0</v>
      </c>
      <c r="P286" s="3" t="b">
        <v>1</v>
      </c>
      <c r="Q286" s="3" t="b">
        <v>0</v>
      </c>
      <c r="R286" s="3" t="s">
        <v>2599</v>
      </c>
      <c r="S286" s="5" t="s">
        <v>2600</v>
      </c>
      <c r="T286" s="3" t="b">
        <v>0</v>
      </c>
      <c r="U286" s="3" t="b">
        <v>1</v>
      </c>
      <c r="V286" s="5" t="s">
        <v>2601</v>
      </c>
      <c r="W286" s="5" t="s">
        <v>2602</v>
      </c>
      <c r="X286" s="3" t="b">
        <v>0</v>
      </c>
      <c r="Y286" s="3" t="b">
        <v>0</v>
      </c>
      <c r="Z286" s="3" t="b">
        <v>0</v>
      </c>
      <c r="AA286" s="3" t="b">
        <v>1</v>
      </c>
      <c r="AB286" s="5" t="s">
        <v>2603</v>
      </c>
      <c r="AC286" s="5" t="s">
        <v>2604</v>
      </c>
      <c r="AD286" s="5" t="s">
        <v>67</v>
      </c>
      <c r="AE286" s="5" t="s">
        <v>67</v>
      </c>
      <c r="AF286" s="5" t="s">
        <v>2605</v>
      </c>
      <c r="AG286" s="5" t="s">
        <v>2606</v>
      </c>
      <c r="AH286" s="5" t="s">
        <v>2607</v>
      </c>
      <c r="AI286" s="5" t="s">
        <v>2608</v>
      </c>
      <c r="AJ286" s="5" t="s">
        <v>2609</v>
      </c>
      <c r="AK286" s="5" t="s">
        <v>2610</v>
      </c>
      <c r="AL286" s="5" t="s">
        <v>67</v>
      </c>
      <c r="AM286" s="5" t="s">
        <v>573</v>
      </c>
      <c r="AN286" s="5" t="s">
        <v>67</v>
      </c>
      <c r="AO286" s="5" t="s">
        <v>67</v>
      </c>
      <c r="AP286" s="5" t="s">
        <v>67</v>
      </c>
      <c r="AQ286" s="5" t="s">
        <v>67</v>
      </c>
      <c r="AR286" s="5" t="s">
        <v>67</v>
      </c>
      <c r="AW286" s="5" t="s">
        <v>67</v>
      </c>
      <c r="AX286" s="5" t="s">
        <v>67</v>
      </c>
      <c r="AY286" s="5" t="s">
        <v>67</v>
      </c>
      <c r="AZ286" s="5" t="s">
        <v>67</v>
      </c>
      <c r="BA286" s="3">
        <v>107</v>
      </c>
      <c r="BD286" s="3">
        <v>2146188974</v>
      </c>
      <c r="BF286" s="5" t="s">
        <v>2611</v>
      </c>
      <c r="BG286" s="5" t="s">
        <v>97</v>
      </c>
      <c r="BH286" s="5" t="s">
        <v>2415</v>
      </c>
      <c r="BI286" s="5" t="s">
        <v>74</v>
      </c>
      <c r="BJ286" s="5" t="s">
        <v>2612</v>
      </c>
      <c r="BK286" s="5" t="s">
        <v>2613</v>
      </c>
      <c r="BL286" s="5" t="s">
        <v>2614</v>
      </c>
      <c r="BM286" s="5" t="s">
        <v>67</v>
      </c>
      <c r="BN286" s="5" t="s">
        <v>2615</v>
      </c>
      <c r="BO286" s="5" t="s">
        <v>67</v>
      </c>
    </row>
    <row r="287" spans="1:67" x14ac:dyDescent="0.25">
      <c r="A287" s="3">
        <v>2146189678</v>
      </c>
      <c r="B287" s="4">
        <v>42447</v>
      </c>
      <c r="H287" s="5" t="s">
        <v>67</v>
      </c>
      <c r="I287" s="3" t="b">
        <v>0</v>
      </c>
      <c r="J287" s="3" t="b">
        <v>0</v>
      </c>
      <c r="K287" s="3" t="b">
        <v>0</v>
      </c>
      <c r="L287" s="3" t="b">
        <v>0</v>
      </c>
      <c r="M287" s="3" t="b">
        <v>0</v>
      </c>
      <c r="N287" s="3" t="b">
        <v>0</v>
      </c>
      <c r="O287" s="3" t="b">
        <v>0</v>
      </c>
      <c r="P287" s="3" t="b">
        <v>0</v>
      </c>
      <c r="Q287" s="3" t="b">
        <v>0</v>
      </c>
      <c r="R287" s="3" t="s">
        <v>67</v>
      </c>
      <c r="S287" s="5" t="s">
        <v>67</v>
      </c>
      <c r="T287" s="3" t="b">
        <v>0</v>
      </c>
      <c r="U287" s="3" t="b">
        <v>0</v>
      </c>
      <c r="V287" s="5" t="s">
        <v>67</v>
      </c>
      <c r="W287" s="5" t="s">
        <v>67</v>
      </c>
      <c r="X287" s="3" t="b">
        <v>0</v>
      </c>
      <c r="Y287" s="3" t="b">
        <v>0</v>
      </c>
      <c r="Z287" s="3" t="b">
        <v>0</v>
      </c>
      <c r="AA287" s="3" t="b">
        <v>0</v>
      </c>
      <c r="AB287" s="5" t="s">
        <v>67</v>
      </c>
      <c r="AC287" s="5" t="s">
        <v>67</v>
      </c>
      <c r="AD287" s="5" t="s">
        <v>67</v>
      </c>
      <c r="AE287" s="5" t="s">
        <v>67</v>
      </c>
      <c r="AF287" s="5" t="s">
        <v>67</v>
      </c>
      <c r="AG287" s="5" t="s">
        <v>67</v>
      </c>
      <c r="AH287" s="5" t="s">
        <v>67</v>
      </c>
      <c r="AI287" s="5" t="s">
        <v>67</v>
      </c>
      <c r="AJ287" s="5" t="s">
        <v>67</v>
      </c>
      <c r="AK287" s="5" t="s">
        <v>67</v>
      </c>
      <c r="AL287" s="5" t="s">
        <v>67</v>
      </c>
      <c r="AM287" s="5" t="s">
        <v>67</v>
      </c>
      <c r="AN287" s="5" t="s">
        <v>67</v>
      </c>
      <c r="AO287" s="5" t="s">
        <v>67</v>
      </c>
      <c r="AP287" s="5" t="s">
        <v>67</v>
      </c>
      <c r="AQ287" s="5" t="s">
        <v>67</v>
      </c>
      <c r="AR287" s="5" t="s">
        <v>67</v>
      </c>
      <c r="AW287" s="5" t="s">
        <v>67</v>
      </c>
      <c r="AX287" s="5" t="s">
        <v>67</v>
      </c>
      <c r="AY287" s="5" t="s">
        <v>67</v>
      </c>
      <c r="AZ287" s="5" t="s">
        <v>67</v>
      </c>
      <c r="BF287" s="5" t="s">
        <v>67</v>
      </c>
      <c r="BG287" s="5" t="s">
        <v>67</v>
      </c>
      <c r="BH287" s="5" t="s">
        <v>67</v>
      </c>
      <c r="BI287" s="5" t="s">
        <v>67</v>
      </c>
      <c r="BJ287" s="5" t="s">
        <v>67</v>
      </c>
      <c r="BK287" s="5" t="s">
        <v>67</v>
      </c>
      <c r="BL287" s="5" t="s">
        <v>67</v>
      </c>
      <c r="BM287" s="5" t="s">
        <v>67</v>
      </c>
      <c r="BN287" s="5" t="s">
        <v>67</v>
      </c>
      <c r="BO287" s="5" t="s">
        <v>67</v>
      </c>
    </row>
    <row r="288" spans="1:67" ht="150" x14ac:dyDescent="0.25">
      <c r="A288" s="3">
        <v>2146189679</v>
      </c>
      <c r="B288" s="4">
        <v>42761</v>
      </c>
      <c r="C288" s="3">
        <v>2146189680</v>
      </c>
      <c r="F288" s="3">
        <v>1424</v>
      </c>
      <c r="G288" s="3">
        <v>2146189680</v>
      </c>
      <c r="H288" s="5" t="s">
        <v>67</v>
      </c>
      <c r="I288" s="3" t="b">
        <v>0</v>
      </c>
      <c r="J288" s="3" t="b">
        <v>0</v>
      </c>
      <c r="K288" s="3" t="b">
        <v>0</v>
      </c>
      <c r="L288" s="3" t="b">
        <v>1</v>
      </c>
      <c r="M288" s="3" t="b">
        <v>0</v>
      </c>
      <c r="N288" s="3" t="b">
        <v>0</v>
      </c>
      <c r="O288" s="3" t="b">
        <v>0</v>
      </c>
      <c r="P288" s="3" t="b">
        <v>1</v>
      </c>
      <c r="Q288" s="3" t="b">
        <v>0</v>
      </c>
      <c r="R288" s="3" t="s">
        <v>2616</v>
      </c>
      <c r="S288" s="5" t="s">
        <v>2617</v>
      </c>
      <c r="T288" s="3" t="b">
        <v>1</v>
      </c>
      <c r="U288" s="3" t="b">
        <v>0</v>
      </c>
      <c r="V288" s="5" t="s">
        <v>2618</v>
      </c>
      <c r="W288" s="5" t="s">
        <v>2619</v>
      </c>
      <c r="X288" s="3" t="b">
        <v>1</v>
      </c>
      <c r="Y288" s="3" t="b">
        <v>0</v>
      </c>
      <c r="Z288" s="3" t="b">
        <v>0</v>
      </c>
      <c r="AA288" s="3" t="b">
        <v>0</v>
      </c>
      <c r="AB288" s="5" t="s">
        <v>2620</v>
      </c>
      <c r="AC288" s="5" t="s">
        <v>67</v>
      </c>
      <c r="AD288" s="5" t="s">
        <v>2621</v>
      </c>
      <c r="AE288" s="5" t="s">
        <v>67</v>
      </c>
      <c r="AF288" s="5" t="s">
        <v>67</v>
      </c>
      <c r="AG288" s="5" t="s">
        <v>2622</v>
      </c>
      <c r="AH288" s="5" t="s">
        <v>2623</v>
      </c>
      <c r="AI288" s="5" t="s">
        <v>2624</v>
      </c>
      <c r="AJ288" s="5" t="s">
        <v>67</v>
      </c>
      <c r="AK288" s="5" t="s">
        <v>2625</v>
      </c>
      <c r="AL288" s="5" t="s">
        <v>67</v>
      </c>
      <c r="AM288" s="5" t="s">
        <v>2626</v>
      </c>
      <c r="AN288" s="5" t="s">
        <v>2627</v>
      </c>
      <c r="AO288" s="5" t="s">
        <v>2628</v>
      </c>
      <c r="AP288" s="5" t="s">
        <v>67</v>
      </c>
      <c r="AQ288" s="5" t="s">
        <v>67</v>
      </c>
      <c r="AR288" s="5" t="s">
        <v>67</v>
      </c>
      <c r="AW288" s="5" t="s">
        <v>67</v>
      </c>
      <c r="AX288" s="5" t="s">
        <v>67</v>
      </c>
      <c r="AY288" s="5" t="s">
        <v>67</v>
      </c>
      <c r="AZ288" s="5" t="s">
        <v>67</v>
      </c>
      <c r="BA288" s="3">
        <v>2146189786</v>
      </c>
      <c r="BB288" s="3">
        <v>2146189787</v>
      </c>
      <c r="BD288" s="3">
        <v>2146188979</v>
      </c>
      <c r="BF288" s="5" t="s">
        <v>2629</v>
      </c>
      <c r="BG288" s="5" t="s">
        <v>1893</v>
      </c>
      <c r="BH288" s="5" t="s">
        <v>2630</v>
      </c>
      <c r="BI288" s="5" t="s">
        <v>67</v>
      </c>
      <c r="BJ288" s="5" t="s">
        <v>67</v>
      </c>
      <c r="BK288" s="5" t="s">
        <v>2631</v>
      </c>
      <c r="BL288" s="5" t="s">
        <v>67</v>
      </c>
      <c r="BM288" s="5" t="s">
        <v>67</v>
      </c>
      <c r="BN288" s="5" t="s">
        <v>2632</v>
      </c>
      <c r="BO288" s="5" t="s">
        <v>67</v>
      </c>
    </row>
    <row r="289" spans="1:67" x14ac:dyDescent="0.25">
      <c r="A289" s="3">
        <v>2146189681</v>
      </c>
      <c r="B289" s="4">
        <v>42426</v>
      </c>
      <c r="H289" s="5" t="s">
        <v>67</v>
      </c>
      <c r="I289" s="3" t="b">
        <v>0</v>
      </c>
      <c r="J289" s="3" t="b">
        <v>0</v>
      </c>
      <c r="K289" s="3" t="b">
        <v>0</v>
      </c>
      <c r="L289" s="3" t="b">
        <v>0</v>
      </c>
      <c r="M289" s="3" t="b">
        <v>0</v>
      </c>
      <c r="N289" s="3" t="b">
        <v>0</v>
      </c>
      <c r="O289" s="3" t="b">
        <v>0</v>
      </c>
      <c r="P289" s="3" t="b">
        <v>0</v>
      </c>
      <c r="Q289" s="3" t="b">
        <v>0</v>
      </c>
      <c r="R289" s="3" t="s">
        <v>67</v>
      </c>
      <c r="S289" s="5" t="s">
        <v>67</v>
      </c>
      <c r="T289" s="3" t="b">
        <v>0</v>
      </c>
      <c r="U289" s="3" t="b">
        <v>0</v>
      </c>
      <c r="V289" s="5" t="s">
        <v>67</v>
      </c>
      <c r="W289" s="5" t="s">
        <v>67</v>
      </c>
      <c r="X289" s="3" t="b">
        <v>0</v>
      </c>
      <c r="Y289" s="3" t="b">
        <v>0</v>
      </c>
      <c r="Z289" s="3" t="b">
        <v>0</v>
      </c>
      <c r="AA289" s="3" t="b">
        <v>0</v>
      </c>
      <c r="AB289" s="5" t="s">
        <v>67</v>
      </c>
      <c r="AC289" s="5" t="s">
        <v>67</v>
      </c>
      <c r="AD289" s="5" t="s">
        <v>67</v>
      </c>
      <c r="AE289" s="5" t="s">
        <v>67</v>
      </c>
      <c r="AF289" s="5" t="s">
        <v>67</v>
      </c>
      <c r="AG289" s="5" t="s">
        <v>67</v>
      </c>
      <c r="AH289" s="5" t="s">
        <v>67</v>
      </c>
      <c r="AI289" s="5" t="s">
        <v>67</v>
      </c>
      <c r="AJ289" s="5" t="s">
        <v>67</v>
      </c>
      <c r="AK289" s="5" t="s">
        <v>67</v>
      </c>
      <c r="AL289" s="5" t="s">
        <v>67</v>
      </c>
      <c r="AM289" s="5" t="s">
        <v>67</v>
      </c>
      <c r="AN289" s="5" t="s">
        <v>67</v>
      </c>
      <c r="AO289" s="5" t="s">
        <v>67</v>
      </c>
      <c r="AP289" s="5" t="s">
        <v>67</v>
      </c>
      <c r="AQ289" s="5" t="s">
        <v>67</v>
      </c>
      <c r="AR289" s="5" t="s">
        <v>67</v>
      </c>
      <c r="AW289" s="5" t="s">
        <v>67</v>
      </c>
      <c r="AX289" s="5" t="s">
        <v>67</v>
      </c>
      <c r="AY289" s="5" t="s">
        <v>67</v>
      </c>
      <c r="AZ289" s="5" t="s">
        <v>67</v>
      </c>
      <c r="BF289" s="5" t="s">
        <v>67</v>
      </c>
      <c r="BG289" s="5" t="s">
        <v>67</v>
      </c>
      <c r="BH289" s="5" t="s">
        <v>67</v>
      </c>
      <c r="BI289" s="5" t="s">
        <v>67</v>
      </c>
      <c r="BJ289" s="5" t="s">
        <v>67</v>
      </c>
      <c r="BK289" s="5" t="s">
        <v>67</v>
      </c>
      <c r="BL289" s="5" t="s">
        <v>67</v>
      </c>
      <c r="BM289" s="5" t="s">
        <v>67</v>
      </c>
      <c r="BN289" s="5" t="s">
        <v>67</v>
      </c>
      <c r="BO289" s="5" t="s">
        <v>67</v>
      </c>
    </row>
    <row r="290" spans="1:67" ht="150" x14ac:dyDescent="0.25">
      <c r="A290" s="3">
        <v>2146189682</v>
      </c>
      <c r="B290" s="4">
        <v>42933</v>
      </c>
      <c r="F290" s="3">
        <v>2146189000</v>
      </c>
      <c r="G290" s="3">
        <v>2146189000</v>
      </c>
      <c r="H290" s="5" t="s">
        <v>2633</v>
      </c>
      <c r="I290" s="3" t="b">
        <v>0</v>
      </c>
      <c r="J290" s="3" t="b">
        <v>0</v>
      </c>
      <c r="K290" s="3" t="b">
        <v>0</v>
      </c>
      <c r="L290" s="3" t="b">
        <v>1</v>
      </c>
      <c r="M290" s="3" t="b">
        <v>1</v>
      </c>
      <c r="N290" s="3" t="b">
        <v>1</v>
      </c>
      <c r="O290" s="3" t="b">
        <v>1</v>
      </c>
      <c r="P290" s="3" t="b">
        <v>1</v>
      </c>
      <c r="Q290" s="3" t="b">
        <v>0</v>
      </c>
      <c r="R290" s="3" t="s">
        <v>2634</v>
      </c>
      <c r="S290" s="5" t="s">
        <v>2635</v>
      </c>
      <c r="T290" s="3" t="b">
        <v>0</v>
      </c>
      <c r="U290" s="3" t="b">
        <v>1</v>
      </c>
      <c r="V290" s="5" t="s">
        <v>2636</v>
      </c>
      <c r="W290" s="5" t="s">
        <v>2637</v>
      </c>
      <c r="X290" s="3" t="b">
        <v>0</v>
      </c>
      <c r="Y290" s="3" t="b">
        <v>0</v>
      </c>
      <c r="Z290" s="3" t="b">
        <v>0</v>
      </c>
      <c r="AA290" s="3" t="b">
        <v>0</v>
      </c>
      <c r="AB290" s="5" t="s">
        <v>2638</v>
      </c>
      <c r="AC290" s="5" t="s">
        <v>2639</v>
      </c>
      <c r="AD290" s="5" t="s">
        <v>2640</v>
      </c>
      <c r="AE290" s="5" t="s">
        <v>67</v>
      </c>
      <c r="AF290" s="5" t="s">
        <v>2641</v>
      </c>
      <c r="AG290" s="5" t="s">
        <v>2642</v>
      </c>
      <c r="AH290" s="5" t="s">
        <v>2643</v>
      </c>
      <c r="AI290" s="5" t="s">
        <v>2644</v>
      </c>
      <c r="AJ290" s="5" t="s">
        <v>67</v>
      </c>
      <c r="AK290" s="5" t="s">
        <v>67</v>
      </c>
      <c r="AL290" s="5" t="s">
        <v>67</v>
      </c>
      <c r="AM290" s="5" t="s">
        <v>2645</v>
      </c>
      <c r="AN290" s="5" t="s">
        <v>67</v>
      </c>
      <c r="AO290" s="5" t="s">
        <v>67</v>
      </c>
      <c r="AP290" s="5" t="s">
        <v>2646</v>
      </c>
      <c r="AQ290" s="5" t="s">
        <v>2647</v>
      </c>
      <c r="AR290" s="5" t="s">
        <v>67</v>
      </c>
      <c r="AW290" s="5" t="s">
        <v>67</v>
      </c>
      <c r="AX290" s="5" t="s">
        <v>67</v>
      </c>
      <c r="AY290" s="5" t="s">
        <v>67</v>
      </c>
      <c r="AZ290" s="5" t="s">
        <v>67</v>
      </c>
      <c r="BA290" s="3">
        <v>2146189227</v>
      </c>
      <c r="BD290" s="3">
        <v>2146188969</v>
      </c>
      <c r="BE290" s="3">
        <v>2146188982</v>
      </c>
      <c r="BF290" s="5" t="s">
        <v>2648</v>
      </c>
      <c r="BG290" s="5" t="s">
        <v>2649</v>
      </c>
      <c r="BH290" s="5" t="s">
        <v>2650</v>
      </c>
      <c r="BI290" s="5" t="s">
        <v>210</v>
      </c>
      <c r="BJ290" s="5" t="s">
        <v>2651</v>
      </c>
      <c r="BK290" s="5" t="s">
        <v>2652</v>
      </c>
      <c r="BL290" s="5" t="s">
        <v>2653</v>
      </c>
      <c r="BM290" s="5" t="s">
        <v>67</v>
      </c>
      <c r="BN290" s="5" t="s">
        <v>2654</v>
      </c>
      <c r="BO290" s="5" t="s">
        <v>67</v>
      </c>
    </row>
    <row r="291" spans="1:67" ht="409.5" x14ac:dyDescent="0.25">
      <c r="A291" s="3">
        <v>2146189684</v>
      </c>
      <c r="B291" s="4">
        <v>42579</v>
      </c>
      <c r="C291" s="3">
        <v>2146189685</v>
      </c>
      <c r="F291" s="3">
        <v>1424</v>
      </c>
      <c r="H291" s="5" t="s">
        <v>2655</v>
      </c>
      <c r="I291" s="3" t="b">
        <v>0</v>
      </c>
      <c r="J291" s="3" t="b">
        <v>0</v>
      </c>
      <c r="K291" s="3" t="b">
        <v>0</v>
      </c>
      <c r="L291" s="3" t="b">
        <v>1</v>
      </c>
      <c r="M291" s="3" t="b">
        <v>1</v>
      </c>
      <c r="N291" s="3" t="b">
        <v>0</v>
      </c>
      <c r="O291" s="3" t="b">
        <v>0</v>
      </c>
      <c r="P291" s="3" t="b">
        <v>0</v>
      </c>
      <c r="Q291" s="3" t="b">
        <v>0</v>
      </c>
      <c r="R291" s="3" t="s">
        <v>67</v>
      </c>
      <c r="S291" s="5" t="s">
        <v>67</v>
      </c>
      <c r="T291" s="3" t="b">
        <v>0</v>
      </c>
      <c r="U291" s="3" t="b">
        <v>0</v>
      </c>
      <c r="V291" s="5" t="s">
        <v>1949</v>
      </c>
      <c r="W291" s="5" t="s">
        <v>2656</v>
      </c>
      <c r="X291" s="3" t="b">
        <v>0</v>
      </c>
      <c r="Y291" s="3" t="b">
        <v>0</v>
      </c>
      <c r="Z291" s="3" t="b">
        <v>0</v>
      </c>
      <c r="AA291" s="3" t="b">
        <v>0</v>
      </c>
      <c r="AB291" s="5" t="s">
        <v>2657</v>
      </c>
      <c r="AC291" s="5" t="s">
        <v>2658</v>
      </c>
      <c r="AD291" s="5" t="s">
        <v>2659</v>
      </c>
      <c r="AE291" s="5" t="s">
        <v>67</v>
      </c>
      <c r="AF291" s="5" t="s">
        <v>2660</v>
      </c>
      <c r="AG291" s="5" t="s">
        <v>380</v>
      </c>
      <c r="AH291" s="5" t="s">
        <v>2661</v>
      </c>
      <c r="AI291" s="5" t="s">
        <v>2662</v>
      </c>
      <c r="AJ291" s="5" t="s">
        <v>672</v>
      </c>
      <c r="AK291" s="5" t="s">
        <v>672</v>
      </c>
      <c r="AL291" s="5" t="s">
        <v>2663</v>
      </c>
      <c r="AM291" s="5" t="s">
        <v>2664</v>
      </c>
      <c r="AN291" s="5" t="s">
        <v>2665</v>
      </c>
      <c r="AO291" s="5" t="s">
        <v>672</v>
      </c>
      <c r="AP291" s="5" t="s">
        <v>672</v>
      </c>
      <c r="AQ291" s="5" t="s">
        <v>67</v>
      </c>
      <c r="AR291" s="5" t="s">
        <v>67</v>
      </c>
      <c r="AS291" s="3">
        <v>2146189190</v>
      </c>
      <c r="AW291" s="5" t="s">
        <v>67</v>
      </c>
      <c r="AX291" s="5" t="s">
        <v>67</v>
      </c>
      <c r="AY291" s="5" t="s">
        <v>67</v>
      </c>
      <c r="AZ291" s="5" t="s">
        <v>67</v>
      </c>
      <c r="BA291" s="3">
        <v>885155152</v>
      </c>
      <c r="BB291" s="3">
        <v>107</v>
      </c>
      <c r="BD291" s="3">
        <v>2146188971</v>
      </c>
      <c r="BF291" s="5" t="s">
        <v>2666</v>
      </c>
      <c r="BG291" s="5" t="s">
        <v>2667</v>
      </c>
      <c r="BH291" s="5" t="s">
        <v>67</v>
      </c>
      <c r="BI291" s="5" t="s">
        <v>210</v>
      </c>
      <c r="BJ291" s="5" t="s">
        <v>67</v>
      </c>
      <c r="BK291" s="5" t="s">
        <v>2668</v>
      </c>
      <c r="BL291" s="5" t="s">
        <v>2669</v>
      </c>
      <c r="BM291" s="5" t="s">
        <v>67</v>
      </c>
      <c r="BN291" s="5" t="s">
        <v>118</v>
      </c>
      <c r="BO291" s="5" t="s">
        <v>67</v>
      </c>
    </row>
    <row r="292" spans="1:67" ht="409.5" x14ac:dyDescent="0.25">
      <c r="A292" s="3">
        <v>2146189691</v>
      </c>
      <c r="B292" s="4">
        <v>43000</v>
      </c>
      <c r="C292" s="3">
        <v>2146189692</v>
      </c>
      <c r="D292" s="3">
        <v>2146189694</v>
      </c>
      <c r="G292" s="3">
        <v>2146189694</v>
      </c>
      <c r="H292" s="5" t="s">
        <v>67</v>
      </c>
      <c r="I292" s="3" t="b">
        <v>0</v>
      </c>
      <c r="J292" s="3" t="b">
        <v>0</v>
      </c>
      <c r="K292" s="3" t="b">
        <v>0</v>
      </c>
      <c r="L292" s="3" t="b">
        <v>1</v>
      </c>
      <c r="M292" s="3" t="b">
        <v>0</v>
      </c>
      <c r="N292" s="3" t="b">
        <v>0</v>
      </c>
      <c r="O292" s="3" t="b">
        <v>1</v>
      </c>
      <c r="P292" s="3" t="b">
        <v>0</v>
      </c>
      <c r="Q292" s="3" t="b">
        <v>0</v>
      </c>
      <c r="R292" s="3" t="s">
        <v>2670</v>
      </c>
      <c r="S292" s="5" t="s">
        <v>2671</v>
      </c>
      <c r="T292" s="3" t="b">
        <v>1</v>
      </c>
      <c r="U292" s="3" t="b">
        <v>1</v>
      </c>
      <c r="V292" s="5" t="s">
        <v>2672</v>
      </c>
      <c r="W292" s="5" t="s">
        <v>2673</v>
      </c>
      <c r="X292" s="3" t="b">
        <v>0</v>
      </c>
      <c r="Y292" s="3" t="b">
        <v>0</v>
      </c>
      <c r="Z292" s="3" t="b">
        <v>0</v>
      </c>
      <c r="AA292" s="3" t="b">
        <v>1</v>
      </c>
      <c r="AB292" s="5" t="s">
        <v>2674</v>
      </c>
      <c r="AC292" s="5" t="s">
        <v>2675</v>
      </c>
      <c r="AD292" s="5" t="s">
        <v>67</v>
      </c>
      <c r="AE292" s="5" t="s">
        <v>2676</v>
      </c>
      <c r="AF292" s="5" t="s">
        <v>2677</v>
      </c>
      <c r="AG292" s="5" t="s">
        <v>2678</v>
      </c>
      <c r="AH292" s="5" t="s">
        <v>2679</v>
      </c>
      <c r="AI292" s="5" t="s">
        <v>2680</v>
      </c>
      <c r="AJ292" s="5" t="s">
        <v>67</v>
      </c>
      <c r="AK292" s="5" t="s">
        <v>67</v>
      </c>
      <c r="AL292" s="5" t="s">
        <v>67</v>
      </c>
      <c r="AM292" s="5" t="s">
        <v>2681</v>
      </c>
      <c r="AN292" s="5" t="s">
        <v>2682</v>
      </c>
      <c r="AO292" s="5" t="s">
        <v>67</v>
      </c>
      <c r="AP292" s="5" t="s">
        <v>911</v>
      </c>
      <c r="AQ292" s="5" t="s">
        <v>67</v>
      </c>
      <c r="AR292" s="5" t="s">
        <v>67</v>
      </c>
      <c r="AS292" s="3">
        <v>2146189228</v>
      </c>
      <c r="AT292" s="3">
        <v>2146189537</v>
      </c>
      <c r="AU292" s="3">
        <v>2146189563</v>
      </c>
      <c r="AW292" s="5" t="s">
        <v>67</v>
      </c>
      <c r="AX292" s="5" t="s">
        <v>67</v>
      </c>
      <c r="AY292" s="5" t="s">
        <v>67</v>
      </c>
      <c r="AZ292" s="5" t="s">
        <v>67</v>
      </c>
      <c r="BA292" s="3">
        <v>2146189548</v>
      </c>
      <c r="BD292" s="3">
        <v>2146188969</v>
      </c>
      <c r="BE292" s="3">
        <v>2146188969</v>
      </c>
      <c r="BF292" s="5" t="s">
        <v>67</v>
      </c>
      <c r="BG292" s="5" t="s">
        <v>2683</v>
      </c>
      <c r="BH292" s="5" t="s">
        <v>2684</v>
      </c>
      <c r="BI292" s="5" t="s">
        <v>210</v>
      </c>
      <c r="BJ292" s="5" t="s">
        <v>67</v>
      </c>
      <c r="BK292" s="5" t="s">
        <v>2685</v>
      </c>
      <c r="BL292" s="5" t="s">
        <v>2686</v>
      </c>
      <c r="BM292" s="5" t="s">
        <v>2687</v>
      </c>
      <c r="BN292" s="5" t="s">
        <v>2688</v>
      </c>
      <c r="BO292" s="5" t="s">
        <v>2689</v>
      </c>
    </row>
    <row r="293" spans="1:67" x14ac:dyDescent="0.25">
      <c r="A293" s="3">
        <v>2146189695</v>
      </c>
      <c r="B293" s="4">
        <v>42485</v>
      </c>
      <c r="H293" s="5" t="s">
        <v>67</v>
      </c>
      <c r="I293" s="3" t="b">
        <v>0</v>
      </c>
      <c r="J293" s="3" t="b">
        <v>0</v>
      </c>
      <c r="K293" s="3" t="b">
        <v>0</v>
      </c>
      <c r="L293" s="3" t="b">
        <v>0</v>
      </c>
      <c r="M293" s="3" t="b">
        <v>0</v>
      </c>
      <c r="N293" s="3" t="b">
        <v>0</v>
      </c>
      <c r="O293" s="3" t="b">
        <v>0</v>
      </c>
      <c r="P293" s="3" t="b">
        <v>0</v>
      </c>
      <c r="Q293" s="3" t="b">
        <v>0</v>
      </c>
      <c r="R293" s="3" t="s">
        <v>67</v>
      </c>
      <c r="S293" s="5" t="s">
        <v>67</v>
      </c>
      <c r="T293" s="3" t="b">
        <v>0</v>
      </c>
      <c r="U293" s="3" t="b">
        <v>0</v>
      </c>
      <c r="V293" s="5" t="s">
        <v>67</v>
      </c>
      <c r="W293" s="5" t="s">
        <v>67</v>
      </c>
      <c r="X293" s="3" t="b">
        <v>0</v>
      </c>
      <c r="Y293" s="3" t="b">
        <v>0</v>
      </c>
      <c r="Z293" s="3" t="b">
        <v>0</v>
      </c>
      <c r="AA293" s="3" t="b">
        <v>0</v>
      </c>
      <c r="AB293" s="5" t="s">
        <v>67</v>
      </c>
      <c r="AC293" s="5" t="s">
        <v>67</v>
      </c>
      <c r="AD293" s="5" t="s">
        <v>67</v>
      </c>
      <c r="AE293" s="5" t="s">
        <v>67</v>
      </c>
      <c r="AF293" s="5" t="s">
        <v>67</v>
      </c>
      <c r="AG293" s="5" t="s">
        <v>67</v>
      </c>
      <c r="AH293" s="5" t="s">
        <v>67</v>
      </c>
      <c r="AI293" s="5" t="s">
        <v>67</v>
      </c>
      <c r="AJ293" s="5" t="s">
        <v>67</v>
      </c>
      <c r="AK293" s="5" t="s">
        <v>67</v>
      </c>
      <c r="AL293" s="5" t="s">
        <v>67</v>
      </c>
      <c r="AM293" s="5" t="s">
        <v>67</v>
      </c>
      <c r="AN293" s="5" t="s">
        <v>67</v>
      </c>
      <c r="AO293" s="5" t="s">
        <v>67</v>
      </c>
      <c r="AP293" s="5" t="s">
        <v>67</v>
      </c>
      <c r="AQ293" s="5" t="s">
        <v>67</v>
      </c>
      <c r="AR293" s="5" t="s">
        <v>67</v>
      </c>
      <c r="AW293" s="5" t="s">
        <v>67</v>
      </c>
      <c r="AX293" s="5" t="s">
        <v>67</v>
      </c>
      <c r="AY293" s="5" t="s">
        <v>67</v>
      </c>
      <c r="AZ293" s="5" t="s">
        <v>67</v>
      </c>
      <c r="BF293" s="5" t="s">
        <v>67</v>
      </c>
      <c r="BG293" s="5" t="s">
        <v>67</v>
      </c>
      <c r="BH293" s="5" t="s">
        <v>67</v>
      </c>
      <c r="BI293" s="5" t="s">
        <v>67</v>
      </c>
      <c r="BJ293" s="5" t="s">
        <v>67</v>
      </c>
      <c r="BK293" s="5" t="s">
        <v>67</v>
      </c>
      <c r="BL293" s="5" t="s">
        <v>67</v>
      </c>
      <c r="BM293" s="5" t="s">
        <v>67</v>
      </c>
      <c r="BN293" s="5" t="s">
        <v>67</v>
      </c>
      <c r="BO293" s="5" t="s">
        <v>67</v>
      </c>
    </row>
    <row r="294" spans="1:67" ht="150" x14ac:dyDescent="0.25">
      <c r="A294" s="3">
        <v>2146189701</v>
      </c>
      <c r="B294" s="4">
        <v>42866</v>
      </c>
      <c r="C294" s="3">
        <v>2146189702</v>
      </c>
      <c r="G294" s="3">
        <v>2146189702</v>
      </c>
      <c r="H294" s="5" t="s">
        <v>67</v>
      </c>
      <c r="I294" s="3" t="b">
        <v>0</v>
      </c>
      <c r="J294" s="3" t="b">
        <v>0</v>
      </c>
      <c r="K294" s="3" t="b">
        <v>0</v>
      </c>
      <c r="L294" s="3" t="b">
        <v>1</v>
      </c>
      <c r="M294" s="3" t="b">
        <v>1</v>
      </c>
      <c r="N294" s="3" t="b">
        <v>1</v>
      </c>
      <c r="O294" s="3" t="b">
        <v>1</v>
      </c>
      <c r="P294" s="3" t="b">
        <v>1</v>
      </c>
      <c r="Q294" s="3" t="b">
        <v>0</v>
      </c>
      <c r="R294" s="3" t="s">
        <v>2690</v>
      </c>
      <c r="S294" s="5" t="s">
        <v>2691</v>
      </c>
      <c r="T294" s="3" t="b">
        <v>0</v>
      </c>
      <c r="U294" s="3" t="b">
        <v>1</v>
      </c>
      <c r="V294" s="5" t="s">
        <v>2692</v>
      </c>
      <c r="W294" s="5" t="s">
        <v>380</v>
      </c>
      <c r="X294" s="3" t="b">
        <v>0</v>
      </c>
      <c r="Y294" s="3" t="b">
        <v>0</v>
      </c>
      <c r="Z294" s="3" t="b">
        <v>0</v>
      </c>
      <c r="AA294" s="3" t="b">
        <v>0</v>
      </c>
      <c r="AB294" s="5" t="s">
        <v>67</v>
      </c>
      <c r="AC294" s="5" t="s">
        <v>2693</v>
      </c>
      <c r="AD294" s="5" t="s">
        <v>2694</v>
      </c>
      <c r="AE294" s="5" t="s">
        <v>2695</v>
      </c>
      <c r="AF294" s="5" t="s">
        <v>2696</v>
      </c>
      <c r="AG294" s="5" t="s">
        <v>67</v>
      </c>
      <c r="AH294" s="5" t="s">
        <v>2697</v>
      </c>
      <c r="AI294" s="5" t="s">
        <v>2698</v>
      </c>
      <c r="AJ294" s="5" t="s">
        <v>380</v>
      </c>
      <c r="AK294" s="5" t="s">
        <v>380</v>
      </c>
      <c r="AL294" s="5" t="s">
        <v>380</v>
      </c>
      <c r="AM294" s="5" t="s">
        <v>2699</v>
      </c>
      <c r="AN294" s="5" t="s">
        <v>2700</v>
      </c>
      <c r="AO294" s="5" t="s">
        <v>380</v>
      </c>
      <c r="AP294" s="5" t="s">
        <v>380</v>
      </c>
      <c r="AQ294" s="5" t="s">
        <v>380</v>
      </c>
      <c r="AR294" s="5" t="s">
        <v>67</v>
      </c>
      <c r="AW294" s="5" t="s">
        <v>67</v>
      </c>
      <c r="AX294" s="5" t="s">
        <v>67</v>
      </c>
      <c r="AY294" s="5" t="s">
        <v>67</v>
      </c>
      <c r="AZ294" s="5" t="s">
        <v>67</v>
      </c>
      <c r="BA294" s="3">
        <v>2146189703</v>
      </c>
      <c r="BB294" s="3">
        <v>2146189303</v>
      </c>
      <c r="BD294" s="3">
        <v>2146189004</v>
      </c>
      <c r="BE294" s="3">
        <v>2146189004</v>
      </c>
      <c r="BF294" s="5" t="s">
        <v>2701</v>
      </c>
      <c r="BG294" s="5" t="s">
        <v>2702</v>
      </c>
      <c r="BH294" s="5" t="s">
        <v>2703</v>
      </c>
      <c r="BI294" s="5" t="s">
        <v>74</v>
      </c>
      <c r="BJ294" s="5" t="s">
        <v>380</v>
      </c>
      <c r="BK294" s="5" t="s">
        <v>2704</v>
      </c>
      <c r="BL294" s="5" t="s">
        <v>380</v>
      </c>
      <c r="BM294" s="5" t="s">
        <v>380</v>
      </c>
      <c r="BN294" s="5" t="s">
        <v>380</v>
      </c>
      <c r="BO294" s="5" t="s">
        <v>380</v>
      </c>
    </row>
    <row r="295" spans="1:67" ht="135" x14ac:dyDescent="0.25">
      <c r="A295" s="3">
        <v>2146189708</v>
      </c>
      <c r="B295" s="4">
        <v>42530</v>
      </c>
      <c r="C295" s="3">
        <v>2146189709</v>
      </c>
      <c r="G295" s="3">
        <v>2146189709</v>
      </c>
      <c r="H295" s="5" t="s">
        <v>67</v>
      </c>
      <c r="I295" s="3" t="b">
        <v>1</v>
      </c>
      <c r="J295" s="3" t="b">
        <v>0</v>
      </c>
      <c r="K295" s="3" t="b">
        <v>0</v>
      </c>
      <c r="L295" s="3" t="b">
        <v>0</v>
      </c>
      <c r="M295" s="3" t="b">
        <v>1</v>
      </c>
      <c r="N295" s="3" t="b">
        <v>0</v>
      </c>
      <c r="O295" s="3" t="b">
        <v>0</v>
      </c>
      <c r="P295" s="3" t="b">
        <v>0</v>
      </c>
      <c r="Q295" s="3" t="b">
        <v>0</v>
      </c>
      <c r="R295" s="3" t="s">
        <v>67</v>
      </c>
      <c r="S295" s="5" t="s">
        <v>67</v>
      </c>
      <c r="T295" s="3" t="b">
        <v>0</v>
      </c>
      <c r="U295" s="3" t="b">
        <v>0</v>
      </c>
      <c r="V295" s="5" t="s">
        <v>2053</v>
      </c>
      <c r="W295" s="5" t="s">
        <v>67</v>
      </c>
      <c r="X295" s="3" t="b">
        <v>0</v>
      </c>
      <c r="Y295" s="3" t="b">
        <v>0</v>
      </c>
      <c r="Z295" s="3" t="b">
        <v>0</v>
      </c>
      <c r="AA295" s="3" t="b">
        <v>0</v>
      </c>
      <c r="AB295" s="5" t="s">
        <v>67</v>
      </c>
      <c r="AC295" s="5" t="s">
        <v>2705</v>
      </c>
      <c r="AD295" s="5" t="s">
        <v>2706</v>
      </c>
      <c r="AE295" s="5" t="s">
        <v>67</v>
      </c>
      <c r="AF295" s="5" t="s">
        <v>2707</v>
      </c>
      <c r="AG295" s="5" t="s">
        <v>2708</v>
      </c>
      <c r="AH295" s="5" t="s">
        <v>2053</v>
      </c>
      <c r="AI295" s="5" t="s">
        <v>2709</v>
      </c>
      <c r="AJ295" s="5" t="s">
        <v>67</v>
      </c>
      <c r="AK295" s="5" t="s">
        <v>67</v>
      </c>
      <c r="AL295" s="5" t="s">
        <v>67</v>
      </c>
      <c r="AM295" s="5" t="s">
        <v>2053</v>
      </c>
      <c r="AN295" s="5" t="s">
        <v>2710</v>
      </c>
      <c r="AO295" s="5" t="s">
        <v>67</v>
      </c>
      <c r="AP295" s="5" t="s">
        <v>67</v>
      </c>
      <c r="AQ295" s="5" t="s">
        <v>67</v>
      </c>
      <c r="AR295" s="5" t="s">
        <v>67</v>
      </c>
      <c r="AS295" s="3">
        <v>2146189190</v>
      </c>
      <c r="AT295" s="3">
        <v>2146189636</v>
      </c>
      <c r="AW295" s="5" t="s">
        <v>67</v>
      </c>
      <c r="AX295" s="5" t="s">
        <v>67</v>
      </c>
      <c r="AY295" s="5" t="s">
        <v>67</v>
      </c>
      <c r="AZ295" s="5" t="s">
        <v>67</v>
      </c>
      <c r="BF295" s="5" t="s">
        <v>67</v>
      </c>
      <c r="BG295" s="5" t="s">
        <v>2711</v>
      </c>
      <c r="BH295" s="5" t="s">
        <v>67</v>
      </c>
      <c r="BI295" s="5" t="s">
        <v>67</v>
      </c>
      <c r="BJ295" s="5" t="s">
        <v>67</v>
      </c>
      <c r="BK295" s="5" t="s">
        <v>67</v>
      </c>
      <c r="BL295" s="5" t="s">
        <v>2053</v>
      </c>
      <c r="BM295" s="5" t="s">
        <v>67</v>
      </c>
      <c r="BN295" s="5" t="s">
        <v>67</v>
      </c>
      <c r="BO295" s="5" t="s">
        <v>67</v>
      </c>
    </row>
    <row r="296" spans="1:67" ht="240" x14ac:dyDescent="0.25">
      <c r="A296" s="3">
        <v>2146189712</v>
      </c>
      <c r="B296" s="4">
        <v>42920</v>
      </c>
      <c r="C296" s="3">
        <v>2146189713</v>
      </c>
      <c r="G296" s="3">
        <v>2146189713</v>
      </c>
      <c r="H296" s="5" t="s">
        <v>67</v>
      </c>
      <c r="I296" s="3" t="b">
        <v>0</v>
      </c>
      <c r="J296" s="3" t="b">
        <v>0</v>
      </c>
      <c r="K296" s="3" t="b">
        <v>0</v>
      </c>
      <c r="L296" s="3" t="b">
        <v>1</v>
      </c>
      <c r="M296" s="3" t="b">
        <v>1</v>
      </c>
      <c r="N296" s="3" t="b">
        <v>1</v>
      </c>
      <c r="O296" s="3" t="b">
        <v>0</v>
      </c>
      <c r="P296" s="3" t="b">
        <v>0</v>
      </c>
      <c r="Q296" s="3" t="b">
        <v>0</v>
      </c>
      <c r="R296" s="3" t="s">
        <v>2712</v>
      </c>
      <c r="S296" s="5" t="s">
        <v>2713</v>
      </c>
      <c r="T296" s="3" t="b">
        <v>1</v>
      </c>
      <c r="U296" s="3" t="b">
        <v>1</v>
      </c>
      <c r="V296" s="5" t="s">
        <v>2714</v>
      </c>
      <c r="W296" s="5" t="s">
        <v>2715</v>
      </c>
      <c r="X296" s="3" t="b">
        <v>0</v>
      </c>
      <c r="Y296" s="3" t="b">
        <v>0</v>
      </c>
      <c r="Z296" s="3" t="b">
        <v>0</v>
      </c>
      <c r="AA296" s="3" t="b">
        <v>0</v>
      </c>
      <c r="AB296" s="5" t="s">
        <v>2716</v>
      </c>
      <c r="AC296" s="5" t="s">
        <v>2717</v>
      </c>
      <c r="AD296" s="5" t="s">
        <v>2718</v>
      </c>
      <c r="AE296" s="5" t="s">
        <v>2719</v>
      </c>
      <c r="AF296" s="5" t="s">
        <v>2720</v>
      </c>
      <c r="AG296" s="5" t="s">
        <v>2721</v>
      </c>
      <c r="AH296" s="5" t="s">
        <v>2722</v>
      </c>
      <c r="AI296" s="5" t="s">
        <v>2723</v>
      </c>
      <c r="AJ296" s="5" t="s">
        <v>67</v>
      </c>
      <c r="AK296" s="5" t="s">
        <v>67</v>
      </c>
      <c r="AL296" s="5" t="s">
        <v>2724</v>
      </c>
      <c r="AM296" s="5" t="s">
        <v>2725</v>
      </c>
      <c r="AN296" s="5" t="s">
        <v>2726</v>
      </c>
      <c r="AO296" s="5" t="s">
        <v>67</v>
      </c>
      <c r="AP296" s="5" t="s">
        <v>67</v>
      </c>
      <c r="AQ296" s="5" t="s">
        <v>67</v>
      </c>
      <c r="AR296" s="5" t="s">
        <v>67</v>
      </c>
      <c r="AS296" s="3">
        <v>2146189725</v>
      </c>
      <c r="AT296" s="3">
        <v>2146189903</v>
      </c>
      <c r="AU296" s="3">
        <v>2146189878</v>
      </c>
      <c r="AW296" s="5" t="s">
        <v>67</v>
      </c>
      <c r="AX296" s="5" t="s">
        <v>67</v>
      </c>
      <c r="AY296" s="5" t="s">
        <v>67</v>
      </c>
      <c r="AZ296" s="5" t="s">
        <v>67</v>
      </c>
      <c r="BD296" s="3">
        <v>2146188974</v>
      </c>
      <c r="BE296" s="3">
        <v>2146188974</v>
      </c>
      <c r="BF296" s="5" t="s">
        <v>2727</v>
      </c>
      <c r="BG296" s="5" t="s">
        <v>97</v>
      </c>
      <c r="BH296" s="5" t="s">
        <v>2728</v>
      </c>
      <c r="BI296" s="5" t="s">
        <v>67</v>
      </c>
      <c r="BJ296" s="5" t="s">
        <v>67</v>
      </c>
      <c r="BK296" s="5" t="s">
        <v>2729</v>
      </c>
      <c r="BL296" s="5" t="s">
        <v>2730</v>
      </c>
      <c r="BM296" s="5" t="s">
        <v>67</v>
      </c>
      <c r="BN296" s="5" t="s">
        <v>2731</v>
      </c>
      <c r="BO296" s="5" t="s">
        <v>2732</v>
      </c>
    </row>
    <row r="297" spans="1:67" x14ac:dyDescent="0.25">
      <c r="A297" s="3">
        <v>2146189714</v>
      </c>
      <c r="B297" s="4">
        <v>42467</v>
      </c>
      <c r="H297" s="5" t="s">
        <v>67</v>
      </c>
      <c r="I297" s="3" t="b">
        <v>0</v>
      </c>
      <c r="J297" s="3" t="b">
        <v>0</v>
      </c>
      <c r="K297" s="3" t="b">
        <v>0</v>
      </c>
      <c r="L297" s="3" t="b">
        <v>0</v>
      </c>
      <c r="M297" s="3" t="b">
        <v>0</v>
      </c>
      <c r="N297" s="3" t="b">
        <v>0</v>
      </c>
      <c r="O297" s="3" t="b">
        <v>0</v>
      </c>
      <c r="P297" s="3" t="b">
        <v>0</v>
      </c>
      <c r="Q297" s="3" t="b">
        <v>0</v>
      </c>
      <c r="R297" s="3" t="s">
        <v>67</v>
      </c>
      <c r="S297" s="5" t="s">
        <v>67</v>
      </c>
      <c r="T297" s="3" t="b">
        <v>0</v>
      </c>
      <c r="U297" s="3" t="b">
        <v>0</v>
      </c>
      <c r="V297" s="5" t="s">
        <v>67</v>
      </c>
      <c r="W297" s="5" t="s">
        <v>67</v>
      </c>
      <c r="X297" s="3" t="b">
        <v>0</v>
      </c>
      <c r="Y297" s="3" t="b">
        <v>0</v>
      </c>
      <c r="Z297" s="3" t="b">
        <v>0</v>
      </c>
      <c r="AA297" s="3" t="b">
        <v>0</v>
      </c>
      <c r="AB297" s="5" t="s">
        <v>67</v>
      </c>
      <c r="AC297" s="5" t="s">
        <v>67</v>
      </c>
      <c r="AD297" s="5" t="s">
        <v>67</v>
      </c>
      <c r="AE297" s="5" t="s">
        <v>67</v>
      </c>
      <c r="AF297" s="5" t="s">
        <v>67</v>
      </c>
      <c r="AG297" s="5" t="s">
        <v>67</v>
      </c>
      <c r="AH297" s="5" t="s">
        <v>67</v>
      </c>
      <c r="AI297" s="5" t="s">
        <v>67</v>
      </c>
      <c r="AJ297" s="5" t="s">
        <v>67</v>
      </c>
      <c r="AK297" s="5" t="s">
        <v>67</v>
      </c>
      <c r="AL297" s="5" t="s">
        <v>67</v>
      </c>
      <c r="AM297" s="5" t="s">
        <v>67</v>
      </c>
      <c r="AN297" s="5" t="s">
        <v>67</v>
      </c>
      <c r="AO297" s="5" t="s">
        <v>67</v>
      </c>
      <c r="AP297" s="5" t="s">
        <v>67</v>
      </c>
      <c r="AQ297" s="5" t="s">
        <v>67</v>
      </c>
      <c r="AR297" s="5" t="s">
        <v>67</v>
      </c>
      <c r="AS297" s="3">
        <v>2146189714</v>
      </c>
      <c r="AW297" s="5" t="s">
        <v>67</v>
      </c>
      <c r="AX297" s="5" t="s">
        <v>67</v>
      </c>
      <c r="AY297" s="5" t="s">
        <v>67</v>
      </c>
      <c r="AZ297" s="5" t="s">
        <v>67</v>
      </c>
      <c r="BF297" s="5" t="s">
        <v>67</v>
      </c>
      <c r="BG297" s="5" t="s">
        <v>67</v>
      </c>
      <c r="BH297" s="5" t="s">
        <v>67</v>
      </c>
      <c r="BI297" s="5" t="s">
        <v>67</v>
      </c>
      <c r="BJ297" s="5" t="s">
        <v>67</v>
      </c>
      <c r="BK297" s="5" t="s">
        <v>67</v>
      </c>
      <c r="BL297" s="5" t="s">
        <v>67</v>
      </c>
      <c r="BM297" s="5" t="s">
        <v>67</v>
      </c>
      <c r="BN297" s="5" t="s">
        <v>67</v>
      </c>
      <c r="BO297" s="5" t="s">
        <v>67</v>
      </c>
    </row>
    <row r="298" spans="1:67" x14ac:dyDescent="0.25">
      <c r="A298" s="3">
        <v>2146189722</v>
      </c>
      <c r="B298" s="4">
        <v>43039</v>
      </c>
      <c r="H298" s="5" t="s">
        <v>67</v>
      </c>
      <c r="I298" s="3" t="b">
        <v>0</v>
      </c>
      <c r="J298" s="3" t="b">
        <v>0</v>
      </c>
      <c r="K298" s="3" t="b">
        <v>0</v>
      </c>
      <c r="L298" s="3" t="b">
        <v>0</v>
      </c>
      <c r="M298" s="3" t="b">
        <v>0</v>
      </c>
      <c r="N298" s="3" t="b">
        <v>0</v>
      </c>
      <c r="O298" s="3" t="b">
        <v>0</v>
      </c>
      <c r="P298" s="3" t="b">
        <v>0</v>
      </c>
      <c r="Q298" s="3" t="b">
        <v>0</v>
      </c>
      <c r="R298" s="3" t="s">
        <v>67</v>
      </c>
      <c r="S298" s="5" t="s">
        <v>67</v>
      </c>
      <c r="T298" s="3" t="b">
        <v>0</v>
      </c>
      <c r="U298" s="3" t="b">
        <v>0</v>
      </c>
      <c r="V298" s="5" t="s">
        <v>67</v>
      </c>
      <c r="W298" s="5" t="s">
        <v>67</v>
      </c>
      <c r="X298" s="3" t="b">
        <v>0</v>
      </c>
      <c r="Y298" s="3" t="b">
        <v>0</v>
      </c>
      <c r="Z298" s="3" t="b">
        <v>0</v>
      </c>
      <c r="AA298" s="3" t="b">
        <v>0</v>
      </c>
      <c r="AB298" s="5" t="s">
        <v>67</v>
      </c>
      <c r="AC298" s="5" t="s">
        <v>67</v>
      </c>
      <c r="AD298" s="5" t="s">
        <v>67</v>
      </c>
      <c r="AE298" s="5" t="s">
        <v>67</v>
      </c>
      <c r="AF298" s="5" t="s">
        <v>67</v>
      </c>
      <c r="AG298" s="5" t="s">
        <v>67</v>
      </c>
      <c r="AH298" s="5" t="s">
        <v>67</v>
      </c>
      <c r="AI298" s="5" t="s">
        <v>67</v>
      </c>
      <c r="AJ298" s="5" t="s">
        <v>67</v>
      </c>
      <c r="AK298" s="5" t="s">
        <v>67</v>
      </c>
      <c r="AL298" s="5" t="s">
        <v>67</v>
      </c>
      <c r="AM298" s="5" t="s">
        <v>67</v>
      </c>
      <c r="AN298" s="5" t="s">
        <v>67</v>
      </c>
      <c r="AO298" s="5" t="s">
        <v>67</v>
      </c>
      <c r="AP298" s="5" t="s">
        <v>67</v>
      </c>
      <c r="AQ298" s="5" t="s">
        <v>67</v>
      </c>
      <c r="AR298" s="5" t="s">
        <v>67</v>
      </c>
      <c r="AS298" s="3">
        <v>2146189636</v>
      </c>
      <c r="AT298" s="3">
        <v>2146189824</v>
      </c>
      <c r="AW298" s="5" t="s">
        <v>67</v>
      </c>
      <c r="AX298" s="5" t="s">
        <v>67</v>
      </c>
      <c r="AY298" s="5" t="s">
        <v>67</v>
      </c>
      <c r="AZ298" s="5" t="s">
        <v>67</v>
      </c>
      <c r="BF298" s="5" t="s">
        <v>67</v>
      </c>
      <c r="BG298" s="5" t="s">
        <v>67</v>
      </c>
      <c r="BH298" s="5" t="s">
        <v>67</v>
      </c>
      <c r="BI298" s="5" t="s">
        <v>67</v>
      </c>
      <c r="BJ298" s="5" t="s">
        <v>67</v>
      </c>
      <c r="BK298" s="5" t="s">
        <v>67</v>
      </c>
      <c r="BL298" s="5" t="s">
        <v>67</v>
      </c>
      <c r="BM298" s="5" t="s">
        <v>67</v>
      </c>
      <c r="BN298" s="5" t="s">
        <v>2733</v>
      </c>
      <c r="BO298" s="5" t="s">
        <v>67</v>
      </c>
    </row>
    <row r="299" spans="1:67" ht="315" x14ac:dyDescent="0.25">
      <c r="A299" s="3">
        <v>2146189741</v>
      </c>
      <c r="B299" s="4">
        <v>42843</v>
      </c>
      <c r="C299" s="3">
        <v>2146189742</v>
      </c>
      <c r="F299" s="3">
        <v>2677</v>
      </c>
      <c r="G299" s="3">
        <v>2146189742</v>
      </c>
      <c r="H299" s="5" t="s">
        <v>2734</v>
      </c>
      <c r="I299" s="3" t="b">
        <v>0</v>
      </c>
      <c r="J299" s="3" t="b">
        <v>0</v>
      </c>
      <c r="K299" s="3" t="b">
        <v>0</v>
      </c>
      <c r="L299" s="3" t="b">
        <v>1</v>
      </c>
      <c r="M299" s="3" t="b">
        <v>1</v>
      </c>
      <c r="N299" s="3" t="b">
        <v>1</v>
      </c>
      <c r="O299" s="3" t="b">
        <v>0</v>
      </c>
      <c r="P299" s="3" t="b">
        <v>0</v>
      </c>
      <c r="Q299" s="3" t="b">
        <v>0</v>
      </c>
      <c r="R299" s="3" t="s">
        <v>2735</v>
      </c>
      <c r="S299" s="5" t="s">
        <v>2736</v>
      </c>
      <c r="T299" s="3" t="b">
        <v>0</v>
      </c>
      <c r="U299" s="3" t="b">
        <v>1</v>
      </c>
      <c r="V299" s="5" t="s">
        <v>2737</v>
      </c>
      <c r="W299" s="5" t="s">
        <v>2738</v>
      </c>
      <c r="X299" s="3" t="b">
        <v>0</v>
      </c>
      <c r="Y299" s="3" t="b">
        <v>0</v>
      </c>
      <c r="Z299" s="3" t="b">
        <v>0</v>
      </c>
      <c r="AA299" s="3" t="b">
        <v>0</v>
      </c>
      <c r="AB299" s="5" t="s">
        <v>2739</v>
      </c>
      <c r="AC299" s="5" t="s">
        <v>2740</v>
      </c>
      <c r="AD299" s="5" t="s">
        <v>2741</v>
      </c>
      <c r="AE299" s="5" t="s">
        <v>2742</v>
      </c>
      <c r="AF299" s="5" t="s">
        <v>2743</v>
      </c>
      <c r="AG299" s="5" t="s">
        <v>2744</v>
      </c>
      <c r="AH299" s="5" t="s">
        <v>2745</v>
      </c>
      <c r="AI299" s="5" t="s">
        <v>2746</v>
      </c>
      <c r="AJ299" s="5" t="s">
        <v>67</v>
      </c>
      <c r="AK299" s="5" t="s">
        <v>2747</v>
      </c>
      <c r="AL299" s="5" t="s">
        <v>2748</v>
      </c>
      <c r="AM299" s="5" t="s">
        <v>67</v>
      </c>
      <c r="AN299" s="5" t="s">
        <v>2749</v>
      </c>
      <c r="AO299" s="5" t="s">
        <v>67</v>
      </c>
      <c r="AP299" s="5" t="s">
        <v>2750</v>
      </c>
      <c r="AQ299" s="5" t="s">
        <v>2751</v>
      </c>
      <c r="AR299" s="5" t="s">
        <v>67</v>
      </c>
      <c r="AS299" s="3">
        <v>2146189077</v>
      </c>
      <c r="AT299" s="3">
        <v>2146189525</v>
      </c>
      <c r="AU299" s="3">
        <v>2146189607</v>
      </c>
      <c r="AW299" s="5" t="s">
        <v>67</v>
      </c>
      <c r="AX299" s="5" t="s">
        <v>67</v>
      </c>
      <c r="AY299" s="5" t="s">
        <v>67</v>
      </c>
      <c r="AZ299" s="5" t="s">
        <v>67</v>
      </c>
      <c r="BA299" s="3">
        <v>2146189293</v>
      </c>
      <c r="BB299" s="3">
        <v>107</v>
      </c>
      <c r="BD299" s="3">
        <v>2146188969</v>
      </c>
      <c r="BE299" s="3">
        <v>2146188982</v>
      </c>
      <c r="BF299" s="5" t="s">
        <v>2752</v>
      </c>
      <c r="BG299" s="5" t="s">
        <v>117</v>
      </c>
      <c r="BH299" s="5" t="s">
        <v>2753</v>
      </c>
      <c r="BI299" s="5" t="s">
        <v>74</v>
      </c>
      <c r="BJ299" s="5" t="s">
        <v>67</v>
      </c>
      <c r="BK299" s="5" t="s">
        <v>2754</v>
      </c>
      <c r="BL299" s="5" t="s">
        <v>2755</v>
      </c>
      <c r="BM299" s="5" t="s">
        <v>67</v>
      </c>
      <c r="BN299" s="5" t="s">
        <v>2756</v>
      </c>
      <c r="BO299" s="5" t="s">
        <v>2757</v>
      </c>
    </row>
    <row r="300" spans="1:67" ht="285" x14ac:dyDescent="0.25">
      <c r="A300" s="3">
        <v>2146189743</v>
      </c>
      <c r="B300" s="4">
        <v>42864</v>
      </c>
      <c r="C300" s="3">
        <v>2146189744</v>
      </c>
      <c r="G300" s="3">
        <v>2146189744</v>
      </c>
      <c r="H300" s="5" t="s">
        <v>67</v>
      </c>
      <c r="I300" s="3" t="b">
        <v>0</v>
      </c>
      <c r="J300" s="3" t="b">
        <v>0</v>
      </c>
      <c r="K300" s="3" t="b">
        <v>0</v>
      </c>
      <c r="L300" s="3" t="b">
        <v>1</v>
      </c>
      <c r="M300" s="3" t="b">
        <v>1</v>
      </c>
      <c r="N300" s="3" t="b">
        <v>1</v>
      </c>
      <c r="O300" s="3" t="b">
        <v>0</v>
      </c>
      <c r="P300" s="3" t="b">
        <v>0</v>
      </c>
      <c r="Q300" s="3" t="b">
        <v>0</v>
      </c>
      <c r="R300" s="3" t="s">
        <v>2758</v>
      </c>
      <c r="S300" s="5" t="s">
        <v>2759</v>
      </c>
      <c r="T300" s="3" t="b">
        <v>1</v>
      </c>
      <c r="U300" s="3" t="b">
        <v>0</v>
      </c>
      <c r="V300" s="5" t="s">
        <v>2760</v>
      </c>
      <c r="W300" s="5" t="s">
        <v>2761</v>
      </c>
      <c r="X300" s="3" t="b">
        <v>0</v>
      </c>
      <c r="Y300" s="3" t="b">
        <v>0</v>
      </c>
      <c r="Z300" s="3" t="b">
        <v>0</v>
      </c>
      <c r="AA300" s="3" t="b">
        <v>1</v>
      </c>
      <c r="AB300" s="5" t="s">
        <v>2762</v>
      </c>
      <c r="AC300" s="5" t="s">
        <v>2763</v>
      </c>
      <c r="AD300" s="5" t="s">
        <v>2764</v>
      </c>
      <c r="AE300" s="5" t="s">
        <v>2765</v>
      </c>
      <c r="AF300" s="5" t="s">
        <v>2766</v>
      </c>
      <c r="AG300" s="5" t="s">
        <v>2767</v>
      </c>
      <c r="AH300" s="5" t="s">
        <v>2768</v>
      </c>
      <c r="AI300" s="5" t="s">
        <v>2769</v>
      </c>
      <c r="AJ300" s="5" t="s">
        <v>2770</v>
      </c>
      <c r="AK300" s="5" t="s">
        <v>2771</v>
      </c>
      <c r="AL300" s="5" t="s">
        <v>67</v>
      </c>
      <c r="AM300" s="5" t="s">
        <v>2772</v>
      </c>
      <c r="AN300" s="5" t="s">
        <v>2773</v>
      </c>
      <c r="AO300" s="5" t="s">
        <v>67</v>
      </c>
      <c r="AP300" s="5" t="s">
        <v>2774</v>
      </c>
      <c r="AQ300" s="5" t="s">
        <v>67</v>
      </c>
      <c r="AR300" s="5" t="s">
        <v>67</v>
      </c>
      <c r="AS300" s="3">
        <v>2146189824</v>
      </c>
      <c r="AW300" s="5" t="s">
        <v>67</v>
      </c>
      <c r="AX300" s="5" t="s">
        <v>67</v>
      </c>
      <c r="AY300" s="5" t="s">
        <v>67</v>
      </c>
      <c r="AZ300" s="5" t="s">
        <v>67</v>
      </c>
      <c r="BA300" s="3">
        <v>2146189818</v>
      </c>
      <c r="BD300" s="3">
        <v>2146189294</v>
      </c>
      <c r="BE300" s="3">
        <v>2146189294</v>
      </c>
      <c r="BF300" s="5" t="s">
        <v>2775</v>
      </c>
      <c r="BG300" s="5" t="s">
        <v>2776</v>
      </c>
      <c r="BH300" s="5" t="s">
        <v>2777</v>
      </c>
      <c r="BI300" s="5" t="s">
        <v>67</v>
      </c>
      <c r="BJ300" s="5" t="s">
        <v>67</v>
      </c>
      <c r="BK300" s="5" t="s">
        <v>2778</v>
      </c>
      <c r="BL300" s="5" t="s">
        <v>2779</v>
      </c>
      <c r="BM300" s="5" t="s">
        <v>67</v>
      </c>
      <c r="BN300" s="5" t="s">
        <v>2780</v>
      </c>
      <c r="BO300" s="5" t="s">
        <v>67</v>
      </c>
    </row>
    <row r="301" spans="1:67" ht="330" x14ac:dyDescent="0.25">
      <c r="A301" s="3">
        <v>2146189746</v>
      </c>
      <c r="B301" s="4">
        <v>42520</v>
      </c>
      <c r="F301" s="3">
        <v>2146189760</v>
      </c>
      <c r="H301" s="5" t="s">
        <v>2781</v>
      </c>
      <c r="I301" s="3" t="b">
        <v>1</v>
      </c>
      <c r="J301" s="3" t="b">
        <v>0</v>
      </c>
      <c r="K301" s="3" t="b">
        <v>0</v>
      </c>
      <c r="L301" s="3" t="b">
        <v>0</v>
      </c>
      <c r="M301" s="3" t="b">
        <v>0</v>
      </c>
      <c r="N301" s="3" t="b">
        <v>0</v>
      </c>
      <c r="O301" s="3" t="b">
        <v>0</v>
      </c>
      <c r="P301" s="3" t="b">
        <v>0</v>
      </c>
      <c r="Q301" s="3" t="b">
        <v>1</v>
      </c>
      <c r="R301" s="3" t="s">
        <v>2782</v>
      </c>
      <c r="S301" s="5" t="s">
        <v>2783</v>
      </c>
      <c r="T301" s="3" t="b">
        <v>1</v>
      </c>
      <c r="U301" s="3" t="b">
        <v>0</v>
      </c>
      <c r="V301" s="5" t="s">
        <v>2784</v>
      </c>
      <c r="W301" s="5" t="s">
        <v>2785</v>
      </c>
      <c r="X301" s="3" t="b">
        <v>0</v>
      </c>
      <c r="Y301" s="3" t="b">
        <v>0</v>
      </c>
      <c r="Z301" s="3" t="b">
        <v>0</v>
      </c>
      <c r="AA301" s="3" t="b">
        <v>0</v>
      </c>
      <c r="AB301" s="5" t="s">
        <v>2786</v>
      </c>
      <c r="AC301" s="5" t="s">
        <v>2787</v>
      </c>
      <c r="AD301" s="5" t="s">
        <v>2788</v>
      </c>
      <c r="AE301" s="5" t="s">
        <v>2789</v>
      </c>
      <c r="AF301" s="5" t="s">
        <v>2790</v>
      </c>
      <c r="AG301" s="5" t="s">
        <v>2791</v>
      </c>
      <c r="AH301" s="5" t="s">
        <v>2792</v>
      </c>
      <c r="AI301" s="5" t="s">
        <v>2793</v>
      </c>
      <c r="AJ301" s="5" t="s">
        <v>2794</v>
      </c>
      <c r="AK301" s="5" t="s">
        <v>2795</v>
      </c>
      <c r="AL301" s="5" t="s">
        <v>2796</v>
      </c>
      <c r="AM301" s="5" t="s">
        <v>2797</v>
      </c>
      <c r="AN301" s="5" t="s">
        <v>2798</v>
      </c>
      <c r="AO301" s="5" t="s">
        <v>67</v>
      </c>
      <c r="AP301" s="5" t="s">
        <v>2799</v>
      </c>
      <c r="AQ301" s="5" t="s">
        <v>2796</v>
      </c>
      <c r="AR301" s="5" t="s">
        <v>67</v>
      </c>
      <c r="AS301" s="3">
        <v>2146189190</v>
      </c>
      <c r="AT301" s="3">
        <v>2146189607</v>
      </c>
      <c r="AW301" s="5" t="s">
        <v>67</v>
      </c>
      <c r="AX301" s="5" t="s">
        <v>67</v>
      </c>
      <c r="AY301" s="5" t="s">
        <v>67</v>
      </c>
      <c r="AZ301" s="5" t="s">
        <v>67</v>
      </c>
      <c r="BA301" s="3">
        <v>2146189423</v>
      </c>
      <c r="BB301" s="3">
        <v>2146189014</v>
      </c>
      <c r="BD301" s="3">
        <v>2146189749</v>
      </c>
      <c r="BF301" s="5" t="s">
        <v>2800</v>
      </c>
      <c r="BG301" s="5" t="s">
        <v>2801</v>
      </c>
      <c r="BH301" s="5" t="s">
        <v>2802</v>
      </c>
      <c r="BI301" s="5" t="s">
        <v>210</v>
      </c>
      <c r="BJ301" s="5" t="s">
        <v>2803</v>
      </c>
      <c r="BK301" s="5" t="s">
        <v>2804</v>
      </c>
      <c r="BL301" s="5" t="s">
        <v>2805</v>
      </c>
      <c r="BM301" s="5" t="s">
        <v>67</v>
      </c>
      <c r="BN301" s="5" t="s">
        <v>67</v>
      </c>
      <c r="BO301" s="5" t="s">
        <v>67</v>
      </c>
    </row>
    <row r="302" spans="1:67" ht="165" x14ac:dyDescent="0.25">
      <c r="A302" s="3">
        <v>2146189750</v>
      </c>
      <c r="B302" s="4">
        <v>42843</v>
      </c>
      <c r="C302" s="3">
        <v>2146189751</v>
      </c>
      <c r="G302" s="3">
        <v>2146189751</v>
      </c>
      <c r="H302" s="5" t="s">
        <v>2806</v>
      </c>
      <c r="I302" s="3" t="b">
        <v>0</v>
      </c>
      <c r="J302" s="3" t="b">
        <v>0</v>
      </c>
      <c r="K302" s="3" t="b">
        <v>0</v>
      </c>
      <c r="L302" s="3" t="b">
        <v>1</v>
      </c>
      <c r="M302" s="3" t="b">
        <v>1</v>
      </c>
      <c r="N302" s="3" t="b">
        <v>0</v>
      </c>
      <c r="O302" s="3" t="b">
        <v>0</v>
      </c>
      <c r="P302" s="3" t="b">
        <v>0</v>
      </c>
      <c r="Q302" s="3" t="b">
        <v>0</v>
      </c>
      <c r="R302" s="3" t="s">
        <v>67</v>
      </c>
      <c r="S302" s="5" t="s">
        <v>2807</v>
      </c>
      <c r="T302" s="3" t="b">
        <v>0</v>
      </c>
      <c r="U302" s="3" t="b">
        <v>0</v>
      </c>
      <c r="V302" s="5" t="s">
        <v>573</v>
      </c>
      <c r="W302" s="5" t="s">
        <v>2808</v>
      </c>
      <c r="X302" s="3" t="b">
        <v>0</v>
      </c>
      <c r="Y302" s="3" t="b">
        <v>0</v>
      </c>
      <c r="Z302" s="3" t="b">
        <v>0</v>
      </c>
      <c r="AA302" s="3" t="b">
        <v>1</v>
      </c>
      <c r="AB302" s="5" t="s">
        <v>2809</v>
      </c>
      <c r="AC302" s="5" t="s">
        <v>2810</v>
      </c>
      <c r="AD302" s="5" t="s">
        <v>2811</v>
      </c>
      <c r="AE302" s="5" t="s">
        <v>67</v>
      </c>
      <c r="AF302" s="5" t="s">
        <v>2812</v>
      </c>
      <c r="AG302" s="5" t="s">
        <v>67</v>
      </c>
      <c r="AH302" s="5" t="s">
        <v>573</v>
      </c>
      <c r="AI302" s="5" t="s">
        <v>2813</v>
      </c>
      <c r="AJ302" s="5" t="s">
        <v>67</v>
      </c>
      <c r="AK302" s="5" t="s">
        <v>67</v>
      </c>
      <c r="AL302" s="5" t="s">
        <v>67</v>
      </c>
      <c r="AM302" s="5" t="s">
        <v>573</v>
      </c>
      <c r="AN302" s="5" t="s">
        <v>2814</v>
      </c>
      <c r="AO302" s="5" t="s">
        <v>67</v>
      </c>
      <c r="AP302" s="5" t="s">
        <v>67</v>
      </c>
      <c r="AQ302" s="5" t="s">
        <v>67</v>
      </c>
      <c r="AR302" s="5" t="s">
        <v>67</v>
      </c>
      <c r="AS302" s="3">
        <v>2146189561</v>
      </c>
      <c r="AW302" s="5" t="s">
        <v>67</v>
      </c>
      <c r="AX302" s="5" t="s">
        <v>67</v>
      </c>
      <c r="AY302" s="5" t="s">
        <v>67</v>
      </c>
      <c r="AZ302" s="5" t="s">
        <v>67</v>
      </c>
      <c r="BA302" s="3">
        <v>-630865173</v>
      </c>
      <c r="BD302" s="3">
        <v>2146189275</v>
      </c>
      <c r="BF302" s="5" t="s">
        <v>1892</v>
      </c>
      <c r="BG302" s="5" t="s">
        <v>2207</v>
      </c>
      <c r="BH302" s="5" t="s">
        <v>67</v>
      </c>
      <c r="BI302" s="5" t="s">
        <v>67</v>
      </c>
      <c r="BJ302" s="5" t="s">
        <v>67</v>
      </c>
      <c r="BK302" s="5" t="s">
        <v>2815</v>
      </c>
      <c r="BL302" s="5" t="s">
        <v>67</v>
      </c>
      <c r="BM302" s="5" t="s">
        <v>67</v>
      </c>
      <c r="BN302" s="5" t="s">
        <v>2808</v>
      </c>
      <c r="BO302" s="5" t="s">
        <v>2808</v>
      </c>
    </row>
    <row r="303" spans="1:67" ht="409.5" x14ac:dyDescent="0.25">
      <c r="A303" s="3">
        <v>2146189783</v>
      </c>
      <c r="B303" s="4">
        <v>42852</v>
      </c>
      <c r="C303" s="3">
        <v>2146189791</v>
      </c>
      <c r="D303" s="3">
        <v>2146189792</v>
      </c>
      <c r="E303" s="3">
        <v>2146189793</v>
      </c>
      <c r="F303" s="3">
        <v>2146189500</v>
      </c>
      <c r="G303" s="3">
        <v>2146189500</v>
      </c>
      <c r="H303" s="5" t="s">
        <v>3290</v>
      </c>
      <c r="I303" s="3" t="b">
        <v>0</v>
      </c>
      <c r="J303" s="3" t="b">
        <v>0</v>
      </c>
      <c r="K303" s="3" t="b">
        <v>0</v>
      </c>
      <c r="L303" s="3" t="b">
        <v>1</v>
      </c>
      <c r="M303" s="3" t="b">
        <v>1</v>
      </c>
      <c r="N303" s="3" t="b">
        <v>0</v>
      </c>
      <c r="O303" s="3" t="b">
        <v>0</v>
      </c>
      <c r="P303" s="3" t="b">
        <v>0</v>
      </c>
      <c r="Q303" s="3" t="b">
        <v>0</v>
      </c>
      <c r="R303" s="3" t="s">
        <v>2816</v>
      </c>
      <c r="S303" s="5" t="s">
        <v>2817</v>
      </c>
      <c r="T303" s="3" t="b">
        <v>1</v>
      </c>
      <c r="U303" s="3" t="b">
        <v>0</v>
      </c>
      <c r="V303" s="5" t="s">
        <v>2818</v>
      </c>
      <c r="W303" s="5" t="s">
        <v>2819</v>
      </c>
      <c r="X303" s="3" t="b">
        <v>0</v>
      </c>
      <c r="Y303" s="3" t="b">
        <v>0</v>
      </c>
      <c r="Z303" s="3" t="b">
        <v>0</v>
      </c>
      <c r="AA303" s="3" t="b">
        <v>1</v>
      </c>
      <c r="AB303" s="5" t="s">
        <v>2820</v>
      </c>
      <c r="AC303" s="5" t="s">
        <v>2821</v>
      </c>
      <c r="AD303" s="5" t="s">
        <v>2822</v>
      </c>
      <c r="AE303" s="5" t="s">
        <v>2823</v>
      </c>
      <c r="AF303" s="5" t="s">
        <v>2824</v>
      </c>
      <c r="AG303" s="5" t="s">
        <v>67</v>
      </c>
      <c r="AH303" s="5" t="s">
        <v>2825</v>
      </c>
      <c r="AI303" s="5" t="s">
        <v>2826</v>
      </c>
      <c r="AJ303" s="5" t="s">
        <v>2827</v>
      </c>
      <c r="AK303" s="5" t="s">
        <v>2828</v>
      </c>
      <c r="AL303" s="5" t="s">
        <v>2829</v>
      </c>
      <c r="AM303" s="5" t="s">
        <v>2830</v>
      </c>
      <c r="AN303" s="5" t="s">
        <v>2831</v>
      </c>
      <c r="AO303" s="5" t="s">
        <v>67</v>
      </c>
      <c r="AP303" s="5" t="s">
        <v>67</v>
      </c>
      <c r="AQ303" s="5" t="s">
        <v>2832</v>
      </c>
      <c r="AR303" s="5" t="s">
        <v>67</v>
      </c>
      <c r="AW303" s="5" t="s">
        <v>67</v>
      </c>
      <c r="AX303" s="5" t="s">
        <v>67</v>
      </c>
      <c r="AY303" s="5" t="s">
        <v>67</v>
      </c>
      <c r="AZ303" s="5" t="s">
        <v>67</v>
      </c>
      <c r="BA303" s="3">
        <v>2146189786</v>
      </c>
      <c r="BB303" s="3">
        <v>2146189787</v>
      </c>
      <c r="BD303" s="3">
        <v>2146189785</v>
      </c>
      <c r="BE303" s="3">
        <v>2146189785</v>
      </c>
      <c r="BF303" s="5" t="s">
        <v>2833</v>
      </c>
      <c r="BG303" s="5" t="s">
        <v>97</v>
      </c>
      <c r="BH303" s="5" t="s">
        <v>2834</v>
      </c>
      <c r="BI303" s="5" t="s">
        <v>74</v>
      </c>
      <c r="BJ303" s="5" t="s">
        <v>67</v>
      </c>
      <c r="BK303" s="5" t="s">
        <v>2835</v>
      </c>
      <c r="BL303" s="5" t="s">
        <v>2836</v>
      </c>
      <c r="BM303" s="5" t="s">
        <v>2837</v>
      </c>
      <c r="BN303" s="5" t="s">
        <v>2838</v>
      </c>
      <c r="BO303" s="5" t="s">
        <v>67</v>
      </c>
    </row>
    <row r="304" spans="1:67" ht="90" x14ac:dyDescent="0.25">
      <c r="A304" s="3">
        <v>2146189788</v>
      </c>
      <c r="B304" s="4">
        <v>42843</v>
      </c>
      <c r="C304" s="3">
        <v>2146189798</v>
      </c>
      <c r="D304" s="3">
        <v>2146189799</v>
      </c>
      <c r="F304" s="3">
        <v>1167818958</v>
      </c>
      <c r="G304" s="3">
        <v>2146189798</v>
      </c>
      <c r="H304" s="5" t="s">
        <v>2839</v>
      </c>
      <c r="I304" s="3" t="b">
        <v>0</v>
      </c>
      <c r="J304" s="3" t="b">
        <v>0</v>
      </c>
      <c r="K304" s="3" t="b">
        <v>1</v>
      </c>
      <c r="L304" s="3" t="b">
        <v>1</v>
      </c>
      <c r="M304" s="3" t="b">
        <v>1</v>
      </c>
      <c r="N304" s="3" t="b">
        <v>0</v>
      </c>
      <c r="O304" s="3" t="b">
        <v>0</v>
      </c>
      <c r="P304" s="3" t="b">
        <v>0</v>
      </c>
      <c r="Q304" s="3" t="b">
        <v>0</v>
      </c>
      <c r="R304" s="3" t="s">
        <v>67</v>
      </c>
      <c r="S304" s="5" t="s">
        <v>67</v>
      </c>
      <c r="T304" s="3" t="b">
        <v>0</v>
      </c>
      <c r="U304" s="3" t="b">
        <v>1</v>
      </c>
      <c r="V304" s="5" t="s">
        <v>2840</v>
      </c>
      <c r="W304" s="5" t="s">
        <v>67</v>
      </c>
      <c r="X304" s="3" t="b">
        <v>0</v>
      </c>
      <c r="Y304" s="3" t="b">
        <v>0</v>
      </c>
      <c r="Z304" s="3" t="b">
        <v>0</v>
      </c>
      <c r="AA304" s="3" t="b">
        <v>0</v>
      </c>
      <c r="AB304" s="5" t="s">
        <v>2841</v>
      </c>
      <c r="AC304" s="5" t="s">
        <v>2842</v>
      </c>
      <c r="AD304" s="5" t="s">
        <v>2843</v>
      </c>
      <c r="AE304" s="5" t="s">
        <v>2844</v>
      </c>
      <c r="AF304" s="5" t="s">
        <v>2845</v>
      </c>
      <c r="AG304" s="5" t="s">
        <v>2846</v>
      </c>
      <c r="AH304" s="5" t="s">
        <v>67</v>
      </c>
      <c r="AI304" s="5" t="s">
        <v>2847</v>
      </c>
      <c r="AJ304" s="5" t="s">
        <v>67</v>
      </c>
      <c r="AK304" s="5" t="s">
        <v>67</v>
      </c>
      <c r="AL304" s="5" t="s">
        <v>67</v>
      </c>
      <c r="AM304" s="5" t="s">
        <v>67</v>
      </c>
      <c r="AN304" s="5" t="s">
        <v>1658</v>
      </c>
      <c r="AO304" s="5" t="s">
        <v>67</v>
      </c>
      <c r="AP304" s="5" t="s">
        <v>67</v>
      </c>
      <c r="AQ304" s="5" t="s">
        <v>67</v>
      </c>
      <c r="AR304" s="5" t="s">
        <v>67</v>
      </c>
      <c r="AS304" s="3">
        <v>2146189821</v>
      </c>
      <c r="AW304" s="5" t="s">
        <v>67</v>
      </c>
      <c r="AX304" s="5" t="s">
        <v>67</v>
      </c>
      <c r="AY304" s="5" t="s">
        <v>67</v>
      </c>
      <c r="AZ304" s="5" t="s">
        <v>67</v>
      </c>
      <c r="BA304" s="3">
        <v>2146189815</v>
      </c>
      <c r="BB304" s="3">
        <v>2146189804</v>
      </c>
      <c r="BD304" s="3">
        <v>2146189801</v>
      </c>
      <c r="BE304" s="3">
        <v>2146189801</v>
      </c>
      <c r="BF304" s="5" t="s">
        <v>2848</v>
      </c>
      <c r="BG304" s="5" t="s">
        <v>2849</v>
      </c>
      <c r="BH304" s="5" t="s">
        <v>67</v>
      </c>
      <c r="BI304" s="5" t="s">
        <v>67</v>
      </c>
      <c r="BJ304" s="5" t="s">
        <v>67</v>
      </c>
      <c r="BK304" s="5" t="s">
        <v>2850</v>
      </c>
      <c r="BL304" s="5" t="s">
        <v>67</v>
      </c>
      <c r="BM304" s="5" t="s">
        <v>67</v>
      </c>
      <c r="BN304" s="5" t="s">
        <v>67</v>
      </c>
      <c r="BO304" s="5" t="s">
        <v>67</v>
      </c>
    </row>
    <row r="305" spans="1:67" x14ac:dyDescent="0.25">
      <c r="A305" s="3">
        <v>2146189808</v>
      </c>
      <c r="B305" s="4">
        <v>42556</v>
      </c>
      <c r="H305" s="5" t="s">
        <v>67</v>
      </c>
      <c r="I305" s="3" t="b">
        <v>0</v>
      </c>
      <c r="J305" s="3" t="b">
        <v>0</v>
      </c>
      <c r="K305" s="3" t="b">
        <v>0</v>
      </c>
      <c r="L305" s="3" t="b">
        <v>0</v>
      </c>
      <c r="M305" s="3" t="b">
        <v>0</v>
      </c>
      <c r="N305" s="3" t="b">
        <v>0</v>
      </c>
      <c r="O305" s="3" t="b">
        <v>0</v>
      </c>
      <c r="P305" s="3" t="b">
        <v>0</v>
      </c>
      <c r="Q305" s="3" t="b">
        <v>0</v>
      </c>
      <c r="R305" s="3" t="s">
        <v>67</v>
      </c>
      <c r="S305" s="5" t="s">
        <v>67</v>
      </c>
      <c r="T305" s="3" t="b">
        <v>0</v>
      </c>
      <c r="U305" s="3" t="b">
        <v>0</v>
      </c>
      <c r="V305" s="5" t="s">
        <v>67</v>
      </c>
      <c r="W305" s="5" t="s">
        <v>67</v>
      </c>
      <c r="X305" s="3" t="b">
        <v>0</v>
      </c>
      <c r="Y305" s="3" t="b">
        <v>0</v>
      </c>
      <c r="Z305" s="3" t="b">
        <v>0</v>
      </c>
      <c r="AA305" s="3" t="b">
        <v>0</v>
      </c>
      <c r="AB305" s="5" t="s">
        <v>67</v>
      </c>
      <c r="AC305" s="5" t="s">
        <v>67</v>
      </c>
      <c r="AD305" s="5" t="s">
        <v>67</v>
      </c>
      <c r="AE305" s="5" t="s">
        <v>67</v>
      </c>
      <c r="AF305" s="5" t="s">
        <v>67</v>
      </c>
      <c r="AG305" s="5" t="s">
        <v>67</v>
      </c>
      <c r="AH305" s="5" t="s">
        <v>67</v>
      </c>
      <c r="AI305" s="5" t="s">
        <v>67</v>
      </c>
      <c r="AJ305" s="5" t="s">
        <v>67</v>
      </c>
      <c r="AK305" s="5" t="s">
        <v>67</v>
      </c>
      <c r="AL305" s="5" t="s">
        <v>67</v>
      </c>
      <c r="AM305" s="5" t="s">
        <v>67</v>
      </c>
      <c r="AN305" s="5" t="s">
        <v>67</v>
      </c>
      <c r="AO305" s="5" t="s">
        <v>67</v>
      </c>
      <c r="AP305" s="5" t="s">
        <v>67</v>
      </c>
      <c r="AQ305" s="5" t="s">
        <v>67</v>
      </c>
      <c r="AR305" s="5" t="s">
        <v>67</v>
      </c>
      <c r="AW305" s="5" t="s">
        <v>67</v>
      </c>
      <c r="AX305" s="5" t="s">
        <v>67</v>
      </c>
      <c r="AY305" s="5" t="s">
        <v>67</v>
      </c>
      <c r="AZ305" s="5" t="s">
        <v>67</v>
      </c>
      <c r="BF305" s="5" t="s">
        <v>67</v>
      </c>
      <c r="BG305" s="5" t="s">
        <v>67</v>
      </c>
      <c r="BH305" s="5" t="s">
        <v>67</v>
      </c>
      <c r="BI305" s="5" t="s">
        <v>67</v>
      </c>
      <c r="BJ305" s="5" t="s">
        <v>67</v>
      </c>
      <c r="BK305" s="5" t="s">
        <v>67</v>
      </c>
      <c r="BL305" s="5" t="s">
        <v>67</v>
      </c>
      <c r="BM305" s="5" t="s">
        <v>67</v>
      </c>
      <c r="BN305" s="5" t="s">
        <v>67</v>
      </c>
      <c r="BO305" s="5" t="s">
        <v>67</v>
      </c>
    </row>
    <row r="306" spans="1:67" ht="105" x14ac:dyDescent="0.25">
      <c r="A306" s="3">
        <v>2146189810</v>
      </c>
      <c r="B306" s="4">
        <v>42780</v>
      </c>
      <c r="C306" s="3">
        <v>2146189811</v>
      </c>
      <c r="D306" s="3">
        <v>2146189816</v>
      </c>
      <c r="G306" s="3">
        <v>2146189797</v>
      </c>
      <c r="H306" s="5" t="s">
        <v>67</v>
      </c>
      <c r="I306" s="3" t="b">
        <v>0</v>
      </c>
      <c r="J306" s="3" t="b">
        <v>0</v>
      </c>
      <c r="K306" s="3" t="b">
        <v>0</v>
      </c>
      <c r="L306" s="3" t="b">
        <v>1</v>
      </c>
      <c r="M306" s="3" t="b">
        <v>0</v>
      </c>
      <c r="N306" s="3" t="b">
        <v>0</v>
      </c>
      <c r="O306" s="3" t="b">
        <v>0</v>
      </c>
      <c r="P306" s="3" t="b">
        <v>1</v>
      </c>
      <c r="Q306" s="3" t="b">
        <v>0</v>
      </c>
      <c r="R306" s="3" t="s">
        <v>2851</v>
      </c>
      <c r="S306" s="5" t="s">
        <v>2852</v>
      </c>
      <c r="T306" s="3" t="b">
        <v>0</v>
      </c>
      <c r="U306" s="3" t="b">
        <v>0</v>
      </c>
      <c r="V306" s="5" t="s">
        <v>2853</v>
      </c>
      <c r="W306" s="5" t="s">
        <v>67</v>
      </c>
      <c r="X306" s="3" t="b">
        <v>0</v>
      </c>
      <c r="Y306" s="3" t="b">
        <v>0</v>
      </c>
      <c r="Z306" s="3" t="b">
        <v>0</v>
      </c>
      <c r="AA306" s="3" t="b">
        <v>0</v>
      </c>
      <c r="AB306" s="5" t="s">
        <v>2854</v>
      </c>
      <c r="AC306" s="5" t="s">
        <v>2855</v>
      </c>
      <c r="AD306" s="5" t="s">
        <v>2856</v>
      </c>
      <c r="AE306" s="5" t="s">
        <v>2857</v>
      </c>
      <c r="AF306" s="5" t="s">
        <v>2858</v>
      </c>
      <c r="AG306" s="5" t="s">
        <v>2859</v>
      </c>
      <c r="AH306" s="5" t="s">
        <v>2860</v>
      </c>
      <c r="AI306" s="5" t="s">
        <v>2861</v>
      </c>
      <c r="AJ306" s="5" t="s">
        <v>67</v>
      </c>
      <c r="AK306" s="5" t="s">
        <v>67</v>
      </c>
      <c r="AL306" s="5" t="s">
        <v>67</v>
      </c>
      <c r="AM306" s="5" t="s">
        <v>2862</v>
      </c>
      <c r="AN306" s="5" t="s">
        <v>2863</v>
      </c>
      <c r="AO306" s="5" t="s">
        <v>67</v>
      </c>
      <c r="AP306" s="5" t="s">
        <v>2864</v>
      </c>
      <c r="AQ306" s="5" t="s">
        <v>67</v>
      </c>
      <c r="AR306" s="5" t="s">
        <v>67</v>
      </c>
      <c r="AS306" s="3">
        <v>2146189572</v>
      </c>
      <c r="AT306" s="3">
        <v>1001521379</v>
      </c>
      <c r="AW306" s="5" t="s">
        <v>67</v>
      </c>
      <c r="AX306" s="5" t="s">
        <v>67</v>
      </c>
      <c r="AY306" s="5" t="s">
        <v>67</v>
      </c>
      <c r="AZ306" s="5" t="s">
        <v>67</v>
      </c>
      <c r="BA306" s="3">
        <v>2146189817</v>
      </c>
      <c r="BB306" s="3">
        <v>2146189102</v>
      </c>
      <c r="BC306" s="3">
        <v>2146189849</v>
      </c>
      <c r="BD306" s="3">
        <v>2146188974</v>
      </c>
      <c r="BE306" s="3">
        <v>2146188974</v>
      </c>
      <c r="BF306" s="5" t="s">
        <v>1892</v>
      </c>
      <c r="BG306" s="5" t="s">
        <v>2865</v>
      </c>
      <c r="BH306" s="5" t="s">
        <v>67</v>
      </c>
      <c r="BI306" s="5" t="s">
        <v>210</v>
      </c>
      <c r="BJ306" s="5" t="s">
        <v>67</v>
      </c>
      <c r="BK306" s="5" t="s">
        <v>2866</v>
      </c>
      <c r="BL306" s="5" t="s">
        <v>2867</v>
      </c>
      <c r="BM306" s="5" t="s">
        <v>67</v>
      </c>
      <c r="BN306" s="5" t="s">
        <v>67</v>
      </c>
      <c r="BO306" s="5" t="s">
        <v>67</v>
      </c>
    </row>
    <row r="307" spans="1:67" ht="105" x14ac:dyDescent="0.25">
      <c r="A307" s="3">
        <v>2146189816</v>
      </c>
      <c r="B307" s="4">
        <v>42552.395567129599</v>
      </c>
      <c r="C307" s="3">
        <v>2146189811</v>
      </c>
      <c r="D307" s="3">
        <v>2146189816</v>
      </c>
      <c r="G307" s="3">
        <v>2146189811</v>
      </c>
      <c r="H307" s="5" t="s">
        <v>67</v>
      </c>
      <c r="I307" s="3" t="b">
        <v>0</v>
      </c>
      <c r="J307" s="3" t="b">
        <v>0</v>
      </c>
      <c r="K307" s="3" t="b">
        <v>0</v>
      </c>
      <c r="L307" s="3" t="b">
        <v>1</v>
      </c>
      <c r="M307" s="3" t="b">
        <v>0</v>
      </c>
      <c r="N307" s="3" t="b">
        <v>0</v>
      </c>
      <c r="O307" s="3" t="b">
        <v>0</v>
      </c>
      <c r="P307" s="3" t="b">
        <v>1</v>
      </c>
      <c r="Q307" s="3" t="b">
        <v>0</v>
      </c>
      <c r="R307" s="3" t="s">
        <v>2868</v>
      </c>
      <c r="S307" s="5" t="s">
        <v>2852</v>
      </c>
      <c r="T307" s="3" t="b">
        <v>0</v>
      </c>
      <c r="U307" s="3" t="b">
        <v>0</v>
      </c>
      <c r="V307" s="5" t="s">
        <v>2869</v>
      </c>
      <c r="W307" s="5" t="s">
        <v>67</v>
      </c>
      <c r="X307" s="3" t="b">
        <v>0</v>
      </c>
      <c r="Y307" s="3" t="b">
        <v>0</v>
      </c>
      <c r="Z307" s="3" t="b">
        <v>0</v>
      </c>
      <c r="AA307" s="3" t="b">
        <v>0</v>
      </c>
      <c r="AB307" s="5" t="s">
        <v>2854</v>
      </c>
      <c r="AC307" s="5" t="s">
        <v>2870</v>
      </c>
      <c r="AD307" s="5" t="s">
        <v>2871</v>
      </c>
      <c r="AE307" s="5" t="s">
        <v>2857</v>
      </c>
      <c r="AF307" s="5" t="s">
        <v>2872</v>
      </c>
      <c r="AG307" s="5" t="s">
        <v>2873</v>
      </c>
      <c r="AH307" s="5" t="s">
        <v>67</v>
      </c>
      <c r="AI307" s="5" t="s">
        <v>67</v>
      </c>
      <c r="AJ307" s="5" t="s">
        <v>67</v>
      </c>
      <c r="AK307" s="5" t="s">
        <v>67</v>
      </c>
      <c r="AL307" s="5" t="s">
        <v>67</v>
      </c>
      <c r="AM307" s="5" t="s">
        <v>67</v>
      </c>
      <c r="AN307" s="5" t="s">
        <v>67</v>
      </c>
      <c r="AO307" s="5" t="s">
        <v>67</v>
      </c>
      <c r="AP307" s="5" t="s">
        <v>67</v>
      </c>
      <c r="AQ307" s="5" t="s">
        <v>67</v>
      </c>
      <c r="AR307" s="5" t="s">
        <v>67</v>
      </c>
      <c r="AW307" s="5" t="s">
        <v>67</v>
      </c>
      <c r="AX307" s="5" t="s">
        <v>67</v>
      </c>
      <c r="AY307" s="5" t="s">
        <v>67</v>
      </c>
      <c r="AZ307" s="5" t="s">
        <v>67</v>
      </c>
      <c r="BF307" s="5" t="s">
        <v>67</v>
      </c>
      <c r="BG307" s="5" t="s">
        <v>67</v>
      </c>
      <c r="BH307" s="5" t="s">
        <v>67</v>
      </c>
      <c r="BI307" s="5" t="s">
        <v>67</v>
      </c>
      <c r="BJ307" s="5" t="s">
        <v>67</v>
      </c>
      <c r="BK307" s="5" t="s">
        <v>67</v>
      </c>
      <c r="BL307" s="5" t="s">
        <v>67</v>
      </c>
      <c r="BM307" s="5" t="s">
        <v>67</v>
      </c>
      <c r="BN307" s="5" t="s">
        <v>67</v>
      </c>
      <c r="BO307" s="5" t="s">
        <v>67</v>
      </c>
    </row>
    <row r="308" spans="1:67" ht="120" x14ac:dyDescent="0.25">
      <c r="A308" s="3">
        <v>2146189819</v>
      </c>
      <c r="B308" s="4">
        <v>42915</v>
      </c>
      <c r="C308" s="3">
        <v>2146189809</v>
      </c>
      <c r="F308" s="3">
        <v>2146189827</v>
      </c>
      <c r="G308" s="3">
        <v>2146189809</v>
      </c>
      <c r="H308" s="5" t="s">
        <v>67</v>
      </c>
      <c r="I308" s="3" t="b">
        <v>0</v>
      </c>
      <c r="J308" s="3" t="b">
        <v>0</v>
      </c>
      <c r="K308" s="3" t="b">
        <v>0</v>
      </c>
      <c r="L308" s="3" t="b">
        <v>1</v>
      </c>
      <c r="M308" s="3" t="b">
        <v>1</v>
      </c>
      <c r="N308" s="3" t="b">
        <v>0</v>
      </c>
      <c r="O308" s="3" t="b">
        <v>0</v>
      </c>
      <c r="P308" s="3" t="b">
        <v>0</v>
      </c>
      <c r="Q308" s="3" t="b">
        <v>0</v>
      </c>
      <c r="R308" s="3" t="s">
        <v>67</v>
      </c>
      <c r="S308" s="5" t="s">
        <v>2874</v>
      </c>
      <c r="T308" s="3" t="b">
        <v>0</v>
      </c>
      <c r="U308" s="3" t="b">
        <v>1</v>
      </c>
      <c r="V308" s="5" t="s">
        <v>2875</v>
      </c>
      <c r="W308" s="5" t="s">
        <v>67</v>
      </c>
      <c r="X308" s="3" t="b">
        <v>0</v>
      </c>
      <c r="Y308" s="3" t="b">
        <v>0</v>
      </c>
      <c r="Z308" s="3" t="b">
        <v>0</v>
      </c>
      <c r="AA308" s="3" t="b">
        <v>0</v>
      </c>
      <c r="AB308" s="5" t="s">
        <v>2876</v>
      </c>
      <c r="AC308" s="5" t="s">
        <v>380</v>
      </c>
      <c r="AD308" s="5" t="s">
        <v>380</v>
      </c>
      <c r="AE308" s="5" t="s">
        <v>2877</v>
      </c>
      <c r="AF308" s="5" t="s">
        <v>2878</v>
      </c>
      <c r="AG308" s="5" t="s">
        <v>380</v>
      </c>
      <c r="AH308" s="5" t="s">
        <v>67</v>
      </c>
      <c r="AI308" s="5" t="s">
        <v>2879</v>
      </c>
      <c r="AJ308" s="5" t="s">
        <v>380</v>
      </c>
      <c r="AK308" s="5" t="s">
        <v>380</v>
      </c>
      <c r="AL308" s="5" t="s">
        <v>380</v>
      </c>
      <c r="AM308" s="5" t="s">
        <v>67</v>
      </c>
      <c r="AN308" s="5" t="s">
        <v>2880</v>
      </c>
      <c r="AO308" s="5" t="s">
        <v>213</v>
      </c>
      <c r="AP308" s="5" t="s">
        <v>380</v>
      </c>
      <c r="AQ308" s="5" t="s">
        <v>380</v>
      </c>
      <c r="AR308" s="5" t="s">
        <v>67</v>
      </c>
      <c r="AS308" s="3">
        <v>2146189821</v>
      </c>
      <c r="AW308" s="5" t="s">
        <v>67</v>
      </c>
      <c r="AX308" s="5" t="s">
        <v>67</v>
      </c>
      <c r="AY308" s="5" t="s">
        <v>67</v>
      </c>
      <c r="AZ308" s="5" t="s">
        <v>67</v>
      </c>
      <c r="BA308" s="3">
        <v>2146189703</v>
      </c>
      <c r="BB308" s="3">
        <v>2146189820</v>
      </c>
      <c r="BD308" s="3">
        <v>2146189801</v>
      </c>
      <c r="BE308" s="3">
        <v>2146189801</v>
      </c>
      <c r="BF308" s="5" t="s">
        <v>2881</v>
      </c>
      <c r="BG308" s="5" t="s">
        <v>2882</v>
      </c>
      <c r="BH308" s="5" t="s">
        <v>67</v>
      </c>
      <c r="BI308" s="5" t="s">
        <v>210</v>
      </c>
      <c r="BJ308" s="5" t="s">
        <v>380</v>
      </c>
      <c r="BK308" s="5" t="s">
        <v>2883</v>
      </c>
      <c r="BL308" s="5" t="s">
        <v>2884</v>
      </c>
      <c r="BM308" s="5" t="s">
        <v>380</v>
      </c>
      <c r="BN308" s="5" t="s">
        <v>67</v>
      </c>
      <c r="BO308" s="5" t="s">
        <v>67</v>
      </c>
    </row>
    <row r="309" spans="1:67" ht="135" x14ac:dyDescent="0.25">
      <c r="A309" s="3">
        <v>2146189843</v>
      </c>
      <c r="B309" s="4">
        <v>42843</v>
      </c>
      <c r="C309" s="3">
        <v>2146189844</v>
      </c>
      <c r="G309" s="3">
        <v>2146189844</v>
      </c>
      <c r="H309" s="5" t="s">
        <v>67</v>
      </c>
      <c r="I309" s="3" t="b">
        <v>0</v>
      </c>
      <c r="J309" s="3" t="b">
        <v>0</v>
      </c>
      <c r="K309" s="3" t="b">
        <v>0</v>
      </c>
      <c r="L309" s="3" t="b">
        <v>1</v>
      </c>
      <c r="M309" s="3" t="b">
        <v>1</v>
      </c>
      <c r="N309" s="3" t="b">
        <v>0</v>
      </c>
      <c r="O309" s="3" t="b">
        <v>0</v>
      </c>
      <c r="P309" s="3" t="b">
        <v>0</v>
      </c>
      <c r="Q309" s="3" t="b">
        <v>0</v>
      </c>
      <c r="R309" s="3" t="s">
        <v>67</v>
      </c>
      <c r="S309" s="5" t="s">
        <v>2885</v>
      </c>
      <c r="T309" s="3" t="b">
        <v>1</v>
      </c>
      <c r="U309" s="3" t="b">
        <v>0</v>
      </c>
      <c r="V309" s="5" t="s">
        <v>2886</v>
      </c>
      <c r="W309" s="5" t="s">
        <v>67</v>
      </c>
      <c r="X309" s="3" t="b">
        <v>0</v>
      </c>
      <c r="Y309" s="3" t="b">
        <v>0</v>
      </c>
      <c r="Z309" s="3" t="b">
        <v>0</v>
      </c>
      <c r="AA309" s="3" t="b">
        <v>0</v>
      </c>
      <c r="AB309" s="5" t="s">
        <v>67</v>
      </c>
      <c r="AC309" s="5" t="s">
        <v>67</v>
      </c>
      <c r="AD309" s="5" t="s">
        <v>67</v>
      </c>
      <c r="AE309" s="5" t="s">
        <v>67</v>
      </c>
      <c r="AF309" s="5" t="s">
        <v>2887</v>
      </c>
      <c r="AG309" s="5" t="s">
        <v>67</v>
      </c>
      <c r="AH309" s="5" t="s">
        <v>67</v>
      </c>
      <c r="AI309" s="5" t="s">
        <v>67</v>
      </c>
      <c r="AJ309" s="5" t="s">
        <v>67</v>
      </c>
      <c r="AK309" s="5" t="s">
        <v>67</v>
      </c>
      <c r="AL309" s="5" t="s">
        <v>2888</v>
      </c>
      <c r="AM309" s="5" t="s">
        <v>67</v>
      </c>
      <c r="AN309" s="5" t="s">
        <v>2889</v>
      </c>
      <c r="AO309" s="5" t="s">
        <v>67</v>
      </c>
      <c r="AP309" s="5" t="s">
        <v>67</v>
      </c>
      <c r="AQ309" s="5" t="s">
        <v>67</v>
      </c>
      <c r="AR309" s="5" t="s">
        <v>67</v>
      </c>
      <c r="AS309" s="3">
        <v>2146189572</v>
      </c>
      <c r="AW309" s="5" t="s">
        <v>67</v>
      </c>
      <c r="AX309" s="5" t="s">
        <v>67</v>
      </c>
      <c r="AY309" s="5" t="s">
        <v>67</v>
      </c>
      <c r="AZ309" s="5" t="s">
        <v>67</v>
      </c>
      <c r="BD309" s="3">
        <v>2146188974</v>
      </c>
      <c r="BF309" s="5" t="s">
        <v>67</v>
      </c>
      <c r="BG309" s="5" t="s">
        <v>2890</v>
      </c>
      <c r="BH309" s="5" t="s">
        <v>67</v>
      </c>
      <c r="BI309" s="5" t="s">
        <v>67</v>
      </c>
      <c r="BJ309" s="5" t="s">
        <v>67</v>
      </c>
      <c r="BK309" s="5" t="s">
        <v>67</v>
      </c>
      <c r="BL309" s="5" t="s">
        <v>2891</v>
      </c>
      <c r="BM309" s="5" t="s">
        <v>67</v>
      </c>
      <c r="BN309" s="5" t="s">
        <v>67</v>
      </c>
      <c r="BO309" s="5" t="s">
        <v>67</v>
      </c>
    </row>
    <row r="310" spans="1:67" ht="150" x14ac:dyDescent="0.25">
      <c r="A310" s="3">
        <v>2146189852</v>
      </c>
      <c r="B310" s="4">
        <v>42863</v>
      </c>
      <c r="C310" s="3">
        <v>2146189853</v>
      </c>
      <c r="E310" s="3">
        <v>2146189853</v>
      </c>
      <c r="F310" s="3">
        <v>1424</v>
      </c>
      <c r="G310" s="3">
        <v>2146189853</v>
      </c>
      <c r="H310" s="5" t="s">
        <v>2892</v>
      </c>
      <c r="I310" s="3" t="b">
        <v>0</v>
      </c>
      <c r="J310" s="3" t="b">
        <v>0</v>
      </c>
      <c r="K310" s="3" t="b">
        <v>0</v>
      </c>
      <c r="L310" s="3" t="b">
        <v>1</v>
      </c>
      <c r="M310" s="3" t="b">
        <v>1</v>
      </c>
      <c r="N310" s="3" t="b">
        <v>0</v>
      </c>
      <c r="O310" s="3" t="b">
        <v>0</v>
      </c>
      <c r="P310" s="3" t="b">
        <v>0</v>
      </c>
      <c r="Q310" s="3" t="b">
        <v>0</v>
      </c>
      <c r="R310" s="3" t="s">
        <v>67</v>
      </c>
      <c r="S310" s="5" t="s">
        <v>67</v>
      </c>
      <c r="T310" s="3" t="b">
        <v>0</v>
      </c>
      <c r="U310" s="3" t="b">
        <v>0</v>
      </c>
      <c r="V310" s="5" t="s">
        <v>2893</v>
      </c>
      <c r="W310" s="5" t="s">
        <v>67</v>
      </c>
      <c r="X310" s="3" t="b">
        <v>0</v>
      </c>
      <c r="Y310" s="3" t="b">
        <v>0</v>
      </c>
      <c r="Z310" s="3" t="b">
        <v>0</v>
      </c>
      <c r="AA310" s="3" t="b">
        <v>0</v>
      </c>
      <c r="AB310" s="5" t="s">
        <v>2894</v>
      </c>
      <c r="AC310" s="5" t="s">
        <v>67</v>
      </c>
      <c r="AD310" s="5" t="s">
        <v>2895</v>
      </c>
      <c r="AE310" s="5" t="s">
        <v>67</v>
      </c>
      <c r="AF310" s="5" t="s">
        <v>2896</v>
      </c>
      <c r="AG310" s="5" t="s">
        <v>2897</v>
      </c>
      <c r="AH310" s="5" t="s">
        <v>2898</v>
      </c>
      <c r="AI310" s="5" t="s">
        <v>2899</v>
      </c>
      <c r="AJ310" s="5" t="s">
        <v>67</v>
      </c>
      <c r="AK310" s="5" t="s">
        <v>67</v>
      </c>
      <c r="AL310" s="5" t="s">
        <v>67</v>
      </c>
      <c r="AM310" s="5" t="s">
        <v>2900</v>
      </c>
      <c r="AN310" s="5" t="s">
        <v>2901</v>
      </c>
      <c r="AO310" s="5" t="s">
        <v>67</v>
      </c>
      <c r="AP310" s="5" t="s">
        <v>503</v>
      </c>
      <c r="AQ310" s="5" t="s">
        <v>503</v>
      </c>
      <c r="AR310" s="5" t="s">
        <v>67</v>
      </c>
      <c r="AS310" s="3">
        <v>2146189887</v>
      </c>
      <c r="AT310" s="3">
        <v>2146189878</v>
      </c>
      <c r="AU310" s="3">
        <v>2146189903</v>
      </c>
      <c r="AW310" s="5" t="s">
        <v>67</v>
      </c>
      <c r="AX310" s="5" t="s">
        <v>67</v>
      </c>
      <c r="AY310" s="5" t="s">
        <v>67</v>
      </c>
      <c r="AZ310" s="5" t="s">
        <v>67</v>
      </c>
      <c r="BA310" s="3">
        <v>2146189868</v>
      </c>
      <c r="BD310" s="3">
        <v>2146188976</v>
      </c>
      <c r="BE310" s="3">
        <v>2146188976</v>
      </c>
      <c r="BF310" s="5" t="s">
        <v>2902</v>
      </c>
      <c r="BG310" s="5" t="s">
        <v>2903</v>
      </c>
      <c r="BH310" s="5" t="s">
        <v>2904</v>
      </c>
      <c r="BI310" s="5" t="s">
        <v>74</v>
      </c>
      <c r="BJ310" s="5" t="s">
        <v>67</v>
      </c>
      <c r="BK310" s="5" t="s">
        <v>2064</v>
      </c>
      <c r="BL310" s="5" t="s">
        <v>2905</v>
      </c>
      <c r="BM310" s="5" t="s">
        <v>67</v>
      </c>
      <c r="BN310" s="5" t="s">
        <v>67</v>
      </c>
      <c r="BO310" s="5" t="s">
        <v>67</v>
      </c>
    </row>
    <row r="311" spans="1:67" ht="180" x14ac:dyDescent="0.25">
      <c r="A311" s="3">
        <v>2146189856</v>
      </c>
      <c r="B311" s="4">
        <v>42776</v>
      </c>
      <c r="C311" s="3">
        <v>2146189583</v>
      </c>
      <c r="G311" s="3">
        <v>2146189583</v>
      </c>
      <c r="H311" s="5" t="s">
        <v>67</v>
      </c>
      <c r="I311" s="3" t="b">
        <v>0</v>
      </c>
      <c r="J311" s="3" t="b">
        <v>0</v>
      </c>
      <c r="K311" s="3" t="b">
        <v>0</v>
      </c>
      <c r="L311" s="3" t="b">
        <v>1</v>
      </c>
      <c r="M311" s="3" t="b">
        <v>1</v>
      </c>
      <c r="N311" s="3" t="b">
        <v>0</v>
      </c>
      <c r="O311" s="3" t="b">
        <v>0</v>
      </c>
      <c r="P311" s="3" t="b">
        <v>0</v>
      </c>
      <c r="Q311" s="3" t="b">
        <v>0</v>
      </c>
      <c r="R311" s="3" t="s">
        <v>2906</v>
      </c>
      <c r="S311" s="5" t="s">
        <v>2907</v>
      </c>
      <c r="T311" s="3" t="b">
        <v>0</v>
      </c>
      <c r="U311" s="3" t="b">
        <v>1</v>
      </c>
      <c r="V311" s="5" t="s">
        <v>2908</v>
      </c>
      <c r="W311" s="5" t="s">
        <v>2909</v>
      </c>
      <c r="X311" s="3" t="b">
        <v>1</v>
      </c>
      <c r="Y311" s="3" t="b">
        <v>0</v>
      </c>
      <c r="Z311" s="3" t="b">
        <v>0</v>
      </c>
      <c r="AA311" s="3" t="b">
        <v>1</v>
      </c>
      <c r="AB311" s="5" t="s">
        <v>2910</v>
      </c>
      <c r="AC311" s="5" t="s">
        <v>2911</v>
      </c>
      <c r="AD311" s="5" t="s">
        <v>2912</v>
      </c>
      <c r="AE311" s="5" t="s">
        <v>2913</v>
      </c>
      <c r="AF311" s="5" t="s">
        <v>2914</v>
      </c>
      <c r="AG311" s="5" t="s">
        <v>2915</v>
      </c>
      <c r="AH311" s="5" t="s">
        <v>2916</v>
      </c>
      <c r="AI311" s="5" t="s">
        <v>2917</v>
      </c>
      <c r="AJ311" s="5" t="s">
        <v>2918</v>
      </c>
      <c r="AK311" s="5" t="s">
        <v>2919</v>
      </c>
      <c r="AL311" s="5" t="s">
        <v>67</v>
      </c>
      <c r="AM311" s="5" t="s">
        <v>2920</v>
      </c>
      <c r="AN311" s="5" t="s">
        <v>2921</v>
      </c>
      <c r="AO311" s="5" t="s">
        <v>2918</v>
      </c>
      <c r="AP311" s="5" t="s">
        <v>2922</v>
      </c>
      <c r="AQ311" s="5" t="s">
        <v>67</v>
      </c>
      <c r="AR311" s="5" t="s">
        <v>67</v>
      </c>
      <c r="AW311" s="5" t="s">
        <v>67</v>
      </c>
      <c r="AX311" s="5" t="s">
        <v>67</v>
      </c>
      <c r="AY311" s="5" t="s">
        <v>67</v>
      </c>
      <c r="AZ311" s="5" t="s">
        <v>67</v>
      </c>
      <c r="BA311" s="3">
        <v>2146188990</v>
      </c>
      <c r="BB311" s="3">
        <v>2146189585</v>
      </c>
      <c r="BD311" s="3">
        <v>2146188969</v>
      </c>
      <c r="BF311" s="5" t="s">
        <v>67</v>
      </c>
      <c r="BG311" s="5" t="s">
        <v>2923</v>
      </c>
      <c r="BH311" s="5" t="s">
        <v>2924</v>
      </c>
      <c r="BI311" s="5" t="s">
        <v>74</v>
      </c>
      <c r="BJ311" s="5" t="s">
        <v>67</v>
      </c>
      <c r="BK311" s="5" t="s">
        <v>2925</v>
      </c>
      <c r="BL311" s="5" t="s">
        <v>2926</v>
      </c>
      <c r="BM311" s="5" t="s">
        <v>67</v>
      </c>
      <c r="BN311" s="5" t="s">
        <v>67</v>
      </c>
      <c r="BO311" s="5" t="s">
        <v>67</v>
      </c>
    </row>
    <row r="312" spans="1:67" ht="240" x14ac:dyDescent="0.25">
      <c r="A312" s="3">
        <v>2146189869</v>
      </c>
      <c r="B312" s="4">
        <v>43018</v>
      </c>
      <c r="C312" s="3">
        <v>2146189871</v>
      </c>
      <c r="E312" s="3">
        <v>2146189871</v>
      </c>
      <c r="F312" s="3">
        <v>1424</v>
      </c>
      <c r="G312" s="3">
        <v>1424</v>
      </c>
      <c r="H312" s="5" t="s">
        <v>2927</v>
      </c>
      <c r="I312" s="3" t="b">
        <v>0</v>
      </c>
      <c r="J312" s="3" t="b">
        <v>0</v>
      </c>
      <c r="K312" s="3" t="b">
        <v>0</v>
      </c>
      <c r="L312" s="3" t="b">
        <v>1</v>
      </c>
      <c r="M312" s="3" t="b">
        <v>0</v>
      </c>
      <c r="N312" s="3" t="b">
        <v>1</v>
      </c>
      <c r="O312" s="3" t="b">
        <v>0</v>
      </c>
      <c r="P312" s="3" t="b">
        <v>1</v>
      </c>
      <c r="Q312" s="3" t="b">
        <v>0</v>
      </c>
      <c r="R312" s="3" t="s">
        <v>2928</v>
      </c>
      <c r="S312" s="5" t="s">
        <v>2929</v>
      </c>
      <c r="T312" s="3" t="b">
        <v>1</v>
      </c>
      <c r="U312" s="3" t="b">
        <v>0</v>
      </c>
      <c r="V312" s="5" t="s">
        <v>2930</v>
      </c>
      <c r="W312" s="5" t="s">
        <v>2931</v>
      </c>
      <c r="X312" s="3" t="b">
        <v>0</v>
      </c>
      <c r="Y312" s="3" t="b">
        <v>0</v>
      </c>
      <c r="Z312" s="3" t="b">
        <v>0</v>
      </c>
      <c r="AA312" s="3" t="b">
        <v>0</v>
      </c>
      <c r="AB312" s="5" t="s">
        <v>2932</v>
      </c>
      <c r="AC312" s="5" t="s">
        <v>2933</v>
      </c>
      <c r="AD312" s="5" t="s">
        <v>2934</v>
      </c>
      <c r="AE312" s="5" t="s">
        <v>67</v>
      </c>
      <c r="AF312" s="5" t="s">
        <v>2935</v>
      </c>
      <c r="AG312" s="5" t="s">
        <v>67</v>
      </c>
      <c r="AH312" s="5" t="s">
        <v>2936</v>
      </c>
      <c r="AI312" s="5" t="s">
        <v>2937</v>
      </c>
      <c r="AJ312" s="5" t="s">
        <v>2938</v>
      </c>
      <c r="AK312" s="5" t="s">
        <v>2939</v>
      </c>
      <c r="AL312" s="5" t="s">
        <v>67</v>
      </c>
      <c r="AM312" s="5" t="s">
        <v>2940</v>
      </c>
      <c r="AN312" s="5" t="s">
        <v>2941</v>
      </c>
      <c r="AO312" s="5" t="s">
        <v>67</v>
      </c>
      <c r="AP312" s="5" t="s">
        <v>2942</v>
      </c>
      <c r="AQ312" s="5" t="s">
        <v>503</v>
      </c>
      <c r="AR312" s="5" t="s">
        <v>67</v>
      </c>
      <c r="AW312" s="5" t="s">
        <v>67</v>
      </c>
      <c r="AX312" s="5" t="s">
        <v>67</v>
      </c>
      <c r="AY312" s="5" t="s">
        <v>67</v>
      </c>
      <c r="AZ312" s="5" t="s">
        <v>67</v>
      </c>
      <c r="BA312" s="3">
        <v>2146189786</v>
      </c>
      <c r="BD312" s="3">
        <v>2146188969</v>
      </c>
      <c r="BE312" s="3">
        <v>2146188969</v>
      </c>
      <c r="BF312" s="5" t="s">
        <v>67</v>
      </c>
      <c r="BG312" s="5" t="s">
        <v>97</v>
      </c>
      <c r="BH312" s="5" t="s">
        <v>2943</v>
      </c>
      <c r="BI312" s="5" t="s">
        <v>74</v>
      </c>
      <c r="BJ312" s="5" t="s">
        <v>67</v>
      </c>
      <c r="BK312" s="5" t="s">
        <v>2944</v>
      </c>
      <c r="BL312" s="5" t="s">
        <v>2945</v>
      </c>
      <c r="BM312" s="5" t="s">
        <v>67</v>
      </c>
      <c r="BN312" s="5" t="s">
        <v>67</v>
      </c>
      <c r="BO312" s="5" t="s">
        <v>2946</v>
      </c>
    </row>
    <row r="313" spans="1:67" x14ac:dyDescent="0.25">
      <c r="A313" s="3">
        <v>2146189874</v>
      </c>
      <c r="B313" s="4">
        <v>42843</v>
      </c>
      <c r="H313" s="5" t="s">
        <v>67</v>
      </c>
      <c r="I313" s="3" t="b">
        <v>0</v>
      </c>
      <c r="J313" s="3" t="b">
        <v>0</v>
      </c>
      <c r="K313" s="3" t="b">
        <v>0</v>
      </c>
      <c r="L313" s="3" t="b">
        <v>0</v>
      </c>
      <c r="M313" s="3" t="b">
        <v>0</v>
      </c>
      <c r="N313" s="3" t="b">
        <v>0</v>
      </c>
      <c r="O313" s="3" t="b">
        <v>0</v>
      </c>
      <c r="P313" s="3" t="b">
        <v>0</v>
      </c>
      <c r="Q313" s="3" t="b">
        <v>0</v>
      </c>
      <c r="R313" s="3" t="s">
        <v>67</v>
      </c>
      <c r="S313" s="5" t="s">
        <v>67</v>
      </c>
      <c r="T313" s="3" t="b">
        <v>0</v>
      </c>
      <c r="U313" s="3" t="b">
        <v>0</v>
      </c>
      <c r="V313" s="5" t="s">
        <v>67</v>
      </c>
      <c r="W313" s="5" t="s">
        <v>67</v>
      </c>
      <c r="X313" s="3" t="b">
        <v>0</v>
      </c>
      <c r="Y313" s="3" t="b">
        <v>0</v>
      </c>
      <c r="Z313" s="3" t="b">
        <v>0</v>
      </c>
      <c r="AA313" s="3" t="b">
        <v>0</v>
      </c>
      <c r="AB313" s="5" t="s">
        <v>67</v>
      </c>
      <c r="AC313" s="5" t="s">
        <v>67</v>
      </c>
      <c r="AD313" s="5" t="s">
        <v>67</v>
      </c>
      <c r="AE313" s="5" t="s">
        <v>67</v>
      </c>
      <c r="AF313" s="5" t="s">
        <v>67</v>
      </c>
      <c r="AG313" s="5" t="s">
        <v>67</v>
      </c>
      <c r="AH313" s="5" t="s">
        <v>67</v>
      </c>
      <c r="AI313" s="5" t="s">
        <v>67</v>
      </c>
      <c r="AJ313" s="5" t="s">
        <v>67</v>
      </c>
      <c r="AK313" s="5" t="s">
        <v>67</v>
      </c>
      <c r="AL313" s="5" t="s">
        <v>67</v>
      </c>
      <c r="AM313" s="5" t="s">
        <v>67</v>
      </c>
      <c r="AN313" s="5" t="s">
        <v>67</v>
      </c>
      <c r="AO313" s="5" t="s">
        <v>67</v>
      </c>
      <c r="AP313" s="5" t="s">
        <v>67</v>
      </c>
      <c r="AQ313" s="5" t="s">
        <v>67</v>
      </c>
      <c r="AR313" s="5" t="s">
        <v>67</v>
      </c>
      <c r="AS313" s="3">
        <v>2146189790</v>
      </c>
      <c r="AT313" s="3">
        <v>2146189588</v>
      </c>
      <c r="AU313" s="3">
        <v>2146189228</v>
      </c>
      <c r="AW313" s="5" t="s">
        <v>67</v>
      </c>
      <c r="AX313" s="5" t="s">
        <v>67</v>
      </c>
      <c r="AY313" s="5" t="s">
        <v>67</v>
      </c>
      <c r="AZ313" s="5" t="s">
        <v>67</v>
      </c>
      <c r="BF313" s="5" t="s">
        <v>67</v>
      </c>
      <c r="BG313" s="5" t="s">
        <v>2947</v>
      </c>
      <c r="BH313" s="5" t="s">
        <v>67</v>
      </c>
      <c r="BI313" s="5" t="s">
        <v>67</v>
      </c>
      <c r="BJ313" s="5" t="s">
        <v>67</v>
      </c>
      <c r="BK313" s="5" t="s">
        <v>67</v>
      </c>
      <c r="BL313" s="5" t="s">
        <v>67</v>
      </c>
      <c r="BM313" s="5" t="s">
        <v>67</v>
      </c>
      <c r="BN313" s="5" t="s">
        <v>67</v>
      </c>
      <c r="BO313" s="5" t="s">
        <v>67</v>
      </c>
    </row>
    <row r="314" spans="1:67" x14ac:dyDescent="0.25">
      <c r="A314" s="3">
        <v>2146189888</v>
      </c>
      <c r="B314" s="4">
        <v>43048</v>
      </c>
      <c r="H314" s="5" t="s">
        <v>67</v>
      </c>
      <c r="I314" s="3" t="b">
        <v>0</v>
      </c>
      <c r="J314" s="3" t="b">
        <v>0</v>
      </c>
      <c r="K314" s="3" t="b">
        <v>0</v>
      </c>
      <c r="L314" s="3" t="b">
        <v>0</v>
      </c>
      <c r="M314" s="3" t="b">
        <v>0</v>
      </c>
      <c r="N314" s="3" t="b">
        <v>0</v>
      </c>
      <c r="O314" s="3" t="b">
        <v>0</v>
      </c>
      <c r="P314" s="3" t="b">
        <v>0</v>
      </c>
      <c r="Q314" s="3" t="b">
        <v>0</v>
      </c>
      <c r="R314" s="3" t="s">
        <v>67</v>
      </c>
      <c r="S314" s="5" t="s">
        <v>67</v>
      </c>
      <c r="T314" s="3" t="b">
        <v>0</v>
      </c>
      <c r="U314" s="3" t="b">
        <v>0</v>
      </c>
      <c r="V314" s="5" t="s">
        <v>67</v>
      </c>
      <c r="W314" s="5" t="s">
        <v>67</v>
      </c>
      <c r="X314" s="3" t="b">
        <v>0</v>
      </c>
      <c r="Y314" s="3" t="b">
        <v>0</v>
      </c>
      <c r="Z314" s="3" t="b">
        <v>0</v>
      </c>
      <c r="AA314" s="3" t="b">
        <v>0</v>
      </c>
      <c r="AB314" s="5" t="s">
        <v>67</v>
      </c>
      <c r="AC314" s="5" t="s">
        <v>67</v>
      </c>
      <c r="AD314" s="5" t="s">
        <v>67</v>
      </c>
      <c r="AE314" s="5" t="s">
        <v>67</v>
      </c>
      <c r="AF314" s="5" t="s">
        <v>67</v>
      </c>
      <c r="AG314" s="5" t="s">
        <v>67</v>
      </c>
      <c r="AH314" s="5" t="s">
        <v>67</v>
      </c>
      <c r="AI314" s="5" t="s">
        <v>67</v>
      </c>
      <c r="AJ314" s="5" t="s">
        <v>67</v>
      </c>
      <c r="AK314" s="5" t="s">
        <v>67</v>
      </c>
      <c r="AL314" s="5" t="s">
        <v>67</v>
      </c>
      <c r="AM314" s="5" t="s">
        <v>67</v>
      </c>
      <c r="AN314" s="5" t="s">
        <v>67</v>
      </c>
      <c r="AO314" s="5" t="s">
        <v>67</v>
      </c>
      <c r="AP314" s="5" t="s">
        <v>67</v>
      </c>
      <c r="AQ314" s="5" t="s">
        <v>67</v>
      </c>
      <c r="AR314" s="5" t="s">
        <v>67</v>
      </c>
      <c r="AS314" s="3">
        <v>2146189878</v>
      </c>
      <c r="AW314" s="5" t="s">
        <v>67</v>
      </c>
      <c r="AX314" s="5" t="s">
        <v>67</v>
      </c>
      <c r="AY314" s="5" t="s">
        <v>67</v>
      </c>
      <c r="AZ314" s="5" t="s">
        <v>67</v>
      </c>
      <c r="BF314" s="5" t="s">
        <v>67</v>
      </c>
      <c r="BG314" s="5" t="s">
        <v>67</v>
      </c>
      <c r="BH314" s="5" t="s">
        <v>67</v>
      </c>
      <c r="BI314" s="5" t="s">
        <v>67</v>
      </c>
      <c r="BJ314" s="5" t="s">
        <v>67</v>
      </c>
      <c r="BK314" s="5" t="s">
        <v>67</v>
      </c>
      <c r="BL314" s="5" t="s">
        <v>67</v>
      </c>
      <c r="BM314" s="5" t="s">
        <v>67</v>
      </c>
      <c r="BN314" s="5" t="s">
        <v>2947</v>
      </c>
      <c r="BO314" s="5" t="s">
        <v>67</v>
      </c>
    </row>
    <row r="315" spans="1:67" ht="150" x14ac:dyDescent="0.25">
      <c r="A315" s="3">
        <v>2146189890</v>
      </c>
      <c r="B315" s="4">
        <v>42843</v>
      </c>
      <c r="C315" s="3">
        <v>2146189891</v>
      </c>
      <c r="D315" s="3">
        <v>2146189896</v>
      </c>
      <c r="G315" s="3">
        <v>2146189896</v>
      </c>
      <c r="H315" s="5" t="s">
        <v>67</v>
      </c>
      <c r="I315" s="3" t="b">
        <v>0</v>
      </c>
      <c r="J315" s="3" t="b">
        <v>0</v>
      </c>
      <c r="K315" s="3" t="b">
        <v>0</v>
      </c>
      <c r="L315" s="3" t="b">
        <v>1</v>
      </c>
      <c r="M315" s="3" t="b">
        <v>1</v>
      </c>
      <c r="N315" s="3" t="b">
        <v>0</v>
      </c>
      <c r="O315" s="3" t="b">
        <v>0</v>
      </c>
      <c r="P315" s="3" t="b">
        <v>0</v>
      </c>
      <c r="Q315" s="3" t="b">
        <v>0</v>
      </c>
      <c r="R315" s="3" t="s">
        <v>2948</v>
      </c>
      <c r="S315" s="5" t="s">
        <v>2949</v>
      </c>
      <c r="T315" s="3" t="b">
        <v>0</v>
      </c>
      <c r="U315" s="3" t="b">
        <v>0</v>
      </c>
      <c r="V315" s="5" t="s">
        <v>2950</v>
      </c>
      <c r="W315" s="5" t="s">
        <v>2951</v>
      </c>
      <c r="X315" s="3" t="b">
        <v>0</v>
      </c>
      <c r="Y315" s="3" t="b">
        <v>0</v>
      </c>
      <c r="Z315" s="3" t="b">
        <v>0</v>
      </c>
      <c r="AA315" s="3" t="b">
        <v>0</v>
      </c>
      <c r="AB315" s="5" t="s">
        <v>2952</v>
      </c>
      <c r="AC315" s="5" t="s">
        <v>2953</v>
      </c>
      <c r="AD315" s="5" t="s">
        <v>2954</v>
      </c>
      <c r="AE315" s="5" t="s">
        <v>67</v>
      </c>
      <c r="AF315" s="5" t="s">
        <v>2955</v>
      </c>
      <c r="AG315" s="5" t="s">
        <v>67</v>
      </c>
      <c r="AH315" s="5" t="s">
        <v>2956</v>
      </c>
      <c r="AI315" s="5" t="s">
        <v>2957</v>
      </c>
      <c r="AJ315" s="5" t="s">
        <v>2958</v>
      </c>
      <c r="AK315" s="5" t="s">
        <v>67</v>
      </c>
      <c r="AL315" s="5" t="s">
        <v>67</v>
      </c>
      <c r="AM315" s="5" t="s">
        <v>2959</v>
      </c>
      <c r="AN315" s="5" t="s">
        <v>2960</v>
      </c>
      <c r="AO315" s="5" t="s">
        <v>2961</v>
      </c>
      <c r="AP315" s="5" t="s">
        <v>67</v>
      </c>
      <c r="AQ315" s="5" t="s">
        <v>67</v>
      </c>
      <c r="AR315" s="5" t="s">
        <v>67</v>
      </c>
      <c r="AS315" s="3">
        <v>2146189588</v>
      </c>
      <c r="AT315" s="3">
        <v>2146189228</v>
      </c>
      <c r="AW315" s="5" t="s">
        <v>67</v>
      </c>
      <c r="AX315" s="5" t="s">
        <v>67</v>
      </c>
      <c r="AY315" s="5" t="s">
        <v>67</v>
      </c>
      <c r="AZ315" s="5" t="s">
        <v>67</v>
      </c>
      <c r="BA315" s="3">
        <v>226884306</v>
      </c>
      <c r="BD315" s="3">
        <v>2146188987</v>
      </c>
      <c r="BE315" s="3">
        <v>2146188987</v>
      </c>
      <c r="BF315" s="5" t="s">
        <v>67</v>
      </c>
      <c r="BG315" s="5" t="s">
        <v>2962</v>
      </c>
      <c r="BH315" s="5" t="s">
        <v>2963</v>
      </c>
      <c r="BI315" s="5" t="s">
        <v>210</v>
      </c>
      <c r="BJ315" s="5" t="s">
        <v>663</v>
      </c>
      <c r="BK315" s="5" t="s">
        <v>2964</v>
      </c>
      <c r="BL315" s="5" t="s">
        <v>2965</v>
      </c>
      <c r="BM315" s="5" t="s">
        <v>67</v>
      </c>
      <c r="BN315" s="5" t="s">
        <v>380</v>
      </c>
      <c r="BO315" s="5" t="s">
        <v>380</v>
      </c>
    </row>
    <row r="316" spans="1:67" ht="165" x14ac:dyDescent="0.25">
      <c r="A316" s="3">
        <v>2146189914</v>
      </c>
      <c r="B316" s="4">
        <v>42858</v>
      </c>
      <c r="C316" s="3">
        <v>2146189915</v>
      </c>
      <c r="G316" s="3">
        <v>2146189915</v>
      </c>
      <c r="H316" s="5" t="s">
        <v>67</v>
      </c>
      <c r="I316" s="3" t="b">
        <v>0</v>
      </c>
      <c r="J316" s="3" t="b">
        <v>0</v>
      </c>
      <c r="K316" s="3" t="b">
        <v>0</v>
      </c>
      <c r="L316" s="3" t="b">
        <v>1</v>
      </c>
      <c r="M316" s="3" t="b">
        <v>1</v>
      </c>
      <c r="N316" s="3" t="b">
        <v>1</v>
      </c>
      <c r="O316" s="3" t="b">
        <v>0</v>
      </c>
      <c r="P316" s="3" t="b">
        <v>0</v>
      </c>
      <c r="Q316" s="3" t="b">
        <v>0</v>
      </c>
      <c r="R316" s="3" t="s">
        <v>2966</v>
      </c>
      <c r="S316" s="5" t="s">
        <v>2967</v>
      </c>
      <c r="T316" s="3" t="b">
        <v>0</v>
      </c>
      <c r="U316" s="3" t="b">
        <v>1</v>
      </c>
      <c r="V316" s="5" t="s">
        <v>2968</v>
      </c>
      <c r="W316" s="5" t="s">
        <v>2969</v>
      </c>
      <c r="X316" s="3" t="b">
        <v>0</v>
      </c>
      <c r="Y316" s="3" t="b">
        <v>0</v>
      </c>
      <c r="Z316" s="3" t="b">
        <v>0</v>
      </c>
      <c r="AA316" s="3" t="b">
        <v>0</v>
      </c>
      <c r="AB316" s="5" t="s">
        <v>2970</v>
      </c>
      <c r="AC316" s="5" t="s">
        <v>2971</v>
      </c>
      <c r="AD316" s="5" t="s">
        <v>67</v>
      </c>
      <c r="AE316" s="5" t="s">
        <v>67</v>
      </c>
      <c r="AF316" s="5" t="s">
        <v>2972</v>
      </c>
      <c r="AG316" s="5" t="s">
        <v>2973</v>
      </c>
      <c r="AH316" s="5" t="s">
        <v>2974</v>
      </c>
      <c r="AI316" s="5" t="s">
        <v>2975</v>
      </c>
      <c r="AJ316" s="5" t="s">
        <v>67</v>
      </c>
      <c r="AK316" s="5" t="s">
        <v>2976</v>
      </c>
      <c r="AL316" s="5" t="s">
        <v>67</v>
      </c>
      <c r="AM316" s="5" t="s">
        <v>2977</v>
      </c>
      <c r="AN316" s="5" t="s">
        <v>2978</v>
      </c>
      <c r="AO316" s="5" t="s">
        <v>67</v>
      </c>
      <c r="AP316" s="5" t="s">
        <v>2979</v>
      </c>
      <c r="AQ316" s="5" t="s">
        <v>67</v>
      </c>
      <c r="AR316" s="5" t="s">
        <v>67</v>
      </c>
      <c r="AS316" s="3">
        <v>2146189824</v>
      </c>
      <c r="AT316" s="3">
        <v>2146189636</v>
      </c>
      <c r="AW316" s="5" t="s">
        <v>67</v>
      </c>
      <c r="AX316" s="5" t="s">
        <v>67</v>
      </c>
      <c r="AY316" s="5" t="s">
        <v>67</v>
      </c>
      <c r="AZ316" s="5" t="s">
        <v>67</v>
      </c>
      <c r="BA316" s="3">
        <v>1691</v>
      </c>
      <c r="BF316" s="5" t="s">
        <v>67</v>
      </c>
      <c r="BG316" s="5" t="s">
        <v>2980</v>
      </c>
      <c r="BH316" s="5" t="s">
        <v>2981</v>
      </c>
      <c r="BI316" s="5" t="s">
        <v>210</v>
      </c>
      <c r="BJ316" s="5" t="s">
        <v>67</v>
      </c>
      <c r="BK316" s="5" t="s">
        <v>705</v>
      </c>
      <c r="BL316" s="5" t="s">
        <v>2982</v>
      </c>
      <c r="BM316" s="5" t="s">
        <v>67</v>
      </c>
      <c r="BN316" s="5" t="s">
        <v>2983</v>
      </c>
      <c r="BO316" s="5" t="s">
        <v>2984</v>
      </c>
    </row>
    <row r="317" spans="1:67" ht="75" x14ac:dyDescent="0.25">
      <c r="A317" s="3">
        <v>2146189919</v>
      </c>
      <c r="B317" s="4">
        <v>42754</v>
      </c>
      <c r="G317" s="3">
        <v>2001336226</v>
      </c>
      <c r="H317" s="5" t="s">
        <v>67</v>
      </c>
      <c r="I317" s="3" t="b">
        <v>0</v>
      </c>
      <c r="J317" s="3" t="b">
        <v>0</v>
      </c>
      <c r="K317" s="3" t="b">
        <v>0</v>
      </c>
      <c r="L317" s="3" t="b">
        <v>0</v>
      </c>
      <c r="M317" s="3" t="b">
        <v>0</v>
      </c>
      <c r="N317" s="3" t="b">
        <v>0</v>
      </c>
      <c r="O317" s="3" t="b">
        <v>0</v>
      </c>
      <c r="P317" s="3" t="b">
        <v>1</v>
      </c>
      <c r="Q317" s="3" t="b">
        <v>1</v>
      </c>
      <c r="R317" s="3" t="s">
        <v>2985</v>
      </c>
      <c r="S317" s="5" t="s">
        <v>67</v>
      </c>
      <c r="T317" s="3" t="b">
        <v>0</v>
      </c>
      <c r="U317" s="3" t="b">
        <v>0</v>
      </c>
      <c r="V317" s="5" t="s">
        <v>2986</v>
      </c>
      <c r="W317" s="5" t="s">
        <v>2987</v>
      </c>
      <c r="X317" s="3" t="b">
        <v>0</v>
      </c>
      <c r="Y317" s="3" t="b">
        <v>0</v>
      </c>
      <c r="Z317" s="3" t="b">
        <v>0</v>
      </c>
      <c r="AA317" s="3" t="b">
        <v>1</v>
      </c>
      <c r="AB317" s="5" t="s">
        <v>2988</v>
      </c>
      <c r="AC317" s="5" t="s">
        <v>2989</v>
      </c>
      <c r="AD317" s="5" t="s">
        <v>67</v>
      </c>
      <c r="AE317" s="5" t="s">
        <v>67</v>
      </c>
      <c r="AF317" s="5" t="s">
        <v>2990</v>
      </c>
      <c r="AG317" s="5" t="s">
        <v>67</v>
      </c>
      <c r="AH317" s="5" t="s">
        <v>2991</v>
      </c>
      <c r="AI317" s="5" t="s">
        <v>502</v>
      </c>
      <c r="AJ317" s="5" t="s">
        <v>67</v>
      </c>
      <c r="AK317" s="5" t="s">
        <v>67</v>
      </c>
      <c r="AL317" s="5" t="s">
        <v>67</v>
      </c>
      <c r="AM317" s="5" t="s">
        <v>2992</v>
      </c>
      <c r="AN317" s="5" t="s">
        <v>2993</v>
      </c>
      <c r="AO317" s="5" t="s">
        <v>67</v>
      </c>
      <c r="AP317" s="5" t="s">
        <v>2994</v>
      </c>
      <c r="AQ317" s="5" t="s">
        <v>67</v>
      </c>
      <c r="AR317" s="5" t="s">
        <v>67</v>
      </c>
      <c r="AW317" s="5" t="s">
        <v>67</v>
      </c>
      <c r="AX317" s="5" t="s">
        <v>67</v>
      </c>
      <c r="AY317" s="5" t="s">
        <v>67</v>
      </c>
      <c r="AZ317" s="5" t="s">
        <v>67</v>
      </c>
      <c r="BA317" s="3">
        <v>2146189917</v>
      </c>
      <c r="BB317" s="3">
        <v>2146189002</v>
      </c>
      <c r="BC317" s="3">
        <v>2146189918</v>
      </c>
      <c r="BD317" s="3">
        <v>2146188985</v>
      </c>
      <c r="BF317" s="5" t="s">
        <v>2995</v>
      </c>
      <c r="BG317" s="5" t="s">
        <v>2996</v>
      </c>
      <c r="BH317" s="5" t="s">
        <v>2997</v>
      </c>
      <c r="BI317" s="5" t="s">
        <v>74</v>
      </c>
      <c r="BJ317" s="5" t="s">
        <v>67</v>
      </c>
      <c r="BK317" s="5" t="s">
        <v>2998</v>
      </c>
      <c r="BL317" s="5" t="s">
        <v>2064</v>
      </c>
      <c r="BM317" s="5" t="s">
        <v>67</v>
      </c>
      <c r="BN317" s="5" t="s">
        <v>2999</v>
      </c>
      <c r="BO317" s="5" t="s">
        <v>3000</v>
      </c>
    </row>
    <row r="318" spans="1:67" ht="270" x14ac:dyDescent="0.25">
      <c r="A318" s="3">
        <v>2146189929</v>
      </c>
      <c r="B318" s="4">
        <v>42887</v>
      </c>
      <c r="C318" s="3">
        <v>2146189930</v>
      </c>
      <c r="G318" s="3">
        <v>2146189985</v>
      </c>
      <c r="H318" s="5" t="s">
        <v>67</v>
      </c>
      <c r="I318" s="3" t="b">
        <v>0</v>
      </c>
      <c r="J318" s="3" t="b">
        <v>0</v>
      </c>
      <c r="K318" s="3" t="b">
        <v>0</v>
      </c>
      <c r="L318" s="3" t="b">
        <v>1</v>
      </c>
      <c r="M318" s="3" t="b">
        <v>1</v>
      </c>
      <c r="N318" s="3" t="b">
        <v>0</v>
      </c>
      <c r="O318" s="3" t="b">
        <v>0</v>
      </c>
      <c r="P318" s="3" t="b">
        <v>0</v>
      </c>
      <c r="Q318" s="3" t="b">
        <v>0</v>
      </c>
      <c r="R318" s="3" t="s">
        <v>3001</v>
      </c>
      <c r="S318" s="5" t="s">
        <v>3002</v>
      </c>
      <c r="T318" s="3" t="b">
        <v>0</v>
      </c>
      <c r="U318" s="3" t="b">
        <v>0</v>
      </c>
      <c r="V318" s="5" t="s">
        <v>3003</v>
      </c>
      <c r="W318" s="5" t="s">
        <v>67</v>
      </c>
      <c r="X318" s="3" t="b">
        <v>0</v>
      </c>
      <c r="Y318" s="3" t="b">
        <v>0</v>
      </c>
      <c r="Z318" s="3" t="b">
        <v>0</v>
      </c>
      <c r="AA318" s="3" t="b">
        <v>0</v>
      </c>
      <c r="AB318" s="5" t="s">
        <v>3004</v>
      </c>
      <c r="AC318" s="5" t="s">
        <v>3005</v>
      </c>
      <c r="AD318" s="5" t="s">
        <v>3006</v>
      </c>
      <c r="AE318" s="5" t="s">
        <v>3007</v>
      </c>
      <c r="AF318" s="5" t="s">
        <v>3008</v>
      </c>
      <c r="AG318" s="5" t="s">
        <v>3009</v>
      </c>
      <c r="AH318" s="5" t="s">
        <v>67</v>
      </c>
      <c r="AI318" s="5" t="s">
        <v>3010</v>
      </c>
      <c r="AJ318" s="5" t="s">
        <v>67</v>
      </c>
      <c r="AK318" s="5" t="s">
        <v>67</v>
      </c>
      <c r="AL318" s="5" t="s">
        <v>67</v>
      </c>
      <c r="AM318" s="5" t="s">
        <v>3011</v>
      </c>
      <c r="AN318" s="5" t="s">
        <v>67</v>
      </c>
      <c r="AO318" s="5" t="s">
        <v>67</v>
      </c>
      <c r="AP318" s="5" t="s">
        <v>67</v>
      </c>
      <c r="AQ318" s="5" t="s">
        <v>67</v>
      </c>
      <c r="AR318" s="5" t="s">
        <v>67</v>
      </c>
      <c r="AS318" s="3">
        <v>2146189228</v>
      </c>
      <c r="AW318" s="5" t="s">
        <v>67</v>
      </c>
      <c r="AX318" s="5" t="s">
        <v>67</v>
      </c>
      <c r="AY318" s="5" t="s">
        <v>67</v>
      </c>
      <c r="AZ318" s="5" t="s">
        <v>67</v>
      </c>
      <c r="BA318" s="3">
        <v>2146189953</v>
      </c>
      <c r="BD318" s="3">
        <v>2146189916</v>
      </c>
      <c r="BE318" s="3">
        <v>2146189916</v>
      </c>
      <c r="BF318" s="5" t="s">
        <v>3012</v>
      </c>
      <c r="BG318" s="5" t="s">
        <v>3013</v>
      </c>
      <c r="BH318" s="5" t="s">
        <v>3014</v>
      </c>
      <c r="BI318" s="5" t="s">
        <v>141</v>
      </c>
      <c r="BJ318" s="5" t="s">
        <v>67</v>
      </c>
      <c r="BK318" s="5" t="s">
        <v>3015</v>
      </c>
      <c r="BL318" s="5" t="s">
        <v>67</v>
      </c>
      <c r="BM318" s="5" t="s">
        <v>67</v>
      </c>
      <c r="BN318" s="5" t="s">
        <v>67</v>
      </c>
      <c r="BO318" s="5" t="s">
        <v>67</v>
      </c>
    </row>
    <row r="319" spans="1:67" ht="60" x14ac:dyDescent="0.25">
      <c r="A319" s="3">
        <v>2146189936</v>
      </c>
      <c r="B319" s="4">
        <v>42888</v>
      </c>
      <c r="C319" s="3">
        <v>2146189937</v>
      </c>
      <c r="E319" s="3">
        <v>2146189986</v>
      </c>
      <c r="H319" s="5" t="s">
        <v>67</v>
      </c>
      <c r="I319" s="3" t="b">
        <v>0</v>
      </c>
      <c r="J319" s="3" t="b">
        <v>0</v>
      </c>
      <c r="K319" s="3" t="b">
        <v>1</v>
      </c>
      <c r="L319" s="3" t="b">
        <v>0</v>
      </c>
      <c r="M319" s="3" t="b">
        <v>1</v>
      </c>
      <c r="N319" s="3" t="b">
        <v>0</v>
      </c>
      <c r="O319" s="3" t="b">
        <v>0</v>
      </c>
      <c r="P319" s="3" t="b">
        <v>0</v>
      </c>
      <c r="Q319" s="3" t="b">
        <v>0</v>
      </c>
      <c r="R319" s="3" t="s">
        <v>67</v>
      </c>
      <c r="S319" s="5" t="s">
        <v>67</v>
      </c>
      <c r="T319" s="3" t="b">
        <v>0</v>
      </c>
      <c r="U319" s="3" t="b">
        <v>0</v>
      </c>
      <c r="V319" s="5" t="s">
        <v>3016</v>
      </c>
      <c r="W319" s="5" t="s">
        <v>67</v>
      </c>
      <c r="X319" s="3" t="b">
        <v>0</v>
      </c>
      <c r="Y319" s="3" t="b">
        <v>0</v>
      </c>
      <c r="Z319" s="3" t="b">
        <v>0</v>
      </c>
      <c r="AA319" s="3" t="b">
        <v>0</v>
      </c>
      <c r="AB319" s="5" t="s">
        <v>67</v>
      </c>
      <c r="AC319" s="5" t="s">
        <v>3017</v>
      </c>
      <c r="AD319" s="5" t="s">
        <v>67</v>
      </c>
      <c r="AE319" s="5" t="s">
        <v>3018</v>
      </c>
      <c r="AF319" s="5" t="s">
        <v>3019</v>
      </c>
      <c r="AG319" s="5" t="s">
        <v>3020</v>
      </c>
      <c r="AH319" s="5" t="s">
        <v>67</v>
      </c>
      <c r="AI319" s="5" t="s">
        <v>3021</v>
      </c>
      <c r="AJ319" s="5" t="s">
        <v>67</v>
      </c>
      <c r="AK319" s="5" t="s">
        <v>3022</v>
      </c>
      <c r="AL319" s="5" t="s">
        <v>67</v>
      </c>
      <c r="AM319" s="5" t="s">
        <v>67</v>
      </c>
      <c r="AN319" s="5" t="s">
        <v>3023</v>
      </c>
      <c r="AO319" s="5" t="s">
        <v>67</v>
      </c>
      <c r="AP319" s="5" t="s">
        <v>67</v>
      </c>
      <c r="AQ319" s="5" t="s">
        <v>67</v>
      </c>
      <c r="AR319" s="5" t="s">
        <v>67</v>
      </c>
      <c r="AS319" s="3">
        <v>2146189824</v>
      </c>
      <c r="AW319" s="5" t="s">
        <v>67</v>
      </c>
      <c r="AX319" s="5" t="s">
        <v>67</v>
      </c>
      <c r="AY319" s="5" t="s">
        <v>67</v>
      </c>
      <c r="AZ319" s="5" t="s">
        <v>67</v>
      </c>
      <c r="BA319" s="3">
        <v>2146189804</v>
      </c>
      <c r="BD319" s="3">
        <v>2146189987</v>
      </c>
      <c r="BF319" s="5" t="s">
        <v>67</v>
      </c>
      <c r="BG319" s="5" t="s">
        <v>67</v>
      </c>
      <c r="BH319" s="5" t="s">
        <v>67</v>
      </c>
      <c r="BI319" s="5" t="s">
        <v>67</v>
      </c>
      <c r="BJ319" s="5" t="s">
        <v>67</v>
      </c>
      <c r="BK319" s="5" t="s">
        <v>67</v>
      </c>
      <c r="BL319" s="5" t="s">
        <v>67</v>
      </c>
      <c r="BM319" s="5" t="s">
        <v>67</v>
      </c>
      <c r="BN319" s="5" t="s">
        <v>67</v>
      </c>
      <c r="BO319" s="5" t="s">
        <v>67</v>
      </c>
    </row>
    <row r="320" spans="1:67" ht="135" x14ac:dyDescent="0.25">
      <c r="A320" s="3">
        <v>2146189939</v>
      </c>
      <c r="B320" s="4">
        <v>42972</v>
      </c>
      <c r="C320" s="3">
        <v>2146189940</v>
      </c>
      <c r="H320" s="5" t="s">
        <v>3024</v>
      </c>
      <c r="I320" s="3" t="b">
        <v>0</v>
      </c>
      <c r="J320" s="3" t="b">
        <v>0</v>
      </c>
      <c r="K320" s="3" t="b">
        <v>0</v>
      </c>
      <c r="L320" s="3" t="b">
        <v>1</v>
      </c>
      <c r="M320" s="3" t="b">
        <v>1</v>
      </c>
      <c r="N320" s="3" t="b">
        <v>0</v>
      </c>
      <c r="O320" s="3" t="b">
        <v>0</v>
      </c>
      <c r="P320" s="3" t="b">
        <v>0</v>
      </c>
      <c r="Q320" s="3" t="b">
        <v>0</v>
      </c>
      <c r="R320" s="3" t="s">
        <v>3025</v>
      </c>
      <c r="S320" s="5" t="s">
        <v>3026</v>
      </c>
      <c r="T320" s="3" t="b">
        <v>1</v>
      </c>
      <c r="U320" s="3" t="b">
        <v>0</v>
      </c>
      <c r="V320" s="5" t="s">
        <v>3027</v>
      </c>
      <c r="W320" s="5" t="s">
        <v>3028</v>
      </c>
      <c r="X320" s="3" t="b">
        <v>0</v>
      </c>
      <c r="Y320" s="3" t="b">
        <v>0</v>
      </c>
      <c r="Z320" s="3" t="b">
        <v>0</v>
      </c>
      <c r="AA320" s="3" t="b">
        <v>0</v>
      </c>
      <c r="AB320" s="5" t="s">
        <v>3029</v>
      </c>
      <c r="AC320" s="5" t="s">
        <v>3030</v>
      </c>
      <c r="AD320" s="5" t="s">
        <v>3031</v>
      </c>
      <c r="AE320" s="5" t="s">
        <v>3032</v>
      </c>
      <c r="AF320" s="5" t="s">
        <v>3033</v>
      </c>
      <c r="AG320" s="5" t="s">
        <v>67</v>
      </c>
      <c r="AH320" s="5" t="s">
        <v>3034</v>
      </c>
      <c r="AI320" s="5" t="s">
        <v>3035</v>
      </c>
      <c r="AJ320" s="5" t="s">
        <v>67</v>
      </c>
      <c r="AK320" s="5" t="s">
        <v>67</v>
      </c>
      <c r="AL320" s="5" t="s">
        <v>67</v>
      </c>
      <c r="AM320" s="5" t="s">
        <v>3036</v>
      </c>
      <c r="AN320" s="5" t="s">
        <v>3037</v>
      </c>
      <c r="AO320" s="5" t="s">
        <v>67</v>
      </c>
      <c r="AP320" s="5" t="s">
        <v>3038</v>
      </c>
      <c r="AQ320" s="5" t="s">
        <v>67</v>
      </c>
      <c r="AR320" s="5" t="s">
        <v>67</v>
      </c>
      <c r="AS320" s="3">
        <v>2146189903</v>
      </c>
      <c r="AW320" s="5" t="s">
        <v>67</v>
      </c>
      <c r="AX320" s="5" t="s">
        <v>67</v>
      </c>
      <c r="AY320" s="5" t="s">
        <v>67</v>
      </c>
      <c r="AZ320" s="5" t="s">
        <v>67</v>
      </c>
      <c r="BA320" s="3">
        <v>-129692674</v>
      </c>
      <c r="BD320" s="3">
        <v>2146189003</v>
      </c>
      <c r="BE320" s="3">
        <v>2146190010</v>
      </c>
      <c r="BF320" s="5" t="s">
        <v>3039</v>
      </c>
      <c r="BG320" s="5" t="s">
        <v>3040</v>
      </c>
      <c r="BH320" s="5" t="s">
        <v>67</v>
      </c>
      <c r="BI320" s="5" t="s">
        <v>141</v>
      </c>
      <c r="BJ320" s="5" t="s">
        <v>67</v>
      </c>
      <c r="BK320" s="5" t="s">
        <v>3041</v>
      </c>
      <c r="BL320" s="5" t="s">
        <v>3042</v>
      </c>
      <c r="BM320" s="5" t="s">
        <v>67</v>
      </c>
      <c r="BN320" s="5" t="s">
        <v>67</v>
      </c>
      <c r="BO320" s="5" t="s">
        <v>67</v>
      </c>
    </row>
    <row r="321" spans="1:67" ht="409.5" x14ac:dyDescent="0.25">
      <c r="A321" s="3">
        <v>2146189948</v>
      </c>
      <c r="B321" s="4">
        <v>42866</v>
      </c>
      <c r="E321" s="3">
        <v>2146189409</v>
      </c>
      <c r="F321" s="3">
        <v>2146189000</v>
      </c>
      <c r="H321" s="5" t="s">
        <v>67</v>
      </c>
      <c r="I321" s="3" t="b">
        <v>1</v>
      </c>
      <c r="J321" s="3" t="b">
        <v>1</v>
      </c>
      <c r="K321" s="3" t="b">
        <v>0</v>
      </c>
      <c r="L321" s="3" t="b">
        <v>0</v>
      </c>
      <c r="M321" s="3" t="b">
        <v>0</v>
      </c>
      <c r="N321" s="3" t="b">
        <v>0</v>
      </c>
      <c r="O321" s="3" t="b">
        <v>1</v>
      </c>
      <c r="P321" s="3" t="b">
        <v>0</v>
      </c>
      <c r="Q321" s="3" t="b">
        <v>1</v>
      </c>
      <c r="R321" s="3" t="s">
        <v>3043</v>
      </c>
      <c r="S321" s="5" t="s">
        <v>3044</v>
      </c>
      <c r="T321" s="3" t="b">
        <v>0</v>
      </c>
      <c r="U321" s="3" t="b">
        <v>1</v>
      </c>
      <c r="V321" s="5" t="s">
        <v>3045</v>
      </c>
      <c r="W321" s="5" t="s">
        <v>3046</v>
      </c>
      <c r="X321" s="3" t="b">
        <v>0</v>
      </c>
      <c r="Y321" s="3" t="b">
        <v>0</v>
      </c>
      <c r="Z321" s="3" t="b">
        <v>0</v>
      </c>
      <c r="AA321" s="3" t="b">
        <v>1</v>
      </c>
      <c r="AB321" s="5" t="s">
        <v>3047</v>
      </c>
      <c r="AC321" s="5" t="s">
        <v>3048</v>
      </c>
      <c r="AD321" s="5" t="s">
        <v>3049</v>
      </c>
      <c r="AE321" s="5" t="s">
        <v>3050</v>
      </c>
      <c r="AF321" s="5" t="s">
        <v>3051</v>
      </c>
      <c r="AG321" s="5" t="s">
        <v>3052</v>
      </c>
      <c r="AH321" s="5" t="s">
        <v>3053</v>
      </c>
      <c r="AI321" s="5" t="s">
        <v>3054</v>
      </c>
      <c r="AJ321" s="5" t="s">
        <v>67</v>
      </c>
      <c r="AK321" s="5" t="s">
        <v>3055</v>
      </c>
      <c r="AL321" s="5" t="s">
        <v>67</v>
      </c>
      <c r="AM321" s="5" t="s">
        <v>3056</v>
      </c>
      <c r="AN321" s="5" t="s">
        <v>3057</v>
      </c>
      <c r="AO321" s="5" t="s">
        <v>67</v>
      </c>
      <c r="AP321" s="5" t="s">
        <v>67</v>
      </c>
      <c r="AQ321" s="5" t="s">
        <v>3058</v>
      </c>
      <c r="AR321" s="5" t="s">
        <v>67</v>
      </c>
      <c r="AW321" s="5" t="s">
        <v>67</v>
      </c>
      <c r="AX321" s="5" t="s">
        <v>67</v>
      </c>
      <c r="AY321" s="5" t="s">
        <v>67</v>
      </c>
      <c r="AZ321" s="5" t="s">
        <v>67</v>
      </c>
      <c r="BA321" s="3">
        <v>2146189484</v>
      </c>
      <c r="BB321" s="3">
        <v>2146189670</v>
      </c>
      <c r="BC321" s="3">
        <v>2146189854</v>
      </c>
      <c r="BD321" s="3">
        <v>2146189004</v>
      </c>
      <c r="BE321" s="3">
        <v>2146188982</v>
      </c>
      <c r="BF321" s="5" t="s">
        <v>3059</v>
      </c>
      <c r="BG321" s="5" t="s">
        <v>3060</v>
      </c>
      <c r="BH321" s="5" t="s">
        <v>3061</v>
      </c>
      <c r="BI321" s="5" t="s">
        <v>74</v>
      </c>
      <c r="BJ321" s="5" t="s">
        <v>67</v>
      </c>
      <c r="BK321" s="5" t="s">
        <v>3062</v>
      </c>
      <c r="BL321" s="5" t="s">
        <v>3063</v>
      </c>
      <c r="BM321" s="5" t="s">
        <v>3064</v>
      </c>
      <c r="BN321" s="5" t="s">
        <v>3065</v>
      </c>
      <c r="BO321" s="5" t="s">
        <v>3066</v>
      </c>
    </row>
    <row r="322" spans="1:67" ht="75" x14ac:dyDescent="0.25">
      <c r="A322" s="3">
        <v>2146189949</v>
      </c>
      <c r="B322" s="4">
        <v>43013</v>
      </c>
      <c r="C322" s="3">
        <v>2146189950</v>
      </c>
      <c r="H322" s="5" t="s">
        <v>3067</v>
      </c>
      <c r="I322" s="3" t="b">
        <v>0</v>
      </c>
      <c r="J322" s="3" t="b">
        <v>0</v>
      </c>
      <c r="K322" s="3" t="b">
        <v>0</v>
      </c>
      <c r="L322" s="3" t="b">
        <v>0</v>
      </c>
      <c r="M322" s="3" t="b">
        <v>1</v>
      </c>
      <c r="N322" s="3" t="b">
        <v>1</v>
      </c>
      <c r="O322" s="3" t="b">
        <v>0</v>
      </c>
      <c r="P322" s="3" t="b">
        <v>0</v>
      </c>
      <c r="Q322" s="3" t="b">
        <v>0</v>
      </c>
      <c r="R322" s="3" t="s">
        <v>3068</v>
      </c>
      <c r="S322" s="5" t="s">
        <v>67</v>
      </c>
      <c r="T322" s="3" t="b">
        <v>1</v>
      </c>
      <c r="U322" s="3" t="b">
        <v>1</v>
      </c>
      <c r="V322" s="5" t="s">
        <v>3069</v>
      </c>
      <c r="W322" s="5" t="s">
        <v>67</v>
      </c>
      <c r="X322" s="3" t="b">
        <v>0</v>
      </c>
      <c r="Y322" s="3" t="b">
        <v>0</v>
      </c>
      <c r="Z322" s="3" t="b">
        <v>0</v>
      </c>
      <c r="AA322" s="3" t="b">
        <v>0</v>
      </c>
      <c r="AB322" s="5" t="s">
        <v>210</v>
      </c>
      <c r="AC322" s="5" t="s">
        <v>67</v>
      </c>
      <c r="AD322" s="5" t="s">
        <v>67</v>
      </c>
      <c r="AE322" s="5" t="s">
        <v>67</v>
      </c>
      <c r="AF322" s="5" t="s">
        <v>3070</v>
      </c>
      <c r="AG322" s="5" t="s">
        <v>67</v>
      </c>
      <c r="AH322" s="5" t="s">
        <v>67</v>
      </c>
      <c r="AI322" s="5" t="s">
        <v>3071</v>
      </c>
      <c r="AJ322" s="5" t="s">
        <v>67</v>
      </c>
      <c r="AK322" s="5" t="s">
        <v>67</v>
      </c>
      <c r="AL322" s="5" t="s">
        <v>3072</v>
      </c>
      <c r="AM322" s="5" t="s">
        <v>3073</v>
      </c>
      <c r="AN322" s="5" t="s">
        <v>3074</v>
      </c>
      <c r="AO322" s="5" t="s">
        <v>67</v>
      </c>
      <c r="AP322" s="5" t="s">
        <v>67</v>
      </c>
      <c r="AQ322" s="5" t="s">
        <v>3075</v>
      </c>
      <c r="AR322" s="5" t="s">
        <v>67</v>
      </c>
      <c r="AW322" s="5" t="s">
        <v>67</v>
      </c>
      <c r="AX322" s="5" t="s">
        <v>67</v>
      </c>
      <c r="AY322" s="5" t="s">
        <v>67</v>
      </c>
      <c r="AZ322" s="5" t="s">
        <v>67</v>
      </c>
      <c r="BA322" s="3">
        <v>2152</v>
      </c>
      <c r="BF322" s="5" t="s">
        <v>67</v>
      </c>
      <c r="BG322" s="5" t="s">
        <v>67</v>
      </c>
      <c r="BH322" s="5" t="s">
        <v>67</v>
      </c>
      <c r="BI322" s="5" t="s">
        <v>67</v>
      </c>
      <c r="BJ322" s="5" t="s">
        <v>3076</v>
      </c>
      <c r="BK322" s="5" t="s">
        <v>3077</v>
      </c>
      <c r="BL322" s="5" t="s">
        <v>3078</v>
      </c>
      <c r="BM322" s="5" t="s">
        <v>67</v>
      </c>
      <c r="BN322" s="5" t="s">
        <v>67</v>
      </c>
      <c r="BO322" s="5" t="s">
        <v>67</v>
      </c>
    </row>
    <row r="323" spans="1:67" ht="75" x14ac:dyDescent="0.25">
      <c r="A323" s="3">
        <v>2146189971</v>
      </c>
      <c r="B323" s="4">
        <v>42972</v>
      </c>
      <c r="C323" s="3">
        <v>2146189972</v>
      </c>
      <c r="H323" s="5" t="s">
        <v>67</v>
      </c>
      <c r="I323" s="3" t="b">
        <v>0</v>
      </c>
      <c r="J323" s="3" t="b">
        <v>0</v>
      </c>
      <c r="K323" s="3" t="b">
        <v>0</v>
      </c>
      <c r="L323" s="3" t="b">
        <v>1</v>
      </c>
      <c r="M323" s="3" t="b">
        <v>1</v>
      </c>
      <c r="N323" s="3" t="b">
        <v>0</v>
      </c>
      <c r="O323" s="3" t="b">
        <v>0</v>
      </c>
      <c r="P323" s="3" t="b">
        <v>0</v>
      </c>
      <c r="Q323" s="3" t="b">
        <v>0</v>
      </c>
      <c r="R323" s="3" t="s">
        <v>67</v>
      </c>
      <c r="S323" s="5" t="s">
        <v>3079</v>
      </c>
      <c r="T323" s="3" t="b">
        <v>0</v>
      </c>
      <c r="U323" s="3" t="b">
        <v>1</v>
      </c>
      <c r="V323" s="5" t="s">
        <v>3080</v>
      </c>
      <c r="W323" s="5" t="s">
        <v>67</v>
      </c>
      <c r="X323" s="3" t="b">
        <v>0</v>
      </c>
      <c r="Y323" s="3" t="b">
        <v>0</v>
      </c>
      <c r="Z323" s="3" t="b">
        <v>0</v>
      </c>
      <c r="AA323" s="3" t="b">
        <v>0</v>
      </c>
      <c r="AB323" s="5" t="s">
        <v>3081</v>
      </c>
      <c r="AC323" s="5" t="s">
        <v>3082</v>
      </c>
      <c r="AD323" s="5" t="s">
        <v>67</v>
      </c>
      <c r="AE323" s="5" t="s">
        <v>3083</v>
      </c>
      <c r="AF323" s="5" t="s">
        <v>3084</v>
      </c>
      <c r="AG323" s="5" t="s">
        <v>3085</v>
      </c>
      <c r="AH323" s="5" t="s">
        <v>3086</v>
      </c>
      <c r="AI323" s="5" t="s">
        <v>67</v>
      </c>
      <c r="AJ323" s="5" t="s">
        <v>67</v>
      </c>
      <c r="AK323" s="5" t="s">
        <v>3087</v>
      </c>
      <c r="AL323" s="5" t="s">
        <v>67</v>
      </c>
      <c r="AM323" s="5" t="s">
        <v>3088</v>
      </c>
      <c r="AN323" s="5" t="s">
        <v>3089</v>
      </c>
      <c r="AO323" s="5" t="s">
        <v>67</v>
      </c>
      <c r="AP323" s="5" t="s">
        <v>67</v>
      </c>
      <c r="AQ323" s="5" t="s">
        <v>67</v>
      </c>
      <c r="AR323" s="5" t="s">
        <v>67</v>
      </c>
      <c r="AW323" s="5" t="s">
        <v>67</v>
      </c>
      <c r="AX323" s="5" t="s">
        <v>67</v>
      </c>
      <c r="AY323" s="5" t="s">
        <v>67</v>
      </c>
      <c r="AZ323" s="5" t="s">
        <v>67</v>
      </c>
      <c r="BA323" s="3">
        <v>2152</v>
      </c>
      <c r="BD323" s="3">
        <v>2146188985</v>
      </c>
      <c r="BE323" s="3">
        <v>2146188985</v>
      </c>
      <c r="BF323" s="5" t="s">
        <v>67</v>
      </c>
      <c r="BG323" s="5" t="s">
        <v>67</v>
      </c>
      <c r="BH323" s="5" t="s">
        <v>67</v>
      </c>
      <c r="BI323" s="5" t="s">
        <v>67</v>
      </c>
      <c r="BJ323" s="5" t="s">
        <v>67</v>
      </c>
      <c r="BK323" s="5" t="s">
        <v>67</v>
      </c>
      <c r="BL323" s="5" t="s">
        <v>67</v>
      </c>
      <c r="BM323" s="5" t="s">
        <v>67</v>
      </c>
      <c r="BN323" s="5" t="s">
        <v>67</v>
      </c>
      <c r="BO323" s="5" t="s">
        <v>67</v>
      </c>
    </row>
    <row r="324" spans="1:67" ht="135" x14ac:dyDescent="0.25">
      <c r="A324" s="3">
        <v>2146189979</v>
      </c>
      <c r="B324" s="4">
        <v>42888</v>
      </c>
      <c r="C324" s="3">
        <v>2146189855</v>
      </c>
      <c r="H324" s="5" t="s">
        <v>67</v>
      </c>
      <c r="I324" s="3" t="b">
        <v>0</v>
      </c>
      <c r="J324" s="3" t="b">
        <v>0</v>
      </c>
      <c r="K324" s="3" t="b">
        <v>0</v>
      </c>
      <c r="L324" s="3" t="b">
        <v>1</v>
      </c>
      <c r="M324" s="3" t="b">
        <v>1</v>
      </c>
      <c r="N324" s="3" t="b">
        <v>0</v>
      </c>
      <c r="O324" s="3" t="b">
        <v>0</v>
      </c>
      <c r="P324" s="3" t="b">
        <v>0</v>
      </c>
      <c r="Q324" s="3" t="b">
        <v>0</v>
      </c>
      <c r="R324" s="3" t="s">
        <v>67</v>
      </c>
      <c r="S324" s="5" t="s">
        <v>3090</v>
      </c>
      <c r="T324" s="3" t="b">
        <v>0</v>
      </c>
      <c r="U324" s="3" t="b">
        <v>0</v>
      </c>
      <c r="V324" s="5" t="s">
        <v>3091</v>
      </c>
      <c r="W324" s="5" t="s">
        <v>67</v>
      </c>
      <c r="X324" s="3" t="b">
        <v>0</v>
      </c>
      <c r="Y324" s="3" t="b">
        <v>0</v>
      </c>
      <c r="Z324" s="3" t="b">
        <v>0</v>
      </c>
      <c r="AA324" s="3" t="b">
        <v>0</v>
      </c>
      <c r="AB324" s="5" t="s">
        <v>3092</v>
      </c>
      <c r="AC324" s="5" t="s">
        <v>3093</v>
      </c>
      <c r="AD324" s="5" t="s">
        <v>3094</v>
      </c>
      <c r="AE324" s="5" t="s">
        <v>67</v>
      </c>
      <c r="AF324" s="5" t="s">
        <v>3095</v>
      </c>
      <c r="AG324" s="5" t="s">
        <v>3096</v>
      </c>
      <c r="AH324" s="5" t="s">
        <v>3097</v>
      </c>
      <c r="AI324" s="5" t="s">
        <v>3098</v>
      </c>
      <c r="AJ324" s="5" t="s">
        <v>67</v>
      </c>
      <c r="AK324" s="5" t="s">
        <v>3099</v>
      </c>
      <c r="AL324" s="5" t="s">
        <v>67</v>
      </c>
      <c r="AM324" s="5" t="s">
        <v>67</v>
      </c>
      <c r="AN324" s="5" t="s">
        <v>3100</v>
      </c>
      <c r="AO324" s="5" t="s">
        <v>67</v>
      </c>
      <c r="AP324" s="5" t="s">
        <v>67</v>
      </c>
      <c r="AQ324" s="5" t="s">
        <v>3101</v>
      </c>
      <c r="AR324" s="5" t="s">
        <v>67</v>
      </c>
      <c r="AS324" s="3">
        <v>2146189878</v>
      </c>
      <c r="AT324" s="3">
        <v>2146189887</v>
      </c>
      <c r="AW324" s="5" t="s">
        <v>67</v>
      </c>
      <c r="AX324" s="5" t="s">
        <v>67</v>
      </c>
      <c r="AY324" s="5" t="s">
        <v>67</v>
      </c>
      <c r="AZ324" s="5" t="s">
        <v>67</v>
      </c>
      <c r="BA324" s="3">
        <v>-129692674</v>
      </c>
      <c r="BF324" s="5" t="s">
        <v>67</v>
      </c>
      <c r="BG324" s="5" t="s">
        <v>67</v>
      </c>
      <c r="BH324" s="5" t="s">
        <v>67</v>
      </c>
      <c r="BI324" s="5" t="s">
        <v>67</v>
      </c>
      <c r="BJ324" s="5" t="s">
        <v>67</v>
      </c>
      <c r="BK324" s="5" t="s">
        <v>67</v>
      </c>
      <c r="BL324" s="5" t="s">
        <v>3102</v>
      </c>
      <c r="BM324" s="5" t="s">
        <v>67</v>
      </c>
      <c r="BN324" s="5" t="s">
        <v>67</v>
      </c>
      <c r="BO324" s="5" t="s">
        <v>67</v>
      </c>
    </row>
    <row r="325" spans="1:67" ht="225" x14ac:dyDescent="0.25">
      <c r="A325" s="3">
        <v>2146189991</v>
      </c>
      <c r="B325" s="4">
        <v>42972</v>
      </c>
      <c r="C325" s="3">
        <v>2146189992</v>
      </c>
      <c r="G325" s="3">
        <v>2146189992</v>
      </c>
      <c r="H325" s="5" t="s">
        <v>67</v>
      </c>
      <c r="I325" s="3" t="b">
        <v>0</v>
      </c>
      <c r="J325" s="3" t="b">
        <v>0</v>
      </c>
      <c r="K325" s="3" t="b">
        <v>0</v>
      </c>
      <c r="L325" s="3" t="b">
        <v>1</v>
      </c>
      <c r="M325" s="3" t="b">
        <v>0</v>
      </c>
      <c r="N325" s="3" t="b">
        <v>0</v>
      </c>
      <c r="O325" s="3" t="b">
        <v>0</v>
      </c>
      <c r="P325" s="3" t="b">
        <v>1</v>
      </c>
      <c r="Q325" s="3" t="b">
        <v>0</v>
      </c>
      <c r="R325" s="3" t="s">
        <v>3103</v>
      </c>
      <c r="S325" s="5" t="s">
        <v>67</v>
      </c>
      <c r="T325" s="3" t="b">
        <v>0</v>
      </c>
      <c r="U325" s="3" t="b">
        <v>0</v>
      </c>
      <c r="V325" s="5" t="s">
        <v>3104</v>
      </c>
      <c r="W325" s="5" t="s">
        <v>67</v>
      </c>
      <c r="X325" s="3" t="b">
        <v>0</v>
      </c>
      <c r="Y325" s="3" t="b">
        <v>0</v>
      </c>
      <c r="Z325" s="3" t="b">
        <v>0</v>
      </c>
      <c r="AA325" s="3" t="b">
        <v>0</v>
      </c>
      <c r="AB325" s="5" t="s">
        <v>3105</v>
      </c>
      <c r="AC325" s="5" t="s">
        <v>67</v>
      </c>
      <c r="AD325" s="5" t="s">
        <v>3106</v>
      </c>
      <c r="AE325" s="5" t="s">
        <v>67</v>
      </c>
      <c r="AF325" s="5" t="s">
        <v>3107</v>
      </c>
      <c r="AG325" s="5" t="s">
        <v>67</v>
      </c>
      <c r="AH325" s="5" t="s">
        <v>3108</v>
      </c>
      <c r="AI325" s="5" t="s">
        <v>67</v>
      </c>
      <c r="AJ325" s="5" t="s">
        <v>3109</v>
      </c>
      <c r="AK325" s="5" t="s">
        <v>67</v>
      </c>
      <c r="AL325" s="5" t="s">
        <v>67</v>
      </c>
      <c r="AM325" s="5" t="s">
        <v>3110</v>
      </c>
      <c r="AN325" s="5" t="s">
        <v>3111</v>
      </c>
      <c r="AO325" s="5" t="s">
        <v>67</v>
      </c>
      <c r="AP325" s="5" t="s">
        <v>67</v>
      </c>
      <c r="AQ325" s="5" t="s">
        <v>67</v>
      </c>
      <c r="AR325" s="5" t="s">
        <v>67</v>
      </c>
      <c r="AS325" s="3">
        <v>2146189988</v>
      </c>
      <c r="AW325" s="5" t="s">
        <v>67</v>
      </c>
      <c r="AX325" s="5" t="s">
        <v>67</v>
      </c>
      <c r="AY325" s="5" t="s">
        <v>67</v>
      </c>
      <c r="AZ325" s="5" t="s">
        <v>67</v>
      </c>
      <c r="BA325" s="3">
        <v>2146189995</v>
      </c>
      <c r="BD325" s="3">
        <v>2146189120</v>
      </c>
      <c r="BF325" s="5" t="s">
        <v>3112</v>
      </c>
      <c r="BG325" s="5" t="s">
        <v>3113</v>
      </c>
      <c r="BH325" s="5" t="s">
        <v>67</v>
      </c>
      <c r="BI325" s="5" t="s">
        <v>67</v>
      </c>
      <c r="BJ325" s="5" t="s">
        <v>176</v>
      </c>
      <c r="BK325" s="5" t="s">
        <v>67</v>
      </c>
      <c r="BL325" s="5" t="s">
        <v>3114</v>
      </c>
      <c r="BM325" s="5" t="s">
        <v>67</v>
      </c>
      <c r="BN325" s="5" t="s">
        <v>67</v>
      </c>
      <c r="BO325" s="5" t="s">
        <v>67</v>
      </c>
    </row>
    <row r="326" spans="1:67" x14ac:dyDescent="0.25">
      <c r="A326" s="3">
        <v>2146189993</v>
      </c>
      <c r="B326" s="4">
        <v>42921</v>
      </c>
      <c r="H326" s="5" t="s">
        <v>67</v>
      </c>
      <c r="I326" s="3" t="b">
        <v>0</v>
      </c>
      <c r="J326" s="3" t="b">
        <v>0</v>
      </c>
      <c r="K326" s="3" t="b">
        <v>0</v>
      </c>
      <c r="L326" s="3" t="b">
        <v>0</v>
      </c>
      <c r="M326" s="3" t="b">
        <v>0</v>
      </c>
      <c r="N326" s="3" t="b">
        <v>0</v>
      </c>
      <c r="O326" s="3" t="b">
        <v>0</v>
      </c>
      <c r="P326" s="3" t="b">
        <v>0</v>
      </c>
      <c r="Q326" s="3" t="b">
        <v>0</v>
      </c>
      <c r="R326" s="3" t="s">
        <v>67</v>
      </c>
      <c r="S326" s="5" t="s">
        <v>67</v>
      </c>
      <c r="T326" s="3" t="b">
        <v>0</v>
      </c>
      <c r="U326" s="3" t="b">
        <v>0</v>
      </c>
      <c r="V326" s="5" t="s">
        <v>67</v>
      </c>
      <c r="W326" s="5" t="s">
        <v>67</v>
      </c>
      <c r="X326" s="3" t="b">
        <v>0</v>
      </c>
      <c r="Y326" s="3" t="b">
        <v>0</v>
      </c>
      <c r="Z326" s="3" t="b">
        <v>0</v>
      </c>
      <c r="AA326" s="3" t="b">
        <v>0</v>
      </c>
      <c r="AB326" s="5" t="s">
        <v>67</v>
      </c>
      <c r="AC326" s="5" t="s">
        <v>67</v>
      </c>
      <c r="AD326" s="5" t="s">
        <v>67</v>
      </c>
      <c r="AE326" s="5" t="s">
        <v>67</v>
      </c>
      <c r="AF326" s="5" t="s">
        <v>67</v>
      </c>
      <c r="AG326" s="5" t="s">
        <v>67</v>
      </c>
      <c r="AH326" s="5" t="s">
        <v>67</v>
      </c>
      <c r="AI326" s="5" t="s">
        <v>67</v>
      </c>
      <c r="AJ326" s="5" t="s">
        <v>67</v>
      </c>
      <c r="AK326" s="5" t="s">
        <v>67</v>
      </c>
      <c r="AL326" s="5" t="s">
        <v>67</v>
      </c>
      <c r="AM326" s="5" t="s">
        <v>67</v>
      </c>
      <c r="AN326" s="5" t="s">
        <v>67</v>
      </c>
      <c r="AO326" s="5" t="s">
        <v>67</v>
      </c>
      <c r="AP326" s="5" t="s">
        <v>67</v>
      </c>
      <c r="AQ326" s="5" t="s">
        <v>67</v>
      </c>
      <c r="AR326" s="5" t="s">
        <v>67</v>
      </c>
      <c r="AW326" s="5" t="s">
        <v>67</v>
      </c>
      <c r="AX326" s="5" t="s">
        <v>67</v>
      </c>
      <c r="AY326" s="5" t="s">
        <v>67</v>
      </c>
      <c r="AZ326" s="5" t="s">
        <v>67</v>
      </c>
      <c r="BF326" s="5" t="s">
        <v>67</v>
      </c>
      <c r="BG326" s="5" t="s">
        <v>67</v>
      </c>
      <c r="BH326" s="5" t="s">
        <v>67</v>
      </c>
      <c r="BI326" s="5" t="s">
        <v>67</v>
      </c>
      <c r="BJ326" s="5" t="s">
        <v>67</v>
      </c>
      <c r="BK326" s="5" t="s">
        <v>67</v>
      </c>
      <c r="BL326" s="5" t="s">
        <v>67</v>
      </c>
      <c r="BM326" s="5" t="s">
        <v>67</v>
      </c>
      <c r="BN326" s="5" t="s">
        <v>67</v>
      </c>
      <c r="BO326" s="5" t="s">
        <v>67</v>
      </c>
    </row>
    <row r="327" spans="1:67" ht="45" x14ac:dyDescent="0.25">
      <c r="A327" s="3">
        <v>2146189997</v>
      </c>
      <c r="B327" s="4">
        <v>43014</v>
      </c>
      <c r="C327" s="3">
        <v>2146189998</v>
      </c>
      <c r="D327" s="3">
        <v>2146189999</v>
      </c>
      <c r="H327" s="5" t="s">
        <v>3115</v>
      </c>
      <c r="I327" s="3" t="b">
        <v>0</v>
      </c>
      <c r="J327" s="3" t="b">
        <v>0</v>
      </c>
      <c r="K327" s="3" t="b">
        <v>0</v>
      </c>
      <c r="L327" s="3" t="b">
        <v>0</v>
      </c>
      <c r="M327" s="3" t="b">
        <v>0</v>
      </c>
      <c r="N327" s="3" t="b">
        <v>0</v>
      </c>
      <c r="O327" s="3" t="b">
        <v>0</v>
      </c>
      <c r="P327" s="3" t="b">
        <v>0</v>
      </c>
      <c r="Q327" s="3" t="b">
        <v>0</v>
      </c>
      <c r="R327" s="3" t="s">
        <v>67</v>
      </c>
      <c r="S327" s="5" t="s">
        <v>67</v>
      </c>
      <c r="T327" s="3" t="b">
        <v>0</v>
      </c>
      <c r="U327" s="3" t="b">
        <v>1</v>
      </c>
      <c r="V327" s="5" t="s">
        <v>67</v>
      </c>
      <c r="W327" s="5" t="s">
        <v>67</v>
      </c>
      <c r="X327" s="3" t="b">
        <v>0</v>
      </c>
      <c r="Y327" s="3" t="b">
        <v>0</v>
      </c>
      <c r="Z327" s="3" t="b">
        <v>0</v>
      </c>
      <c r="AA327" s="3" t="b">
        <v>0</v>
      </c>
      <c r="AB327" s="5" t="s">
        <v>67</v>
      </c>
      <c r="AC327" s="5" t="s">
        <v>67</v>
      </c>
      <c r="AD327" s="5" t="s">
        <v>3116</v>
      </c>
      <c r="AE327" s="5" t="s">
        <v>67</v>
      </c>
      <c r="AF327" s="5" t="s">
        <v>3117</v>
      </c>
      <c r="AG327" s="5" t="s">
        <v>67</v>
      </c>
      <c r="AH327" s="5" t="s">
        <v>3118</v>
      </c>
      <c r="AI327" s="5" t="s">
        <v>3119</v>
      </c>
      <c r="AJ327" s="5" t="s">
        <v>67</v>
      </c>
      <c r="AK327" s="5" t="s">
        <v>67</v>
      </c>
      <c r="AL327" s="5" t="s">
        <v>67</v>
      </c>
      <c r="AM327" s="5" t="s">
        <v>3120</v>
      </c>
      <c r="AN327" s="5" t="s">
        <v>67</v>
      </c>
      <c r="AO327" s="5" t="s">
        <v>67</v>
      </c>
      <c r="AP327" s="5" t="s">
        <v>67</v>
      </c>
      <c r="AQ327" s="5" t="s">
        <v>67</v>
      </c>
      <c r="AR327" s="5" t="s">
        <v>67</v>
      </c>
      <c r="AW327" s="5" t="s">
        <v>67</v>
      </c>
      <c r="AX327" s="5" t="s">
        <v>67</v>
      </c>
      <c r="AY327" s="5" t="s">
        <v>67</v>
      </c>
      <c r="AZ327" s="5" t="s">
        <v>67</v>
      </c>
      <c r="BA327" s="3">
        <v>1309859639</v>
      </c>
      <c r="BF327" s="5" t="s">
        <v>67</v>
      </c>
      <c r="BG327" s="5" t="s">
        <v>67</v>
      </c>
      <c r="BH327" s="5" t="s">
        <v>67</v>
      </c>
      <c r="BI327" s="5" t="s">
        <v>67</v>
      </c>
      <c r="BJ327" s="5" t="s">
        <v>67</v>
      </c>
      <c r="BK327" s="5" t="s">
        <v>67</v>
      </c>
      <c r="BL327" s="5" t="s">
        <v>67</v>
      </c>
      <c r="BM327" s="5" t="s">
        <v>67</v>
      </c>
      <c r="BN327" s="5" t="s">
        <v>67</v>
      </c>
      <c r="BO327" s="5" t="s">
        <v>67</v>
      </c>
    </row>
    <row r="328" spans="1:67" ht="135" x14ac:dyDescent="0.25">
      <c r="A328" s="3">
        <v>2146190010</v>
      </c>
      <c r="B328" s="4">
        <v>42972</v>
      </c>
      <c r="H328" s="5" t="s">
        <v>67</v>
      </c>
      <c r="I328" s="3" t="b">
        <v>0</v>
      </c>
      <c r="J328" s="3" t="b">
        <v>0</v>
      </c>
      <c r="K328" s="3" t="b">
        <v>0</v>
      </c>
      <c r="L328" s="3" t="b">
        <v>1</v>
      </c>
      <c r="M328" s="3" t="b">
        <v>1</v>
      </c>
      <c r="N328" s="3" t="b">
        <v>0</v>
      </c>
      <c r="O328" s="3" t="b">
        <v>0</v>
      </c>
      <c r="P328" s="3" t="b">
        <v>0</v>
      </c>
      <c r="Q328" s="3" t="b">
        <v>0</v>
      </c>
      <c r="R328" s="3" t="s">
        <v>3121</v>
      </c>
      <c r="S328" s="5" t="s">
        <v>3026</v>
      </c>
      <c r="T328" s="3" t="b">
        <v>1</v>
      </c>
      <c r="U328" s="3" t="b">
        <v>0</v>
      </c>
      <c r="V328" s="5" t="s">
        <v>3122</v>
      </c>
      <c r="W328" s="5" t="s">
        <v>67</v>
      </c>
      <c r="X328" s="3" t="b">
        <v>0</v>
      </c>
      <c r="Y328" s="3" t="b">
        <v>0</v>
      </c>
      <c r="Z328" s="3" t="b">
        <v>0</v>
      </c>
      <c r="AA328" s="3" t="b">
        <v>0</v>
      </c>
      <c r="AB328" s="5" t="s">
        <v>3123</v>
      </c>
      <c r="AC328" s="5" t="s">
        <v>3124</v>
      </c>
      <c r="AD328" s="5" t="s">
        <v>3031</v>
      </c>
      <c r="AE328" s="5" t="s">
        <v>3032</v>
      </c>
      <c r="AF328" s="5" t="s">
        <v>3125</v>
      </c>
      <c r="AG328" s="5" t="s">
        <v>67</v>
      </c>
      <c r="AH328" s="5" t="s">
        <v>3126</v>
      </c>
      <c r="AI328" s="5" t="s">
        <v>3035</v>
      </c>
      <c r="AJ328" s="5" t="s">
        <v>67</v>
      </c>
      <c r="AK328" s="5" t="s">
        <v>67</v>
      </c>
      <c r="AL328" s="5" t="s">
        <v>67</v>
      </c>
      <c r="AM328" s="5" t="s">
        <v>3127</v>
      </c>
      <c r="AN328" s="5" t="s">
        <v>3037</v>
      </c>
      <c r="AO328" s="5" t="s">
        <v>67</v>
      </c>
      <c r="AP328" s="5" t="s">
        <v>3128</v>
      </c>
      <c r="AQ328" s="5" t="s">
        <v>67</v>
      </c>
      <c r="AR328" s="5" t="s">
        <v>67</v>
      </c>
      <c r="AW328" s="5" t="s">
        <v>67</v>
      </c>
      <c r="AX328" s="5" t="s">
        <v>67</v>
      </c>
      <c r="AY328" s="5" t="s">
        <v>67</v>
      </c>
      <c r="AZ328" s="5" t="s">
        <v>67</v>
      </c>
      <c r="BA328" s="3">
        <v>-129692674</v>
      </c>
      <c r="BD328" s="3">
        <v>2146189003</v>
      </c>
      <c r="BF328" s="5" t="s">
        <v>3039</v>
      </c>
      <c r="BG328" s="5" t="s">
        <v>3129</v>
      </c>
      <c r="BH328" s="5" t="s">
        <v>67</v>
      </c>
      <c r="BI328" s="5" t="s">
        <v>141</v>
      </c>
      <c r="BJ328" s="5" t="s">
        <v>67</v>
      </c>
      <c r="BK328" s="5" t="s">
        <v>67</v>
      </c>
      <c r="BL328" s="5" t="s">
        <v>67</v>
      </c>
      <c r="BM328" s="5" t="s">
        <v>67</v>
      </c>
      <c r="BN328" s="5" t="s">
        <v>67</v>
      </c>
      <c r="BO328" s="5" t="s">
        <v>67</v>
      </c>
    </row>
    <row r="329" spans="1:67" ht="90" x14ac:dyDescent="0.25">
      <c r="A329" s="3">
        <v>2146190023</v>
      </c>
      <c r="B329" s="4">
        <v>43013</v>
      </c>
      <c r="C329" s="3">
        <v>2146190024</v>
      </c>
      <c r="E329" s="3">
        <v>2146190024</v>
      </c>
      <c r="F329" s="3">
        <v>2146190022</v>
      </c>
      <c r="G329" s="3">
        <v>2146190024</v>
      </c>
      <c r="H329" s="5" t="s">
        <v>3130</v>
      </c>
      <c r="I329" s="3" t="b">
        <v>0</v>
      </c>
      <c r="J329" s="3" t="b">
        <v>0</v>
      </c>
      <c r="K329" s="3" t="b">
        <v>0</v>
      </c>
      <c r="L329" s="3" t="b">
        <v>1</v>
      </c>
      <c r="M329" s="3" t="b">
        <v>0</v>
      </c>
      <c r="N329" s="3" t="b">
        <v>0</v>
      </c>
      <c r="O329" s="3" t="b">
        <v>1</v>
      </c>
      <c r="P329" s="3" t="b">
        <v>1</v>
      </c>
      <c r="Q329" s="3" t="b">
        <v>0</v>
      </c>
      <c r="R329" s="3" t="s">
        <v>3131</v>
      </c>
      <c r="S329" s="5" t="s">
        <v>3132</v>
      </c>
      <c r="T329" s="3" t="b">
        <v>1</v>
      </c>
      <c r="U329" s="3" t="b">
        <v>1</v>
      </c>
      <c r="V329" s="5" t="s">
        <v>3133</v>
      </c>
      <c r="W329" s="5" t="s">
        <v>67</v>
      </c>
      <c r="X329" s="3" t="b">
        <v>0</v>
      </c>
      <c r="Y329" s="3" t="b">
        <v>0</v>
      </c>
      <c r="Z329" s="3" t="b">
        <v>0</v>
      </c>
      <c r="AA329" s="3" t="b">
        <v>0</v>
      </c>
      <c r="AB329" s="5" t="s">
        <v>3134</v>
      </c>
      <c r="AC329" s="5" t="s">
        <v>3135</v>
      </c>
      <c r="AD329" s="5" t="s">
        <v>3136</v>
      </c>
      <c r="AE329" s="5" t="s">
        <v>3137</v>
      </c>
      <c r="AF329" s="5" t="s">
        <v>3138</v>
      </c>
      <c r="AG329" s="5" t="s">
        <v>67</v>
      </c>
      <c r="AH329" s="5" t="s">
        <v>3139</v>
      </c>
      <c r="AI329" s="5" t="s">
        <v>3140</v>
      </c>
      <c r="AJ329" s="5" t="s">
        <v>67</v>
      </c>
      <c r="AK329" s="5" t="s">
        <v>67</v>
      </c>
      <c r="AL329" s="5" t="s">
        <v>67</v>
      </c>
      <c r="AM329" s="5" t="s">
        <v>3141</v>
      </c>
      <c r="AN329" s="5" t="s">
        <v>3142</v>
      </c>
      <c r="AO329" s="5" t="s">
        <v>67</v>
      </c>
      <c r="AP329" s="5" t="s">
        <v>67</v>
      </c>
      <c r="AQ329" s="5" t="s">
        <v>67</v>
      </c>
      <c r="AR329" s="5" t="s">
        <v>67</v>
      </c>
      <c r="AW329" s="5" t="s">
        <v>67</v>
      </c>
      <c r="AX329" s="5" t="s">
        <v>67</v>
      </c>
      <c r="AY329" s="5" t="s">
        <v>67</v>
      </c>
      <c r="AZ329" s="5" t="s">
        <v>67</v>
      </c>
      <c r="BA329" s="3">
        <v>2146190025</v>
      </c>
      <c r="BB329" s="3">
        <v>2146190026</v>
      </c>
      <c r="BD329" s="3">
        <v>2146190027</v>
      </c>
      <c r="BE329" s="3">
        <v>2146190027</v>
      </c>
      <c r="BF329" s="5" t="s">
        <v>3143</v>
      </c>
      <c r="BG329" s="5" t="s">
        <v>3144</v>
      </c>
      <c r="BH329" s="5" t="s">
        <v>3145</v>
      </c>
      <c r="BI329" s="5" t="s">
        <v>67</v>
      </c>
      <c r="BJ329" s="5" t="s">
        <v>67</v>
      </c>
      <c r="BK329" s="5" t="s">
        <v>67</v>
      </c>
      <c r="BL329" s="5" t="s">
        <v>3146</v>
      </c>
      <c r="BM329" s="5" t="s">
        <v>67</v>
      </c>
      <c r="BN329" s="5" t="s">
        <v>3147</v>
      </c>
      <c r="BO329" s="5" t="s">
        <v>67</v>
      </c>
    </row>
    <row r="330" spans="1:67" ht="150" x14ac:dyDescent="0.25">
      <c r="A330" s="3">
        <v>2146190031</v>
      </c>
      <c r="B330" s="4">
        <v>43041</v>
      </c>
      <c r="C330" s="3">
        <v>2146190032</v>
      </c>
      <c r="G330" s="3">
        <v>2146190057</v>
      </c>
      <c r="H330" s="5" t="s">
        <v>67</v>
      </c>
      <c r="I330" s="3" t="b">
        <v>0</v>
      </c>
      <c r="J330" s="3" t="b">
        <v>0</v>
      </c>
      <c r="K330" s="3" t="b">
        <v>0</v>
      </c>
      <c r="L330" s="3" t="b">
        <v>1</v>
      </c>
      <c r="M330" s="3" t="b">
        <v>1</v>
      </c>
      <c r="N330" s="3" t="b">
        <v>0</v>
      </c>
      <c r="O330" s="3" t="b">
        <v>0</v>
      </c>
      <c r="P330" s="3" t="b">
        <v>0</v>
      </c>
      <c r="Q330" s="3" t="b">
        <v>0</v>
      </c>
      <c r="R330" s="3" t="s">
        <v>67</v>
      </c>
      <c r="S330" s="5" t="s">
        <v>67</v>
      </c>
      <c r="T330" s="3" t="b">
        <v>1</v>
      </c>
      <c r="U330" s="3" t="b">
        <v>0</v>
      </c>
      <c r="V330" s="5" t="s">
        <v>67</v>
      </c>
      <c r="W330" s="5" t="s">
        <v>3148</v>
      </c>
      <c r="X330" s="3" t="b">
        <v>0</v>
      </c>
      <c r="Y330" s="3" t="b">
        <v>0</v>
      </c>
      <c r="Z330" s="3" t="b">
        <v>0</v>
      </c>
      <c r="AA330" s="3" t="b">
        <v>0</v>
      </c>
      <c r="AB330" s="5" t="s">
        <v>3149</v>
      </c>
      <c r="AC330" s="5" t="s">
        <v>67</v>
      </c>
      <c r="AD330" s="5" t="s">
        <v>67</v>
      </c>
      <c r="AE330" s="5" t="s">
        <v>67</v>
      </c>
      <c r="AF330" s="5" t="s">
        <v>3150</v>
      </c>
      <c r="AG330" s="5" t="s">
        <v>67</v>
      </c>
      <c r="AH330" s="5" t="s">
        <v>3151</v>
      </c>
      <c r="AI330" s="5" t="s">
        <v>3152</v>
      </c>
      <c r="AJ330" s="5" t="s">
        <v>67</v>
      </c>
      <c r="AK330" s="5" t="s">
        <v>67</v>
      </c>
      <c r="AL330" s="5" t="s">
        <v>67</v>
      </c>
      <c r="AM330" s="5" t="s">
        <v>3153</v>
      </c>
      <c r="AN330" s="5" t="s">
        <v>3154</v>
      </c>
      <c r="AO330" s="5" t="s">
        <v>67</v>
      </c>
      <c r="AP330" s="5" t="s">
        <v>67</v>
      </c>
      <c r="AQ330" s="5" t="s">
        <v>67</v>
      </c>
      <c r="AR330" s="5" t="s">
        <v>67</v>
      </c>
      <c r="AW330" s="5" t="s">
        <v>67</v>
      </c>
      <c r="AX330" s="5" t="s">
        <v>67</v>
      </c>
      <c r="AY330" s="5" t="s">
        <v>67</v>
      </c>
      <c r="AZ330" s="5" t="s">
        <v>67</v>
      </c>
      <c r="BA330" s="3">
        <v>2146190045</v>
      </c>
      <c r="BD330" s="3">
        <v>2146190058</v>
      </c>
      <c r="BF330" s="5" t="s">
        <v>67</v>
      </c>
      <c r="BG330" s="5" t="s">
        <v>3155</v>
      </c>
      <c r="BH330" s="5" t="s">
        <v>67</v>
      </c>
      <c r="BI330" s="5" t="s">
        <v>67</v>
      </c>
      <c r="BJ330" s="5" t="s">
        <v>67</v>
      </c>
      <c r="BK330" s="5" t="s">
        <v>67</v>
      </c>
      <c r="BL330" s="5" t="s">
        <v>3291</v>
      </c>
      <c r="BM330" s="5" t="s">
        <v>67</v>
      </c>
      <c r="BN330" s="5" t="s">
        <v>67</v>
      </c>
      <c r="BO330" s="5" t="s">
        <v>67</v>
      </c>
    </row>
    <row r="331" spans="1:67" ht="105" x14ac:dyDescent="0.25">
      <c r="A331" s="3">
        <v>2146190034</v>
      </c>
      <c r="B331" s="4">
        <v>43083</v>
      </c>
      <c r="C331" s="3">
        <v>2146190035</v>
      </c>
      <c r="G331" s="3">
        <v>2146190035</v>
      </c>
      <c r="H331" s="5" t="s">
        <v>67</v>
      </c>
      <c r="I331" s="3" t="b">
        <v>0</v>
      </c>
      <c r="J331" s="3" t="b">
        <v>0</v>
      </c>
      <c r="K331" s="3" t="b">
        <v>0</v>
      </c>
      <c r="L331" s="3" t="b">
        <v>1</v>
      </c>
      <c r="M331" s="3" t="b">
        <v>0</v>
      </c>
      <c r="N331" s="3" t="b">
        <v>1</v>
      </c>
      <c r="O331" s="3" t="b">
        <v>0</v>
      </c>
      <c r="P331" s="3" t="b">
        <v>0</v>
      </c>
      <c r="Q331" s="3" t="b">
        <v>0</v>
      </c>
      <c r="R331" s="3" t="s">
        <v>67</v>
      </c>
      <c r="S331" s="5" t="s">
        <v>3292</v>
      </c>
      <c r="T331" s="3" t="b">
        <v>1</v>
      </c>
      <c r="U331" s="3" t="b">
        <v>0</v>
      </c>
      <c r="V331" s="5" t="s">
        <v>3293</v>
      </c>
      <c r="W331" s="5" t="s">
        <v>3294</v>
      </c>
      <c r="X331" s="3" t="b">
        <v>0</v>
      </c>
      <c r="Y331" s="3" t="b">
        <v>0</v>
      </c>
      <c r="Z331" s="3" t="b">
        <v>0</v>
      </c>
      <c r="AA331" s="3" t="b">
        <v>1</v>
      </c>
      <c r="AB331" s="5" t="s">
        <v>3295</v>
      </c>
      <c r="AC331" s="5" t="s">
        <v>3296</v>
      </c>
      <c r="AD331" s="5" t="s">
        <v>67</v>
      </c>
      <c r="AE331" s="5" t="s">
        <v>3297</v>
      </c>
      <c r="AF331" s="5" t="s">
        <v>3298</v>
      </c>
      <c r="AG331" s="5" t="s">
        <v>3299</v>
      </c>
      <c r="AH331" s="5" t="s">
        <v>3300</v>
      </c>
      <c r="AI331" s="5" t="s">
        <v>3301</v>
      </c>
      <c r="AJ331" s="5" t="s">
        <v>67</v>
      </c>
      <c r="AK331" s="5" t="s">
        <v>3302</v>
      </c>
      <c r="AL331" s="5" t="s">
        <v>67</v>
      </c>
      <c r="AM331" s="5" t="s">
        <v>3303</v>
      </c>
      <c r="AN331" s="5" t="s">
        <v>3304</v>
      </c>
      <c r="AO331" s="5" t="s">
        <v>67</v>
      </c>
      <c r="AP331" s="5" t="s">
        <v>67</v>
      </c>
      <c r="AQ331" s="5" t="s">
        <v>67</v>
      </c>
      <c r="AR331" s="5" t="s">
        <v>67</v>
      </c>
      <c r="AW331" s="5" t="s">
        <v>67</v>
      </c>
      <c r="AX331" s="5" t="s">
        <v>67</v>
      </c>
      <c r="AY331" s="5" t="s">
        <v>67</v>
      </c>
      <c r="AZ331" s="5" t="s">
        <v>67</v>
      </c>
      <c r="BA331" s="3">
        <v>2146188990</v>
      </c>
      <c r="BB331" s="3">
        <v>2146189867</v>
      </c>
      <c r="BC331" s="3">
        <v>2146189303</v>
      </c>
      <c r="BD331" s="3">
        <v>2146189020</v>
      </c>
      <c r="BE331" s="3">
        <v>2146189020</v>
      </c>
      <c r="BF331" s="5" t="s">
        <v>67</v>
      </c>
      <c r="BG331" s="5" t="s">
        <v>3305</v>
      </c>
      <c r="BH331" s="5" t="s">
        <v>3306</v>
      </c>
      <c r="BI331" s="5" t="s">
        <v>67</v>
      </c>
      <c r="BJ331" s="5" t="s">
        <v>3307</v>
      </c>
      <c r="BK331" s="5" t="s">
        <v>67</v>
      </c>
      <c r="BL331" s="5" t="s">
        <v>3308</v>
      </c>
      <c r="BM331" s="5" t="s">
        <v>67</v>
      </c>
      <c r="BN331" s="5" t="s">
        <v>67</v>
      </c>
      <c r="BO331" s="5" t="s">
        <v>3309</v>
      </c>
    </row>
    <row r="332" spans="1:67" ht="165" x14ac:dyDescent="0.25">
      <c r="A332" s="3">
        <v>2146190037</v>
      </c>
      <c r="B332" s="4">
        <v>43041</v>
      </c>
      <c r="C332" s="3">
        <v>2146190038</v>
      </c>
      <c r="F332" s="3">
        <v>2146190039</v>
      </c>
      <c r="G332" s="3">
        <v>2146190041</v>
      </c>
      <c r="H332" s="5" t="s">
        <v>3156</v>
      </c>
      <c r="I332" s="3" t="b">
        <v>1</v>
      </c>
      <c r="J332" s="3" t="b">
        <v>0</v>
      </c>
      <c r="K332" s="3" t="b">
        <v>0</v>
      </c>
      <c r="L332" s="3" t="b">
        <v>0</v>
      </c>
      <c r="M332" s="3" t="b">
        <v>1</v>
      </c>
      <c r="N332" s="3" t="b">
        <v>0</v>
      </c>
      <c r="O332" s="3" t="b">
        <v>1</v>
      </c>
      <c r="P332" s="3" t="b">
        <v>1</v>
      </c>
      <c r="Q332" s="3" t="b">
        <v>0</v>
      </c>
      <c r="R332" s="3" t="s">
        <v>3157</v>
      </c>
      <c r="S332" s="5" t="s">
        <v>3158</v>
      </c>
      <c r="T332" s="3" t="b">
        <v>0</v>
      </c>
      <c r="U332" s="3" t="b">
        <v>0</v>
      </c>
      <c r="V332" s="5" t="s">
        <v>3159</v>
      </c>
      <c r="W332" s="5" t="s">
        <v>3160</v>
      </c>
      <c r="X332" s="3" t="b">
        <v>0</v>
      </c>
      <c r="Y332" s="3" t="b">
        <v>0</v>
      </c>
      <c r="Z332" s="3" t="b">
        <v>0</v>
      </c>
      <c r="AA332" s="3" t="b">
        <v>0</v>
      </c>
      <c r="AB332" s="5" t="s">
        <v>3161</v>
      </c>
      <c r="AC332" s="5" t="s">
        <v>3162</v>
      </c>
      <c r="AD332" s="5" t="s">
        <v>3163</v>
      </c>
      <c r="AE332" s="5" t="s">
        <v>67</v>
      </c>
      <c r="AF332" s="5" t="s">
        <v>3164</v>
      </c>
      <c r="AG332" s="5" t="s">
        <v>67</v>
      </c>
      <c r="AH332" s="5" t="s">
        <v>3165</v>
      </c>
      <c r="AI332" s="5" t="s">
        <v>67</v>
      </c>
      <c r="AJ332" s="5" t="s">
        <v>67</v>
      </c>
      <c r="AK332" s="5" t="s">
        <v>3166</v>
      </c>
      <c r="AL332" s="5" t="s">
        <v>67</v>
      </c>
      <c r="AM332" s="5" t="s">
        <v>3167</v>
      </c>
      <c r="AN332" s="5" t="s">
        <v>67</v>
      </c>
      <c r="AO332" s="5" t="s">
        <v>67</v>
      </c>
      <c r="AP332" s="5" t="s">
        <v>67</v>
      </c>
      <c r="AQ332" s="5" t="s">
        <v>3168</v>
      </c>
      <c r="AR332" s="5" t="s">
        <v>67</v>
      </c>
      <c r="AW332" s="5" t="s">
        <v>67</v>
      </c>
      <c r="AX332" s="5" t="s">
        <v>67</v>
      </c>
      <c r="AY332" s="5" t="s">
        <v>67</v>
      </c>
      <c r="AZ332" s="5" t="s">
        <v>67</v>
      </c>
      <c r="BA332" s="3">
        <v>2146189786</v>
      </c>
      <c r="BD332" s="3">
        <v>2146188974</v>
      </c>
      <c r="BE332" s="3">
        <v>2146188974</v>
      </c>
      <c r="BF332" s="5" t="s">
        <v>3169</v>
      </c>
      <c r="BG332" s="5" t="s">
        <v>97</v>
      </c>
      <c r="BH332" s="5" t="s">
        <v>3170</v>
      </c>
      <c r="BI332" s="5" t="s">
        <v>210</v>
      </c>
      <c r="BJ332" s="5" t="s">
        <v>3171</v>
      </c>
      <c r="BK332" s="5" t="s">
        <v>3172</v>
      </c>
      <c r="BL332" s="5" t="s">
        <v>3173</v>
      </c>
      <c r="BM332" s="5" t="s">
        <v>67</v>
      </c>
      <c r="BN332" s="5" t="s">
        <v>67</v>
      </c>
      <c r="BO332" s="5" t="s">
        <v>67</v>
      </c>
    </row>
    <row r="333" spans="1:67" x14ac:dyDescent="0.25">
      <c r="A333" s="3">
        <v>2146190042</v>
      </c>
      <c r="B333" s="4">
        <v>43027.437291666698</v>
      </c>
      <c r="C333" s="3">
        <v>2146190043</v>
      </c>
      <c r="E333" s="3">
        <v>2146190043</v>
      </c>
      <c r="F333" s="3">
        <v>2146189500</v>
      </c>
      <c r="H333" s="5" t="s">
        <v>67</v>
      </c>
      <c r="I333" s="3" t="b">
        <v>0</v>
      </c>
      <c r="J333" s="3" t="b">
        <v>0</v>
      </c>
      <c r="K333" s="3" t="b">
        <v>0</v>
      </c>
      <c r="L333" s="3" t="b">
        <v>0</v>
      </c>
      <c r="M333" s="3" t="b">
        <v>0</v>
      </c>
      <c r="N333" s="3" t="b">
        <v>0</v>
      </c>
      <c r="O333" s="3" t="b">
        <v>0</v>
      </c>
      <c r="P333" s="3" t="b">
        <v>0</v>
      </c>
      <c r="Q333" s="3" t="b">
        <v>0</v>
      </c>
      <c r="R333" s="3" t="s">
        <v>67</v>
      </c>
      <c r="S333" s="5" t="s">
        <v>67</v>
      </c>
      <c r="T333" s="3" t="b">
        <v>0</v>
      </c>
      <c r="U333" s="3" t="b">
        <v>0</v>
      </c>
      <c r="V333" s="5" t="s">
        <v>67</v>
      </c>
      <c r="W333" s="5" t="s">
        <v>67</v>
      </c>
      <c r="X333" s="3" t="b">
        <v>0</v>
      </c>
      <c r="Y333" s="3" t="b">
        <v>0</v>
      </c>
      <c r="Z333" s="3" t="b">
        <v>0</v>
      </c>
      <c r="AA333" s="3" t="b">
        <v>0</v>
      </c>
      <c r="AB333" s="5" t="s">
        <v>67</v>
      </c>
      <c r="AC333" s="5" t="s">
        <v>67</v>
      </c>
      <c r="AD333" s="5" t="s">
        <v>67</v>
      </c>
      <c r="AE333" s="5" t="s">
        <v>67</v>
      </c>
      <c r="AF333" s="5" t="s">
        <v>67</v>
      </c>
      <c r="AG333" s="5" t="s">
        <v>67</v>
      </c>
      <c r="AH333" s="5" t="s">
        <v>67</v>
      </c>
      <c r="AI333" s="5" t="s">
        <v>67</v>
      </c>
      <c r="AJ333" s="5" t="s">
        <v>67</v>
      </c>
      <c r="AK333" s="5" t="s">
        <v>67</v>
      </c>
      <c r="AL333" s="5" t="s">
        <v>67</v>
      </c>
      <c r="AM333" s="5" t="s">
        <v>67</v>
      </c>
      <c r="AN333" s="5" t="s">
        <v>67</v>
      </c>
      <c r="AO333" s="5" t="s">
        <v>67</v>
      </c>
      <c r="AP333" s="5" t="s">
        <v>67</v>
      </c>
      <c r="AQ333" s="5" t="s">
        <v>67</v>
      </c>
      <c r="AR333" s="5" t="s">
        <v>67</v>
      </c>
      <c r="AW333" s="5" t="s">
        <v>67</v>
      </c>
      <c r="AX333" s="5" t="s">
        <v>67</v>
      </c>
      <c r="AY333" s="5" t="s">
        <v>67</v>
      </c>
      <c r="AZ333" s="5" t="s">
        <v>67</v>
      </c>
      <c r="BF333" s="5" t="s">
        <v>67</v>
      </c>
      <c r="BG333" s="5" t="s">
        <v>67</v>
      </c>
      <c r="BH333" s="5" t="s">
        <v>67</v>
      </c>
      <c r="BI333" s="5" t="s">
        <v>67</v>
      </c>
      <c r="BJ333" s="5" t="s">
        <v>67</v>
      </c>
      <c r="BK333" s="5" t="s">
        <v>67</v>
      </c>
      <c r="BL333" s="5" t="s">
        <v>67</v>
      </c>
      <c r="BM333" s="5" t="s">
        <v>67</v>
      </c>
      <c r="BN333" s="5" t="s">
        <v>67</v>
      </c>
      <c r="BO333" s="5" t="s">
        <v>67</v>
      </c>
    </row>
    <row r="334" spans="1:67" ht="165" x14ac:dyDescent="0.25">
      <c r="A334" s="3">
        <v>2146190044</v>
      </c>
      <c r="B334" s="4">
        <v>43041</v>
      </c>
      <c r="C334" s="3">
        <v>2146190043</v>
      </c>
      <c r="E334" s="3">
        <v>2146190043</v>
      </c>
      <c r="F334" s="3">
        <v>2146189500</v>
      </c>
      <c r="G334" s="3">
        <v>2146189500</v>
      </c>
      <c r="H334" s="5" t="s">
        <v>3310</v>
      </c>
      <c r="I334" s="3" t="b">
        <v>0</v>
      </c>
      <c r="J334" s="3" t="b">
        <v>0</v>
      </c>
      <c r="K334" s="3" t="b">
        <v>0</v>
      </c>
      <c r="L334" s="3" t="b">
        <v>1</v>
      </c>
      <c r="M334" s="3" t="b">
        <v>1</v>
      </c>
      <c r="N334" s="3" t="b">
        <v>0</v>
      </c>
      <c r="O334" s="3" t="b">
        <v>0</v>
      </c>
      <c r="P334" s="3" t="b">
        <v>0</v>
      </c>
      <c r="Q334" s="3" t="b">
        <v>0</v>
      </c>
      <c r="R334" s="3" t="s">
        <v>3174</v>
      </c>
      <c r="S334" s="5" t="s">
        <v>3175</v>
      </c>
      <c r="T334" s="3" t="b">
        <v>0</v>
      </c>
      <c r="U334" s="3" t="b">
        <v>1</v>
      </c>
      <c r="V334" s="5" t="s">
        <v>3176</v>
      </c>
      <c r="W334" s="5" t="s">
        <v>3177</v>
      </c>
      <c r="X334" s="3" t="b">
        <v>0</v>
      </c>
      <c r="Y334" s="3" t="b">
        <v>0</v>
      </c>
      <c r="Z334" s="3" t="b">
        <v>0</v>
      </c>
      <c r="AA334" s="3" t="b">
        <v>0</v>
      </c>
      <c r="AB334" s="5" t="s">
        <v>3178</v>
      </c>
      <c r="AC334" s="5" t="s">
        <v>3179</v>
      </c>
      <c r="AD334" s="5" t="s">
        <v>3180</v>
      </c>
      <c r="AE334" s="5" t="s">
        <v>3181</v>
      </c>
      <c r="AF334" s="5" t="s">
        <v>3182</v>
      </c>
      <c r="AG334" s="5" t="s">
        <v>3183</v>
      </c>
      <c r="AH334" s="5" t="s">
        <v>3184</v>
      </c>
      <c r="AI334" s="5" t="s">
        <v>67</v>
      </c>
      <c r="AJ334" s="5" t="s">
        <v>67</v>
      </c>
      <c r="AK334" s="5" t="s">
        <v>67</v>
      </c>
      <c r="AL334" s="5" t="s">
        <v>67</v>
      </c>
      <c r="AM334" s="5" t="s">
        <v>3185</v>
      </c>
      <c r="AN334" s="5" t="s">
        <v>3186</v>
      </c>
      <c r="AO334" s="5" t="s">
        <v>67</v>
      </c>
      <c r="AP334" s="5" t="s">
        <v>67</v>
      </c>
      <c r="AQ334" s="5" t="s">
        <v>67</v>
      </c>
      <c r="AR334" s="5" t="s">
        <v>67</v>
      </c>
      <c r="AW334" s="5" t="s">
        <v>67</v>
      </c>
      <c r="AX334" s="5" t="s">
        <v>67</v>
      </c>
      <c r="AY334" s="5" t="s">
        <v>67</v>
      </c>
      <c r="AZ334" s="5" t="s">
        <v>67</v>
      </c>
      <c r="BF334" s="5" t="s">
        <v>67</v>
      </c>
      <c r="BG334" s="5" t="s">
        <v>3187</v>
      </c>
      <c r="BH334" s="5" t="s">
        <v>3311</v>
      </c>
      <c r="BI334" s="5" t="s">
        <v>67</v>
      </c>
      <c r="BJ334" s="5" t="s">
        <v>3188</v>
      </c>
      <c r="BK334" s="5" t="s">
        <v>3189</v>
      </c>
      <c r="BL334" s="5" t="s">
        <v>3190</v>
      </c>
      <c r="BM334" s="5" t="s">
        <v>67</v>
      </c>
      <c r="BN334" s="5" t="s">
        <v>3312</v>
      </c>
      <c r="BO334" s="5" t="s">
        <v>67</v>
      </c>
    </row>
    <row r="335" spans="1:67" x14ac:dyDescent="0.25">
      <c r="A335" s="3">
        <v>2146190077</v>
      </c>
      <c r="B335" s="4">
        <v>43083.423414351899</v>
      </c>
      <c r="C335" s="3">
        <v>2146190035</v>
      </c>
      <c r="H335" s="5" t="s">
        <v>67</v>
      </c>
      <c r="I335" s="3" t="b">
        <v>0</v>
      </c>
      <c r="J335" s="3" t="b">
        <v>0</v>
      </c>
      <c r="K335" s="3" t="b">
        <v>0</v>
      </c>
      <c r="L335" s="3" t="b">
        <v>0</v>
      </c>
      <c r="M335" s="3" t="b">
        <v>0</v>
      </c>
      <c r="N335" s="3" t="b">
        <v>0</v>
      </c>
      <c r="O335" s="3" t="b">
        <v>0</v>
      </c>
      <c r="P335" s="3" t="b">
        <v>0</v>
      </c>
      <c r="Q335" s="3" t="b">
        <v>0</v>
      </c>
      <c r="R335" s="3" t="s">
        <v>67</v>
      </c>
      <c r="S335" s="5" t="s">
        <v>67</v>
      </c>
      <c r="T335" s="3" t="b">
        <v>0</v>
      </c>
      <c r="U335" s="3" t="b">
        <v>0</v>
      </c>
      <c r="V335" s="5" t="s">
        <v>67</v>
      </c>
      <c r="W335" s="5" t="s">
        <v>67</v>
      </c>
      <c r="X335" s="3" t="b">
        <v>0</v>
      </c>
      <c r="Y335" s="3" t="b">
        <v>0</v>
      </c>
      <c r="Z335" s="3" t="b">
        <v>0</v>
      </c>
      <c r="AA335" s="3" t="b">
        <v>0</v>
      </c>
      <c r="AB335" s="5" t="s">
        <v>67</v>
      </c>
      <c r="AC335" s="5" t="s">
        <v>67</v>
      </c>
      <c r="AD335" s="5" t="s">
        <v>67</v>
      </c>
      <c r="AE335" s="5" t="s">
        <v>67</v>
      </c>
      <c r="AF335" s="5" t="s">
        <v>67</v>
      </c>
      <c r="AG335" s="5" t="s">
        <v>67</v>
      </c>
      <c r="AH335" s="5" t="s">
        <v>67</v>
      </c>
      <c r="AI335" s="5" t="s">
        <v>67</v>
      </c>
      <c r="AJ335" s="5" t="s">
        <v>67</v>
      </c>
      <c r="AK335" s="5" t="s">
        <v>67</v>
      </c>
      <c r="AL335" s="5" t="s">
        <v>67</v>
      </c>
      <c r="AM335" s="5" t="s">
        <v>67</v>
      </c>
      <c r="AN335" s="5" t="s">
        <v>67</v>
      </c>
      <c r="AO335" s="5" t="s">
        <v>67</v>
      </c>
      <c r="AP335" s="5" t="s">
        <v>67</v>
      </c>
      <c r="AQ335" s="5" t="s">
        <v>67</v>
      </c>
      <c r="AR335" s="5" t="s">
        <v>67</v>
      </c>
      <c r="AW335" s="5" t="s">
        <v>67</v>
      </c>
      <c r="AX335" s="5" t="s">
        <v>67</v>
      </c>
      <c r="AY335" s="5" t="s">
        <v>67</v>
      </c>
      <c r="AZ335" s="5" t="s">
        <v>67</v>
      </c>
      <c r="BF335" s="5" t="s">
        <v>67</v>
      </c>
      <c r="BG335" s="5" t="s">
        <v>67</v>
      </c>
      <c r="BH335" s="5" t="s">
        <v>67</v>
      </c>
      <c r="BI335" s="5" t="s">
        <v>67</v>
      </c>
      <c r="BJ335" s="5" t="s">
        <v>67</v>
      </c>
      <c r="BK335" s="5" t="s">
        <v>67</v>
      </c>
      <c r="BL335" s="5" t="s">
        <v>67</v>
      </c>
      <c r="BM335" s="5" t="s">
        <v>67</v>
      </c>
      <c r="BN335" s="5" t="s">
        <v>67</v>
      </c>
      <c r="BO335" s="5"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36"/>
  <sheetViews>
    <sheetView workbookViewId="0">
      <selection activeCell="A3" sqref="A3:AC335"/>
    </sheetView>
  </sheetViews>
  <sheetFormatPr baseColWidth="10" defaultRowHeight="15" x14ac:dyDescent="0.25"/>
  <cols>
    <col min="1" max="1" width="6.7109375" bestFit="1" customWidth="1"/>
    <col min="2" max="2" width="15.85546875" customWidth="1"/>
    <col min="3" max="3" width="20.28515625" bestFit="1" customWidth="1"/>
    <col min="4" max="5" width="15.85546875" bestFit="1" customWidth="1"/>
    <col min="6" max="6" width="15.5703125" bestFit="1" customWidth="1"/>
    <col min="7" max="7" width="15.85546875" bestFit="1" customWidth="1"/>
    <col min="8" max="8" width="17.5703125" bestFit="1" customWidth="1"/>
    <col min="9" max="10" width="15.42578125" bestFit="1" customWidth="1"/>
    <col min="11" max="11" width="15.140625" bestFit="1" customWidth="1"/>
    <col min="12" max="12" width="15.42578125" bestFit="1" customWidth="1"/>
    <col min="13" max="15" width="13.7109375" bestFit="1" customWidth="1"/>
    <col min="16" max="16" width="17.85546875" bestFit="1" customWidth="1"/>
    <col min="17" max="17" width="12.7109375" bestFit="1" customWidth="1"/>
    <col min="18" max="18" width="13.5703125" bestFit="1" customWidth="1"/>
    <col min="19" max="19" width="17.5703125" bestFit="1" customWidth="1"/>
    <col min="20" max="20" width="18.28515625" bestFit="1" customWidth="1"/>
    <col min="21" max="21" width="10.28515625" bestFit="1" customWidth="1"/>
    <col min="22" max="22" width="12.85546875" bestFit="1" customWidth="1"/>
    <col min="23" max="23" width="12" bestFit="1" customWidth="1"/>
    <col min="24" max="24" width="17.140625" bestFit="1" customWidth="1"/>
    <col min="25" max="25" width="12.140625" bestFit="1" customWidth="1"/>
    <col min="26" max="26" width="13.28515625" bestFit="1" customWidth="1"/>
    <col min="27" max="27" width="13.140625" bestFit="1" customWidth="1"/>
    <col min="28" max="28" width="16.85546875" bestFit="1" customWidth="1"/>
    <col min="29" max="29" width="8.28515625" bestFit="1" customWidth="1"/>
  </cols>
  <sheetData>
    <row r="1" spans="1:29" x14ac:dyDescent="0.25">
      <c r="A1" t="s">
        <v>3191</v>
      </c>
      <c r="B1" t="s">
        <v>3192</v>
      </c>
      <c r="C1" t="s">
        <v>3193</v>
      </c>
      <c r="D1" t="s">
        <v>3194</v>
      </c>
      <c r="E1" t="s">
        <v>3195</v>
      </c>
      <c r="F1" t="s">
        <v>3196</v>
      </c>
      <c r="G1" t="s">
        <v>3197</v>
      </c>
      <c r="H1" t="s">
        <v>3198</v>
      </c>
      <c r="I1" t="s">
        <v>3199</v>
      </c>
      <c r="J1" t="s">
        <v>3200</v>
      </c>
      <c r="K1" t="s">
        <v>3201</v>
      </c>
      <c r="L1" t="s">
        <v>3202</v>
      </c>
      <c r="M1" t="s">
        <v>3203</v>
      </c>
      <c r="N1" t="s">
        <v>3204</v>
      </c>
      <c r="O1" t="s">
        <v>3205</v>
      </c>
      <c r="P1" t="s">
        <v>3206</v>
      </c>
      <c r="Q1" t="s">
        <v>3207</v>
      </c>
      <c r="R1" t="s">
        <v>3208</v>
      </c>
      <c r="S1" t="s">
        <v>3209</v>
      </c>
      <c r="T1" t="s">
        <v>3210</v>
      </c>
      <c r="U1" t="s">
        <v>3211</v>
      </c>
      <c r="V1" t="s">
        <v>3212</v>
      </c>
      <c r="W1" t="s">
        <v>3213</v>
      </c>
      <c r="X1" t="s">
        <v>3214</v>
      </c>
      <c r="Y1" t="s">
        <v>3215</v>
      </c>
      <c r="Z1" t="s">
        <v>3216</v>
      </c>
      <c r="AA1" t="s">
        <v>3217</v>
      </c>
      <c r="AB1" t="s">
        <v>3218</v>
      </c>
      <c r="AC1" t="s">
        <v>3219</v>
      </c>
    </row>
    <row r="2" spans="1:29" ht="15.75" customHeight="1" x14ac:dyDescent="0.25">
      <c r="B2" t="str">
        <f>gescon_infosparticip!A1</f>
        <v>membre</v>
      </c>
      <c r="C2" t="str">
        <f>gescon_infosparticip!AH1</f>
        <v>autonomierepas</v>
      </c>
      <c r="D2" t="str">
        <f>gescon_infosparticip!AI1</f>
        <v>alim_prefere</v>
      </c>
      <c r="E2" t="str">
        <f>gescon_infosparticip!AJ1</f>
        <v>alim_regime</v>
      </c>
      <c r="F2" t="str">
        <f>gescon_infosparticip!AK1</f>
        <v>alim_decons</v>
      </c>
      <c r="G2" t="str">
        <f>gescon_infosparticip!AL1</f>
        <v>alim_interdit</v>
      </c>
      <c r="H2" t="str">
        <f>gescon_infosparticip!AM1</f>
        <v>bois_condition</v>
      </c>
      <c r="I2" t="str">
        <f>gescon_infosparticip!AN1</f>
        <v>bois_prefere</v>
      </c>
      <c r="J2" t="str">
        <f>gescon_infosparticip!AO1</f>
        <v>bois_regime</v>
      </c>
      <c r="K2" t="str">
        <f>gescon_infosparticip!AP1</f>
        <v>bois_decons</v>
      </c>
      <c r="L2" t="str">
        <f>gescon_infosparticip!AQ1</f>
        <v>bois_interdit</v>
      </c>
      <c r="M2" t="str">
        <f>gescon_infosparticip!BA1</f>
        <v>Medecin 1</v>
      </c>
      <c r="N2" t="str">
        <f>gescon_infosparticip!BB1</f>
        <v>Medecin 2</v>
      </c>
      <c r="O2" t="str">
        <f>gescon_infosparticip!BC1</f>
        <v>Medecin 3</v>
      </c>
      <c r="P2" t="str">
        <f>gescon_infosparticip!BD1</f>
        <v>Caisse maladie</v>
      </c>
      <c r="Q2" t="str">
        <f>gescon_infosparticip!BE1</f>
        <v>Accident</v>
      </c>
      <c r="R2" t="str">
        <f>gescon_infosparticip!BF1</f>
        <v>no_assuré</v>
      </c>
      <c r="S2" t="str">
        <f>gescon_infosparticip!BG1</f>
        <v>Type de handicap</v>
      </c>
      <c r="T2" t="str">
        <f>gescon_infosparticip!BH1</f>
        <v>Handicaps Associés</v>
      </c>
      <c r="U2" t="str">
        <f>gescon_infosparticip!BI1</f>
        <v>deg_impot</v>
      </c>
      <c r="V2" t="str">
        <f>gescon_infosparticip!BJ1</f>
        <v>Allergies</v>
      </c>
      <c r="W2" t="str">
        <f>gescon_infosparticip!BK1</f>
        <v>toilette</v>
      </c>
      <c r="X2" t="str">
        <f>gescon_infosparticip!BL1</f>
        <v>incontinence</v>
      </c>
      <c r="Y2" t="str">
        <f>gescon_infosparticip!BM1</f>
        <v>escarres</v>
      </c>
    </row>
    <row r="3" spans="1:29" ht="15.75" customHeight="1" x14ac:dyDescent="0.25">
      <c r="B3">
        <f>gescon_infosparticip!A2</f>
        <v>-2138585887</v>
      </c>
      <c r="C3" t="str">
        <f>gescon_infosparticip!AH2</f>
        <v>Incliner légèrement son fauteuil en arrière pour facilier la déglutition. Alimentation normale. Couper fin, très petit, si trop secd rajouter du lait et lui donner à manger.</v>
      </c>
      <c r="D3" t="str">
        <f>gescon_infosparticip!AI2</f>
        <v/>
      </c>
      <c r="E3" t="str">
        <f>gescon_infosparticip!AJ2</f>
        <v/>
      </c>
      <c r="F3" t="str">
        <f>gescon_infosparticip!AK2</f>
        <v/>
      </c>
      <c r="G3" t="str">
        <f>gescon_infosparticip!AL2</f>
        <v/>
      </c>
      <c r="H3" t="str">
        <f>gescon_infosparticip!AM2</f>
        <v>II boit à la paille</v>
      </c>
      <c r="I3" t="str">
        <f>gescon_infosparticip!AN2</f>
        <v>café</v>
      </c>
      <c r="J3" t="str">
        <f>gescon_infosparticip!AO2</f>
        <v/>
      </c>
      <c r="K3" t="str">
        <f>gescon_infosparticip!AP2</f>
        <v/>
      </c>
      <c r="L3" t="str">
        <f>gescon_infosparticip!AQ2</f>
        <v/>
      </c>
      <c r="M3">
        <f>gescon_infosparticip!BA2</f>
        <v>0</v>
      </c>
      <c r="N3">
        <f>gescon_infosparticip!BB2</f>
        <v>0</v>
      </c>
      <c r="O3">
        <f>gescon_infosparticip!BC2</f>
        <v>0</v>
      </c>
      <c r="P3">
        <f>gescon_infosparticip!BD2</f>
        <v>0</v>
      </c>
      <c r="Q3">
        <f>gescon_infosparticip!BE2</f>
        <v>0</v>
      </c>
      <c r="R3" t="str">
        <f>gescon_infosparticip!BF2</f>
        <v/>
      </c>
      <c r="S3" t="str">
        <f>gescon_infosparticip!BG2</f>
        <v>IMC profond</v>
      </c>
      <c r="T3" t="str">
        <f>gescon_infosparticip!BH2</f>
        <v>Handicap mental, troubles moteurs</v>
      </c>
      <c r="U3" t="str">
        <f>gescon_infosparticip!BI2</f>
        <v>Elevé</v>
      </c>
      <c r="V3" t="str">
        <f>gescon_infosparticip!BJ2</f>
        <v>protéger Alain du soleil (chapeau, crème). Il a une peau très sensible, faire attention aux coups de soleil dans la nuque!</v>
      </c>
      <c r="W3" t="str">
        <f>gescon_infosparticip!BK2</f>
        <v>Aide complète. Attention a bien mettre son plateau pour évtier les blessures aux genoux. Chaise percée pour douche tous les jours.</v>
      </c>
      <c r="X3" t="str">
        <f>gescon_infosparticip!BL2</f>
        <v>lain a une autonomie moyenne. Par commodité, il est langé à l'extérieur de la maison. Au changement de lange (matin, midi, soir, avant le coucher), lui demander s'il veut aller aux toillettes</v>
      </c>
      <c r="Y3" t="str">
        <f>gescon_infosparticip!BM2</f>
        <v>massage des pieds et des fesses</v>
      </c>
    </row>
    <row r="4" spans="1:29" ht="15.75" customHeight="1" x14ac:dyDescent="0.25">
      <c r="B4">
        <f>gescon_infosparticip!A3</f>
        <v>-1974002318</v>
      </c>
      <c r="C4" t="str">
        <f>gescon_infosparticip!AH3</f>
        <v>Alycia est alimentée par sonde. 150 ml de frébini 300m/h avec la pompe. (peg) matin, midi et soir avec la pompe et le sachet alimentaire. Donner de l'eau 3x/jours 150ml
Prend environs 30 min pour le repas trois fois limentation avec les sachet pour la boisson. On peut l'alimenter durant les transports ou en déplacement sur la chaise.</v>
      </c>
      <c r="D4" t="str">
        <f>gescon_infosparticip!AI3</f>
        <v/>
      </c>
      <c r="E4" t="str">
        <f>gescon_infosparticip!AJ3</f>
        <v/>
      </c>
      <c r="F4" t="str">
        <f>gescon_infosparticip!AK3</f>
        <v/>
      </c>
      <c r="G4" t="str">
        <f>gescon_infosparticip!AL3</f>
        <v/>
      </c>
      <c r="H4" t="str">
        <f>gescon_infosparticip!AM3</f>
        <v/>
      </c>
      <c r="I4" t="str">
        <f>gescon_infosparticip!AN3</f>
        <v/>
      </c>
      <c r="J4" t="str">
        <f>gescon_infosparticip!AO3</f>
        <v/>
      </c>
      <c r="K4" t="str">
        <f>gescon_infosparticip!AP3</f>
        <v/>
      </c>
      <c r="L4" t="str">
        <f>gescon_infosparticip!AQ3</f>
        <v/>
      </c>
      <c r="M4">
        <f>gescon_infosparticip!BA3</f>
        <v>226884306</v>
      </c>
      <c r="N4">
        <f>gescon_infosparticip!BB3</f>
        <v>0</v>
      </c>
      <c r="O4">
        <f>gescon_infosparticip!BC3</f>
        <v>0</v>
      </c>
      <c r="P4">
        <f>gescon_infosparticip!BD3</f>
        <v>2146189019</v>
      </c>
      <c r="Q4">
        <f>gescon_infosparticip!BE3</f>
        <v>0</v>
      </c>
      <c r="R4" t="str">
        <f>gescon_infosparticip!BF3</f>
        <v>00807.17.515.7</v>
      </c>
      <c r="S4" t="str">
        <f>gescon_infosparticip!BG3</f>
        <v>Polyhandicap</v>
      </c>
      <c r="T4" t="str">
        <f>gescon_infosparticip!BH3</f>
        <v>A mettre lunettes médicales la journée</v>
      </c>
      <c r="U4" t="str">
        <f>gescon_infosparticip!BI3</f>
        <v/>
      </c>
      <c r="V4" t="str">
        <f>gescon_infosparticip!BJ3</f>
        <v/>
      </c>
      <c r="W4" t="str">
        <f>gescon_infosparticip!BK3</f>
        <v>Changer les protections matin, midi et soir. Aussi si ell a été à selle.</v>
      </c>
      <c r="X4" t="str">
        <f>gescon_infosparticip!BL3</f>
        <v/>
      </c>
      <c r="Y4" t="str">
        <f>gescon_infosparticip!BM3</f>
        <v/>
      </c>
    </row>
    <row r="5" spans="1:29" ht="15.75" customHeight="1" x14ac:dyDescent="0.25">
      <c r="B5">
        <f>gescon_infosparticip!A4</f>
        <v>-1949668449</v>
      </c>
      <c r="C5" t="str">
        <f>gescon_infosparticip!AH4</f>
        <v/>
      </c>
      <c r="D5" t="str">
        <f>gescon_infosparticip!AI4</f>
        <v/>
      </c>
      <c r="E5" t="str">
        <f>gescon_infosparticip!AJ4</f>
        <v/>
      </c>
      <c r="F5" t="str">
        <f>gescon_infosparticip!AK4</f>
        <v/>
      </c>
      <c r="G5" t="str">
        <f>gescon_infosparticip!AL4</f>
        <v/>
      </c>
      <c r="H5" t="str">
        <f>gescon_infosparticip!AM4</f>
        <v/>
      </c>
      <c r="I5" t="str">
        <f>gescon_infosparticip!AN4</f>
        <v/>
      </c>
      <c r="J5" t="str">
        <f>gescon_infosparticip!AO4</f>
        <v/>
      </c>
      <c r="K5" t="str">
        <f>gescon_infosparticip!AP4</f>
        <v/>
      </c>
      <c r="L5" t="str">
        <f>gescon_infosparticip!AQ4</f>
        <v/>
      </c>
      <c r="M5">
        <f>gescon_infosparticip!BA4</f>
        <v>107</v>
      </c>
      <c r="N5">
        <f>gescon_infosparticip!BB4</f>
        <v>0</v>
      </c>
      <c r="O5">
        <f>gescon_infosparticip!BC4</f>
        <v>0</v>
      </c>
      <c r="P5">
        <f>gescon_infosparticip!BD4</f>
        <v>0</v>
      </c>
      <c r="Q5">
        <f>gescon_infosparticip!BE4</f>
        <v>0</v>
      </c>
      <c r="R5" t="str">
        <f>gescon_infosparticip!BF4</f>
        <v/>
      </c>
      <c r="S5" t="str">
        <f>gescon_infosparticip!BG4</f>
        <v>IMC</v>
      </c>
      <c r="T5" t="str">
        <f>gescon_infosparticip!BH4</f>
        <v>Diplégie spastique, retard mental, comportement autistique, handicap mental</v>
      </c>
      <c r="U5" t="str">
        <f>gescon_infosparticip!BI4</f>
        <v/>
      </c>
      <c r="V5" t="str">
        <f>gescon_infosparticip!BJ4</f>
        <v/>
      </c>
      <c r="W5" t="str">
        <f>gescon_infosparticip!BK4</f>
        <v/>
      </c>
      <c r="X5" t="str">
        <f>gescon_infosparticip!BL4</f>
        <v/>
      </c>
      <c r="Y5" t="str">
        <f>gescon_infosparticip!BM4</f>
        <v/>
      </c>
    </row>
    <row r="6" spans="1:29" ht="15.75" customHeight="1" x14ac:dyDescent="0.25">
      <c r="B6">
        <f>gescon_infosparticip!A5</f>
        <v>-1887115141</v>
      </c>
      <c r="C6" t="str">
        <f>gescon_infosparticip!AH5</f>
        <v>les aliments sont à couper, elle mange seule avec une fourchette dans une assiette creuse ; fait le mouvement de pelle côté droit et elle doit  mettre la main gauche à plat sur la table les doigts légèrement écartés.</v>
      </c>
      <c r="D6" t="str">
        <f>gescon_infosparticip!AI5</f>
        <v/>
      </c>
      <c r="E6" t="str">
        <f>gescon_infosparticip!AJ5</f>
        <v/>
      </c>
      <c r="F6" t="str">
        <f>gescon_infosparticip!AK5</f>
        <v/>
      </c>
      <c r="G6" t="str">
        <f>gescon_infosparticip!AL5</f>
        <v/>
      </c>
      <c r="H6" t="str">
        <f>gescon_infosparticip!AM5</f>
        <v>elle boit dans un gobelet spécial avec 2 anses. Lors de déplacement elle arrive à boire dans un verre normal.
Matin : Tartine au beurre, confiture et café et fruit habituellement. Les autres repas elle mange de tout et sait dire lorsqu’elle ne veut plus.
Elle apprécie boire de l’eau, du sirop ou autre minéralesIl faut l'asseoir sur une chaise avec des accoudoirs.</v>
      </c>
      <c r="I6" t="str">
        <f>gescon_infosparticip!AN5</f>
        <v/>
      </c>
      <c r="J6" t="str">
        <f>gescon_infosparticip!AO5</f>
        <v/>
      </c>
      <c r="K6" t="str">
        <f>gescon_infosparticip!AP5</f>
        <v/>
      </c>
      <c r="L6" t="str">
        <f>gescon_infosparticip!AQ5</f>
        <v/>
      </c>
      <c r="M6">
        <f>gescon_infosparticip!BA5</f>
        <v>107</v>
      </c>
      <c r="N6">
        <f>gescon_infosparticip!BB5</f>
        <v>0</v>
      </c>
      <c r="O6">
        <f>gescon_infosparticip!BC5</f>
        <v>0</v>
      </c>
      <c r="P6">
        <f>gescon_infosparticip!BD5</f>
        <v>2146189028</v>
      </c>
      <c r="Q6">
        <f>gescon_infosparticip!BE5</f>
        <v>2146189028</v>
      </c>
      <c r="R6" t="str">
        <f>gescon_infosparticip!BF5</f>
        <v>3705</v>
      </c>
      <c r="S6" t="str">
        <f>gescon_infosparticip!BG5</f>
        <v>IMC</v>
      </c>
      <c r="T6" t="str">
        <f>gescon_infosparticip!BH5</f>
        <v>Handicap mental, troubles moteurs, hémiplégie côté gauche</v>
      </c>
      <c r="U6" t="str">
        <f>gescon_infosparticip!BI5</f>
        <v>Elevé</v>
      </c>
      <c r="V6" t="str">
        <f>gescon_infosparticip!BJ5</f>
        <v/>
      </c>
      <c r="W6" t="str">
        <f>gescon_infosparticip!BK5</f>
        <v>oui Danièla participe à l’habillage (= pousser les bras, monter les chaussettes) pour le reste elle a besoin d’aide (= se tient debout si elle a une barrière pour se tenir) Elle a des attelles aux jambes. Masser les pieds pour les détendres et ensuite bien mettre le talon au fond de l’attelle. Pour vérifier si le talon est bein au fond regarder le trou sur le talon de l’attelle.
Douche : assise sur une chaise, elle se lève pour se faire laver les parties intimes.</v>
      </c>
      <c r="X6" t="str">
        <f>gescon_infosparticip!BL5</f>
        <v>Elle demande si elle a besoin d’uriner. Se déplace dans la salle de bain et se lève avec la barrière. Appelle pour qu’on l’aide à se remettre dans son fauteuil.
Le matin, lui proposer d’aller aux WC avant de déjeuner. Protection pour la nuit!</v>
      </c>
      <c r="Y6" t="str">
        <f>gescon_infosparticip!BM5</f>
        <v/>
      </c>
    </row>
    <row r="7" spans="1:29" ht="15.75" customHeight="1" x14ac:dyDescent="0.25">
      <c r="B7">
        <f>gescon_infosparticip!A6</f>
        <v>-1756164214</v>
      </c>
      <c r="C7" t="str">
        <f>gescon_infosparticip!AH6</f>
        <v/>
      </c>
      <c r="D7" t="str">
        <f>gescon_infosparticip!AI6</f>
        <v/>
      </c>
      <c r="E7" t="str">
        <f>gescon_infosparticip!AJ6</f>
        <v/>
      </c>
      <c r="F7" t="str">
        <f>gescon_infosparticip!AK6</f>
        <v/>
      </c>
      <c r="G7" t="str">
        <f>gescon_infosparticip!AL6</f>
        <v/>
      </c>
      <c r="H7" t="str">
        <f>gescon_infosparticip!AM6</f>
        <v/>
      </c>
      <c r="I7" t="str">
        <f>gescon_infosparticip!AN6</f>
        <v/>
      </c>
      <c r="J7" t="str">
        <f>gescon_infosparticip!AO6</f>
        <v/>
      </c>
      <c r="K7" t="str">
        <f>gescon_infosparticip!AP6</f>
        <v/>
      </c>
      <c r="L7" t="str">
        <f>gescon_infosparticip!AQ6</f>
        <v/>
      </c>
      <c r="M7">
        <f>gescon_infosparticip!BA6</f>
        <v>0</v>
      </c>
      <c r="N7">
        <f>gescon_infosparticip!BB6</f>
        <v>0</v>
      </c>
      <c r="O7">
        <f>gescon_infosparticip!BC6</f>
        <v>0</v>
      </c>
      <c r="P7">
        <f>gescon_infosparticip!BD6</f>
        <v>0</v>
      </c>
      <c r="Q7">
        <f>gescon_infosparticip!BE6</f>
        <v>0</v>
      </c>
      <c r="R7" t="str">
        <f>gescon_infosparticip!BF6</f>
        <v/>
      </c>
      <c r="S7" t="str">
        <f>gescon_infosparticip!BG6</f>
        <v>IMC</v>
      </c>
      <c r="T7" t="str">
        <f>gescon_infosparticip!BH6</f>
        <v>Handicap mental</v>
      </c>
      <c r="U7" t="str">
        <f>gescon_infosparticip!BI6</f>
        <v/>
      </c>
      <c r="V7" t="str">
        <f>gescon_infosparticip!BJ6</f>
        <v>Non</v>
      </c>
      <c r="W7" t="str">
        <f>gescon_infosparticip!BK6</f>
        <v/>
      </c>
      <c r="X7" t="str">
        <f>gescon_infosparticip!BL6</f>
        <v/>
      </c>
      <c r="Y7" t="str">
        <f>gescon_infosparticip!BM6</f>
        <v/>
      </c>
    </row>
    <row r="8" spans="1:29" ht="15.75" customHeight="1" x14ac:dyDescent="0.25">
      <c r="B8">
        <f>gescon_infosparticip!A7</f>
        <v>-1735727011</v>
      </c>
      <c r="C8" t="str">
        <f>gescon_infosparticip!AH7</f>
        <v/>
      </c>
      <c r="D8" t="str">
        <f>gescon_infosparticip!AI7</f>
        <v/>
      </c>
      <c r="E8" t="str">
        <f>gescon_infosparticip!AJ7</f>
        <v/>
      </c>
      <c r="F8" t="str">
        <f>gescon_infosparticip!AK7</f>
        <v/>
      </c>
      <c r="G8" t="str">
        <f>gescon_infosparticip!AL7</f>
        <v/>
      </c>
      <c r="H8" t="str">
        <f>gescon_infosparticip!AM7</f>
        <v/>
      </c>
      <c r="I8" t="str">
        <f>gescon_infosparticip!AN7</f>
        <v/>
      </c>
      <c r="J8" t="str">
        <f>gescon_infosparticip!AO7</f>
        <v/>
      </c>
      <c r="K8" t="str">
        <f>gescon_infosparticip!AP7</f>
        <v/>
      </c>
      <c r="L8" t="str">
        <f>gescon_infosparticip!AQ7</f>
        <v/>
      </c>
      <c r="M8">
        <f>gescon_infosparticip!BA7</f>
        <v>107</v>
      </c>
      <c r="N8">
        <f>gescon_infosparticip!BB7</f>
        <v>0</v>
      </c>
      <c r="O8">
        <f>gescon_infosparticip!BC7</f>
        <v>0</v>
      </c>
      <c r="P8">
        <f>gescon_infosparticip!BD7</f>
        <v>0</v>
      </c>
      <c r="Q8">
        <f>gescon_infosparticip!BE7</f>
        <v>0</v>
      </c>
      <c r="R8" t="str">
        <f>gescon_infosparticip!BF7</f>
        <v/>
      </c>
      <c r="S8" t="str">
        <f>gescon_infosparticip!BG7</f>
        <v>IMC</v>
      </c>
      <c r="T8" t="str">
        <f>gescon_infosparticip!BH7</f>
        <v/>
      </c>
      <c r="U8" t="str">
        <f>gescon_infosparticip!BI7</f>
        <v/>
      </c>
      <c r="V8" t="str">
        <f>gescon_infosparticip!BJ7</f>
        <v>Rhume des foins</v>
      </c>
      <c r="W8" t="str">
        <f>gescon_infosparticip!BK7</f>
        <v/>
      </c>
      <c r="X8" t="str">
        <f>gescon_infosparticip!BL7</f>
        <v/>
      </c>
      <c r="Y8" t="str">
        <f>gescon_infosparticip!BM7</f>
        <v/>
      </c>
    </row>
    <row r="9" spans="1:29" ht="15.75" customHeight="1" x14ac:dyDescent="0.25">
      <c r="B9">
        <f>gescon_infosparticip!A8</f>
        <v>-1690129297</v>
      </c>
      <c r="C9" t="str">
        <f>gescon_infosparticip!AH8</f>
        <v/>
      </c>
      <c r="D9" t="str">
        <f>gescon_infosparticip!AI8</f>
        <v/>
      </c>
      <c r="E9" t="str">
        <f>gescon_infosparticip!AJ8</f>
        <v/>
      </c>
      <c r="F9" t="str">
        <f>gescon_infosparticip!AK8</f>
        <v/>
      </c>
      <c r="G9" t="str">
        <f>gescon_infosparticip!AL8</f>
        <v/>
      </c>
      <c r="H9" t="str">
        <f>gescon_infosparticip!AM8</f>
        <v/>
      </c>
      <c r="I9" t="str">
        <f>gescon_infosparticip!AN8</f>
        <v/>
      </c>
      <c r="J9" t="str">
        <f>gescon_infosparticip!AO8</f>
        <v/>
      </c>
      <c r="K9" t="str">
        <f>gescon_infosparticip!AP8</f>
        <v/>
      </c>
      <c r="L9" t="str">
        <f>gescon_infosparticip!AQ8</f>
        <v/>
      </c>
      <c r="M9">
        <f>gescon_infosparticip!BA8</f>
        <v>1217</v>
      </c>
      <c r="N9">
        <f>gescon_infosparticip!BB8</f>
        <v>0</v>
      </c>
      <c r="O9">
        <f>gescon_infosparticip!BC8</f>
        <v>0</v>
      </c>
      <c r="P9">
        <f>gescon_infosparticip!BD8</f>
        <v>0</v>
      </c>
      <c r="Q9">
        <f>gescon_infosparticip!BE8</f>
        <v>0</v>
      </c>
      <c r="R9" t="str">
        <f>gescon_infosparticip!BF8</f>
        <v/>
      </c>
      <c r="S9" t="str">
        <f>gescon_infosparticip!BG8</f>
        <v>Ataxie, syndrome de Marinesco</v>
      </c>
      <c r="T9" t="str">
        <f>gescon_infosparticip!BH8</f>
        <v>troubles moteurs</v>
      </c>
      <c r="U9" t="str">
        <f>gescon_infosparticip!BI8</f>
        <v/>
      </c>
      <c r="V9" t="str">
        <f>gescon_infosparticip!BJ8</f>
        <v>A protéger du Soleil (casquette, crème).</v>
      </c>
      <c r="W9" t="str">
        <f>gescon_infosparticip!BK8</f>
        <v/>
      </c>
      <c r="X9" t="str">
        <f>gescon_infosparticip!BL8</f>
        <v/>
      </c>
      <c r="Y9" t="str">
        <f>gescon_infosparticip!BM8</f>
        <v/>
      </c>
    </row>
    <row r="10" spans="1:29" ht="15.75" customHeight="1" x14ac:dyDescent="0.25">
      <c r="B10">
        <f>gescon_infosparticip!A9</f>
        <v>-1579856298</v>
      </c>
      <c r="C10" t="str">
        <f>gescon_infosparticip!AH9</f>
        <v/>
      </c>
      <c r="D10" t="str">
        <f>gescon_infosparticip!AI9</f>
        <v/>
      </c>
      <c r="E10" t="str">
        <f>gescon_infosparticip!AJ9</f>
        <v/>
      </c>
      <c r="F10" t="str">
        <f>gescon_infosparticip!AK9</f>
        <v/>
      </c>
      <c r="G10" t="str">
        <f>gescon_infosparticip!AL9</f>
        <v/>
      </c>
      <c r="H10" t="str">
        <f>gescon_infosparticip!AM9</f>
        <v/>
      </c>
      <c r="I10" t="str">
        <f>gescon_infosparticip!AN9</f>
        <v/>
      </c>
      <c r="J10" t="str">
        <f>gescon_infosparticip!AO9</f>
        <v/>
      </c>
      <c r="K10" t="str">
        <f>gescon_infosparticip!AP9</f>
        <v/>
      </c>
      <c r="L10" t="str">
        <f>gescon_infosparticip!AQ9</f>
        <v/>
      </c>
      <c r="M10">
        <f>gescon_infosparticip!BA9</f>
        <v>0</v>
      </c>
      <c r="N10">
        <f>gescon_infosparticip!BB9</f>
        <v>0</v>
      </c>
      <c r="O10">
        <f>gescon_infosparticip!BC9</f>
        <v>0</v>
      </c>
      <c r="P10">
        <f>gescon_infosparticip!BD9</f>
        <v>0</v>
      </c>
      <c r="Q10">
        <f>gescon_infosparticip!BE9</f>
        <v>0</v>
      </c>
      <c r="R10" t="str">
        <f>gescon_infosparticip!BF9</f>
        <v/>
      </c>
      <c r="S10" t="str">
        <f>gescon_infosparticip!BG9</f>
        <v/>
      </c>
      <c r="T10" t="str">
        <f>gescon_infosparticip!BH9</f>
        <v/>
      </c>
      <c r="U10" t="str">
        <f>gescon_infosparticip!BI9</f>
        <v/>
      </c>
      <c r="V10" t="str">
        <f>gescon_infosparticip!BJ9</f>
        <v/>
      </c>
      <c r="W10" t="str">
        <f>gescon_infosparticip!BK9</f>
        <v/>
      </c>
      <c r="X10" t="str">
        <f>gescon_infosparticip!BL9</f>
        <v/>
      </c>
      <c r="Y10" t="str">
        <f>gescon_infosparticip!BM9</f>
        <v/>
      </c>
    </row>
    <row r="11" spans="1:29" ht="15.75" customHeight="1" x14ac:dyDescent="0.25">
      <c r="B11">
        <f>gescon_infosparticip!A10</f>
        <v>-1475569285</v>
      </c>
      <c r="C11" t="str">
        <f>gescon_infosparticip!AH10</f>
        <v>Il mange seul et se débrouille bien.</v>
      </c>
      <c r="D11" t="str">
        <f>gescon_infosparticip!AI10</f>
        <v/>
      </c>
      <c r="E11" t="str">
        <f>gescon_infosparticip!AJ10</f>
        <v/>
      </c>
      <c r="F11" t="str">
        <f>gescon_infosparticip!AK10</f>
        <v/>
      </c>
      <c r="G11" t="str">
        <f>gescon_infosparticip!AL10</f>
        <v/>
      </c>
      <c r="H11" t="str">
        <f>gescon_infosparticip!AM10</f>
        <v/>
      </c>
      <c r="I11" t="str">
        <f>gescon_infosparticip!AN10</f>
        <v/>
      </c>
      <c r="J11" t="str">
        <f>gescon_infosparticip!AO10</f>
        <v/>
      </c>
      <c r="K11" t="str">
        <f>gescon_infosparticip!AP10</f>
        <v/>
      </c>
      <c r="L11" t="str">
        <f>gescon_infosparticip!AQ10</f>
        <v/>
      </c>
      <c r="M11">
        <f>gescon_infosparticip!BA10</f>
        <v>2146189227</v>
      </c>
      <c r="N11">
        <f>gescon_infosparticip!BB10</f>
        <v>2146189396</v>
      </c>
      <c r="O11">
        <f>gescon_infosparticip!BC10</f>
        <v>0</v>
      </c>
      <c r="P11">
        <f>gescon_infosparticip!BD10</f>
        <v>2146188987</v>
      </c>
      <c r="Q11">
        <f>gescon_infosparticip!BE10</f>
        <v>2146188982</v>
      </c>
      <c r="R11" t="str">
        <f>gescon_infosparticip!BF10</f>
        <v>644702</v>
      </c>
      <c r="S11" t="str">
        <f>gescon_infosparticip!BG10</f>
        <v>Syndrôme de William's</v>
      </c>
      <c r="T11" t="str">
        <f>gescon_infosparticip!BH10</f>
        <v>handicap mental - Malformation cardiaque</v>
      </c>
      <c r="U11" t="str">
        <f>gescon_infosparticip!BI10</f>
        <v>Faible</v>
      </c>
      <c r="V11" t="str">
        <f>gescon_infosparticip!BJ10</f>
        <v>N.B. Il a une bonne santé, rarement malade. Il a un souffle au cœur mais sans conséquences jusqu'à présent.</v>
      </c>
      <c r="W11" t="str">
        <f>gescon_infosparticip!BK10</f>
        <v>N'a pas besoin d'aide.</v>
      </c>
      <c r="X11" t="str">
        <f>gescon_infosparticip!BL10</f>
        <v>Il est sensible aux diarrhées. Il est autonome et va souvent aux toilettes.</v>
      </c>
      <c r="Y11" t="str">
        <f>gescon_infosparticip!BM10</f>
        <v/>
      </c>
    </row>
    <row r="12" spans="1:29" ht="15.75" customHeight="1" x14ac:dyDescent="0.25">
      <c r="B12">
        <f>gescon_infosparticip!A11</f>
        <v>-1435346384</v>
      </c>
      <c r="C12" t="str">
        <f>gescon_infosparticip!AH11</f>
        <v/>
      </c>
      <c r="D12" t="str">
        <f>gescon_infosparticip!AI11</f>
        <v/>
      </c>
      <c r="E12" t="str">
        <f>gescon_infosparticip!AJ11</f>
        <v/>
      </c>
      <c r="F12" t="str">
        <f>gescon_infosparticip!AK11</f>
        <v/>
      </c>
      <c r="G12" t="str">
        <f>gescon_infosparticip!AL11</f>
        <v/>
      </c>
      <c r="H12" t="str">
        <f>gescon_infosparticip!AM11</f>
        <v/>
      </c>
      <c r="I12" t="str">
        <f>gescon_infosparticip!AN11</f>
        <v/>
      </c>
      <c r="J12" t="str">
        <f>gescon_infosparticip!AO11</f>
        <v/>
      </c>
      <c r="K12" t="str">
        <f>gescon_infosparticip!AP11</f>
        <v/>
      </c>
      <c r="L12" t="str">
        <f>gescon_infosparticip!AQ11</f>
        <v/>
      </c>
      <c r="M12">
        <f>gescon_infosparticip!BA11</f>
        <v>0</v>
      </c>
      <c r="N12">
        <f>gescon_infosparticip!BB11</f>
        <v>0</v>
      </c>
      <c r="O12">
        <f>gescon_infosparticip!BC11</f>
        <v>0</v>
      </c>
      <c r="P12">
        <f>gescon_infosparticip!BD11</f>
        <v>0</v>
      </c>
      <c r="Q12">
        <f>gescon_infosparticip!BE11</f>
        <v>0</v>
      </c>
      <c r="R12" t="str">
        <f>gescon_infosparticip!BF11</f>
        <v/>
      </c>
      <c r="S12" t="str">
        <f>gescon_infosparticip!BG11</f>
        <v/>
      </c>
      <c r="T12" t="str">
        <f>gescon_infosparticip!BH11</f>
        <v/>
      </c>
      <c r="U12" t="str">
        <f>gescon_infosparticip!BI11</f>
        <v/>
      </c>
      <c r="V12" t="str">
        <f>gescon_infosparticip!BJ11</f>
        <v/>
      </c>
      <c r="W12" t="str">
        <f>gescon_infosparticip!BK11</f>
        <v/>
      </c>
      <c r="X12" t="str">
        <f>gescon_infosparticip!BL11</f>
        <v/>
      </c>
      <c r="Y12" t="str">
        <f>gescon_infosparticip!BM11</f>
        <v/>
      </c>
    </row>
    <row r="13" spans="1:29" ht="15.75" customHeight="1" x14ac:dyDescent="0.25">
      <c r="B13">
        <f>gescon_infosparticip!A12</f>
        <v>-1354980006</v>
      </c>
      <c r="C13" t="str">
        <f>gescon_infosparticip!AH12</f>
        <v>médic du matin: dans la seringue et relié à la sonde -&gt; rincer ensuite avec 1-2 seringue d'eau
Cloé a besoin d’une aide complète pour les repas. Elle est nourrie essentiellement par le biais de la sonde. Il ne faut pas la forcer.
Elle mange de tout et la nourriture est mixée, lisse. Ni trop liquide, ni trop sèche. Elle préfère plutôt salé. Le MATIN : en principe, elle ne mange pas. Il est important de rincer la sonde avec 1 à 2 seringues. MIDI : nourriture mixée lisse en petites quantités. SOIR : nourriture mixée lisse ou des yaourts en petites quantités. Petit sachet pour la nourriture durant la nuit</v>
      </c>
      <c r="D13" t="str">
        <f>gescon_infosparticip!AI12</f>
        <v/>
      </c>
      <c r="E13" t="str">
        <f>gescon_infosparticip!AJ12</f>
        <v>débit EAU : 180 ml/h débit L'ALIMENTATION : 50 ml/h</v>
      </c>
      <c r="F13" t="str">
        <f>gescon_infosparticip!AK12</f>
        <v/>
      </c>
      <c r="G13" t="str">
        <f>gescon_infosparticip!AL12</f>
        <v/>
      </c>
      <c r="H13" t="str">
        <f>gescon_infosparticip!AM12</f>
        <v>alimentation et sonde: s'il fait chaud, on peut donner jusqu'à 1litre d'eau par la sonde. Pour bouillon et eau mettre dans le grand sachet
- possibilité de donner à boire en promenade, prendre la pompe et mettre eau dans gd sachet.</v>
      </c>
      <c r="I13" t="str">
        <f>gescon_infosparticip!AN12</f>
        <v/>
      </c>
      <c r="J13" t="str">
        <f>gescon_infosparticip!AO12</f>
        <v/>
      </c>
      <c r="K13" t="str">
        <f>gescon_infosparticip!AP12</f>
        <v/>
      </c>
      <c r="L13" t="str">
        <f>gescon_infosparticip!AQ12</f>
        <v/>
      </c>
      <c r="M13">
        <f>gescon_infosparticip!BA12</f>
        <v>107</v>
      </c>
      <c r="N13">
        <f>gescon_infosparticip!BB12</f>
        <v>0</v>
      </c>
      <c r="O13">
        <f>gescon_infosparticip!BC12</f>
        <v>0</v>
      </c>
      <c r="P13">
        <f>gescon_infosparticip!BD12</f>
        <v>2146188987</v>
      </c>
      <c r="Q13">
        <f>gescon_infosparticip!BE12</f>
        <v>2146188987</v>
      </c>
      <c r="R13" t="str">
        <f>gescon_infosparticip!BF12</f>
        <v>429923</v>
      </c>
      <c r="S13" t="str">
        <f>gescon_infosparticip!BG12</f>
        <v>IMC -Polyhandicap, épilepsie (stabilisé)</v>
      </c>
      <c r="T13" t="str">
        <f>gescon_infosparticip!BH12</f>
        <v>Ne doit pas dépasser les 1700m d'altitude. Car elle risque d'avoir des problèmes respiratoires</v>
      </c>
      <c r="U13" t="str">
        <f>gescon_infosparticip!BI12</f>
        <v>Elevé</v>
      </c>
      <c r="V13" t="str">
        <f>gescon_infosparticip!BJ12</f>
        <v>Bien la protéger du soleil car elle a la peau très sensible</v>
      </c>
      <c r="W13" t="str">
        <f>gescon_infosparticip!BK12</f>
        <v>Elle aime être propre.</v>
      </c>
      <c r="X13" t="str">
        <f>gescon_infosparticip!BL12</f>
        <v>En cas de diarrhée, Bioflorin au Perenterol. Elle fait souvent les selles après la prise des médicaments</v>
      </c>
      <c r="Y13" t="str">
        <f>gescon_infosparticip!BM12</f>
        <v>Changement de position, il faut lui mettre le harnais quand elle se trouve dans la chaise.</v>
      </c>
    </row>
    <row r="14" spans="1:29" ht="15.75" customHeight="1" x14ac:dyDescent="0.25">
      <c r="B14">
        <f>gescon_infosparticip!A13</f>
        <v>-1336383801</v>
      </c>
      <c r="C14" t="str">
        <f>gescon_infosparticip!AH13</f>
        <v/>
      </c>
      <c r="D14" t="str">
        <f>gescon_infosparticip!AI13</f>
        <v/>
      </c>
      <c r="E14" t="str">
        <f>gescon_infosparticip!AJ13</f>
        <v/>
      </c>
      <c r="F14" t="str">
        <f>gescon_infosparticip!AK13</f>
        <v/>
      </c>
      <c r="G14" t="str">
        <f>gescon_infosparticip!AL13</f>
        <v/>
      </c>
      <c r="H14" t="str">
        <f>gescon_infosparticip!AM13</f>
        <v/>
      </c>
      <c r="I14" t="str">
        <f>gescon_infosparticip!AN13</f>
        <v/>
      </c>
      <c r="J14" t="str">
        <f>gescon_infosparticip!AO13</f>
        <v/>
      </c>
      <c r="K14" t="str">
        <f>gescon_infosparticip!AP13</f>
        <v/>
      </c>
      <c r="L14" t="str">
        <f>gescon_infosparticip!AQ13</f>
        <v/>
      </c>
      <c r="M14">
        <f>gescon_infosparticip!BA13</f>
        <v>0</v>
      </c>
      <c r="N14">
        <f>gescon_infosparticip!BB13</f>
        <v>0</v>
      </c>
      <c r="O14">
        <f>gescon_infosparticip!BC13</f>
        <v>0</v>
      </c>
      <c r="P14">
        <f>gescon_infosparticip!BD13</f>
        <v>0</v>
      </c>
      <c r="Q14">
        <f>gescon_infosparticip!BE13</f>
        <v>0</v>
      </c>
      <c r="R14" t="str">
        <f>gescon_infosparticip!BF13</f>
        <v/>
      </c>
      <c r="S14" t="str">
        <f>gescon_infosparticip!BG13</f>
        <v/>
      </c>
      <c r="T14" t="str">
        <f>gescon_infosparticip!BH13</f>
        <v/>
      </c>
      <c r="U14" t="str">
        <f>gescon_infosparticip!BI13</f>
        <v/>
      </c>
      <c r="V14" t="str">
        <f>gescon_infosparticip!BJ13</f>
        <v/>
      </c>
      <c r="W14" t="str">
        <f>gescon_infosparticip!BK13</f>
        <v/>
      </c>
      <c r="X14" t="str">
        <f>gescon_infosparticip!BL13</f>
        <v/>
      </c>
      <c r="Y14" t="str">
        <f>gescon_infosparticip!BM13</f>
        <v/>
      </c>
    </row>
    <row r="15" spans="1:29" ht="15.75" customHeight="1" x14ac:dyDescent="0.25">
      <c r="B15">
        <f>gescon_infosparticip!A14</f>
        <v>-1226171744</v>
      </c>
      <c r="C15" t="str">
        <f>gescon_infosparticip!AH14</f>
        <v/>
      </c>
      <c r="D15" t="str">
        <f>gescon_infosparticip!AI14</f>
        <v/>
      </c>
      <c r="E15" t="str">
        <f>gescon_infosparticip!AJ14</f>
        <v/>
      </c>
      <c r="F15" t="str">
        <f>gescon_infosparticip!AK14</f>
        <v/>
      </c>
      <c r="G15" t="str">
        <f>gescon_infosparticip!AL14</f>
        <v/>
      </c>
      <c r="H15" t="str">
        <f>gescon_infosparticip!AM14</f>
        <v/>
      </c>
      <c r="I15" t="str">
        <f>gescon_infosparticip!AN14</f>
        <v/>
      </c>
      <c r="J15" t="str">
        <f>gescon_infosparticip!AO14</f>
        <v/>
      </c>
      <c r="K15" t="str">
        <f>gescon_infosparticip!AP14</f>
        <v/>
      </c>
      <c r="L15" t="str">
        <f>gescon_infosparticip!AQ14</f>
        <v/>
      </c>
      <c r="M15">
        <f>gescon_infosparticip!BA14</f>
        <v>0</v>
      </c>
      <c r="N15">
        <f>gescon_infosparticip!BB14</f>
        <v>0</v>
      </c>
      <c r="O15">
        <f>gescon_infosparticip!BC14</f>
        <v>0</v>
      </c>
      <c r="P15">
        <f>gescon_infosparticip!BD14</f>
        <v>0</v>
      </c>
      <c r="Q15">
        <f>gescon_infosparticip!BE14</f>
        <v>0</v>
      </c>
      <c r="R15" t="str">
        <f>gescon_infosparticip!BF14</f>
        <v/>
      </c>
      <c r="S15" t="str">
        <f>gescon_infosparticip!BG14</f>
        <v/>
      </c>
      <c r="T15" t="str">
        <f>gescon_infosparticip!BH14</f>
        <v/>
      </c>
      <c r="U15" t="str">
        <f>gescon_infosparticip!BI14</f>
        <v/>
      </c>
      <c r="V15" t="str">
        <f>gescon_infosparticip!BJ14</f>
        <v/>
      </c>
      <c r="W15" t="str">
        <f>gescon_infosparticip!BK14</f>
        <v/>
      </c>
      <c r="X15" t="str">
        <f>gescon_infosparticip!BL14</f>
        <v/>
      </c>
      <c r="Y15" t="str">
        <f>gescon_infosparticip!BM14</f>
        <v/>
      </c>
    </row>
    <row r="16" spans="1:29" ht="15.75" customHeight="1" x14ac:dyDescent="0.25">
      <c r="B16">
        <f>gescon_infosparticip!A15</f>
        <v>-1213086902</v>
      </c>
      <c r="C16" t="str">
        <f>gescon_infosparticip!AH15</f>
        <v/>
      </c>
      <c r="D16" t="str">
        <f>gescon_infosparticip!AI15</f>
        <v/>
      </c>
      <c r="E16" t="str">
        <f>gescon_infosparticip!AJ15</f>
        <v/>
      </c>
      <c r="F16" t="str">
        <f>gescon_infosparticip!AK15</f>
        <v/>
      </c>
      <c r="G16" t="str">
        <f>gescon_infosparticip!AL15</f>
        <v/>
      </c>
      <c r="H16" t="str">
        <f>gescon_infosparticip!AM15</f>
        <v/>
      </c>
      <c r="I16" t="str">
        <f>gescon_infosparticip!AN15</f>
        <v/>
      </c>
      <c r="J16" t="str">
        <f>gescon_infosparticip!AO15</f>
        <v/>
      </c>
      <c r="K16" t="str">
        <f>gescon_infosparticip!AP15</f>
        <v/>
      </c>
      <c r="L16" t="str">
        <f>gescon_infosparticip!AQ15</f>
        <v/>
      </c>
      <c r="M16">
        <f>gescon_infosparticip!BA15</f>
        <v>0</v>
      </c>
      <c r="N16">
        <f>gescon_infosparticip!BB15</f>
        <v>0</v>
      </c>
      <c r="O16">
        <f>gescon_infosparticip!BC15</f>
        <v>0</v>
      </c>
      <c r="P16">
        <f>gescon_infosparticip!BD15</f>
        <v>0</v>
      </c>
      <c r="Q16">
        <f>gescon_infosparticip!BE15</f>
        <v>0</v>
      </c>
      <c r="R16" t="str">
        <f>gescon_infosparticip!BF15</f>
        <v/>
      </c>
      <c r="S16" t="str">
        <f>gescon_infosparticip!BG15</f>
        <v/>
      </c>
      <c r="T16" t="str">
        <f>gescon_infosparticip!BH15</f>
        <v/>
      </c>
      <c r="U16" t="str">
        <f>gescon_infosparticip!BI15</f>
        <v/>
      </c>
      <c r="V16" t="str">
        <f>gescon_infosparticip!BJ15</f>
        <v/>
      </c>
      <c r="W16" t="str">
        <f>gescon_infosparticip!BK15</f>
        <v/>
      </c>
      <c r="X16" t="str">
        <f>gescon_infosparticip!BL15</f>
        <v/>
      </c>
      <c r="Y16" t="str">
        <f>gescon_infosparticip!BM15</f>
        <v/>
      </c>
    </row>
    <row r="17" spans="2:25" ht="15.75" customHeight="1" x14ac:dyDescent="0.25">
      <c r="B17">
        <f>gescon_infosparticip!A16</f>
        <v>-1120356771</v>
      </c>
      <c r="C17" t="str">
        <f>gescon_infosparticip!AH16</f>
        <v>Elle mange de tout, plutôt sucré. Pour lui donner à manger elle a une cuillère spéciale, s’assoir en face d’elle et déposer d’abord sur sa lèvre inférieure bien lui faire sentir l’aliment, lui tenir les mains l’une sur l’autre puis elle mange sans problème. Elle mange mixé, sans fil. 
Si vous avez des difficultés à lui donner à manger, il ne faut pas se faire de soucis. Dans les bagages, Il y aura des boissons (frésubin) qui ont les mêmes calories qu’un repas normal.</v>
      </c>
      <c r="D17" t="str">
        <f>gescon_infosparticip!AI16</f>
        <v/>
      </c>
      <c r="E17" t="str">
        <f>gescon_infosparticip!AJ16</f>
        <v/>
      </c>
      <c r="F17" t="str">
        <f>gescon_infosparticip!AK16</f>
        <v/>
      </c>
      <c r="G17" t="str">
        <f>gescon_infosparticip!AL16</f>
        <v/>
      </c>
      <c r="H17" t="str">
        <f>gescon_infosparticip!AM16</f>
        <v>pour boire : Amandine a une sonde reliée directement à l'estomac. Installer le tuyau sur la valve. Ne pas se gener de prendre la valve bien en main pour mettre le tuyau, ça ne lui fait pas mal. Ensuite remplir la seringue dans un verre et placer la seringue dans l'embout du tuyau, puis presser dans le tuyau. Pour terminer, rincer le tout avec de l'eau sans aucun produit (elle boit en général 1 verre d'une quelconque boisson SANS GAZ + 1 verre d'eau) Ne jamais mettre le tuyau au lave vaisselle !!</v>
      </c>
      <c r="I17" t="str">
        <f>gescon_infosparticip!AN16</f>
        <v>le matin et le soir : café ou cacao, presser la seringue plus lentement. A midi : n'importe quelle boisson SANS GAZ. Au goûter : boisson enérgétique (fébrini)</v>
      </c>
      <c r="J17" t="str">
        <f>gescon_infosparticip!AO16</f>
        <v/>
      </c>
      <c r="K17" t="str">
        <f>gescon_infosparticip!AP16</f>
        <v/>
      </c>
      <c r="L17" t="str">
        <f>gescon_infosparticip!AQ16</f>
        <v>Ne pas lui donner de boisson gazeuses.</v>
      </c>
      <c r="M17">
        <f>gescon_infosparticip!BA16</f>
        <v>107</v>
      </c>
      <c r="N17">
        <f>gescon_infosparticip!BB16</f>
        <v>0</v>
      </c>
      <c r="O17">
        <f>gescon_infosparticip!BC16</f>
        <v>0</v>
      </c>
      <c r="P17">
        <f>gescon_infosparticip!BD16</f>
        <v>2146188984</v>
      </c>
      <c r="Q17">
        <f>gescon_infosparticip!BE16</f>
        <v>2146188984</v>
      </c>
      <c r="R17" t="str">
        <f>gescon_infosparticip!BF16</f>
        <v>010930279</v>
      </c>
      <c r="S17" t="str">
        <f>gescon_infosparticip!BG16</f>
        <v>IMC</v>
      </c>
      <c r="T17" t="str">
        <f>gescon_infosparticip!BH16</f>
        <v>Handicap mental, troubles moteurs</v>
      </c>
      <c r="U17" t="str">
        <f>gescon_infosparticip!BI16</f>
        <v>Elevé</v>
      </c>
      <c r="V17" t="str">
        <f>gescon_infosparticip!BJ16</f>
        <v>Aucune</v>
      </c>
      <c r="W17" t="str">
        <f>gescon_infosparticip!BK16</f>
        <v>Si elle a des rougeurs autour du « bouton », sécher au foehn et lui mettre un tampon de ouate démaquillante coupée en Y entre le tampon et la peau. Si elle se mord les doigts lui mettre un sparadrap en cas de saignements. Ne pas lui brosser les dents, elle ne le supporte pas. Pour sa toilette, utiliser de préférence le lit douche, mais elle est  peu habituée car elle prend de préférence des bains.</v>
      </c>
      <c r="X17" t="str">
        <f>gescon_infosparticip!BL16</f>
        <v>Elle est langée 24h/24. La changer en général après chaque repas.</v>
      </c>
      <c r="Y17" t="str">
        <f>gescon_infosparticip!BM16</f>
        <v>Transferts : Amandine met les bras autour de l'accompagnant, mettre un bras sous sa jambre, l'autre sous son épaule puis la mettre sur le lit. Pour la remettre dans sa chaise, faire pareil. Incliner sa chaise pour la mettre au fond</v>
      </c>
    </row>
    <row r="18" spans="2:25" ht="15.75" customHeight="1" x14ac:dyDescent="0.25">
      <c r="B18">
        <f>gescon_infosparticip!A17</f>
        <v>-1100872493</v>
      </c>
      <c r="C18" t="str">
        <f>gescon_infosparticip!AH17</f>
        <v/>
      </c>
      <c r="D18" t="str">
        <f>gescon_infosparticip!AI17</f>
        <v/>
      </c>
      <c r="E18" t="str">
        <f>gescon_infosparticip!AJ17</f>
        <v/>
      </c>
      <c r="F18" t="str">
        <f>gescon_infosparticip!AK17</f>
        <v/>
      </c>
      <c r="G18" t="str">
        <f>gescon_infosparticip!AL17</f>
        <v/>
      </c>
      <c r="H18" t="str">
        <f>gescon_infosparticip!AM17</f>
        <v/>
      </c>
      <c r="I18" t="str">
        <f>gescon_infosparticip!AN17</f>
        <v/>
      </c>
      <c r="J18" t="str">
        <f>gescon_infosparticip!AO17</f>
        <v/>
      </c>
      <c r="K18" t="str">
        <f>gescon_infosparticip!AP17</f>
        <v/>
      </c>
      <c r="L18" t="str">
        <f>gescon_infosparticip!AQ17</f>
        <v/>
      </c>
      <c r="M18">
        <f>gescon_infosparticip!BA17</f>
        <v>0</v>
      </c>
      <c r="N18">
        <f>gescon_infosparticip!BB17</f>
        <v>0</v>
      </c>
      <c r="O18">
        <f>gescon_infosparticip!BC17</f>
        <v>0</v>
      </c>
      <c r="P18">
        <f>gescon_infosparticip!BD17</f>
        <v>0</v>
      </c>
      <c r="Q18">
        <f>gescon_infosparticip!BE17</f>
        <v>0</v>
      </c>
      <c r="R18" t="str">
        <f>gescon_infosparticip!BF17</f>
        <v/>
      </c>
      <c r="S18" t="str">
        <f>gescon_infosparticip!BG17</f>
        <v/>
      </c>
      <c r="T18" t="str">
        <f>gescon_infosparticip!BH17</f>
        <v/>
      </c>
      <c r="U18" t="str">
        <f>gescon_infosparticip!BI17</f>
        <v/>
      </c>
      <c r="V18" t="str">
        <f>gescon_infosparticip!BJ17</f>
        <v/>
      </c>
      <c r="W18" t="str">
        <f>gescon_infosparticip!BK17</f>
        <v/>
      </c>
      <c r="X18" t="str">
        <f>gescon_infosparticip!BL17</f>
        <v/>
      </c>
      <c r="Y18" t="str">
        <f>gescon_infosparticip!BM17</f>
        <v/>
      </c>
    </row>
    <row r="19" spans="2:25" ht="15.75" customHeight="1" x14ac:dyDescent="0.25">
      <c r="B19">
        <f>gescon_infosparticip!A18</f>
        <v>-1029621688</v>
      </c>
      <c r="C19" t="str">
        <f>gescon_infosparticip!AH18</f>
        <v>Il faut lui couper la viande</v>
      </c>
      <c r="D19" t="str">
        <f>gescon_infosparticip!AI18</f>
        <v/>
      </c>
      <c r="E19" t="str">
        <f>gescon_infosparticip!AJ18</f>
        <v/>
      </c>
      <c r="F19" t="str">
        <f>gescon_infosparticip!AK18</f>
        <v/>
      </c>
      <c r="G19" t="str">
        <f>gescon_infosparticip!AL18</f>
        <v/>
      </c>
      <c r="H19" t="str">
        <f>gescon_infosparticip!AM18</f>
        <v/>
      </c>
      <c r="I19" t="str">
        <f>gescon_infosparticip!AN18</f>
        <v/>
      </c>
      <c r="J19" t="str">
        <f>gescon_infosparticip!AO18</f>
        <v/>
      </c>
      <c r="K19" t="str">
        <f>gescon_infosparticip!AP18</f>
        <v/>
      </c>
      <c r="L19" t="str">
        <f>gescon_infosparticip!AQ18</f>
        <v/>
      </c>
      <c r="M19">
        <f>gescon_infosparticip!BA18</f>
        <v>2146188983</v>
      </c>
      <c r="N19">
        <f>gescon_infosparticip!BB18</f>
        <v>0</v>
      </c>
      <c r="O19">
        <f>gescon_infosparticip!BC18</f>
        <v>0</v>
      </c>
      <c r="P19">
        <f>gescon_infosparticip!BD18</f>
        <v>2146188969</v>
      </c>
      <c r="Q19">
        <f>gescon_infosparticip!BE18</f>
        <v>2146188969</v>
      </c>
      <c r="R19" t="str">
        <f>gescon_infosparticip!BF18</f>
        <v>267.50.370.119 / 000-02</v>
      </c>
      <c r="S19" t="str">
        <f>gescon_infosparticip!BG18</f>
        <v>IMC</v>
      </c>
      <c r="T19" t="str">
        <f>gescon_infosparticip!BH18</f>
        <v>Malentendant, il a un appareil.</v>
      </c>
      <c r="U19" t="str">
        <f>gescon_infosparticip!BI18</f>
        <v>Elevé</v>
      </c>
      <c r="V19" t="str">
        <f>gescon_infosparticip!BJ18</f>
        <v>Aucune</v>
      </c>
      <c r="W19" t="str">
        <f>gescon_infosparticip!BK18</f>
        <v>René est autonome. Supervision pour la douche.</v>
      </c>
      <c r="X19" t="str">
        <f>gescon_infosparticip!BL18</f>
        <v>René est autonome.</v>
      </c>
      <c r="Y19" t="str">
        <f>gescon_infosparticip!BM18</f>
        <v/>
      </c>
    </row>
    <row r="20" spans="2:25" ht="15.75" customHeight="1" x14ac:dyDescent="0.25">
      <c r="B20">
        <f>gescon_infosparticip!A19</f>
        <v>-959706217</v>
      </c>
      <c r="C20" t="str">
        <f>gescon_infosparticip!AH19</f>
        <v>Aider à couper les aliments mais mange seul. Pour le temps de midi il reste dans sa chaise</v>
      </c>
      <c r="D20" t="str">
        <f>gescon_infosparticip!AI19</f>
        <v/>
      </c>
      <c r="E20" t="str">
        <f>gescon_infosparticip!AJ19</f>
        <v>lui donner 1 service</v>
      </c>
      <c r="F20" t="str">
        <f>gescon_infosparticip!AK19</f>
        <v>les aliments qui activent son transit intestinal : choux, raisins, poires, pruneaux, fromage car cela lui cause de fortes diahrées.</v>
      </c>
      <c r="G20" t="str">
        <f>gescon_infosparticip!AL19</f>
        <v/>
      </c>
      <c r="H20" t="str">
        <f>gescon_infosparticip!AM19</f>
        <v>il boit seul</v>
      </c>
      <c r="I20" t="str">
        <f>gescon_infosparticip!AN19</f>
        <v/>
      </c>
      <c r="J20" t="str">
        <f>gescon_infosparticip!AO19</f>
        <v/>
      </c>
      <c r="K20" t="str">
        <f>gescon_infosparticip!AP19</f>
        <v>les boissons trop sucrées</v>
      </c>
      <c r="L20" t="str">
        <f>gescon_infosparticip!AQ19</f>
        <v/>
      </c>
      <c r="M20">
        <f>gescon_infosparticip!BA19</f>
        <v>2146188983</v>
      </c>
      <c r="N20">
        <f>gescon_infosparticip!BB19</f>
        <v>0</v>
      </c>
      <c r="O20">
        <f>gescon_infosparticip!BC19</f>
        <v>0</v>
      </c>
      <c r="P20">
        <f>gescon_infosparticip!BD19</f>
        <v>2146189010</v>
      </c>
      <c r="Q20">
        <f>gescon_infosparticip!BE19</f>
        <v>0</v>
      </c>
      <c r="R20" t="str">
        <f>gescon_infosparticip!BF19</f>
        <v>8766</v>
      </c>
      <c r="S20" t="str">
        <f>gescon_infosparticip!BG19</f>
        <v>IMC, retard mental et handicap physique</v>
      </c>
      <c r="T20" t="str">
        <f>gescon_infosparticip!BH19</f>
        <v>Retard mental, malvoyance</v>
      </c>
      <c r="U20" t="str">
        <f>gescon_infosparticip!BI19</f>
        <v>Moyen</v>
      </c>
      <c r="V20" t="str">
        <f>gescon_infosparticip!BJ19</f>
        <v>pas à la connaissance</v>
      </c>
      <c r="W20" t="str">
        <f>gescon_infosparticip!BK19</f>
        <v/>
      </c>
      <c r="X20" t="str">
        <f>gescon_infosparticip!BL19</f>
        <v>Il a une sonde urinaire depuis 2008. Il a toujours sa bouteille avec lui. Il ne dit pas s'il est mouillé car ça le gêne, veiller à lui vider souvent souvent la poche. Le matin et le soir env. 15 min. sur les toilettes pour les selles.</v>
      </c>
      <c r="Y20" t="str">
        <f>gescon_infosparticip!BM19</f>
        <v/>
      </c>
    </row>
    <row r="21" spans="2:25" ht="15.75" customHeight="1" x14ac:dyDescent="0.25">
      <c r="B21">
        <f>gescon_infosparticip!A20</f>
        <v>-953224796</v>
      </c>
      <c r="C21" t="str">
        <f>gescon_infosparticip!AH20</f>
        <v>Il est autonome pour les repas.</v>
      </c>
      <c r="D21" t="str">
        <f>gescon_infosparticip!AI20</f>
        <v/>
      </c>
      <c r="E21" t="str">
        <f>gescon_infosparticip!AJ20</f>
        <v>Il prend toujours des pruneaux secs au déjeuner</v>
      </c>
      <c r="F21" t="str">
        <f>gescon_infosparticip!AK20</f>
        <v>le Lait</v>
      </c>
      <c r="G21" t="str">
        <f>gescon_infosparticip!AL20</f>
        <v/>
      </c>
      <c r="H21" t="str">
        <f>gescon_infosparticip!AM20</f>
        <v>Verre d'eau chaude au réveil pour faciliter son transit. Un kiwi ou jus d'orange pour déjeuner serait idéal.</v>
      </c>
      <c r="I21" t="str">
        <f>gescon_infosparticip!AN20</f>
        <v>Il aime les bières. Un café après les repas. Un verre de jus d'orange au déjeuner.</v>
      </c>
      <c r="J21" t="str">
        <f>gescon_infosparticip!AO20</f>
        <v/>
      </c>
      <c r="K21" t="str">
        <f>gescon_infosparticip!AP20</f>
        <v>le fromage</v>
      </c>
      <c r="L21" t="str">
        <f>gescon_infosparticip!AQ20</f>
        <v/>
      </c>
      <c r="M21">
        <f>gescon_infosparticip!BA20</f>
        <v>2146188983</v>
      </c>
      <c r="N21">
        <f>gescon_infosparticip!BB20</f>
        <v>0</v>
      </c>
      <c r="O21">
        <f>gescon_infosparticip!BC20</f>
        <v>0</v>
      </c>
      <c r="P21">
        <f>gescon_infosparticip!BD20</f>
        <v>2146188985</v>
      </c>
      <c r="Q21">
        <f>gescon_infosparticip!BE20</f>
        <v>2146188985</v>
      </c>
      <c r="R21" t="str">
        <f>gescon_infosparticip!BF20</f>
        <v>190 51 144</v>
      </c>
      <c r="S21" t="str">
        <f>gescon_infosparticip!BG20</f>
        <v>IMC</v>
      </c>
      <c r="T21" t="str">
        <f>gescon_infosparticip!BH20</f>
        <v>Handicap mental</v>
      </c>
      <c r="U21" t="str">
        <f>gescon_infosparticip!BI20</f>
        <v>Faible</v>
      </c>
      <c r="V21" t="str">
        <f>gescon_infosparticip!BJ20</f>
        <v>Protéger Julien du soleil (casquette, crème)</v>
      </c>
      <c r="W21" t="str">
        <f>gescon_infosparticip!BK20</f>
        <v>Besoin d'aide pour l'habillement, surtout pour attaché ses chaussures. Surveiller sa toilette sauf si douche. Il a besoin d'aide pour se laver le dos..</v>
      </c>
      <c r="X21" t="str">
        <f>gescon_infosparticip!BL20</f>
        <v>Julien est autonome mais il faut vérifier qu'il aille à selle. (si possible chaque deux jours).</v>
      </c>
      <c r="Y21" t="str">
        <f>gescon_infosparticip!BM20</f>
        <v>Prévention escarres, douche (avec de l'aide). Pour la douche, si le siège est adapté à hauter du fauteuil roulant. Julien se débrouille bien, il faut surveiller qu'il fasse bien le passage.</v>
      </c>
    </row>
    <row r="22" spans="2:25" ht="15.75" customHeight="1" x14ac:dyDescent="0.25">
      <c r="B22">
        <f>gescon_infosparticip!A21</f>
        <v>-587438322</v>
      </c>
      <c r="C22" t="str">
        <f>gescon_infosparticip!AH21</f>
        <v>couper très, très fin, voir mixer certains aliments sinon fausse route.couper fin, lui donner à manger</v>
      </c>
      <c r="D22" t="str">
        <f>gescon_infosparticip!AI21</f>
        <v/>
      </c>
      <c r="E22" t="str">
        <f>gescon_infosparticip!AJ21</f>
        <v/>
      </c>
      <c r="F22" t="str">
        <f>gescon_infosparticip!AK21</f>
        <v/>
      </c>
      <c r="G22" t="str">
        <f>gescon_infosparticip!AL21</f>
        <v>Biscuits secs et gros morceaux</v>
      </c>
      <c r="H22" t="str">
        <f>gescon_infosparticip!AM21</f>
        <v>René boit avec de l’aide. 2 gobelets par repas avec de l’épaississant.</v>
      </c>
      <c r="I22" t="str">
        <f>gescon_infosparticip!AN21</f>
        <v/>
      </c>
      <c r="J22" t="str">
        <f>gescon_infosparticip!AO21</f>
        <v>n'aime pas le lait</v>
      </c>
      <c r="K22" t="str">
        <f>gescon_infosparticip!AP21</f>
        <v/>
      </c>
      <c r="L22" t="str">
        <f>gescon_infosparticip!AQ21</f>
        <v/>
      </c>
      <c r="M22">
        <f>gescon_infosparticip!BA21</f>
        <v>107</v>
      </c>
      <c r="N22">
        <f>gescon_infosparticip!BB21</f>
        <v>0</v>
      </c>
      <c r="O22">
        <f>gescon_infosparticip!BC21</f>
        <v>0</v>
      </c>
      <c r="P22">
        <f>gescon_infosparticip!BD21</f>
        <v>2146189018</v>
      </c>
      <c r="Q22">
        <f>gescon_infosparticip!BE21</f>
        <v>2146189008</v>
      </c>
      <c r="R22" t="str">
        <f>gescon_infosparticip!BF21</f>
        <v>158 18 100</v>
      </c>
      <c r="S22" t="str">
        <f>gescon_infosparticip!BG21</f>
        <v>leucodystrophie à évolution lente</v>
      </c>
      <c r="T22" t="str">
        <f>gescon_infosparticip!BH21</f>
        <v>troubles moteurs</v>
      </c>
      <c r="U22" t="str">
        <f>gescon_infosparticip!BI21</f>
        <v>Elevé</v>
      </c>
      <c r="V22" t="str">
        <f>gescon_infosparticip!BJ21</f>
        <v>Protéger René du soleil (chapeau, crème).</v>
      </c>
      <c r="W22" t="str">
        <f>gescon_infosparticip!BK21</f>
        <v>René est tout à fait dépendant du soignant. Il prend une douche chaque jour ou lui faire une toilette au lit. Il sait cracher dans le haricot après le brossage des dents. Lui masser les jambes avec du lait corporel. Bien lui sécher les mains, les pieds et sous les bras (risque de mycose). Il faut éviter les plis des habits lors de l’installation dans sa chaise et bien le positionner au fond de la chaise et toujours l’attacher (risque de chutes).</v>
      </c>
      <c r="X22" t="str">
        <f>gescon_infosparticip!BL21</f>
        <v>René est langé jour et nuit (le changer 3x par jour, 1x par nuit)</v>
      </c>
      <c r="Y22" t="str">
        <f>gescon_infosparticip!BM21</f>
        <v>A prévenir - douche</v>
      </c>
    </row>
    <row r="23" spans="2:25" ht="15.75" customHeight="1" x14ac:dyDescent="0.25">
      <c r="B23">
        <f>gescon_infosparticip!A22</f>
        <v>-568750303</v>
      </c>
      <c r="C23" t="str">
        <f>gescon_infosparticip!AH22</f>
        <v>Il a besoin d'une aide pour lui donner à manger à et boire. Un verre avec une pipette à donner par l'éducateur. IL aime les jus de fruits sans gaz ou sirop. IL préfère le cacao le matin. Il mange avec une cuillère ou fourchette normale. Il sait dire ce qu'il apprécie ou pas. Lui donner qu'un service.
Nourriture coupée fine, donnée par l'éducateur</v>
      </c>
      <c r="D23" t="str">
        <f>gescon_infosparticip!AI22</f>
        <v/>
      </c>
      <c r="E23" t="str">
        <f>gescon_infosparticip!AJ22</f>
        <v/>
      </c>
      <c r="F23" t="str">
        <f>gescon_infosparticip!AK22</f>
        <v/>
      </c>
      <c r="G23" t="str">
        <f>gescon_infosparticip!AL22</f>
        <v/>
      </c>
      <c r="H23" t="str">
        <f>gescon_infosparticip!AM22</f>
        <v>verre à bec verseur : il mord un peu mais il arrive à boire sans problème avec de l'aide</v>
      </c>
      <c r="I23" t="str">
        <f>gescon_infosparticip!AN22</f>
        <v>jus de fruits sans gaz ou sirop. Préfère le cacao le matin</v>
      </c>
      <c r="J23" t="str">
        <f>gescon_infosparticip!AO22</f>
        <v/>
      </c>
      <c r="K23" t="str">
        <f>gescon_infosparticip!AP22</f>
        <v/>
      </c>
      <c r="L23" t="str">
        <f>gescon_infosparticip!AQ22</f>
        <v/>
      </c>
      <c r="M23">
        <f>gescon_infosparticip!BA22</f>
        <v>107</v>
      </c>
      <c r="N23">
        <f>gescon_infosparticip!BB22</f>
        <v>0</v>
      </c>
      <c r="O23">
        <f>gescon_infosparticip!BC22</f>
        <v>0</v>
      </c>
      <c r="P23">
        <f>gescon_infosparticip!BD22</f>
        <v>2146188969</v>
      </c>
      <c r="Q23">
        <f>gescon_infosparticip!BE22</f>
        <v>0</v>
      </c>
      <c r="R23" t="str">
        <f>gescon_infosparticip!BF22</f>
        <v>756.1168.7015.03</v>
      </c>
      <c r="S23" t="str">
        <f>gescon_infosparticip!BG22</f>
        <v>IMC mixte. Athétosique/spastique</v>
      </c>
      <c r="T23" t="str">
        <f>gescon_infosparticip!BH22</f>
        <v>Handicap mental</v>
      </c>
      <c r="U23" t="str">
        <f>gescon_infosparticip!BI22</f>
        <v>Elevé</v>
      </c>
      <c r="V23" t="str">
        <f>gescon_infosparticip!BJ22</f>
        <v/>
      </c>
      <c r="W23" t="str">
        <f>gescon_infosparticip!BK22</f>
        <v>Aide totale : douche, sur chaise percée</v>
      </c>
      <c r="X23" t="str">
        <f>gescon_infosparticip!BL22</f>
        <v>Aide totale : n'est pas langé. Aux toilettes en principe après les repas - avec chaise percée. Urinoir dans son sac derrière la chaise pour les déplacements.</v>
      </c>
      <c r="Y23" t="str">
        <f>gescon_infosparticip!BM22</f>
        <v/>
      </c>
    </row>
    <row r="24" spans="2:25" ht="15.75" customHeight="1" x14ac:dyDescent="0.25">
      <c r="B24">
        <f>gescon_infosparticip!A23</f>
        <v>-486550603</v>
      </c>
      <c r="C24" t="str">
        <f>gescon_infosparticip!AH23</f>
        <v>couper. Aider à manger vers la fin du repas. Janique emploie une cuillère spéciale et  une assiette + collerette posée sur un sous plat antiglisse. Il faut parfois l’aider, si elle est trop fatiguée.Il faut faire attention à son poids, donc surveiller la quantité. Pour encourager Janique à suivre son régime, servir son repas plutôt dans une assiette à dessert, limiter les féculents et la viande mais pas les légumes. Essayer d’être à table avec des personnes ayant aussi besoin de s’encourager à perdre du poids (accompagnant ou participant).lui mettre des demi.portions. Prend le dessert à 16h. Si tousse lors des repas, la conduire à l'écart, attitude rassurante</v>
      </c>
      <c r="D24" t="str">
        <f>gescon_infosparticip!AI23</f>
        <v>gratin, papé vaudois</v>
      </c>
      <c r="E24" t="str">
        <f>gescon_infosparticip!AJ23</f>
        <v>éviter sucreries en grande quantité et le grignotage et les aliments trop gras.</v>
      </c>
      <c r="F24" t="str">
        <f>gescon_infosparticip!AK23</f>
        <v>limiter les produits laitiers. Elle peut manger un yogourt (à la place d’autre chose) Fenouille, fruits de mer, œuf dur, choux fleurs -&gt; attention à sa toux.</v>
      </c>
      <c r="G24" t="str">
        <f>gescon_infosparticip!AL23</f>
        <v/>
      </c>
      <c r="H24" t="str">
        <f>gescon_infosparticip!AM23</f>
        <v>A la paille / lui donner à la fin du repas 1 dl eau + souhait 1 dl de café</v>
      </c>
      <c r="I24" t="str">
        <f>gescon_infosparticip!AN23</f>
        <v>eau-café noir  et 2 assugrines</v>
      </c>
      <c r="J24" t="str">
        <f>gescon_infosparticip!AO23</f>
        <v>éviter les choses sucrées</v>
      </c>
      <c r="K24" t="str">
        <f>gescon_infosparticip!AP23</f>
        <v>sodas / Boissons sucrées ou grasses</v>
      </c>
      <c r="L24" t="str">
        <f>gescon_infosparticip!AQ23</f>
        <v/>
      </c>
      <c r="M24">
        <f>gescon_infosparticip!BA23</f>
        <v>2146189022</v>
      </c>
      <c r="N24">
        <f>gescon_infosparticip!BB23</f>
        <v>0</v>
      </c>
      <c r="O24">
        <f>gescon_infosparticip!BC23</f>
        <v>0</v>
      </c>
      <c r="P24">
        <f>gescon_infosparticip!BD23</f>
        <v>2146189011</v>
      </c>
      <c r="Q24">
        <f>gescon_infosparticip!BE23</f>
        <v>2146189011</v>
      </c>
      <c r="R24" t="str">
        <f>gescon_infosparticip!BF23</f>
        <v>184 25 597 / 0002</v>
      </c>
      <c r="S24" t="str">
        <f>gescon_infosparticip!BG23</f>
        <v>IMC</v>
      </c>
      <c r="T24" t="str">
        <f>gescon_infosparticip!BH23</f>
        <v>troubles moteurs, troubles visuels,très vite angoisée</v>
      </c>
      <c r="U24" t="str">
        <f>gescon_infosparticip!BI23</f>
        <v>Elevé</v>
      </c>
      <c r="V24" t="str">
        <f>gescon_infosparticip!BJ23</f>
        <v>protéger Janique du soleil (chapeau, crème)</v>
      </c>
      <c r="W24" t="str">
        <f>gescon_infosparticip!BK23</f>
        <v>Aide totale,Janique à une sonde urinaire elle à tendance à être souvent constipée,si pas de selles pendant 3 jours,il faut lui faire un mycrocliste. Petite toilette Lactacyd</v>
      </c>
      <c r="X24" t="str">
        <f>gescon_infosparticip!BL23</f>
        <v>sonde sous-pubienne. Janique a une sonde sous-pubienne. Elle demande pour aller aux toilettes. Attention à ce qu’elle ne soit pas penchée trop en avant pour éviter de faire une pression sur sonde. Ne pas changer l'uriflac sauf s'il est percé ou s'il est abimé.Pensement cysto Ma et Ve.</v>
      </c>
      <c r="Y24" t="str">
        <f>gescon_infosparticip!BM23</f>
        <v>Matin et soir toilette intime minutieuse, bien sécher au foehn car risque important de rougeur. A chaque changement de protection lui faire une peite toilette intime et bien la sécher.</v>
      </c>
    </row>
    <row r="25" spans="2:25" ht="15.75" customHeight="1" x14ac:dyDescent="0.25">
      <c r="B25">
        <f>gescon_infosparticip!A24</f>
        <v>-479406894</v>
      </c>
      <c r="C25" t="str">
        <f>gescon_infosparticip!AH24</f>
        <v>Couper les aliments, lui donner à manger</v>
      </c>
      <c r="D25" t="str">
        <f>gescon_infosparticip!AI24</f>
        <v>Fabian aime le chocolat</v>
      </c>
      <c r="E25" t="str">
        <f>gescon_infosparticip!AJ24</f>
        <v>N'aime pas : poisson, œufs,beurre Lui remplir l'assiette ca il a tendance à peu manger surtout les légumes.</v>
      </c>
      <c r="F25" t="str">
        <f>gescon_infosparticip!AK24</f>
        <v>fatigue en fin de repas ou spasmes durant le repas</v>
      </c>
      <c r="G25" t="str">
        <f>gescon_infosparticip!AL24</f>
        <v/>
      </c>
      <c r="H25" t="str">
        <f>gescon_infosparticip!AM24</f>
        <v>Il boit avec une paille.</v>
      </c>
      <c r="I25" t="str">
        <f>gescon_infosparticip!AN24</f>
        <v>Sirop et coca</v>
      </c>
      <c r="J25" t="str">
        <f>gescon_infosparticip!AO24</f>
        <v/>
      </c>
      <c r="K25" t="str">
        <f>gescon_infosparticip!AP24</f>
        <v/>
      </c>
      <c r="L25" t="str">
        <f>gescon_infosparticip!AQ24</f>
        <v>Boissons alcoolisées</v>
      </c>
      <c r="M25">
        <f>gescon_infosparticip!BA24</f>
        <v>2146189022</v>
      </c>
      <c r="N25">
        <f>gescon_infosparticip!BB24</f>
        <v>0</v>
      </c>
      <c r="O25">
        <f>gescon_infosparticip!BC24</f>
        <v>0</v>
      </c>
      <c r="P25">
        <f>gescon_infosparticip!BD24</f>
        <v>2146189011</v>
      </c>
      <c r="Q25">
        <f>gescon_infosparticip!BE24</f>
        <v>2146189011</v>
      </c>
      <c r="R25" t="str">
        <f>gescon_infosparticip!BF24</f>
        <v>168 58 945</v>
      </c>
      <c r="S25" t="str">
        <f>gescon_infosparticip!BG24</f>
        <v>IMC</v>
      </c>
      <c r="T25" t="str">
        <f>gescon_infosparticip!BH24</f>
        <v>troubles moteurs</v>
      </c>
      <c r="U25" t="str">
        <f>gescon_infosparticip!BI24</f>
        <v>Elevé</v>
      </c>
      <c r="V25" t="str">
        <f>gescon_infosparticip!BJ24</f>
        <v>Protéger du soleil - Rhume des foins - (voir médicaments)</v>
      </c>
      <c r="W25" t="str">
        <f>gescon_infosparticip!BK24</f>
        <v>Aide complète - crème protectrice sur les fesses et les pieds (matin et soir) - fesses : compresses pour le protéger - Bien sécher les plis de la peau à l'aine, en cas de rougeur (crème Pévary) idem à la hanche droite - talon : mettre la peau de mouton Huile Antidry après la toilette.</v>
      </c>
      <c r="X25" t="str">
        <f>gescon_infosparticip!BL24</f>
        <v>Urine : bouteille à la demande ou lors de longues sorties. Condom chaque matin - poche. Selles : chaise percée 2x/semaine (mercredi et samedi matin)</v>
      </c>
      <c r="Y25" t="str">
        <f>gescon_infosparticip!BM24</f>
        <v>Appliquer crème protectrice sur les fesses et les pieds. Sièges : Mopilex border nettoyer au protan si nécessaire bépanthène onguent autour. Verge : si rougeur de lésion, mettre cavillon laisser sécher avant de remettre le condom.</v>
      </c>
    </row>
    <row r="26" spans="2:25" ht="15.75" customHeight="1" x14ac:dyDescent="0.25">
      <c r="B26">
        <f>gescon_infosparticip!A25</f>
        <v>-414006540</v>
      </c>
      <c r="C26" t="str">
        <f>gescon_infosparticip!AH25</f>
        <v>Alexandre mange de tout en bonne quantité. Il faut lui couper ses aliments.</v>
      </c>
      <c r="D26" t="str">
        <f>gescon_infosparticip!AI25</f>
        <v>Bonbons, fruits</v>
      </c>
      <c r="E26" t="str">
        <f>gescon_infosparticip!AJ25</f>
        <v/>
      </c>
      <c r="F26" t="str">
        <f>gescon_infosparticip!AK25</f>
        <v>Attention avec le sel sur la table.</v>
      </c>
      <c r="G26" t="str">
        <f>gescon_infosparticip!AL25</f>
        <v/>
      </c>
      <c r="H26" t="str">
        <f>gescon_infosparticip!AM25</f>
        <v/>
      </c>
      <c r="I26" t="str">
        <f>gescon_infosparticip!AN25</f>
        <v>Le thé froid, le sirop</v>
      </c>
      <c r="J26" t="str">
        <f>gescon_infosparticip!AO25</f>
        <v/>
      </c>
      <c r="K26" t="str">
        <f>gescon_infosparticip!AP25</f>
        <v>il ne boit plus de lait</v>
      </c>
      <c r="L26" t="str">
        <f>gescon_infosparticip!AQ25</f>
        <v/>
      </c>
      <c r="M26">
        <f>gescon_infosparticip!BA25</f>
        <v>2146188990</v>
      </c>
      <c r="N26">
        <f>gescon_infosparticip!BB25</f>
        <v>0</v>
      </c>
      <c r="O26">
        <f>gescon_infosparticip!BC25</f>
        <v>0</v>
      </c>
      <c r="P26">
        <f>gescon_infosparticip!BD25</f>
        <v>2146188986</v>
      </c>
      <c r="Q26">
        <f>gescon_infosparticip!BE25</f>
        <v>2146188986</v>
      </c>
      <c r="R26" t="str">
        <f>gescon_infosparticip!BF25</f>
        <v>00008 375-80-187</v>
      </c>
      <c r="S26" t="str">
        <f>gescon_infosparticip!BG25</f>
        <v>hydrocéphalie avec hémiparésie à gauche</v>
      </c>
      <c r="T26" t="str">
        <f>gescon_infosparticip!BH25</f>
        <v>trouble de l'attention, du langage, frustration avec crises de larmes et colères.</v>
      </c>
      <c r="U26" t="str">
        <f>gescon_infosparticip!BI25</f>
        <v/>
      </c>
      <c r="V26" t="str">
        <f>gescon_infosparticip!BJ25</f>
        <v>Tendance à avoir le rhume</v>
      </c>
      <c r="W26" t="str">
        <f>gescon_infosparticip!BK25</f>
        <v>Il a besoin d'aide pour sa toilette. Il n'aime pas la douche. Alexandre à un drain qui passe dans son cou, à gauche. En cas de fièvre, cela pourrait indiquer que ce dernier est infecté. Prévenir la Maman de suite.</v>
      </c>
      <c r="X26" t="str">
        <f>gescon_infosparticip!BL25</f>
        <v>Bien veiller à le mettre aux toilettes avant/après une activité avant d'aller au lit.</v>
      </c>
      <c r="Y26" t="str">
        <f>gescon_infosparticip!BM25</f>
        <v/>
      </c>
    </row>
    <row r="27" spans="2:25" ht="15.75" customHeight="1" x14ac:dyDescent="0.25">
      <c r="B27">
        <f>gescon_infosparticip!A26</f>
        <v>-362773667</v>
      </c>
      <c r="C27" t="str">
        <f>gescon_infosparticip!AH26</f>
        <v/>
      </c>
      <c r="D27" t="str">
        <f>gescon_infosparticip!AI26</f>
        <v/>
      </c>
      <c r="E27" t="str">
        <f>gescon_infosparticip!AJ26</f>
        <v/>
      </c>
      <c r="F27" t="str">
        <f>gescon_infosparticip!AK26</f>
        <v/>
      </c>
      <c r="G27" t="str">
        <f>gescon_infosparticip!AL26</f>
        <v/>
      </c>
      <c r="H27" t="str">
        <f>gescon_infosparticip!AM26</f>
        <v/>
      </c>
      <c r="I27" t="str">
        <f>gescon_infosparticip!AN26</f>
        <v/>
      </c>
      <c r="J27" t="str">
        <f>gescon_infosparticip!AO26</f>
        <v/>
      </c>
      <c r="K27" t="str">
        <f>gescon_infosparticip!AP26</f>
        <v/>
      </c>
      <c r="L27" t="str">
        <f>gescon_infosparticip!AQ26</f>
        <v/>
      </c>
      <c r="M27">
        <f>gescon_infosparticip!BA26</f>
        <v>0</v>
      </c>
      <c r="N27">
        <f>gescon_infosparticip!BB26</f>
        <v>0</v>
      </c>
      <c r="O27">
        <f>gescon_infosparticip!BC26</f>
        <v>0</v>
      </c>
      <c r="P27">
        <f>gescon_infosparticip!BD26</f>
        <v>0</v>
      </c>
      <c r="Q27">
        <f>gescon_infosparticip!BE26</f>
        <v>0</v>
      </c>
      <c r="R27" t="str">
        <f>gescon_infosparticip!BF26</f>
        <v/>
      </c>
      <c r="S27" t="str">
        <f>gescon_infosparticip!BG26</f>
        <v/>
      </c>
      <c r="T27" t="str">
        <f>gescon_infosparticip!BH26</f>
        <v/>
      </c>
      <c r="U27" t="str">
        <f>gescon_infosparticip!BI26</f>
        <v/>
      </c>
      <c r="V27" t="str">
        <f>gescon_infosparticip!BJ26</f>
        <v/>
      </c>
      <c r="W27" t="str">
        <f>gescon_infosparticip!BK26</f>
        <v/>
      </c>
      <c r="X27" t="str">
        <f>gescon_infosparticip!BL26</f>
        <v/>
      </c>
      <c r="Y27" t="str">
        <f>gescon_infosparticip!BM26</f>
        <v/>
      </c>
    </row>
    <row r="28" spans="2:25" ht="15.75" customHeight="1" x14ac:dyDescent="0.25">
      <c r="B28">
        <f>gescon_infosparticip!A27</f>
        <v>-22390883</v>
      </c>
      <c r="C28" t="str">
        <f>gescon_infosparticip!AH27</f>
        <v>Aide totale : Se mettre derrière lui et lui tenir le menton avec une main - bouge beaucoup  - Manger : cuillère en inox - couper très fin. Couper le pain en petit morceau et mouiller les aliments. Utiliser le Masticateur.</v>
      </c>
      <c r="D28" t="str">
        <f>gescon_infosparticip!AI27</f>
        <v>matin : du pain,confiture (couper le pain en petits morceaux ou faire imbiber les morceaux)</v>
      </c>
      <c r="E28" t="str">
        <f>gescon_infosparticip!AJ27</f>
        <v>Ajouter du liquide avec les aliments c'est plus facile pour Claudio mange mieux</v>
      </c>
      <c r="F28" t="str">
        <f>gescon_infosparticip!AK27</f>
        <v/>
      </c>
      <c r="G28" t="str">
        <f>gescon_infosparticip!AL27</f>
        <v/>
      </c>
      <c r="H28" t="str">
        <f>gescon_infosparticip!AM27</f>
        <v>Claudio boit avec un verre avec un bec verseur et une bavette sous son menton</v>
      </c>
      <c r="I28" t="str">
        <f>gescon_infosparticip!AN27</f>
        <v>matin : café au lait ou cacao. Midi : il boit volontiers des sirops au citron ou orange et le soir des tisanes après avoir mangé ou café.</v>
      </c>
      <c r="J28" t="str">
        <f>gescon_infosparticip!AO27</f>
        <v/>
      </c>
      <c r="K28" t="str">
        <f>gescon_infosparticip!AP27</f>
        <v/>
      </c>
      <c r="L28" t="str">
        <f>gescon_infosparticip!AQ27</f>
        <v/>
      </c>
      <c r="M28">
        <f>gescon_infosparticip!BA27</f>
        <v>0</v>
      </c>
      <c r="N28">
        <f>gescon_infosparticip!BB27</f>
        <v>0</v>
      </c>
      <c r="O28">
        <f>gescon_infosparticip!BC27</f>
        <v>0</v>
      </c>
      <c r="P28">
        <f>gescon_infosparticip!BD27</f>
        <v>2146188974</v>
      </c>
      <c r="Q28">
        <f>gescon_infosparticip!BE27</f>
        <v>2146188974</v>
      </c>
      <c r="R28" t="str">
        <f>gescon_infosparticip!BF27</f>
        <v>092322</v>
      </c>
      <c r="S28" t="str">
        <f>gescon_infosparticip!BG27</f>
        <v>IMC athétosique. Déficience mentale et toubles de vision d'origine centrale</v>
      </c>
      <c r="T28" t="str">
        <f>gescon_infosparticip!BH27</f>
        <v>Problèmes aux poumons il lui reste 1 seul poumon. Rhume des foins</v>
      </c>
      <c r="U28" t="str">
        <f>gescon_infosparticip!BI27</f>
        <v>Elevé</v>
      </c>
      <c r="V28" t="str">
        <f>gescon_infosparticip!BJ27</f>
        <v>Asthme en cas de trop grande excitation ou en période de floraison. Changer tout de suite le pull si celui-ci est mouillé au niveau des poumons.</v>
      </c>
      <c r="W28" t="str">
        <f>gescon_infosparticip!BK27</f>
        <v>Aide totale : Il bouge beaucoup - lui demander de rester calme</v>
      </c>
      <c r="X28" t="str">
        <f>gescon_infosparticip!BL27</f>
        <v>Lange : jour et nuit - Ne va pas sur les WC. Sur demande il arrive à faire "le pont" pour mettre une protection, enfiler ses culottes et ses pantalons</v>
      </c>
      <c r="Y28" t="str">
        <f>gescon_infosparticip!BM27</f>
        <v/>
      </c>
    </row>
    <row r="29" spans="2:25" ht="15.75" customHeight="1" x14ac:dyDescent="0.25">
      <c r="B29">
        <f>gescon_infosparticip!A28</f>
        <v>0</v>
      </c>
      <c r="C29" t="str">
        <f>gescon_infosparticip!AH28</f>
        <v/>
      </c>
      <c r="D29" t="str">
        <f>gescon_infosparticip!AI28</f>
        <v/>
      </c>
      <c r="E29" t="str">
        <f>gescon_infosparticip!AJ28</f>
        <v/>
      </c>
      <c r="F29" t="str">
        <f>gescon_infosparticip!AK28</f>
        <v/>
      </c>
      <c r="G29" t="str">
        <f>gescon_infosparticip!AL28</f>
        <v/>
      </c>
      <c r="H29" t="str">
        <f>gescon_infosparticip!AM28</f>
        <v/>
      </c>
      <c r="I29" t="str">
        <f>gescon_infosparticip!AN28</f>
        <v/>
      </c>
      <c r="J29" t="str">
        <f>gescon_infosparticip!AO28</f>
        <v/>
      </c>
      <c r="K29" t="str">
        <f>gescon_infosparticip!AP28</f>
        <v/>
      </c>
      <c r="L29" t="str">
        <f>gescon_infosparticip!AQ28</f>
        <v/>
      </c>
      <c r="M29">
        <f>gescon_infosparticip!BA28</f>
        <v>0</v>
      </c>
      <c r="N29">
        <f>gescon_infosparticip!BB28</f>
        <v>0</v>
      </c>
      <c r="O29">
        <f>gescon_infosparticip!BC28</f>
        <v>0</v>
      </c>
      <c r="P29">
        <f>gescon_infosparticip!BD28</f>
        <v>0</v>
      </c>
      <c r="Q29">
        <f>gescon_infosparticip!BE28</f>
        <v>0</v>
      </c>
      <c r="R29" t="str">
        <f>gescon_infosparticip!BF28</f>
        <v/>
      </c>
      <c r="S29" t="str">
        <f>gescon_infosparticip!BG28</f>
        <v/>
      </c>
      <c r="T29" t="str">
        <f>gescon_infosparticip!BH28</f>
        <v/>
      </c>
      <c r="U29" t="str">
        <f>gescon_infosparticip!BI28</f>
        <v/>
      </c>
      <c r="V29" t="str">
        <f>gescon_infosparticip!BJ28</f>
        <v/>
      </c>
      <c r="W29" t="str">
        <f>gescon_infosparticip!BK28</f>
        <v/>
      </c>
      <c r="X29" t="str">
        <f>gescon_infosparticip!BL28</f>
        <v/>
      </c>
      <c r="Y29" t="str">
        <f>gescon_infosparticip!BM28</f>
        <v/>
      </c>
    </row>
    <row r="30" spans="2:25" ht="15.75" customHeight="1" x14ac:dyDescent="0.25">
      <c r="B30">
        <f>gescon_infosparticip!A29</f>
        <v>107</v>
      </c>
      <c r="C30" t="str">
        <f>gescon_infosparticip!AH29</f>
        <v/>
      </c>
      <c r="D30" t="str">
        <f>gescon_infosparticip!AI29</f>
        <v/>
      </c>
      <c r="E30" t="str">
        <f>gescon_infosparticip!AJ29</f>
        <v/>
      </c>
      <c r="F30" t="str">
        <f>gescon_infosparticip!AK29</f>
        <v/>
      </c>
      <c r="G30" t="str">
        <f>gescon_infosparticip!AL29</f>
        <v/>
      </c>
      <c r="H30" t="str">
        <f>gescon_infosparticip!AM29</f>
        <v/>
      </c>
      <c r="I30" t="str">
        <f>gescon_infosparticip!AN29</f>
        <v/>
      </c>
      <c r="J30" t="str">
        <f>gescon_infosparticip!AO29</f>
        <v/>
      </c>
      <c r="K30" t="str">
        <f>gescon_infosparticip!AP29</f>
        <v/>
      </c>
      <c r="L30" t="str">
        <f>gescon_infosparticip!AQ29</f>
        <v/>
      </c>
      <c r="M30">
        <f>gescon_infosparticip!BA29</f>
        <v>0</v>
      </c>
      <c r="N30">
        <f>gescon_infosparticip!BB29</f>
        <v>0</v>
      </c>
      <c r="O30">
        <f>gescon_infosparticip!BC29</f>
        <v>0</v>
      </c>
      <c r="P30">
        <f>gescon_infosparticip!BD29</f>
        <v>0</v>
      </c>
      <c r="Q30">
        <f>gescon_infosparticip!BE29</f>
        <v>0</v>
      </c>
      <c r="R30" t="str">
        <f>gescon_infosparticip!BF29</f>
        <v/>
      </c>
      <c r="S30" t="str">
        <f>gescon_infosparticip!BG29</f>
        <v/>
      </c>
      <c r="T30" t="str">
        <f>gescon_infosparticip!BH29</f>
        <v/>
      </c>
      <c r="U30" t="str">
        <f>gescon_infosparticip!BI29</f>
        <v/>
      </c>
      <c r="V30" t="str">
        <f>gescon_infosparticip!BJ29</f>
        <v/>
      </c>
      <c r="W30" t="str">
        <f>gescon_infosparticip!BK29</f>
        <v/>
      </c>
      <c r="X30" t="str">
        <f>gescon_infosparticip!BL29</f>
        <v/>
      </c>
      <c r="Y30" t="str">
        <f>gescon_infosparticip!BM29</f>
        <v/>
      </c>
    </row>
    <row r="31" spans="2:25" ht="15.75" customHeight="1" x14ac:dyDescent="0.25">
      <c r="B31">
        <f>gescon_infosparticip!A30</f>
        <v>111</v>
      </c>
      <c r="C31" t="str">
        <f>gescon_infosparticip!AH30</f>
        <v/>
      </c>
      <c r="D31" t="str">
        <f>gescon_infosparticip!AI30</f>
        <v/>
      </c>
      <c r="E31" t="str">
        <f>gescon_infosparticip!AJ30</f>
        <v/>
      </c>
      <c r="F31" t="str">
        <f>gescon_infosparticip!AK30</f>
        <v/>
      </c>
      <c r="G31" t="str">
        <f>gescon_infosparticip!AL30</f>
        <v/>
      </c>
      <c r="H31" t="str">
        <f>gescon_infosparticip!AM30</f>
        <v/>
      </c>
      <c r="I31" t="str">
        <f>gescon_infosparticip!AN30</f>
        <v/>
      </c>
      <c r="J31" t="str">
        <f>gescon_infosparticip!AO30</f>
        <v/>
      </c>
      <c r="K31" t="str">
        <f>gescon_infosparticip!AP30</f>
        <v/>
      </c>
      <c r="L31" t="str">
        <f>gescon_infosparticip!AQ30</f>
        <v/>
      </c>
      <c r="M31">
        <f>gescon_infosparticip!BA30</f>
        <v>0</v>
      </c>
      <c r="N31">
        <f>gescon_infosparticip!BB30</f>
        <v>0</v>
      </c>
      <c r="O31">
        <f>gescon_infosparticip!BC30</f>
        <v>0</v>
      </c>
      <c r="P31">
        <f>gescon_infosparticip!BD30</f>
        <v>0</v>
      </c>
      <c r="Q31">
        <f>gescon_infosparticip!BE30</f>
        <v>0</v>
      </c>
      <c r="R31" t="str">
        <f>gescon_infosparticip!BF30</f>
        <v/>
      </c>
      <c r="S31" t="str">
        <f>gescon_infosparticip!BG30</f>
        <v/>
      </c>
      <c r="T31" t="str">
        <f>gescon_infosparticip!BH30</f>
        <v/>
      </c>
      <c r="U31" t="str">
        <f>gescon_infosparticip!BI30</f>
        <v/>
      </c>
      <c r="V31" t="str">
        <f>gescon_infosparticip!BJ30</f>
        <v/>
      </c>
      <c r="W31" t="str">
        <f>gescon_infosparticip!BK30</f>
        <v/>
      </c>
      <c r="X31" t="str">
        <f>gescon_infosparticip!BL30</f>
        <v/>
      </c>
      <c r="Y31" t="str">
        <f>gescon_infosparticip!BM30</f>
        <v/>
      </c>
    </row>
    <row r="32" spans="2:25" ht="15.75" customHeight="1" x14ac:dyDescent="0.25">
      <c r="B32">
        <f>gescon_infosparticip!A31</f>
        <v>118</v>
      </c>
      <c r="C32" t="str">
        <f>gescon_infosparticip!AH31</f>
        <v/>
      </c>
      <c r="D32" t="str">
        <f>gescon_infosparticip!AI31</f>
        <v/>
      </c>
      <c r="E32" t="str">
        <f>gescon_infosparticip!AJ31</f>
        <v/>
      </c>
      <c r="F32" t="str">
        <f>gescon_infosparticip!AK31</f>
        <v/>
      </c>
      <c r="G32" t="str">
        <f>gescon_infosparticip!AL31</f>
        <v/>
      </c>
      <c r="H32" t="str">
        <f>gescon_infosparticip!AM31</f>
        <v/>
      </c>
      <c r="I32" t="str">
        <f>gescon_infosparticip!AN31</f>
        <v/>
      </c>
      <c r="J32" t="str">
        <f>gescon_infosparticip!AO31</f>
        <v/>
      </c>
      <c r="K32" t="str">
        <f>gescon_infosparticip!AP31</f>
        <v/>
      </c>
      <c r="L32" t="str">
        <f>gescon_infosparticip!AQ31</f>
        <v/>
      </c>
      <c r="M32">
        <f>gescon_infosparticip!BA31</f>
        <v>107</v>
      </c>
      <c r="N32">
        <f>gescon_infosparticip!BB31</f>
        <v>0</v>
      </c>
      <c r="O32">
        <f>gescon_infosparticip!BC31</f>
        <v>0</v>
      </c>
      <c r="P32">
        <f>gescon_infosparticip!BD31</f>
        <v>0</v>
      </c>
      <c r="Q32">
        <f>gescon_infosparticip!BE31</f>
        <v>0</v>
      </c>
      <c r="R32" t="str">
        <f>gescon_infosparticip!BF31</f>
        <v/>
      </c>
      <c r="S32" t="str">
        <f>gescon_infosparticip!BG31</f>
        <v>IMC</v>
      </c>
      <c r="T32" t="str">
        <f>gescon_infosparticip!BH31</f>
        <v>handicap mental, malvoyant, troubles moteurs</v>
      </c>
      <c r="U32" t="str">
        <f>gescon_infosparticip!BI31</f>
        <v/>
      </c>
      <c r="V32" t="str">
        <f>gescon_infosparticip!BJ31</f>
        <v>Protéger Marie-Noëlle du soleil.</v>
      </c>
      <c r="W32" t="str">
        <f>gescon_infosparticip!BK31</f>
        <v/>
      </c>
      <c r="X32" t="str">
        <f>gescon_infosparticip!BL31</f>
        <v/>
      </c>
      <c r="Y32" t="str">
        <f>gescon_infosparticip!BM31</f>
        <v>TROP PETIT??'</v>
      </c>
    </row>
    <row r="33" spans="2:25" ht="15.75" customHeight="1" x14ac:dyDescent="0.25">
      <c r="B33">
        <f>gescon_infosparticip!A32</f>
        <v>119</v>
      </c>
      <c r="C33" t="str">
        <f>gescon_infosparticip!AH32</f>
        <v/>
      </c>
      <c r="D33" t="str">
        <f>gescon_infosparticip!AI32</f>
        <v/>
      </c>
      <c r="E33" t="str">
        <f>gescon_infosparticip!AJ32</f>
        <v/>
      </c>
      <c r="F33" t="str">
        <f>gescon_infosparticip!AK32</f>
        <v/>
      </c>
      <c r="G33" t="str">
        <f>gescon_infosparticip!AL32</f>
        <v/>
      </c>
      <c r="H33" t="str">
        <f>gescon_infosparticip!AM32</f>
        <v/>
      </c>
      <c r="I33" t="str">
        <f>gescon_infosparticip!AN32</f>
        <v/>
      </c>
      <c r="J33" t="str">
        <f>gescon_infosparticip!AO32</f>
        <v/>
      </c>
      <c r="K33" t="str">
        <f>gescon_infosparticip!AP32</f>
        <v/>
      </c>
      <c r="L33" t="str">
        <f>gescon_infosparticip!AQ32</f>
        <v/>
      </c>
      <c r="M33">
        <f>gescon_infosparticip!BA32</f>
        <v>0</v>
      </c>
      <c r="N33">
        <f>gescon_infosparticip!BB32</f>
        <v>0</v>
      </c>
      <c r="O33">
        <f>gescon_infosparticip!BC32</f>
        <v>0</v>
      </c>
      <c r="P33">
        <f>gescon_infosparticip!BD32</f>
        <v>0</v>
      </c>
      <c r="Q33">
        <f>gescon_infosparticip!BE32</f>
        <v>0</v>
      </c>
      <c r="R33" t="str">
        <f>gescon_infosparticip!BF32</f>
        <v/>
      </c>
      <c r="S33" t="str">
        <f>gescon_infosparticip!BG32</f>
        <v>IMC</v>
      </c>
      <c r="T33" t="str">
        <f>gescon_infosparticip!BH32</f>
        <v/>
      </c>
      <c r="U33" t="str">
        <f>gescon_infosparticip!BI32</f>
        <v/>
      </c>
      <c r="V33" t="str">
        <f>gescon_infosparticip!BJ32</f>
        <v>Protéger Danielo du soleil</v>
      </c>
      <c r="W33" t="str">
        <f>gescon_infosparticip!BK32</f>
        <v/>
      </c>
      <c r="X33" t="str">
        <f>gescon_infosparticip!BL32</f>
        <v/>
      </c>
      <c r="Y33" t="str">
        <f>gescon_infosparticip!BM32</f>
        <v/>
      </c>
    </row>
    <row r="34" spans="2:25" ht="15.75" customHeight="1" x14ac:dyDescent="0.25">
      <c r="B34">
        <f>gescon_infosparticip!A33</f>
        <v>129</v>
      </c>
      <c r="C34" t="str">
        <f>gescon_infosparticip!AH33</f>
        <v/>
      </c>
      <c r="D34" t="str">
        <f>gescon_infosparticip!AI33</f>
        <v/>
      </c>
      <c r="E34" t="str">
        <f>gescon_infosparticip!AJ33</f>
        <v/>
      </c>
      <c r="F34" t="str">
        <f>gescon_infosparticip!AK33</f>
        <v/>
      </c>
      <c r="G34" t="str">
        <f>gescon_infosparticip!AL33</f>
        <v/>
      </c>
      <c r="H34" t="str">
        <f>gescon_infosparticip!AM33</f>
        <v/>
      </c>
      <c r="I34" t="str">
        <f>gescon_infosparticip!AN33</f>
        <v/>
      </c>
      <c r="J34" t="str">
        <f>gescon_infosparticip!AO33</f>
        <v/>
      </c>
      <c r="K34" t="str">
        <f>gescon_infosparticip!AP33</f>
        <v/>
      </c>
      <c r="L34" t="str">
        <f>gescon_infosparticip!AQ33</f>
        <v/>
      </c>
      <c r="M34">
        <f>gescon_infosparticip!BA33</f>
        <v>0</v>
      </c>
      <c r="N34">
        <f>gescon_infosparticip!BB33</f>
        <v>0</v>
      </c>
      <c r="O34">
        <f>gescon_infosparticip!BC33</f>
        <v>0</v>
      </c>
      <c r="P34">
        <f>gescon_infosparticip!BD33</f>
        <v>0</v>
      </c>
      <c r="Q34">
        <f>gescon_infosparticip!BE33</f>
        <v>0</v>
      </c>
      <c r="R34" t="str">
        <f>gescon_infosparticip!BF33</f>
        <v/>
      </c>
      <c r="S34" t="str">
        <f>gescon_infosparticip!BG33</f>
        <v/>
      </c>
      <c r="T34" t="str">
        <f>gescon_infosparticip!BH33</f>
        <v>Dysmorphysme congénital, lambosciatalgie gauche</v>
      </c>
      <c r="U34" t="str">
        <f>gescon_infosparticip!BI33</f>
        <v/>
      </c>
      <c r="V34" t="str">
        <f>gescon_infosparticip!BJ33</f>
        <v>propyphenazare, protéger du soleil, utiliser des pansements hypoallergéniques</v>
      </c>
      <c r="W34" t="str">
        <f>gescon_infosparticip!BK33</f>
        <v/>
      </c>
      <c r="X34" t="str">
        <f>gescon_infosparticip!BL33</f>
        <v/>
      </c>
      <c r="Y34" t="str">
        <f>gescon_infosparticip!BM33</f>
        <v/>
      </c>
    </row>
    <row r="35" spans="2:25" ht="15.75" customHeight="1" x14ac:dyDescent="0.25">
      <c r="B35">
        <f>gescon_infosparticip!A34</f>
        <v>138</v>
      </c>
      <c r="C35" t="str">
        <f>gescon_infosparticip!AH34</f>
        <v>Daniélo mange seul</v>
      </c>
      <c r="D35" t="str">
        <f>gescon_infosparticip!AI34</f>
        <v>-</v>
      </c>
      <c r="E35" t="str">
        <f>gescon_infosparticip!AJ34</f>
        <v>-</v>
      </c>
      <c r="F35" t="str">
        <f>gescon_infosparticip!AK34</f>
        <v>-</v>
      </c>
      <c r="G35" t="str">
        <f>gescon_infosparticip!AL34</f>
        <v>-</v>
      </c>
      <c r="H35" t="str">
        <f>gescon_infosparticip!AM34</f>
        <v>Il boit seul</v>
      </c>
      <c r="I35" t="str">
        <f>gescon_infosparticip!AN34</f>
        <v>-</v>
      </c>
      <c r="J35" t="str">
        <f>gescon_infosparticip!AO34</f>
        <v>-</v>
      </c>
      <c r="K35" t="str">
        <f>gescon_infosparticip!AP34</f>
        <v>-</v>
      </c>
      <c r="L35" t="str">
        <f>gescon_infosparticip!AQ34</f>
        <v>-</v>
      </c>
      <c r="M35">
        <f>gescon_infosparticip!BA34</f>
        <v>2146188992</v>
      </c>
      <c r="N35">
        <f>gescon_infosparticip!BB34</f>
        <v>0</v>
      </c>
      <c r="O35">
        <f>gescon_infosparticip!BC34</f>
        <v>0</v>
      </c>
      <c r="P35">
        <f>gescon_infosparticip!BD34</f>
        <v>2146189294</v>
      </c>
      <c r="Q35">
        <f>gescon_infosparticip!BE34</f>
        <v>2146189294</v>
      </c>
      <c r="R35" t="str">
        <f>gescon_infosparticip!BF34</f>
        <v>482-64-270</v>
      </c>
      <c r="S35" t="str">
        <f>gescon_infosparticip!BG34</f>
        <v>IMC</v>
      </c>
      <c r="T35" t="str">
        <f>gescon_infosparticip!BH34</f>
        <v>-</v>
      </c>
      <c r="U35" t="str">
        <f>gescon_infosparticip!BI34</f>
        <v>Moyen</v>
      </c>
      <c r="V35" t="str">
        <f>gescon_infosparticip!BJ34</f>
        <v>protéger du soleil (casquette + crème)</v>
      </c>
      <c r="W35" t="str">
        <f>gescon_infosparticip!BK34</f>
        <v>autonome mais a besoin de temps</v>
      </c>
      <c r="X35" t="str">
        <f>gescon_infosparticip!BL34</f>
        <v>il va seul aux toilettes</v>
      </c>
      <c r="Y35" t="str">
        <f>gescon_infosparticip!BM34</f>
        <v>-</v>
      </c>
    </row>
    <row r="36" spans="2:25" ht="15.75" customHeight="1" x14ac:dyDescent="0.25">
      <c r="B36">
        <f>gescon_infosparticip!A35</f>
        <v>160</v>
      </c>
      <c r="C36" t="str">
        <f>gescon_infosparticip!AH35</f>
        <v/>
      </c>
      <c r="D36" t="str">
        <f>gescon_infosparticip!AI35</f>
        <v/>
      </c>
      <c r="E36" t="str">
        <f>gescon_infosparticip!AJ35</f>
        <v/>
      </c>
      <c r="F36" t="str">
        <f>gescon_infosparticip!AK35</f>
        <v/>
      </c>
      <c r="G36" t="str">
        <f>gescon_infosparticip!AL35</f>
        <v/>
      </c>
      <c r="H36" t="str">
        <f>gescon_infosparticip!AM35</f>
        <v/>
      </c>
      <c r="I36" t="str">
        <f>gescon_infosparticip!AN35</f>
        <v/>
      </c>
      <c r="J36" t="str">
        <f>gescon_infosparticip!AO35</f>
        <v/>
      </c>
      <c r="K36" t="str">
        <f>gescon_infosparticip!AP35</f>
        <v/>
      </c>
      <c r="L36" t="str">
        <f>gescon_infosparticip!AQ35</f>
        <v/>
      </c>
      <c r="M36">
        <f>gescon_infosparticip!BA35</f>
        <v>0</v>
      </c>
      <c r="N36">
        <f>gescon_infosparticip!BB35</f>
        <v>0</v>
      </c>
      <c r="O36">
        <f>gescon_infosparticip!BC35</f>
        <v>0</v>
      </c>
      <c r="P36">
        <f>gescon_infosparticip!BD35</f>
        <v>0</v>
      </c>
      <c r="Q36">
        <f>gescon_infosparticip!BE35</f>
        <v>0</v>
      </c>
      <c r="R36" t="str">
        <f>gescon_infosparticip!BF35</f>
        <v/>
      </c>
      <c r="S36" t="str">
        <f>gescon_infosparticip!BG35</f>
        <v>IMC</v>
      </c>
      <c r="T36" t="str">
        <f>gescon_infosparticip!BH35</f>
        <v>troubles moteurs</v>
      </c>
      <c r="U36" t="str">
        <f>gescon_infosparticip!BI35</f>
        <v/>
      </c>
      <c r="V36" t="str">
        <f>gescon_infosparticip!BJ35</f>
        <v>supporte le soleil avec un chapeau</v>
      </c>
      <c r="W36" t="str">
        <f>gescon_infosparticip!BK35</f>
        <v/>
      </c>
      <c r="X36" t="str">
        <f>gescon_infosparticip!BL35</f>
        <v/>
      </c>
      <c r="Y36" t="str">
        <f>gescon_infosparticip!BM35</f>
        <v/>
      </c>
    </row>
    <row r="37" spans="2:25" ht="15.75" customHeight="1" x14ac:dyDescent="0.25">
      <c r="B37">
        <f>gescon_infosparticip!A36</f>
        <v>166</v>
      </c>
      <c r="C37" t="str">
        <f>gescon_infosparticip!AH36</f>
        <v/>
      </c>
      <c r="D37" t="str">
        <f>gescon_infosparticip!AI36</f>
        <v/>
      </c>
      <c r="E37" t="str">
        <f>gescon_infosparticip!AJ36</f>
        <v/>
      </c>
      <c r="F37" t="str">
        <f>gescon_infosparticip!AK36</f>
        <v/>
      </c>
      <c r="G37" t="str">
        <f>gescon_infosparticip!AL36</f>
        <v/>
      </c>
      <c r="H37" t="str">
        <f>gescon_infosparticip!AM36</f>
        <v/>
      </c>
      <c r="I37" t="str">
        <f>gescon_infosparticip!AN36</f>
        <v/>
      </c>
      <c r="J37" t="str">
        <f>gescon_infosparticip!AO36</f>
        <v/>
      </c>
      <c r="K37" t="str">
        <f>gescon_infosparticip!AP36</f>
        <v/>
      </c>
      <c r="L37" t="str">
        <f>gescon_infosparticip!AQ36</f>
        <v/>
      </c>
      <c r="M37">
        <f>gescon_infosparticip!BA36</f>
        <v>0</v>
      </c>
      <c r="N37">
        <f>gescon_infosparticip!BB36</f>
        <v>0</v>
      </c>
      <c r="O37">
        <f>gescon_infosparticip!BC36</f>
        <v>0</v>
      </c>
      <c r="P37">
        <f>gescon_infosparticip!BD36</f>
        <v>0</v>
      </c>
      <c r="Q37">
        <f>gescon_infosparticip!BE36</f>
        <v>0</v>
      </c>
      <c r="R37" t="str">
        <f>gescon_infosparticip!BF36</f>
        <v/>
      </c>
      <c r="S37" t="str">
        <f>gescon_infosparticip!BG36</f>
        <v/>
      </c>
      <c r="T37" t="str">
        <f>gescon_infosparticip!BH36</f>
        <v/>
      </c>
      <c r="U37" t="str">
        <f>gescon_infosparticip!BI36</f>
        <v/>
      </c>
      <c r="V37" t="str">
        <f>gescon_infosparticip!BJ36</f>
        <v/>
      </c>
      <c r="W37" t="str">
        <f>gescon_infosparticip!BK36</f>
        <v/>
      </c>
      <c r="X37" t="str">
        <f>gescon_infosparticip!BL36</f>
        <v/>
      </c>
      <c r="Y37" t="str">
        <f>gescon_infosparticip!BM36</f>
        <v/>
      </c>
    </row>
    <row r="38" spans="2:25" ht="15.75" customHeight="1" x14ac:dyDescent="0.25">
      <c r="B38">
        <f>gescon_infosparticip!A37</f>
        <v>167</v>
      </c>
      <c r="C38" t="str">
        <f>gescon_infosparticip!AH37</f>
        <v/>
      </c>
      <c r="D38" t="str">
        <f>gescon_infosparticip!AI37</f>
        <v/>
      </c>
      <c r="E38" t="str">
        <f>gescon_infosparticip!AJ37</f>
        <v/>
      </c>
      <c r="F38" t="str">
        <f>gescon_infosparticip!AK37</f>
        <v/>
      </c>
      <c r="G38" t="str">
        <f>gescon_infosparticip!AL37</f>
        <v/>
      </c>
      <c r="H38" t="str">
        <f>gescon_infosparticip!AM37</f>
        <v/>
      </c>
      <c r="I38" t="str">
        <f>gescon_infosparticip!AN37</f>
        <v/>
      </c>
      <c r="J38" t="str">
        <f>gescon_infosparticip!AO37</f>
        <v/>
      </c>
      <c r="K38" t="str">
        <f>gescon_infosparticip!AP37</f>
        <v/>
      </c>
      <c r="L38" t="str">
        <f>gescon_infosparticip!AQ37</f>
        <v/>
      </c>
      <c r="M38">
        <f>gescon_infosparticip!BA37</f>
        <v>0</v>
      </c>
      <c r="N38">
        <f>gescon_infosparticip!BB37</f>
        <v>0</v>
      </c>
      <c r="O38">
        <f>gescon_infosparticip!BC37</f>
        <v>0</v>
      </c>
      <c r="P38">
        <f>gescon_infosparticip!BD37</f>
        <v>0</v>
      </c>
      <c r="Q38">
        <f>gescon_infosparticip!BE37</f>
        <v>0</v>
      </c>
      <c r="R38" t="str">
        <f>gescon_infosparticip!BF37</f>
        <v/>
      </c>
      <c r="S38" t="str">
        <f>gescon_infosparticip!BG37</f>
        <v>IMC</v>
      </c>
      <c r="T38" t="str">
        <f>gescon_infosparticip!BH37</f>
        <v>troubles moteurs, troubles visuels.</v>
      </c>
      <c r="U38" t="str">
        <f>gescon_infosparticip!BI37</f>
        <v/>
      </c>
      <c r="V38" t="str">
        <f>gescon_infosparticip!BJ37</f>
        <v>protéger Janique du soleil (chapeau, crème).</v>
      </c>
      <c r="W38" t="str">
        <f>gescon_infosparticip!BK37</f>
        <v/>
      </c>
      <c r="X38" t="str">
        <f>gescon_infosparticip!BL37</f>
        <v/>
      </c>
      <c r="Y38" t="str">
        <f>gescon_infosparticip!BM37</f>
        <v/>
      </c>
    </row>
    <row r="39" spans="2:25" ht="15.75" customHeight="1" x14ac:dyDescent="0.25">
      <c r="B39">
        <f>gescon_infosparticip!A38</f>
        <v>175</v>
      </c>
      <c r="C39" t="str">
        <f>gescon_infosparticip!AH38</f>
        <v/>
      </c>
      <c r="D39" t="str">
        <f>gescon_infosparticip!AI38</f>
        <v/>
      </c>
      <c r="E39" t="str">
        <f>gescon_infosparticip!AJ38</f>
        <v/>
      </c>
      <c r="F39" t="str">
        <f>gescon_infosparticip!AK38</f>
        <v/>
      </c>
      <c r="G39" t="str">
        <f>gescon_infosparticip!AL38</f>
        <v/>
      </c>
      <c r="H39" t="str">
        <f>gescon_infosparticip!AM38</f>
        <v/>
      </c>
      <c r="I39" t="str">
        <f>gescon_infosparticip!AN38</f>
        <v/>
      </c>
      <c r="J39" t="str">
        <f>gescon_infosparticip!AO38</f>
        <v/>
      </c>
      <c r="K39" t="str">
        <f>gescon_infosparticip!AP38</f>
        <v/>
      </c>
      <c r="L39" t="str">
        <f>gescon_infosparticip!AQ38</f>
        <v/>
      </c>
      <c r="M39">
        <f>gescon_infosparticip!BA38</f>
        <v>107</v>
      </c>
      <c r="N39">
        <f>gescon_infosparticip!BB38</f>
        <v>0</v>
      </c>
      <c r="O39">
        <f>gescon_infosparticip!BC38</f>
        <v>0</v>
      </c>
      <c r="P39">
        <f>gescon_infosparticip!BD38</f>
        <v>0</v>
      </c>
      <c r="Q39">
        <f>gescon_infosparticip!BE38</f>
        <v>0</v>
      </c>
      <c r="R39" t="str">
        <f>gescon_infosparticip!BF38</f>
        <v/>
      </c>
      <c r="S39" t="str">
        <f>gescon_infosparticip!BG38</f>
        <v>IMC</v>
      </c>
      <c r="T39" t="str">
        <f>gescon_infosparticip!BH38</f>
        <v>troubles moteurs</v>
      </c>
      <c r="U39" t="str">
        <f>gescon_infosparticip!BI38</f>
        <v/>
      </c>
      <c r="V39" t="str">
        <f>gescon_infosparticip!BJ38</f>
        <v>protéger Christophe du soleil (chapeau, crème)</v>
      </c>
      <c r="W39" t="str">
        <f>gescon_infosparticip!BK38</f>
        <v/>
      </c>
      <c r="X39" t="str">
        <f>gescon_infosparticip!BL38</f>
        <v/>
      </c>
      <c r="Y39" t="str">
        <f>gescon_infosparticip!BM38</f>
        <v/>
      </c>
    </row>
    <row r="40" spans="2:25" ht="15.75" customHeight="1" x14ac:dyDescent="0.25">
      <c r="B40">
        <f>gescon_infosparticip!A39</f>
        <v>177</v>
      </c>
      <c r="C40" t="str">
        <f>gescon_infosparticip!AH39</f>
        <v>A besoin d'aide pour couper fin les aliments.
Elle mélange le chaud et le froid; ce qui est froid elle dit chaud.</v>
      </c>
      <c r="D40" t="str">
        <f>gescon_infosparticip!AI39</f>
        <v>Poisson, moules et fruits de mer</v>
      </c>
      <c r="E40" t="str">
        <f>gescon_infosparticip!AJ39</f>
        <v>éviter les aliments trop sucré, proposer des fruits à la place. Etre attentif à son régime alimentaire : beaucoup de salades, de légumes et de fruits.</v>
      </c>
      <c r="F40" t="str">
        <f>gescon_infosparticip!AK39</f>
        <v>N'aime pas les carottes cuites et les petits pois.</v>
      </c>
      <c r="G40" t="str">
        <f>gescon_infosparticip!AL39</f>
        <v>crème, fromage et viande grasse</v>
      </c>
      <c r="H40" t="str">
        <f>gescon_infosparticip!AM39</f>
        <v>Boit normalement sans paille</v>
      </c>
      <c r="I40" t="str">
        <f>gescon_infosparticip!AN39</f>
        <v/>
      </c>
      <c r="J40" t="str">
        <f>gescon_infosparticip!AO39</f>
        <v>Pas de boissons trop sucrées</v>
      </c>
      <c r="K40" t="str">
        <f>gescon_infosparticip!AP39</f>
        <v>le lait entier (de préférence lait maigre)</v>
      </c>
      <c r="L40" t="str">
        <f>gescon_infosparticip!AQ39</f>
        <v/>
      </c>
      <c r="M40">
        <f>gescon_infosparticip!BA39</f>
        <v>107</v>
      </c>
      <c r="N40">
        <f>gescon_infosparticip!BB39</f>
        <v>2146189422</v>
      </c>
      <c r="O40">
        <f>gescon_infosparticip!BC39</f>
        <v>0</v>
      </c>
      <c r="P40">
        <f>gescon_infosparticip!BD39</f>
        <v>2146188971</v>
      </c>
      <c r="Q40">
        <f>gescon_infosparticip!BE39</f>
        <v>2146188971</v>
      </c>
      <c r="R40" t="str">
        <f>gescon_infosparticip!BF39</f>
        <v>95278823</v>
      </c>
      <c r="S40" t="str">
        <f>gescon_infosparticip!BG39</f>
        <v>hémiplégie côté droit IMC</v>
      </c>
      <c r="T40" t="str">
        <f>gescon_infosparticip!BH39</f>
        <v>Handicap mental, épilepsie</v>
      </c>
      <c r="U40" t="str">
        <f>gescon_infosparticip!BI39</f>
        <v>Elevé</v>
      </c>
      <c r="V40" t="str">
        <f>gescon_infosparticip!BJ39</f>
        <v>Vlada doit être protégée du soleil (crème, chapeau)</v>
      </c>
      <c r="W40" t="str">
        <f>gescon_infosparticip!BK39</f>
        <v>Durant week-end toilette au lit 1fois par jour. Durant les camps regarder avec elle pour prendre la douche. Pour chaque soins bien rincer le savon et bien essuyer.</v>
      </c>
      <c r="X40" t="str">
        <f>gescon_infosparticip!BL39</f>
        <v>Elle demande "j'ai mal au ventre" pour aller au WC. Elle s'essuie toute seule pour l'urine mais avec aide pour les selles. Elle va au lever à selles tous les jours.</v>
      </c>
      <c r="Y40" t="str">
        <f>gescon_infosparticip!BM39</f>
        <v>faire au minimum 1 changement de position par jour</v>
      </c>
    </row>
    <row r="41" spans="2:25" ht="15.75" customHeight="1" x14ac:dyDescent="0.25">
      <c r="B41">
        <f>gescon_infosparticip!A40</f>
        <v>179</v>
      </c>
      <c r="C41" t="str">
        <f>gescon_infosparticip!AH40</f>
        <v/>
      </c>
      <c r="D41" t="str">
        <f>gescon_infosparticip!AI40</f>
        <v/>
      </c>
      <c r="E41" t="str">
        <f>gescon_infosparticip!AJ40</f>
        <v/>
      </c>
      <c r="F41" t="str">
        <f>gescon_infosparticip!AK40</f>
        <v/>
      </c>
      <c r="G41" t="str">
        <f>gescon_infosparticip!AL40</f>
        <v/>
      </c>
      <c r="H41" t="str">
        <f>gescon_infosparticip!AM40</f>
        <v/>
      </c>
      <c r="I41" t="str">
        <f>gescon_infosparticip!AN40</f>
        <v/>
      </c>
      <c r="J41" t="str">
        <f>gescon_infosparticip!AO40</f>
        <v/>
      </c>
      <c r="K41" t="str">
        <f>gescon_infosparticip!AP40</f>
        <v/>
      </c>
      <c r="L41" t="str">
        <f>gescon_infosparticip!AQ40</f>
        <v/>
      </c>
      <c r="M41">
        <f>gescon_infosparticip!BA40</f>
        <v>0</v>
      </c>
      <c r="N41">
        <f>gescon_infosparticip!BB40</f>
        <v>0</v>
      </c>
      <c r="O41">
        <f>gescon_infosparticip!BC40</f>
        <v>0</v>
      </c>
      <c r="P41">
        <f>gescon_infosparticip!BD40</f>
        <v>0</v>
      </c>
      <c r="Q41">
        <f>gescon_infosparticip!BE40</f>
        <v>0</v>
      </c>
      <c r="R41" t="str">
        <f>gescon_infosparticip!BF40</f>
        <v/>
      </c>
      <c r="S41" t="str">
        <f>gescon_infosparticip!BG40</f>
        <v>IMC Légère</v>
      </c>
      <c r="T41" t="str">
        <f>gescon_infosparticip!BH40</f>
        <v>Epilepsie de 1x par semestre à 4x par mois. Facteur déclencheur: boisons sucrée et dessert et émotion forte</v>
      </c>
      <c r="U41" t="str">
        <f>gescon_infosparticip!BI40</f>
        <v/>
      </c>
      <c r="V41" t="str">
        <f>gescon_infosparticip!BJ40</f>
        <v>Rhume des foins</v>
      </c>
      <c r="W41" t="str">
        <f>gescon_infosparticip!BK40</f>
        <v/>
      </c>
      <c r="X41" t="str">
        <f>gescon_infosparticip!BL40</f>
        <v/>
      </c>
      <c r="Y41" t="str">
        <f>gescon_infosparticip!BM40</f>
        <v/>
      </c>
    </row>
    <row r="42" spans="2:25" ht="15.75" customHeight="1" x14ac:dyDescent="0.25">
      <c r="B42">
        <f>gescon_infosparticip!A41</f>
        <v>182</v>
      </c>
      <c r="C42" t="str">
        <f>gescon_infosparticip!AH41</f>
        <v>Elle mange seule, éventuellement lui couper les aliments plus durs.</v>
      </c>
      <c r="D42" t="str">
        <f>gescon_infosparticip!AI41</f>
        <v/>
      </c>
      <c r="E42" t="str">
        <f>gescon_infosparticip!AJ41</f>
        <v/>
      </c>
      <c r="F42" t="str">
        <f>gescon_infosparticip!AK41</f>
        <v>Ne mange pas le poulet</v>
      </c>
      <c r="G42" t="str">
        <f>gescon_infosparticip!AL41</f>
        <v>Fraises (allergies !!!!!)</v>
      </c>
      <c r="H42" t="str">
        <f>gescon_infosparticip!AM41</f>
        <v/>
      </c>
      <c r="I42" t="str">
        <f>gescon_infosparticip!AN41</f>
        <v/>
      </c>
      <c r="J42" t="str">
        <f>gescon_infosparticip!AO41</f>
        <v/>
      </c>
      <c r="K42" t="str">
        <f>gescon_infosparticip!AP41</f>
        <v/>
      </c>
      <c r="L42" t="str">
        <f>gescon_infosparticip!AQ41</f>
        <v/>
      </c>
      <c r="M42">
        <f>gescon_infosparticip!BA41</f>
        <v>107</v>
      </c>
      <c r="N42">
        <f>gescon_infosparticip!BB41</f>
        <v>0</v>
      </c>
      <c r="O42">
        <f>gescon_infosparticip!BC41</f>
        <v>0</v>
      </c>
      <c r="P42">
        <f>gescon_infosparticip!BD41</f>
        <v>2146188975</v>
      </c>
      <c r="Q42">
        <f>gescon_infosparticip!BE41</f>
        <v>2146188975</v>
      </c>
      <c r="R42" t="str">
        <f>gescon_infosparticip!BF41</f>
        <v>186 62 228</v>
      </c>
      <c r="S42" t="str">
        <f>gescon_infosparticip!BG41</f>
        <v>Non défini</v>
      </c>
      <c r="T42" t="str">
        <f>gescon_infosparticip!BH41</f>
        <v>troubles moteurs</v>
      </c>
      <c r="U42" t="str">
        <f>gescon_infosparticip!BI41</f>
        <v/>
      </c>
      <c r="V42" t="str">
        <f>gescon_infosparticip!BJ41</f>
        <v>Médicaments autorisés: Panadol, Dafalgan. Autres à bannir. ELLE EST ALLERGIQUE AUX FRAISES !!!!!</v>
      </c>
      <c r="W42" t="str">
        <f>gescon_infosparticip!BK41</f>
        <v>Douche, soins infirmiers</v>
      </c>
      <c r="X42" t="str">
        <f>gescon_infosparticip!BL41</f>
        <v>Gisèle est autonome. Elle a une sonde sus pubienne.</v>
      </c>
      <c r="Y42" t="str">
        <f>gescon_infosparticip!BM41</f>
        <v/>
      </c>
    </row>
    <row r="43" spans="2:25" ht="15.75" customHeight="1" x14ac:dyDescent="0.25">
      <c r="B43">
        <f>gescon_infosparticip!A42</f>
        <v>184</v>
      </c>
      <c r="C43" t="str">
        <f>gescon_infosparticip!AH42</f>
        <v/>
      </c>
      <c r="D43" t="str">
        <f>gescon_infosparticip!AI42</f>
        <v/>
      </c>
      <c r="E43" t="str">
        <f>gescon_infosparticip!AJ42</f>
        <v/>
      </c>
      <c r="F43" t="str">
        <f>gescon_infosparticip!AK42</f>
        <v/>
      </c>
      <c r="G43" t="str">
        <f>gescon_infosparticip!AL42</f>
        <v/>
      </c>
      <c r="H43" t="str">
        <f>gescon_infosparticip!AM42</f>
        <v/>
      </c>
      <c r="I43" t="str">
        <f>gescon_infosparticip!AN42</f>
        <v/>
      </c>
      <c r="J43" t="str">
        <f>gescon_infosparticip!AO42</f>
        <v/>
      </c>
      <c r="K43" t="str">
        <f>gescon_infosparticip!AP42</f>
        <v/>
      </c>
      <c r="L43" t="str">
        <f>gescon_infosparticip!AQ42</f>
        <v/>
      </c>
      <c r="M43">
        <f>gescon_infosparticip!BA42</f>
        <v>107</v>
      </c>
      <c r="N43">
        <f>gescon_infosparticip!BB42</f>
        <v>0</v>
      </c>
      <c r="O43">
        <f>gescon_infosparticip!BC42</f>
        <v>0</v>
      </c>
      <c r="P43">
        <f>gescon_infosparticip!BD42</f>
        <v>0</v>
      </c>
      <c r="Q43">
        <f>gescon_infosparticip!BE42</f>
        <v>0</v>
      </c>
      <c r="R43" t="str">
        <f>gescon_infosparticip!BF42</f>
        <v/>
      </c>
      <c r="S43" t="str">
        <f>gescon_infosparticip!BG42</f>
        <v>IMC</v>
      </c>
      <c r="T43" t="str">
        <f>gescon_infosparticip!BH42</f>
        <v>troubles moteurs</v>
      </c>
      <c r="U43" t="str">
        <f>gescon_infosparticip!BI42</f>
        <v/>
      </c>
      <c r="V43" t="str">
        <f>gescon_infosparticip!BJ42</f>
        <v>A protéger du soleil. Il a parfois le rhume des foins.</v>
      </c>
      <c r="W43" t="str">
        <f>gescon_infosparticip!BK42</f>
        <v/>
      </c>
      <c r="X43" t="str">
        <f>gescon_infosparticip!BL42</f>
        <v/>
      </c>
      <c r="Y43" t="str">
        <f>gescon_infosparticip!BM42</f>
        <v>TROP PETIT???</v>
      </c>
    </row>
    <row r="44" spans="2:25" ht="15.75" customHeight="1" x14ac:dyDescent="0.25">
      <c r="B44">
        <f>gescon_infosparticip!A43</f>
        <v>252</v>
      </c>
      <c r="C44" t="str">
        <f>gescon_infosparticip!AH43</f>
        <v/>
      </c>
      <c r="D44" t="str">
        <f>gescon_infosparticip!AI43</f>
        <v/>
      </c>
      <c r="E44" t="str">
        <f>gescon_infosparticip!AJ43</f>
        <v/>
      </c>
      <c r="F44" t="str">
        <f>gescon_infosparticip!AK43</f>
        <v/>
      </c>
      <c r="G44" t="str">
        <f>gescon_infosparticip!AL43</f>
        <v/>
      </c>
      <c r="H44" t="str">
        <f>gescon_infosparticip!AM43</f>
        <v/>
      </c>
      <c r="I44" t="str">
        <f>gescon_infosparticip!AN43</f>
        <v/>
      </c>
      <c r="J44" t="str">
        <f>gescon_infosparticip!AO43</f>
        <v/>
      </c>
      <c r="K44" t="str">
        <f>gescon_infosparticip!AP43</f>
        <v/>
      </c>
      <c r="L44" t="str">
        <f>gescon_infosparticip!AQ43</f>
        <v/>
      </c>
      <c r="M44">
        <f>gescon_infosparticip!BA43</f>
        <v>0</v>
      </c>
      <c r="N44">
        <f>gescon_infosparticip!BB43</f>
        <v>0</v>
      </c>
      <c r="O44">
        <f>gescon_infosparticip!BC43</f>
        <v>0</v>
      </c>
      <c r="P44">
        <f>gescon_infosparticip!BD43</f>
        <v>0</v>
      </c>
      <c r="Q44">
        <f>gescon_infosparticip!BE43</f>
        <v>0</v>
      </c>
      <c r="R44" t="str">
        <f>gescon_infosparticip!BF43</f>
        <v/>
      </c>
      <c r="S44" t="str">
        <f>gescon_infosparticip!BG43</f>
        <v/>
      </c>
      <c r="T44" t="str">
        <f>gescon_infosparticip!BH43</f>
        <v/>
      </c>
      <c r="U44" t="str">
        <f>gescon_infosparticip!BI43</f>
        <v/>
      </c>
      <c r="V44" t="str">
        <f>gescon_infosparticip!BJ43</f>
        <v/>
      </c>
      <c r="W44" t="str">
        <f>gescon_infosparticip!BK43</f>
        <v/>
      </c>
      <c r="X44" t="str">
        <f>gescon_infosparticip!BL43</f>
        <v/>
      </c>
      <c r="Y44" t="str">
        <f>gescon_infosparticip!BM43</f>
        <v/>
      </c>
    </row>
    <row r="45" spans="2:25" ht="15.75" customHeight="1" x14ac:dyDescent="0.25">
      <c r="B45">
        <f>gescon_infosparticip!A44</f>
        <v>279</v>
      </c>
      <c r="C45" t="str">
        <f>gescon_infosparticip!AH44</f>
        <v/>
      </c>
      <c r="D45" t="str">
        <f>gescon_infosparticip!AI44</f>
        <v/>
      </c>
      <c r="E45" t="str">
        <f>gescon_infosparticip!AJ44</f>
        <v/>
      </c>
      <c r="F45" t="str">
        <f>gescon_infosparticip!AK44</f>
        <v/>
      </c>
      <c r="G45" t="str">
        <f>gescon_infosparticip!AL44</f>
        <v/>
      </c>
      <c r="H45" t="str">
        <f>gescon_infosparticip!AM44</f>
        <v/>
      </c>
      <c r="I45" t="str">
        <f>gescon_infosparticip!AN44</f>
        <v/>
      </c>
      <c r="J45" t="str">
        <f>gescon_infosparticip!AO44</f>
        <v/>
      </c>
      <c r="K45" t="str">
        <f>gescon_infosparticip!AP44</f>
        <v/>
      </c>
      <c r="L45" t="str">
        <f>gescon_infosparticip!AQ44</f>
        <v/>
      </c>
      <c r="M45">
        <f>gescon_infosparticip!BA44</f>
        <v>0</v>
      </c>
      <c r="N45">
        <f>gescon_infosparticip!BB44</f>
        <v>0</v>
      </c>
      <c r="O45">
        <f>gescon_infosparticip!BC44</f>
        <v>0</v>
      </c>
      <c r="P45">
        <f>gescon_infosparticip!BD44</f>
        <v>0</v>
      </c>
      <c r="Q45">
        <f>gescon_infosparticip!BE44</f>
        <v>0</v>
      </c>
      <c r="R45" t="str">
        <f>gescon_infosparticip!BF44</f>
        <v/>
      </c>
      <c r="S45" t="str">
        <f>gescon_infosparticip!BG44</f>
        <v>Poliomyélite</v>
      </c>
      <c r="T45" t="str">
        <f>gescon_infosparticip!BH44</f>
        <v>---------</v>
      </c>
      <c r="U45" t="str">
        <f>gescon_infosparticip!BI44</f>
        <v/>
      </c>
      <c r="V45" t="str">
        <f>gescon_infosparticip!BJ44</f>
        <v>---------</v>
      </c>
      <c r="W45" t="str">
        <f>gescon_infosparticip!BK44</f>
        <v/>
      </c>
      <c r="X45" t="str">
        <f>gescon_infosparticip!BL44</f>
        <v/>
      </c>
      <c r="Y45" t="str">
        <f>gescon_infosparticip!BM44</f>
        <v/>
      </c>
    </row>
    <row r="46" spans="2:25" ht="15.75" customHeight="1" x14ac:dyDescent="0.25">
      <c r="B46">
        <f>gescon_infosparticip!A45</f>
        <v>280</v>
      </c>
      <c r="C46" t="str">
        <f>gescon_infosparticip!AH45</f>
        <v/>
      </c>
      <c r="D46" t="str">
        <f>gescon_infosparticip!AI45</f>
        <v/>
      </c>
      <c r="E46" t="str">
        <f>gescon_infosparticip!AJ45</f>
        <v/>
      </c>
      <c r="F46" t="str">
        <f>gescon_infosparticip!AK45</f>
        <v/>
      </c>
      <c r="G46" t="str">
        <f>gescon_infosparticip!AL45</f>
        <v/>
      </c>
      <c r="H46" t="str">
        <f>gescon_infosparticip!AM45</f>
        <v/>
      </c>
      <c r="I46" t="str">
        <f>gescon_infosparticip!AN45</f>
        <v/>
      </c>
      <c r="J46" t="str">
        <f>gescon_infosparticip!AO45</f>
        <v/>
      </c>
      <c r="K46" t="str">
        <f>gescon_infosparticip!AP45</f>
        <v/>
      </c>
      <c r="L46" t="str">
        <f>gescon_infosparticip!AQ45</f>
        <v/>
      </c>
      <c r="M46">
        <f>gescon_infosparticip!BA45</f>
        <v>0</v>
      </c>
      <c r="N46">
        <f>gescon_infosparticip!BB45</f>
        <v>0</v>
      </c>
      <c r="O46">
        <f>gescon_infosparticip!BC45</f>
        <v>0</v>
      </c>
      <c r="P46">
        <f>gescon_infosparticip!BD45</f>
        <v>1533</v>
      </c>
      <c r="Q46">
        <f>gescon_infosparticip!BE45</f>
        <v>1533</v>
      </c>
      <c r="R46" t="str">
        <f>gescon_infosparticip!BF45</f>
        <v/>
      </c>
      <c r="S46" t="str">
        <f>gescon_infosparticip!BG45</f>
        <v>IMC léger</v>
      </c>
      <c r="T46" t="str">
        <f>gescon_infosparticip!BH45</f>
        <v>handicap mental</v>
      </c>
      <c r="U46" t="str">
        <f>gescon_infosparticip!BI45</f>
        <v/>
      </c>
      <c r="V46" t="str">
        <f>gescon_infosparticip!BJ45</f>
        <v>Protéger Fabien du soleil (chapeau, crème)</v>
      </c>
      <c r="W46" t="str">
        <f>gescon_infosparticip!BK45</f>
        <v/>
      </c>
      <c r="X46" t="str">
        <f>gescon_infosparticip!BL45</f>
        <v/>
      </c>
      <c r="Y46" t="str">
        <f>gescon_infosparticip!BM45</f>
        <v/>
      </c>
    </row>
    <row r="47" spans="2:25" ht="15.75" customHeight="1" x14ac:dyDescent="0.25">
      <c r="B47">
        <f>gescon_infosparticip!A46</f>
        <v>281</v>
      </c>
      <c r="C47" t="str">
        <f>gescon_infosparticip!AH46</f>
        <v>Éviter de mettre Léonard en face de son frère (Fabien) durant les repas, ils ont tendance à se provoquer.
Faire attention à ce qu'il ne mange pas trop et trop vite.</v>
      </c>
      <c r="D47" t="str">
        <f>gescon_infosparticip!AI46</f>
        <v/>
      </c>
      <c r="E47" t="str">
        <f>gescon_infosparticip!AJ46</f>
        <v>Attention à ce qu'il ne mange pas trop.</v>
      </c>
      <c r="F47" t="str">
        <f>gescon_infosparticip!AK46</f>
        <v/>
      </c>
      <c r="G47" t="str">
        <f>gescon_infosparticip!AL46</f>
        <v/>
      </c>
      <c r="H47" t="str">
        <f>gescon_infosparticip!AM46</f>
        <v/>
      </c>
      <c r="I47" t="str">
        <f>gescon_infosparticip!AN46</f>
        <v>Le coca</v>
      </c>
      <c r="J47" t="str">
        <f>gescon_infosparticip!AO46</f>
        <v>Favoriser l'eau plate (Henniez)</v>
      </c>
      <c r="K47" t="str">
        <f>gescon_infosparticip!AP46</f>
        <v/>
      </c>
      <c r="L47" t="str">
        <f>gescon_infosparticip!AQ46</f>
        <v/>
      </c>
      <c r="M47">
        <f>gescon_infosparticip!BA46</f>
        <v>2146188980</v>
      </c>
      <c r="N47">
        <f>gescon_infosparticip!BB46</f>
        <v>0</v>
      </c>
      <c r="O47">
        <f>gescon_infosparticip!BC46</f>
        <v>0</v>
      </c>
      <c r="P47">
        <f>gescon_infosparticip!BD46</f>
        <v>2146188981</v>
      </c>
      <c r="Q47">
        <f>gescon_infosparticip!BE46</f>
        <v>2146188982</v>
      </c>
      <c r="R47" t="str">
        <f>gescon_infosparticip!BF46</f>
        <v>1223-4288-7</v>
      </c>
      <c r="S47" t="str">
        <f>gescon_infosparticip!BG46</f>
        <v>IMC léger</v>
      </c>
      <c r="T47" t="str">
        <f>gescon_infosparticip!BH46</f>
        <v>graves difficultés d’élocution, handicap mental, troubles moteurs.</v>
      </c>
      <c r="U47" t="str">
        <f>gescon_infosparticip!BI46</f>
        <v>Elevé</v>
      </c>
      <c r="V47" t="str">
        <f>gescon_infosparticip!BJ46</f>
        <v>protéger Léonard du soleil (chapeau, crème).</v>
      </c>
      <c r="W47" t="str">
        <f>gescon_infosparticip!BK46</f>
        <v>Rasage + brossage des dents</v>
      </c>
      <c r="X47" t="str">
        <f>gescon_infosparticip!BL46</f>
        <v>Léonard est autonome.</v>
      </c>
      <c r="Y47" t="str">
        <f>gescon_infosparticip!BM46</f>
        <v/>
      </c>
    </row>
    <row r="48" spans="2:25" ht="15.75" customHeight="1" x14ac:dyDescent="0.25">
      <c r="B48">
        <f>gescon_infosparticip!A47</f>
        <v>283</v>
      </c>
      <c r="C48" t="str">
        <f>gescon_infosparticip!AH47</f>
        <v/>
      </c>
      <c r="D48" t="str">
        <f>gescon_infosparticip!AI47</f>
        <v/>
      </c>
      <c r="E48" t="str">
        <f>gescon_infosparticip!AJ47</f>
        <v/>
      </c>
      <c r="F48" t="str">
        <f>gescon_infosparticip!AK47</f>
        <v/>
      </c>
      <c r="G48" t="str">
        <f>gescon_infosparticip!AL47</f>
        <v/>
      </c>
      <c r="H48" t="str">
        <f>gescon_infosparticip!AM47</f>
        <v/>
      </c>
      <c r="I48" t="str">
        <f>gescon_infosparticip!AN47</f>
        <v/>
      </c>
      <c r="J48" t="str">
        <f>gescon_infosparticip!AO47</f>
        <v/>
      </c>
      <c r="K48" t="str">
        <f>gescon_infosparticip!AP47</f>
        <v/>
      </c>
      <c r="L48" t="str">
        <f>gescon_infosparticip!AQ47</f>
        <v/>
      </c>
      <c r="M48">
        <f>gescon_infosparticip!BA47</f>
        <v>2151</v>
      </c>
      <c r="N48">
        <f>gescon_infosparticip!BB47</f>
        <v>107</v>
      </c>
      <c r="O48">
        <f>gescon_infosparticip!BC47</f>
        <v>0</v>
      </c>
      <c r="P48">
        <f>gescon_infosparticip!BD47</f>
        <v>0</v>
      </c>
      <c r="Q48">
        <f>gescon_infosparticip!BE47</f>
        <v>0</v>
      </c>
      <c r="R48" t="str">
        <f>gescon_infosparticip!BF47</f>
        <v/>
      </c>
      <c r="S48" t="str">
        <f>gescon_infosparticip!BG47</f>
        <v>Trisomie 13</v>
      </c>
      <c r="T48" t="str">
        <f>gescon_infosparticip!BH47</f>
        <v>handicap mental, malvoyant (lui indiquer les reliefs), troubles de l'ouïe (perçoit mieux les sons graves).</v>
      </c>
      <c r="U48" t="str">
        <f>gescon_infosparticip!BI47</f>
        <v/>
      </c>
      <c r="V48" t="str">
        <f>gescon_infosparticip!BJ47</f>
        <v>Chronique</v>
      </c>
      <c r="W48" t="str">
        <f>gescon_infosparticip!BK47</f>
        <v/>
      </c>
      <c r="X48" t="str">
        <f>gescon_infosparticip!BL47</f>
        <v/>
      </c>
      <c r="Y48" t="str">
        <f>gescon_infosparticip!BM47</f>
        <v/>
      </c>
    </row>
    <row r="49" spans="2:25" ht="15.75" customHeight="1" x14ac:dyDescent="0.25">
      <c r="B49">
        <f>gescon_infosparticip!A48</f>
        <v>286</v>
      </c>
      <c r="C49" t="str">
        <f>gescon_infosparticip!AH48</f>
        <v/>
      </c>
      <c r="D49" t="str">
        <f>gescon_infosparticip!AI48</f>
        <v/>
      </c>
      <c r="E49" t="str">
        <f>gescon_infosparticip!AJ48</f>
        <v/>
      </c>
      <c r="F49" t="str">
        <f>gescon_infosparticip!AK48</f>
        <v/>
      </c>
      <c r="G49" t="str">
        <f>gescon_infosparticip!AL48</f>
        <v/>
      </c>
      <c r="H49" t="str">
        <f>gescon_infosparticip!AM48</f>
        <v/>
      </c>
      <c r="I49" t="str">
        <f>gescon_infosparticip!AN48</f>
        <v/>
      </c>
      <c r="J49" t="str">
        <f>gescon_infosparticip!AO48</f>
        <v/>
      </c>
      <c r="K49" t="str">
        <f>gescon_infosparticip!AP48</f>
        <v/>
      </c>
      <c r="L49" t="str">
        <f>gescon_infosparticip!AQ48</f>
        <v/>
      </c>
      <c r="M49">
        <f>gescon_infosparticip!BA48</f>
        <v>107</v>
      </c>
      <c r="N49">
        <f>gescon_infosparticip!BB48</f>
        <v>0</v>
      </c>
      <c r="O49">
        <f>gescon_infosparticip!BC48</f>
        <v>0</v>
      </c>
      <c r="P49">
        <f>gescon_infosparticip!BD48</f>
        <v>0</v>
      </c>
      <c r="Q49">
        <f>gescon_infosparticip!BE48</f>
        <v>0</v>
      </c>
      <c r="R49" t="str">
        <f>gescon_infosparticip!BF48</f>
        <v/>
      </c>
      <c r="S49" t="str">
        <f>gescon_infosparticip!BG48</f>
        <v>maladie neuromusculaire</v>
      </c>
      <c r="T49" t="str">
        <f>gescon_infosparticip!BH48</f>
        <v>troubles moteurs</v>
      </c>
      <c r="U49" t="str">
        <f>gescon_infosparticip!BI48</f>
        <v/>
      </c>
      <c r="V49" t="str">
        <f>gescon_infosparticip!BJ48</f>
        <v>protéger Lionel du soleil (chapeau, crème).</v>
      </c>
      <c r="W49" t="str">
        <f>gescon_infosparticip!BK48</f>
        <v/>
      </c>
      <c r="X49" t="str">
        <f>gescon_infosparticip!BL48</f>
        <v/>
      </c>
      <c r="Y49" t="str">
        <f>gescon_infosparticip!BM48</f>
        <v/>
      </c>
    </row>
    <row r="50" spans="2:25" ht="15.75" customHeight="1" x14ac:dyDescent="0.25">
      <c r="B50">
        <f>gescon_infosparticip!A49</f>
        <v>287</v>
      </c>
      <c r="C50" t="str">
        <f>gescon_infosparticip!AH49</f>
        <v>Incliner légèrement son fauteuil en arrière pour faciliter la déglutition.Couper fin et très petit et si trop sec rajouter du lait ou de la mayonnaise. Alimentation normale. Couper fin et lui donner à manger. Rajouter sauce, lait ou autre.</v>
      </c>
      <c r="D50" t="str">
        <f>gescon_infosparticip!AI49</f>
        <v>Raclette, poisson</v>
      </c>
      <c r="E50" t="str">
        <f>gescon_infosparticip!AJ49</f>
        <v/>
      </c>
      <c r="F50" t="str">
        <f>gescon_infosparticip!AK49</f>
        <v/>
      </c>
      <c r="G50" t="str">
        <f>gescon_infosparticip!AL49</f>
        <v/>
      </c>
      <c r="H50" t="str">
        <f>gescon_infosparticip!AM49</f>
        <v>Il boit à la paille.</v>
      </c>
      <c r="I50" t="str">
        <f>gescon_infosparticip!AN49</f>
        <v>Tout</v>
      </c>
      <c r="J50" t="str">
        <f>gescon_infosparticip!AO49</f>
        <v/>
      </c>
      <c r="K50" t="str">
        <f>gescon_infosparticip!AP49</f>
        <v>Alcool</v>
      </c>
      <c r="L50" t="str">
        <f>gescon_infosparticip!AQ49</f>
        <v/>
      </c>
      <c r="M50">
        <f>gescon_infosparticip!BA49</f>
        <v>2146189786</v>
      </c>
      <c r="N50">
        <f>gescon_infosparticip!BB49</f>
        <v>0</v>
      </c>
      <c r="O50">
        <f>gescon_infosparticip!BC49</f>
        <v>0</v>
      </c>
      <c r="P50">
        <f>gescon_infosparticip!BD49</f>
        <v>2146189004</v>
      </c>
      <c r="Q50">
        <f>gescon_infosparticip!BE49</f>
        <v>2146189004</v>
      </c>
      <c r="R50" t="str">
        <f>gescon_infosparticip!BF49</f>
        <v>036628</v>
      </c>
      <c r="S50" t="str">
        <f>gescon_infosparticip!BG49</f>
        <v>IMC profond</v>
      </c>
      <c r="T50" t="str">
        <f>gescon_infosparticip!BH49</f>
        <v>handicap mental, troubles moteurs.</v>
      </c>
      <c r="U50" t="str">
        <f>gescon_infosparticip!BI49</f>
        <v>Elevé</v>
      </c>
      <c r="V50" t="str">
        <f>gescon_infosparticip!BJ49</f>
        <v>protéger Alain du soleil (chapeau, crème).Il a une peau très sensible, faire attention aux coups de soleil.</v>
      </c>
      <c r="W50" t="str">
        <f>gescon_infosparticip!BK49</f>
        <v>aide complète. Attention a bien mettre son plateau pour éviter les blessures aux genoux. Chaise percée pour douche tous les jours</v>
      </c>
      <c r="X50" t="str">
        <f>gescon_infosparticip!BL49</f>
        <v>Alain a une autonomie moyenne. Par commodité, il est langé à l'extérieur de la maison. Au changement de lange (matin, midi, soir, avant le coucher), lui demander s'il veut aller aux toilettes.</v>
      </c>
      <c r="Y50" t="str">
        <f>gescon_infosparticip!BM49</f>
        <v>massage des pieds et des fesses. Surveillance de sa peau (frottements)</v>
      </c>
    </row>
    <row r="51" spans="2:25" ht="15.75" customHeight="1" x14ac:dyDescent="0.25">
      <c r="B51">
        <f>gescon_infosparticip!A50</f>
        <v>290</v>
      </c>
      <c r="C51" t="str">
        <f>gescon_infosparticip!AH50</f>
        <v/>
      </c>
      <c r="D51" t="str">
        <f>gescon_infosparticip!AI50</f>
        <v/>
      </c>
      <c r="E51" t="str">
        <f>gescon_infosparticip!AJ50</f>
        <v/>
      </c>
      <c r="F51" t="str">
        <f>gescon_infosparticip!AK50</f>
        <v/>
      </c>
      <c r="G51" t="str">
        <f>gescon_infosparticip!AL50</f>
        <v/>
      </c>
      <c r="H51" t="str">
        <f>gescon_infosparticip!AM50</f>
        <v/>
      </c>
      <c r="I51" t="str">
        <f>gescon_infosparticip!AN50</f>
        <v/>
      </c>
      <c r="J51" t="str">
        <f>gescon_infosparticip!AO50</f>
        <v/>
      </c>
      <c r="K51" t="str">
        <f>gescon_infosparticip!AP50</f>
        <v/>
      </c>
      <c r="L51" t="str">
        <f>gescon_infosparticip!AQ50</f>
        <v/>
      </c>
      <c r="M51">
        <f>gescon_infosparticip!BA50</f>
        <v>2134</v>
      </c>
      <c r="N51">
        <f>gescon_infosparticip!BB50</f>
        <v>0</v>
      </c>
      <c r="O51">
        <f>gescon_infosparticip!BC50</f>
        <v>0</v>
      </c>
      <c r="P51">
        <f>gescon_infosparticip!BD50</f>
        <v>0</v>
      </c>
      <c r="Q51">
        <f>gescon_infosparticip!BE50</f>
        <v>0</v>
      </c>
      <c r="R51" t="str">
        <f>gescon_infosparticip!BF50</f>
        <v/>
      </c>
      <c r="S51" t="str">
        <f>gescon_infosparticip!BG50</f>
        <v>IMC</v>
      </c>
      <c r="T51" t="str">
        <f>gescon_infosparticip!BH50</f>
        <v>aucun</v>
      </c>
      <c r="U51" t="str">
        <f>gescon_infosparticip!BI50</f>
        <v/>
      </c>
      <c r="V51" t="str">
        <f>gescon_infosparticip!BJ50</f>
        <v>Si elle est malade, il faut lui donner  des médicaments à base de plantes.</v>
      </c>
      <c r="W51" t="str">
        <f>gescon_infosparticip!BK50</f>
        <v/>
      </c>
      <c r="X51" t="str">
        <f>gescon_infosparticip!BL50</f>
        <v/>
      </c>
      <c r="Y51" t="str">
        <f>gescon_infosparticip!BM50</f>
        <v/>
      </c>
    </row>
    <row r="52" spans="2:25" ht="15.75" customHeight="1" x14ac:dyDescent="0.25">
      <c r="B52">
        <f>gescon_infosparticip!A51</f>
        <v>292</v>
      </c>
      <c r="C52" t="str">
        <f>gescon_infosparticip!AH51</f>
        <v>Lionel mange de tout, il vaut mieux lui donner une sauce avec les aliments.
Il a besoin que ses aliments soient mixés très fin.
Lui donner deux gobelets en cas de chaleur car il se déshydrate facilement et est vite constipé. Pour un pic-nic une tranche de mousse de canard est par exemple facile à lui donner.	Yaour, compote, semoule.
Lui donner une sauce avec les aliments - Mixé très fin Si pic-nic donner une tranche de mousse de canard Mettre une cuillère dans la bouche et lui présenter un une boisson dans un gobelet</v>
      </c>
      <c r="D52" t="str">
        <f>gescon_infosparticip!AI51</f>
        <v>Jus de fruits et frappés - Mange de tout. Cacao - café.Jus d'orange le matin.</v>
      </c>
      <c r="E52" t="str">
        <f>gescon_infosparticip!AJ51</f>
        <v>Mixé très fin</v>
      </c>
      <c r="F52" t="str">
        <f>gescon_infosparticip!AK51</f>
        <v/>
      </c>
      <c r="G52" t="str">
        <f>gescon_infosparticip!AL51</f>
        <v/>
      </c>
      <c r="H52" t="str">
        <f>gescon_infosparticip!AM51</f>
        <v>Avec épaissisant  (texture similaire au yoghourt), et lui donner avec une cuillère.</v>
      </c>
      <c r="I52" t="str">
        <f>gescon_infosparticip!AN51</f>
        <v>Il aime particulièrement café, chocolat. Il boit de tout.Boissons froides et jus d'orange</v>
      </c>
      <c r="J52" t="str">
        <f>gescon_infosparticip!AO51</f>
        <v/>
      </c>
      <c r="K52" t="str">
        <f>gescon_infosparticip!AP51</f>
        <v>boissons gazeuses. Les boissons ne doivent pas être bouillantes (tièdes)</v>
      </c>
      <c r="L52" t="str">
        <f>gescon_infosparticip!AQ51</f>
        <v/>
      </c>
      <c r="M52">
        <f>gescon_infosparticip!BA51</f>
        <v>2146189786</v>
      </c>
      <c r="N52">
        <f>gescon_infosparticip!BB51</f>
        <v>2146189787</v>
      </c>
      <c r="O52">
        <f>gescon_infosparticip!BC51</f>
        <v>0</v>
      </c>
      <c r="P52">
        <f>gescon_infosparticip!BD51</f>
        <v>1948</v>
      </c>
      <c r="Q52">
        <f>gescon_infosparticip!BE51</f>
        <v>1948</v>
      </c>
      <c r="R52" t="str">
        <f>gescon_infosparticip!BF51</f>
        <v/>
      </c>
      <c r="S52" t="str">
        <f>gescon_infosparticip!BG51</f>
        <v>IMC profond</v>
      </c>
      <c r="T52" t="str">
        <f>gescon_infosparticip!BH51</f>
        <v>Handicap mental</v>
      </c>
      <c r="U52" t="str">
        <f>gescon_infosparticip!BI51</f>
        <v>Elevé</v>
      </c>
      <c r="V52" t="str">
        <f>gescon_infosparticip!BJ51</f>
        <v>Soleil (le mettre à l'ombre et l'enduire d'une protection haute effiacité.</v>
      </c>
      <c r="W52" t="str">
        <f>gescon_infosparticip!BK51</f>
        <v>douche à l’aide d’un lit-douche (il apprécie beaucoup les bains relaxants). En cas de grande chaleur, il peut avoir la diarrhée. Il a une peau qui se dessèche vite (appliquer une crème hydratante) surtout sur la figure et les mains.</v>
      </c>
      <c r="X52" t="str">
        <f>gescon_infosparticip!BL51</f>
        <v>Lionel a besoin qu’on lui mette des couches et qu’on lui les change (matin, midi, soir).</v>
      </c>
      <c r="Y52" t="str">
        <f>gescon_infosparticip!BM51</f>
        <v>Etre attentif à son siège, bas du dos.Il faut bien le fixer à l’aide du matériel qui compose son fauteuil.</v>
      </c>
    </row>
    <row r="53" spans="2:25" ht="15.75" customHeight="1" x14ac:dyDescent="0.25">
      <c r="B53">
        <f>gescon_infosparticip!A52</f>
        <v>296</v>
      </c>
      <c r="C53" t="str">
        <f>gescon_infosparticip!AH52</f>
        <v/>
      </c>
      <c r="D53" t="str">
        <f>gescon_infosparticip!AI52</f>
        <v/>
      </c>
      <c r="E53" t="str">
        <f>gescon_infosparticip!AJ52</f>
        <v/>
      </c>
      <c r="F53" t="str">
        <f>gescon_infosparticip!AK52</f>
        <v/>
      </c>
      <c r="G53" t="str">
        <f>gescon_infosparticip!AL52</f>
        <v/>
      </c>
      <c r="H53" t="str">
        <f>gescon_infosparticip!AM52</f>
        <v/>
      </c>
      <c r="I53" t="str">
        <f>gescon_infosparticip!AN52</f>
        <v/>
      </c>
      <c r="J53" t="str">
        <f>gescon_infosparticip!AO52</f>
        <v/>
      </c>
      <c r="K53" t="str">
        <f>gescon_infosparticip!AP52</f>
        <v/>
      </c>
      <c r="L53" t="str">
        <f>gescon_infosparticip!AQ52</f>
        <v/>
      </c>
      <c r="M53">
        <f>gescon_infosparticip!BA52</f>
        <v>0</v>
      </c>
      <c r="N53">
        <f>gescon_infosparticip!BB52</f>
        <v>0</v>
      </c>
      <c r="O53">
        <f>gescon_infosparticip!BC52</f>
        <v>0</v>
      </c>
      <c r="P53">
        <f>gescon_infosparticip!BD52</f>
        <v>0</v>
      </c>
      <c r="Q53">
        <f>gescon_infosparticip!BE52</f>
        <v>0</v>
      </c>
      <c r="R53" t="str">
        <f>gescon_infosparticip!BF52</f>
        <v/>
      </c>
      <c r="S53" t="str">
        <f>gescon_infosparticip!BG52</f>
        <v>myopathie</v>
      </c>
      <c r="T53" t="str">
        <f>gescon_infosparticip!BH52</f>
        <v/>
      </c>
      <c r="U53" t="str">
        <f>gescon_infosparticip!BI52</f>
        <v/>
      </c>
      <c r="V53" t="str">
        <f>gescon_infosparticip!BJ52</f>
        <v>il est allergique à la Pennicelyne (à la place prendre de la cloroxine ou un dérivé)</v>
      </c>
      <c r="W53" t="str">
        <f>gescon_infosparticip!BK52</f>
        <v/>
      </c>
      <c r="X53" t="str">
        <f>gescon_infosparticip!BL52</f>
        <v/>
      </c>
      <c r="Y53" t="str">
        <f>gescon_infosparticip!BM52</f>
        <v/>
      </c>
    </row>
    <row r="54" spans="2:25" ht="15.75" customHeight="1" x14ac:dyDescent="0.25">
      <c r="B54">
        <f>gescon_infosparticip!A53</f>
        <v>297</v>
      </c>
      <c r="C54" t="str">
        <f>gescon_infosparticip!AH53</f>
        <v>Lui couper la nourriture. Dans son gobelet avec la paille, sa cuillère et son assiette spéciale, Steeve mange seul et parfois avec un peu d’aide.</v>
      </c>
      <c r="D54" t="str">
        <f>gescon_infosparticip!AI53</f>
        <v>petit déjeuner : plutôt salé</v>
      </c>
      <c r="E54" t="str">
        <f>gescon_infosparticip!AJ53</f>
        <v>Steve a repris du poids. Actuellement, être attentif à ses apports caloriques. Travailler sur les quantités, priviléger légumes/salades.</v>
      </c>
      <c r="F54" t="str">
        <f>gescon_infosparticip!AK53</f>
        <v>Les choux, la charcuterie, les concombres et les endives cuites, les fenouils entre autre, car il n'apprécie pas les légumes.</v>
      </c>
      <c r="G54" t="str">
        <f>gescon_infosparticip!AL53</f>
        <v/>
      </c>
      <c r="H54" t="str">
        <f>gescon_infosparticip!AM53</f>
        <v>lui donner dans un verre avec une paille ou en lui donnant.</v>
      </c>
      <c r="I54" t="str">
        <f>gescon_infosparticip!AN53</f>
        <v>café, coca-cola</v>
      </c>
      <c r="J54" t="str">
        <f>gescon_infosparticip!AO53</f>
        <v/>
      </c>
      <c r="K54" t="str">
        <f>gescon_infosparticip!AP53</f>
        <v>Attention : pas de trop grandes quantités de boissons sucrées</v>
      </c>
      <c r="L54" t="str">
        <f>gescon_infosparticip!AQ53</f>
        <v>-</v>
      </c>
      <c r="M54">
        <f>gescon_infosparticip!BA53</f>
        <v>107</v>
      </c>
      <c r="N54">
        <f>gescon_infosparticip!BB53</f>
        <v>0</v>
      </c>
      <c r="O54">
        <f>gescon_infosparticip!BC53</f>
        <v>0</v>
      </c>
      <c r="P54">
        <f>gescon_infosparticip!BD53</f>
        <v>2146189004</v>
      </c>
      <c r="Q54">
        <f>gescon_infosparticip!BE53</f>
        <v>2146189004</v>
      </c>
      <c r="R54" t="str">
        <f>gescon_infosparticip!BF53</f>
        <v>756.9638.5935.42</v>
      </c>
      <c r="S54" t="str">
        <f>gescon_infosparticip!BG53</f>
        <v>IMC</v>
      </c>
      <c r="T54" t="str">
        <f>gescon_infosparticip!BH53</f>
        <v>retard mental, troubles moteurs, malvoyant, malformation à la hanche droite et hypertension en cas d’émotion.</v>
      </c>
      <c r="U54" t="str">
        <f>gescon_infosparticip!BI53</f>
        <v>Elevé</v>
      </c>
      <c r="V54" t="str">
        <f>gescon_infosparticip!BJ53</f>
        <v>A protéger du soleil (casquette, crème, lunettes).</v>
      </c>
      <c r="W54" t="str">
        <f>gescon_infosparticip!BK53</f>
        <v>Steeve a besoin d’une aide complète. En principe une douche chaque 2 jours. Etre attentif à bien le sécher après la toilette. 	Steeve a également le pied gauche qui est marqué par plusieurs petits accidents. Ce ne sont pas des escarres.Il suffit de masser le pied afin de faire circuler le sang. A être attentif aux rougeurs au niveau des fesses et des pieds et aux mycoses entre les orteils et sous les aisselles.</v>
      </c>
      <c r="X54" t="str">
        <f>gescon_infosparticip!BL53</f>
        <v>Steeve est langé jour et nuit. A changer les protections le matin, midi, soir et en cas de besoin. Le matin et le soir lui mettre la bouteille.</v>
      </c>
      <c r="Y54" t="str">
        <f>gescon_infosparticip!BM53</f>
        <v>pas de risque majeur</v>
      </c>
    </row>
    <row r="55" spans="2:25" ht="15.75" customHeight="1" x14ac:dyDescent="0.25">
      <c r="B55">
        <f>gescon_infosparticip!A54</f>
        <v>301</v>
      </c>
      <c r="C55" t="str">
        <f>gescon_infosparticip!AH54</f>
        <v/>
      </c>
      <c r="D55" t="str">
        <f>gescon_infosparticip!AI54</f>
        <v/>
      </c>
      <c r="E55" t="str">
        <f>gescon_infosparticip!AJ54</f>
        <v/>
      </c>
      <c r="F55" t="str">
        <f>gescon_infosparticip!AK54</f>
        <v/>
      </c>
      <c r="G55" t="str">
        <f>gescon_infosparticip!AL54</f>
        <v/>
      </c>
      <c r="H55" t="str">
        <f>gescon_infosparticip!AM54</f>
        <v/>
      </c>
      <c r="I55" t="str">
        <f>gescon_infosparticip!AN54</f>
        <v/>
      </c>
      <c r="J55" t="str">
        <f>gescon_infosparticip!AO54</f>
        <v/>
      </c>
      <c r="K55" t="str">
        <f>gescon_infosparticip!AP54</f>
        <v/>
      </c>
      <c r="L55" t="str">
        <f>gescon_infosparticip!AQ54</f>
        <v/>
      </c>
      <c r="M55">
        <f>gescon_infosparticip!BA54</f>
        <v>2146189002</v>
      </c>
      <c r="N55">
        <f>gescon_infosparticip!BB54</f>
        <v>0</v>
      </c>
      <c r="O55">
        <f>gescon_infosparticip!BC54</f>
        <v>0</v>
      </c>
      <c r="P55">
        <f>gescon_infosparticip!BD54</f>
        <v>0</v>
      </c>
      <c r="Q55">
        <f>gescon_infosparticip!BE54</f>
        <v>0</v>
      </c>
      <c r="R55" t="str">
        <f>gescon_infosparticip!BF54</f>
        <v/>
      </c>
      <c r="S55" t="str">
        <f>gescon_infosparticip!BG54</f>
        <v>PSO (psycho-syndrome organique)</v>
      </c>
      <c r="T55" t="str">
        <f>gescon_infosparticip!BH54</f>
        <v>Handicap mental, retard mental, Hyperactif, troubles du comportement, problème de cœur</v>
      </c>
      <c r="U55" t="str">
        <f>gescon_infosparticip!BI54</f>
        <v/>
      </c>
      <c r="V55" t="str">
        <f>gescon_infosparticip!BJ54</f>
        <v>rhume des foins, allergique à la penicilline</v>
      </c>
      <c r="W55" t="str">
        <f>gescon_infosparticip!BK54</f>
        <v/>
      </c>
      <c r="X55" t="str">
        <f>gescon_infosparticip!BL54</f>
        <v>Autonome</v>
      </c>
      <c r="Y55" t="str">
        <f>gescon_infosparticip!BM54</f>
        <v/>
      </c>
    </row>
    <row r="56" spans="2:25" ht="15.75" customHeight="1" x14ac:dyDescent="0.25">
      <c r="B56">
        <f>gescon_infosparticip!A55</f>
        <v>302</v>
      </c>
      <c r="C56" t="str">
        <f>gescon_infosparticip!AH55</f>
        <v>Aide totale : Support en bois avec un trou pour l'assiette pour qu'elle puisse manger seule. Mettre les médicaments dans la première cuillère et lui donner - Manger : couper fin - mange seule + rebord d'assiette. Tartine: humidifier avec du lait les tartines! Essaier de lui mettre le verre et la cuillère dans la main droite pour qu'elle mange seule. Elle mange plus le matin et le soir qu'à midi. Après le repas, lui donner son petit classeur. La faire manger à l'écart du groupe. La prise d'aliment sera ainsi facilité.</v>
      </c>
      <c r="D56" t="str">
        <f>gescon_infosparticip!AI55</f>
        <v>Aime manger - kellogg's pour le déjeuner</v>
      </c>
      <c r="E56" t="str">
        <f>gescon_infosparticip!AJ55</f>
        <v/>
      </c>
      <c r="F56" t="str">
        <f>gescon_infosparticip!AK55</f>
        <v>N'aime pas le poisson!</v>
      </c>
      <c r="G56" t="str">
        <f>gescon_infosparticip!AL55</f>
        <v/>
      </c>
      <c r="H56" t="str">
        <f>gescon_infosparticip!AM55</f>
        <v>Elle boit avec un goblet toute seule, la forcer un peu car n'aime pas boire. Rester à côté d'elle car elle renverse son verre lorsqu'elle a fini.</v>
      </c>
      <c r="I56" t="str">
        <f>gescon_infosparticip!AN55</f>
        <v>Café sucré. Un verre de thé avant le cacao sinon elle ne boit pas.</v>
      </c>
      <c r="J56" t="str">
        <f>gescon_infosparticip!AO55</f>
        <v/>
      </c>
      <c r="K56" t="str">
        <f>gescon_infosparticip!AP55</f>
        <v/>
      </c>
      <c r="L56" t="str">
        <f>gescon_infosparticip!AQ55</f>
        <v/>
      </c>
      <c r="M56">
        <f>gescon_infosparticip!BA55</f>
        <v>0</v>
      </c>
      <c r="N56">
        <f>gescon_infosparticip!BB55</f>
        <v>0</v>
      </c>
      <c r="O56">
        <f>gescon_infosparticip!BC55</f>
        <v>0</v>
      </c>
      <c r="P56">
        <f>gescon_infosparticip!BD55</f>
        <v>2146189010</v>
      </c>
      <c r="Q56">
        <f>gescon_infosparticip!BE55</f>
        <v>2146189010</v>
      </c>
      <c r="R56" t="str">
        <f>gescon_infosparticip!BF55</f>
        <v>0342936</v>
      </c>
      <c r="S56" t="str">
        <f>gescon_infosparticip!BG55</f>
        <v>IMC avec tétraplégie, spastique et retard mental important</v>
      </c>
      <c r="T56" t="str">
        <f>gescon_infosparticip!BH55</f>
        <v>Handicap mental, - retard mental important épilepsie, malvoyante, troubles moteurs</v>
      </c>
      <c r="U56" t="str">
        <f>gescon_infosparticip!BI55</f>
        <v>Elevé</v>
      </c>
      <c r="V56" t="str">
        <f>gescon_infosparticip!BJ55</f>
        <v>Soleil</v>
      </c>
      <c r="W56" t="str">
        <f>gescon_infosparticip!BK55</f>
        <v>Aide totale : Important de bien laver et sécher en tamponnant les parties intimes (grandes lèvres) car risque important d'inflammations. Lors de la sieste elle dort sur le dos et le soir contre le mur.</v>
      </c>
      <c r="X56" t="str">
        <f>gescon_infosparticip!BL55</f>
        <v>Aide totale : langée jour et nuit</v>
      </c>
      <c r="Y56" t="str">
        <f>gescon_infosparticip!BM55</f>
        <v>A une tige le long de la colonne vertébrale. La solliciter et lui expliquer ce que l'on fait. Elle dort contre le mur + coussin entre les jambes</v>
      </c>
    </row>
    <row r="57" spans="2:25" ht="15.75" customHeight="1" x14ac:dyDescent="0.25">
      <c r="B57">
        <f>gescon_infosparticip!A56</f>
        <v>303</v>
      </c>
      <c r="C57" t="str">
        <f>gescon_infosparticip!AH56</f>
        <v>Samuel aime tout. Lui donner à manger. Couper très fin, écraser les patates et les légumes et hacher la viande car Samuel ne mâche pas. Soulever le menton pour donner à manger ou à boire. Samuel mange volontiers des fruits pour le goûter. Ne pas lui donner les aliments en bouillie.</v>
      </c>
      <c r="D57" t="str">
        <f>gescon_infosparticip!AI56</f>
        <v/>
      </c>
      <c r="E57" t="str">
        <f>gescon_infosparticip!AJ56</f>
        <v>Samuel doit surveiller son poids, 1 assiette à soupe + ¼ lui suffise. En principe, il ne 
mange pas entre les repas.</v>
      </c>
      <c r="F57" t="str">
        <f>gescon_infosparticip!AK56</f>
        <v/>
      </c>
      <c r="G57" t="str">
        <f>gescon_infosparticip!AL56</f>
        <v/>
      </c>
      <c r="H57" t="str">
        <f>gescon_infosparticip!AM56</f>
        <v>lui donner. Lui faire tenir son verre avec la main droite mais la soutenir quand même sinon il le lâche. Vu son insuffisance rénale doit boire souvent.</v>
      </c>
      <c r="I57" t="str">
        <f>gescon_infosparticip!AN56</f>
        <v/>
      </c>
      <c r="J57" t="str">
        <f>gescon_infosparticip!AO56</f>
        <v/>
      </c>
      <c r="K57" t="str">
        <f>gescon_infosparticip!AP56</f>
        <v>Samuel n’aime pas les boissons gazeuses et froides.</v>
      </c>
      <c r="L57" t="str">
        <f>gescon_infosparticip!AQ56</f>
        <v/>
      </c>
      <c r="M57">
        <f>gescon_infosparticip!BA56</f>
        <v>107</v>
      </c>
      <c r="N57">
        <f>gescon_infosparticip!BB56</f>
        <v>0</v>
      </c>
      <c r="O57">
        <f>gescon_infosparticip!BC56</f>
        <v>0</v>
      </c>
      <c r="P57">
        <f>gescon_infosparticip!BD56</f>
        <v>2146189005</v>
      </c>
      <c r="Q57">
        <f>gescon_infosparticip!BE56</f>
        <v>2146189005</v>
      </c>
      <c r="R57" t="str">
        <f>gescon_infosparticip!BF56</f>
        <v>756.30.84.5679.59</v>
      </c>
      <c r="S57" t="str">
        <f>gescon_infosparticip!BG56</f>
        <v>IMC</v>
      </c>
      <c r="T57" t="str">
        <f>gescon_infosparticip!BH56</f>
        <v/>
      </c>
      <c r="U57" t="str">
        <f>gescon_infosparticip!BI56</f>
        <v>Elevé</v>
      </c>
      <c r="V57" t="str">
        <f>gescon_infosparticip!BJ56</f>
        <v>Parfois les yeux rouges et le nez qui coule dû au pollen. Rincer les narines 3x par jour avec le Fluimare.</v>
      </c>
      <c r="W57" t="str">
        <f>gescon_infosparticip!BK56</f>
        <v>Samuel bave. Lui mettre une bavette sur la veste ou le pull lors des sorties. Pour la toiliette: aide totale. Lors du brossage des dents, Samuel avale le dentifrice et l’eau de rinçage qui doit être chaude. Après la douche, bien sécher au foehn les plis des cuisses, entre les orteils et les doigts et mettre la crème au visage. Au coucher, bien nettoyer le visage et ne pas lui mettre de crème. Pas besoin de raser Samuel.</v>
      </c>
      <c r="X57" t="str">
        <f>gescon_infosparticip!BL56</f>
        <v>Samuel est langé jour et nuit. Changement de lange 3x par jour. Le mettre si possible au toilette sur un rehausseur 15 min après les repas.</v>
      </c>
      <c r="Y57" t="str">
        <f>gescon_infosparticip!BM56</f>
        <v/>
      </c>
    </row>
    <row r="58" spans="2:25" ht="15.75" customHeight="1" x14ac:dyDescent="0.25">
      <c r="B58">
        <f>gescon_infosparticip!A57</f>
        <v>429</v>
      </c>
      <c r="C58" t="str">
        <f>gescon_infosparticip!AH57</f>
        <v/>
      </c>
      <c r="D58" t="str">
        <f>gescon_infosparticip!AI57</f>
        <v/>
      </c>
      <c r="E58" t="str">
        <f>gescon_infosparticip!AJ57</f>
        <v/>
      </c>
      <c r="F58" t="str">
        <f>gescon_infosparticip!AK57</f>
        <v/>
      </c>
      <c r="G58" t="str">
        <f>gescon_infosparticip!AL57</f>
        <v/>
      </c>
      <c r="H58" t="str">
        <f>gescon_infosparticip!AM57</f>
        <v/>
      </c>
      <c r="I58" t="str">
        <f>gescon_infosparticip!AN57</f>
        <v/>
      </c>
      <c r="J58" t="str">
        <f>gescon_infosparticip!AO57</f>
        <v/>
      </c>
      <c r="K58" t="str">
        <f>gescon_infosparticip!AP57</f>
        <v/>
      </c>
      <c r="L58" t="str">
        <f>gescon_infosparticip!AQ57</f>
        <v/>
      </c>
      <c r="M58">
        <f>gescon_infosparticip!BA57</f>
        <v>0</v>
      </c>
      <c r="N58">
        <f>gescon_infosparticip!BB57</f>
        <v>0</v>
      </c>
      <c r="O58">
        <f>gescon_infosparticip!BC57</f>
        <v>0</v>
      </c>
      <c r="P58">
        <f>gescon_infosparticip!BD57</f>
        <v>0</v>
      </c>
      <c r="Q58">
        <f>gescon_infosparticip!BE57</f>
        <v>0</v>
      </c>
      <c r="R58" t="str">
        <f>gescon_infosparticip!BF57</f>
        <v/>
      </c>
      <c r="S58" t="str">
        <f>gescon_infosparticip!BG57</f>
        <v/>
      </c>
      <c r="T58" t="str">
        <f>gescon_infosparticip!BH57</f>
        <v/>
      </c>
      <c r="U58" t="str">
        <f>gescon_infosparticip!BI57</f>
        <v/>
      </c>
      <c r="V58" t="str">
        <f>gescon_infosparticip!BJ57</f>
        <v/>
      </c>
      <c r="W58" t="str">
        <f>gescon_infosparticip!BK57</f>
        <v/>
      </c>
      <c r="X58" t="str">
        <f>gescon_infosparticip!BL57</f>
        <v/>
      </c>
      <c r="Y58" t="str">
        <f>gescon_infosparticip!BM57</f>
        <v/>
      </c>
    </row>
    <row r="59" spans="2:25" ht="15.75" customHeight="1" x14ac:dyDescent="0.25">
      <c r="B59">
        <f>gescon_infosparticip!A58</f>
        <v>450</v>
      </c>
      <c r="C59" t="str">
        <f>gescon_infosparticip!AH58</f>
        <v/>
      </c>
      <c r="D59" t="str">
        <f>gescon_infosparticip!AI58</f>
        <v/>
      </c>
      <c r="E59" t="str">
        <f>gescon_infosparticip!AJ58</f>
        <v/>
      </c>
      <c r="F59" t="str">
        <f>gescon_infosparticip!AK58</f>
        <v/>
      </c>
      <c r="G59" t="str">
        <f>gescon_infosparticip!AL58</f>
        <v/>
      </c>
      <c r="H59" t="str">
        <f>gescon_infosparticip!AM58</f>
        <v/>
      </c>
      <c r="I59" t="str">
        <f>gescon_infosparticip!AN58</f>
        <v/>
      </c>
      <c r="J59" t="str">
        <f>gescon_infosparticip!AO58</f>
        <v/>
      </c>
      <c r="K59" t="str">
        <f>gescon_infosparticip!AP58</f>
        <v/>
      </c>
      <c r="L59" t="str">
        <f>gescon_infosparticip!AQ58</f>
        <v/>
      </c>
      <c r="M59">
        <f>gescon_infosparticip!BA58</f>
        <v>0</v>
      </c>
      <c r="N59">
        <f>gescon_infosparticip!BB58</f>
        <v>0</v>
      </c>
      <c r="O59">
        <f>gescon_infosparticip!BC58</f>
        <v>0</v>
      </c>
      <c r="P59">
        <f>gescon_infosparticip!BD58</f>
        <v>0</v>
      </c>
      <c r="Q59">
        <f>gescon_infosparticip!BE58</f>
        <v>0</v>
      </c>
      <c r="R59" t="str">
        <f>gescon_infosparticip!BF58</f>
        <v/>
      </c>
      <c r="S59" t="str">
        <f>gescon_infosparticip!BG58</f>
        <v/>
      </c>
      <c r="T59" t="str">
        <f>gescon_infosparticip!BH58</f>
        <v/>
      </c>
      <c r="U59" t="str">
        <f>gescon_infosparticip!BI58</f>
        <v/>
      </c>
      <c r="V59" t="str">
        <f>gescon_infosparticip!BJ58</f>
        <v/>
      </c>
      <c r="W59" t="str">
        <f>gescon_infosparticip!BK58</f>
        <v/>
      </c>
      <c r="X59" t="str">
        <f>gescon_infosparticip!BL58</f>
        <v/>
      </c>
      <c r="Y59" t="str">
        <f>gescon_infosparticip!BM58</f>
        <v/>
      </c>
    </row>
    <row r="60" spans="2:25" ht="15.75" customHeight="1" x14ac:dyDescent="0.25">
      <c r="B60">
        <f>gescon_infosparticip!A59</f>
        <v>455</v>
      </c>
      <c r="C60" t="str">
        <f>gescon_infosparticip!AH59</f>
        <v/>
      </c>
      <c r="D60" t="str">
        <f>gescon_infosparticip!AI59</f>
        <v/>
      </c>
      <c r="E60" t="str">
        <f>gescon_infosparticip!AJ59</f>
        <v/>
      </c>
      <c r="F60" t="str">
        <f>gescon_infosparticip!AK59</f>
        <v/>
      </c>
      <c r="G60" t="str">
        <f>gescon_infosparticip!AL59</f>
        <v/>
      </c>
      <c r="H60" t="str">
        <f>gescon_infosparticip!AM59</f>
        <v/>
      </c>
      <c r="I60" t="str">
        <f>gescon_infosparticip!AN59</f>
        <v/>
      </c>
      <c r="J60" t="str">
        <f>gescon_infosparticip!AO59</f>
        <v/>
      </c>
      <c r="K60" t="str">
        <f>gescon_infosparticip!AP59</f>
        <v/>
      </c>
      <c r="L60" t="str">
        <f>gescon_infosparticip!AQ59</f>
        <v/>
      </c>
      <c r="M60">
        <f>gescon_infosparticip!BA59</f>
        <v>0</v>
      </c>
      <c r="N60">
        <f>gescon_infosparticip!BB59</f>
        <v>0</v>
      </c>
      <c r="O60">
        <f>gescon_infosparticip!BC59</f>
        <v>0</v>
      </c>
      <c r="P60">
        <f>gescon_infosparticip!BD59</f>
        <v>0</v>
      </c>
      <c r="Q60">
        <f>gescon_infosparticip!BE59</f>
        <v>0</v>
      </c>
      <c r="R60" t="str">
        <f>gescon_infosparticip!BF59</f>
        <v/>
      </c>
      <c r="S60" t="str">
        <f>gescon_infosparticip!BG59</f>
        <v/>
      </c>
      <c r="T60" t="str">
        <f>gescon_infosparticip!BH59</f>
        <v/>
      </c>
      <c r="U60" t="str">
        <f>gescon_infosparticip!BI59</f>
        <v/>
      </c>
      <c r="V60" t="str">
        <f>gescon_infosparticip!BJ59</f>
        <v/>
      </c>
      <c r="W60" t="str">
        <f>gescon_infosparticip!BK59</f>
        <v/>
      </c>
      <c r="X60" t="str">
        <f>gescon_infosparticip!BL59</f>
        <v/>
      </c>
      <c r="Y60" t="str">
        <f>gescon_infosparticip!BM59</f>
        <v/>
      </c>
    </row>
    <row r="61" spans="2:25" ht="15.75" customHeight="1" x14ac:dyDescent="0.25">
      <c r="B61">
        <f>gescon_infosparticip!A60</f>
        <v>857</v>
      </c>
      <c r="C61" t="str">
        <f>gescon_infosparticip!AH60</f>
        <v/>
      </c>
      <c r="D61" t="str">
        <f>gescon_infosparticip!AI60</f>
        <v/>
      </c>
      <c r="E61" t="str">
        <f>gescon_infosparticip!AJ60</f>
        <v/>
      </c>
      <c r="F61" t="str">
        <f>gescon_infosparticip!AK60</f>
        <v/>
      </c>
      <c r="G61" t="str">
        <f>gescon_infosparticip!AL60</f>
        <v/>
      </c>
      <c r="H61" t="str">
        <f>gescon_infosparticip!AM60</f>
        <v/>
      </c>
      <c r="I61" t="str">
        <f>gescon_infosparticip!AN60</f>
        <v/>
      </c>
      <c r="J61" t="str">
        <f>gescon_infosparticip!AO60</f>
        <v/>
      </c>
      <c r="K61" t="str">
        <f>gescon_infosparticip!AP60</f>
        <v/>
      </c>
      <c r="L61" t="str">
        <f>gescon_infosparticip!AQ60</f>
        <v/>
      </c>
      <c r="M61">
        <f>gescon_infosparticip!BA60</f>
        <v>0</v>
      </c>
      <c r="N61">
        <f>gescon_infosparticip!BB60</f>
        <v>0</v>
      </c>
      <c r="O61">
        <f>gescon_infosparticip!BC60</f>
        <v>0</v>
      </c>
      <c r="P61">
        <f>gescon_infosparticip!BD60</f>
        <v>0</v>
      </c>
      <c r="Q61">
        <f>gescon_infosparticip!BE60</f>
        <v>0</v>
      </c>
      <c r="R61" t="str">
        <f>gescon_infosparticip!BF60</f>
        <v/>
      </c>
      <c r="S61" t="str">
        <f>gescon_infosparticip!BG60</f>
        <v/>
      </c>
      <c r="T61" t="str">
        <f>gescon_infosparticip!BH60</f>
        <v/>
      </c>
      <c r="U61" t="str">
        <f>gescon_infosparticip!BI60</f>
        <v/>
      </c>
      <c r="V61" t="str">
        <f>gescon_infosparticip!BJ60</f>
        <v/>
      </c>
      <c r="W61" t="str">
        <f>gescon_infosparticip!BK60</f>
        <v/>
      </c>
      <c r="X61" t="str">
        <f>gescon_infosparticip!BL60</f>
        <v/>
      </c>
      <c r="Y61" t="str">
        <f>gescon_infosparticip!BM60</f>
        <v/>
      </c>
    </row>
    <row r="62" spans="2:25" ht="15.75" customHeight="1" x14ac:dyDescent="0.25">
      <c r="B62">
        <f>gescon_infosparticip!A61</f>
        <v>1414</v>
      </c>
      <c r="C62" t="str">
        <f>gescon_infosparticip!AH61</f>
        <v/>
      </c>
      <c r="D62" t="str">
        <f>gescon_infosparticip!AI61</f>
        <v/>
      </c>
      <c r="E62" t="str">
        <f>gescon_infosparticip!AJ61</f>
        <v/>
      </c>
      <c r="F62" t="str">
        <f>gescon_infosparticip!AK61</f>
        <v/>
      </c>
      <c r="G62" t="str">
        <f>gescon_infosparticip!AL61</f>
        <v/>
      </c>
      <c r="H62" t="str">
        <f>gescon_infosparticip!AM61</f>
        <v/>
      </c>
      <c r="I62" t="str">
        <f>gescon_infosparticip!AN61</f>
        <v/>
      </c>
      <c r="J62" t="str">
        <f>gescon_infosparticip!AO61</f>
        <v/>
      </c>
      <c r="K62" t="str">
        <f>gescon_infosparticip!AP61</f>
        <v/>
      </c>
      <c r="L62" t="str">
        <f>gescon_infosparticip!AQ61</f>
        <v/>
      </c>
      <c r="M62">
        <f>gescon_infosparticip!BA61</f>
        <v>0</v>
      </c>
      <c r="N62">
        <f>gescon_infosparticip!BB61</f>
        <v>0</v>
      </c>
      <c r="O62">
        <f>gescon_infosparticip!BC61</f>
        <v>0</v>
      </c>
      <c r="P62">
        <f>gescon_infosparticip!BD61</f>
        <v>0</v>
      </c>
      <c r="Q62">
        <f>gescon_infosparticip!BE61</f>
        <v>0</v>
      </c>
      <c r="R62" t="str">
        <f>gescon_infosparticip!BF61</f>
        <v/>
      </c>
      <c r="S62" t="str">
        <f>gescon_infosparticip!BG61</f>
        <v/>
      </c>
      <c r="T62" t="str">
        <f>gescon_infosparticip!BH61</f>
        <v/>
      </c>
      <c r="U62" t="str">
        <f>gescon_infosparticip!BI61</f>
        <v/>
      </c>
      <c r="V62" t="str">
        <f>gescon_infosparticip!BJ61</f>
        <v/>
      </c>
      <c r="W62" t="str">
        <f>gescon_infosparticip!BK61</f>
        <v/>
      </c>
      <c r="X62" t="str">
        <f>gescon_infosparticip!BL61</f>
        <v/>
      </c>
      <c r="Y62" t="str">
        <f>gescon_infosparticip!BM61</f>
        <v/>
      </c>
    </row>
    <row r="63" spans="2:25" ht="15.75" customHeight="1" x14ac:dyDescent="0.25">
      <c r="B63">
        <f>gescon_infosparticip!A62</f>
        <v>1447</v>
      </c>
      <c r="C63" t="str">
        <f>gescon_infosparticip!AH62</f>
        <v/>
      </c>
      <c r="D63" t="str">
        <f>gescon_infosparticip!AI62</f>
        <v/>
      </c>
      <c r="E63" t="str">
        <f>gescon_infosparticip!AJ62</f>
        <v/>
      </c>
      <c r="F63" t="str">
        <f>gescon_infosparticip!AK62</f>
        <v/>
      </c>
      <c r="G63" t="str">
        <f>gescon_infosparticip!AL62</f>
        <v/>
      </c>
      <c r="H63" t="str">
        <f>gescon_infosparticip!AM62</f>
        <v/>
      </c>
      <c r="I63" t="str">
        <f>gescon_infosparticip!AN62</f>
        <v/>
      </c>
      <c r="J63" t="str">
        <f>gescon_infosparticip!AO62</f>
        <v/>
      </c>
      <c r="K63" t="str">
        <f>gescon_infosparticip!AP62</f>
        <v/>
      </c>
      <c r="L63" t="str">
        <f>gescon_infosparticip!AQ62</f>
        <v/>
      </c>
      <c r="M63">
        <f>gescon_infosparticip!BA62</f>
        <v>107</v>
      </c>
      <c r="N63">
        <f>gescon_infosparticip!BB62</f>
        <v>0</v>
      </c>
      <c r="O63">
        <f>gescon_infosparticip!BC62</f>
        <v>0</v>
      </c>
      <c r="P63">
        <f>gescon_infosparticip!BD62</f>
        <v>1533</v>
      </c>
      <c r="Q63">
        <f>gescon_infosparticip!BE62</f>
        <v>1533</v>
      </c>
      <c r="R63" t="str">
        <f>gescon_infosparticip!BF62</f>
        <v/>
      </c>
      <c r="S63" t="str">
        <f>gescon_infosparticip!BG62</f>
        <v>Spidia-bifida</v>
      </c>
      <c r="T63" t="str">
        <f>gescon_infosparticip!BH62</f>
        <v>Handicap mental, troubles  moteurs et sphincters</v>
      </c>
      <c r="U63" t="str">
        <f>gescon_infosparticip!BI62</f>
        <v/>
      </c>
      <c r="V63" t="str">
        <f>gescon_infosparticip!BJ62</f>
        <v>non</v>
      </c>
      <c r="W63" t="str">
        <f>gescon_infosparticip!BK62</f>
        <v/>
      </c>
      <c r="X63" t="str">
        <f>gescon_infosparticip!BL62</f>
        <v/>
      </c>
      <c r="Y63" t="str">
        <f>gescon_infosparticip!BM62</f>
        <v/>
      </c>
    </row>
    <row r="64" spans="2:25" ht="15.75" customHeight="1" x14ac:dyDescent="0.25">
      <c r="B64">
        <f>gescon_infosparticip!A63</f>
        <v>1452</v>
      </c>
      <c r="C64" t="str">
        <f>gescon_infosparticip!AH63</f>
        <v/>
      </c>
      <c r="D64" t="str">
        <f>gescon_infosparticip!AI63</f>
        <v/>
      </c>
      <c r="E64" t="str">
        <f>gescon_infosparticip!AJ63</f>
        <v/>
      </c>
      <c r="F64" t="str">
        <f>gescon_infosparticip!AK63</f>
        <v/>
      </c>
      <c r="G64" t="str">
        <f>gescon_infosparticip!AL63</f>
        <v/>
      </c>
      <c r="H64" t="str">
        <f>gescon_infosparticip!AM63</f>
        <v/>
      </c>
      <c r="I64" t="str">
        <f>gescon_infosparticip!AN63</f>
        <v/>
      </c>
      <c r="J64" t="str">
        <f>gescon_infosparticip!AO63</f>
        <v/>
      </c>
      <c r="K64" t="str">
        <f>gescon_infosparticip!AP63</f>
        <v/>
      </c>
      <c r="L64" t="str">
        <f>gescon_infosparticip!AQ63</f>
        <v/>
      </c>
      <c r="M64">
        <f>gescon_infosparticip!BA63</f>
        <v>107</v>
      </c>
      <c r="N64">
        <f>gescon_infosparticip!BB63</f>
        <v>0</v>
      </c>
      <c r="O64">
        <f>gescon_infosparticip!BC63</f>
        <v>0</v>
      </c>
      <c r="P64">
        <f>gescon_infosparticip!BD63</f>
        <v>1533</v>
      </c>
      <c r="Q64">
        <f>gescon_infosparticip!BE63</f>
        <v>1533</v>
      </c>
      <c r="R64" t="str">
        <f>gescon_infosparticip!BF63</f>
        <v/>
      </c>
      <c r="S64" t="str">
        <f>gescon_infosparticip!BG63</f>
        <v>Spina Bifida</v>
      </c>
      <c r="T64" t="str">
        <f>gescon_infosparticip!BH63</f>
        <v>handicap mental (léger), troubles moteurs.</v>
      </c>
      <c r="U64" t="str">
        <f>gescon_infosparticip!BI63</f>
        <v/>
      </c>
      <c r="V64" t="str">
        <f>gescon_infosparticip!BJ63</f>
        <v>protéger Sandrine du soleil (chapeau, crème)</v>
      </c>
      <c r="W64" t="str">
        <f>gescon_infosparticip!BK63</f>
        <v/>
      </c>
      <c r="X64" t="str">
        <f>gescon_infosparticip!BL63</f>
        <v/>
      </c>
      <c r="Y64" t="str">
        <f>gescon_infosparticip!BM63</f>
        <v/>
      </c>
    </row>
    <row r="65" spans="2:25" ht="15.75" customHeight="1" x14ac:dyDescent="0.25">
      <c r="B65">
        <f>gescon_infosparticip!A64</f>
        <v>1507</v>
      </c>
      <c r="C65" t="str">
        <f>gescon_infosparticip!AH64</f>
        <v/>
      </c>
      <c r="D65" t="str">
        <f>gescon_infosparticip!AI64</f>
        <v/>
      </c>
      <c r="E65" t="str">
        <f>gescon_infosparticip!AJ64</f>
        <v/>
      </c>
      <c r="F65" t="str">
        <f>gescon_infosparticip!AK64</f>
        <v/>
      </c>
      <c r="G65" t="str">
        <f>gescon_infosparticip!AL64</f>
        <v/>
      </c>
      <c r="H65" t="str">
        <f>gescon_infosparticip!AM64</f>
        <v/>
      </c>
      <c r="I65" t="str">
        <f>gescon_infosparticip!AN64</f>
        <v/>
      </c>
      <c r="J65" t="str">
        <f>gescon_infosparticip!AO64</f>
        <v/>
      </c>
      <c r="K65" t="str">
        <f>gescon_infosparticip!AP64</f>
        <v/>
      </c>
      <c r="L65" t="str">
        <f>gescon_infosparticip!AQ64</f>
        <v/>
      </c>
      <c r="M65">
        <f>gescon_infosparticip!BA64</f>
        <v>1431399595</v>
      </c>
      <c r="N65">
        <f>gescon_infosparticip!BB64</f>
        <v>0</v>
      </c>
      <c r="O65">
        <f>gescon_infosparticip!BC64</f>
        <v>0</v>
      </c>
      <c r="P65">
        <f>gescon_infosparticip!BD64</f>
        <v>1948</v>
      </c>
      <c r="Q65">
        <f>gescon_infosparticip!BE64</f>
        <v>1948</v>
      </c>
      <c r="R65" t="str">
        <f>gescon_infosparticip!BF64</f>
        <v/>
      </c>
      <c r="S65" t="str">
        <f>gescon_infosparticip!BG64</f>
        <v>éctomélie (membres petits)</v>
      </c>
      <c r="T65" t="str">
        <f>gescon_infosparticip!BH64</f>
        <v>aucun</v>
      </c>
      <c r="U65" t="str">
        <f>gescon_infosparticip!BI64</f>
        <v/>
      </c>
      <c r="V65" t="str">
        <f>gescon_infosparticip!BJ64</f>
        <v>Elle est alergique aux  piqûres d’insectes (abeilles, moustiques…).</v>
      </c>
      <c r="W65" t="str">
        <f>gescon_infosparticip!BK64</f>
        <v/>
      </c>
      <c r="X65" t="str">
        <f>gescon_infosparticip!BL64</f>
        <v/>
      </c>
      <c r="Y65" t="str">
        <f>gescon_infosparticip!BM64</f>
        <v/>
      </c>
    </row>
    <row r="66" spans="2:25" ht="15.75" customHeight="1" x14ac:dyDescent="0.25">
      <c r="B66">
        <f>gescon_infosparticip!A65</f>
        <v>1508</v>
      </c>
      <c r="C66" t="str">
        <f>gescon_infosparticip!AH65</f>
        <v/>
      </c>
      <c r="D66" t="str">
        <f>gescon_infosparticip!AI65</f>
        <v/>
      </c>
      <c r="E66" t="str">
        <f>gescon_infosparticip!AJ65</f>
        <v/>
      </c>
      <c r="F66" t="str">
        <f>gescon_infosparticip!AK65</f>
        <v/>
      </c>
      <c r="G66" t="str">
        <f>gescon_infosparticip!AL65</f>
        <v/>
      </c>
      <c r="H66" t="str">
        <f>gescon_infosparticip!AM65</f>
        <v/>
      </c>
      <c r="I66" t="str">
        <f>gescon_infosparticip!AN65</f>
        <v/>
      </c>
      <c r="J66" t="str">
        <f>gescon_infosparticip!AO65</f>
        <v/>
      </c>
      <c r="K66" t="str">
        <f>gescon_infosparticip!AP65</f>
        <v/>
      </c>
      <c r="L66" t="str">
        <f>gescon_infosparticip!AQ65</f>
        <v/>
      </c>
      <c r="M66">
        <f>gescon_infosparticip!BA65</f>
        <v>1431399595</v>
      </c>
      <c r="N66">
        <f>gescon_infosparticip!BB65</f>
        <v>0</v>
      </c>
      <c r="O66">
        <f>gescon_infosparticip!BC65</f>
        <v>0</v>
      </c>
      <c r="P66">
        <f>gescon_infosparticip!BD65</f>
        <v>1948</v>
      </c>
      <c r="Q66">
        <f>gescon_infosparticip!BE65</f>
        <v>1948</v>
      </c>
      <c r="R66" t="str">
        <f>gescon_infosparticip!BF65</f>
        <v/>
      </c>
      <c r="S66" t="str">
        <f>gescon_infosparticip!BG65</f>
        <v>phocomélie (Prince n’a pas de jambes)</v>
      </c>
      <c r="T66" t="str">
        <f>gescon_infosparticip!BH65</f>
        <v>aucun</v>
      </c>
      <c r="U66" t="str">
        <f>gescon_infosparticip!BI65</f>
        <v/>
      </c>
      <c r="V66" t="str">
        <f>gescon_infosparticip!BJ65</f>
        <v>protéger Prince du soleil (casquette, crème)</v>
      </c>
      <c r="W66" t="str">
        <f>gescon_infosparticip!BK65</f>
        <v/>
      </c>
      <c r="X66" t="str">
        <f>gescon_infosparticip!BL65</f>
        <v/>
      </c>
      <c r="Y66" t="str">
        <f>gescon_infosparticip!BM65</f>
        <v/>
      </c>
    </row>
    <row r="67" spans="2:25" ht="15.75" customHeight="1" x14ac:dyDescent="0.25">
      <c r="B67">
        <f>gescon_infosparticip!A66</f>
        <v>1511</v>
      </c>
      <c r="C67" t="str">
        <f>gescon_infosparticip!AH66</f>
        <v/>
      </c>
      <c r="D67" t="str">
        <f>gescon_infosparticip!AI66</f>
        <v/>
      </c>
      <c r="E67" t="str">
        <f>gescon_infosparticip!AJ66</f>
        <v/>
      </c>
      <c r="F67" t="str">
        <f>gescon_infosparticip!AK66</f>
        <v/>
      </c>
      <c r="G67" t="str">
        <f>gescon_infosparticip!AL66</f>
        <v/>
      </c>
      <c r="H67" t="str">
        <f>gescon_infosparticip!AM66</f>
        <v/>
      </c>
      <c r="I67" t="str">
        <f>gescon_infosparticip!AN66</f>
        <v/>
      </c>
      <c r="J67" t="str">
        <f>gescon_infosparticip!AO66</f>
        <v/>
      </c>
      <c r="K67" t="str">
        <f>gescon_infosparticip!AP66</f>
        <v/>
      </c>
      <c r="L67" t="str">
        <f>gescon_infosparticip!AQ66</f>
        <v/>
      </c>
      <c r="M67">
        <f>gescon_infosparticip!BA66</f>
        <v>0</v>
      </c>
      <c r="N67">
        <f>gescon_infosparticip!BB66</f>
        <v>0</v>
      </c>
      <c r="O67">
        <f>gescon_infosparticip!BC66</f>
        <v>0</v>
      </c>
      <c r="P67">
        <f>gescon_infosparticip!BD66</f>
        <v>0</v>
      </c>
      <c r="Q67">
        <f>gescon_infosparticip!BE66</f>
        <v>0</v>
      </c>
      <c r="R67" t="str">
        <f>gescon_infosparticip!BF66</f>
        <v/>
      </c>
      <c r="S67" t="str">
        <f>gescon_infosparticip!BG66</f>
        <v>IMC</v>
      </c>
      <c r="T67" t="str">
        <f>gescon_infosparticip!BH66</f>
        <v/>
      </c>
      <c r="U67" t="str">
        <f>gescon_infosparticip!BI66</f>
        <v/>
      </c>
      <c r="V67" t="str">
        <f>gescon_infosparticip!BJ66</f>
        <v/>
      </c>
      <c r="W67" t="str">
        <f>gescon_infosparticip!BK66</f>
        <v/>
      </c>
      <c r="X67" t="str">
        <f>gescon_infosparticip!BL66</f>
        <v/>
      </c>
      <c r="Y67" t="str">
        <f>gescon_infosparticip!BM66</f>
        <v/>
      </c>
    </row>
    <row r="68" spans="2:25" ht="15.75" customHeight="1" x14ac:dyDescent="0.25">
      <c r="B68">
        <f>gescon_infosparticip!A67</f>
        <v>1512</v>
      </c>
      <c r="C68" t="str">
        <f>gescon_infosparticip!AH67</f>
        <v>A mettre une bavette avant le repas. Mixer et couper les aliments fins ou écraser à la fourchette  car il ne mâche pas. Samuel arrive à les mettre en bouche avec une cuillère en utilisant un bol ou une assiette à soupe. Lui faire boire au moins 2 littres par jour.</v>
      </c>
      <c r="D68" t="str">
        <f>gescon_infosparticip!AI67</f>
        <v>Il mange de tout, fondue avec patates écrasées (les céréales qui fondent bien eau-lait tiède)</v>
      </c>
      <c r="E68" t="str">
        <f>gescon_infosparticip!AJ67</f>
        <v>sans lactose ni gluten</v>
      </c>
      <c r="F68" t="str">
        <f>gescon_infosparticip!AK67</f>
        <v>les légumes aux vinaigres</v>
      </c>
      <c r="G68" t="str">
        <f>gescon_infosparticip!AL67</f>
        <v/>
      </c>
      <c r="H68" t="str">
        <f>gescon_infosparticip!AM67</f>
        <v>Il doit beaucoup boire, (thé, eau, chocolat chaud, etc.). Le faire boire au verre si on arrive pas lui donner avec la cuillère mais favoriser le verre. Paille-gobelet bec</v>
      </c>
      <c r="I68" t="str">
        <f>gescon_infosparticip!AN67</f>
        <v>Il aime le thé, l'eau et le chocolat chaud sans lactose, sirop, jus de fruits.</v>
      </c>
      <c r="J68" t="str">
        <f>gescon_infosparticip!AO67</f>
        <v/>
      </c>
      <c r="K68" t="str">
        <f>gescon_infosparticip!AP67</f>
        <v>les eaux gazeuses</v>
      </c>
      <c r="L68" t="str">
        <f>gescon_infosparticip!AQ67</f>
        <v/>
      </c>
      <c r="M68">
        <f>gescon_infosparticip!BA67</f>
        <v>2146189745</v>
      </c>
      <c r="N68">
        <f>gescon_infosparticip!BB67</f>
        <v>0</v>
      </c>
      <c r="O68">
        <f>gescon_infosparticip!BC67</f>
        <v>0</v>
      </c>
      <c r="P68">
        <f>gescon_infosparticip!BD67</f>
        <v>2146189004</v>
      </c>
      <c r="Q68">
        <f>gescon_infosparticip!BE67</f>
        <v>2146189004</v>
      </c>
      <c r="R68" t="str">
        <f>gescon_infosparticip!BF67</f>
        <v/>
      </c>
      <c r="S68" t="str">
        <f>gescon_infosparticip!BG67</f>
        <v>Micro-céphalie</v>
      </c>
      <c r="T68" t="str">
        <f>gescon_infosparticip!BH67</f>
        <v>non-voyant, stéréotypies, crises d’angoisse avec des cris, retard mental.</v>
      </c>
      <c r="U68" t="str">
        <f>gescon_infosparticip!BI67</f>
        <v>Elevé</v>
      </c>
      <c r="V68" t="str">
        <f>gescon_infosparticip!BJ67</f>
        <v>Le protéger du soleil avec une casquettes. Lunettes de soleil sur l'eau et la neige</v>
      </c>
      <c r="W68" t="str">
        <f>gescon_infosparticip!BK67</f>
        <v>Samuel a besoin d’une aide complète pour sa toilette (laver le visage, les dents, coiffer, etc.).  Cependant, il commence à participer à certaines tâches ex. se brosse les dents. Le matin et le soir bien lui laver les parties intimes. Lui changer le lange quand nécessaire. Il porte une sonde sus-pubienne (sans uriflac). Il faut la vider chaque 3-4 heures (pas la nuit).</v>
      </c>
      <c r="X68" t="str">
        <f>gescon_infosparticip!BL67</f>
        <v>Samuel a une culotte en papier (pans) + sonde sus-pubienne. Iliostomie (poche)</v>
      </c>
      <c r="Y68" t="str">
        <f>gescon_infosparticip!BM67</f>
        <v>mains sèches</v>
      </c>
    </row>
    <row r="69" spans="2:25" ht="15.75" customHeight="1" x14ac:dyDescent="0.25">
      <c r="B69">
        <f>gescon_infosparticip!A68</f>
        <v>1513</v>
      </c>
      <c r="C69" t="str">
        <f>gescon_infosparticip!AH68</f>
        <v/>
      </c>
      <c r="D69" t="str">
        <f>gescon_infosparticip!AI68</f>
        <v/>
      </c>
      <c r="E69" t="str">
        <f>gescon_infosparticip!AJ68</f>
        <v/>
      </c>
      <c r="F69" t="str">
        <f>gescon_infosparticip!AK68</f>
        <v/>
      </c>
      <c r="G69" t="str">
        <f>gescon_infosparticip!AL68</f>
        <v/>
      </c>
      <c r="H69" t="str">
        <f>gescon_infosparticip!AM68</f>
        <v/>
      </c>
      <c r="I69" t="str">
        <f>gescon_infosparticip!AN68</f>
        <v/>
      </c>
      <c r="J69" t="str">
        <f>gescon_infosparticip!AO68</f>
        <v/>
      </c>
      <c r="K69" t="str">
        <f>gescon_infosparticip!AP68</f>
        <v/>
      </c>
      <c r="L69" t="str">
        <f>gescon_infosparticip!AQ68</f>
        <v/>
      </c>
      <c r="M69">
        <f>gescon_infosparticip!BA68</f>
        <v>107</v>
      </c>
      <c r="N69">
        <f>gescon_infosparticip!BB68</f>
        <v>0</v>
      </c>
      <c r="O69">
        <f>gescon_infosparticip!BC68</f>
        <v>0</v>
      </c>
      <c r="P69">
        <f>gescon_infosparticip!BD68</f>
        <v>0</v>
      </c>
      <c r="Q69">
        <f>gescon_infosparticip!BE68</f>
        <v>0</v>
      </c>
      <c r="R69" t="str">
        <f>gescon_infosparticip!BF68</f>
        <v/>
      </c>
      <c r="S69" t="str">
        <f>gescon_infosparticip!BG68</f>
        <v>IMC</v>
      </c>
      <c r="T69" t="str">
        <f>gescon_infosparticip!BH68</f>
        <v>aucun</v>
      </c>
      <c r="U69" t="str">
        <f>gescon_infosparticip!BI68</f>
        <v/>
      </c>
      <c r="V69" t="str">
        <f>gescon_infosparticip!BJ68</f>
        <v>aucune</v>
      </c>
      <c r="W69" t="str">
        <f>gescon_infosparticip!BK68</f>
        <v/>
      </c>
      <c r="X69" t="str">
        <f>gescon_infosparticip!BL68</f>
        <v/>
      </c>
      <c r="Y69" t="str">
        <f>gescon_infosparticip!BM68</f>
        <v/>
      </c>
    </row>
    <row r="70" spans="2:25" ht="15.75" customHeight="1" x14ac:dyDescent="0.25">
      <c r="B70">
        <f>gescon_infosparticip!A69</f>
        <v>1578</v>
      </c>
      <c r="C70" t="str">
        <f>gescon_infosparticip!AH69</f>
        <v/>
      </c>
      <c r="D70" t="str">
        <f>gescon_infosparticip!AI69</f>
        <v/>
      </c>
      <c r="E70" t="str">
        <f>gescon_infosparticip!AJ69</f>
        <v/>
      </c>
      <c r="F70" t="str">
        <f>gescon_infosparticip!AK69</f>
        <v/>
      </c>
      <c r="G70" t="str">
        <f>gescon_infosparticip!AL69</f>
        <v/>
      </c>
      <c r="H70" t="str">
        <f>gescon_infosparticip!AM69</f>
        <v/>
      </c>
      <c r="I70" t="str">
        <f>gescon_infosparticip!AN69</f>
        <v/>
      </c>
      <c r="J70" t="str">
        <f>gescon_infosparticip!AO69</f>
        <v/>
      </c>
      <c r="K70" t="str">
        <f>gescon_infosparticip!AP69</f>
        <v/>
      </c>
      <c r="L70" t="str">
        <f>gescon_infosparticip!AQ69</f>
        <v/>
      </c>
      <c r="M70">
        <f>gescon_infosparticip!BA69</f>
        <v>107</v>
      </c>
      <c r="N70">
        <f>gescon_infosparticip!BB69</f>
        <v>1714</v>
      </c>
      <c r="O70">
        <f>gescon_infosparticip!BC69</f>
        <v>0</v>
      </c>
      <c r="P70">
        <f>gescon_infosparticip!BD69</f>
        <v>0</v>
      </c>
      <c r="Q70">
        <f>gescon_infosparticip!BE69</f>
        <v>2210</v>
      </c>
      <c r="R70" t="str">
        <f>gescon_infosparticip!BF69</f>
        <v/>
      </c>
      <c r="S70" t="str">
        <f>gescon_infosparticip!BG69</f>
        <v/>
      </c>
      <c r="T70" t="str">
        <f>gescon_infosparticip!BH69</f>
        <v>essai de formulation pour test</v>
      </c>
      <c r="U70" t="str">
        <f>gescon_infosparticip!BI69</f>
        <v>Moyen</v>
      </c>
      <c r="V70" t="str">
        <f>gescon_infosparticip!BJ69</f>
        <v>RAS</v>
      </c>
      <c r="W70" t="str">
        <f>gescon_infosparticip!BK69</f>
        <v>Le doucher, le savonner et le sécher.</v>
      </c>
      <c r="X70" t="str">
        <f>gescon_infosparticip!BL69</f>
        <v>Il est langé la nuit et lors d'événements particuliers. Il peut être mouillé seulement par accident ou en cas de crise d'épilepsie. Préconise de le laisser langer la journée.</v>
      </c>
      <c r="Y70" t="str">
        <f>gescon_infosparticip!BM69</f>
        <v>RAS</v>
      </c>
    </row>
    <row r="71" spans="2:25" ht="15.75" customHeight="1" x14ac:dyDescent="0.25">
      <c r="B71">
        <f>gescon_infosparticip!A70</f>
        <v>1630</v>
      </c>
      <c r="C71" t="str">
        <f>gescon_infosparticip!AH70</f>
        <v/>
      </c>
      <c r="D71" t="str">
        <f>gescon_infosparticip!AI70</f>
        <v/>
      </c>
      <c r="E71" t="str">
        <f>gescon_infosparticip!AJ70</f>
        <v/>
      </c>
      <c r="F71" t="str">
        <f>gescon_infosparticip!AK70</f>
        <v/>
      </c>
      <c r="G71" t="str">
        <f>gescon_infosparticip!AL70</f>
        <v/>
      </c>
      <c r="H71" t="str">
        <f>gescon_infosparticip!AM70</f>
        <v/>
      </c>
      <c r="I71" t="str">
        <f>gescon_infosparticip!AN70</f>
        <v/>
      </c>
      <c r="J71" t="str">
        <f>gescon_infosparticip!AO70</f>
        <v/>
      </c>
      <c r="K71" t="str">
        <f>gescon_infosparticip!AP70</f>
        <v/>
      </c>
      <c r="L71" t="str">
        <f>gescon_infosparticip!AQ70</f>
        <v/>
      </c>
      <c r="M71">
        <f>gescon_infosparticip!BA70</f>
        <v>107</v>
      </c>
      <c r="N71">
        <f>gescon_infosparticip!BB70</f>
        <v>394</v>
      </c>
      <c r="O71">
        <f>gescon_infosparticip!BC70</f>
        <v>0</v>
      </c>
      <c r="P71">
        <f>gescon_infosparticip!BD70</f>
        <v>1533</v>
      </c>
      <c r="Q71">
        <f>gescon_infosparticip!BE70</f>
        <v>1533</v>
      </c>
      <c r="R71" t="str">
        <f>gescon_infosparticip!BF70</f>
        <v/>
      </c>
      <c r="S71" t="str">
        <f>gescon_infosparticip!BG70</f>
        <v>IMC</v>
      </c>
      <c r="T71" t="str">
        <f>gescon_infosparticip!BH70</f>
        <v>Handicap mental</v>
      </c>
      <c r="U71" t="str">
        <f>gescon_infosparticip!BI70</f>
        <v/>
      </c>
      <c r="V71" t="str">
        <f>gescon_infosparticip!BJ70</f>
        <v>protéger Julien du soleil (casquette, crème).</v>
      </c>
      <c r="W71" t="str">
        <f>gescon_infosparticip!BK70</f>
        <v/>
      </c>
      <c r="X71" t="str">
        <f>gescon_infosparticip!BL70</f>
        <v/>
      </c>
      <c r="Y71" t="str">
        <f>gescon_infosparticip!BM70</f>
        <v/>
      </c>
    </row>
    <row r="72" spans="2:25" ht="15.75" customHeight="1" x14ac:dyDescent="0.25">
      <c r="B72">
        <f>gescon_infosparticip!A71</f>
        <v>1691</v>
      </c>
      <c r="C72" t="str">
        <f>gescon_infosparticip!AH71</f>
        <v/>
      </c>
      <c r="D72" t="str">
        <f>gescon_infosparticip!AI71</f>
        <v/>
      </c>
      <c r="E72" t="str">
        <f>gescon_infosparticip!AJ71</f>
        <v/>
      </c>
      <c r="F72" t="str">
        <f>gescon_infosparticip!AK71</f>
        <v/>
      </c>
      <c r="G72" t="str">
        <f>gescon_infosparticip!AL71</f>
        <v/>
      </c>
      <c r="H72" t="str">
        <f>gescon_infosparticip!AM71</f>
        <v/>
      </c>
      <c r="I72" t="str">
        <f>gescon_infosparticip!AN71</f>
        <v/>
      </c>
      <c r="J72" t="str">
        <f>gescon_infosparticip!AO71</f>
        <v/>
      </c>
      <c r="K72" t="str">
        <f>gescon_infosparticip!AP71</f>
        <v/>
      </c>
      <c r="L72" t="str">
        <f>gescon_infosparticip!AQ71</f>
        <v/>
      </c>
      <c r="M72">
        <f>gescon_infosparticip!BA71</f>
        <v>0</v>
      </c>
      <c r="N72">
        <f>gescon_infosparticip!BB71</f>
        <v>0</v>
      </c>
      <c r="O72">
        <f>gescon_infosparticip!BC71</f>
        <v>0</v>
      </c>
      <c r="P72">
        <f>gescon_infosparticip!BD71</f>
        <v>0</v>
      </c>
      <c r="Q72">
        <f>gescon_infosparticip!BE71</f>
        <v>0</v>
      </c>
      <c r="R72" t="str">
        <f>gescon_infosparticip!BF71</f>
        <v/>
      </c>
      <c r="S72" t="str">
        <f>gescon_infosparticip!BG71</f>
        <v/>
      </c>
      <c r="T72" t="str">
        <f>gescon_infosparticip!BH71</f>
        <v/>
      </c>
      <c r="U72" t="str">
        <f>gescon_infosparticip!BI71</f>
        <v/>
      </c>
      <c r="V72" t="str">
        <f>gescon_infosparticip!BJ71</f>
        <v/>
      </c>
      <c r="W72" t="str">
        <f>gescon_infosparticip!BK71</f>
        <v/>
      </c>
      <c r="X72" t="str">
        <f>gescon_infosparticip!BL71</f>
        <v/>
      </c>
      <c r="Y72" t="str">
        <f>gescon_infosparticip!BM71</f>
        <v/>
      </c>
    </row>
    <row r="73" spans="2:25" ht="15.75" customHeight="1" x14ac:dyDescent="0.25">
      <c r="B73">
        <f>gescon_infosparticip!A72</f>
        <v>1828</v>
      </c>
      <c r="C73" t="str">
        <f>gescon_infosparticip!AH72</f>
        <v>repas + goûter</v>
      </c>
      <c r="D73" t="str">
        <f>gescon_infosparticip!AI72</f>
        <v>pâtes, saucisses</v>
      </c>
      <c r="E73" t="str">
        <f>gescon_infosparticip!AJ72</f>
        <v/>
      </c>
      <c r="F73" t="str">
        <f>gescon_infosparticip!AK72</f>
        <v>bonbons, chocolats</v>
      </c>
      <c r="G73" t="str">
        <f>gescon_infosparticip!AL72</f>
        <v/>
      </c>
      <c r="H73" t="str">
        <f>gescon_infosparticip!AM72</f>
        <v>3x le matin et 3x l'après-midi</v>
      </c>
      <c r="I73" t="str">
        <f>gescon_infosparticip!AN72</f>
        <v>jus de pomme, jus de raisin (avec un peu d'eau)</v>
      </c>
      <c r="J73" t="str">
        <f>gescon_infosparticip!AO72</f>
        <v/>
      </c>
      <c r="K73" t="str">
        <f>gescon_infosparticip!AP72</f>
        <v>boissons gazeuses sucrées</v>
      </c>
      <c r="L73" t="str">
        <f>gescon_infosparticip!AQ72</f>
        <v/>
      </c>
      <c r="M73">
        <f>gescon_infosparticip!BA72</f>
        <v>2146189548</v>
      </c>
      <c r="N73">
        <f>gescon_infosparticip!BB72</f>
        <v>2146189867</v>
      </c>
      <c r="O73">
        <f>gescon_infosparticip!BC72</f>
        <v>0</v>
      </c>
      <c r="P73">
        <f>gescon_infosparticip!BD72</f>
        <v>0</v>
      </c>
      <c r="Q73">
        <f>gescon_infosparticip!BE72</f>
        <v>0</v>
      </c>
      <c r="R73" t="str">
        <f>gescon_infosparticip!BF72</f>
        <v/>
      </c>
      <c r="S73" t="str">
        <f>gescon_infosparticip!BG72</f>
        <v>trouble du spectre autistique</v>
      </c>
      <c r="T73" t="str">
        <f>gescon_infosparticip!BH72</f>
        <v>difficultés d'autonomie</v>
      </c>
      <c r="U73" t="str">
        <f>gescon_infosparticip!BI72</f>
        <v>Faible</v>
      </c>
      <c r="V73" t="str">
        <f>gescon_infosparticip!BJ72</f>
        <v/>
      </c>
      <c r="W73" t="str">
        <f>gescon_infosparticip!BK72</f>
        <v>apprend gentillement à aller aux toilettes mais doit être accompagné.</v>
      </c>
      <c r="X73" t="str">
        <f>gescon_infosparticip!BL72</f>
        <v>Langer jour et nuit</v>
      </c>
      <c r="Y73" t="str">
        <f>gescon_infosparticip!BM72</f>
        <v/>
      </c>
    </row>
    <row r="74" spans="2:25" ht="15.75" customHeight="1" x14ac:dyDescent="0.25">
      <c r="B74">
        <f>gescon_infosparticip!A73</f>
        <v>2045</v>
      </c>
      <c r="C74" t="str">
        <f>gescon_infosparticip!AH73</f>
        <v/>
      </c>
      <c r="D74" t="str">
        <f>gescon_infosparticip!AI73</f>
        <v/>
      </c>
      <c r="E74" t="str">
        <f>gescon_infosparticip!AJ73</f>
        <v/>
      </c>
      <c r="F74" t="str">
        <f>gescon_infosparticip!AK73</f>
        <v/>
      </c>
      <c r="G74" t="str">
        <f>gescon_infosparticip!AL73</f>
        <v/>
      </c>
      <c r="H74" t="str">
        <f>gescon_infosparticip!AM73</f>
        <v/>
      </c>
      <c r="I74" t="str">
        <f>gescon_infosparticip!AN73</f>
        <v/>
      </c>
      <c r="J74" t="str">
        <f>gescon_infosparticip!AO73</f>
        <v/>
      </c>
      <c r="K74" t="str">
        <f>gescon_infosparticip!AP73</f>
        <v/>
      </c>
      <c r="L74" t="str">
        <f>gescon_infosparticip!AQ73</f>
        <v/>
      </c>
      <c r="M74">
        <f>gescon_infosparticip!BA73</f>
        <v>107</v>
      </c>
      <c r="N74">
        <f>gescon_infosparticip!BB73</f>
        <v>0</v>
      </c>
      <c r="O74">
        <f>gescon_infosparticip!BC73</f>
        <v>0</v>
      </c>
      <c r="P74">
        <f>gescon_infosparticip!BD73</f>
        <v>0</v>
      </c>
      <c r="Q74">
        <f>gescon_infosparticip!BE73</f>
        <v>0</v>
      </c>
      <c r="R74" t="str">
        <f>gescon_infosparticip!BF73</f>
        <v/>
      </c>
      <c r="S74" t="str">
        <f>gescon_infosparticip!BG73</f>
        <v/>
      </c>
      <c r="T74" t="str">
        <f>gescon_infosparticip!BH73</f>
        <v/>
      </c>
      <c r="U74" t="str">
        <f>gescon_infosparticip!BI73</f>
        <v/>
      </c>
      <c r="V74" t="str">
        <f>gescon_infosparticip!BJ73</f>
        <v/>
      </c>
      <c r="W74" t="str">
        <f>gescon_infosparticip!BK73</f>
        <v/>
      </c>
      <c r="X74" t="str">
        <f>gescon_infosparticip!BL73</f>
        <v/>
      </c>
      <c r="Y74" t="str">
        <f>gescon_infosparticip!BM73</f>
        <v/>
      </c>
    </row>
    <row r="75" spans="2:25" ht="15.75" customHeight="1" x14ac:dyDescent="0.25">
      <c r="B75">
        <f>gescon_infosparticip!A74</f>
        <v>2204</v>
      </c>
      <c r="C75" t="str">
        <f>gescon_infosparticip!AH74</f>
        <v/>
      </c>
      <c r="D75" t="str">
        <f>gescon_infosparticip!AI74</f>
        <v/>
      </c>
      <c r="E75" t="str">
        <f>gescon_infosparticip!AJ74</f>
        <v/>
      </c>
      <c r="F75" t="str">
        <f>gescon_infosparticip!AK74</f>
        <v/>
      </c>
      <c r="G75" t="str">
        <f>gescon_infosparticip!AL74</f>
        <v/>
      </c>
      <c r="H75" t="str">
        <f>gescon_infosparticip!AM74</f>
        <v/>
      </c>
      <c r="I75" t="str">
        <f>gescon_infosparticip!AN74</f>
        <v/>
      </c>
      <c r="J75" t="str">
        <f>gescon_infosparticip!AO74</f>
        <v/>
      </c>
      <c r="K75" t="str">
        <f>gescon_infosparticip!AP74</f>
        <v/>
      </c>
      <c r="L75" t="str">
        <f>gescon_infosparticip!AQ74</f>
        <v/>
      </c>
      <c r="M75">
        <f>gescon_infosparticip!BA74</f>
        <v>107</v>
      </c>
      <c r="N75">
        <f>gescon_infosparticip!BB74</f>
        <v>0</v>
      </c>
      <c r="O75">
        <f>gescon_infosparticip!BC74</f>
        <v>0</v>
      </c>
      <c r="P75">
        <f>gescon_infosparticip!BD74</f>
        <v>0</v>
      </c>
      <c r="Q75">
        <f>gescon_infosparticip!BE74</f>
        <v>0</v>
      </c>
      <c r="R75" t="str">
        <f>gescon_infosparticip!BF74</f>
        <v/>
      </c>
      <c r="S75" t="str">
        <f>gescon_infosparticip!BG74</f>
        <v>Tétraplégie spastique post-traumatique</v>
      </c>
      <c r="T75" t="str">
        <f>gescon_infosparticip!BH74</f>
        <v>handicap mental, troubles moteurs</v>
      </c>
      <c r="U75" t="str">
        <f>gescon_infosparticip!BI74</f>
        <v/>
      </c>
      <c r="V75" t="str">
        <f>gescon_infosparticip!BJ74</f>
        <v>A protéger du soleil. En cas de canicule:surélever les jambes et augmenter les changement de position.</v>
      </c>
      <c r="W75" t="str">
        <f>gescon_infosparticip!BK74</f>
        <v/>
      </c>
      <c r="X75" t="str">
        <f>gescon_infosparticip!BL74</f>
        <v/>
      </c>
      <c r="Y75" t="str">
        <f>gescon_infosparticip!BM74</f>
        <v>TROP PETIT??</v>
      </c>
    </row>
    <row r="76" spans="2:25" ht="15.75" customHeight="1" x14ac:dyDescent="0.25">
      <c r="B76">
        <f>gescon_infosparticip!A75</f>
        <v>2210</v>
      </c>
      <c r="C76" t="str">
        <f>gescon_infosparticip!AH75</f>
        <v>On doit lui donner à manger, la nourriture doit être mixée.</v>
      </c>
      <c r="D76" t="str">
        <f>gescon_infosparticip!AI75</f>
        <v/>
      </c>
      <c r="E76" t="str">
        <f>gescon_infosparticip!AJ75</f>
        <v>Mixé et coupé très fin.</v>
      </c>
      <c r="F76" t="str">
        <f>gescon_infosparticip!AK75</f>
        <v/>
      </c>
      <c r="G76" t="str">
        <f>gescon_infosparticip!AL75</f>
        <v>Pas de biscuits secs, d'aliments durs, de bonbons etc.</v>
      </c>
      <c r="H76" t="str">
        <f>gescon_infosparticip!AM75</f>
        <v>Il boit avec une paille.</v>
      </c>
      <c r="I76" t="str">
        <f>gescon_infosparticip!AN75</f>
        <v/>
      </c>
      <c r="J76" t="str">
        <f>gescon_infosparticip!AO75</f>
        <v/>
      </c>
      <c r="K76" t="str">
        <f>gescon_infosparticip!AP75</f>
        <v/>
      </c>
      <c r="L76" t="str">
        <f>gescon_infosparticip!AQ75</f>
        <v/>
      </c>
      <c r="M76">
        <f>gescon_infosparticip!BA75</f>
        <v>107</v>
      </c>
      <c r="N76">
        <f>gescon_infosparticip!BB75</f>
        <v>0</v>
      </c>
      <c r="O76">
        <f>gescon_infosparticip!BC75</f>
        <v>0</v>
      </c>
      <c r="P76">
        <f>gescon_infosparticip!BD75</f>
        <v>2146188985</v>
      </c>
      <c r="Q76">
        <f>gescon_infosparticip!BE75</f>
        <v>2146188985</v>
      </c>
      <c r="R76" t="str">
        <f>gescon_infosparticip!BF75</f>
        <v>161.47.813</v>
      </c>
      <c r="S76" t="str">
        <f>gescon_infosparticip!BG75</f>
        <v>IMC</v>
      </c>
      <c r="T76" t="str">
        <f>gescon_infosparticip!BH75</f>
        <v>Handicap mental, épilepsie, troubles moteurs, autres…</v>
      </c>
      <c r="U76" t="str">
        <f>gescon_infosparticip!BI75</f>
        <v>Elevé</v>
      </c>
      <c r="V76" t="str">
        <f>gescon_infosparticip!BJ75</f>
        <v>Ruhme des foins…yeux très sensibles (mettre les lunettes de soleil SVP)</v>
      </c>
      <c r="W76" t="str">
        <f>gescon_infosparticip!BK75</f>
        <v>Aide nécessaire.</v>
      </c>
      <c r="X76" t="str">
        <f>gescon_infosparticip!BL75</f>
        <v>Doit être langé  Selle : suppositoires: lundi et vendredi</v>
      </c>
      <c r="Y76" t="str">
        <f>gescon_infosparticip!BM75</f>
        <v>Surveiller les points d'appui,surtout les pieds(hydrater par effleurage si jamais).</v>
      </c>
    </row>
    <row r="77" spans="2:25" ht="15.75" customHeight="1" x14ac:dyDescent="0.25">
      <c r="B77">
        <f>gescon_infosparticip!A76</f>
        <v>2215</v>
      </c>
      <c r="C77" t="str">
        <f>gescon_infosparticip!AH76</f>
        <v>Autonome -- petite quantité, dans une assiette creuse.
Manger : l'aider à piquer la viande et couper fin, donner plus de légumes que de féculents</v>
      </c>
      <c r="D77" t="str">
        <f>gescon_infosparticip!AI76</f>
        <v/>
      </c>
      <c r="E77" t="str">
        <f>gescon_infosparticip!AJ76</f>
        <v>Limiter les aliments caloriques</v>
      </c>
      <c r="F77" t="str">
        <f>gescon_infosparticip!AK76</f>
        <v>Tendance à la constipation</v>
      </c>
      <c r="G77" t="str">
        <f>gescon_infosparticip!AL76</f>
        <v/>
      </c>
      <c r="H77" t="str">
        <f>gescon_infosparticip!AM76</f>
        <v>Aurélie boit au verre ou avec sa gourde
 Demande parfois un fond de verre d'eau avant de se coucher.</v>
      </c>
      <c r="I77" t="str">
        <f>gescon_infosparticip!AN76</f>
        <v>Sirop light, café le matin, thé froid light</v>
      </c>
      <c r="J77" t="str">
        <f>gescon_infosparticip!AO76</f>
        <v/>
      </c>
      <c r="K77" t="str">
        <f>gescon_infosparticip!AP76</f>
        <v/>
      </c>
      <c r="L77" t="str">
        <f>gescon_infosparticip!AQ76</f>
        <v/>
      </c>
      <c r="M77">
        <f>gescon_infosparticip!BA76</f>
        <v>2146189292</v>
      </c>
      <c r="N77">
        <f>gescon_infosparticip!BB76</f>
        <v>107</v>
      </c>
      <c r="O77">
        <f>gescon_infosparticip!BC76</f>
        <v>0</v>
      </c>
      <c r="P77">
        <f>gescon_infosparticip!BD76</f>
        <v>2146188969</v>
      </c>
      <c r="Q77">
        <f>gescon_infosparticip!BE76</f>
        <v>2146188969</v>
      </c>
      <c r="R77" t="str">
        <f>gescon_infosparticip!BF76</f>
        <v>756.4842.5132.87</v>
      </c>
      <c r="S77" t="str">
        <f>gescon_infosparticip!BG76</f>
        <v>Holoprosencéphalie, classé dans les IMC</v>
      </c>
      <c r="T77" t="str">
        <f>gescon_infosparticip!BH76</f>
        <v>Retard de développement et trouble de concentration Petites absences et tremblements liés aux médicaments. Tendance à être constipée</v>
      </c>
      <c r="U77" t="str">
        <f>gescon_infosparticip!BI76</f>
        <v>Elevé</v>
      </c>
      <c r="V77" t="str">
        <f>gescon_infosparticip!BJ76</f>
        <v>Léger rhume des foins</v>
      </c>
      <c r="W77" t="str">
        <f>gescon_infosparticip!BK76</f>
        <v>Aide totale</v>
      </c>
      <c r="X77" t="str">
        <f>gescon_infosparticip!BL76</f>
        <v>Langée jour et nuit : Ne pas la mettre à selles la nuit sauf en cas de changement de protection. Elle demande parfois pour aller aux toillettes; il est préférable de ne pas accepter sauf si elle a la protection est pleines de selles.(les demandes pr aller aux toilettes sont de plus en plus juste). Le matin, la mettre 5min.sur les toilettes avec une personne à côté d'elle.</v>
      </c>
      <c r="Y77" t="str">
        <f>gescon_infosparticip!BM76</f>
        <v>Voir chagement de position</v>
      </c>
    </row>
    <row r="78" spans="2:25" ht="15.75" customHeight="1" x14ac:dyDescent="0.25">
      <c r="B78">
        <f>gescon_infosparticip!A77</f>
        <v>2219</v>
      </c>
      <c r="C78" t="str">
        <f>gescon_infosparticip!AH77</f>
        <v/>
      </c>
      <c r="D78" t="str">
        <f>gescon_infosparticip!AI77</f>
        <v/>
      </c>
      <c r="E78" t="str">
        <f>gescon_infosparticip!AJ77</f>
        <v/>
      </c>
      <c r="F78" t="str">
        <f>gescon_infosparticip!AK77</f>
        <v/>
      </c>
      <c r="G78" t="str">
        <f>gescon_infosparticip!AL77</f>
        <v/>
      </c>
      <c r="H78" t="str">
        <f>gescon_infosparticip!AM77</f>
        <v/>
      </c>
      <c r="I78" t="str">
        <f>gescon_infosparticip!AN77</f>
        <v/>
      </c>
      <c r="J78" t="str">
        <f>gescon_infosparticip!AO77</f>
        <v/>
      </c>
      <c r="K78" t="str">
        <f>gescon_infosparticip!AP77</f>
        <v/>
      </c>
      <c r="L78" t="str">
        <f>gescon_infosparticip!AQ77</f>
        <v/>
      </c>
      <c r="M78">
        <f>gescon_infosparticip!BA77</f>
        <v>0</v>
      </c>
      <c r="N78">
        <f>gescon_infosparticip!BB77</f>
        <v>0</v>
      </c>
      <c r="O78">
        <f>gescon_infosparticip!BC77</f>
        <v>0</v>
      </c>
      <c r="P78">
        <f>gescon_infosparticip!BD77</f>
        <v>0</v>
      </c>
      <c r="Q78">
        <f>gescon_infosparticip!BE77</f>
        <v>0</v>
      </c>
      <c r="R78" t="str">
        <f>gescon_infosparticip!BF77</f>
        <v/>
      </c>
      <c r="S78" t="str">
        <f>gescon_infosparticip!BG77</f>
        <v>microcéphalie</v>
      </c>
      <c r="T78" t="str">
        <f>gescon_infosparticip!BH77</f>
        <v>handicap mental, troubles moteurs</v>
      </c>
      <c r="U78" t="str">
        <f>gescon_infosparticip!BI77</f>
        <v/>
      </c>
      <c r="V78" t="str">
        <f>gescon_infosparticip!BJ77</f>
        <v>avec le chlore elle a tendance à vomir</v>
      </c>
      <c r="W78" t="str">
        <f>gescon_infosparticip!BK77</f>
        <v/>
      </c>
      <c r="X78" t="str">
        <f>gescon_infosparticip!BL77</f>
        <v/>
      </c>
      <c r="Y78" t="str">
        <f>gescon_infosparticip!BM77</f>
        <v/>
      </c>
    </row>
    <row r="79" spans="2:25" ht="15.75" customHeight="1" x14ac:dyDescent="0.25">
      <c r="B79">
        <f>gescon_infosparticip!A78</f>
        <v>2291</v>
      </c>
      <c r="C79" t="str">
        <f>gescon_infosparticip!AH78</f>
        <v>Ne pas le faire manger s’il n’a pas faim (risque de vomissements nocturnes). Bernard mange de manière autonome, mais il faut l’aider à couper les aliments</v>
      </c>
      <c r="D79" t="str">
        <f>gescon_infosparticip!AI78</f>
        <v>Le matin, il apprécie le pain et la confiture, les yoghourts, les flans, la tart aux pommes, le laisser choisir.</v>
      </c>
      <c r="E79" t="str">
        <f>gescon_infosparticip!AJ78</f>
        <v>n'aime pas le beurre, les bonbons et le chocolat</v>
      </c>
      <c r="F79" t="str">
        <f>gescon_infosparticip!AK78</f>
        <v>lait, crème, mayonnaise (risque de diarrhée)</v>
      </c>
      <c r="G79" t="str">
        <f>gescon_infosparticip!AL78</f>
        <v/>
      </c>
      <c r="H79" t="str">
        <f>gescon_infosparticip!AM78</f>
        <v>Il aime boire abondamment, d’ailleurs il a souvent une bouteille en pet avec lui</v>
      </c>
      <c r="I79" t="str">
        <f>gescon_infosparticip!AN78</f>
        <v>le matin : café, tisane de camomille</v>
      </c>
      <c r="J79" t="str">
        <f>gescon_infosparticip!AO78</f>
        <v/>
      </c>
      <c r="K79" t="str">
        <f>gescon_infosparticip!AP78</f>
        <v/>
      </c>
      <c r="L79" t="str">
        <f>gescon_infosparticip!AQ78</f>
        <v>Eviter le Coca et le thé froid la soirée</v>
      </c>
      <c r="M79">
        <f>gescon_infosparticip!BA78</f>
        <v>0</v>
      </c>
      <c r="N79">
        <f>gescon_infosparticip!BB78</f>
        <v>-895323539</v>
      </c>
      <c r="O79">
        <f>gescon_infosparticip!BC78</f>
        <v>0</v>
      </c>
      <c r="P79">
        <f>gescon_infosparticip!BD78</f>
        <v>2146189193</v>
      </c>
      <c r="Q79">
        <f>gescon_infosparticip!BE78</f>
        <v>2146189193</v>
      </c>
      <c r="R79" t="str">
        <f>gescon_infosparticip!BF78</f>
        <v>80756002900021968361</v>
      </c>
      <c r="S79" t="str">
        <f>gescon_infosparticip!BG78</f>
        <v>retard général (48 chromosomes au lieu de 46).</v>
      </c>
      <c r="T79" t="str">
        <f>gescon_infosparticip!BH78</f>
        <v>Handicap mental</v>
      </c>
      <c r="U79" t="str">
        <f>gescon_infosparticip!BI78</f>
        <v>Moyen</v>
      </c>
      <c r="V79" t="str">
        <f>gescon_infosparticip!BJ78</f>
        <v>Il est en traitement pour des verrues à 1 main. (Selon évolution) rhume des foins, à donner le Similasan no 2</v>
      </c>
      <c r="W79" t="str">
        <f>gescon_infosparticip!BK78</f>
        <v>lui brosser les dents, le coiffer, l’aider à se laver la figure, les mains, le doucher, le raser.</v>
      </c>
      <c r="X79" t="str">
        <f>gescon_infosparticip!BL78</f>
        <v/>
      </c>
      <c r="Y79" t="str">
        <f>gescon_infosparticip!BM78</f>
        <v/>
      </c>
    </row>
    <row r="80" spans="2:25" ht="15.75" customHeight="1" x14ac:dyDescent="0.25">
      <c r="B80">
        <f>gescon_infosparticip!A79</f>
        <v>2309</v>
      </c>
      <c r="C80" t="str">
        <f>gescon_infosparticip!AH79</f>
        <v/>
      </c>
      <c r="D80" t="str">
        <f>gescon_infosparticip!AI79</f>
        <v/>
      </c>
      <c r="E80" t="str">
        <f>gescon_infosparticip!AJ79</f>
        <v/>
      </c>
      <c r="F80" t="str">
        <f>gescon_infosparticip!AK79</f>
        <v/>
      </c>
      <c r="G80" t="str">
        <f>gescon_infosparticip!AL79</f>
        <v/>
      </c>
      <c r="H80" t="str">
        <f>gescon_infosparticip!AM79</f>
        <v/>
      </c>
      <c r="I80" t="str">
        <f>gescon_infosparticip!AN79</f>
        <v/>
      </c>
      <c r="J80" t="str">
        <f>gescon_infosparticip!AO79</f>
        <v/>
      </c>
      <c r="K80" t="str">
        <f>gescon_infosparticip!AP79</f>
        <v/>
      </c>
      <c r="L80" t="str">
        <f>gescon_infosparticip!AQ79</f>
        <v/>
      </c>
      <c r="M80">
        <f>gescon_infosparticip!BA79</f>
        <v>0</v>
      </c>
      <c r="N80">
        <f>gescon_infosparticip!BB79</f>
        <v>0</v>
      </c>
      <c r="O80">
        <f>gescon_infosparticip!BC79</f>
        <v>0</v>
      </c>
      <c r="P80">
        <f>gescon_infosparticip!BD79</f>
        <v>0</v>
      </c>
      <c r="Q80">
        <f>gescon_infosparticip!BE79</f>
        <v>0</v>
      </c>
      <c r="R80" t="str">
        <f>gescon_infosparticip!BF79</f>
        <v/>
      </c>
      <c r="S80" t="str">
        <f>gescon_infosparticip!BG79</f>
        <v>IMC</v>
      </c>
      <c r="T80" t="str">
        <f>gescon_infosparticip!BH79</f>
        <v>Troubles moteurs</v>
      </c>
      <c r="U80" t="str">
        <f>gescon_infosparticip!BI79</f>
        <v/>
      </c>
      <c r="V80" t="str">
        <f>gescon_infosparticip!BJ79</f>
        <v>Protéger Gil du soleil</v>
      </c>
      <c r="W80" t="str">
        <f>gescon_infosparticip!BK79</f>
        <v/>
      </c>
      <c r="X80" t="str">
        <f>gescon_infosparticip!BL79</f>
        <v/>
      </c>
      <c r="Y80" t="str">
        <f>gescon_infosparticip!BM79</f>
        <v/>
      </c>
    </row>
    <row r="81" spans="2:25" ht="15.75" customHeight="1" x14ac:dyDescent="0.25">
      <c r="B81">
        <f>gescon_infosparticip!A80</f>
        <v>2347</v>
      </c>
      <c r="C81" t="str">
        <f>gescon_infosparticip!AH80</f>
        <v>mettre une bavette avant le repas. Salima retient parfois ses selles, il est préférable d’avoir une alimentation variée avec des fibres. Elle doit aussi bcp boire (thé, eau, etc.). Lui donner un fruit ou jus de fruits avant le déjeuner pour prévenir la constipation. Elle boit seule mais la présence de l’adulte est nécessaire pour éviter les inondations. La rassure pour les repas.</v>
      </c>
      <c r="D81" t="str">
        <f>gescon_infosparticip!AI80</f>
        <v/>
      </c>
      <c r="E81" t="str">
        <f>gescon_infosparticip!AJ80</f>
        <v>Couper fin les aliments (pas mixer) car mastique mal</v>
      </c>
      <c r="F81" t="str">
        <f>gescon_infosparticip!AK80</f>
        <v>Elle n'aime pas le melon</v>
      </c>
      <c r="G81" t="str">
        <f>gescon_infosparticip!AL80</f>
        <v/>
      </c>
      <c r="H81" t="str">
        <f>gescon_infosparticip!AM80</f>
        <v/>
      </c>
      <c r="I81" t="str">
        <f>gescon_infosparticip!AN80</f>
        <v>Boit de l'eau. Elle aime un cacao de temps en temps froid ou tiède. Un léger café au lait parfois</v>
      </c>
      <c r="J81" t="str">
        <f>gescon_infosparticip!AO80</f>
        <v/>
      </c>
      <c r="K81" t="str">
        <f>gescon_infosparticip!AP80</f>
        <v>les eaux gazeuses et trop sucrées. EVITER le coca qui devient une idée FIXE ! Sauf vers la fin d'une fête</v>
      </c>
      <c r="L81" t="str">
        <f>gescon_infosparticip!AQ80</f>
        <v/>
      </c>
      <c r="M81">
        <f>gescon_infosparticip!BA80</f>
        <v>2146189305</v>
      </c>
      <c r="N81">
        <f>gescon_infosparticip!BB80</f>
        <v>1935972411</v>
      </c>
      <c r="O81">
        <f>gescon_infosparticip!BC80</f>
        <v>2146189306</v>
      </c>
      <c r="P81">
        <f>gescon_infosparticip!BD80</f>
        <v>2146188984</v>
      </c>
      <c r="Q81">
        <f>gescon_infosparticip!BE80</f>
        <v>2146188984</v>
      </c>
      <c r="R81" t="str">
        <f>gescon_infosparticip!BF80</f>
        <v>011399476</v>
      </c>
      <c r="S81" t="str">
        <f>gescon_infosparticip!BG80</f>
        <v>Handicap mental et malvoyante</v>
      </c>
      <c r="T81" t="str">
        <f>gescon_infosparticip!BH80</f>
        <v>stéréotypies, crises d’angoisse. Elle a une vision périphérique. Les forts contrastes lumineux peuvent provoquer des angoisses. N'est pas propre. Ne parle pas mais comprend ce qui est simplement expliqué.</v>
      </c>
      <c r="U81" t="str">
        <f>gescon_infosparticip!BI80</f>
        <v>Elevé</v>
      </c>
      <c r="V81" t="str">
        <f>gescon_infosparticip!BJ80</f>
        <v>Yeux à protéger du soleil, éviter si possible qu'elle fixe soleil ou sources lumineuses intenses (reflets de l'eau, neige). Si épanchements externe de l'oreille (otite), ne JAMAIS nettoyer avec des Q-Tips. Avertir les parents</v>
      </c>
      <c r="W81" t="str">
        <f>gescon_infosparticip!BK80</f>
        <v>Aide complète pour sa toilette. Bien essuyer ses oreilles et entre les orteilles. Séchage complet des cheveux après la piscine. Le matin et le soir laver le siège avec lavette et savon et BIEN sécher. Aime le bain et  la douche et lui donner de temps en temps le pommeau pour se rincer ou l’aider en la guidant.</v>
      </c>
      <c r="X81" t="str">
        <f>gescon_infosparticip!BL80</f>
        <v>Salima est langée jour et nuit. WC et la changer 4-5 fois/jour. La laisser sur les WC env. 10 min. avant ou après les repas en surveillant de tps en tps. Urine presque chaque matin sur les wc et souvent dans la journée. Parfois signale qu'elle doit aller au WC en criait.</v>
      </c>
      <c r="Y81" t="str">
        <f>gescon_infosparticip!BM80</f>
        <v/>
      </c>
    </row>
    <row r="82" spans="2:25" ht="15.75" customHeight="1" x14ac:dyDescent="0.25">
      <c r="B82">
        <f>gescon_infosparticip!A81</f>
        <v>2425</v>
      </c>
      <c r="C82" t="str">
        <f>gescon_infosparticip!AH81</f>
        <v/>
      </c>
      <c r="D82" t="str">
        <f>gescon_infosparticip!AI81</f>
        <v/>
      </c>
      <c r="E82" t="str">
        <f>gescon_infosparticip!AJ81</f>
        <v/>
      </c>
      <c r="F82" t="str">
        <f>gescon_infosparticip!AK81</f>
        <v/>
      </c>
      <c r="G82" t="str">
        <f>gescon_infosparticip!AL81</f>
        <v/>
      </c>
      <c r="H82" t="str">
        <f>gescon_infosparticip!AM81</f>
        <v/>
      </c>
      <c r="I82" t="str">
        <f>gescon_infosparticip!AN81</f>
        <v/>
      </c>
      <c r="J82" t="str">
        <f>gescon_infosparticip!AO81</f>
        <v/>
      </c>
      <c r="K82" t="str">
        <f>gescon_infosparticip!AP81</f>
        <v/>
      </c>
      <c r="L82" t="str">
        <f>gescon_infosparticip!AQ81</f>
        <v/>
      </c>
      <c r="M82">
        <f>gescon_infosparticip!BA81</f>
        <v>0</v>
      </c>
      <c r="N82">
        <f>gescon_infosparticip!BB81</f>
        <v>0</v>
      </c>
      <c r="O82">
        <f>gescon_infosparticip!BC81</f>
        <v>0</v>
      </c>
      <c r="P82">
        <f>gescon_infosparticip!BD81</f>
        <v>0</v>
      </c>
      <c r="Q82">
        <f>gescon_infosparticip!BE81</f>
        <v>0</v>
      </c>
      <c r="R82" t="str">
        <f>gescon_infosparticip!BF81</f>
        <v/>
      </c>
      <c r="S82" t="str">
        <f>gescon_infosparticip!BG81</f>
        <v/>
      </c>
      <c r="T82" t="str">
        <f>gescon_infosparticip!BH81</f>
        <v/>
      </c>
      <c r="U82" t="str">
        <f>gescon_infosparticip!BI81</f>
        <v/>
      </c>
      <c r="V82" t="str">
        <f>gescon_infosparticip!BJ81</f>
        <v/>
      </c>
      <c r="W82" t="str">
        <f>gescon_infosparticip!BK81</f>
        <v/>
      </c>
      <c r="X82" t="str">
        <f>gescon_infosparticip!BL81</f>
        <v/>
      </c>
      <c r="Y82" t="str">
        <f>gescon_infosparticip!BM81</f>
        <v/>
      </c>
    </row>
    <row r="83" spans="2:25" ht="15.75" customHeight="1" x14ac:dyDescent="0.25">
      <c r="B83">
        <f>gescon_infosparticip!A82</f>
        <v>2541</v>
      </c>
      <c r="C83" t="str">
        <f>gescon_infosparticip!AH82</f>
        <v>cf. feuille des aliments,</v>
      </c>
      <c r="D83" t="str">
        <f>gescon_infosparticip!AI82</f>
        <v/>
      </c>
      <c r="E83" t="str">
        <f>gescon_infosparticip!AJ82</f>
        <v>mixé, ajouter bouillon ou liquide pour la faire boire -&gt; aime la soupe</v>
      </c>
      <c r="F83" t="str">
        <f>gescon_infosparticip!AK82</f>
        <v/>
      </c>
      <c r="G83" t="str">
        <f>gescon_infosparticip!AL82</f>
        <v/>
      </c>
      <c r="H83" t="str">
        <f>gescon_infosparticip!AM82</f>
        <v>Dans une bouteille cycliste ou un verre échancré, boit bien à le seringue et à la cuillère
Caroline peine à boire. Pensez à l'encourager et à bien verbaliser</v>
      </c>
      <c r="I83" t="str">
        <f>gescon_infosparticip!AN82</f>
        <v>Jus (sans acidité) pêche, mangue, poire. Tisane. Eau, Café+crème, Lait de soja</v>
      </c>
      <c r="J83" t="str">
        <f>gescon_infosparticip!AO82</f>
        <v/>
      </c>
      <c r="K83" t="str">
        <f>gescon_infosparticip!AP82</f>
        <v>Alcool (boit occasionnellement un peu d'alcool 1dl)</v>
      </c>
      <c r="L83" t="str">
        <f>gescon_infosparticip!AQ82</f>
        <v>Boissons gazeuse et très sucrées</v>
      </c>
      <c r="M83">
        <f>gescon_infosparticip!BA82</f>
        <v>1599</v>
      </c>
      <c r="N83">
        <f>gescon_infosparticip!BB82</f>
        <v>0</v>
      </c>
      <c r="O83">
        <f>gescon_infosparticip!BC82</f>
        <v>0</v>
      </c>
      <c r="P83">
        <f>gescon_infosparticip!BD82</f>
        <v>2146189010</v>
      </c>
      <c r="Q83">
        <f>gescon_infosparticip!BE82</f>
        <v>2146189010</v>
      </c>
      <c r="R83" t="str">
        <f>gescon_infosparticip!BF82</f>
        <v/>
      </c>
      <c r="S83" t="str">
        <f>gescon_infosparticip!BG82</f>
        <v>IMC polyhandicap</v>
      </c>
      <c r="T83" t="str">
        <f>gescon_infosparticip!BH82</f>
        <v>épilepsie et des crises spastiques, Caroline prend régulièrement des traitements homéopathiques ou spagiriques :Suivre les instructions avant l'activité.</v>
      </c>
      <c r="U83" t="str">
        <f>gescon_infosparticip!BI82</f>
        <v>Elevé</v>
      </c>
      <c r="V83" t="str">
        <f>gescon_infosparticip!BJ82</f>
        <v>produits alimentaires, Caroline est facilement éblouie, lui mettre des lunettes ou une casquette. N'aime pas le vent.</v>
      </c>
      <c r="W83" t="str">
        <f>gescon_infosparticip!BK82</f>
        <v>Elle a besoin d'aide. Lotion de soin sur le visage. En cas de problèmes de digestion, la prendre dans les bras contre soi et lui faire des légers massages de l'estomac. Les médicaments sous forme de pastilles ou comprimés, se donne dans une cuillère avec un peu de liquide ou d'aliment.</v>
      </c>
      <c r="X83" t="str">
        <f>gescon_infosparticip!BL82</f>
        <v>Caroline est langée jour et nuit. Il faut lui changer les langes après le déjeuner, puis vers 10h, après le dîner, vers 16h et avant le coucher. Pour aller à selles, la laisser faire dans les langes. Si après 2-3 jours, elle est constipée, il faut lui faire un lavement. (Systématiquement)</v>
      </c>
      <c r="Y83" t="str">
        <f>gescon_infosparticip!BM82</f>
        <v>! : au coccyx qui a tendence à devenir rouge</v>
      </c>
    </row>
    <row r="84" spans="2:25" ht="15.75" customHeight="1" x14ac:dyDescent="0.25">
      <c r="B84">
        <f>gescon_infosparticip!A83</f>
        <v>2542</v>
      </c>
      <c r="C84" t="str">
        <f>gescon_infosparticip!AH83</f>
        <v/>
      </c>
      <c r="D84" t="str">
        <f>gescon_infosparticip!AI83</f>
        <v/>
      </c>
      <c r="E84" t="str">
        <f>gescon_infosparticip!AJ83</f>
        <v/>
      </c>
      <c r="F84" t="str">
        <f>gescon_infosparticip!AK83</f>
        <v/>
      </c>
      <c r="G84" t="str">
        <f>gescon_infosparticip!AL83</f>
        <v/>
      </c>
      <c r="H84" t="str">
        <f>gescon_infosparticip!AM83</f>
        <v/>
      </c>
      <c r="I84" t="str">
        <f>gescon_infosparticip!AN83</f>
        <v/>
      </c>
      <c r="J84" t="str">
        <f>gescon_infosparticip!AO83</f>
        <v/>
      </c>
      <c r="K84" t="str">
        <f>gescon_infosparticip!AP83</f>
        <v/>
      </c>
      <c r="L84" t="str">
        <f>gescon_infosparticip!AQ83</f>
        <v/>
      </c>
      <c r="M84">
        <f>gescon_infosparticip!BA83</f>
        <v>2146189119</v>
      </c>
      <c r="N84">
        <f>gescon_infosparticip!BB83</f>
        <v>0</v>
      </c>
      <c r="O84">
        <f>gescon_infosparticip!BC83</f>
        <v>0</v>
      </c>
      <c r="P84">
        <f>gescon_infosparticip!BD83</f>
        <v>0</v>
      </c>
      <c r="Q84">
        <f>gescon_infosparticip!BE83</f>
        <v>0</v>
      </c>
      <c r="R84" t="str">
        <f>gescon_infosparticip!BF83</f>
        <v/>
      </c>
      <c r="S84" t="str">
        <f>gescon_infosparticip!BG83</f>
        <v/>
      </c>
      <c r="T84" t="str">
        <f>gescon_infosparticip!BH83</f>
        <v/>
      </c>
      <c r="U84" t="str">
        <f>gescon_infosparticip!BI83</f>
        <v/>
      </c>
      <c r="V84" t="str">
        <f>gescon_infosparticip!BJ83</f>
        <v/>
      </c>
      <c r="W84" t="str">
        <f>gescon_infosparticip!BK83</f>
        <v/>
      </c>
      <c r="X84" t="str">
        <f>gescon_infosparticip!BL83</f>
        <v/>
      </c>
      <c r="Y84" t="str">
        <f>gescon_infosparticip!BM83</f>
        <v/>
      </c>
    </row>
    <row r="85" spans="2:25" ht="15.75" customHeight="1" x14ac:dyDescent="0.25">
      <c r="B85">
        <f>gescon_infosparticip!A84</f>
        <v>2548</v>
      </c>
      <c r="C85" t="str">
        <f>gescon_infosparticip!AH84</f>
        <v>Aider à couper et à mettre en bouche, couper en petits morceaux, 
Emilie a bon appétit et mange de tout, elle ne mange pas chaud mais tiède.
Avec guidance avec Emilie, lui faire tenir la cuillère.Cela se peut qu’elle refuse de manger. Cela dépend de son humeur, essayer et insister un peu et une fois qu’elle a goûté elle mange, si non, lui proposer un peu plus tard. Faire les choses avec elle, pour les repas, toujours en guidance.Ne pas lui donner.</v>
      </c>
      <c r="D85" t="str">
        <f>gescon_infosparticip!AI84</f>
        <v/>
      </c>
      <c r="E85" t="str">
        <f>gescon_infosparticip!AJ84</f>
        <v/>
      </c>
      <c r="F85" t="str">
        <f>gescon_infosparticip!AK84</f>
        <v/>
      </c>
      <c r="G85" t="str">
        <f>gescon_infosparticip!AL84</f>
        <v/>
      </c>
      <c r="H85" t="str">
        <f>gescon_infosparticip!AM84</f>
        <v>pour boire tenir le verre et attendre qu’elle prenne et en guidance avec elle. Mettre la bavette.</v>
      </c>
      <c r="I85" t="str">
        <f>gescon_infosparticip!AN84</f>
        <v>Elle boit de tout</v>
      </c>
      <c r="J85" t="str">
        <f>gescon_infosparticip!AO84</f>
        <v/>
      </c>
      <c r="K85" t="str">
        <f>gescon_infosparticip!AP84</f>
        <v/>
      </c>
      <c r="L85" t="str">
        <f>gescon_infosparticip!AQ84</f>
        <v>Alcool</v>
      </c>
      <c r="M85">
        <f>gescon_infosparticip!BA84</f>
        <v>0</v>
      </c>
      <c r="N85">
        <f>gescon_infosparticip!BB84</f>
        <v>0</v>
      </c>
      <c r="O85">
        <f>gescon_infosparticip!BC84</f>
        <v>0</v>
      </c>
      <c r="P85">
        <f>gescon_infosparticip!BD84</f>
        <v>2146189020</v>
      </c>
      <c r="Q85">
        <f>gescon_infosparticip!BE84</f>
        <v>2146189020</v>
      </c>
      <c r="R85" t="str">
        <f>gescon_infosparticip!BF84</f>
        <v>95.05178</v>
      </c>
      <c r="S85" t="str">
        <f>gescon_infosparticip!BG84</f>
        <v>Handicap mental avec troubles moteurs</v>
      </c>
      <c r="T85" t="str">
        <f>gescon_infosparticip!BH84</f>
        <v>épilepsie, absence, troubles moteurs.</v>
      </c>
      <c r="U85" t="str">
        <f>gescon_infosparticip!BI84</f>
        <v>Elevé</v>
      </c>
      <c r="V85" t="str">
        <f>gescon_infosparticip!BJ84</f>
        <v/>
      </c>
      <c r="W85" t="str">
        <f>gescon_infosparticip!BK84</f>
        <v>Lui faire la toilette.Les soins usuels, bien lui brosser les dents.</v>
      </c>
      <c r="X85" t="str">
        <f>gescon_infosparticip!BL84</f>
        <v>La mettre assise régulièrement sur les toilettes entre 5 et 7 minutes. Elle peut retenir plusieurs jours ses selles. Emilie est langée la nuit. La laisser plus longtemps sur les toilettes lorsqu’on voit qu’elle a la chaire de poule car en générale c’est un signe qui nous dis qu’elle fait ses selles. La journée la laisser sans lange, la mettre souvent au WC, chaque 2 ou 3 heures. Le soir  avant le coucher la mettre au WC, de même que le matin au réveil.</v>
      </c>
      <c r="Y85" t="str">
        <f>gescon_infosparticip!BM84</f>
        <v/>
      </c>
    </row>
    <row r="86" spans="2:25" ht="15.75" customHeight="1" x14ac:dyDescent="0.25">
      <c r="B86">
        <f>gescon_infosparticip!A85</f>
        <v>2554</v>
      </c>
      <c r="C86" t="str">
        <f>gescon_infosparticip!AH85</f>
        <v>Manger : couper fin et l'aider à les mettre en bouche ou dans une assiette à soupe avec un rebord il arrive à prendre une fourchette dans sa main gauche. Aide pour mettre les aliments dans sa fourchette puis il mange seul</v>
      </c>
      <c r="D86" t="str">
        <f>gescon_infosparticip!AI85</f>
        <v>Aime : café sans caféine, corn flakes, cacao tiède, tartines</v>
      </c>
      <c r="E86" t="str">
        <f>gescon_infosparticip!AJ85</f>
        <v>N'aime pas les sucreries, mie de pain</v>
      </c>
      <c r="F86" t="str">
        <f>gescon_infosparticip!AK85</f>
        <v>Jus de fruit (risque de diarrhée)</v>
      </c>
      <c r="G86" t="str">
        <f>gescon_infosparticip!AL85</f>
        <v>Diabétique</v>
      </c>
      <c r="H86" t="str">
        <f>gescon_infosparticip!AM85</f>
        <v>Boire : avec de l'aide + verre</v>
      </c>
      <c r="I86" t="str">
        <f>gescon_infosparticip!AN85</f>
        <v/>
      </c>
      <c r="J86" t="str">
        <f>gescon_infosparticip!AO85</f>
        <v/>
      </c>
      <c r="K86" t="str">
        <f>gescon_infosparticip!AP85</f>
        <v/>
      </c>
      <c r="L86" t="str">
        <f>gescon_infosparticip!AQ85</f>
        <v/>
      </c>
      <c r="M86">
        <f>gescon_infosparticip!BA85</f>
        <v>2146189584</v>
      </c>
      <c r="N86">
        <f>gescon_infosparticip!BB85</f>
        <v>2146189584</v>
      </c>
      <c r="O86">
        <f>gescon_infosparticip!BC85</f>
        <v>2146189014</v>
      </c>
      <c r="P86">
        <f>gescon_infosparticip!BD85</f>
        <v>2146188985</v>
      </c>
      <c r="Q86">
        <f>gescon_infosparticip!BE85</f>
        <v>2146188985</v>
      </c>
      <c r="R86" t="str">
        <f>gescon_infosparticip!BF85</f>
        <v>00008206-54-173</v>
      </c>
      <c r="S86" t="str">
        <f>gescon_infosparticip!BG85</f>
        <v>IMC</v>
      </c>
      <c r="T86" t="str">
        <f>gescon_infosparticip!BH85</f>
        <v>Handicap mental, épilepsie, malvoyant, troubles moteurs. Il a parfois des spasmes principalement au réveil</v>
      </c>
      <c r="U86" t="str">
        <f>gescon_infosparticip!BI85</f>
        <v>Elevé</v>
      </c>
      <c r="V86" t="str">
        <f>gescon_infosparticip!BJ85</f>
        <v>A protéger du soleil (chapeau, crème). Eviter de lui donner de l'aspirine (provoque urticaire)</v>
      </c>
      <c r="W86" t="str">
        <f>gescon_infosparticip!BK85</f>
        <v>Aide complète - Après avoir été à selles sur la chaise percée on peut lui donner la douche sur la chaise percée. Lors qu'il se lave les dents, lui enlever le dentifrice avec un cotton tige.</v>
      </c>
      <c r="X86" t="str">
        <f>gescon_infosparticip!BL85</f>
        <v>Chaise percée matin, midi et soir. Mettre talc sous la protection.</v>
      </c>
      <c r="Y86" t="str">
        <f>gescon_infosparticip!BM85</f>
        <v>Ne pas oublier le coussin de la chaise roulante.</v>
      </c>
    </row>
    <row r="87" spans="2:25" ht="15.75" customHeight="1" x14ac:dyDescent="0.25">
      <c r="B87">
        <f>gescon_infosparticip!A86</f>
        <v>2578</v>
      </c>
      <c r="C87" t="str">
        <f>gescon_infosparticip!AH86</f>
        <v/>
      </c>
      <c r="D87" t="str">
        <f>gescon_infosparticip!AI86</f>
        <v/>
      </c>
      <c r="E87" t="str">
        <f>gescon_infosparticip!AJ86</f>
        <v/>
      </c>
      <c r="F87" t="str">
        <f>gescon_infosparticip!AK86</f>
        <v/>
      </c>
      <c r="G87" t="str">
        <f>gescon_infosparticip!AL86</f>
        <v/>
      </c>
      <c r="H87" t="str">
        <f>gescon_infosparticip!AM86</f>
        <v/>
      </c>
      <c r="I87" t="str">
        <f>gescon_infosparticip!AN86</f>
        <v/>
      </c>
      <c r="J87" t="str">
        <f>gescon_infosparticip!AO86</f>
        <v/>
      </c>
      <c r="K87" t="str">
        <f>gescon_infosparticip!AP86</f>
        <v/>
      </c>
      <c r="L87" t="str">
        <f>gescon_infosparticip!AQ86</f>
        <v/>
      </c>
      <c r="M87">
        <f>gescon_infosparticip!BA86</f>
        <v>0</v>
      </c>
      <c r="N87">
        <f>gescon_infosparticip!BB86</f>
        <v>0</v>
      </c>
      <c r="O87">
        <f>gescon_infosparticip!BC86</f>
        <v>0</v>
      </c>
      <c r="P87">
        <f>gescon_infosparticip!BD86</f>
        <v>0</v>
      </c>
      <c r="Q87">
        <f>gescon_infosparticip!BE86</f>
        <v>0</v>
      </c>
      <c r="R87" t="str">
        <f>gescon_infosparticip!BF86</f>
        <v/>
      </c>
      <c r="S87" t="str">
        <f>gescon_infosparticip!BG86</f>
        <v>IMC paraplégie</v>
      </c>
      <c r="T87" t="str">
        <f>gescon_infosparticip!BH86</f>
        <v/>
      </c>
      <c r="U87" t="str">
        <f>gescon_infosparticip!BI86</f>
        <v/>
      </c>
      <c r="V87" t="str">
        <f>gescon_infosparticip!BJ86</f>
        <v/>
      </c>
      <c r="W87" t="str">
        <f>gescon_infosparticip!BK86</f>
        <v/>
      </c>
      <c r="X87" t="str">
        <f>gescon_infosparticip!BL86</f>
        <v/>
      </c>
      <c r="Y87" t="str">
        <f>gescon_infosparticip!BM86</f>
        <v/>
      </c>
    </row>
    <row r="88" spans="2:25" ht="15.75" customHeight="1" x14ac:dyDescent="0.25">
      <c r="B88">
        <f>gescon_infosparticip!A87</f>
        <v>2584</v>
      </c>
      <c r="C88" t="str">
        <f>gescon_infosparticip!AH87</f>
        <v>Faire attentio naux sucreries. Lui couper les aliments.</v>
      </c>
      <c r="D88" t="str">
        <f>gescon_infosparticip!AI87</f>
        <v/>
      </c>
      <c r="E88" t="str">
        <f>gescon_infosparticip!AJ87</f>
        <v/>
      </c>
      <c r="F88" t="str">
        <f>gescon_infosparticip!AK87</f>
        <v/>
      </c>
      <c r="G88" t="str">
        <f>gescon_infosparticip!AL87</f>
        <v>noix, châtaignes, abricots séchés.</v>
      </c>
      <c r="H88" t="str">
        <f>gescon_infosparticip!AM87</f>
        <v/>
      </c>
      <c r="I88" t="str">
        <f>gescon_infosparticip!AN87</f>
        <v/>
      </c>
      <c r="J88" t="str">
        <f>gescon_infosparticip!AO87</f>
        <v/>
      </c>
      <c r="K88" t="str">
        <f>gescon_infosparticip!AP87</f>
        <v/>
      </c>
      <c r="L88" t="str">
        <f>gescon_infosparticip!AQ87</f>
        <v/>
      </c>
      <c r="M88">
        <f>gescon_infosparticip!BA87</f>
        <v>2146189009</v>
      </c>
      <c r="N88">
        <f>gescon_infosparticip!BB87</f>
        <v>0</v>
      </c>
      <c r="O88">
        <f>gescon_infosparticip!BC87</f>
        <v>0</v>
      </c>
      <c r="P88">
        <f>gescon_infosparticip!BD87</f>
        <v>2146189008</v>
      </c>
      <c r="Q88">
        <f>gescon_infosparticip!BE87</f>
        <v>2146189008</v>
      </c>
      <c r="R88" t="str">
        <f>gescon_infosparticip!BF87</f>
        <v/>
      </c>
      <c r="S88" t="str">
        <f>gescon_infosparticip!BG87</f>
        <v>IMC</v>
      </c>
      <c r="T88" t="str">
        <f>gescon_infosparticip!BH87</f>
        <v/>
      </c>
      <c r="U88" t="str">
        <f>gescon_infosparticip!BI87</f>
        <v/>
      </c>
      <c r="V88" t="str">
        <f>gescon_infosparticip!BJ87</f>
        <v>rhume des foins (médicament: Hismanal), allergie aux blancs d' œufs, possibilité de crises d'asthme causées par les  maroniers (médicament: Tavegyl)</v>
      </c>
      <c r="W88" t="str">
        <f>gescon_infosparticip!BK87</f>
        <v/>
      </c>
      <c r="X88" t="str">
        <f>gescon_infosparticip!BL87</f>
        <v>Avec un condom urinaire</v>
      </c>
      <c r="Y88" t="str">
        <f>gescon_infosparticip!BM87</f>
        <v/>
      </c>
    </row>
    <row r="89" spans="2:25" ht="15.75" customHeight="1" x14ac:dyDescent="0.25">
      <c r="B89">
        <f>gescon_infosparticip!A88</f>
        <v>2589</v>
      </c>
      <c r="C89" t="str">
        <f>gescon_infosparticip!AH88</f>
        <v/>
      </c>
      <c r="D89" t="str">
        <f>gescon_infosparticip!AI88</f>
        <v/>
      </c>
      <c r="E89" t="str">
        <f>gescon_infosparticip!AJ88</f>
        <v/>
      </c>
      <c r="F89" t="str">
        <f>gescon_infosparticip!AK88</f>
        <v/>
      </c>
      <c r="G89" t="str">
        <f>gescon_infosparticip!AL88</f>
        <v/>
      </c>
      <c r="H89" t="str">
        <f>gescon_infosparticip!AM88</f>
        <v/>
      </c>
      <c r="I89" t="str">
        <f>gescon_infosparticip!AN88</f>
        <v/>
      </c>
      <c r="J89" t="str">
        <f>gescon_infosparticip!AO88</f>
        <v/>
      </c>
      <c r="K89" t="str">
        <f>gescon_infosparticip!AP88</f>
        <v/>
      </c>
      <c r="L89" t="str">
        <f>gescon_infosparticip!AQ88</f>
        <v/>
      </c>
      <c r="M89">
        <f>gescon_infosparticip!BA88</f>
        <v>0</v>
      </c>
      <c r="N89">
        <f>gescon_infosparticip!BB88</f>
        <v>0</v>
      </c>
      <c r="O89">
        <f>gescon_infosparticip!BC88</f>
        <v>0</v>
      </c>
      <c r="P89">
        <f>gescon_infosparticip!BD88</f>
        <v>0</v>
      </c>
      <c r="Q89">
        <f>gescon_infosparticip!BE88</f>
        <v>0</v>
      </c>
      <c r="R89" t="str">
        <f>gescon_infosparticip!BF88</f>
        <v/>
      </c>
      <c r="S89" t="str">
        <f>gescon_infosparticip!BG88</f>
        <v/>
      </c>
      <c r="T89" t="str">
        <f>gescon_infosparticip!BH88</f>
        <v/>
      </c>
      <c r="U89" t="str">
        <f>gescon_infosparticip!BI88</f>
        <v/>
      </c>
      <c r="V89" t="str">
        <f>gescon_infosparticip!BJ88</f>
        <v/>
      </c>
      <c r="W89" t="str">
        <f>gescon_infosparticip!BK88</f>
        <v/>
      </c>
      <c r="X89" t="str">
        <f>gescon_infosparticip!BL88</f>
        <v/>
      </c>
      <c r="Y89" t="str">
        <f>gescon_infosparticip!BM88</f>
        <v/>
      </c>
    </row>
    <row r="90" spans="2:25" ht="15.75" customHeight="1" x14ac:dyDescent="0.25">
      <c r="B90">
        <f>gescon_infosparticip!A89</f>
        <v>2604</v>
      </c>
      <c r="C90" t="str">
        <f>gescon_infosparticip!AH89</f>
        <v>Il faut couper fin les aliments et les lui donner en bouche. Ludovic arrive à mâcher. Quand ont lui donne les médicaments les mélanger avec les aliments. Si Ludovic gesticule et fait des petits cris c’est qu’il a une gélule collé au palais. Il ne faut pas hésiter à mettre le doigt ou une petite cuillère pour la décoller.</v>
      </c>
      <c r="D90" t="str">
        <f>gescon_infosparticip!AI89</f>
        <v/>
      </c>
      <c r="E90" t="str">
        <f>gescon_infosparticip!AJ89</f>
        <v>Il n’aime pas la salade verte, les lasagnes, la viande hachée</v>
      </c>
      <c r="F90" t="str">
        <f>gescon_infosparticip!AK89</f>
        <v/>
      </c>
      <c r="G90" t="str">
        <f>gescon_infosparticip!AL89</f>
        <v>les gros morceaux.</v>
      </c>
      <c r="H90" t="str">
        <f>gescon_infosparticip!AM89</f>
        <v>Ludovic boit avec une paille.</v>
      </c>
      <c r="I90" t="str">
        <f>gescon_infosparticip!AN89</f>
        <v/>
      </c>
      <c r="J90" t="str">
        <f>gescon_infosparticip!AO89</f>
        <v/>
      </c>
      <c r="K90" t="str">
        <f>gescon_infosparticip!AP89</f>
        <v/>
      </c>
      <c r="L90" t="str">
        <f>gescon_infosparticip!AQ89</f>
        <v/>
      </c>
      <c r="M90">
        <f>gescon_infosparticip!BA89</f>
        <v>107</v>
      </c>
      <c r="N90">
        <f>gescon_infosparticip!BB89</f>
        <v>2146189293</v>
      </c>
      <c r="O90">
        <f>gescon_infosparticip!BC89</f>
        <v>0</v>
      </c>
      <c r="P90">
        <f>gescon_infosparticip!BD89</f>
        <v>2146188985</v>
      </c>
      <c r="Q90">
        <f>gescon_infosparticip!BE89</f>
        <v>2146189011</v>
      </c>
      <c r="R90" t="str">
        <f>gescon_infosparticip!BF89</f>
        <v>262 85 739 0002</v>
      </c>
      <c r="S90" t="str">
        <f>gescon_infosparticip!BG89</f>
        <v>IMC, maladie de Leigh</v>
      </c>
      <c r="T90" t="str">
        <f>gescon_infosparticip!BH89</f>
        <v>épilepsie</v>
      </c>
      <c r="U90" t="str">
        <f>gescon_infosparticip!BI89</f>
        <v>Elevé</v>
      </c>
      <c r="V90" t="str">
        <f>gescon_infosparticip!BJ89</f>
        <v>A protéger du soleil, mettre une casquette.</v>
      </c>
      <c r="W90" t="str">
        <f>gescon_infosparticip!BK89</f>
        <v>Aide complète pour la toilette et la douche.</v>
      </c>
      <c r="X90" t="str">
        <f>gescon_infosparticip!BL89</f>
        <v>Ludovic est propre. Il demande pour aller aux toilettes (bouteille pour uriner en cas d'exception)  et chaque 3 à 4 jours il demande pour aller à selles (le mettre sur les toilettes). Il demande parfois (avant un départ en activité ou avant d'aller dormir) de lui mettre une protection, au cas où</v>
      </c>
      <c r="Y90" t="str">
        <f>gescon_infosparticip!BM89</f>
        <v>Prévention des escarres : Important de contrôler le dos, surtout le bas.</v>
      </c>
    </row>
    <row r="91" spans="2:25" ht="15.75" customHeight="1" x14ac:dyDescent="0.25">
      <c r="B91">
        <f>gescon_infosparticip!A90</f>
        <v>2611</v>
      </c>
      <c r="C91" t="str">
        <f>gescon_infosparticip!AH90</f>
        <v>Ne pas lui donner plus de 300 g. par repas. : Il mange seul avec cerceau sur son assiette et cuillère personnelle. Il boit seul avec un gobelet en plastique.</v>
      </c>
      <c r="D91" t="str">
        <f>gescon_infosparticip!AI90</f>
        <v/>
      </c>
      <c r="E91" t="str">
        <f>gescon_infosparticip!AJ90</f>
        <v>Alimentation mixée lisse car risque de fausse route</v>
      </c>
      <c r="F91" t="str">
        <f>gescon_infosparticip!AK90</f>
        <v/>
      </c>
      <c r="G91" t="str">
        <f>gescon_infosparticip!AL90</f>
        <v/>
      </c>
      <c r="H91" t="str">
        <f>gescon_infosparticip!AM90</f>
        <v>Il boit seul avec un gobelet en plastique</v>
      </c>
      <c r="I91" t="str">
        <f>gescon_infosparticip!AN90</f>
        <v>café au lait, boissons sucrées (thé,sirop,jus de pomme)</v>
      </c>
      <c r="J91" t="str">
        <f>gescon_infosparticip!AO90</f>
        <v/>
      </c>
      <c r="K91" t="str">
        <f>gescon_infosparticip!AP90</f>
        <v>Boissons gazeuses</v>
      </c>
      <c r="L91" t="str">
        <f>gescon_infosparticip!AQ90</f>
        <v>alcool</v>
      </c>
      <c r="M91">
        <f>gescon_infosparticip!BA90</f>
        <v>2146189786</v>
      </c>
      <c r="N91">
        <f>gescon_infosparticip!BB90</f>
        <v>2146189787</v>
      </c>
      <c r="O91">
        <f>gescon_infosparticip!BC90</f>
        <v>0</v>
      </c>
      <c r="P91">
        <f>gescon_infosparticip!BD90</f>
        <v>2146189020</v>
      </c>
      <c r="Q91">
        <f>gescon_infosparticip!BE90</f>
        <v>2146189020</v>
      </c>
      <c r="R91" t="str">
        <f>gescon_infosparticip!BF90</f>
        <v>01060 07-59736-8</v>
      </c>
      <c r="S91" t="str">
        <f>gescon_infosparticip!BG90</f>
        <v>Tétraplégie spastique</v>
      </c>
      <c r="T91" t="str">
        <f>gescon_infosparticip!BH90</f>
        <v>handicap mental, épilepsie (très bien stabilisée, si nécessaire : 10 mg de Midazolam</v>
      </c>
      <c r="U91" t="str">
        <f>gescon_infosparticip!BI90</f>
        <v>Elevé</v>
      </c>
      <c r="V91" t="str">
        <f>gescon_infosparticip!BJ90</f>
        <v/>
      </c>
      <c r="W91" t="str">
        <f>gescon_infosparticip!BK90</f>
        <v>Si il semble avoir des douleurs abdominales : lui donner 1suppo. spasmo Cibalgine 
Bien lui laver  et sécher les mains car a tendance à avoir des dermatoses. Appliquer une crème grasse type Neutrogena</v>
      </c>
      <c r="X91" t="str">
        <f>gescon_infosparticip!BL90</f>
        <v>Il est langé jour et nuit. Il ne va pas à selles spontanément. Il faut lui faire un Clyssie (petit lavement) chaque 3ème jour et le mettre sur la chaise percée. Ainsi il va la selle dans le ¼ d'heure.</v>
      </c>
      <c r="Y91" t="str">
        <f>gescon_infosparticip!BM90</f>
        <v/>
      </c>
    </row>
    <row r="92" spans="2:25" ht="15.75" customHeight="1" x14ac:dyDescent="0.25">
      <c r="B92">
        <f>gescon_infosparticip!A91</f>
        <v>2619</v>
      </c>
      <c r="C92" t="str">
        <f>gescon_infosparticip!AH91</f>
        <v/>
      </c>
      <c r="D92" t="str">
        <f>gescon_infosparticip!AI91</f>
        <v/>
      </c>
      <c r="E92" t="str">
        <f>gescon_infosparticip!AJ91</f>
        <v/>
      </c>
      <c r="F92" t="str">
        <f>gescon_infosparticip!AK91</f>
        <v/>
      </c>
      <c r="G92" t="str">
        <f>gescon_infosparticip!AL91</f>
        <v/>
      </c>
      <c r="H92" t="str">
        <f>gescon_infosparticip!AM91</f>
        <v/>
      </c>
      <c r="I92" t="str">
        <f>gescon_infosparticip!AN91</f>
        <v/>
      </c>
      <c r="J92" t="str">
        <f>gescon_infosparticip!AO91</f>
        <v/>
      </c>
      <c r="K92" t="str">
        <f>gescon_infosparticip!AP91</f>
        <v/>
      </c>
      <c r="L92" t="str">
        <f>gescon_infosparticip!AQ91</f>
        <v/>
      </c>
      <c r="M92">
        <f>gescon_infosparticip!BA91</f>
        <v>0</v>
      </c>
      <c r="N92">
        <f>gescon_infosparticip!BB91</f>
        <v>0</v>
      </c>
      <c r="O92">
        <f>gescon_infosparticip!BC91</f>
        <v>0</v>
      </c>
      <c r="P92">
        <f>gescon_infosparticip!BD91</f>
        <v>0</v>
      </c>
      <c r="Q92">
        <f>gescon_infosparticip!BE91</f>
        <v>0</v>
      </c>
      <c r="R92" t="str">
        <f>gescon_infosparticip!BF91</f>
        <v/>
      </c>
      <c r="S92" t="str">
        <f>gescon_infosparticip!BG91</f>
        <v/>
      </c>
      <c r="T92" t="str">
        <f>gescon_infosparticip!BH91</f>
        <v/>
      </c>
      <c r="U92" t="str">
        <f>gescon_infosparticip!BI91</f>
        <v/>
      </c>
      <c r="V92" t="str">
        <f>gescon_infosparticip!BJ91</f>
        <v/>
      </c>
      <c r="W92" t="str">
        <f>gescon_infosparticip!BK91</f>
        <v/>
      </c>
      <c r="X92" t="str">
        <f>gescon_infosparticip!BL91</f>
        <v/>
      </c>
      <c r="Y92" t="str">
        <f>gescon_infosparticip!BM91</f>
        <v/>
      </c>
    </row>
    <row r="93" spans="2:25" ht="15.75" customHeight="1" x14ac:dyDescent="0.25">
      <c r="B93">
        <f>gescon_infosparticip!A92</f>
        <v>2625</v>
      </c>
      <c r="C93" t="str">
        <f>gescon_infosparticip!AH92</f>
        <v>Raphaël se débrouille seul</v>
      </c>
      <c r="D93" t="str">
        <f>gescon_infosparticip!AI92</f>
        <v>Il mange de tout et a bon appétit</v>
      </c>
      <c r="E93" t="str">
        <f>gescon_infosparticip!AJ92</f>
        <v/>
      </c>
      <c r="F93" t="str">
        <f>gescon_infosparticip!AK92</f>
        <v/>
      </c>
      <c r="G93" t="str">
        <f>gescon_infosparticip!AL92</f>
        <v/>
      </c>
      <c r="H93" t="str">
        <f>gescon_infosparticip!AM92</f>
        <v>Raphaël se débrouille seul</v>
      </c>
      <c r="I93" t="str">
        <f>gescon_infosparticip!AN92</f>
        <v/>
      </c>
      <c r="J93" t="str">
        <f>gescon_infosparticip!AO92</f>
        <v/>
      </c>
      <c r="K93" t="str">
        <f>gescon_infosparticip!AP92</f>
        <v/>
      </c>
      <c r="L93" t="str">
        <f>gescon_infosparticip!AQ92</f>
        <v>alcool</v>
      </c>
      <c r="M93">
        <f>gescon_infosparticip!BA92</f>
        <v>2146189598</v>
      </c>
      <c r="N93">
        <f>gescon_infosparticip!BB92</f>
        <v>0</v>
      </c>
      <c r="O93">
        <f>gescon_infosparticip!BC92</f>
        <v>0</v>
      </c>
      <c r="P93">
        <f>gescon_infosparticip!BD92</f>
        <v>2146189020</v>
      </c>
      <c r="Q93">
        <f>gescon_infosparticip!BE92</f>
        <v>2146189020</v>
      </c>
      <c r="R93" t="str">
        <f>gescon_infosparticip!BF92</f>
        <v>95.05177</v>
      </c>
      <c r="S93" t="str">
        <f>gescon_infosparticip!BG92</f>
        <v>Handicap mental avec des troubles autistiques</v>
      </c>
      <c r="T93" t="str">
        <f>gescon_infosparticip!BH92</f>
        <v>Problème avec le cœur. Eviter le stress et les montées, les grandes marches Il doit marcher doucement car risque de chute de tension et peut devenir pâle. Il doit s'assoir si trop fatigué pour éviter les chutes.</v>
      </c>
      <c r="U93" t="str">
        <f>gescon_infosparticip!BI92</f>
        <v>Moyen</v>
      </c>
      <c r="V93" t="str">
        <f>gescon_infosparticip!BJ92</f>
        <v>aucune</v>
      </c>
      <c r="W93" t="str">
        <f>gescon_infosparticip!BK92</f>
        <v>Lui répéter de bien se brosser les dents. Ne pas laisser se rendre trop souvent aux toilettes ou dans sa chambre. L'aider pour les cheveux. Régler la douche et éviter qu'il mette trop chaud, bien surveiller.</v>
      </c>
      <c r="X93" t="str">
        <f>gescon_infosparticip!BL92</f>
        <v>Raphaël se débrouille seul après les selles le laver à l'eau tiède, bien sécher mettre un peu de poudre Pévaryl</v>
      </c>
      <c r="Y93" t="str">
        <f>gescon_infosparticip!BM92</f>
        <v/>
      </c>
    </row>
    <row r="94" spans="2:25" ht="15.75" customHeight="1" x14ac:dyDescent="0.25">
      <c r="B94">
        <f>gescon_infosparticip!A93</f>
        <v>2642</v>
      </c>
      <c r="C94" t="str">
        <f>gescon_infosparticip!AH93</f>
        <v/>
      </c>
      <c r="D94" t="str">
        <f>gescon_infosparticip!AI93</f>
        <v/>
      </c>
      <c r="E94" t="str">
        <f>gescon_infosparticip!AJ93</f>
        <v/>
      </c>
      <c r="F94" t="str">
        <f>gescon_infosparticip!AK93</f>
        <v/>
      </c>
      <c r="G94" t="str">
        <f>gescon_infosparticip!AL93</f>
        <v/>
      </c>
      <c r="H94" t="str">
        <f>gescon_infosparticip!AM93</f>
        <v/>
      </c>
      <c r="I94" t="str">
        <f>gescon_infosparticip!AN93</f>
        <v/>
      </c>
      <c r="J94" t="str">
        <f>gescon_infosparticip!AO93</f>
        <v/>
      </c>
      <c r="K94" t="str">
        <f>gescon_infosparticip!AP93</f>
        <v/>
      </c>
      <c r="L94" t="str">
        <f>gescon_infosparticip!AQ93</f>
        <v/>
      </c>
      <c r="M94">
        <f>gescon_infosparticip!BA93</f>
        <v>0</v>
      </c>
      <c r="N94">
        <f>gescon_infosparticip!BB93</f>
        <v>0</v>
      </c>
      <c r="O94">
        <f>gescon_infosparticip!BC93</f>
        <v>0</v>
      </c>
      <c r="P94">
        <f>gescon_infosparticip!BD93</f>
        <v>0</v>
      </c>
      <c r="Q94">
        <f>gescon_infosparticip!BE93</f>
        <v>0</v>
      </c>
      <c r="R94" t="str">
        <f>gescon_infosparticip!BF93</f>
        <v/>
      </c>
      <c r="S94" t="str">
        <f>gescon_infosparticip!BG93</f>
        <v/>
      </c>
      <c r="T94" t="str">
        <f>gescon_infosparticip!BH93</f>
        <v/>
      </c>
      <c r="U94" t="str">
        <f>gescon_infosparticip!BI93</f>
        <v/>
      </c>
      <c r="V94" t="str">
        <f>gescon_infosparticip!BJ93</f>
        <v/>
      </c>
      <c r="W94" t="str">
        <f>gescon_infosparticip!BK93</f>
        <v/>
      </c>
      <c r="X94" t="str">
        <f>gescon_infosparticip!BL93</f>
        <v/>
      </c>
      <c r="Y94" t="str">
        <f>gescon_infosparticip!BM93</f>
        <v/>
      </c>
    </row>
    <row r="95" spans="2:25" ht="15.75" customHeight="1" x14ac:dyDescent="0.25">
      <c r="B95">
        <f>gescon_infosparticip!A94</f>
        <v>2643</v>
      </c>
      <c r="C95" t="str">
        <f>gescon_infosparticip!AH94</f>
        <v/>
      </c>
      <c r="D95" t="str">
        <f>gescon_infosparticip!AI94</f>
        <v/>
      </c>
      <c r="E95" t="str">
        <f>gescon_infosparticip!AJ94</f>
        <v/>
      </c>
      <c r="F95" t="str">
        <f>gescon_infosparticip!AK94</f>
        <v/>
      </c>
      <c r="G95" t="str">
        <f>gescon_infosparticip!AL94</f>
        <v/>
      </c>
      <c r="H95" t="str">
        <f>gescon_infosparticip!AM94</f>
        <v/>
      </c>
      <c r="I95" t="str">
        <f>gescon_infosparticip!AN94</f>
        <v/>
      </c>
      <c r="J95" t="str">
        <f>gescon_infosparticip!AO94</f>
        <v/>
      </c>
      <c r="K95" t="str">
        <f>gescon_infosparticip!AP94</f>
        <v/>
      </c>
      <c r="L95" t="str">
        <f>gescon_infosparticip!AQ94</f>
        <v/>
      </c>
      <c r="M95">
        <f>gescon_infosparticip!BA94</f>
        <v>0</v>
      </c>
      <c r="N95">
        <f>gescon_infosparticip!BB94</f>
        <v>0</v>
      </c>
      <c r="O95">
        <f>gescon_infosparticip!BC94</f>
        <v>0</v>
      </c>
      <c r="P95">
        <f>gescon_infosparticip!BD94</f>
        <v>0</v>
      </c>
      <c r="Q95">
        <f>gescon_infosparticip!BE94</f>
        <v>0</v>
      </c>
      <c r="R95" t="str">
        <f>gescon_infosparticip!BF94</f>
        <v/>
      </c>
      <c r="S95" t="str">
        <f>gescon_infosparticip!BG94</f>
        <v/>
      </c>
      <c r="T95" t="str">
        <f>gescon_infosparticip!BH94</f>
        <v/>
      </c>
      <c r="U95" t="str">
        <f>gescon_infosparticip!BI94</f>
        <v/>
      </c>
      <c r="V95" t="str">
        <f>gescon_infosparticip!BJ94</f>
        <v/>
      </c>
      <c r="W95" t="str">
        <f>gescon_infosparticip!BK94</f>
        <v/>
      </c>
      <c r="X95" t="str">
        <f>gescon_infosparticip!BL94</f>
        <v/>
      </c>
      <c r="Y95" t="str">
        <f>gescon_infosparticip!BM94</f>
        <v/>
      </c>
    </row>
    <row r="96" spans="2:25" ht="15.75" customHeight="1" x14ac:dyDescent="0.25">
      <c r="B96">
        <f>gescon_infosparticip!A95</f>
        <v>2653</v>
      </c>
      <c r="C96" t="str">
        <f>gescon_infosparticip!AH95</f>
        <v>Couper  les aliments. Nicole emploie des ustensiles spéciaux (cuillère coudée, rebord d'assiette, verre, paille, disque antidérapant). Elle mange avec la main gauche.</v>
      </c>
      <c r="D96" t="str">
        <f>gescon_infosparticip!AI95</f>
        <v/>
      </c>
      <c r="E96" t="str">
        <f>gescon_infosparticip!AJ95</f>
        <v>1 service - faire attention à la quantité.</v>
      </c>
      <c r="F96" t="str">
        <f>gescon_infosparticip!AK95</f>
        <v>N'aime pas trop les légumes et le poisson.</v>
      </c>
      <c r="G96" t="str">
        <f>gescon_infosparticip!AL95</f>
        <v/>
      </c>
      <c r="H96" t="str">
        <f>gescon_infosparticip!AM95</f>
        <v>Boit dans un verre normal,dans le plot en bois avec une paille normal</v>
      </c>
      <c r="I96" t="str">
        <f>gescon_infosparticip!AN95</f>
        <v/>
      </c>
      <c r="J96" t="str">
        <f>gescon_infosparticip!AO95</f>
        <v/>
      </c>
      <c r="K96" t="str">
        <f>gescon_infosparticip!AP95</f>
        <v/>
      </c>
      <c r="L96" t="str">
        <f>gescon_infosparticip!AQ95</f>
        <v/>
      </c>
      <c r="M96">
        <f>gescon_infosparticip!BA95</f>
        <v>2146189786</v>
      </c>
      <c r="N96">
        <f>gescon_infosparticip!BB95</f>
        <v>0</v>
      </c>
      <c r="O96">
        <f>gescon_infosparticip!BC95</f>
        <v>0</v>
      </c>
      <c r="P96">
        <f>gescon_infosparticip!BD95</f>
        <v>2146189021</v>
      </c>
      <c r="Q96">
        <f>gescon_infosparticip!BE95</f>
        <v>2146189021</v>
      </c>
      <c r="R96" t="str">
        <f>gescon_infosparticip!BF95</f>
        <v>008814</v>
      </c>
      <c r="S96" t="str">
        <f>gescon_infosparticip!BG95</f>
        <v>IMC</v>
      </c>
      <c r="T96" t="str">
        <f>gescon_infosparticip!BH95</f>
        <v>handicap mental, troubles moteurs, côté droit moins mobile Epilepsie</v>
      </c>
      <c r="U96" t="str">
        <f>gescon_infosparticip!BI95</f>
        <v>Elevé</v>
      </c>
      <c r="V96" t="str">
        <f>gescon_infosparticip!BJ95</f>
        <v>protéger du soleil (crème, chapeau)</v>
      </c>
      <c r="W96" t="str">
        <f>gescon_infosparticip!BK95</f>
        <v>Il faut lui faire la douche dans la chaise percée. Aide complète ou une petite toilette au lit.</v>
      </c>
      <c r="X96" t="str">
        <f>gescon_infosparticip!BL95</f>
        <v>Mettre Nicole régulièrement aux toilettes (matin-midi-soir). Elle emploie une chaise percée. Elle a de la peine à aller à selles. 2x par semaine, elle a un suppositoire.Mardi et Vendredi
Lors de sortie qui dure toute la journée, langer Nicole, elle est plus rassurée ainsi et ça évite des surprises. Mettre une protection si rien le matin et pas de possibilité de la mettre à midi.</v>
      </c>
      <c r="Y96" t="str">
        <f>gescon_infosparticip!BM95</f>
        <v/>
      </c>
    </row>
    <row r="97" spans="2:25" ht="15.75" customHeight="1" x14ac:dyDescent="0.25">
      <c r="B97">
        <f>gescon_infosparticip!A96</f>
        <v>2654</v>
      </c>
      <c r="C97" t="str">
        <f>gescon_infosparticip!AH96</f>
        <v/>
      </c>
      <c r="D97" t="str">
        <f>gescon_infosparticip!AI96</f>
        <v/>
      </c>
      <c r="E97" t="str">
        <f>gescon_infosparticip!AJ96</f>
        <v/>
      </c>
      <c r="F97" t="str">
        <f>gescon_infosparticip!AK96</f>
        <v/>
      </c>
      <c r="G97" t="str">
        <f>gescon_infosparticip!AL96</f>
        <v/>
      </c>
      <c r="H97" t="str">
        <f>gescon_infosparticip!AM96</f>
        <v/>
      </c>
      <c r="I97" t="str">
        <f>gescon_infosparticip!AN96</f>
        <v/>
      </c>
      <c r="J97" t="str">
        <f>gescon_infosparticip!AO96</f>
        <v/>
      </c>
      <c r="K97" t="str">
        <f>gescon_infosparticip!AP96</f>
        <v/>
      </c>
      <c r="L97" t="str">
        <f>gescon_infosparticip!AQ96</f>
        <v/>
      </c>
      <c r="M97">
        <f>gescon_infosparticip!BA96</f>
        <v>0</v>
      </c>
      <c r="N97">
        <f>gescon_infosparticip!BB96</f>
        <v>0</v>
      </c>
      <c r="O97">
        <f>gescon_infosparticip!BC96</f>
        <v>0</v>
      </c>
      <c r="P97">
        <f>gescon_infosparticip!BD96</f>
        <v>0</v>
      </c>
      <c r="Q97">
        <f>gescon_infosparticip!BE96</f>
        <v>0</v>
      </c>
      <c r="R97" t="str">
        <f>gescon_infosparticip!BF96</f>
        <v/>
      </c>
      <c r="S97" t="str">
        <f>gescon_infosparticip!BG96</f>
        <v/>
      </c>
      <c r="T97" t="str">
        <f>gescon_infosparticip!BH96</f>
        <v/>
      </c>
      <c r="U97" t="str">
        <f>gescon_infosparticip!BI96</f>
        <v/>
      </c>
      <c r="V97" t="str">
        <f>gescon_infosparticip!BJ96</f>
        <v/>
      </c>
      <c r="W97" t="str">
        <f>gescon_infosparticip!BK96</f>
        <v/>
      </c>
      <c r="X97" t="str">
        <f>gescon_infosparticip!BL96</f>
        <v/>
      </c>
      <c r="Y97" t="str">
        <f>gescon_infosparticip!BM96</f>
        <v/>
      </c>
    </row>
    <row r="98" spans="2:25" ht="15.75" customHeight="1" x14ac:dyDescent="0.25">
      <c r="B98">
        <f>gescon_infosparticip!A97</f>
        <v>2655</v>
      </c>
      <c r="C98" t="str">
        <f>gescon_infosparticip!AH97</f>
        <v>Samuel aime manger les aliments tièdes et pas trop sec. Il peut manger les gâteaux mou et pas trop sec. Lui donner avec une cuillère à soupe et lui faire garder les mains sous la table.Mixer et donner à manger</v>
      </c>
      <c r="D98" t="str">
        <f>gescon_infosparticip!AI97</f>
        <v/>
      </c>
      <c r="E98" t="str">
        <f>gescon_infosparticip!AJ97</f>
        <v>Aliments mixés</v>
      </c>
      <c r="F98" t="str">
        <f>gescon_infosparticip!AK97</f>
        <v/>
      </c>
      <c r="G98" t="str">
        <f>gescon_infosparticip!AL97</f>
        <v/>
      </c>
      <c r="H98" t="str">
        <f>gescon_infosparticip!AM97</f>
        <v>Lui rappeler qu'il doit boire. Il boit avec un gobelet en plastique et une paille solide</v>
      </c>
      <c r="I98" t="str">
        <f>gescon_infosparticip!AN97</f>
        <v/>
      </c>
      <c r="J98" t="str">
        <f>gescon_infosparticip!AO97</f>
        <v/>
      </c>
      <c r="K98" t="str">
        <f>gescon_infosparticip!AP97</f>
        <v>boissons gazeuses et les boisson à base de lait</v>
      </c>
      <c r="L98" t="str">
        <f>gescon_infosparticip!AQ97</f>
        <v/>
      </c>
      <c r="M98">
        <f>gescon_infosparticip!BA97</f>
        <v>107</v>
      </c>
      <c r="N98">
        <f>gescon_infosparticip!BB97</f>
        <v>-749136963</v>
      </c>
      <c r="O98">
        <f>gescon_infosparticip!BC97</f>
        <v>0</v>
      </c>
      <c r="P98">
        <f>gescon_infosparticip!BD97</f>
        <v>2146188969</v>
      </c>
      <c r="Q98">
        <f>gescon_infosparticip!BE97</f>
        <v>2146188974</v>
      </c>
      <c r="R98" t="str">
        <f>gescon_infosparticip!BF97</f>
        <v>057904</v>
      </c>
      <c r="S98" t="str">
        <f>gescon_infosparticip!BG97</f>
        <v>IMC hémiplégie côté droit</v>
      </c>
      <c r="T98" t="str">
        <f>gescon_infosparticip!BH97</f>
        <v>épilepsie stabilisée (foyer épileptique sur la droite du cerveau).</v>
      </c>
      <c r="U98" t="str">
        <f>gescon_infosparticip!BI97</f>
        <v/>
      </c>
      <c r="V98" t="str">
        <f>gescon_infosparticip!BJ97</f>
        <v>protéger Samuel du soleil à cause des risques d’épilepsie. Il prend facilement des coups de soleil (car il a été greffé aux ja,bes et aux pieds). Il est allergique au plastique car il a facilement de l'herpes et risque d'avaler.</v>
      </c>
      <c r="W98" t="str">
        <f>gescon_infosparticip!BK97</f>
        <v>Aide complète. Il apprécie qu’on verbalise ce que l’on fait. Lui laver les dents. Samuel n’aime pas les coups de peigne. Il porte toujours sur lui un cycliste une chemisette et une ceinture (fermée dans le dos pour éviter qu'il l'enlève) à son pantalon la journée.</v>
      </c>
      <c r="X98" t="str">
        <f>gescon_infosparticip!BL97</f>
        <v>Samuel est langé jour et nuit. Il faut lui changer les langes en principe le matin, à midi et le soir. S’il fait des selles, le changer tout de suite car il n’aime pas ça et cherche de déchirer la protection. Il  reste sur les toilettes bien surveiller car il peut manger ses selles et il faut éloigner tout autour de lui.</v>
      </c>
      <c r="Y98" t="str">
        <f>gescon_infosparticip!BM97</f>
        <v/>
      </c>
    </row>
    <row r="99" spans="2:25" ht="15.75" customHeight="1" x14ac:dyDescent="0.25">
      <c r="B99">
        <f>gescon_infosparticip!A98</f>
        <v>2657</v>
      </c>
      <c r="C99" t="str">
        <f>gescon_infosparticip!AH98</f>
        <v/>
      </c>
      <c r="D99" t="str">
        <f>gescon_infosparticip!AI98</f>
        <v/>
      </c>
      <c r="E99" t="str">
        <f>gescon_infosparticip!AJ98</f>
        <v/>
      </c>
      <c r="F99" t="str">
        <f>gescon_infosparticip!AK98</f>
        <v/>
      </c>
      <c r="G99" t="str">
        <f>gescon_infosparticip!AL98</f>
        <v/>
      </c>
      <c r="H99" t="str">
        <f>gescon_infosparticip!AM98</f>
        <v/>
      </c>
      <c r="I99" t="str">
        <f>gescon_infosparticip!AN98</f>
        <v/>
      </c>
      <c r="J99" t="str">
        <f>gescon_infosparticip!AO98</f>
        <v/>
      </c>
      <c r="K99" t="str">
        <f>gescon_infosparticip!AP98</f>
        <v/>
      </c>
      <c r="L99" t="str">
        <f>gescon_infosparticip!AQ98</f>
        <v/>
      </c>
      <c r="M99">
        <f>gescon_infosparticip!BA98</f>
        <v>107</v>
      </c>
      <c r="N99">
        <f>gescon_infosparticip!BB98</f>
        <v>0</v>
      </c>
      <c r="O99">
        <f>gescon_infosparticip!BC98</f>
        <v>0</v>
      </c>
      <c r="P99">
        <f>gescon_infosparticip!BD98</f>
        <v>0</v>
      </c>
      <c r="Q99">
        <f>gescon_infosparticip!BE98</f>
        <v>0</v>
      </c>
      <c r="R99" t="str">
        <f>gescon_infosparticip!BF98</f>
        <v/>
      </c>
      <c r="S99" t="str">
        <f>gescon_infosparticip!BG98</f>
        <v>Leucodistrophie dégénérative</v>
      </c>
      <c r="T99" t="str">
        <f>gescon_infosparticip!BH98</f>
        <v>handicap mental, troubles moteurs</v>
      </c>
      <c r="U99" t="str">
        <f>gescon_infosparticip!BI98</f>
        <v/>
      </c>
      <c r="V99" t="str">
        <f>gescon_infosparticip!BJ98</f>
        <v>A protéger du soleil, en cas de douleur ne supporte que le Dafalgan, il est allergique à l’Aspirin.</v>
      </c>
      <c r="W99" t="str">
        <f>gescon_infosparticip!BK98</f>
        <v/>
      </c>
      <c r="X99" t="str">
        <f>gescon_infosparticip!BL98</f>
        <v/>
      </c>
      <c r="Y99" t="str">
        <f>gescon_infosparticip!BM98</f>
        <v>TROP PETIT???</v>
      </c>
    </row>
    <row r="100" spans="2:25" ht="15.75" customHeight="1" x14ac:dyDescent="0.25">
      <c r="B100">
        <f>gescon_infosparticip!A99</f>
        <v>2659</v>
      </c>
      <c r="C100" t="str">
        <f>gescon_infosparticip!AH99</f>
        <v/>
      </c>
      <c r="D100" t="str">
        <f>gescon_infosparticip!AI99</f>
        <v/>
      </c>
      <c r="E100" t="str">
        <f>gescon_infosparticip!AJ99</f>
        <v/>
      </c>
      <c r="F100" t="str">
        <f>gescon_infosparticip!AK99</f>
        <v/>
      </c>
      <c r="G100" t="str">
        <f>gescon_infosparticip!AL99</f>
        <v/>
      </c>
      <c r="H100" t="str">
        <f>gescon_infosparticip!AM99</f>
        <v/>
      </c>
      <c r="I100" t="str">
        <f>gescon_infosparticip!AN99</f>
        <v/>
      </c>
      <c r="J100" t="str">
        <f>gescon_infosparticip!AO99</f>
        <v/>
      </c>
      <c r="K100" t="str">
        <f>gescon_infosparticip!AP99</f>
        <v/>
      </c>
      <c r="L100" t="str">
        <f>gescon_infosparticip!AQ99</f>
        <v/>
      </c>
      <c r="M100">
        <f>gescon_infosparticip!BA99</f>
        <v>2154</v>
      </c>
      <c r="N100">
        <f>gescon_infosparticip!BB99</f>
        <v>534</v>
      </c>
      <c r="O100">
        <f>gescon_infosparticip!BC99</f>
        <v>0</v>
      </c>
      <c r="P100">
        <f>gescon_infosparticip!BD99</f>
        <v>0</v>
      </c>
      <c r="Q100">
        <f>gescon_infosparticip!BE99</f>
        <v>0</v>
      </c>
      <c r="R100" t="str">
        <f>gescon_infosparticip!BF99</f>
        <v/>
      </c>
      <c r="S100" t="str">
        <f>gescon_infosparticip!BG99</f>
        <v>Polio</v>
      </c>
      <c r="T100" t="str">
        <f>gescon_infosparticip!BH99</f>
        <v/>
      </c>
      <c r="U100" t="str">
        <f>gescon_infosparticip!BI99</f>
        <v/>
      </c>
      <c r="V100" t="str">
        <f>gescon_infosparticip!BJ99</f>
        <v>risque d'otites l'hiver</v>
      </c>
      <c r="W100" t="str">
        <f>gescon_infosparticip!BK99</f>
        <v/>
      </c>
      <c r="X100" t="str">
        <f>gescon_infosparticip!BL99</f>
        <v/>
      </c>
      <c r="Y100" t="str">
        <f>gescon_infosparticip!BM99</f>
        <v/>
      </c>
    </row>
    <row r="101" spans="2:25" ht="15.75" customHeight="1" x14ac:dyDescent="0.25">
      <c r="B101">
        <f>gescon_infosparticip!A100</f>
        <v>2734</v>
      </c>
      <c r="C101" t="str">
        <f>gescon_infosparticip!AH100</f>
        <v/>
      </c>
      <c r="D101" t="str">
        <f>gescon_infosparticip!AI100</f>
        <v/>
      </c>
      <c r="E101" t="str">
        <f>gescon_infosparticip!AJ100</f>
        <v/>
      </c>
      <c r="F101" t="str">
        <f>gescon_infosparticip!AK100</f>
        <v/>
      </c>
      <c r="G101" t="str">
        <f>gescon_infosparticip!AL100</f>
        <v/>
      </c>
      <c r="H101" t="str">
        <f>gescon_infosparticip!AM100</f>
        <v/>
      </c>
      <c r="I101" t="str">
        <f>gescon_infosparticip!AN100</f>
        <v/>
      </c>
      <c r="J101" t="str">
        <f>gescon_infosparticip!AO100</f>
        <v/>
      </c>
      <c r="K101" t="str">
        <f>gescon_infosparticip!AP100</f>
        <v/>
      </c>
      <c r="L101" t="str">
        <f>gescon_infosparticip!AQ100</f>
        <v/>
      </c>
      <c r="M101">
        <f>gescon_infosparticip!BA100</f>
        <v>1379</v>
      </c>
      <c r="N101">
        <f>gescon_infosparticip!BB100</f>
        <v>0</v>
      </c>
      <c r="O101">
        <f>gescon_infosparticip!BC100</f>
        <v>0</v>
      </c>
      <c r="P101">
        <f>gescon_infosparticip!BD100</f>
        <v>1533</v>
      </c>
      <c r="Q101">
        <f>gescon_infosparticip!BE100</f>
        <v>1533</v>
      </c>
      <c r="R101" t="str">
        <f>gescon_infosparticip!BF100</f>
        <v/>
      </c>
      <c r="S101" t="str">
        <f>gescon_infosparticip!BG100</f>
        <v>IMC</v>
      </c>
      <c r="T101" t="str">
        <f>gescon_infosparticip!BH100</f>
        <v/>
      </c>
      <c r="U101" t="str">
        <f>gescon_infosparticip!BI100</f>
        <v/>
      </c>
      <c r="V101" t="str">
        <f>gescon_infosparticip!BJ100</f>
        <v>protéger Kim du soleil (casquette, crème).</v>
      </c>
      <c r="W101" t="str">
        <f>gescon_infosparticip!BK100</f>
        <v/>
      </c>
      <c r="X101" t="str">
        <f>gescon_infosparticip!BL100</f>
        <v/>
      </c>
      <c r="Y101" t="str">
        <f>gescon_infosparticip!BM100</f>
        <v/>
      </c>
    </row>
    <row r="102" spans="2:25" ht="15.75" customHeight="1" x14ac:dyDescent="0.25">
      <c r="B102">
        <f>gescon_infosparticip!A101</f>
        <v>2746</v>
      </c>
      <c r="C102" t="str">
        <f>gescon_infosparticip!AH101</f>
        <v/>
      </c>
      <c r="D102" t="str">
        <f>gescon_infosparticip!AI101</f>
        <v/>
      </c>
      <c r="E102" t="str">
        <f>gescon_infosparticip!AJ101</f>
        <v/>
      </c>
      <c r="F102" t="str">
        <f>gescon_infosparticip!AK101</f>
        <v/>
      </c>
      <c r="G102" t="str">
        <f>gescon_infosparticip!AL101</f>
        <v/>
      </c>
      <c r="H102" t="str">
        <f>gescon_infosparticip!AM101</f>
        <v/>
      </c>
      <c r="I102" t="str">
        <f>gescon_infosparticip!AN101</f>
        <v/>
      </c>
      <c r="J102" t="str">
        <f>gescon_infosparticip!AO101</f>
        <v/>
      </c>
      <c r="K102" t="str">
        <f>gescon_infosparticip!AP101</f>
        <v/>
      </c>
      <c r="L102" t="str">
        <f>gescon_infosparticip!AQ101</f>
        <v/>
      </c>
      <c r="M102">
        <f>gescon_infosparticip!BA101</f>
        <v>107</v>
      </c>
      <c r="N102">
        <f>gescon_infosparticip!BB101</f>
        <v>0</v>
      </c>
      <c r="O102">
        <f>gescon_infosparticip!BC101</f>
        <v>0</v>
      </c>
      <c r="P102">
        <f>gescon_infosparticip!BD101</f>
        <v>1059574031</v>
      </c>
      <c r="Q102">
        <f>gescon_infosparticip!BE101</f>
        <v>1059574031</v>
      </c>
      <c r="R102" t="str">
        <f>gescon_infosparticip!BF101</f>
        <v/>
      </c>
      <c r="S102" t="str">
        <f>gescon_infosparticip!BG101</f>
        <v/>
      </c>
      <c r="T102" t="str">
        <f>gescon_infosparticip!BH101</f>
        <v>handicap mental, troubles moteurs. Maya a une tige de fer dans son dos pour la scoliose.</v>
      </c>
      <c r="U102" t="str">
        <f>gescon_infosparticip!BI101</f>
        <v/>
      </c>
      <c r="V102" t="str">
        <f>gescon_infosparticip!BJ101</f>
        <v>A protéger du soleil, casquette et crème solaire.</v>
      </c>
      <c r="W102" t="str">
        <f>gescon_infosparticip!BK101</f>
        <v/>
      </c>
      <c r="X102" t="str">
        <f>gescon_infosparticip!BL101</f>
        <v/>
      </c>
      <c r="Y102" t="str">
        <f>gescon_infosparticip!BM101</f>
        <v/>
      </c>
    </row>
    <row r="103" spans="2:25" ht="15.75" customHeight="1" x14ac:dyDescent="0.25">
      <c r="B103">
        <f>gescon_infosparticip!A102</f>
        <v>2762</v>
      </c>
      <c r="C103" t="str">
        <f>gescon_infosparticip!AH102</f>
        <v/>
      </c>
      <c r="D103" t="str">
        <f>gescon_infosparticip!AI102</f>
        <v/>
      </c>
      <c r="E103" t="str">
        <f>gescon_infosparticip!AJ102</f>
        <v/>
      </c>
      <c r="F103" t="str">
        <f>gescon_infosparticip!AK102</f>
        <v/>
      </c>
      <c r="G103" t="str">
        <f>gescon_infosparticip!AL102</f>
        <v/>
      </c>
      <c r="H103" t="str">
        <f>gescon_infosparticip!AM102</f>
        <v/>
      </c>
      <c r="I103" t="str">
        <f>gescon_infosparticip!AN102</f>
        <v/>
      </c>
      <c r="J103" t="str">
        <f>gescon_infosparticip!AO102</f>
        <v/>
      </c>
      <c r="K103" t="str">
        <f>gescon_infosparticip!AP102</f>
        <v/>
      </c>
      <c r="L103" t="str">
        <f>gescon_infosparticip!AQ102</f>
        <v/>
      </c>
      <c r="M103">
        <f>gescon_infosparticip!BA102</f>
        <v>107</v>
      </c>
      <c r="N103">
        <f>gescon_infosparticip!BB102</f>
        <v>1246</v>
      </c>
      <c r="O103">
        <f>gescon_infosparticip!BC102</f>
        <v>0</v>
      </c>
      <c r="P103">
        <f>gescon_infosparticip!BD102</f>
        <v>0</v>
      </c>
      <c r="Q103">
        <f>gescon_infosparticip!BE102</f>
        <v>0</v>
      </c>
      <c r="R103" t="str">
        <f>gescon_infosparticip!BF102</f>
        <v/>
      </c>
      <c r="S103" t="str">
        <f>gescon_infosparticip!BG102</f>
        <v>IMC</v>
      </c>
      <c r="T103" t="str">
        <f>gescon_infosparticip!BH102</f>
        <v>handicap mentas, épilepsie, parfois absences, malentendant (il a un appareil auditif)</v>
      </c>
      <c r="U103" t="str">
        <f>gescon_infosparticip!BI102</f>
        <v/>
      </c>
      <c r="V103" t="str">
        <f>gescon_infosparticip!BJ102</f>
        <v>aucune</v>
      </c>
      <c r="W103" t="str">
        <f>gescon_infosparticip!BK102</f>
        <v/>
      </c>
      <c r="X103" t="str">
        <f>gescon_infosparticip!BL102</f>
        <v/>
      </c>
      <c r="Y103" t="str">
        <f>gescon_infosparticip!BM102</f>
        <v/>
      </c>
    </row>
    <row r="104" spans="2:25" ht="15.75" customHeight="1" x14ac:dyDescent="0.25">
      <c r="B104">
        <f>gescon_infosparticip!A103</f>
        <v>2811</v>
      </c>
      <c r="C104" t="str">
        <f>gescon_infosparticip!AH103</f>
        <v/>
      </c>
      <c r="D104" t="str">
        <f>gescon_infosparticip!AI103</f>
        <v/>
      </c>
      <c r="E104" t="str">
        <f>gescon_infosparticip!AJ103</f>
        <v/>
      </c>
      <c r="F104" t="str">
        <f>gescon_infosparticip!AK103</f>
        <v/>
      </c>
      <c r="G104" t="str">
        <f>gescon_infosparticip!AL103</f>
        <v/>
      </c>
      <c r="H104" t="str">
        <f>gescon_infosparticip!AM103</f>
        <v/>
      </c>
      <c r="I104" t="str">
        <f>gescon_infosparticip!AN103</f>
        <v/>
      </c>
      <c r="J104" t="str">
        <f>gescon_infosparticip!AO103</f>
        <v/>
      </c>
      <c r="K104" t="str">
        <f>gescon_infosparticip!AP103</f>
        <v/>
      </c>
      <c r="L104" t="str">
        <f>gescon_infosparticip!AQ103</f>
        <v/>
      </c>
      <c r="M104">
        <f>gescon_infosparticip!BA103</f>
        <v>0</v>
      </c>
      <c r="N104">
        <f>gescon_infosparticip!BB103</f>
        <v>0</v>
      </c>
      <c r="O104">
        <f>gescon_infosparticip!BC103</f>
        <v>0</v>
      </c>
      <c r="P104">
        <f>gescon_infosparticip!BD103</f>
        <v>0</v>
      </c>
      <c r="Q104">
        <f>gescon_infosparticip!BE103</f>
        <v>0</v>
      </c>
      <c r="R104" t="str">
        <f>gescon_infosparticip!BF103</f>
        <v/>
      </c>
      <c r="S104" t="str">
        <f>gescon_infosparticip!BG103</f>
        <v>IMC</v>
      </c>
      <c r="T104" t="str">
        <f>gescon_infosparticip!BH103</f>
        <v>handicap mental, épilepsie, troubles moteurs</v>
      </c>
      <c r="U104" t="str">
        <f>gescon_infosparticip!BI103</f>
        <v/>
      </c>
      <c r="V104" t="str">
        <f>gescon_infosparticip!BJ103</f>
        <v>Protéger Tiago du soleil (casquette, crème)</v>
      </c>
      <c r="W104" t="str">
        <f>gescon_infosparticip!BK103</f>
        <v/>
      </c>
      <c r="X104" t="str">
        <f>gescon_infosparticip!BL103</f>
        <v/>
      </c>
      <c r="Y104" t="str">
        <f>gescon_infosparticip!BM103</f>
        <v/>
      </c>
    </row>
    <row r="105" spans="2:25" ht="15.75" customHeight="1" x14ac:dyDescent="0.25">
      <c r="B105">
        <f>gescon_infosparticip!A104</f>
        <v>2846</v>
      </c>
      <c r="C105" t="str">
        <f>gescon_infosparticip!AH104</f>
        <v/>
      </c>
      <c r="D105" t="str">
        <f>gescon_infosparticip!AI104</f>
        <v/>
      </c>
      <c r="E105" t="str">
        <f>gescon_infosparticip!AJ104</f>
        <v/>
      </c>
      <c r="F105" t="str">
        <f>gescon_infosparticip!AK104</f>
        <v/>
      </c>
      <c r="G105" t="str">
        <f>gescon_infosparticip!AL104</f>
        <v/>
      </c>
      <c r="H105" t="str">
        <f>gescon_infosparticip!AM104</f>
        <v/>
      </c>
      <c r="I105" t="str">
        <f>gescon_infosparticip!AN104</f>
        <v/>
      </c>
      <c r="J105" t="str">
        <f>gescon_infosparticip!AO104</f>
        <v/>
      </c>
      <c r="K105" t="str">
        <f>gescon_infosparticip!AP104</f>
        <v/>
      </c>
      <c r="L105" t="str">
        <f>gescon_infosparticip!AQ104</f>
        <v/>
      </c>
      <c r="M105">
        <f>gescon_infosparticip!BA104</f>
        <v>107</v>
      </c>
      <c r="N105">
        <f>gescon_infosparticip!BB104</f>
        <v>0</v>
      </c>
      <c r="O105">
        <f>gescon_infosparticip!BC104</f>
        <v>0</v>
      </c>
      <c r="P105">
        <f>gescon_infosparticip!BD104</f>
        <v>0</v>
      </c>
      <c r="Q105">
        <f>gescon_infosparticip!BE104</f>
        <v>0</v>
      </c>
      <c r="R105" t="str">
        <f>gescon_infosparticip!BF104</f>
        <v/>
      </c>
      <c r="S105" t="str">
        <f>gescon_infosparticip!BG104</f>
        <v>IMC, hémiplégie côté gauche</v>
      </c>
      <c r="T105" t="str">
        <f>gescon_infosparticip!BH104</f>
        <v>léger handicap mental</v>
      </c>
      <c r="U105" t="str">
        <f>gescon_infosparticip!BI104</f>
        <v/>
      </c>
      <c r="V105" t="str">
        <f>gescon_infosparticip!BJ104</f>
        <v>Allergie médicamenteuse: antibiotique eusoprim bactrim</v>
      </c>
      <c r="W105" t="str">
        <f>gescon_infosparticip!BK104</f>
        <v/>
      </c>
      <c r="X105" t="str">
        <f>gescon_infosparticip!BL104</f>
        <v/>
      </c>
      <c r="Y105" t="str">
        <f>gescon_infosparticip!BM104</f>
        <v/>
      </c>
    </row>
    <row r="106" spans="2:25" ht="15.75" customHeight="1" x14ac:dyDescent="0.25">
      <c r="B106">
        <f>gescon_infosparticip!A105</f>
        <v>50038399</v>
      </c>
      <c r="C106" t="str">
        <f>gescon_infosparticip!AH105</f>
        <v/>
      </c>
      <c r="D106" t="str">
        <f>gescon_infosparticip!AI105</f>
        <v/>
      </c>
      <c r="E106" t="str">
        <f>gescon_infosparticip!AJ105</f>
        <v/>
      </c>
      <c r="F106" t="str">
        <f>gescon_infosparticip!AK105</f>
        <v/>
      </c>
      <c r="G106" t="str">
        <f>gescon_infosparticip!AL105</f>
        <v/>
      </c>
      <c r="H106" t="str">
        <f>gescon_infosparticip!AM105</f>
        <v/>
      </c>
      <c r="I106" t="str">
        <f>gescon_infosparticip!AN105</f>
        <v/>
      </c>
      <c r="J106" t="str">
        <f>gescon_infosparticip!AO105</f>
        <v/>
      </c>
      <c r="K106" t="str">
        <f>gescon_infosparticip!AP105</f>
        <v/>
      </c>
      <c r="L106" t="str">
        <f>gescon_infosparticip!AQ105</f>
        <v/>
      </c>
      <c r="M106">
        <f>gescon_infosparticip!BA105</f>
        <v>0</v>
      </c>
      <c r="N106">
        <f>gescon_infosparticip!BB105</f>
        <v>0</v>
      </c>
      <c r="O106">
        <f>gescon_infosparticip!BC105</f>
        <v>0</v>
      </c>
      <c r="P106">
        <f>gescon_infosparticip!BD105</f>
        <v>0</v>
      </c>
      <c r="Q106">
        <f>gescon_infosparticip!BE105</f>
        <v>0</v>
      </c>
      <c r="R106" t="str">
        <f>gescon_infosparticip!BF105</f>
        <v/>
      </c>
      <c r="S106" t="str">
        <f>gescon_infosparticip!BG105</f>
        <v>handicap mental</v>
      </c>
      <c r="T106" t="str">
        <f>gescon_infosparticip!BH105</f>
        <v/>
      </c>
      <c r="U106" t="str">
        <f>gescon_infosparticip!BI105</f>
        <v/>
      </c>
      <c r="V106" t="str">
        <f>gescon_infosparticip!BJ105</f>
        <v/>
      </c>
      <c r="W106" t="str">
        <f>gescon_infosparticip!BK105</f>
        <v/>
      </c>
      <c r="X106" t="str">
        <f>gescon_infosparticip!BL105</f>
        <v/>
      </c>
      <c r="Y106" t="str">
        <f>gescon_infosparticip!BM105</f>
        <v/>
      </c>
    </row>
    <row r="107" spans="2:25" ht="15.75" customHeight="1" x14ac:dyDescent="0.25">
      <c r="B107">
        <f>gescon_infosparticip!A106</f>
        <v>55168688</v>
      </c>
      <c r="C107" t="str">
        <f>gescon_infosparticip!AH106</f>
        <v/>
      </c>
      <c r="D107" t="str">
        <f>gescon_infosparticip!AI106</f>
        <v/>
      </c>
      <c r="E107" t="str">
        <f>gescon_infosparticip!AJ106</f>
        <v/>
      </c>
      <c r="F107" t="str">
        <f>gescon_infosparticip!AK106</f>
        <v/>
      </c>
      <c r="G107" t="str">
        <f>gescon_infosparticip!AL106</f>
        <v/>
      </c>
      <c r="H107" t="str">
        <f>gescon_infosparticip!AM106</f>
        <v/>
      </c>
      <c r="I107" t="str">
        <f>gescon_infosparticip!AN106</f>
        <v/>
      </c>
      <c r="J107" t="str">
        <f>gescon_infosparticip!AO106</f>
        <v/>
      </c>
      <c r="K107" t="str">
        <f>gescon_infosparticip!AP106</f>
        <v/>
      </c>
      <c r="L107" t="str">
        <f>gescon_infosparticip!AQ106</f>
        <v/>
      </c>
      <c r="M107">
        <f>gescon_infosparticip!BA106</f>
        <v>0</v>
      </c>
      <c r="N107">
        <f>gescon_infosparticip!BB106</f>
        <v>0</v>
      </c>
      <c r="O107">
        <f>gescon_infosparticip!BC106</f>
        <v>0</v>
      </c>
      <c r="P107">
        <f>gescon_infosparticip!BD106</f>
        <v>0</v>
      </c>
      <c r="Q107">
        <f>gescon_infosparticip!BE106</f>
        <v>0</v>
      </c>
      <c r="R107" t="str">
        <f>gescon_infosparticip!BF106</f>
        <v/>
      </c>
      <c r="S107" t="str">
        <f>gescon_infosparticip!BG106</f>
        <v/>
      </c>
      <c r="T107" t="str">
        <f>gescon_infosparticip!BH106</f>
        <v/>
      </c>
      <c r="U107" t="str">
        <f>gescon_infosparticip!BI106</f>
        <v/>
      </c>
      <c r="V107" t="str">
        <f>gescon_infosparticip!BJ106</f>
        <v/>
      </c>
      <c r="W107" t="str">
        <f>gescon_infosparticip!BK106</f>
        <v/>
      </c>
      <c r="X107" t="str">
        <f>gescon_infosparticip!BL106</f>
        <v/>
      </c>
      <c r="Y107" t="str">
        <f>gescon_infosparticip!BM106</f>
        <v/>
      </c>
    </row>
    <row r="108" spans="2:25" ht="15.75" customHeight="1" x14ac:dyDescent="0.25">
      <c r="B108">
        <f>gescon_infosparticip!A107</f>
        <v>187714814</v>
      </c>
      <c r="C108" t="str">
        <f>gescon_infosparticip!AH107</f>
        <v/>
      </c>
      <c r="D108" t="str">
        <f>gescon_infosparticip!AI107</f>
        <v/>
      </c>
      <c r="E108" t="str">
        <f>gescon_infosparticip!AJ107</f>
        <v/>
      </c>
      <c r="F108" t="str">
        <f>gescon_infosparticip!AK107</f>
        <v/>
      </c>
      <c r="G108" t="str">
        <f>gescon_infosparticip!AL107</f>
        <v/>
      </c>
      <c r="H108" t="str">
        <f>gescon_infosparticip!AM107</f>
        <v/>
      </c>
      <c r="I108" t="str">
        <f>gescon_infosparticip!AN107</f>
        <v/>
      </c>
      <c r="J108" t="str">
        <f>gescon_infosparticip!AO107</f>
        <v/>
      </c>
      <c r="K108" t="str">
        <f>gescon_infosparticip!AP107</f>
        <v/>
      </c>
      <c r="L108" t="str">
        <f>gescon_infosparticip!AQ107</f>
        <v/>
      </c>
      <c r="M108">
        <f>gescon_infosparticip!BA107</f>
        <v>-1729217284</v>
      </c>
      <c r="N108">
        <f>gescon_infosparticip!BB107</f>
        <v>0</v>
      </c>
      <c r="O108">
        <f>gescon_infosparticip!BC107</f>
        <v>0</v>
      </c>
      <c r="P108">
        <f>gescon_infosparticip!BD107</f>
        <v>0</v>
      </c>
      <c r="Q108">
        <f>gescon_infosparticip!BE107</f>
        <v>0</v>
      </c>
      <c r="R108" t="str">
        <f>gescon_infosparticip!BF107</f>
        <v/>
      </c>
      <c r="S108" t="str">
        <f>gescon_infosparticip!BG107</f>
        <v/>
      </c>
      <c r="T108" t="str">
        <f>gescon_infosparticip!BH107</f>
        <v/>
      </c>
      <c r="U108" t="str">
        <f>gescon_infosparticip!BI107</f>
        <v/>
      </c>
      <c r="V108" t="str">
        <f>gescon_infosparticip!BJ107</f>
        <v/>
      </c>
      <c r="W108" t="str">
        <f>gescon_infosparticip!BK107</f>
        <v/>
      </c>
      <c r="X108" t="str">
        <f>gescon_infosparticip!BL107</f>
        <v/>
      </c>
      <c r="Y108" t="str">
        <f>gescon_infosparticip!BM107</f>
        <v/>
      </c>
    </row>
    <row r="109" spans="2:25" ht="15.75" customHeight="1" x14ac:dyDescent="0.25">
      <c r="B109">
        <f>gescon_infosparticip!A108</f>
        <v>207468492</v>
      </c>
      <c r="C109" t="str">
        <f>gescon_infosparticip!AH108</f>
        <v>################</v>
      </c>
      <c r="D109" t="str">
        <f>gescon_infosparticip!AI108</f>
        <v>poulet, viande rouge, purée, frites</v>
      </c>
      <c r="E109" t="str">
        <f>gescon_infosparticip!AJ108</f>
        <v/>
      </c>
      <c r="F109" t="str">
        <f>gescon_infosparticip!AK108</f>
        <v>fromage dur et choux de Bruxelle, Fraise</v>
      </c>
      <c r="G109" t="str">
        <f>gescon_infosparticip!AL108</f>
        <v/>
      </c>
      <c r="H109" t="str">
        <f>gescon_infosparticip!AM108</f>
        <v>Café au lait avec du sucre. Il aime bien boire 1 malibu ananas ou une suze limonade de temps en temps</v>
      </c>
      <c r="I109" t="str">
        <f>gescon_infosparticip!AN108</f>
        <v>bière limonade</v>
      </c>
      <c r="J109" t="str">
        <f>gescon_infosparticip!AO108</f>
        <v/>
      </c>
      <c r="K109" t="str">
        <f>gescon_infosparticip!AP108</f>
        <v/>
      </c>
      <c r="L109" t="str">
        <f>gescon_infosparticip!AQ108</f>
        <v/>
      </c>
      <c r="M109">
        <f>gescon_infosparticip!BA108</f>
        <v>2146189977</v>
      </c>
      <c r="N109">
        <f>gescon_infosparticip!BB108</f>
        <v>0</v>
      </c>
      <c r="O109">
        <f>gescon_infosparticip!BC108</f>
        <v>0</v>
      </c>
      <c r="P109">
        <f>gescon_infosparticip!BD108</f>
        <v>2146188976</v>
      </c>
      <c r="Q109">
        <f>gescon_infosparticip!BE108</f>
        <v>2146188976</v>
      </c>
      <c r="R109" t="str">
        <f>gescon_infosparticip!BF108</f>
        <v>8075 60 000 80 01 86 62 200 0008</v>
      </c>
      <c r="S109" t="str">
        <f>gescon_infosparticip!BG108</f>
        <v>IMC</v>
      </c>
      <c r="T109" t="str">
        <f>gescon_infosparticip!BH108</f>
        <v/>
      </c>
      <c r="U109" t="str">
        <f>gescon_infosparticip!BI108</f>
        <v/>
      </c>
      <c r="V109" t="str">
        <f>gescon_infosparticip!BJ108</f>
        <v/>
      </c>
      <c r="W109" t="str">
        <f>gescon_infosparticip!BK108</f>
        <v>aide totale</v>
      </c>
      <c r="X109" t="str">
        <f>gescon_infosparticip!BL108</f>
        <v>################</v>
      </c>
      <c r="Y109" t="str">
        <f>gescon_infosparticip!BM108</f>
        <v/>
      </c>
    </row>
    <row r="110" spans="2:25" ht="15.75" customHeight="1" x14ac:dyDescent="0.25">
      <c r="B110">
        <f>gescon_infosparticip!A109</f>
        <v>243437724</v>
      </c>
      <c r="C110" t="str">
        <f>gescon_infosparticip!AH109</f>
        <v/>
      </c>
      <c r="D110" t="str">
        <f>gescon_infosparticip!AI109</f>
        <v/>
      </c>
      <c r="E110" t="str">
        <f>gescon_infosparticip!AJ109</f>
        <v/>
      </c>
      <c r="F110" t="str">
        <f>gescon_infosparticip!AK109</f>
        <v/>
      </c>
      <c r="G110" t="str">
        <f>gescon_infosparticip!AL109</f>
        <v/>
      </c>
      <c r="H110" t="str">
        <f>gescon_infosparticip!AM109</f>
        <v/>
      </c>
      <c r="I110" t="str">
        <f>gescon_infosparticip!AN109</f>
        <v/>
      </c>
      <c r="J110" t="str">
        <f>gescon_infosparticip!AO109</f>
        <v/>
      </c>
      <c r="K110" t="str">
        <f>gescon_infosparticip!AP109</f>
        <v/>
      </c>
      <c r="L110" t="str">
        <f>gescon_infosparticip!AQ109</f>
        <v/>
      </c>
      <c r="M110">
        <f>gescon_infosparticip!BA109</f>
        <v>0</v>
      </c>
      <c r="N110">
        <f>gescon_infosparticip!BB109</f>
        <v>0</v>
      </c>
      <c r="O110">
        <f>gescon_infosparticip!BC109</f>
        <v>0</v>
      </c>
      <c r="P110">
        <f>gescon_infosparticip!BD109</f>
        <v>0</v>
      </c>
      <c r="Q110">
        <f>gescon_infosparticip!BE109</f>
        <v>0</v>
      </c>
      <c r="R110" t="str">
        <f>gescon_infosparticip!BF109</f>
        <v/>
      </c>
      <c r="S110" t="str">
        <f>gescon_infosparticip!BG109</f>
        <v/>
      </c>
      <c r="T110" t="str">
        <f>gescon_infosparticip!BH109</f>
        <v/>
      </c>
      <c r="U110" t="str">
        <f>gescon_infosparticip!BI109</f>
        <v/>
      </c>
      <c r="V110" t="str">
        <f>gescon_infosparticip!BJ109</f>
        <v/>
      </c>
      <c r="W110" t="str">
        <f>gescon_infosparticip!BK109</f>
        <v/>
      </c>
      <c r="X110" t="str">
        <f>gescon_infosparticip!BL109</f>
        <v/>
      </c>
      <c r="Y110" t="str">
        <f>gescon_infosparticip!BM109</f>
        <v/>
      </c>
    </row>
    <row r="111" spans="2:25" ht="15.75" customHeight="1" x14ac:dyDescent="0.25">
      <c r="B111">
        <f>gescon_infosparticip!A110</f>
        <v>396742077</v>
      </c>
      <c r="C111" t="str">
        <f>gescon_infosparticip!AH110</f>
        <v/>
      </c>
      <c r="D111" t="str">
        <f>gescon_infosparticip!AI110</f>
        <v/>
      </c>
      <c r="E111" t="str">
        <f>gescon_infosparticip!AJ110</f>
        <v/>
      </c>
      <c r="F111" t="str">
        <f>gescon_infosparticip!AK110</f>
        <v/>
      </c>
      <c r="G111" t="str">
        <f>gescon_infosparticip!AL110</f>
        <v/>
      </c>
      <c r="H111" t="str">
        <f>gescon_infosparticip!AM110</f>
        <v/>
      </c>
      <c r="I111" t="str">
        <f>gescon_infosparticip!AN110</f>
        <v/>
      </c>
      <c r="J111" t="str">
        <f>gescon_infosparticip!AO110</f>
        <v/>
      </c>
      <c r="K111" t="str">
        <f>gescon_infosparticip!AP110</f>
        <v/>
      </c>
      <c r="L111" t="str">
        <f>gescon_infosparticip!AQ110</f>
        <v/>
      </c>
      <c r="M111">
        <f>gescon_infosparticip!BA110</f>
        <v>0</v>
      </c>
      <c r="N111">
        <f>gescon_infosparticip!BB110</f>
        <v>0</v>
      </c>
      <c r="O111">
        <f>gescon_infosparticip!BC110</f>
        <v>0</v>
      </c>
      <c r="P111">
        <f>gescon_infosparticip!BD110</f>
        <v>0</v>
      </c>
      <c r="Q111">
        <f>gescon_infosparticip!BE110</f>
        <v>0</v>
      </c>
      <c r="R111" t="str">
        <f>gescon_infosparticip!BF110</f>
        <v/>
      </c>
      <c r="S111" t="str">
        <f>gescon_infosparticip!BG110</f>
        <v/>
      </c>
      <c r="T111" t="str">
        <f>gescon_infosparticip!BH110</f>
        <v/>
      </c>
      <c r="U111" t="str">
        <f>gescon_infosparticip!BI110</f>
        <v/>
      </c>
      <c r="V111" t="str">
        <f>gescon_infosparticip!BJ110</f>
        <v/>
      </c>
      <c r="W111" t="str">
        <f>gescon_infosparticip!BK110</f>
        <v/>
      </c>
      <c r="X111" t="str">
        <f>gescon_infosparticip!BL110</f>
        <v/>
      </c>
      <c r="Y111" t="str">
        <f>gescon_infosparticip!BM110</f>
        <v/>
      </c>
    </row>
    <row r="112" spans="2:25" ht="15.75" customHeight="1" x14ac:dyDescent="0.25">
      <c r="B112">
        <f>gescon_infosparticip!A111</f>
        <v>644630123</v>
      </c>
      <c r="C112" t="str">
        <f>gescon_infosparticip!AH111</f>
        <v/>
      </c>
      <c r="D112" t="str">
        <f>gescon_infosparticip!AI111</f>
        <v/>
      </c>
      <c r="E112" t="str">
        <f>gescon_infosparticip!AJ111</f>
        <v/>
      </c>
      <c r="F112" t="str">
        <f>gescon_infosparticip!AK111</f>
        <v/>
      </c>
      <c r="G112" t="str">
        <f>gescon_infosparticip!AL111</f>
        <v/>
      </c>
      <c r="H112" t="str">
        <f>gescon_infosparticip!AM111</f>
        <v/>
      </c>
      <c r="I112" t="str">
        <f>gescon_infosparticip!AN111</f>
        <v/>
      </c>
      <c r="J112" t="str">
        <f>gescon_infosparticip!AO111</f>
        <v/>
      </c>
      <c r="K112" t="str">
        <f>gescon_infosparticip!AP111</f>
        <v/>
      </c>
      <c r="L112" t="str">
        <f>gescon_infosparticip!AQ111</f>
        <v/>
      </c>
      <c r="M112">
        <f>gescon_infosparticip!BA111</f>
        <v>1544346540</v>
      </c>
      <c r="N112">
        <f>gescon_infosparticip!BB111</f>
        <v>0</v>
      </c>
      <c r="O112">
        <f>gescon_infosparticip!BC111</f>
        <v>0</v>
      </c>
      <c r="P112">
        <f>gescon_infosparticip!BD111</f>
        <v>0</v>
      </c>
      <c r="Q112">
        <f>gescon_infosparticip!BE111</f>
        <v>0</v>
      </c>
      <c r="R112" t="str">
        <f>gescon_infosparticip!BF111</f>
        <v/>
      </c>
      <c r="S112" t="str">
        <f>gescon_infosparticip!BG111</f>
        <v>séquelles polio</v>
      </c>
      <c r="T112" t="str">
        <f>gescon_infosparticip!BH111</f>
        <v>hyperactivité</v>
      </c>
      <c r="U112" t="str">
        <f>gescon_infosparticip!BI111</f>
        <v/>
      </c>
      <c r="V112" t="str">
        <f>gescon_infosparticip!BJ111</f>
        <v/>
      </c>
      <c r="W112" t="str">
        <f>gescon_infosparticip!BK111</f>
        <v/>
      </c>
      <c r="X112" t="str">
        <f>gescon_infosparticip!BL111</f>
        <v/>
      </c>
      <c r="Y112" t="str">
        <f>gescon_infosparticip!BM111</f>
        <v/>
      </c>
    </row>
    <row r="113" spans="2:25" ht="15.75" customHeight="1" x14ac:dyDescent="0.25">
      <c r="B113">
        <f>gescon_infosparticip!A112</f>
        <v>674040117</v>
      </c>
      <c r="C113" t="str">
        <f>gescon_infosparticip!AH112</f>
        <v>autonome, Les sucreries avec modération</v>
      </c>
      <c r="D113" t="str">
        <f>gescon_infosparticip!AI112</f>
        <v>les sucreries</v>
      </c>
      <c r="E113" t="str">
        <f>gescon_infosparticip!AJ112</f>
        <v/>
      </c>
      <c r="F113" t="str">
        <f>gescon_infosparticip!AK112</f>
        <v/>
      </c>
      <c r="G113" t="str">
        <f>gescon_infosparticip!AL112</f>
        <v/>
      </c>
      <c r="H113" t="str">
        <f>gescon_infosparticip!AM112</f>
        <v>autonome sans exagération</v>
      </c>
      <c r="I113" t="str">
        <f>gescon_infosparticip!AN112</f>
        <v>thé, coca-cola</v>
      </c>
      <c r="J113" t="str">
        <f>gescon_infosparticip!AO112</f>
        <v/>
      </c>
      <c r="K113" t="str">
        <f>gescon_infosparticip!AP112</f>
        <v/>
      </c>
      <c r="L113" t="str">
        <f>gescon_infosparticip!AQ112</f>
        <v>l'alcool</v>
      </c>
      <c r="M113">
        <f>gescon_infosparticip!BA112</f>
        <v>2146189729</v>
      </c>
      <c r="N113">
        <f>gescon_infosparticip!BB112</f>
        <v>2146189739</v>
      </c>
      <c r="O113">
        <f>gescon_infosparticip!BC112</f>
        <v>2146189740</v>
      </c>
      <c r="P113">
        <f>gescon_infosparticip!BD112</f>
        <v>2146189029</v>
      </c>
      <c r="Q113">
        <f>gescon_infosparticip!BE112</f>
        <v>2146189029</v>
      </c>
      <c r="R113" t="str">
        <f>gescon_infosparticip!BF112</f>
        <v>756.1208.7008.86</v>
      </c>
      <c r="S113" t="str">
        <f>gescon_infosparticip!BG112</f>
        <v>Syndrome de Tar (bras plus court)</v>
      </c>
      <c r="T113" t="str">
        <f>gescon_infosparticip!BH112</f>
        <v>épilepsie, attaque de panique et angoisses peuvent la faire chuter (bandeau de protection)</v>
      </c>
      <c r="U113" t="str">
        <f>gescon_infosparticip!BI112</f>
        <v>Moyen</v>
      </c>
      <c r="V113" t="str">
        <f>gescon_infosparticip!BJ112</f>
        <v>Ne doit pas toucher le LATEX (choc anaphilatique)</v>
      </c>
      <c r="W113" t="str">
        <f>gescon_infosparticip!BK112</f>
        <v>elle est autonome</v>
      </c>
      <c r="X113" t="str">
        <f>gescon_infosparticip!BL112</f>
        <v>elle demandera de l'aide si besoin, dépend de la fonctionalité des locaux sinon elle est autonome.</v>
      </c>
      <c r="Y113" t="str">
        <f>gescon_infosparticip!BM112</f>
        <v/>
      </c>
    </row>
    <row r="114" spans="2:25" ht="15.75" customHeight="1" x14ac:dyDescent="0.25">
      <c r="B114">
        <f>gescon_infosparticip!A113</f>
        <v>674820052</v>
      </c>
      <c r="C114" t="str">
        <f>gescon_infosparticip!AH113</f>
        <v/>
      </c>
      <c r="D114" t="str">
        <f>gescon_infosparticip!AI113</f>
        <v/>
      </c>
      <c r="E114" t="str">
        <f>gescon_infosparticip!AJ113</f>
        <v/>
      </c>
      <c r="F114" t="str">
        <f>gescon_infosparticip!AK113</f>
        <v/>
      </c>
      <c r="G114" t="str">
        <f>gescon_infosparticip!AL113</f>
        <v/>
      </c>
      <c r="H114" t="str">
        <f>gescon_infosparticip!AM113</f>
        <v/>
      </c>
      <c r="I114" t="str">
        <f>gescon_infosparticip!AN113</f>
        <v/>
      </c>
      <c r="J114" t="str">
        <f>gescon_infosparticip!AO113</f>
        <v/>
      </c>
      <c r="K114" t="str">
        <f>gescon_infosparticip!AP113</f>
        <v/>
      </c>
      <c r="L114" t="str">
        <f>gescon_infosparticip!AQ113</f>
        <v/>
      </c>
      <c r="M114">
        <f>gescon_infosparticip!BA113</f>
        <v>0</v>
      </c>
      <c r="N114">
        <f>gescon_infosparticip!BB113</f>
        <v>0</v>
      </c>
      <c r="O114">
        <f>gescon_infosparticip!BC113</f>
        <v>0</v>
      </c>
      <c r="P114">
        <f>gescon_infosparticip!BD113</f>
        <v>0</v>
      </c>
      <c r="Q114">
        <f>gescon_infosparticip!BE113</f>
        <v>0</v>
      </c>
      <c r="R114" t="str">
        <f>gescon_infosparticip!BF113</f>
        <v/>
      </c>
      <c r="S114" t="str">
        <f>gescon_infosparticip!BG113</f>
        <v/>
      </c>
      <c r="T114" t="str">
        <f>gescon_infosparticip!BH113</f>
        <v/>
      </c>
      <c r="U114" t="str">
        <f>gescon_infosparticip!BI113</f>
        <v/>
      </c>
      <c r="V114" t="str">
        <f>gescon_infosparticip!BJ113</f>
        <v/>
      </c>
      <c r="W114" t="str">
        <f>gescon_infosparticip!BK113</f>
        <v/>
      </c>
      <c r="X114" t="str">
        <f>gescon_infosparticip!BL113</f>
        <v/>
      </c>
      <c r="Y114" t="str">
        <f>gescon_infosparticip!BM113</f>
        <v/>
      </c>
    </row>
    <row r="115" spans="2:25" ht="15.75" customHeight="1" x14ac:dyDescent="0.25">
      <c r="B115">
        <f>gescon_infosparticip!A114</f>
        <v>788283754</v>
      </c>
      <c r="C115" t="str">
        <f>gescon_infosparticip!AH114</f>
        <v/>
      </c>
      <c r="D115" t="str">
        <f>gescon_infosparticip!AI114</f>
        <v/>
      </c>
      <c r="E115" t="str">
        <f>gescon_infosparticip!AJ114</f>
        <v/>
      </c>
      <c r="F115" t="str">
        <f>gescon_infosparticip!AK114</f>
        <v/>
      </c>
      <c r="G115" t="str">
        <f>gescon_infosparticip!AL114</f>
        <v/>
      </c>
      <c r="H115" t="str">
        <f>gescon_infosparticip!AM114</f>
        <v/>
      </c>
      <c r="I115" t="str">
        <f>gescon_infosparticip!AN114</f>
        <v/>
      </c>
      <c r="J115" t="str">
        <f>gescon_infosparticip!AO114</f>
        <v/>
      </c>
      <c r="K115" t="str">
        <f>gescon_infosparticip!AP114</f>
        <v/>
      </c>
      <c r="L115" t="str">
        <f>gescon_infosparticip!AQ114</f>
        <v/>
      </c>
      <c r="M115">
        <f>gescon_infosparticip!BA114</f>
        <v>107</v>
      </c>
      <c r="N115">
        <f>gescon_infosparticip!BB114</f>
        <v>0</v>
      </c>
      <c r="O115">
        <f>gescon_infosparticip!BC114</f>
        <v>0</v>
      </c>
      <c r="P115">
        <f>gescon_infosparticip!BD114</f>
        <v>0</v>
      </c>
      <c r="Q115">
        <f>gescon_infosparticip!BE114</f>
        <v>0</v>
      </c>
      <c r="R115" t="str">
        <f>gescon_infosparticip!BF114</f>
        <v/>
      </c>
      <c r="S115" t="str">
        <f>gescon_infosparticip!BG114</f>
        <v>IMC</v>
      </c>
      <c r="T115" t="str">
        <f>gescon_infosparticip!BH114</f>
        <v>handicap mental, troubles moteurs</v>
      </c>
      <c r="U115" t="str">
        <f>gescon_infosparticip!BI114</f>
        <v/>
      </c>
      <c r="V115" t="str">
        <f>gescon_infosparticip!BJ114</f>
        <v>A protéger du soleil. Eventuellement médicament contre le rhume des foins.</v>
      </c>
      <c r="W115" t="str">
        <f>gescon_infosparticip!BK114</f>
        <v/>
      </c>
      <c r="X115" t="str">
        <f>gescon_infosparticip!BL114</f>
        <v/>
      </c>
      <c r="Y115" t="str">
        <f>gescon_infosparticip!BM114</f>
        <v/>
      </c>
    </row>
    <row r="116" spans="2:25" ht="15.75" customHeight="1" x14ac:dyDescent="0.25">
      <c r="B116">
        <f>gescon_infosparticip!A115</f>
        <v>982284145</v>
      </c>
      <c r="C116" t="str">
        <f>gescon_infosparticip!AH115</f>
        <v>Il mange mixé mais pour ce qui est mou, lui donner par petits bouts. Il mange à l'aide d'une cuillère. Il mange assez bien mais cela demande du temps, il faut le stimuler en appuyant sur la lèvre suppérieure. Il grince parfois des dents, sa langue reste collée au palais.</v>
      </c>
      <c r="D116" t="str">
        <f>gescon_infosparticip!AI115</f>
        <v>Boissons sucrées</v>
      </c>
      <c r="E116" t="str">
        <f>gescon_infosparticip!AJ115</f>
        <v/>
      </c>
      <c r="F116" t="str">
        <f>gescon_infosparticip!AK115</f>
        <v>Alimentation trop chaude</v>
      </c>
      <c r="G116" t="str">
        <f>gescon_infosparticip!AL115</f>
        <v/>
      </c>
      <c r="H116" t="str">
        <f>gescon_infosparticip!AM115</f>
        <v>Il boit du jus de fruit : ananas, sirops, gazeux et aussi du thé sucré pas trop chaud avec un gobelet coupé. Cela demande du temps. Même s'il a de la peine à boire il faut insister. (IMPORTANT POUR L'HYDRATATION)</v>
      </c>
      <c r="I116" t="str">
        <f>gescon_infosparticip!AN115</f>
        <v/>
      </c>
      <c r="J116" t="str">
        <f>gescon_infosparticip!AO115</f>
        <v/>
      </c>
      <c r="K116" t="str">
        <f>gescon_infosparticip!AP115</f>
        <v/>
      </c>
      <c r="L116" t="str">
        <f>gescon_infosparticip!AQ115</f>
        <v/>
      </c>
      <c r="M116">
        <f>gescon_infosparticip!BA115</f>
        <v>107</v>
      </c>
      <c r="N116">
        <f>gescon_infosparticip!BB115</f>
        <v>0</v>
      </c>
      <c r="O116">
        <f>gescon_infosparticip!BC115</f>
        <v>0</v>
      </c>
      <c r="P116">
        <f>gescon_infosparticip!BD115</f>
        <v>2146188985</v>
      </c>
      <c r="Q116">
        <f>gescon_infosparticip!BE115</f>
        <v>2146188985</v>
      </c>
      <c r="R116" t="str">
        <f>gescon_infosparticip!BF115</f>
        <v>181.98.389</v>
      </c>
      <c r="S116" t="str">
        <f>gescon_infosparticip!BG115</f>
        <v>IMC</v>
      </c>
      <c r="T116" t="str">
        <f>gescon_infosparticip!BH115</f>
        <v>Traits autistiques, retard mental et épilepsie. Lorsqu'il fait une crise, il a tendance à se crisper pendant 1 à 2 minutes. Dès qu'il a fini il se met assis.Faire attention lors de la crise qu'il ne se fasse pas mal sinon le mettre par terre</v>
      </c>
      <c r="U116" t="str">
        <f>gescon_infosparticip!BI115</f>
        <v>Elevé</v>
      </c>
      <c r="V116" t="str">
        <f>gescon_infosparticip!BJ115</f>
        <v>Tendance à avoir des aphtes. Bien observer</v>
      </c>
      <c r="W116" t="str">
        <f>gescon_infosparticip!BK115</f>
        <v>Douche : Assis et attaché sur la chaise percée, il aime l'eau chaude. Il a besoin d'une aide complète.</v>
      </c>
      <c r="X116" t="str">
        <f>gescon_infosparticip!BL115</f>
        <v>Il est langé coucher et non debout car ses genoux lâchent et en permanence avec des protections mauves et une languette. Souvent, il n'urine pas la nuit, contrôler sa protection le matin car il risque d'être mouillé ainsi que sa chaise.</v>
      </c>
      <c r="Y116" t="str">
        <f>gescon_infosparticip!BM115</f>
        <v/>
      </c>
    </row>
    <row r="117" spans="2:25" ht="15.75" customHeight="1" x14ac:dyDescent="0.25">
      <c r="B117">
        <f>gescon_infosparticip!A116</f>
        <v>1005056097</v>
      </c>
      <c r="C117" t="str">
        <f>gescon_infosparticip!AH116</f>
        <v/>
      </c>
      <c r="D117" t="str">
        <f>gescon_infosparticip!AI116</f>
        <v/>
      </c>
      <c r="E117" t="str">
        <f>gescon_infosparticip!AJ116</f>
        <v/>
      </c>
      <c r="F117" t="str">
        <f>gescon_infosparticip!AK116</f>
        <v/>
      </c>
      <c r="G117" t="str">
        <f>gescon_infosparticip!AL116</f>
        <v/>
      </c>
      <c r="H117" t="str">
        <f>gescon_infosparticip!AM116</f>
        <v/>
      </c>
      <c r="I117" t="str">
        <f>gescon_infosparticip!AN116</f>
        <v/>
      </c>
      <c r="J117" t="str">
        <f>gescon_infosparticip!AO116</f>
        <v/>
      </c>
      <c r="K117" t="str">
        <f>gescon_infosparticip!AP116</f>
        <v/>
      </c>
      <c r="L117" t="str">
        <f>gescon_infosparticip!AQ116</f>
        <v/>
      </c>
      <c r="M117">
        <f>gescon_infosparticip!BA116</f>
        <v>39</v>
      </c>
      <c r="N117">
        <f>gescon_infosparticip!BB116</f>
        <v>0</v>
      </c>
      <c r="O117">
        <f>gescon_infosparticip!BC116</f>
        <v>0</v>
      </c>
      <c r="P117">
        <f>gescon_infosparticip!BD116</f>
        <v>1238</v>
      </c>
      <c r="Q117">
        <f>gescon_infosparticip!BE116</f>
        <v>1238</v>
      </c>
      <c r="R117" t="str">
        <f>gescon_infosparticip!BF116</f>
        <v/>
      </c>
      <c r="S117" t="str">
        <f>gescon_infosparticip!BG116</f>
        <v>IMC</v>
      </c>
      <c r="T117" t="str">
        <f>gescon_infosparticip!BH116</f>
        <v>Handicap mental, malvoyant</v>
      </c>
      <c r="U117" t="str">
        <f>gescon_infosparticip!BI116</f>
        <v/>
      </c>
      <c r="V117" t="str">
        <f>gescon_infosparticip!BJ116</f>
        <v>protéger du soleil (crème et chapeau).</v>
      </c>
      <c r="W117" t="str">
        <f>gescon_infosparticip!BK116</f>
        <v/>
      </c>
      <c r="X117" t="str">
        <f>gescon_infosparticip!BL116</f>
        <v/>
      </c>
      <c r="Y117" t="str">
        <f>gescon_infosparticip!BM116</f>
        <v/>
      </c>
    </row>
    <row r="118" spans="2:25" ht="15.75" customHeight="1" x14ac:dyDescent="0.25">
      <c r="B118">
        <f>gescon_infosparticip!A117</f>
        <v>1014636521</v>
      </c>
      <c r="C118" t="str">
        <f>gescon_infosparticip!AH117</f>
        <v>Aider à couper, couper fin, mixer la viande</v>
      </c>
      <c r="D118" t="str">
        <f>gescon_infosparticip!AI117</f>
        <v/>
      </c>
      <c r="E118" t="str">
        <f>gescon_infosparticip!AJ117</f>
        <v/>
      </c>
      <c r="F118" t="str">
        <f>gescon_infosparticip!AK117</f>
        <v/>
      </c>
      <c r="G118" t="str">
        <f>gescon_infosparticip!AL117</f>
        <v>Kiwi</v>
      </c>
      <c r="H118" t="str">
        <f>gescon_infosparticip!AM117</f>
        <v/>
      </c>
      <c r="I118" t="str">
        <f>gescon_infosparticip!AN117</f>
        <v/>
      </c>
      <c r="J118" t="str">
        <f>gescon_infosparticip!AO117</f>
        <v/>
      </c>
      <c r="K118" t="str">
        <f>gescon_infosparticip!AP117</f>
        <v/>
      </c>
      <c r="L118" t="str">
        <f>gescon_infosparticip!AQ117</f>
        <v/>
      </c>
      <c r="M118">
        <f>gescon_infosparticip!BA117</f>
        <v>2146188988</v>
      </c>
      <c r="N118">
        <f>gescon_infosparticip!BB117</f>
        <v>107</v>
      </c>
      <c r="O118">
        <f>gescon_infosparticip!BC117</f>
        <v>0</v>
      </c>
      <c r="P118">
        <f>gescon_infosparticip!BD117</f>
        <v>2146188984</v>
      </c>
      <c r="Q118">
        <f>gescon_infosparticip!BE117</f>
        <v>2146188984</v>
      </c>
      <c r="R118" t="str">
        <f>gescon_infosparticip!BF117</f>
        <v>200 556 36</v>
      </c>
      <c r="S118" t="str">
        <f>gescon_infosparticip!BG117</f>
        <v>IMC</v>
      </c>
      <c r="T118" t="str">
        <f>gescon_infosparticip!BH117</f>
        <v>épilepsie, troubles moteurs., supports plantaires, il porte des lunettes (légèrement myope), fait parfois des absences</v>
      </c>
      <c r="U118" t="str">
        <f>gescon_infosparticip!BI117</f>
        <v>Moyen</v>
      </c>
      <c r="V118" t="str">
        <f>gescon_infosparticip!BJ117</f>
        <v>protéger Antonio du soleil (chapeau, crème), allergie au kiwi.</v>
      </c>
      <c r="W118" t="str">
        <f>gescon_infosparticip!BK117</f>
        <v>douche ou bain</v>
      </c>
      <c r="X118" t="str">
        <f>gescon_infosparticip!BL117</f>
        <v>Antonio est langé jour et nuit. Il a besoin d'aide pour aller aux toilettes.</v>
      </c>
      <c r="Y118" t="str">
        <f>gescon_infosparticip!BM117</f>
        <v/>
      </c>
    </row>
    <row r="119" spans="2:25" ht="15.75" customHeight="1" x14ac:dyDescent="0.25">
      <c r="B119">
        <f>gescon_infosparticip!A118</f>
        <v>1026306511</v>
      </c>
      <c r="C119" t="str">
        <f>gescon_infosparticip!AH118</f>
        <v/>
      </c>
      <c r="D119" t="str">
        <f>gescon_infosparticip!AI118</f>
        <v/>
      </c>
      <c r="E119" t="str">
        <f>gescon_infosparticip!AJ118</f>
        <v/>
      </c>
      <c r="F119" t="str">
        <f>gescon_infosparticip!AK118</f>
        <v/>
      </c>
      <c r="G119" t="str">
        <f>gescon_infosparticip!AL118</f>
        <v/>
      </c>
      <c r="H119" t="str">
        <f>gescon_infosparticip!AM118</f>
        <v/>
      </c>
      <c r="I119" t="str">
        <f>gescon_infosparticip!AN118</f>
        <v/>
      </c>
      <c r="J119" t="str">
        <f>gescon_infosparticip!AO118</f>
        <v/>
      </c>
      <c r="K119" t="str">
        <f>gescon_infosparticip!AP118</f>
        <v/>
      </c>
      <c r="L119" t="str">
        <f>gescon_infosparticip!AQ118</f>
        <v/>
      </c>
      <c r="M119">
        <f>gescon_infosparticip!BA118</f>
        <v>0</v>
      </c>
      <c r="N119">
        <f>gescon_infosparticip!BB118</f>
        <v>0</v>
      </c>
      <c r="O119">
        <f>gescon_infosparticip!BC118</f>
        <v>0</v>
      </c>
      <c r="P119">
        <f>gescon_infosparticip!BD118</f>
        <v>0</v>
      </c>
      <c r="Q119">
        <f>gescon_infosparticip!BE118</f>
        <v>0</v>
      </c>
      <c r="R119" t="str">
        <f>gescon_infosparticip!BF118</f>
        <v/>
      </c>
      <c r="S119" t="str">
        <f>gescon_infosparticip!BG118</f>
        <v/>
      </c>
      <c r="T119" t="str">
        <f>gescon_infosparticip!BH118</f>
        <v/>
      </c>
      <c r="U119" t="str">
        <f>gescon_infosparticip!BI118</f>
        <v/>
      </c>
      <c r="V119" t="str">
        <f>gescon_infosparticip!BJ118</f>
        <v/>
      </c>
      <c r="W119" t="str">
        <f>gescon_infosparticip!BK118</f>
        <v/>
      </c>
      <c r="X119" t="str">
        <f>gescon_infosparticip!BL118</f>
        <v/>
      </c>
      <c r="Y119" t="str">
        <f>gescon_infosparticip!BM118</f>
        <v/>
      </c>
    </row>
    <row r="120" spans="2:25" ht="15.75" customHeight="1" x14ac:dyDescent="0.25">
      <c r="B120">
        <f>gescon_infosparticip!A119</f>
        <v>1031232110</v>
      </c>
      <c r="C120" t="str">
        <f>gescon_infosparticip!AH119</f>
        <v/>
      </c>
      <c r="D120" t="str">
        <f>gescon_infosparticip!AI119</f>
        <v/>
      </c>
      <c r="E120" t="str">
        <f>gescon_infosparticip!AJ119</f>
        <v/>
      </c>
      <c r="F120" t="str">
        <f>gescon_infosparticip!AK119</f>
        <v/>
      </c>
      <c r="G120" t="str">
        <f>gescon_infosparticip!AL119</f>
        <v/>
      </c>
      <c r="H120" t="str">
        <f>gescon_infosparticip!AM119</f>
        <v/>
      </c>
      <c r="I120" t="str">
        <f>gescon_infosparticip!AN119</f>
        <v/>
      </c>
      <c r="J120" t="str">
        <f>gescon_infosparticip!AO119</f>
        <v/>
      </c>
      <c r="K120" t="str">
        <f>gescon_infosparticip!AP119</f>
        <v/>
      </c>
      <c r="L120" t="str">
        <f>gescon_infosparticip!AQ119</f>
        <v/>
      </c>
      <c r="M120">
        <f>gescon_infosparticip!BA119</f>
        <v>0</v>
      </c>
      <c r="N120">
        <f>gescon_infosparticip!BB119</f>
        <v>0</v>
      </c>
      <c r="O120">
        <f>gescon_infosparticip!BC119</f>
        <v>0</v>
      </c>
      <c r="P120">
        <f>gescon_infosparticip!BD119</f>
        <v>0</v>
      </c>
      <c r="Q120">
        <f>gescon_infosparticip!BE119</f>
        <v>0</v>
      </c>
      <c r="R120" t="str">
        <f>gescon_infosparticip!BF119</f>
        <v/>
      </c>
      <c r="S120" t="str">
        <f>gescon_infosparticip!BG119</f>
        <v/>
      </c>
      <c r="T120" t="str">
        <f>gescon_infosparticip!BH119</f>
        <v/>
      </c>
      <c r="U120" t="str">
        <f>gescon_infosparticip!BI119</f>
        <v/>
      </c>
      <c r="V120" t="str">
        <f>gescon_infosparticip!BJ119</f>
        <v/>
      </c>
      <c r="W120" t="str">
        <f>gescon_infosparticip!BK119</f>
        <v/>
      </c>
      <c r="X120" t="str">
        <f>gescon_infosparticip!BL119</f>
        <v/>
      </c>
      <c r="Y120" t="str">
        <f>gescon_infosparticip!BM119</f>
        <v/>
      </c>
    </row>
    <row r="121" spans="2:25" ht="15.75" customHeight="1" x14ac:dyDescent="0.25">
      <c r="B121">
        <f>gescon_infosparticip!A120</f>
        <v>1034322144</v>
      </c>
      <c r="C121" t="str">
        <f>gescon_infosparticip!AH120</f>
        <v/>
      </c>
      <c r="D121" t="str">
        <f>gescon_infosparticip!AI120</f>
        <v/>
      </c>
      <c r="E121" t="str">
        <f>gescon_infosparticip!AJ120</f>
        <v/>
      </c>
      <c r="F121" t="str">
        <f>gescon_infosparticip!AK120</f>
        <v/>
      </c>
      <c r="G121" t="str">
        <f>gescon_infosparticip!AL120</f>
        <v/>
      </c>
      <c r="H121" t="str">
        <f>gescon_infosparticip!AM120</f>
        <v/>
      </c>
      <c r="I121" t="str">
        <f>gescon_infosparticip!AN120</f>
        <v/>
      </c>
      <c r="J121" t="str">
        <f>gescon_infosparticip!AO120</f>
        <v/>
      </c>
      <c r="K121" t="str">
        <f>gescon_infosparticip!AP120</f>
        <v/>
      </c>
      <c r="L121" t="str">
        <f>gescon_infosparticip!AQ120</f>
        <v/>
      </c>
      <c r="M121">
        <f>gescon_infosparticip!BA120</f>
        <v>0</v>
      </c>
      <c r="N121">
        <f>gescon_infosparticip!BB120</f>
        <v>0</v>
      </c>
      <c r="O121">
        <f>gescon_infosparticip!BC120</f>
        <v>0</v>
      </c>
      <c r="P121">
        <f>gescon_infosparticip!BD120</f>
        <v>0</v>
      </c>
      <c r="Q121">
        <f>gescon_infosparticip!BE120</f>
        <v>0</v>
      </c>
      <c r="R121" t="str">
        <f>gescon_infosparticip!BF120</f>
        <v/>
      </c>
      <c r="S121" t="str">
        <f>gescon_infosparticip!BG120</f>
        <v/>
      </c>
      <c r="T121" t="str">
        <f>gescon_infosparticip!BH120</f>
        <v/>
      </c>
      <c r="U121" t="str">
        <f>gescon_infosparticip!BI120</f>
        <v/>
      </c>
      <c r="V121" t="str">
        <f>gescon_infosparticip!BJ120</f>
        <v/>
      </c>
      <c r="W121" t="str">
        <f>gescon_infosparticip!BK120</f>
        <v/>
      </c>
      <c r="X121" t="str">
        <f>gescon_infosparticip!BL120</f>
        <v/>
      </c>
      <c r="Y121" t="str">
        <f>gescon_infosparticip!BM120</f>
        <v/>
      </c>
    </row>
    <row r="122" spans="2:25" ht="15.75" customHeight="1" x14ac:dyDescent="0.25">
      <c r="B122">
        <f>gescon_infosparticip!A121</f>
        <v>1035988716</v>
      </c>
      <c r="C122" t="str">
        <f>gescon_infosparticip!AH121</f>
        <v>Il faut lui couper les aliments. Il arrive à mettre en bouche ce qui tient bien dans la fourchette. Ce qui est liquide (soupe), il faut mieux le lui donner.</v>
      </c>
      <c r="D122" t="str">
        <f>gescon_infosparticip!AI121</f>
        <v/>
      </c>
      <c r="E122" t="str">
        <f>gescon_infosparticip!AJ121</f>
        <v/>
      </c>
      <c r="F122" t="str">
        <f>gescon_infosparticip!AK121</f>
        <v/>
      </c>
      <c r="G122" t="str">
        <f>gescon_infosparticip!AL121</f>
        <v/>
      </c>
      <c r="H122" t="str">
        <f>gescon_infosparticip!AM121</f>
        <v>Alain boit avec une paille</v>
      </c>
      <c r="I122" t="str">
        <f>gescon_infosparticip!AN121</f>
        <v/>
      </c>
      <c r="J122" t="str">
        <f>gescon_infosparticip!AO121</f>
        <v/>
      </c>
      <c r="K122" t="str">
        <f>gescon_infosparticip!AP121</f>
        <v/>
      </c>
      <c r="L122" t="str">
        <f>gescon_infosparticip!AQ121</f>
        <v/>
      </c>
      <c r="M122">
        <f>gescon_infosparticip!BA121</f>
        <v>2146189027</v>
      </c>
      <c r="N122">
        <f>gescon_infosparticip!BB121</f>
        <v>0</v>
      </c>
      <c r="O122">
        <f>gescon_infosparticip!BC121</f>
        <v>0</v>
      </c>
      <c r="P122">
        <f>gescon_infosparticip!BD121</f>
        <v>2146188974</v>
      </c>
      <c r="Q122">
        <f>gescon_infosparticip!BE121</f>
        <v>2146188974</v>
      </c>
      <c r="R122" t="str">
        <f>gescon_infosparticip!BF121</f>
        <v>00 36 935</v>
      </c>
      <c r="S122" t="str">
        <f>gescon_infosparticip!BG121</f>
        <v>IMC</v>
      </c>
      <c r="T122" t="str">
        <f>gescon_infosparticip!BH121</f>
        <v>handicap mental, troubles moteurs</v>
      </c>
      <c r="U122" t="str">
        <f>gescon_infosparticip!BI121</f>
        <v>Elevé</v>
      </c>
      <c r="V122" t="str">
        <f>gescon_infosparticip!BJ121</f>
        <v>protéger Alain du soleil (casquette, crème)</v>
      </c>
      <c r="W122" t="str">
        <f>gescon_infosparticip!BK121</f>
        <v>Alain a besoin d'une aide totale.</v>
      </c>
      <c r="X122" t="str">
        <f>gescon_infosparticip!BL121</f>
        <v>Alain va à selle 2x par semaine, sans médicament. Il demande clairement et il reste assis seul sur les toilettes. Bouteille urinale au lit : matin et soir.</v>
      </c>
      <c r="Y122" t="str">
        <f>gescon_infosparticip!BM121</f>
        <v/>
      </c>
    </row>
    <row r="123" spans="2:25" ht="15.75" customHeight="1" x14ac:dyDescent="0.25">
      <c r="B123">
        <f>gescon_infosparticip!A122</f>
        <v>1041958732</v>
      </c>
      <c r="C123" t="str">
        <f>gescon_infosparticip!AH122</f>
        <v/>
      </c>
      <c r="D123" t="str">
        <f>gescon_infosparticip!AI122</f>
        <v/>
      </c>
      <c r="E123" t="str">
        <f>gescon_infosparticip!AJ122</f>
        <v/>
      </c>
      <c r="F123" t="str">
        <f>gescon_infosparticip!AK122</f>
        <v/>
      </c>
      <c r="G123" t="str">
        <f>gescon_infosparticip!AL122</f>
        <v/>
      </c>
      <c r="H123" t="str">
        <f>gescon_infosparticip!AM122</f>
        <v/>
      </c>
      <c r="I123" t="str">
        <f>gescon_infosparticip!AN122</f>
        <v/>
      </c>
      <c r="J123" t="str">
        <f>gescon_infosparticip!AO122</f>
        <v/>
      </c>
      <c r="K123" t="str">
        <f>gescon_infosparticip!AP122</f>
        <v/>
      </c>
      <c r="L123" t="str">
        <f>gescon_infosparticip!AQ122</f>
        <v/>
      </c>
      <c r="M123">
        <f>gescon_infosparticip!BA122</f>
        <v>835</v>
      </c>
      <c r="N123">
        <f>gescon_infosparticip!BB122</f>
        <v>0</v>
      </c>
      <c r="O123">
        <f>gescon_infosparticip!BC122</f>
        <v>0</v>
      </c>
      <c r="P123">
        <f>gescon_infosparticip!BD122</f>
        <v>0</v>
      </c>
      <c r="Q123">
        <f>gescon_infosparticip!BE122</f>
        <v>0</v>
      </c>
      <c r="R123" t="str">
        <f>gescon_infosparticip!BF122</f>
        <v/>
      </c>
      <c r="S123" t="str">
        <f>gescon_infosparticip!BG122</f>
        <v>IMC léger, hémiparésie</v>
      </c>
      <c r="T123" t="str">
        <f>gescon_infosparticip!BH122</f>
        <v>côté droit : hémiplégie, épilepsie nocturne. Eviter de la mettre au lit trop fatiguée. Pas trop longtemps devant la télé</v>
      </c>
      <c r="U123" t="str">
        <f>gescon_infosparticip!BI122</f>
        <v/>
      </c>
      <c r="V123" t="str">
        <f>gescon_infosparticip!BJ122</f>
        <v>Cytomégalovirus / porteuse. Attention, si elle est au contact avec des personnes enceintes ! 
Rubéole encore détectée dans le sang.</v>
      </c>
      <c r="W123" t="str">
        <f>gescon_infosparticip!BK122</f>
        <v/>
      </c>
      <c r="X123" t="str">
        <f>gescon_infosparticip!BL122</f>
        <v/>
      </c>
      <c r="Y123" t="str">
        <f>gescon_infosparticip!BM122</f>
        <v/>
      </c>
    </row>
    <row r="124" spans="2:25" ht="15.75" customHeight="1" x14ac:dyDescent="0.25">
      <c r="B124">
        <f>gescon_infosparticip!A123</f>
        <v>1045738360</v>
      </c>
      <c r="C124" t="str">
        <f>gescon_infosparticip!AH123</f>
        <v/>
      </c>
      <c r="D124" t="str">
        <f>gescon_infosparticip!AI123</f>
        <v/>
      </c>
      <c r="E124" t="str">
        <f>gescon_infosparticip!AJ123</f>
        <v/>
      </c>
      <c r="F124" t="str">
        <f>gescon_infosparticip!AK123</f>
        <v/>
      </c>
      <c r="G124" t="str">
        <f>gescon_infosparticip!AL123</f>
        <v/>
      </c>
      <c r="H124" t="str">
        <f>gescon_infosparticip!AM123</f>
        <v/>
      </c>
      <c r="I124" t="str">
        <f>gescon_infosparticip!AN123</f>
        <v/>
      </c>
      <c r="J124" t="str">
        <f>gescon_infosparticip!AO123</f>
        <v/>
      </c>
      <c r="K124" t="str">
        <f>gescon_infosparticip!AP123</f>
        <v/>
      </c>
      <c r="L124" t="str">
        <f>gescon_infosparticip!AQ123</f>
        <v/>
      </c>
      <c r="M124">
        <f>gescon_infosparticip!BA123</f>
        <v>107</v>
      </c>
      <c r="N124">
        <f>gescon_infosparticip!BB123</f>
        <v>0</v>
      </c>
      <c r="O124">
        <f>gescon_infosparticip!BC123</f>
        <v>0</v>
      </c>
      <c r="P124">
        <f>gescon_infosparticip!BD123</f>
        <v>0</v>
      </c>
      <c r="Q124">
        <f>gescon_infosparticip!BE123</f>
        <v>0</v>
      </c>
      <c r="R124" t="str">
        <f>gescon_infosparticip!BF123</f>
        <v/>
      </c>
      <c r="S124" t="str">
        <f>gescon_infosparticip!BG123</f>
        <v>IMC de type spastique</v>
      </c>
      <c r="T124" t="str">
        <f>gescon_infosparticip!BH123</f>
        <v>handicap mental, malvoyante, troubles moteurs et de l'épilepsie</v>
      </c>
      <c r="U124" t="str">
        <f>gescon_infosparticip!BI123</f>
        <v/>
      </c>
      <c r="V124" t="str">
        <f>gescon_infosparticip!BJ123</f>
        <v>A protéger du soleil</v>
      </c>
      <c r="W124" t="str">
        <f>gescon_infosparticip!BK123</f>
        <v/>
      </c>
      <c r="X124" t="str">
        <f>gescon_infosparticip!BL123</f>
        <v/>
      </c>
      <c r="Y124" t="str">
        <f>gescon_infosparticip!BM123</f>
        <v/>
      </c>
    </row>
    <row r="125" spans="2:25" ht="15.75" customHeight="1" x14ac:dyDescent="0.25">
      <c r="B125">
        <f>gescon_infosparticip!A124</f>
        <v>1061796863</v>
      </c>
      <c r="C125" t="str">
        <f>gescon_infosparticip!AH124</f>
        <v/>
      </c>
      <c r="D125" t="str">
        <f>gescon_infosparticip!AI124</f>
        <v/>
      </c>
      <c r="E125" t="str">
        <f>gescon_infosparticip!AJ124</f>
        <v/>
      </c>
      <c r="F125" t="str">
        <f>gescon_infosparticip!AK124</f>
        <v/>
      </c>
      <c r="G125" t="str">
        <f>gescon_infosparticip!AL124</f>
        <v/>
      </c>
      <c r="H125" t="str">
        <f>gescon_infosparticip!AM124</f>
        <v/>
      </c>
      <c r="I125" t="str">
        <f>gescon_infosparticip!AN124</f>
        <v/>
      </c>
      <c r="J125" t="str">
        <f>gescon_infosparticip!AO124</f>
        <v/>
      </c>
      <c r="K125" t="str">
        <f>gescon_infosparticip!AP124</f>
        <v/>
      </c>
      <c r="L125" t="str">
        <f>gescon_infosparticip!AQ124</f>
        <v/>
      </c>
      <c r="M125">
        <f>gescon_infosparticip!BA124</f>
        <v>835</v>
      </c>
      <c r="N125">
        <f>gescon_infosparticip!BB124</f>
        <v>0</v>
      </c>
      <c r="O125">
        <f>gescon_infosparticip!BC124</f>
        <v>0</v>
      </c>
      <c r="P125">
        <f>gescon_infosparticip!BD124</f>
        <v>0</v>
      </c>
      <c r="Q125">
        <f>gescon_infosparticip!BE124</f>
        <v>0</v>
      </c>
      <c r="R125" t="str">
        <f>gescon_infosparticip!BF124</f>
        <v/>
      </c>
      <c r="S125" t="str">
        <f>gescon_infosparticip!BG124</f>
        <v>Polio</v>
      </c>
      <c r="T125" t="str">
        <f>gescon_infosparticip!BH124</f>
        <v>problème de déplacement si il y a des barrières architecturales.</v>
      </c>
      <c r="U125" t="str">
        <f>gescon_infosparticip!BI124</f>
        <v/>
      </c>
      <c r="V125" t="str">
        <f>gescon_infosparticip!BJ124</f>
        <v/>
      </c>
      <c r="W125" t="str">
        <f>gescon_infosparticip!BK124</f>
        <v/>
      </c>
      <c r="X125" t="str">
        <f>gescon_infosparticip!BL124</f>
        <v/>
      </c>
      <c r="Y125" t="str">
        <f>gescon_infosparticip!BM124</f>
        <v/>
      </c>
    </row>
    <row r="126" spans="2:25" ht="15.75" customHeight="1" x14ac:dyDescent="0.25">
      <c r="B126">
        <f>gescon_infosparticip!A125</f>
        <v>1061896702</v>
      </c>
      <c r="C126" t="str">
        <f>gescon_infosparticip!AH125</f>
        <v/>
      </c>
      <c r="D126" t="str">
        <f>gescon_infosparticip!AI125</f>
        <v/>
      </c>
      <c r="E126" t="str">
        <f>gescon_infosparticip!AJ125</f>
        <v/>
      </c>
      <c r="F126" t="str">
        <f>gescon_infosparticip!AK125</f>
        <v/>
      </c>
      <c r="G126" t="str">
        <f>gescon_infosparticip!AL125</f>
        <v/>
      </c>
      <c r="H126" t="str">
        <f>gescon_infosparticip!AM125</f>
        <v/>
      </c>
      <c r="I126" t="str">
        <f>gescon_infosparticip!AN125</f>
        <v/>
      </c>
      <c r="J126" t="str">
        <f>gescon_infosparticip!AO125</f>
        <v/>
      </c>
      <c r="K126" t="str">
        <f>gescon_infosparticip!AP125</f>
        <v/>
      </c>
      <c r="L126" t="str">
        <f>gescon_infosparticip!AQ125</f>
        <v/>
      </c>
      <c r="M126">
        <f>gescon_infosparticip!BA125</f>
        <v>107</v>
      </c>
      <c r="N126">
        <f>gescon_infosparticip!BB125</f>
        <v>39</v>
      </c>
      <c r="O126">
        <f>gescon_infosparticip!BC125</f>
        <v>0</v>
      </c>
      <c r="P126">
        <f>gescon_infosparticip!BD125</f>
        <v>0</v>
      </c>
      <c r="Q126">
        <f>gescon_infosparticip!BE125</f>
        <v>0</v>
      </c>
      <c r="R126" t="str">
        <f>gescon_infosparticip!BF125</f>
        <v/>
      </c>
      <c r="S126" t="str">
        <f>gescon_infosparticip!BG125</f>
        <v>Handicap mental, troubles moteurs</v>
      </c>
      <c r="T126" t="str">
        <f>gescon_infosparticip!BH125</f>
        <v/>
      </c>
      <c r="U126" t="str">
        <f>gescon_infosparticip!BI125</f>
        <v/>
      </c>
      <c r="V126" t="str">
        <f>gescon_infosparticip!BJ125</f>
        <v>rhume des foins, faire attention avec les fruits qu'il ne frotte pas les yeux</v>
      </c>
      <c r="W126" t="str">
        <f>gescon_infosparticip!BK125</f>
        <v/>
      </c>
      <c r="X126" t="str">
        <f>gescon_infosparticip!BL125</f>
        <v/>
      </c>
      <c r="Y126" t="str">
        <f>gescon_infosparticip!BM125</f>
        <v/>
      </c>
    </row>
    <row r="127" spans="2:25" ht="15.75" customHeight="1" x14ac:dyDescent="0.25">
      <c r="B127">
        <f>gescon_infosparticip!A126</f>
        <v>1061977115</v>
      </c>
      <c r="C127" t="str">
        <f>gescon_infosparticip!AH126</f>
        <v/>
      </c>
      <c r="D127" t="str">
        <f>gescon_infosparticip!AI126</f>
        <v/>
      </c>
      <c r="E127" t="str">
        <f>gescon_infosparticip!AJ126</f>
        <v/>
      </c>
      <c r="F127" t="str">
        <f>gescon_infosparticip!AK126</f>
        <v/>
      </c>
      <c r="G127" t="str">
        <f>gescon_infosparticip!AL126</f>
        <v/>
      </c>
      <c r="H127" t="str">
        <f>gescon_infosparticip!AM126</f>
        <v/>
      </c>
      <c r="I127" t="str">
        <f>gescon_infosparticip!AN126</f>
        <v/>
      </c>
      <c r="J127" t="str">
        <f>gescon_infosparticip!AO126</f>
        <v/>
      </c>
      <c r="K127" t="str">
        <f>gescon_infosparticip!AP126</f>
        <v/>
      </c>
      <c r="L127" t="str">
        <f>gescon_infosparticip!AQ126</f>
        <v/>
      </c>
      <c r="M127">
        <f>gescon_infosparticip!BA126</f>
        <v>0</v>
      </c>
      <c r="N127">
        <f>gescon_infosparticip!BB126</f>
        <v>0</v>
      </c>
      <c r="O127">
        <f>gescon_infosparticip!BC126</f>
        <v>0</v>
      </c>
      <c r="P127">
        <f>gescon_infosparticip!BD126</f>
        <v>0</v>
      </c>
      <c r="Q127">
        <f>gescon_infosparticip!BE126</f>
        <v>0</v>
      </c>
      <c r="R127" t="str">
        <f>gescon_infosparticip!BF126</f>
        <v/>
      </c>
      <c r="S127" t="str">
        <f>gescon_infosparticip!BG126</f>
        <v/>
      </c>
      <c r="T127" t="str">
        <f>gescon_infosparticip!BH126</f>
        <v>Spina Bifida</v>
      </c>
      <c r="U127" t="str">
        <f>gescon_infosparticip!BI126</f>
        <v/>
      </c>
      <c r="V127" t="str">
        <f>gescon_infosparticip!BJ126</f>
        <v>Les épinards lui provoquent de la diarrhée.</v>
      </c>
      <c r="W127" t="str">
        <f>gescon_infosparticip!BK126</f>
        <v/>
      </c>
      <c r="X127" t="str">
        <f>gescon_infosparticip!BL126</f>
        <v/>
      </c>
      <c r="Y127" t="str">
        <f>gescon_infosparticip!BM126</f>
        <v/>
      </c>
    </row>
    <row r="128" spans="2:25" ht="15.75" customHeight="1" x14ac:dyDescent="0.25">
      <c r="B128">
        <f>gescon_infosparticip!A127</f>
        <v>1074518627</v>
      </c>
      <c r="C128" t="str">
        <f>gescon_infosparticip!AH127</f>
        <v/>
      </c>
      <c r="D128" t="str">
        <f>gescon_infosparticip!AI127</f>
        <v/>
      </c>
      <c r="E128" t="str">
        <f>gescon_infosparticip!AJ127</f>
        <v/>
      </c>
      <c r="F128" t="str">
        <f>gescon_infosparticip!AK127</f>
        <v/>
      </c>
      <c r="G128" t="str">
        <f>gescon_infosparticip!AL127</f>
        <v/>
      </c>
      <c r="H128" t="str">
        <f>gescon_infosparticip!AM127</f>
        <v/>
      </c>
      <c r="I128" t="str">
        <f>gescon_infosparticip!AN127</f>
        <v/>
      </c>
      <c r="J128" t="str">
        <f>gescon_infosparticip!AO127</f>
        <v/>
      </c>
      <c r="K128" t="str">
        <f>gescon_infosparticip!AP127</f>
        <v/>
      </c>
      <c r="L128" t="str">
        <f>gescon_infosparticip!AQ127</f>
        <v/>
      </c>
      <c r="M128">
        <f>gescon_infosparticip!BA127</f>
        <v>0</v>
      </c>
      <c r="N128">
        <f>gescon_infosparticip!BB127</f>
        <v>0</v>
      </c>
      <c r="O128">
        <f>gescon_infosparticip!BC127</f>
        <v>0</v>
      </c>
      <c r="P128">
        <f>gescon_infosparticip!BD127</f>
        <v>0</v>
      </c>
      <c r="Q128">
        <f>gescon_infosparticip!BE127</f>
        <v>0</v>
      </c>
      <c r="R128" t="str">
        <f>gescon_infosparticip!BF127</f>
        <v/>
      </c>
      <c r="S128" t="str">
        <f>gescon_infosparticip!BG127</f>
        <v>IMC</v>
      </c>
      <c r="T128" t="str">
        <f>gescon_infosparticip!BH127</f>
        <v>Malentendant</v>
      </c>
      <c r="U128" t="str">
        <f>gescon_infosparticip!BI127</f>
        <v/>
      </c>
      <c r="V128" t="str">
        <f>gescon_infosparticip!BJ127</f>
        <v/>
      </c>
      <c r="W128" t="str">
        <f>gescon_infosparticip!BK127</f>
        <v/>
      </c>
      <c r="X128" t="str">
        <f>gescon_infosparticip!BL127</f>
        <v/>
      </c>
      <c r="Y128" t="str">
        <f>gescon_infosparticip!BM127</f>
        <v/>
      </c>
    </row>
    <row r="129" spans="2:25" ht="15.75" customHeight="1" x14ac:dyDescent="0.25">
      <c r="B129">
        <f>gescon_infosparticip!A128</f>
        <v>1083240723</v>
      </c>
      <c r="C129" t="str">
        <f>gescon_infosparticip!AH128</f>
        <v/>
      </c>
      <c r="D129" t="str">
        <f>gescon_infosparticip!AI128</f>
        <v/>
      </c>
      <c r="E129" t="str">
        <f>gescon_infosparticip!AJ128</f>
        <v/>
      </c>
      <c r="F129" t="str">
        <f>gescon_infosparticip!AK128</f>
        <v/>
      </c>
      <c r="G129" t="str">
        <f>gescon_infosparticip!AL128</f>
        <v/>
      </c>
      <c r="H129" t="str">
        <f>gescon_infosparticip!AM128</f>
        <v/>
      </c>
      <c r="I129" t="str">
        <f>gescon_infosparticip!AN128</f>
        <v/>
      </c>
      <c r="J129" t="str">
        <f>gescon_infosparticip!AO128</f>
        <v/>
      </c>
      <c r="K129" t="str">
        <f>gescon_infosparticip!AP128</f>
        <v/>
      </c>
      <c r="L129" t="str">
        <f>gescon_infosparticip!AQ128</f>
        <v/>
      </c>
      <c r="M129">
        <f>gescon_infosparticip!BA128</f>
        <v>0</v>
      </c>
      <c r="N129">
        <f>gescon_infosparticip!BB128</f>
        <v>0</v>
      </c>
      <c r="O129">
        <f>gescon_infosparticip!BC128</f>
        <v>0</v>
      </c>
      <c r="P129">
        <f>gescon_infosparticip!BD128</f>
        <v>0</v>
      </c>
      <c r="Q129">
        <f>gescon_infosparticip!BE128</f>
        <v>0</v>
      </c>
      <c r="R129" t="str">
        <f>gescon_infosparticip!BF128</f>
        <v/>
      </c>
      <c r="S129" t="str">
        <f>gescon_infosparticip!BG128</f>
        <v>imc</v>
      </c>
      <c r="T129" t="str">
        <f>gescon_infosparticip!BH128</f>
        <v/>
      </c>
      <c r="U129" t="str">
        <f>gescon_infosparticip!BI128</f>
        <v/>
      </c>
      <c r="V129" t="str">
        <f>gescon_infosparticip!BJ128</f>
        <v/>
      </c>
      <c r="W129" t="str">
        <f>gescon_infosparticip!BK128</f>
        <v/>
      </c>
      <c r="X129" t="str">
        <f>gescon_infosparticip!BL128</f>
        <v/>
      </c>
      <c r="Y129" t="str">
        <f>gescon_infosparticip!BM128</f>
        <v/>
      </c>
    </row>
    <row r="130" spans="2:25" ht="15.75" customHeight="1" x14ac:dyDescent="0.25">
      <c r="B130">
        <f>gescon_infosparticip!A129</f>
        <v>1087386639</v>
      </c>
      <c r="C130" t="str">
        <f>gescon_infosparticip!AH129</f>
        <v>Il mange mixé lisse (sans morceau). Il n’a pas besoin de cuillère ou de gobelet spécifique une cuillère à soupe et un gobelet en plastique qui résiste à un éventuel coup de dents.</v>
      </c>
      <c r="D130" t="str">
        <f>gescon_infosparticip!AI129</f>
        <v>Au déjeuner, il mange volontiers du pain écrasé sans la croûte avec confiture et beurre trempé dans du lait (chaud puis refroidis). Il apprécie également les Corn Flakes  (toujours trempés dans du lait chaud puis refroidi).</v>
      </c>
      <c r="E130" t="str">
        <f>gescon_infosparticip!AJ129</f>
        <v>Il mange de tout à part le riz. Doit limiter la quantité de nourriture (1 assiette suffit)</v>
      </c>
      <c r="F130" t="str">
        <f>gescon_infosparticip!AK129</f>
        <v/>
      </c>
      <c r="G130" t="str">
        <f>gescon_infosparticip!AL129</f>
        <v/>
      </c>
      <c r="H130" t="str">
        <f>gescon_infosparticip!AM129</f>
        <v>Utiliser la poudre épaississante (1 mesurette rase / 4dl). Passer notre bras gauche derrière sa tête et avec une bavette soutenir son menton, puis mettre le gobelet en plastique contre ses lèvres, attendre qu’il avale quatre fois puis relever el gobelet, compter jusqu’à dix, puis recommencer à lui donner ses quatre gorgées.
Garder le rythme, sinon il croit qu’on ne veut plus lui donner à boire.
Ne pas le laisser rire au sourire, il se déconcentre. Ne pas hésiter dans ce cas à communiquer avec lui vos soucis. Il boit avec dificulté.</v>
      </c>
      <c r="I130" t="str">
        <f>gescon_infosparticip!AN129</f>
        <v>il apprécie les thés avec du sucre ou les sirops.</v>
      </c>
      <c r="J130" t="str">
        <f>gescon_infosparticip!AO129</f>
        <v/>
      </c>
      <c r="K130" t="str">
        <f>gescon_infosparticip!AP129</f>
        <v>boissons gazeuses</v>
      </c>
      <c r="L130" t="str">
        <f>gescon_infosparticip!AQ129</f>
        <v/>
      </c>
      <c r="M130">
        <f>gescon_infosparticip!BA129</f>
        <v>2146189786</v>
      </c>
      <c r="N130">
        <f>gescon_infosparticip!BB129</f>
        <v>0</v>
      </c>
      <c r="O130">
        <f>gescon_infosparticip!BC129</f>
        <v>0</v>
      </c>
      <c r="P130">
        <f>gescon_infosparticip!BD129</f>
        <v>2146189005</v>
      </c>
      <c r="Q130">
        <f>gescon_infosparticip!BE129</f>
        <v>2146189005</v>
      </c>
      <c r="R130" t="str">
        <f>gescon_infosparticip!BF129</f>
        <v>455-93-363</v>
      </c>
      <c r="S130" t="str">
        <f>gescon_infosparticip!BG129</f>
        <v>IMC profond, épileptique mais cela fait longtemps qu’aucune crise n’été constatée.</v>
      </c>
      <c r="T130" t="str">
        <f>gescon_infosparticip!BH129</f>
        <v>handicap mental, épilepsie très bien soignée, malvoyant( ne voit plus de son œil gauche), troubles moteurs athétosique ne sait pas relâcher quand il a un appui.</v>
      </c>
      <c r="U130" t="str">
        <f>gescon_infosparticip!BI129</f>
        <v>Elevé</v>
      </c>
      <c r="V130" t="str">
        <f>gescon_infosparticip!BJ129</f>
        <v>rhume des foins</v>
      </c>
      <c r="W130" t="str">
        <f>gescon_infosparticip!BK129</f>
        <v>Totalement dépendant. Crème sur les lèvres car elles sont très sèches (il dort la bouche ouverte.) Crème sur les poignets avec petit massage pour la circulation du sang. Ne pas le mettre dans une baignoire car il tape les bras contre les bords. Crème d'abricot sur ses lèvres.</v>
      </c>
      <c r="X130" t="str">
        <f>gescon_infosparticip!BL129</f>
        <v>Il est langé en permanence. Lavement Clyssie chaque 2j.</v>
      </c>
      <c r="Y130" t="str">
        <f>gescon_infosparticip!BM129</f>
        <v>prévention escarres par le changement de positions</v>
      </c>
    </row>
    <row r="131" spans="2:25" ht="15.75" customHeight="1" x14ac:dyDescent="0.25">
      <c r="B131">
        <f>gescon_infosparticip!A130</f>
        <v>1087391122</v>
      </c>
      <c r="C131" t="str">
        <f>gescon_infosparticip!AH130</f>
        <v>Aide totale pour manger. Mange mixer car il fait des fausses-routes. Il mange de tout. Sort le bout de la langue quand il ne veut plus manger. Garder le coussin pour manger</v>
      </c>
      <c r="D131" t="str">
        <f>gescon_infosparticip!AI130</f>
        <v/>
      </c>
      <c r="E131" t="str">
        <f>gescon_infosparticip!AJ130</f>
        <v>toujours mixé car risques de fausses routes</v>
      </c>
      <c r="F131" t="str">
        <f>gescon_infosparticip!AK130</f>
        <v/>
      </c>
      <c r="G131" t="str">
        <f>gescon_infosparticip!AL130</f>
        <v/>
      </c>
      <c r="H131" t="str">
        <f>gescon_infosparticip!AM130</f>
        <v>Bien garder sa tête droite! Il boit avec une paille (ou au verre). Il a souvent de la peine a boire avec sa paille mais il faut insister. Sinon il faut lui donner nous même avec de petites gorgées.</v>
      </c>
      <c r="I131" t="str">
        <f>gescon_infosparticip!AN130</f>
        <v>thés sucrés, sinalco, coca…</v>
      </c>
      <c r="J131" t="str">
        <f>gescon_infosparticip!AO130</f>
        <v/>
      </c>
      <c r="K131" t="str">
        <f>gescon_infosparticip!AP130</f>
        <v>le lait. Il peut le matin</v>
      </c>
      <c r="L131" t="str">
        <f>gescon_infosparticip!AQ130</f>
        <v/>
      </c>
      <c r="M131">
        <f>gescon_infosparticip!BA130</f>
        <v>107</v>
      </c>
      <c r="N131">
        <f>gescon_infosparticip!BB130</f>
        <v>0</v>
      </c>
      <c r="O131">
        <f>gescon_infosparticip!BC130</f>
        <v>0</v>
      </c>
      <c r="P131">
        <f>gescon_infosparticip!BD130</f>
        <v>2146188984</v>
      </c>
      <c r="Q131">
        <f>gescon_infosparticip!BE130</f>
        <v>2146188984</v>
      </c>
      <c r="R131" t="str">
        <f>gescon_infosparticip!BF130</f>
        <v>010934578</v>
      </c>
      <c r="S131" t="str">
        <f>gescon_infosparticip!BG130</f>
        <v>IMC profond</v>
      </c>
      <c r="T131" t="str">
        <f>gescon_infosparticip!BH130</f>
        <v>Handicap mental, troubles moteurs</v>
      </c>
      <c r="U131" t="str">
        <f>gescon_infosparticip!BI130</f>
        <v>Elevé</v>
      </c>
      <c r="V131" t="str">
        <f>gescon_infosparticip!BJ130</f>
        <v>Faire attention au soleil : risque de malaise ou chutes de tension : incliner la chaise, le rafraîchir avec un linge humide et lui donner à boire. Ne pas le laisser sans surveillance et si nécessaire contacter la Castalie ou l'hôpital la plus proche.</v>
      </c>
      <c r="W131" t="str">
        <f>gescon_infosparticip!BK130</f>
        <v>Ne jamais le laisser seul! Toilette au lit  - bain et douche : chariot bleu - Toujours lui mettre la ceinture même dans la chaise. Ne pas le mettre dans une baignoire.</v>
      </c>
      <c r="X131" t="str">
        <f>gescon_infosparticip!BL130</f>
        <v>Il est toujours langé. Il faut le changé 3 à 4 fois par jour après les repas.</v>
      </c>
      <c r="Y131" t="str">
        <f>gescon_infosparticip!BM130</f>
        <v>Prévention d'escarres</v>
      </c>
    </row>
    <row r="132" spans="2:25" ht="15.75" customHeight="1" x14ac:dyDescent="0.25">
      <c r="B132">
        <f>gescon_infosparticip!A131</f>
        <v>1088577847</v>
      </c>
      <c r="C132" t="str">
        <f>gescon_infosparticip!AH131</f>
        <v/>
      </c>
      <c r="D132" t="str">
        <f>gescon_infosparticip!AI131</f>
        <v/>
      </c>
      <c r="E132" t="str">
        <f>gescon_infosparticip!AJ131</f>
        <v/>
      </c>
      <c r="F132" t="str">
        <f>gescon_infosparticip!AK131</f>
        <v/>
      </c>
      <c r="G132" t="str">
        <f>gescon_infosparticip!AL131</f>
        <v/>
      </c>
      <c r="H132" t="str">
        <f>gescon_infosparticip!AM131</f>
        <v/>
      </c>
      <c r="I132" t="str">
        <f>gescon_infosparticip!AN131</f>
        <v/>
      </c>
      <c r="J132" t="str">
        <f>gescon_infosparticip!AO131</f>
        <v/>
      </c>
      <c r="K132" t="str">
        <f>gescon_infosparticip!AP131</f>
        <v/>
      </c>
      <c r="L132" t="str">
        <f>gescon_infosparticip!AQ131</f>
        <v/>
      </c>
      <c r="M132">
        <f>gescon_infosparticip!BA131</f>
        <v>0</v>
      </c>
      <c r="N132">
        <f>gescon_infosparticip!BB131</f>
        <v>0</v>
      </c>
      <c r="O132">
        <f>gescon_infosparticip!BC131</f>
        <v>0</v>
      </c>
      <c r="P132">
        <f>gescon_infosparticip!BD131</f>
        <v>0</v>
      </c>
      <c r="Q132">
        <f>gescon_infosparticip!BE131</f>
        <v>0</v>
      </c>
      <c r="R132" t="str">
        <f>gescon_infosparticip!BF131</f>
        <v/>
      </c>
      <c r="S132" t="str">
        <f>gescon_infosparticip!BG131</f>
        <v/>
      </c>
      <c r="T132" t="str">
        <f>gescon_infosparticip!BH131</f>
        <v/>
      </c>
      <c r="U132" t="str">
        <f>gescon_infosparticip!BI131</f>
        <v/>
      </c>
      <c r="V132" t="str">
        <f>gescon_infosparticip!BJ131</f>
        <v/>
      </c>
      <c r="W132" t="str">
        <f>gescon_infosparticip!BK131</f>
        <v/>
      </c>
      <c r="X132" t="str">
        <f>gescon_infosparticip!BL131</f>
        <v/>
      </c>
      <c r="Y132" t="str">
        <f>gescon_infosparticip!BM131</f>
        <v/>
      </c>
    </row>
    <row r="133" spans="2:25" ht="15.75" customHeight="1" x14ac:dyDescent="0.25">
      <c r="B133">
        <f>gescon_infosparticip!A132</f>
        <v>1100016670</v>
      </c>
      <c r="C133" t="str">
        <f>gescon_infosparticip!AH132</f>
        <v>Il parvient à manger seul avec une cuillère à soupe. Il faut couper fin et l'aider s'il n'arrive pas tout seul.
Matin : biscotte
Midi : Il mange de tout
Soir : Il apprécie les yaourts, les céréales ou le reste de midi.</v>
      </c>
      <c r="D133" t="str">
        <f>gescon_infosparticip!AI132</f>
        <v>légumes, viande et pommes de terre, biscuits, cakes, pêches, yogurt, creme vanille, les compotes</v>
      </c>
      <c r="E133" t="str">
        <f>gescon_infosparticip!AJ132</f>
        <v/>
      </c>
      <c r="F133" t="str">
        <f>gescon_infosparticip!AK132</f>
        <v>ne peut pas manger la nourriture animale, carottes, tomates, haricots, produits laitiers</v>
      </c>
      <c r="G133" t="str">
        <f>gescon_infosparticip!AL132</f>
        <v/>
      </c>
      <c r="H133" t="str">
        <f>gescon_infosparticip!AM132</f>
        <v>Matin: OvomaltineIl boit beaucoup : sirop, eau, lait dans un verre.
Il boit eaucop. Il se peut que romain casse son verre avec les dents donc il faut lui donner un verre en plastic.</v>
      </c>
      <c r="I133" t="str">
        <f>gescon_infosparticip!AN132</f>
        <v/>
      </c>
      <c r="J133" t="str">
        <f>gescon_infosparticip!AO132</f>
        <v/>
      </c>
      <c r="K133" t="str">
        <f>gescon_infosparticip!AP132</f>
        <v>Boissons gazeuses</v>
      </c>
      <c r="L133" t="str">
        <f>gescon_infosparticip!AQ132</f>
        <v/>
      </c>
      <c r="M133">
        <f>gescon_infosparticip!BA132</f>
        <v>107</v>
      </c>
      <c r="N133">
        <f>gescon_infosparticip!BB132</f>
        <v>0</v>
      </c>
      <c r="O133">
        <f>gescon_infosparticip!BC132</f>
        <v>0</v>
      </c>
      <c r="P133">
        <f>gescon_infosparticip!BD132</f>
        <v>2146188974</v>
      </c>
      <c r="Q133">
        <f>gescon_infosparticip!BE132</f>
        <v>2146188974</v>
      </c>
      <c r="R133" t="str">
        <f>gescon_infosparticip!BF132</f>
        <v>09 36 36</v>
      </c>
      <c r="S133" t="str">
        <f>gescon_infosparticip!BG132</f>
        <v>IMC</v>
      </c>
      <c r="T133" t="str">
        <f>gescon_infosparticip!BH132</f>
        <v>Retard mental, crises d'épilepsie mais stabilisées.</v>
      </c>
      <c r="U133" t="str">
        <f>gescon_infosparticip!BI132</f>
        <v>Elevé</v>
      </c>
      <c r="V133" t="str">
        <f>gescon_infosparticip!BJ132</f>
        <v>tendance aux conjonctives ou irratation des yeux</v>
      </c>
      <c r="W133" t="str">
        <f>gescon_infosparticip!BK132</f>
        <v>Il a facilement les mains sèches, il faut lui appliquer des crèmes.</v>
      </c>
      <c r="X133" t="str">
        <f>gescon_infosparticip!BL132</f>
        <v>Il faut le mettre sur les WC après le repas puis le langer environ 4x par jour. Il sait monter son pantalon sur demande verbale. Va souvent aux toillettes</v>
      </c>
      <c r="Y133" t="str">
        <f>gescon_infosparticip!BM132</f>
        <v/>
      </c>
    </row>
    <row r="134" spans="2:25" ht="15.75" customHeight="1" x14ac:dyDescent="0.25">
      <c r="B134">
        <f>gescon_infosparticip!A133</f>
        <v>1100158231</v>
      </c>
      <c r="C134" t="str">
        <f>gescon_infosparticip!AH133</f>
        <v>Une cuillère à soupe et fourchette, Patrick souffre de remontée acide</v>
      </c>
      <c r="D134" t="str">
        <f>gescon_infosparticip!AI133</f>
        <v/>
      </c>
      <c r="E134" t="str">
        <f>gescon_infosparticip!AJ133</f>
        <v/>
      </c>
      <c r="F134" t="str">
        <f>gescon_infosparticip!AK133</f>
        <v>Il n'aime pas la confiture à cause de l'acidité, la salade russe, verte, choux… le chili con carne, les poivrons et les crevettes</v>
      </c>
      <c r="G134" t="str">
        <f>gescon_infosparticip!AL133</f>
        <v>Tomates, poivrons,ratatouille</v>
      </c>
      <c r="H134" t="str">
        <f>gescon_infosparticip!AM133</f>
        <v>seul</v>
      </c>
      <c r="I134" t="str">
        <f>gescon_infosparticip!AN133</f>
        <v>Eviter les boissons gazeuses</v>
      </c>
      <c r="J134" t="str">
        <f>gescon_infosparticip!AO133</f>
        <v/>
      </c>
      <c r="K134" t="str">
        <f>gescon_infosparticip!AP133</f>
        <v>Jus d'orange, café, boissons gazeuses</v>
      </c>
      <c r="L134" t="str">
        <f>gescon_infosparticip!AQ133</f>
        <v/>
      </c>
      <c r="M134">
        <f>gescon_infosparticip!BA133</f>
        <v>2146189012</v>
      </c>
      <c r="N134">
        <f>gescon_infosparticip!BB133</f>
        <v>0</v>
      </c>
      <c r="O134">
        <f>gescon_infosparticip!BC133</f>
        <v>0</v>
      </c>
      <c r="P134">
        <f>gescon_infosparticip!BD133</f>
        <v>2146189011</v>
      </c>
      <c r="Q134">
        <f>gescon_infosparticip!BE133</f>
        <v>2146188982</v>
      </c>
      <c r="R134" t="str">
        <f>gescon_infosparticip!BF133</f>
        <v>756.3362.7880.38</v>
      </c>
      <c r="S134" t="str">
        <f>gescon_infosparticip!BG133</f>
        <v>IMC</v>
      </c>
      <c r="T134" t="str">
        <f>gescon_infosparticip!BH133</f>
        <v>Handicap mental, malvoyant, troubles moteurs</v>
      </c>
      <c r="U134" t="str">
        <f>gescon_infosparticip!BI133</f>
        <v>Moyen</v>
      </c>
      <c r="V134" t="str">
        <f>gescon_infosparticip!BJ133</f>
        <v>Aucune</v>
      </c>
      <c r="W134" t="str">
        <f>gescon_infosparticip!BK133</f>
        <v>Aide totale pour la douche, lavage, rinçage et essuyage.</v>
      </c>
      <c r="X134" t="str">
        <f>gescon_infosparticip!BL133</f>
        <v>Besoin d'aide pour détacher et rattacher son pantalon. Ne s'essuie pas, nécessite de l'aide lorsqu'il va à selle.. Lui demander régulièrement d'aller aux WC.</v>
      </c>
      <c r="Y134" t="str">
        <f>gescon_infosparticip!BM133</f>
        <v/>
      </c>
    </row>
    <row r="135" spans="2:25" ht="15.75" customHeight="1" x14ac:dyDescent="0.25">
      <c r="B135">
        <f>gescon_infosparticip!A134</f>
        <v>1106056329</v>
      </c>
      <c r="C135" t="str">
        <f>gescon_infosparticip!AH134</f>
        <v/>
      </c>
      <c r="D135" t="str">
        <f>gescon_infosparticip!AI134</f>
        <v/>
      </c>
      <c r="E135" t="str">
        <f>gescon_infosparticip!AJ134</f>
        <v/>
      </c>
      <c r="F135" t="str">
        <f>gescon_infosparticip!AK134</f>
        <v/>
      </c>
      <c r="G135" t="str">
        <f>gescon_infosparticip!AL134</f>
        <v/>
      </c>
      <c r="H135" t="str">
        <f>gescon_infosparticip!AM134</f>
        <v/>
      </c>
      <c r="I135" t="str">
        <f>gescon_infosparticip!AN134</f>
        <v/>
      </c>
      <c r="J135" t="str">
        <f>gescon_infosparticip!AO134</f>
        <v/>
      </c>
      <c r="K135" t="str">
        <f>gescon_infosparticip!AP134</f>
        <v/>
      </c>
      <c r="L135" t="str">
        <f>gescon_infosparticip!AQ134</f>
        <v/>
      </c>
      <c r="M135">
        <f>gescon_infosparticip!BA134</f>
        <v>0</v>
      </c>
      <c r="N135">
        <f>gescon_infosparticip!BB134</f>
        <v>0</v>
      </c>
      <c r="O135">
        <f>gescon_infosparticip!BC134</f>
        <v>0</v>
      </c>
      <c r="P135">
        <f>gescon_infosparticip!BD134</f>
        <v>0</v>
      </c>
      <c r="Q135">
        <f>gescon_infosparticip!BE134</f>
        <v>0</v>
      </c>
      <c r="R135" t="str">
        <f>gescon_infosparticip!BF134</f>
        <v/>
      </c>
      <c r="S135" t="str">
        <f>gescon_infosparticip!BG134</f>
        <v/>
      </c>
      <c r="T135" t="str">
        <f>gescon_infosparticip!BH134</f>
        <v/>
      </c>
      <c r="U135" t="str">
        <f>gescon_infosparticip!BI134</f>
        <v/>
      </c>
      <c r="V135" t="str">
        <f>gescon_infosparticip!BJ134</f>
        <v/>
      </c>
      <c r="W135" t="str">
        <f>gescon_infosparticip!BK134</f>
        <v/>
      </c>
      <c r="X135" t="str">
        <f>gescon_infosparticip!BL134</f>
        <v/>
      </c>
      <c r="Y135" t="str">
        <f>gescon_infosparticip!BM134</f>
        <v/>
      </c>
    </row>
    <row r="136" spans="2:25" ht="15.75" customHeight="1" x14ac:dyDescent="0.25">
      <c r="B136">
        <f>gescon_infosparticip!A135</f>
        <v>1115645303</v>
      </c>
      <c r="C136" t="str">
        <f>gescon_infosparticip!AH135</f>
        <v>Aide totale : - mixer couper fin - il aime tenir le poignet de l'accompagnant.- dans sa chaise avec le plateau - Nourriture bien mouilliée. Eviter de lui laisser des objets sur la table car ils les jettent par-terre. Ne pas le mettre devant les desserts.</v>
      </c>
      <c r="D136" t="str">
        <f>gescon_infosparticip!AI135</f>
        <v>1+1/2 tartine ( sans les croûtes) + confiture, parfait fromage à tartiner selon convenance (mouiller le pain avec du lait), crème, chocolat, yogurt</v>
      </c>
      <c r="E136" t="str">
        <f>gescon_infosparticip!AJ135</f>
        <v>Petits morceaux de légumes mixés pour colmater le reste du repas.</v>
      </c>
      <c r="F136" t="str">
        <f>gescon_infosparticip!AK135</f>
        <v>Ne pas le coucher tout de suite après le repas pour éviter les régurgitations</v>
      </c>
      <c r="G136" t="str">
        <f>gescon_infosparticip!AL135</f>
        <v>Riz - bonbons (risque d'étouffement)</v>
      </c>
      <c r="H136" t="str">
        <f>gescon_infosparticip!AM135</f>
        <v>Il boit seul avec son verre à pipette (rester à coté) D'abord donner une tasse de thé et ensuite celui du cacao ou de café</v>
      </c>
      <c r="I136" t="str">
        <f>gescon_infosparticip!AN135</f>
        <v>le matin : cacao -Thé-Café</v>
      </c>
      <c r="J136" t="str">
        <f>gescon_infosparticip!AO135</f>
        <v/>
      </c>
      <c r="K136" t="str">
        <f>gescon_infosparticip!AP135</f>
        <v/>
      </c>
      <c r="L136" t="str">
        <f>gescon_infosparticip!AQ135</f>
        <v/>
      </c>
      <c r="M136">
        <f>gescon_infosparticip!BA135</f>
        <v>2146189787</v>
      </c>
      <c r="N136">
        <f>gescon_infosparticip!BB135</f>
        <v>0</v>
      </c>
      <c r="O136">
        <f>gescon_infosparticip!BC135</f>
        <v>0</v>
      </c>
      <c r="P136">
        <f>gescon_infosparticip!BD135</f>
        <v>2146188991</v>
      </c>
      <c r="Q136">
        <f>gescon_infosparticip!BE135</f>
        <v>0</v>
      </c>
      <c r="R136" t="str">
        <f>gescon_infosparticip!BF135</f>
        <v>207-81-638</v>
      </c>
      <c r="S136" t="str">
        <f>gescon_infosparticip!BG135</f>
        <v>IMC</v>
      </c>
      <c r="T136" t="str">
        <f>gescon_infosparticip!BH135</f>
        <v>Handicap mental, épilepsie, troubles moteurs</v>
      </c>
      <c r="U136" t="str">
        <f>gescon_infosparticip!BI135</f>
        <v>Elevé</v>
      </c>
      <c r="V136" t="str">
        <f>gescon_infosparticip!BJ135</f>
        <v/>
      </c>
      <c r="W136" t="str">
        <f>gescon_infosparticip!BK135</f>
        <v>Aide totale : Au lever : lui faire des exercices pour assouplir les hanches - Essuyer régulièrement la bave.</v>
      </c>
      <c r="X136" t="str">
        <f>gescon_infosparticip!BL135</f>
        <v>Urine souvent après la douche : le laisser faire et le langer après. Au changement du lange être attentif qu'il n'urine pas. S'il regarde son pénis, il va uriner. Prévoir un lavement chaque 3 jours et attendre env. 30 a 45 min.</v>
      </c>
      <c r="Y136" t="str">
        <f>gescon_infosparticip!BM135</f>
        <v/>
      </c>
    </row>
    <row r="137" spans="2:25" ht="15.75" customHeight="1" x14ac:dyDescent="0.25">
      <c r="B137">
        <f>gescon_infosparticip!A136</f>
        <v>1116339152</v>
      </c>
      <c r="C137" t="str">
        <f>gescon_infosparticip!AH136</f>
        <v>Aide totale : Support en bois avec trou pour l'assiette pour qu'elle puisse , manger seule. Mettre les médicaments dans la première cuillère et lui donner-Manger : couper fin- mange seule + rebord d'assiette. Tartine : humidifier avec du lait les tartines ! Essayer de lui mettre le verre et la cuillère dans la main droite pour qu'elle mange seule. Elle mange plus le matin et le soir qu'à midi. Après le repos, lui donner son petit classeur. La faire manger à l'écart du groupe. La prise d'aliment sera ainsi facilité.</v>
      </c>
      <c r="D137" t="str">
        <f>gescon_infosparticip!AI136</f>
        <v>Aime manger-Kellog's pour le déjeuner</v>
      </c>
      <c r="E137" t="str">
        <f>gescon_infosparticip!AJ136</f>
        <v/>
      </c>
      <c r="F137" t="str">
        <f>gescon_infosparticip!AK136</f>
        <v>N'aime pas le poisson !</v>
      </c>
      <c r="G137" t="str">
        <f>gescon_infosparticip!AL136</f>
        <v/>
      </c>
      <c r="H137" t="str">
        <f>gescon_infosparticip!AM136</f>
        <v>Elle boit avec un gobelet toute seule, la forcer un peu car n'aime pas boire. Rester à côté d'elle car elle renverse son verre lorsqu'elle a fini.</v>
      </c>
      <c r="I137" t="str">
        <f>gescon_infosparticip!AN136</f>
        <v/>
      </c>
      <c r="J137" t="str">
        <f>gescon_infosparticip!AO136</f>
        <v/>
      </c>
      <c r="K137" t="str">
        <f>gescon_infosparticip!AP136</f>
        <v/>
      </c>
      <c r="L137" t="str">
        <f>gescon_infosparticip!AQ136</f>
        <v/>
      </c>
      <c r="M137">
        <f>gescon_infosparticip!BA136</f>
        <v>0</v>
      </c>
      <c r="N137">
        <f>gescon_infosparticip!BB136</f>
        <v>0</v>
      </c>
      <c r="O137">
        <f>gescon_infosparticip!BC136</f>
        <v>0</v>
      </c>
      <c r="P137">
        <f>gescon_infosparticip!BD136</f>
        <v>2146189010</v>
      </c>
      <c r="Q137">
        <f>gescon_infosparticip!BE136</f>
        <v>2146189010</v>
      </c>
      <c r="R137" t="str">
        <f>gescon_infosparticip!BF136</f>
        <v>0342936</v>
      </c>
      <c r="S137" t="str">
        <f>gescon_infosparticip!BG136</f>
        <v/>
      </c>
      <c r="T137" t="str">
        <f>gescon_infosparticip!BH136</f>
        <v/>
      </c>
      <c r="U137" t="str">
        <f>gescon_infosparticip!BI136</f>
        <v/>
      </c>
      <c r="V137" t="str">
        <f>gescon_infosparticip!BJ136</f>
        <v/>
      </c>
      <c r="W137" t="str">
        <f>gescon_infosparticip!BK136</f>
        <v/>
      </c>
      <c r="X137" t="str">
        <f>gescon_infosparticip!BL136</f>
        <v>Aide totale : langée jour et nuit</v>
      </c>
      <c r="Y137" t="str">
        <f>gescon_infosparticip!BM136</f>
        <v>A une tige le long de la colonne vertébrale. La sollicite</v>
      </c>
    </row>
    <row r="138" spans="2:25" ht="15.75" customHeight="1" x14ac:dyDescent="0.25">
      <c r="B138">
        <f>gescon_infosparticip!A137</f>
        <v>1119442659</v>
      </c>
      <c r="C138" t="str">
        <f>gescon_infosparticip!AH137</f>
        <v/>
      </c>
      <c r="D138" t="str">
        <f>gescon_infosparticip!AI137</f>
        <v/>
      </c>
      <c r="E138" t="str">
        <f>gescon_infosparticip!AJ137</f>
        <v/>
      </c>
      <c r="F138" t="str">
        <f>gescon_infosparticip!AK137</f>
        <v/>
      </c>
      <c r="G138" t="str">
        <f>gescon_infosparticip!AL137</f>
        <v/>
      </c>
      <c r="H138" t="str">
        <f>gescon_infosparticip!AM137</f>
        <v/>
      </c>
      <c r="I138" t="str">
        <f>gescon_infosparticip!AN137</f>
        <v/>
      </c>
      <c r="J138" t="str">
        <f>gescon_infosparticip!AO137</f>
        <v/>
      </c>
      <c r="K138" t="str">
        <f>gescon_infosparticip!AP137</f>
        <v/>
      </c>
      <c r="L138" t="str">
        <f>gescon_infosparticip!AQ137</f>
        <v/>
      </c>
      <c r="M138">
        <f>gescon_infosparticip!BA137</f>
        <v>0</v>
      </c>
      <c r="N138">
        <f>gescon_infosparticip!BB137</f>
        <v>0</v>
      </c>
      <c r="O138">
        <f>gescon_infosparticip!BC137</f>
        <v>0</v>
      </c>
      <c r="P138">
        <f>gescon_infosparticip!BD137</f>
        <v>0</v>
      </c>
      <c r="Q138">
        <f>gescon_infosparticip!BE137</f>
        <v>0</v>
      </c>
      <c r="R138" t="str">
        <f>gescon_infosparticip!BF137</f>
        <v/>
      </c>
      <c r="S138" t="str">
        <f>gescon_infosparticip!BG137</f>
        <v/>
      </c>
      <c r="T138" t="str">
        <f>gescon_infosparticip!BH137</f>
        <v/>
      </c>
      <c r="U138" t="str">
        <f>gescon_infosparticip!BI137</f>
        <v/>
      </c>
      <c r="V138" t="str">
        <f>gescon_infosparticip!BJ137</f>
        <v/>
      </c>
      <c r="W138" t="str">
        <f>gescon_infosparticip!BK137</f>
        <v/>
      </c>
      <c r="X138" t="str">
        <f>gescon_infosparticip!BL137</f>
        <v/>
      </c>
      <c r="Y138" t="str">
        <f>gescon_infosparticip!BM137</f>
        <v/>
      </c>
    </row>
    <row r="139" spans="2:25" ht="15.75" customHeight="1" x14ac:dyDescent="0.25">
      <c r="B139">
        <f>gescon_infosparticip!A138</f>
        <v>1119443187</v>
      </c>
      <c r="C139" t="str">
        <f>gescon_infosparticip!AH138</f>
        <v>Samuel aime plutôt manger les aliments tièdes et pas trop secs. Lui donner avec une cuillère à soupe et toujours les mains sous la table. Mixer, couper fin, donner à manger. Il commence à bien mastiquer les aliments</v>
      </c>
      <c r="D139" t="str">
        <f>gescon_infosparticip!AI138</f>
        <v/>
      </c>
      <c r="E139" t="str">
        <f>gescon_infosparticip!AJ138</f>
        <v/>
      </c>
      <c r="F139" t="str">
        <f>gescon_infosparticip!AK138</f>
        <v/>
      </c>
      <c r="G139" t="str">
        <f>gescon_infosparticip!AL138</f>
        <v/>
      </c>
      <c r="H139" t="str">
        <f>gescon_infosparticip!AM138</f>
        <v>Donner à boire. Il boit seul avec son gobelet en plastique avec une paille solide.</v>
      </c>
      <c r="I139" t="str">
        <f>gescon_infosparticip!AN138</f>
        <v/>
      </c>
      <c r="J139" t="str">
        <f>gescon_infosparticip!AO138</f>
        <v/>
      </c>
      <c r="K139" t="str">
        <f>gescon_infosparticip!AP138</f>
        <v>boissons gazeuses + boissons à base de lait.</v>
      </c>
      <c r="L139" t="str">
        <f>gescon_infosparticip!AQ138</f>
        <v/>
      </c>
      <c r="M139">
        <f>gescon_infosparticip!BA138</f>
        <v>107</v>
      </c>
      <c r="N139">
        <f>gescon_infosparticip!BB138</f>
        <v>0</v>
      </c>
      <c r="O139">
        <f>gescon_infosparticip!BC138</f>
        <v>0</v>
      </c>
      <c r="P139">
        <f>gescon_infosparticip!BD138</f>
        <v>0</v>
      </c>
      <c r="Q139">
        <f>gescon_infosparticip!BE138</f>
        <v>0</v>
      </c>
      <c r="R139" t="str">
        <f>gescon_infosparticip!BF138</f>
        <v/>
      </c>
      <c r="S139" t="str">
        <f>gescon_infosparticip!BG138</f>
        <v>IMC hémiplégie côté droit</v>
      </c>
      <c r="T139" t="str">
        <f>gescon_infosparticip!BH138</f>
        <v>épilepsie stabilisée (foyer épileptique sur la droite du cerveau)</v>
      </c>
      <c r="U139" t="str">
        <f>gescon_infosparticip!BI138</f>
        <v>Elevé</v>
      </c>
      <c r="V139" t="str">
        <f>gescon_infosparticip!BJ138</f>
        <v>protéger Samuel du soleil (crème, chapeau) à cause des risques d’épilepsie. Il prend facilement des coups de soleil (car il a été griffé aux jambes et aux pieds). Il est allergique au plastique car il a facilement de l'herpès.</v>
      </c>
      <c r="W139" t="str">
        <f>gescon_infosparticip!BK138</f>
        <v>Aide complète. Lui laver les dents. Samuel n’aime pas les coups de peigne</v>
      </c>
      <c r="X139" t="str">
        <f>gescon_infosparticip!BL138</f>
        <v>Samuel est langé jour et nuit. Il faut lui changer les langes en principe le matin, à midi et le soir. S’il fait des selles, le changer tout de suite car il n’aime pas ça. Il ne reste pas sur les toilettes bien surveiller car il peut manger ses selles et il faut éloigner tout ce qu'il y a autour de lui</v>
      </c>
      <c r="Y139" t="str">
        <f>gescon_infosparticip!BM138</f>
        <v/>
      </c>
    </row>
    <row r="140" spans="2:25" ht="15.75" customHeight="1" x14ac:dyDescent="0.25">
      <c r="B140">
        <f>gescon_infosparticip!A139</f>
        <v>1119448530</v>
      </c>
      <c r="C140" t="str">
        <f>gescon_infosparticip!AH139</f>
        <v>Attention aux fausses routes : mixé gros. Le calmer un peu au repas, Patrice mange trop vite : Il faut qu’il aie ses deux pieds de chaque côté des pieds de la chaise et qu’avec sa main gauche, il tienne 
la chaise ou la table. Le plus droit possible. Son menton devrait faire un angle.</v>
      </c>
      <c r="D140" t="str">
        <f>gescon_infosparticip!AI139</f>
        <v/>
      </c>
      <c r="E140" t="str">
        <f>gescon_infosparticip!AJ139</f>
        <v>Donner à boire avant et après le repas.Eviter pendant le repas.</v>
      </c>
      <c r="F140" t="str">
        <f>gescon_infosparticip!AK139</f>
        <v>Ne supporte pas bien le lait</v>
      </c>
      <c r="G140" t="str">
        <f>gescon_infosparticip!AL139</f>
        <v>Suite à ses problèmes de fausses routes il doit éviter de manger des aliments
trop dur ( croûtes de pain – cacahuètes – ainsi que le riz, pas facile à avaler )</v>
      </c>
      <c r="H140" t="str">
        <f>gescon_infosparticip!AM139</f>
        <v>Aider à boire (il boit avec sa bouteille ou avec une paille) Il prend depuis quelque temps de la poudre gélifiante (1cc/dl)dans ses boissons.Surtout pas la tête penchée en arrière pour boire. Vérifier qu’il n’ai plus de miettes dans la bouche avant de boire. Patrice boit trop vite, le clamer un peu.</v>
      </c>
      <c r="I140" t="str">
        <f>gescon_infosparticip!AN139</f>
        <v>Thé froid - Jus d'orange au déjeuner</v>
      </c>
      <c r="J140" t="str">
        <f>gescon_infosparticip!AO139</f>
        <v/>
      </c>
      <c r="K140" t="str">
        <f>gescon_infosparticip!AP139</f>
        <v>Boissons gazeuses</v>
      </c>
      <c r="L140" t="str">
        <f>gescon_infosparticip!AQ139</f>
        <v/>
      </c>
      <c r="M140">
        <f>gescon_infosparticip!BA139</f>
        <v>0</v>
      </c>
      <c r="N140">
        <f>gescon_infosparticip!BB139</f>
        <v>107</v>
      </c>
      <c r="O140">
        <f>gescon_infosparticip!BC139</f>
        <v>0</v>
      </c>
      <c r="P140">
        <f>gescon_infosparticip!BD139</f>
        <v>2146189444</v>
      </c>
      <c r="Q140">
        <f>gescon_infosparticip!BE139</f>
        <v>2146189444</v>
      </c>
      <c r="R140" t="str">
        <f>gescon_infosparticip!BF139</f>
        <v>209 22 852</v>
      </c>
      <c r="S140" t="str">
        <f>gescon_infosparticip!BG139</f>
        <v>Ataxie, syndrome de Marinesco</v>
      </c>
      <c r="T140" t="str">
        <f>gescon_infosparticip!BH139</f>
        <v>troubles moteurs</v>
      </c>
      <c r="U140" t="str">
        <f>gescon_infosparticip!BI139</f>
        <v>Elevé</v>
      </c>
      <c r="V140" t="str">
        <f>gescon_infosparticip!BJ139</f>
        <v>A protéger du Soleil (casquette, crème)</v>
      </c>
      <c r="W140" t="str">
        <f>gescon_infosparticip!BK139</f>
        <v>Patrice ne se lave pas seul. Il a aussi besoin qu’on lui brosse les dents.</v>
      </c>
      <c r="X140" t="str">
        <f>gescon_infosparticip!BL139</f>
        <v>Installer toutes les 2h30 - 3 heures Patrice sur les WC. Patrice a besoin de protection, il est langé jour et nuit. Si pas sûr qu'il y ait des WC lui mettre des protections plus épaisses.</v>
      </c>
      <c r="Y140" t="str">
        <f>gescon_infosparticip!BM139</f>
        <v/>
      </c>
    </row>
    <row r="141" spans="2:25" ht="15.75" customHeight="1" x14ac:dyDescent="0.25">
      <c r="B141">
        <f>gescon_infosparticip!A140</f>
        <v>1125316835</v>
      </c>
      <c r="C141" t="str">
        <f>gescon_infosparticip!AH140</f>
        <v/>
      </c>
      <c r="D141" t="str">
        <f>gescon_infosparticip!AI140</f>
        <v/>
      </c>
      <c r="E141" t="str">
        <f>gescon_infosparticip!AJ140</f>
        <v/>
      </c>
      <c r="F141" t="str">
        <f>gescon_infosparticip!AK140</f>
        <v/>
      </c>
      <c r="G141" t="str">
        <f>gescon_infosparticip!AL140</f>
        <v/>
      </c>
      <c r="H141" t="str">
        <f>gescon_infosparticip!AM140</f>
        <v/>
      </c>
      <c r="I141" t="str">
        <f>gescon_infosparticip!AN140</f>
        <v/>
      </c>
      <c r="J141" t="str">
        <f>gescon_infosparticip!AO140</f>
        <v/>
      </c>
      <c r="K141" t="str">
        <f>gescon_infosparticip!AP140</f>
        <v/>
      </c>
      <c r="L141" t="str">
        <f>gescon_infosparticip!AQ140</f>
        <v/>
      </c>
      <c r="M141">
        <f>gescon_infosparticip!BA140</f>
        <v>0</v>
      </c>
      <c r="N141">
        <f>gescon_infosparticip!BB140</f>
        <v>0</v>
      </c>
      <c r="O141">
        <f>gescon_infosparticip!BC140</f>
        <v>0</v>
      </c>
      <c r="P141">
        <f>gescon_infosparticip!BD140</f>
        <v>0</v>
      </c>
      <c r="Q141">
        <f>gescon_infosparticip!BE140</f>
        <v>0</v>
      </c>
      <c r="R141" t="str">
        <f>gescon_infosparticip!BF140</f>
        <v/>
      </c>
      <c r="S141" t="str">
        <f>gescon_infosparticip!BG140</f>
        <v/>
      </c>
      <c r="T141" t="str">
        <f>gescon_infosparticip!BH140</f>
        <v/>
      </c>
      <c r="U141" t="str">
        <f>gescon_infosparticip!BI140</f>
        <v/>
      </c>
      <c r="V141" t="str">
        <f>gescon_infosparticip!BJ140</f>
        <v/>
      </c>
      <c r="W141" t="str">
        <f>gescon_infosparticip!BK140</f>
        <v/>
      </c>
      <c r="X141" t="str">
        <f>gescon_infosparticip!BL140</f>
        <v/>
      </c>
      <c r="Y141" t="str">
        <f>gescon_infosparticip!BM140</f>
        <v/>
      </c>
    </row>
    <row r="142" spans="2:25" ht="15.75" customHeight="1" x14ac:dyDescent="0.25">
      <c r="B142">
        <f>gescon_infosparticip!A141</f>
        <v>1127891338</v>
      </c>
      <c r="C142" t="str">
        <f>gescon_infosparticip!AH141</f>
        <v>Autonome. Il a tendance à manger rapidement et en grandes quantités. Faire attention à ces deux aspects.</v>
      </c>
      <c r="D142" t="str">
        <f>gescon_infosparticip!AI141</f>
        <v/>
      </c>
      <c r="E142" t="str">
        <f>gescon_infosparticip!AJ141</f>
        <v/>
      </c>
      <c r="F142" t="str">
        <f>gescon_infosparticip!AK141</f>
        <v>Il n'aime pas les croûtes aux champignons.</v>
      </c>
      <c r="G142" t="str">
        <f>gescon_infosparticip!AL141</f>
        <v/>
      </c>
      <c r="H142" t="str">
        <f>gescon_infosparticip!AM141</f>
        <v/>
      </c>
      <c r="I142" t="str">
        <f>gescon_infosparticip!AN141</f>
        <v/>
      </c>
      <c r="J142" t="str">
        <f>gescon_infosparticip!AO141</f>
        <v/>
      </c>
      <c r="K142" t="str">
        <f>gescon_infosparticip!AP141</f>
        <v/>
      </c>
      <c r="L142" t="str">
        <f>gescon_infosparticip!AQ141</f>
        <v/>
      </c>
      <c r="M142">
        <f>gescon_infosparticip!BA141</f>
        <v>107</v>
      </c>
      <c r="N142">
        <f>gescon_infosparticip!BB141</f>
        <v>0</v>
      </c>
      <c r="O142">
        <f>gescon_infosparticip!BC141</f>
        <v>0</v>
      </c>
      <c r="P142">
        <f>gescon_infosparticip!BD141</f>
        <v>2146188984</v>
      </c>
      <c r="Q142">
        <f>gescon_infosparticip!BE141</f>
        <v>2146188984</v>
      </c>
      <c r="R142" t="str">
        <f>gescon_infosparticip!BF141</f>
        <v>10911341</v>
      </c>
      <c r="S142" t="str">
        <f>gescon_infosparticip!BG141</f>
        <v/>
      </c>
      <c r="T142" t="str">
        <f>gescon_infosparticip!BH141</f>
        <v>Handicap mental</v>
      </c>
      <c r="U142" t="str">
        <f>gescon_infosparticip!BI141</f>
        <v>Moyen</v>
      </c>
      <c r="V142" t="str">
        <f>gescon_infosparticip!BJ141</f>
        <v/>
      </c>
      <c r="W142" t="str">
        <f>gescon_infosparticip!BK141</f>
        <v>Besoin d'aide.</v>
      </c>
      <c r="X142" t="str">
        <f>gescon_infosparticip!BL141</f>
        <v>Il faut contrôler qu'il aille à selle.</v>
      </c>
      <c r="Y142" t="str">
        <f>gescon_infosparticip!BM141</f>
        <v/>
      </c>
    </row>
    <row r="143" spans="2:25" ht="15.75" customHeight="1" x14ac:dyDescent="0.25">
      <c r="B143">
        <f>gescon_infosparticip!A142</f>
        <v>1138806721</v>
      </c>
      <c r="C143" t="str">
        <f>gescon_infosparticip!AH142</f>
        <v>Il mange seul avec une cuillère et un bord d'assiette. Il faut lui couper les aliments.Il est gaucher.</v>
      </c>
      <c r="D143" t="str">
        <f>gescon_infosparticip!AI142</f>
        <v>-</v>
      </c>
      <c r="E143" t="str">
        <f>gescon_infosparticip!AJ142</f>
        <v>-</v>
      </c>
      <c r="F143" t="str">
        <f>gescon_infosparticip!AK142</f>
        <v>-</v>
      </c>
      <c r="G143" t="str">
        <f>gescon_infosparticip!AL142</f>
        <v>-</v>
      </c>
      <c r="H143" t="str">
        <f>gescon_infosparticip!AM142</f>
        <v/>
      </c>
      <c r="I143" t="str">
        <f>gescon_infosparticip!AN142</f>
        <v>Café de temps en temps donner le médicament avec du café</v>
      </c>
      <c r="J143" t="str">
        <f>gescon_infosparticip!AO142</f>
        <v/>
      </c>
      <c r="K143" t="str">
        <f>gescon_infosparticip!AP142</f>
        <v/>
      </c>
      <c r="L143" t="str">
        <f>gescon_infosparticip!AQ142</f>
        <v/>
      </c>
      <c r="M143">
        <f>gescon_infosparticip!BA142</f>
        <v>107</v>
      </c>
      <c r="N143">
        <f>gescon_infosparticip!BB142</f>
        <v>0</v>
      </c>
      <c r="O143">
        <f>gescon_infosparticip!BC142</f>
        <v>0</v>
      </c>
      <c r="P143">
        <f>gescon_infosparticip!BD142</f>
        <v>2146189099</v>
      </c>
      <c r="Q143">
        <f>gescon_infosparticip!BE142</f>
        <v>2146188968</v>
      </c>
      <c r="R143" t="str">
        <f>gescon_infosparticip!BF142</f>
        <v>2.625.797</v>
      </c>
      <c r="S143" t="str">
        <f>gescon_infosparticip!BG142</f>
        <v>Syndrome de Lennox</v>
      </c>
      <c r="T143" t="str">
        <f>gescon_infosparticip!BH142</f>
        <v>Epilepsie. En cas de forte d'émotion, il peut faire des crises de type grand mal. Il a tendance à partir en extension puis il tombe. Pour le protéger,il porte un casque.</v>
      </c>
      <c r="U143" t="str">
        <f>gescon_infosparticip!BI142</f>
        <v>Elevé</v>
      </c>
      <c r="V143" t="str">
        <f>gescon_infosparticip!BJ142</f>
        <v>épilepsie: lorsqu'il ne parle plus ou fait a a a, le prendre par les épaule et le secouer en lui parlant, sa peut le ramener.</v>
      </c>
      <c r="W143" t="str">
        <f>gescon_infosparticip!BK142</f>
        <v>Le doucher, le savonner et le sécher.</v>
      </c>
      <c r="X143" t="str">
        <f>gescon_infosparticip!BL142</f>
        <v>Il est langé la nuit et lors d'évenements particuliers. Il peut être mouillé seulement par accident ou en cas de crises d'épilepsie. On préconise de le laisser langé la journée.</v>
      </c>
      <c r="Y143" t="str">
        <f>gescon_infosparticip!BM142</f>
        <v/>
      </c>
    </row>
    <row r="144" spans="2:25" ht="15.75" customHeight="1" x14ac:dyDescent="0.25">
      <c r="B144">
        <f>gescon_infosparticip!A143</f>
        <v>1144677323</v>
      </c>
      <c r="C144" t="str">
        <f>gescon_infosparticip!AH143</f>
        <v>Autonome</v>
      </c>
      <c r="D144" t="str">
        <f>gescon_infosparticip!AI143</f>
        <v/>
      </c>
      <c r="E144" t="str">
        <f>gescon_infosparticip!AJ143</f>
        <v/>
      </c>
      <c r="F144" t="str">
        <f>gescon_infosparticip!AK143</f>
        <v/>
      </c>
      <c r="G144" t="str">
        <f>gescon_infosparticip!AL143</f>
        <v/>
      </c>
      <c r="H144" t="str">
        <f>gescon_infosparticip!AM143</f>
        <v/>
      </c>
      <c r="I144" t="str">
        <f>gescon_infosparticip!AN143</f>
        <v/>
      </c>
      <c r="J144" t="str">
        <f>gescon_infosparticip!AO143</f>
        <v/>
      </c>
      <c r="K144" t="str">
        <f>gescon_infosparticip!AP143</f>
        <v/>
      </c>
      <c r="L144" t="str">
        <f>gescon_infosparticip!AQ143</f>
        <v/>
      </c>
      <c r="M144">
        <f>gescon_infosparticip!BA143</f>
        <v>0</v>
      </c>
      <c r="N144">
        <f>gescon_infosparticip!BB143</f>
        <v>0</v>
      </c>
      <c r="O144">
        <f>gescon_infosparticip!BC143</f>
        <v>0</v>
      </c>
      <c r="P144">
        <f>gescon_infosparticip!BD143</f>
        <v>0</v>
      </c>
      <c r="Q144">
        <f>gescon_infosparticip!BE143</f>
        <v>0</v>
      </c>
      <c r="R144" t="str">
        <f>gescon_infosparticip!BF143</f>
        <v/>
      </c>
      <c r="S144" t="str">
        <f>gescon_infosparticip!BG143</f>
        <v/>
      </c>
      <c r="T144" t="str">
        <f>gescon_infosparticip!BH143</f>
        <v/>
      </c>
      <c r="U144" t="str">
        <f>gescon_infosparticip!BI143</f>
        <v/>
      </c>
      <c r="V144" t="str">
        <f>gescon_infosparticip!BJ143</f>
        <v/>
      </c>
      <c r="W144" t="str">
        <f>gescon_infosparticip!BK143</f>
        <v/>
      </c>
      <c r="X144" t="str">
        <f>gescon_infosparticip!BL143</f>
        <v/>
      </c>
      <c r="Y144" t="str">
        <f>gescon_infosparticip!BM143</f>
        <v/>
      </c>
    </row>
    <row r="145" spans="2:25" ht="15.75" customHeight="1" x14ac:dyDescent="0.25">
      <c r="B145">
        <f>gescon_infosparticip!A144</f>
        <v>1148904896</v>
      </c>
      <c r="C145" t="str">
        <f>gescon_infosparticip!AH144</f>
        <v>Il mange et boit seul mais il faut lui couper les aliments.</v>
      </c>
      <c r="D145" t="str">
        <f>gescon_infosparticip!AI144</f>
        <v>le matin : une tartine au miel, au nutella ou des corn-flakes.</v>
      </c>
      <c r="E145" t="str">
        <f>gescon_infosparticip!AJ144</f>
        <v>aucun mais il a un bon coup de fourchette, alors faire attention à la prise de poids</v>
      </c>
      <c r="F145" t="str">
        <f>gescon_infosparticip!AK144</f>
        <v>Il n'aime pas le poisson</v>
      </c>
      <c r="G145" t="str">
        <f>gescon_infosparticip!AL144</f>
        <v>Les bonbons, il risque de les avaler !</v>
      </c>
      <c r="H145" t="str">
        <f>gescon_infosparticip!AM144</f>
        <v>il boit seul mais il faut le motiver à boire !</v>
      </c>
      <c r="I145" t="str">
        <f>gescon_infosparticip!AN144</f>
        <v>matin : cacao</v>
      </c>
      <c r="J145" t="str">
        <f>gescon_infosparticip!AO144</f>
        <v/>
      </c>
      <c r="K145" t="str">
        <f>gescon_infosparticip!AP144</f>
        <v/>
      </c>
      <c r="L145" t="str">
        <f>gescon_infosparticip!AQ144</f>
        <v/>
      </c>
      <c r="M145">
        <f>gescon_infosparticip!BA144</f>
        <v>107</v>
      </c>
      <c r="N145">
        <f>gescon_infosparticip!BB144</f>
        <v>0</v>
      </c>
      <c r="O145">
        <f>gescon_infosparticip!BC144</f>
        <v>0</v>
      </c>
      <c r="P145">
        <f>gescon_infosparticip!BD144</f>
        <v>2146188974</v>
      </c>
      <c r="Q145">
        <f>gescon_infosparticip!BE144</f>
        <v>2146188974</v>
      </c>
      <c r="R145" t="str">
        <f>gescon_infosparticip!BF144</f>
        <v>109445</v>
      </c>
      <c r="S145" t="str">
        <f>gescon_infosparticip!BG144</f>
        <v>IMC / être attentif, toujours des risques de crises épileptiques (bruit, cris, suprise…). Le mettre en sécurité en cas de crises et le surveiller attentivement.</v>
      </c>
      <c r="T145" t="str">
        <f>gescon_infosparticip!BH144</f>
        <v>Tiago est malvoyant (il n'a aucune vision périphérique). Il faut éviter le contact de côté car il ne voit pas arriver les gens et cela pourrait lui faire peur. Il  a aussi des troubles moteurs : une hémiparésie principalement du côté gauche.</v>
      </c>
      <c r="U145" t="str">
        <f>gescon_infosparticip!BI144</f>
        <v>Elevé</v>
      </c>
      <c r="V145" t="str">
        <f>gescon_infosparticip!BJ144</f>
        <v>Pas d'anxiolytique : Il réagit mal à la substance. Il saigne facilement du nez. Il faut prendre du temps pour le rassurer. Bruits imprévus, il a peur et devient blanc. Il faut lui dire de respirer.</v>
      </c>
      <c r="W145" t="str">
        <f>gescon_infosparticip!BK144</f>
        <v>A cérébral, il n'y a pas besoin de lui mettre les atelles dans les souliers durant la journée. Atelles : env. 4 à 5h par jour, quand il est par terre, les lui enlever et le mettre à pieds nus dans l'herbe.</v>
      </c>
      <c r="X145" t="str">
        <f>gescon_infosparticip!BL144</f>
        <v>Il faut lui proposer d'aller aux toilettes. Il sait aller seul mais il a besoin d'aide pour s'essuyer. Il n'est pas langé (ni jour, ni nuit).</v>
      </c>
      <c r="Y145" t="str">
        <f>gescon_infosparticip!BM144</f>
        <v/>
      </c>
    </row>
    <row r="146" spans="2:25" ht="15.75" customHeight="1" x14ac:dyDescent="0.25">
      <c r="B146">
        <f>gescon_infosparticip!A145</f>
        <v>1172471980</v>
      </c>
      <c r="C146" t="str">
        <f>gescon_infosparticip!AH145</f>
        <v/>
      </c>
      <c r="D146" t="str">
        <f>gescon_infosparticip!AI145</f>
        <v/>
      </c>
      <c r="E146" t="str">
        <f>gescon_infosparticip!AJ145</f>
        <v/>
      </c>
      <c r="F146" t="str">
        <f>gescon_infosparticip!AK145</f>
        <v/>
      </c>
      <c r="G146" t="str">
        <f>gescon_infosparticip!AL145</f>
        <v/>
      </c>
      <c r="H146" t="str">
        <f>gescon_infosparticip!AM145</f>
        <v/>
      </c>
      <c r="I146" t="str">
        <f>gescon_infosparticip!AN145</f>
        <v/>
      </c>
      <c r="J146" t="str">
        <f>gescon_infosparticip!AO145</f>
        <v/>
      </c>
      <c r="K146" t="str">
        <f>gescon_infosparticip!AP145</f>
        <v/>
      </c>
      <c r="L146" t="str">
        <f>gescon_infosparticip!AQ145</f>
        <v/>
      </c>
      <c r="M146">
        <f>gescon_infosparticip!BA145</f>
        <v>0</v>
      </c>
      <c r="N146">
        <f>gescon_infosparticip!BB145</f>
        <v>0</v>
      </c>
      <c r="O146">
        <f>gescon_infosparticip!BC145</f>
        <v>0</v>
      </c>
      <c r="P146">
        <f>gescon_infosparticip!BD145</f>
        <v>0</v>
      </c>
      <c r="Q146">
        <f>gescon_infosparticip!BE145</f>
        <v>0</v>
      </c>
      <c r="R146" t="str">
        <f>gescon_infosparticip!BF145</f>
        <v/>
      </c>
      <c r="S146" t="str">
        <f>gescon_infosparticip!BG145</f>
        <v/>
      </c>
      <c r="T146" t="str">
        <f>gescon_infosparticip!BH145</f>
        <v/>
      </c>
      <c r="U146" t="str">
        <f>gescon_infosparticip!BI145</f>
        <v/>
      </c>
      <c r="V146" t="str">
        <f>gescon_infosparticip!BJ145</f>
        <v/>
      </c>
      <c r="W146" t="str">
        <f>gescon_infosparticip!BK145</f>
        <v/>
      </c>
      <c r="X146" t="str">
        <f>gescon_infosparticip!BL145</f>
        <v/>
      </c>
      <c r="Y146" t="str">
        <f>gescon_infosparticip!BM145</f>
        <v/>
      </c>
    </row>
    <row r="147" spans="2:25" ht="15.75" customHeight="1" x14ac:dyDescent="0.25">
      <c r="B147">
        <f>gescon_infosparticip!A146</f>
        <v>1172577274</v>
      </c>
      <c r="C147" t="str">
        <f>gescon_infosparticip!AH146</f>
        <v/>
      </c>
      <c r="D147" t="str">
        <f>gescon_infosparticip!AI146</f>
        <v/>
      </c>
      <c r="E147" t="str">
        <f>gescon_infosparticip!AJ146</f>
        <v/>
      </c>
      <c r="F147" t="str">
        <f>gescon_infosparticip!AK146</f>
        <v/>
      </c>
      <c r="G147" t="str">
        <f>gescon_infosparticip!AL146</f>
        <v/>
      </c>
      <c r="H147" t="str">
        <f>gescon_infosparticip!AM146</f>
        <v/>
      </c>
      <c r="I147" t="str">
        <f>gescon_infosparticip!AN146</f>
        <v/>
      </c>
      <c r="J147" t="str">
        <f>gescon_infosparticip!AO146</f>
        <v/>
      </c>
      <c r="K147" t="str">
        <f>gescon_infosparticip!AP146</f>
        <v/>
      </c>
      <c r="L147" t="str">
        <f>gescon_infosparticip!AQ146</f>
        <v/>
      </c>
      <c r="M147">
        <f>gescon_infosparticip!BA146</f>
        <v>0</v>
      </c>
      <c r="N147">
        <f>gescon_infosparticip!BB146</f>
        <v>0</v>
      </c>
      <c r="O147">
        <f>gescon_infosparticip!BC146</f>
        <v>0</v>
      </c>
      <c r="P147">
        <f>gescon_infosparticip!BD146</f>
        <v>0</v>
      </c>
      <c r="Q147">
        <f>gescon_infosparticip!BE146</f>
        <v>0</v>
      </c>
      <c r="R147" t="str">
        <f>gescon_infosparticip!BF146</f>
        <v/>
      </c>
      <c r="S147" t="str">
        <f>gescon_infosparticip!BG146</f>
        <v/>
      </c>
      <c r="T147" t="str">
        <f>gescon_infosparticip!BH146</f>
        <v/>
      </c>
      <c r="U147" t="str">
        <f>gescon_infosparticip!BI146</f>
        <v/>
      </c>
      <c r="V147" t="str">
        <f>gescon_infosparticip!BJ146</f>
        <v/>
      </c>
      <c r="W147" t="str">
        <f>gescon_infosparticip!BK146</f>
        <v/>
      </c>
      <c r="X147" t="str">
        <f>gescon_infosparticip!BL146</f>
        <v/>
      </c>
      <c r="Y147" t="str">
        <f>gescon_infosparticip!BM146</f>
        <v/>
      </c>
    </row>
    <row r="148" spans="2:25" ht="15.75" customHeight="1" x14ac:dyDescent="0.25">
      <c r="B148">
        <f>gescon_infosparticip!A147</f>
        <v>1175782861</v>
      </c>
      <c r="C148" t="str">
        <f>gescon_infosparticip!AH147</f>
        <v>Mange seule</v>
      </c>
      <c r="D148" t="str">
        <f>gescon_infosparticip!AI147</f>
        <v>-</v>
      </c>
      <c r="E148" t="str">
        <f>gescon_infosparticip!AJ147</f>
        <v>-</v>
      </c>
      <c r="F148" t="str">
        <f>gescon_infosparticip!AK147</f>
        <v>desserts trop sucrées (peut manger mais peu)</v>
      </c>
      <c r="G148" t="str">
        <f>gescon_infosparticip!AL147</f>
        <v>les choux, les sauces Attention Dysenterie</v>
      </c>
      <c r="H148" t="str">
        <f>gescon_infosparticip!AM147</f>
        <v>Boit normalment. Coka zéro 1 par jour. Café - latte Macchiato - Cappuccino</v>
      </c>
      <c r="I148" t="str">
        <f>gescon_infosparticip!AN147</f>
        <v>-</v>
      </c>
      <c r="J148" t="str">
        <f>gescon_infosparticip!AO147</f>
        <v>-</v>
      </c>
      <c r="K148" t="str">
        <f>gescon_infosparticip!AP147</f>
        <v>boissons sucrées ( peut boire mais peu)</v>
      </c>
      <c r="L148" t="str">
        <f>gescon_infosparticip!AQ147</f>
        <v/>
      </c>
      <c r="M148">
        <f>gescon_infosparticip!BA147</f>
        <v>2146189964</v>
      </c>
      <c r="N148">
        <f>gescon_infosparticip!BB147</f>
        <v>2146189557</v>
      </c>
      <c r="O148">
        <f>gescon_infosparticip!BC147</f>
        <v>0</v>
      </c>
      <c r="P148">
        <f>gescon_infosparticip!BD147</f>
        <v>2146188969</v>
      </c>
      <c r="Q148">
        <f>gescon_infosparticip!BE147</f>
        <v>2146188969</v>
      </c>
      <c r="R148" t="str">
        <f>gescon_infosparticip!BF147</f>
        <v>756.8767.5441.42</v>
      </c>
      <c r="S148" t="str">
        <f>gescon_infosparticip!BG147</f>
        <v>IMC légère, hémiplegie gauche</v>
      </c>
      <c r="T148" t="str">
        <f>gescon_infosparticip!BH147</f>
        <v>épilepsie, sourde oreille gauche, vision tubulaire</v>
      </c>
      <c r="U148" t="str">
        <f>gescon_infosparticip!BI147</f>
        <v>Moyen</v>
      </c>
      <c r="V148" t="str">
        <f>gescon_infosparticip!BJ147</f>
        <v>Rhume des foins, protéger Kathia du soleil (crème et chapeau</v>
      </c>
      <c r="W148" t="str">
        <f>gescon_infosparticip!BK147</f>
        <v>Aide pour se laver, se doucher, se laver les cheveux et se coiffer. Ne se rince pas bien.</v>
      </c>
      <c r="X148" t="str">
        <f>gescon_infosparticip!BL147</f>
        <v>Kathia est autonome</v>
      </c>
      <c r="Y148" t="str">
        <f>gescon_infosparticip!BM147</f>
        <v>-</v>
      </c>
    </row>
    <row r="149" spans="2:25" ht="15.75" customHeight="1" x14ac:dyDescent="0.25">
      <c r="B149">
        <f>gescon_infosparticip!A148</f>
        <v>1175783172</v>
      </c>
      <c r="C149" t="str">
        <f>gescon_infosparticip!AH148</f>
        <v>Aide totale : Manger : hacher petit mais non mixer - dans une cuillère à soupe + un peu de liquide pour faciliter la déglutition
Il apprécie beaucoup de nourriture à la fois sur sa cuillère.</v>
      </c>
      <c r="D149" t="str">
        <f>gescon_infosparticip!AI148</f>
        <v/>
      </c>
      <c r="E149" t="str">
        <f>gescon_infosparticip!AJ148</f>
        <v>Au foyer : presque toujours des pâtes avec beaucoup de sauce</v>
      </c>
      <c r="F149" t="str">
        <f>gescon_infosparticip!AK148</f>
        <v>Riz, pommes de terre à l'eau et bolognaise. Lactose. Pas de poudre de lait.</v>
      </c>
      <c r="G149" t="str">
        <f>gescon_infosparticip!AL148</f>
        <v>Produits avec lactose.Poudre de lait Lait de soja ou amande = OK</v>
      </c>
      <c r="H149" t="str">
        <f>gescon_infosparticip!AM148</f>
        <v>Il boit avec un gobelet spécial en plastique.
Il ne boit pas d'eau mais beaucoup de sirop framboise, mais pas cassis.</v>
      </c>
      <c r="I149" t="str">
        <f>gescon_infosparticip!AN148</f>
        <v/>
      </c>
      <c r="J149" t="str">
        <f>gescon_infosparticip!AO148</f>
        <v/>
      </c>
      <c r="K149" t="str">
        <f>gescon_infosparticip!AP148</f>
        <v>n'aime pas le sirop au cassis!</v>
      </c>
      <c r="L149" t="str">
        <f>gescon_infosparticip!AQ148</f>
        <v/>
      </c>
      <c r="M149">
        <f>gescon_infosparticip!BA148</f>
        <v>2146189812</v>
      </c>
      <c r="N149">
        <f>gescon_infosparticip!BB148</f>
        <v>0</v>
      </c>
      <c r="O149">
        <f>gescon_infosparticip!BC148</f>
        <v>0</v>
      </c>
      <c r="P149">
        <f>gescon_infosparticip!BD148</f>
        <v>2146188984</v>
      </c>
      <c r="Q149">
        <f>gescon_infosparticip!BE148</f>
        <v>2146188984</v>
      </c>
      <c r="R149" t="str">
        <f>gescon_infosparticip!BF148</f>
        <v>10 90 87 20</v>
      </c>
      <c r="S149" t="str">
        <f>gescon_infosparticip!BG148</f>
        <v>IMC</v>
      </c>
      <c r="T149" t="str">
        <f>gescon_infosparticip!BH148</f>
        <v>Troubles moteurs</v>
      </c>
      <c r="U149" t="str">
        <f>gescon_infosparticip!BI148</f>
        <v>Elevé</v>
      </c>
      <c r="V149" t="str">
        <f>gescon_infosparticip!BJ148</f>
        <v>Soleil : crème</v>
      </c>
      <c r="W149" t="str">
        <f>gescon_infosparticip!BK148</f>
        <v>Aide totale</v>
      </c>
      <c r="X149" t="str">
        <f>gescon_infosparticip!BL148</f>
        <v>Aide totale : matin et soir : vase pour uriner (couché sur le ventre) - voir avec lui  + qqfois condom. Aux toilettes : chaise percée - la nuit il n'urine jamais lorsqu'il est nu.Ne peut pas rester lgt sur le dos. Tjs lever la barrière!</v>
      </c>
      <c r="Y149" t="str">
        <f>gescon_infosparticip!BM148</f>
        <v>Masser le siège matin et soir</v>
      </c>
    </row>
    <row r="150" spans="2:25" ht="15.75" customHeight="1" x14ac:dyDescent="0.25">
      <c r="B150">
        <f>gescon_infosparticip!A149</f>
        <v>1176728538</v>
      </c>
      <c r="C150" t="str">
        <f>gescon_infosparticip!AH149</f>
        <v/>
      </c>
      <c r="D150" t="str">
        <f>gescon_infosparticip!AI149</f>
        <v/>
      </c>
      <c r="E150" t="str">
        <f>gescon_infosparticip!AJ149</f>
        <v/>
      </c>
      <c r="F150" t="str">
        <f>gescon_infosparticip!AK149</f>
        <v/>
      </c>
      <c r="G150" t="str">
        <f>gescon_infosparticip!AL149</f>
        <v/>
      </c>
      <c r="H150" t="str">
        <f>gescon_infosparticip!AM149</f>
        <v/>
      </c>
      <c r="I150" t="str">
        <f>gescon_infosparticip!AN149</f>
        <v/>
      </c>
      <c r="J150" t="str">
        <f>gescon_infosparticip!AO149</f>
        <v/>
      </c>
      <c r="K150" t="str">
        <f>gescon_infosparticip!AP149</f>
        <v/>
      </c>
      <c r="L150" t="str">
        <f>gescon_infosparticip!AQ149</f>
        <v/>
      </c>
      <c r="M150">
        <f>gescon_infosparticip!BA149</f>
        <v>0</v>
      </c>
      <c r="N150">
        <f>gescon_infosparticip!BB149</f>
        <v>0</v>
      </c>
      <c r="O150">
        <f>gescon_infosparticip!BC149</f>
        <v>0</v>
      </c>
      <c r="P150">
        <f>gescon_infosparticip!BD149</f>
        <v>0</v>
      </c>
      <c r="Q150">
        <f>gescon_infosparticip!BE149</f>
        <v>0</v>
      </c>
      <c r="R150" t="str">
        <f>gescon_infosparticip!BF149</f>
        <v/>
      </c>
      <c r="S150" t="str">
        <f>gescon_infosparticip!BG149</f>
        <v/>
      </c>
      <c r="T150" t="str">
        <f>gescon_infosparticip!BH149</f>
        <v/>
      </c>
      <c r="U150" t="str">
        <f>gescon_infosparticip!BI149</f>
        <v/>
      </c>
      <c r="V150" t="str">
        <f>gescon_infosparticip!BJ149</f>
        <v/>
      </c>
      <c r="W150" t="str">
        <f>gescon_infosparticip!BK149</f>
        <v/>
      </c>
      <c r="X150" t="str">
        <f>gescon_infosparticip!BL149</f>
        <v/>
      </c>
      <c r="Y150" t="str">
        <f>gescon_infosparticip!BM149</f>
        <v/>
      </c>
    </row>
    <row r="151" spans="2:25" ht="15.75" customHeight="1" x14ac:dyDescent="0.25">
      <c r="B151">
        <f>gescon_infosparticip!A150</f>
        <v>1184667370</v>
      </c>
      <c r="C151" t="str">
        <f>gescon_infosparticip!AH150</f>
        <v/>
      </c>
      <c r="D151" t="str">
        <f>gescon_infosparticip!AI150</f>
        <v/>
      </c>
      <c r="E151" t="str">
        <f>gescon_infosparticip!AJ150</f>
        <v/>
      </c>
      <c r="F151" t="str">
        <f>gescon_infosparticip!AK150</f>
        <v/>
      </c>
      <c r="G151" t="str">
        <f>gescon_infosparticip!AL150</f>
        <v/>
      </c>
      <c r="H151" t="str">
        <f>gescon_infosparticip!AM150</f>
        <v/>
      </c>
      <c r="I151" t="str">
        <f>gescon_infosparticip!AN150</f>
        <v/>
      </c>
      <c r="J151" t="str">
        <f>gescon_infosparticip!AO150</f>
        <v/>
      </c>
      <c r="K151" t="str">
        <f>gescon_infosparticip!AP150</f>
        <v/>
      </c>
      <c r="L151" t="str">
        <f>gescon_infosparticip!AQ150</f>
        <v/>
      </c>
      <c r="M151">
        <f>gescon_infosparticip!BA150</f>
        <v>0</v>
      </c>
      <c r="N151">
        <f>gescon_infosparticip!BB150</f>
        <v>0</v>
      </c>
      <c r="O151">
        <f>gescon_infosparticip!BC150</f>
        <v>0</v>
      </c>
      <c r="P151">
        <f>gescon_infosparticip!BD150</f>
        <v>0</v>
      </c>
      <c r="Q151">
        <f>gescon_infosparticip!BE150</f>
        <v>0</v>
      </c>
      <c r="R151" t="str">
        <f>gescon_infosparticip!BF150</f>
        <v/>
      </c>
      <c r="S151" t="str">
        <f>gescon_infosparticip!BG150</f>
        <v/>
      </c>
      <c r="T151" t="str">
        <f>gescon_infosparticip!BH150</f>
        <v/>
      </c>
      <c r="U151" t="str">
        <f>gescon_infosparticip!BI150</f>
        <v/>
      </c>
      <c r="V151" t="str">
        <f>gescon_infosparticip!BJ150</f>
        <v/>
      </c>
      <c r="W151" t="str">
        <f>gescon_infosparticip!BK150</f>
        <v/>
      </c>
      <c r="X151" t="str">
        <f>gescon_infosparticip!BL150</f>
        <v/>
      </c>
      <c r="Y151" t="str">
        <f>gescon_infosparticip!BM150</f>
        <v/>
      </c>
    </row>
    <row r="152" spans="2:25" ht="15.75" customHeight="1" x14ac:dyDescent="0.25">
      <c r="B152">
        <f>gescon_infosparticip!A151</f>
        <v>1191311576</v>
      </c>
      <c r="C152" t="str">
        <f>gescon_infosparticip!AH151</f>
        <v>Uniquement par la PEG</v>
      </c>
      <c r="D152" t="str">
        <f>gescon_infosparticip!AI151</f>
        <v>Voir plan d'alimentation</v>
      </c>
      <c r="E152" t="str">
        <f>gescon_infosparticip!AJ151</f>
        <v/>
      </c>
      <c r="F152" t="str">
        <f>gescon_infosparticip!AK151</f>
        <v>A tendance à avoir des régurgitations.</v>
      </c>
      <c r="G152" t="str">
        <f>gescon_infosparticip!AL151</f>
        <v>Aliment pour la bouche</v>
      </c>
      <c r="H152" t="str">
        <f>gescon_infosparticip!AM151</f>
        <v>Uniquement par la PEG</v>
      </c>
      <c r="I152" t="str">
        <f>gescon_infosparticip!AN151</f>
        <v>Voir plan d'alimentation</v>
      </c>
      <c r="J152" t="str">
        <f>gescon_infosparticip!AO151</f>
        <v/>
      </c>
      <c r="K152" t="str">
        <f>gescon_infosparticip!AP151</f>
        <v/>
      </c>
      <c r="L152" t="str">
        <f>gescon_infosparticip!AQ151</f>
        <v>boisson par la bouche</v>
      </c>
      <c r="M152">
        <f>gescon_infosparticip!BA151</f>
        <v>107</v>
      </c>
      <c r="N152">
        <f>gescon_infosparticip!BB151</f>
        <v>0</v>
      </c>
      <c r="O152">
        <f>gescon_infosparticip!BC151</f>
        <v>0</v>
      </c>
      <c r="P152">
        <f>gescon_infosparticip!BD151</f>
        <v>2146189015</v>
      </c>
      <c r="Q152">
        <f>gescon_infosparticip!BE151</f>
        <v>2146189015</v>
      </c>
      <c r="R152" t="str">
        <f>gescon_infosparticip!BF151</f>
        <v/>
      </c>
      <c r="S152" t="str">
        <f>gescon_infosparticip!BG151</f>
        <v>IMC</v>
      </c>
      <c r="T152" t="str">
        <f>gescon_infosparticip!BH151</f>
        <v>Troubles mentaux, troubles moteurs. Attention dans les manipulations car Maya a une tige de fer dans son dos pour la scoliose.</v>
      </c>
      <c r="U152" t="str">
        <f>gescon_infosparticip!BI151</f>
        <v>Elevé</v>
      </c>
      <c r="V152" t="str">
        <f>gescon_infosparticip!BJ151</f>
        <v>Au soleil, casquettes et crème solaire</v>
      </c>
      <c r="W152" t="str">
        <f>gescon_infosparticip!BK151</f>
        <v>Lit douche. Maya a souvent des mycoses, bien désinfecter lit douche après utilisation ! Bien laver et secher les parties du corps, surtout les parties intimes. Peut aussi faire une toilette au lit.</v>
      </c>
      <c r="X152" t="str">
        <f>gescon_infosparticip!BL151</f>
        <v>Protection S le jour, protection M + millette la nuit.</v>
      </c>
      <c r="Y152" t="str">
        <f>gescon_infosparticip!BM151</f>
        <v>Attention à la PEG, contrôler matin et soir les points d'appui !</v>
      </c>
    </row>
    <row r="153" spans="2:25" ht="15.75" customHeight="1" x14ac:dyDescent="0.25">
      <c r="B153">
        <f>gescon_infosparticip!A152</f>
        <v>1191915897</v>
      </c>
      <c r="C153" t="str">
        <f>gescon_infosparticip!AH152</f>
        <v>Donner à manger avec modération. Le soir, mettre quatre pruneau dans une tasse d'eau. Le matin, lui faire boire l'eau et lui donner manger les pruneaux.</v>
      </c>
      <c r="D153" t="str">
        <f>gescon_infosparticip!AI152</f>
        <v>Il aime tout</v>
      </c>
      <c r="E153" t="str">
        <f>gescon_infosparticip!AJ152</f>
        <v>ne pas exagérer avec les sucreries.</v>
      </c>
      <c r="F153" t="str">
        <f>gescon_infosparticip!AK152</f>
        <v/>
      </c>
      <c r="G153" t="str">
        <f>gescon_infosparticip!AL152</f>
        <v/>
      </c>
      <c r="H153" t="str">
        <f>gescon_infosparticip!AM152</f>
        <v>lui donner beaucoup à boire</v>
      </c>
      <c r="I153" t="str">
        <f>gescon_infosparticip!AN152</f>
        <v/>
      </c>
      <c r="J153" t="str">
        <f>gescon_infosparticip!AO152</f>
        <v/>
      </c>
      <c r="K153" t="str">
        <f>gescon_infosparticip!AP152</f>
        <v/>
      </c>
      <c r="L153" t="str">
        <f>gescon_infosparticip!AQ152</f>
        <v/>
      </c>
      <c r="M153">
        <f>gescon_infosparticip!BA152</f>
        <v>107</v>
      </c>
      <c r="N153">
        <f>gescon_infosparticip!BB152</f>
        <v>0</v>
      </c>
      <c r="O153">
        <f>gescon_infosparticip!BC152</f>
        <v>0</v>
      </c>
      <c r="P153">
        <f>gescon_infosparticip!BD152</f>
        <v>2146189005</v>
      </c>
      <c r="Q153">
        <f>gescon_infosparticip!BE152</f>
        <v>2146189005</v>
      </c>
      <c r="R153" t="str">
        <f>gescon_infosparticip!BF152</f>
        <v>28168092</v>
      </c>
      <c r="S153" t="str">
        <f>gescon_infosparticip!BG152</f>
        <v>IMC</v>
      </c>
      <c r="T153" t="str">
        <f>gescon_infosparticip!BH152</f>
        <v/>
      </c>
      <c r="U153" t="str">
        <f>gescon_infosparticip!BI152</f>
        <v>Elevé</v>
      </c>
      <c r="V153" t="str">
        <f>gescon_infosparticip!BJ152</f>
        <v>Aphtes : badinage avec propolys (teinture)     Allergie cutanée au visage : Appliquer pommade parfenac (autour du nez, entre les sourcils matin et soir, sinon rougeur)</v>
      </c>
      <c r="W153" t="str">
        <f>gescon_infosparticip!BK152</f>
        <v>Il faut lui brosser les dents après chaque repas. Suite à un accident (tombé du lit) il faut le masser matin et soir. Et être prudent lors des soins</v>
      </c>
      <c r="X153" t="str">
        <f>gescon_infosparticip!BL152</f>
        <v>Andreï demande qu'on lui donne la bouteille. En sortie, mettre un condom et sac urinaire.</v>
      </c>
      <c r="Y153" t="str">
        <f>gescon_infosparticip!BM152</f>
        <v/>
      </c>
    </row>
    <row r="154" spans="2:25" ht="15.75" customHeight="1" x14ac:dyDescent="0.25">
      <c r="B154">
        <f>gescon_infosparticip!A153</f>
        <v>1194356555</v>
      </c>
      <c r="C154" t="str">
        <f>gescon_infosparticip!AH153</f>
        <v>Elle mange de tout et a un excellent appétit. Il faut lui couper la nourriture en petits morceaux car elle ne mâche pratiquement pas, lui demander de le faire. Risque de fausses routes. Il est parfois nécessaire d'aller chercher avec ses doigts un morceau de nourriture resté coincé au fond de sa bouche. ATTENTION : ELLE PEUT FACILEMENT TOMBER D'UN BANC OU D'UNE CHAISE !!!!! Elsa a de la peine à rester en place.</v>
      </c>
      <c r="D154" t="str">
        <f>gescon_infosparticip!AI153</f>
        <v/>
      </c>
      <c r="E154" t="str">
        <f>gescon_infosparticip!AJ153</f>
        <v/>
      </c>
      <c r="F154" t="str">
        <f>gescon_infosparticip!AK153</f>
        <v/>
      </c>
      <c r="G154" t="str">
        <f>gescon_infosparticip!AL153</f>
        <v/>
      </c>
      <c r="H154" t="str">
        <f>gescon_infosparticip!AM153</f>
        <v>Il faut veiller à ce qu'elle s'hydrate suffisamment. La faire s'asseoir pour boire et lui mettre une bavette, la rendre attentive à ce qu'elle fait et la laisser se débrouiller. Ses précautions permettent d'éviter qu'elle se verse le contenu du verre sur elle. Rester à côté. Eviter les récipients en vrai verre car elle peut les croquer et les casser dans sa bouche.</v>
      </c>
      <c r="I154" t="str">
        <f>gescon_infosparticip!AN153</f>
        <v>Nesquik+sucre le matin et à 16:00</v>
      </c>
      <c r="J154" t="str">
        <f>gescon_infosparticip!AO153</f>
        <v/>
      </c>
      <c r="K154" t="str">
        <f>gescon_infosparticip!AP153</f>
        <v/>
      </c>
      <c r="L154" t="str">
        <f>gescon_infosparticip!AQ153</f>
        <v/>
      </c>
      <c r="M154">
        <f>gescon_infosparticip!BA153</f>
        <v>107</v>
      </c>
      <c r="N154">
        <f>gescon_infosparticip!BB153</f>
        <v>0</v>
      </c>
      <c r="O154">
        <f>gescon_infosparticip!BC153</f>
        <v>0</v>
      </c>
      <c r="P154">
        <f>gescon_infosparticip!BD153</f>
        <v>2146188975</v>
      </c>
      <c r="Q154">
        <f>gescon_infosparticip!BE153</f>
        <v>2146188975</v>
      </c>
      <c r="R154" t="str">
        <f>gescon_infosparticip!BF153</f>
        <v/>
      </c>
      <c r="S154" t="str">
        <f>gescon_infosparticip!BG153</f>
        <v>retard mental - 22Q13 délétion</v>
      </c>
      <c r="T154" t="str">
        <f>gescon_infosparticip!BH153</f>
        <v>non</v>
      </c>
      <c r="U154" t="str">
        <f>gescon_infosparticip!BI153</f>
        <v>Moyen</v>
      </c>
      <c r="V154" t="str">
        <f>gescon_infosparticip!BJ153</f>
        <v>non</v>
      </c>
      <c r="W154" t="str">
        <f>gescon_infosparticip!BK153</f>
        <v>A besoin d'être accompagnée d'un adulte pour toutes tâches. Besoin d'être langée.</v>
      </c>
      <c r="X154" t="str">
        <f>gescon_infosparticip!BL153</f>
        <v>Elle ne se manifeste pas toujours lorsqu'elle a besoin d'être changée car elle n'aime pas beaucoup être changée. Il faut lui demander si elle veut aller aux WC. Il faut changer immédiatement après selles car peau du siège très fragile.</v>
      </c>
      <c r="Y154" t="str">
        <f>gescon_infosparticip!BM153</f>
        <v/>
      </c>
    </row>
    <row r="155" spans="2:25" ht="15.75" customHeight="1" x14ac:dyDescent="0.25">
      <c r="B155">
        <f>gescon_infosparticip!A154</f>
        <v>1194358603</v>
      </c>
      <c r="C155" t="str">
        <f>gescon_infosparticip!AH154</f>
        <v>Sophie choisit ce qu'elle désire. Il faut lui couper la nourriture et lui donner à manger.</v>
      </c>
      <c r="D155" t="str">
        <f>gescon_infosparticip!AI154</f>
        <v/>
      </c>
      <c r="E155" t="str">
        <f>gescon_infosparticip!AJ154</f>
        <v>Eviter trop de féculents et de sucreries à cause de la prise de poids.</v>
      </c>
      <c r="F155" t="str">
        <f>gescon_infosparticip!AK154</f>
        <v/>
      </c>
      <c r="G155" t="str">
        <f>gescon_infosparticip!AL154</f>
        <v/>
      </c>
      <c r="H155" t="str">
        <f>gescon_infosparticip!AM154</f>
        <v>Mettre son gobelet entre les jambes.</v>
      </c>
      <c r="I155" t="str">
        <f>gescon_infosparticip!AN154</f>
        <v/>
      </c>
      <c r="J155" t="str">
        <f>gescon_infosparticip!AO154</f>
        <v/>
      </c>
      <c r="K155" t="str">
        <f>gescon_infosparticip!AP154</f>
        <v/>
      </c>
      <c r="L155" t="str">
        <f>gescon_infosparticip!AQ154</f>
        <v/>
      </c>
      <c r="M155">
        <f>gescon_infosparticip!BA154</f>
        <v>107</v>
      </c>
      <c r="N155">
        <f>gescon_infosparticip!BB154</f>
        <v>0</v>
      </c>
      <c r="O155">
        <f>gescon_infosparticip!BC154</f>
        <v>0</v>
      </c>
      <c r="P155">
        <f>gescon_infosparticip!BD154</f>
        <v>2146188970</v>
      </c>
      <c r="Q155">
        <f>gescon_infosparticip!BE154</f>
        <v>2146188970</v>
      </c>
      <c r="R155" t="str">
        <f>gescon_infosparticip!BF154</f>
        <v>1021</v>
      </c>
      <c r="S155" t="str">
        <f>gescon_infosparticip!BG154</f>
        <v/>
      </c>
      <c r="T155" t="str">
        <f>gescon_infosparticip!BH154</f>
        <v>Traumatisée cérébrale, troubles moteurs.</v>
      </c>
      <c r="U155" t="str">
        <f>gescon_infosparticip!BI154</f>
        <v>Elevé</v>
      </c>
      <c r="V155" t="str">
        <f>gescon_infosparticip!BJ154</f>
        <v>À protéger du soleil, sinon elle n'a pas d'allergies. Pevaryl si mycoses inguinales. En cas de canicule ou forte chaleur : surélever les jambes et augmenter les changmements de position.</v>
      </c>
      <c r="W155" t="str">
        <f>gescon_infosparticip!BK154</f>
        <v>Aide complète pour la toilette (laver les dents, le visage, coiffer, etc). Bien laver et sécher les plis du ventre, inguinaux, sous les bras et les doigts de pied et sécher au foehn. Attention aux plus des coudes et entre les doigts. Masser les fesses avec de la crème Vacosa en cas de rougeurs. Laver le corps (elle supporte les produits de douche). Ne pas lui mettre de déo. Le matin et le soir laver le visage à l'eau et lui mettre que de la crème Exipial.</v>
      </c>
      <c r="X155" t="str">
        <f>gescon_infosparticip!BL154</f>
        <v/>
      </c>
      <c r="Y155" t="str">
        <f>gescon_infosparticip!BM154</f>
        <v/>
      </c>
    </row>
    <row r="156" spans="2:25" ht="15.75" customHeight="1" x14ac:dyDescent="0.25">
      <c r="B156">
        <f>gescon_infosparticip!A155</f>
        <v>1194881278</v>
      </c>
      <c r="C156" t="str">
        <f>gescon_infosparticip!AH155</f>
        <v/>
      </c>
      <c r="D156" t="str">
        <f>gescon_infosparticip!AI155</f>
        <v/>
      </c>
      <c r="E156" t="str">
        <f>gescon_infosparticip!AJ155</f>
        <v/>
      </c>
      <c r="F156" t="str">
        <f>gescon_infosparticip!AK155</f>
        <v/>
      </c>
      <c r="G156" t="str">
        <f>gescon_infosparticip!AL155</f>
        <v/>
      </c>
      <c r="H156" t="str">
        <f>gescon_infosparticip!AM155</f>
        <v/>
      </c>
      <c r="I156" t="str">
        <f>gescon_infosparticip!AN155</f>
        <v/>
      </c>
      <c r="J156" t="str">
        <f>gescon_infosparticip!AO155</f>
        <v/>
      </c>
      <c r="K156" t="str">
        <f>gescon_infosparticip!AP155</f>
        <v/>
      </c>
      <c r="L156" t="str">
        <f>gescon_infosparticip!AQ155</f>
        <v/>
      </c>
      <c r="M156">
        <f>gescon_infosparticip!BA155</f>
        <v>0</v>
      </c>
      <c r="N156">
        <f>gescon_infosparticip!BB155</f>
        <v>0</v>
      </c>
      <c r="O156">
        <f>gescon_infosparticip!BC155</f>
        <v>0</v>
      </c>
      <c r="P156">
        <f>gescon_infosparticip!BD155</f>
        <v>2146189010</v>
      </c>
      <c r="Q156">
        <f>gescon_infosparticip!BE155</f>
        <v>0</v>
      </c>
      <c r="R156" t="str">
        <f>gescon_infosparticip!BF155</f>
        <v>8766</v>
      </c>
      <c r="S156" t="str">
        <f>gescon_infosparticip!BG155</f>
        <v/>
      </c>
      <c r="T156" t="str">
        <f>gescon_infosparticip!BH155</f>
        <v/>
      </c>
      <c r="U156" t="str">
        <f>gescon_infosparticip!BI155</f>
        <v/>
      </c>
      <c r="V156" t="str">
        <f>gescon_infosparticip!BJ155</f>
        <v/>
      </c>
      <c r="W156" t="str">
        <f>gescon_infosparticip!BK155</f>
        <v/>
      </c>
      <c r="X156" t="str">
        <f>gescon_infosparticip!BL155</f>
        <v/>
      </c>
      <c r="Y156" t="str">
        <f>gescon_infosparticip!BM155</f>
        <v/>
      </c>
    </row>
    <row r="157" spans="2:25" ht="15.75" customHeight="1" x14ac:dyDescent="0.25">
      <c r="B157">
        <f>gescon_infosparticip!A156</f>
        <v>1195664924</v>
      </c>
      <c r="C157" t="str">
        <f>gescon_infosparticip!AH156</f>
        <v>Manger : couper petit les aliments - cuillère coudée assiette avec bord plasique. Utilise sa main gauche. Elle mange dans sa chaise roulante</v>
      </c>
      <c r="D157" t="str">
        <f>gescon_infosparticip!AI156</f>
        <v/>
      </c>
      <c r="E157" t="str">
        <f>gescon_infosparticip!AJ156</f>
        <v>Féculent : 1 cuillère seulement - en petite quantité. Fgaire gaffe à son poids</v>
      </c>
      <c r="F157" t="str">
        <f>gescon_infosparticip!AK156</f>
        <v/>
      </c>
      <c r="G157" t="str">
        <f>gescon_infosparticip!AL156</f>
        <v>-</v>
      </c>
      <c r="H157" t="str">
        <f>gescon_infosparticip!AM156</f>
        <v>Boire : Verre avec tubulure</v>
      </c>
      <c r="I157" t="str">
        <f>gescon_infosparticip!AN156</f>
        <v>Café et thé le matin</v>
      </c>
      <c r="J157" t="str">
        <f>gescon_infosparticip!AO156</f>
        <v/>
      </c>
      <c r="K157" t="str">
        <f>gescon_infosparticip!AP156</f>
        <v/>
      </c>
      <c r="L157" t="str">
        <f>gescon_infosparticip!AQ156</f>
        <v/>
      </c>
      <c r="M157">
        <f>gescon_infosparticip!BA156</f>
        <v>0</v>
      </c>
      <c r="N157">
        <f>gescon_infosparticip!BB156</f>
        <v>0</v>
      </c>
      <c r="O157">
        <f>gescon_infosparticip!BC156</f>
        <v>0</v>
      </c>
      <c r="P157">
        <f>gescon_infosparticip!BD156</f>
        <v>2146188974</v>
      </c>
      <c r="Q157">
        <f>gescon_infosparticip!BE156</f>
        <v>2146188974</v>
      </c>
      <c r="R157" t="str">
        <f>gescon_infosparticip!BF156</f>
        <v>40 223</v>
      </c>
      <c r="S157" t="str">
        <f>gescon_infosparticip!BG156</f>
        <v>IMC</v>
      </c>
      <c r="T157" t="str">
        <f>gescon_infosparticip!BH156</f>
        <v>Problèmes de vue</v>
      </c>
      <c r="U157" t="str">
        <f>gescon_infosparticip!BI156</f>
        <v>Elevé</v>
      </c>
      <c r="V157" t="str">
        <f>gescon_infosparticip!BJ156</f>
        <v>Soleil (casquette et crème obligatoire)</v>
      </c>
      <c r="W157" t="str">
        <f>gescon_infosparticip!BK156</f>
        <v>Aide totale - laver les cheveux un jour sur 2 - Crème pour le visage - douche sur  le chariot douche.</v>
      </c>
      <c r="X157" t="str">
        <f>gescon_infosparticip!BL156</f>
        <v>Chaise percée : midi et soir avec emploi de l'élévateur pour aller aux toilettes. lange : jour et nuit</v>
      </c>
      <c r="Y157" t="str">
        <f>gescon_infosparticip!BM156</f>
        <v/>
      </c>
    </row>
    <row r="158" spans="2:25" ht="15.75" customHeight="1" x14ac:dyDescent="0.25">
      <c r="B158">
        <f>gescon_infosparticip!A157</f>
        <v>1196153139</v>
      </c>
      <c r="C158" t="str">
        <f>gescon_infosparticip!AH157</f>
        <v>les gros morceaux ET de parler en mangeant car il s’étouffe. Il mange seul, l’aider en fin de repas, mixer, il a une cuillère spéciale et un rebord d’assiette. Pour boire, il a une bouteille avec un bec et  utiliser une paille pour facilité la prise de boisson. Il n’aime pas prendre sa boisson tout seul.</v>
      </c>
      <c r="D158" t="str">
        <f>gescon_infosparticip!AI157</f>
        <v/>
      </c>
      <c r="E158" t="str">
        <f>gescon_infosparticip!AJ157</f>
        <v>Il mange mixé</v>
      </c>
      <c r="F158" t="str">
        <f>gescon_infosparticip!AK157</f>
        <v/>
      </c>
      <c r="G158" t="str">
        <f>gescon_infosparticip!AL157</f>
        <v/>
      </c>
      <c r="H158" t="str">
        <f>gescon_infosparticip!AM157</f>
        <v>de temps en temps il peut boire une bière sans alcool. Il n’apprécie pas trop les fruits. Le matin il apprécie le café, le jus d’orange, bircher et yogourt et aussi les sandwichs. Il aime beaucoup les pâtes. Il boit avec l’épaississant.</v>
      </c>
      <c r="I158" t="str">
        <f>gescon_infosparticip!AN157</f>
        <v/>
      </c>
      <c r="J158" t="str">
        <f>gescon_infosparticip!AO157</f>
        <v/>
      </c>
      <c r="K158" t="str">
        <f>gescon_infosparticip!AP157</f>
        <v>boissons gazeuses</v>
      </c>
      <c r="L158" t="str">
        <f>gescon_infosparticip!AQ157</f>
        <v/>
      </c>
      <c r="M158">
        <f>gescon_infosparticip!BA157</f>
        <v>107</v>
      </c>
      <c r="N158">
        <f>gescon_infosparticip!BB157</f>
        <v>0</v>
      </c>
      <c r="O158">
        <f>gescon_infosparticip!BC157</f>
        <v>0</v>
      </c>
      <c r="P158">
        <f>gescon_infosparticip!BD157</f>
        <v>2146189018</v>
      </c>
      <c r="Q158">
        <f>gescon_infosparticip!BE157</f>
        <v>2146189018</v>
      </c>
      <c r="R158" t="str">
        <f>gescon_infosparticip!BF157</f>
        <v>962 06 19 067</v>
      </c>
      <c r="S158" t="str">
        <f>gescon_infosparticip!BG157</f>
        <v>Leucodistrophie dégénérative</v>
      </c>
      <c r="T158" t="str">
        <f>gescon_infosparticip!BH157</f>
        <v>handicap mental, troubles moteurs,</v>
      </c>
      <c r="U158" t="str">
        <f>gescon_infosparticip!BI157</f>
        <v>Elevé</v>
      </c>
      <c r="V158" t="str">
        <f>gescon_infosparticip!BJ157</f>
        <v>A protéger du soleil, en cas de douleur ne supporte que le Dafalgan, il est allergique à l’Aspirin + Peniciline</v>
      </c>
      <c r="W158" t="str">
        <f>gescon_infosparticip!BK157</f>
        <v>Jean-Claude a besoin d’une aide complète pour sa toilette (laver le visage, les dents, coiffer, etc.) Le soir à faire un massage des pieds avec Valcosa ou une crème grasse afin de stimuler la circulation sanguine. Le matin sur son lit lui stimuler les deux jambes en lui faisant faire le geste du « pédaleur ». Constipation lui administrer Practolyss chaque 3 à 4 jours. Pas nécessaire s’il boit du jus de pomme. Tous les matins quelques pruneaux secs.</v>
      </c>
      <c r="X158" t="str">
        <f>gescon_infosparticip!BL157</f>
        <v>?  Il est langé jour et nuit. Lui changer le lange 3 à 4 fois par jour (lever, dîner, avant le coucher et si nécessaire). Ne pas le mettre sur les toilettes, mais veiller qu’il n’ait pas de rougeur sur les fesses, sinon lui appliquer une crème.</v>
      </c>
      <c r="Y158" t="str">
        <f>gescon_infosparticip!BM157</f>
        <v/>
      </c>
    </row>
    <row r="159" spans="2:25" ht="15.75" customHeight="1" x14ac:dyDescent="0.25">
      <c r="B159">
        <f>gescon_infosparticip!A158</f>
        <v>1197467512</v>
      </c>
      <c r="C159" t="str">
        <f>gescon_infosparticip!AH158</f>
        <v>lui couper la nourriture. Il mange seul avec son assiette et sa cuillère spéciale mais a parfois besoin d'un peu d'aide.</v>
      </c>
      <c r="D159" t="str">
        <f>gescon_infosparticip!AI158</f>
        <v>aime le bircher au petit-déjeuner</v>
      </c>
      <c r="E159" t="str">
        <f>gescon_infosparticip!AJ158</f>
        <v>Steeve a beaucoup maigri, il peut manger sans autre.</v>
      </c>
      <c r="F159" t="str">
        <f>gescon_infosparticip!AK158</f>
        <v>les choux, la charcuterie, les concombres, les endives cuites, les fenouils</v>
      </c>
      <c r="G159" t="str">
        <f>gescon_infosparticip!AL158</f>
        <v/>
      </c>
      <c r="H159" t="str">
        <f>gescon_infosparticip!AM158</f>
        <v>Avec son gobelet ou sinon dans un verre normal avec une paille</v>
      </c>
      <c r="I159" t="str">
        <f>gescon_infosparticip!AN158</f>
        <v/>
      </c>
      <c r="J159" t="str">
        <f>gescon_infosparticip!AO158</f>
        <v/>
      </c>
      <c r="K159" t="str">
        <f>gescon_infosparticip!AP158</f>
        <v/>
      </c>
      <c r="L159" t="str">
        <f>gescon_infosparticip!AQ158</f>
        <v/>
      </c>
      <c r="M159">
        <f>gescon_infosparticip!BA158</f>
        <v>107</v>
      </c>
      <c r="N159">
        <f>gescon_infosparticip!BB158</f>
        <v>0</v>
      </c>
      <c r="O159">
        <f>gescon_infosparticip!BC158</f>
        <v>0</v>
      </c>
      <c r="P159">
        <f>gescon_infosparticip!BD158</f>
        <v>2146189005</v>
      </c>
      <c r="Q159">
        <f>gescon_infosparticip!BE158</f>
        <v>0</v>
      </c>
      <c r="R159" t="str">
        <f>gescon_infosparticip!BF158</f>
        <v>454-29-544</v>
      </c>
      <c r="S159" t="str">
        <f>gescon_infosparticip!BG158</f>
        <v>IMC</v>
      </c>
      <c r="T159" t="str">
        <f>gescon_infosparticip!BH158</f>
        <v>léger retard mental, troubles moteurs, malvoyant, malformation à la hanche droite et spasticité très forte en cas d'émotion</v>
      </c>
      <c r="U159" t="str">
        <f>gescon_infosparticip!BI158</f>
        <v>Elevé</v>
      </c>
      <c r="V159" t="str">
        <f>gescon_infosparticip!BJ158</f>
        <v>protéger du soleil (casquette, crème, lunettes)</v>
      </c>
      <c r="W159" t="str">
        <f>gescon_infosparticip!BK158</f>
        <v>Aide totale. Douche chaque 2 jours. Bien le sécher après la toilette. En cas de boutons de chaleur appliquer Dalasin. Steeve a le pied gauche marqué par plusieurs petits accidents, ces marques ne partent pas. Ce ne sont pas des escarres, juste masser le pied afin de faire circuler le sang. Etre attentif aux mycoses entre les orteils</v>
      </c>
      <c r="X159" t="str">
        <f>gescon_infosparticip!BL158</f>
        <v>langé jour et nuit. Changer la protection matin, midi et soir et en cas de besoin. Le matin et le soir lui mettre la bouteille. En cas de long déplacement, lui rajouter une languette dans la protection.</v>
      </c>
      <c r="Y159" t="str">
        <f>gescon_infosparticip!BM158</f>
        <v>masser régulièrement les fesses, les chevilles et les pieds avec la crème Vacosa matin et soir. Etre attentif au rougeur au niveau du siège et des pieds.</v>
      </c>
    </row>
    <row r="160" spans="2:25" ht="15.75" customHeight="1" x14ac:dyDescent="0.25">
      <c r="B160">
        <f>gescon_infosparticip!A159</f>
        <v>1201506572</v>
      </c>
      <c r="C160" t="str">
        <f>gescon_infosparticip!AH159</f>
        <v/>
      </c>
      <c r="D160" t="str">
        <f>gescon_infosparticip!AI159</f>
        <v/>
      </c>
      <c r="E160" t="str">
        <f>gescon_infosparticip!AJ159</f>
        <v/>
      </c>
      <c r="F160" t="str">
        <f>gescon_infosparticip!AK159</f>
        <v/>
      </c>
      <c r="G160" t="str">
        <f>gescon_infosparticip!AL159</f>
        <v/>
      </c>
      <c r="H160" t="str">
        <f>gescon_infosparticip!AM159</f>
        <v/>
      </c>
      <c r="I160" t="str">
        <f>gescon_infosparticip!AN159</f>
        <v/>
      </c>
      <c r="J160" t="str">
        <f>gescon_infosparticip!AO159</f>
        <v/>
      </c>
      <c r="K160" t="str">
        <f>gescon_infosparticip!AP159</f>
        <v/>
      </c>
      <c r="L160" t="str">
        <f>gescon_infosparticip!AQ159</f>
        <v/>
      </c>
      <c r="M160">
        <f>gescon_infosparticip!BA159</f>
        <v>0</v>
      </c>
      <c r="N160">
        <f>gescon_infosparticip!BB159</f>
        <v>0</v>
      </c>
      <c r="O160">
        <f>gescon_infosparticip!BC159</f>
        <v>0</v>
      </c>
      <c r="P160">
        <f>gescon_infosparticip!BD159</f>
        <v>0</v>
      </c>
      <c r="Q160">
        <f>gescon_infosparticip!BE159</f>
        <v>0</v>
      </c>
      <c r="R160" t="str">
        <f>gescon_infosparticip!BF159</f>
        <v/>
      </c>
      <c r="S160" t="str">
        <f>gescon_infosparticip!BG159</f>
        <v/>
      </c>
      <c r="T160" t="str">
        <f>gescon_infosparticip!BH159</f>
        <v/>
      </c>
      <c r="U160" t="str">
        <f>gescon_infosparticip!BI159</f>
        <v/>
      </c>
      <c r="V160" t="str">
        <f>gescon_infosparticip!BJ159</f>
        <v/>
      </c>
      <c r="W160" t="str">
        <f>gescon_infosparticip!BK159</f>
        <v/>
      </c>
      <c r="X160" t="str">
        <f>gescon_infosparticip!BL159</f>
        <v/>
      </c>
      <c r="Y160" t="str">
        <f>gescon_infosparticip!BM159</f>
        <v/>
      </c>
    </row>
    <row r="161" spans="2:25" ht="15.75" customHeight="1" x14ac:dyDescent="0.25">
      <c r="B161">
        <f>gescon_infosparticip!A160</f>
        <v>1201536087</v>
      </c>
      <c r="C161" t="str">
        <f>gescon_infosparticip!AH160</f>
        <v/>
      </c>
      <c r="D161" t="str">
        <f>gescon_infosparticip!AI160</f>
        <v/>
      </c>
      <c r="E161" t="str">
        <f>gescon_infosparticip!AJ160</f>
        <v/>
      </c>
      <c r="F161" t="str">
        <f>gescon_infosparticip!AK160</f>
        <v/>
      </c>
      <c r="G161" t="str">
        <f>gescon_infosparticip!AL160</f>
        <v/>
      </c>
      <c r="H161" t="str">
        <f>gescon_infosparticip!AM160</f>
        <v/>
      </c>
      <c r="I161" t="str">
        <f>gescon_infosparticip!AN160</f>
        <v/>
      </c>
      <c r="J161" t="str">
        <f>gescon_infosparticip!AO160</f>
        <v/>
      </c>
      <c r="K161" t="str">
        <f>gescon_infosparticip!AP160</f>
        <v/>
      </c>
      <c r="L161" t="str">
        <f>gescon_infosparticip!AQ160</f>
        <v/>
      </c>
      <c r="M161">
        <f>gescon_infosparticip!BA160</f>
        <v>0</v>
      </c>
      <c r="N161">
        <f>gescon_infosparticip!BB160</f>
        <v>0</v>
      </c>
      <c r="O161">
        <f>gescon_infosparticip!BC160</f>
        <v>0</v>
      </c>
      <c r="P161">
        <f>gescon_infosparticip!BD160</f>
        <v>0</v>
      </c>
      <c r="Q161">
        <f>gescon_infosparticip!BE160</f>
        <v>0</v>
      </c>
      <c r="R161" t="str">
        <f>gescon_infosparticip!BF160</f>
        <v/>
      </c>
      <c r="S161" t="str">
        <f>gescon_infosparticip!BG160</f>
        <v/>
      </c>
      <c r="T161" t="str">
        <f>gescon_infosparticip!BH160</f>
        <v/>
      </c>
      <c r="U161" t="str">
        <f>gescon_infosparticip!BI160</f>
        <v/>
      </c>
      <c r="V161" t="str">
        <f>gescon_infosparticip!BJ160</f>
        <v/>
      </c>
      <c r="W161" t="str">
        <f>gescon_infosparticip!BK160</f>
        <v/>
      </c>
      <c r="X161" t="str">
        <f>gescon_infosparticip!BL160</f>
        <v/>
      </c>
      <c r="Y161" t="str">
        <f>gescon_infosparticip!BM160</f>
        <v/>
      </c>
    </row>
    <row r="162" spans="2:25" ht="15.75" customHeight="1" x14ac:dyDescent="0.25">
      <c r="B162">
        <f>gescon_infosparticip!A161</f>
        <v>1206538880</v>
      </c>
      <c r="C162" t="str">
        <f>gescon_infosparticip!AH161</f>
        <v>Il faut lui couper les aliments et lui donner.</v>
      </c>
      <c r="D162" t="str">
        <f>gescon_infosparticip!AI161</f>
        <v/>
      </c>
      <c r="E162" t="str">
        <f>gescon_infosparticip!AJ161</f>
        <v/>
      </c>
      <c r="F162" t="str">
        <f>gescon_infosparticip!AK161</f>
        <v/>
      </c>
      <c r="G162" t="str">
        <f>gescon_infosparticip!AL161</f>
        <v>Viande de porc.</v>
      </c>
      <c r="H162" t="str">
        <f>gescon_infosparticip!AM161</f>
        <v>Il boit dans un verre et apprécie toutes les boissons.</v>
      </c>
      <c r="I162" t="str">
        <f>gescon_infosparticip!AN161</f>
        <v/>
      </c>
      <c r="J162" t="str">
        <f>gescon_infosparticip!AO161</f>
        <v/>
      </c>
      <c r="K162" t="str">
        <f>gescon_infosparticip!AP161</f>
        <v/>
      </c>
      <c r="L162" t="str">
        <f>gescon_infosparticip!AQ161</f>
        <v/>
      </c>
      <c r="M162">
        <f>gescon_infosparticip!BA161</f>
        <v>2146189424</v>
      </c>
      <c r="N162">
        <f>gescon_infosparticip!BB161</f>
        <v>2146189425</v>
      </c>
      <c r="O162">
        <f>gescon_infosparticip!BC161</f>
        <v>0</v>
      </c>
      <c r="P162">
        <f>gescon_infosparticip!BD161</f>
        <v>2146188975</v>
      </c>
      <c r="Q162">
        <f>gescon_infosparticip!BE161</f>
        <v>2146188975</v>
      </c>
      <c r="R162" t="str">
        <f>gescon_infosparticip!BF161</f>
        <v>08 283 20 867</v>
      </c>
      <c r="S162" t="str">
        <f>gescon_infosparticip!BG161</f>
        <v>IMC</v>
      </c>
      <c r="T162" t="str">
        <f>gescon_infosparticip!BH161</f>
        <v/>
      </c>
      <c r="U162" t="str">
        <f>gescon_infosparticip!BI161</f>
        <v>Moyen</v>
      </c>
      <c r="V162" t="str">
        <f>gescon_infosparticip!BJ161</f>
        <v>Au printemps il a des irritations aux yeux, des éternuements et le nez qui coule.</v>
      </c>
      <c r="W162" t="str">
        <f>gescon_infosparticip!BK161</f>
        <v>Il y arrive avec de l'aide et il explique comment faire.</v>
      </c>
      <c r="X162" t="str">
        <f>gescon_infosparticip!BL161</f>
        <v>Il est propre et va aux toilettes normales avec l'aide des barres pour s'asseoir. Il est langé lors de sorties particulières, ex. match de foot, à discuter avec Emir selon l'activité. Il utilise la bouteille pour uriner. En principe, elle se trouve dans son sac à dos derrière sa chaise.</v>
      </c>
      <c r="Y162" t="str">
        <f>gescon_infosparticip!BM161</f>
        <v/>
      </c>
    </row>
    <row r="163" spans="2:25" ht="15.75" customHeight="1" x14ac:dyDescent="0.25">
      <c r="B163">
        <f>gescon_infosparticip!A162</f>
        <v>1210064527</v>
      </c>
      <c r="C163" t="str">
        <f>gescon_infosparticip!AH162</f>
        <v>Éviter de mettre Fabien en face de son frère (Léonard) durant les repas, car ils ont tendance à se provoquer.
Éviter qu'il mange trop.</v>
      </c>
      <c r="D163" t="str">
        <f>gescon_infosparticip!AI162</f>
        <v/>
      </c>
      <c r="E163" t="str">
        <f>gescon_infosparticip!AJ162</f>
        <v>Ne pas lui laisser trop manger</v>
      </c>
      <c r="F163" t="str">
        <f>gescon_infosparticip!AK162</f>
        <v/>
      </c>
      <c r="G163" t="str">
        <f>gescon_infosparticip!AL162</f>
        <v/>
      </c>
      <c r="H163" t="str">
        <f>gescon_infosparticip!AM162</f>
        <v/>
      </c>
      <c r="I163" t="str">
        <f>gescon_infosparticip!AN162</f>
        <v/>
      </c>
      <c r="J163" t="str">
        <f>gescon_infosparticip!AO162</f>
        <v/>
      </c>
      <c r="K163" t="str">
        <f>gescon_infosparticip!AP162</f>
        <v/>
      </c>
      <c r="L163" t="str">
        <f>gescon_infosparticip!AQ162</f>
        <v/>
      </c>
      <c r="M163">
        <f>gescon_infosparticip!BA162</f>
        <v>2146189153</v>
      </c>
      <c r="N163">
        <f>gescon_infosparticip!BB162</f>
        <v>0</v>
      </c>
      <c r="O163">
        <f>gescon_infosparticip!BC162</f>
        <v>0</v>
      </c>
      <c r="P163">
        <f>gescon_infosparticip!BD162</f>
        <v>2146188979</v>
      </c>
      <c r="Q163">
        <f>gescon_infosparticip!BE162</f>
        <v>2146188979</v>
      </c>
      <c r="R163" t="str">
        <f>gescon_infosparticip!BF162</f>
        <v>198 26 569</v>
      </c>
      <c r="S163" t="str">
        <f>gescon_infosparticip!BG162</f>
        <v>IMC Léger</v>
      </c>
      <c r="T163" t="str">
        <f>gescon_infosparticip!BH162</f>
        <v>Handicap mental : Fabien à besoin d'être cadré, car il a parfois des comportements inadéquats.</v>
      </c>
      <c r="U163" t="str">
        <f>gescon_infosparticip!BI162</f>
        <v>Elevé</v>
      </c>
      <c r="V163" t="str">
        <f>gescon_infosparticip!BJ162</f>
        <v>Protéger Fabien du soleil. Chapeau, crème</v>
      </c>
      <c r="W163" t="str">
        <f>gescon_infosparticip!BK162</f>
        <v>Aide nécessaire, avoir un œil sur son hygiène</v>
      </c>
      <c r="X163" t="str">
        <f>gescon_infosparticip!BL162</f>
        <v>Fabien est autonome.</v>
      </c>
      <c r="Y163" t="str">
        <f>gescon_infosparticip!BM162</f>
        <v/>
      </c>
    </row>
    <row r="164" spans="2:25" ht="15.75" customHeight="1" x14ac:dyDescent="0.25">
      <c r="B164">
        <f>gescon_infosparticip!A163</f>
        <v>1219752667</v>
      </c>
      <c r="C164" t="str">
        <f>gescon_infosparticip!AH163</f>
        <v>Lucie mange de tout. Elle porte une bavette durant les repas, elle mange avec une assiette creuse avec un rebord d'assiette et une petite fourchette. Afin que Lucie garde un rythme normal et calme lorsqu'elle mange, nous devons intervenir afin qu'elle fasse des pauses entre deux fourchettes. Comme dessert, Lucie raffole des barres de &lt;&lt; Balisto &gt;&gt;. Nous devons lui couper tout petits les aliments sinon elle ne mâche pas et risque de fausse route.</v>
      </c>
      <c r="D164" t="str">
        <f>gescon_infosparticip!AI163</f>
        <v>Lucie mange de tout, elle apprécie les fromages, crèmes, beurre, (les douceurs). Elle aime les purées de fruits, par exemple : purée de pommes, purée de poires.</v>
      </c>
      <c r="E164" t="str">
        <f>gescon_infosparticip!AJ163</f>
        <v/>
      </c>
      <c r="F164" t="str">
        <f>gescon_infosparticip!AK163</f>
        <v>Eviter les aliments trop gras, risque de problèmes de digestion. Lucie n'apprécie pas les fruits nature, bananes, oranges, pommes.</v>
      </c>
      <c r="G164" t="str">
        <f>gescon_infosparticip!AL163</f>
        <v/>
      </c>
      <c r="H164" t="str">
        <f>gescon_infosparticip!AM163</f>
        <v>Dans un verre en plastique, avec des petites quantités, autrement elle peut  renverser le verre.</v>
      </c>
      <c r="I164" t="str">
        <f>gescon_infosparticip!AN163</f>
        <v>Sirop, jus</v>
      </c>
      <c r="J164" t="str">
        <f>gescon_infosparticip!AO163</f>
        <v>Lucie boit bien tous les liquides sucrés.</v>
      </c>
      <c r="K164" t="str">
        <f>gescon_infosparticip!AP163</f>
        <v>Les sodas</v>
      </c>
      <c r="L164" t="str">
        <f>gescon_infosparticip!AQ163</f>
        <v/>
      </c>
      <c r="M164">
        <f>gescon_infosparticip!BA163</f>
        <v>2146189787</v>
      </c>
      <c r="N164">
        <f>gescon_infosparticip!BB163</f>
        <v>2146190061</v>
      </c>
      <c r="O164">
        <f>gescon_infosparticip!BC163</f>
        <v>0</v>
      </c>
      <c r="P164">
        <f>gescon_infosparticip!BD163</f>
        <v>0</v>
      </c>
      <c r="Q164">
        <f>gescon_infosparticip!BE163</f>
        <v>0</v>
      </c>
      <c r="R164" t="str">
        <f>gescon_infosparticip!BF163</f>
        <v/>
      </c>
      <c r="S164" t="str">
        <f>gescon_infosparticip!BG163</f>
        <v>Troubles du spectre autistique</v>
      </c>
      <c r="T164" t="str">
        <f>gescon_infosparticip!BH163</f>
        <v>Déficience mentale profonde, épileptique, scoliose thoraco-lombaire</v>
      </c>
      <c r="U164" t="str">
        <f>gescon_infosparticip!BI163</f>
        <v>Moyen</v>
      </c>
      <c r="V164" t="str">
        <f>gescon_infosparticip!BJ163</f>
        <v>Lucie est allergique aux pollens.</v>
      </c>
      <c r="W164" t="str">
        <f>gescon_infosparticip!BK163</f>
        <v>Lucie est dépendante de l'accompagnant pour tous les actes concernant son hygiène; changement de protection, douche, habillage.</v>
      </c>
      <c r="X164" t="str">
        <f>gescon_infosparticip!BL163</f>
        <v>Lucie est langé jours et nuits.</v>
      </c>
      <c r="Y164" t="str">
        <f>gescon_infosparticip!BM163</f>
        <v>Lucie n'a pas d'escarres.</v>
      </c>
    </row>
    <row r="165" spans="2:25" ht="15.75" customHeight="1" x14ac:dyDescent="0.25">
      <c r="B165">
        <f>gescon_infosparticip!A164</f>
        <v>1220344826</v>
      </c>
      <c r="C165" t="str">
        <f>gescon_infosparticip!AH164</f>
        <v>Elle est autonome pour manger. Elle mange avec un support en bois légèrement incliné, une assiette creuse. Elle mange avec une cuillière noire avec sa main droite. Il faut lui couper tous les aliments.</v>
      </c>
      <c r="D165" t="str">
        <f>gescon_infosparticip!AI164</f>
        <v/>
      </c>
      <c r="E165" t="str">
        <f>gescon_infosparticip!AJ164</f>
        <v>Elle doit faire attention à son poids ; elle prend donc peu de féculents, et pour le dessert, elle a le droit à un fruit.</v>
      </c>
      <c r="F165" t="str">
        <f>gescon_infosparticip!AK164</f>
        <v>Patrizia n'apprecie pas les viandes blanches comme la dinde, lui faire goûter etb elle sait dire si elle n'aime pas.</v>
      </c>
      <c r="G165" t="str">
        <f>gescon_infosparticip!AL164</f>
        <v/>
      </c>
      <c r="H165" t="str">
        <f>gescon_infosparticip!AM164</f>
        <v>Autonome</v>
      </c>
      <c r="I165" t="str">
        <f>gescon_infosparticip!AN164</f>
        <v>thé froid, coca light et café</v>
      </c>
      <c r="J165" t="str">
        <f>gescon_infosparticip!AO164</f>
        <v>Eau pour les repas car régime stricte</v>
      </c>
      <c r="K165" t="str">
        <f>gescon_infosparticip!AP164</f>
        <v/>
      </c>
      <c r="L165" t="str">
        <f>gescon_infosparticip!AQ164</f>
        <v/>
      </c>
      <c r="M165">
        <f>gescon_infosparticip!BA164</f>
        <v>107</v>
      </c>
      <c r="N165">
        <f>gescon_infosparticip!BB164</f>
        <v>0</v>
      </c>
      <c r="O165">
        <f>gescon_infosparticip!BC164</f>
        <v>0</v>
      </c>
      <c r="P165">
        <f>gescon_infosparticip!BD164</f>
        <v>2146188976</v>
      </c>
      <c r="Q165">
        <f>gescon_infosparticip!BE164</f>
        <v>0</v>
      </c>
      <c r="R165" t="str">
        <f>gescon_infosparticip!BF164</f>
        <v>182-94-300</v>
      </c>
      <c r="S165" t="str">
        <f>gescon_infosparticip!BG164</f>
        <v>retard du développement général, hydrocéphalie</v>
      </c>
      <c r="T165" t="str">
        <f>gescon_infosparticip!BH164</f>
        <v/>
      </c>
      <c r="U165" t="str">
        <f>gescon_infosparticip!BI164</f>
        <v>Elevé</v>
      </c>
      <c r="V165" t="str">
        <f>gescon_infosparticip!BJ164</f>
        <v>Aucune allergie connue</v>
      </c>
      <c r="W165" t="str">
        <f>gescon_infosparticip!BK164</f>
        <v>Patrizia est douchée tous les matins. Il faut la nettoyer, la rincer et la sécher. Elle s'habille ensuite même.</v>
      </c>
      <c r="X165" t="str">
        <f>gescon_infosparticip!BL164</f>
        <v>Patrizia est langée jour et nuit. Elle peut demander pour aller au toilette sur la chaise percée (souvent avant la douche).</v>
      </c>
      <c r="Y165" t="str">
        <f>gescon_infosparticip!BM164</f>
        <v/>
      </c>
    </row>
    <row r="166" spans="2:25" ht="15.75" customHeight="1" x14ac:dyDescent="0.25">
      <c r="B166">
        <f>gescon_infosparticip!A165</f>
        <v>1228834647</v>
      </c>
      <c r="C166" t="str">
        <f>gescon_infosparticip!AH165</f>
        <v/>
      </c>
      <c r="D166" t="str">
        <f>gescon_infosparticip!AI165</f>
        <v/>
      </c>
      <c r="E166" t="str">
        <f>gescon_infosparticip!AJ165</f>
        <v/>
      </c>
      <c r="F166" t="str">
        <f>gescon_infosparticip!AK165</f>
        <v/>
      </c>
      <c r="G166" t="str">
        <f>gescon_infosparticip!AL165</f>
        <v/>
      </c>
      <c r="H166" t="str">
        <f>gescon_infosparticip!AM165</f>
        <v/>
      </c>
      <c r="I166" t="str">
        <f>gescon_infosparticip!AN165</f>
        <v/>
      </c>
      <c r="J166" t="str">
        <f>gescon_infosparticip!AO165</f>
        <v/>
      </c>
      <c r="K166" t="str">
        <f>gescon_infosparticip!AP165</f>
        <v/>
      </c>
      <c r="L166" t="str">
        <f>gescon_infosparticip!AQ165</f>
        <v/>
      </c>
      <c r="M166">
        <f>gescon_infosparticip!BA165</f>
        <v>0</v>
      </c>
      <c r="N166">
        <f>gescon_infosparticip!BB165</f>
        <v>0</v>
      </c>
      <c r="O166">
        <f>gescon_infosparticip!BC165</f>
        <v>0</v>
      </c>
      <c r="P166">
        <f>gescon_infosparticip!BD165</f>
        <v>0</v>
      </c>
      <c r="Q166">
        <f>gescon_infosparticip!BE165</f>
        <v>0</v>
      </c>
      <c r="R166" t="str">
        <f>gescon_infosparticip!BF165</f>
        <v/>
      </c>
      <c r="S166" t="str">
        <f>gescon_infosparticip!BG165</f>
        <v/>
      </c>
      <c r="T166" t="str">
        <f>gescon_infosparticip!BH165</f>
        <v/>
      </c>
      <c r="U166" t="str">
        <f>gescon_infosparticip!BI165</f>
        <v/>
      </c>
      <c r="V166" t="str">
        <f>gescon_infosparticip!BJ165</f>
        <v/>
      </c>
      <c r="W166" t="str">
        <f>gescon_infosparticip!BK165</f>
        <v/>
      </c>
      <c r="X166" t="str">
        <f>gescon_infosparticip!BL165</f>
        <v/>
      </c>
      <c r="Y166" t="str">
        <f>gescon_infosparticip!BM165</f>
        <v/>
      </c>
    </row>
    <row r="167" spans="2:25" ht="15.75" customHeight="1" x14ac:dyDescent="0.25">
      <c r="B167">
        <f>gescon_infosparticip!A166</f>
        <v>1228835384</v>
      </c>
      <c r="C167" t="str">
        <f>gescon_infosparticip!AH166</f>
        <v>Aide totale :couper et lui donner à manger.</v>
      </c>
      <c r="D167" t="str">
        <f>gescon_infosparticip!AI166</f>
        <v>Sophie choisit ce qu'elle désire manger. Elle mange de tout.</v>
      </c>
      <c r="E167" t="str">
        <f>gescon_infosparticip!AJ166</f>
        <v>Eviter trop de féculents et sucreries</v>
      </c>
      <c r="F167" t="str">
        <f>gescon_infosparticip!AK166</f>
        <v/>
      </c>
      <c r="G167" t="str">
        <f>gescon_infosparticip!AL166</f>
        <v/>
      </c>
      <c r="H167" t="str">
        <f>gescon_infosparticip!AM166</f>
        <v>Dans un gobelet et une tubulure.</v>
      </c>
      <c r="I167" t="str">
        <f>gescon_infosparticip!AN166</f>
        <v>café, jus de fruits.</v>
      </c>
      <c r="J167" t="str">
        <f>gescon_infosparticip!AO166</f>
        <v/>
      </c>
      <c r="K167" t="str">
        <f>gescon_infosparticip!AP166</f>
        <v/>
      </c>
      <c r="L167" t="str">
        <f>gescon_infosparticip!AQ166</f>
        <v/>
      </c>
      <c r="M167">
        <f>gescon_infosparticip!BA166</f>
        <v>107</v>
      </c>
      <c r="N167">
        <f>gescon_infosparticip!BB166</f>
        <v>0</v>
      </c>
      <c r="O167">
        <f>gescon_infosparticip!BC166</f>
        <v>0</v>
      </c>
      <c r="P167">
        <f>gescon_infosparticip!BD166</f>
        <v>2146188974</v>
      </c>
      <c r="Q167">
        <f>gescon_infosparticip!BE166</f>
        <v>2146188974</v>
      </c>
      <c r="R167" t="str">
        <f>gescon_infosparticip!BF166</f>
        <v>1021</v>
      </c>
      <c r="S167" t="str">
        <f>gescon_infosparticip!BG166</f>
        <v>Tétraplégie spastique et post-traumatique</v>
      </c>
      <c r="T167" t="str">
        <f>gescon_infosparticip!BH166</f>
        <v>Traumatisme cérébral et troubles moteurs</v>
      </c>
      <c r="U167" t="str">
        <f>gescon_infosparticip!BI166</f>
        <v>Elevé</v>
      </c>
      <c r="V167" t="str">
        <f>gescon_infosparticip!BJ166</f>
        <v>Soleil : à protéger - en cas de canicule ou de forte chaleur: surélever les jambes et augmenter les changements de position - voir médication</v>
      </c>
      <c r="W167" t="str">
        <f>gescon_infosparticip!BK166</f>
        <v>Aide totale . Bien laver et sécher les plis du ventre, inguinaux, sous les bras, sous les seins et les orteils et sécher au foehn. Attention aux plis des coudes et entre les doigts. Supporte les produits de douche mais ne pas lui mettre de déo. Matin et soir : laver le visage à l'eau et lui mettre que de la crème exipial. Lui raser le menton si besoin.Lundi et vendredi practo.</v>
      </c>
      <c r="X167" t="str">
        <f>gescon_infosparticip!BL166</f>
        <v>Sophie est langée jour et nuit. Nous lui mettons un vase après le dîner et le souper. Le lundi matin et vendredi matin un practo. Elle fait ses selles sur les toilettes installées sur une chaise percée.</v>
      </c>
      <c r="Y167" t="str">
        <f>gescon_infosparticip!BM166</f>
        <v>Longue période assise - inclinaison dans le fauteuil</v>
      </c>
    </row>
    <row r="168" spans="2:25" ht="15.75" customHeight="1" x14ac:dyDescent="0.25">
      <c r="B168">
        <f>gescon_infosparticip!A167</f>
        <v>1228837894</v>
      </c>
      <c r="C168" t="str">
        <f>gescon_infosparticip!AH167</f>
        <v/>
      </c>
      <c r="D168" t="str">
        <f>gescon_infosparticip!AI167</f>
        <v/>
      </c>
      <c r="E168" t="str">
        <f>gescon_infosparticip!AJ167</f>
        <v/>
      </c>
      <c r="F168" t="str">
        <f>gescon_infosparticip!AK167</f>
        <v/>
      </c>
      <c r="G168" t="str">
        <f>gescon_infosparticip!AL167</f>
        <v/>
      </c>
      <c r="H168" t="str">
        <f>gescon_infosparticip!AM167</f>
        <v/>
      </c>
      <c r="I168" t="str">
        <f>gescon_infosparticip!AN167</f>
        <v/>
      </c>
      <c r="J168" t="str">
        <f>gescon_infosparticip!AO167</f>
        <v/>
      </c>
      <c r="K168" t="str">
        <f>gescon_infosparticip!AP167</f>
        <v/>
      </c>
      <c r="L168" t="str">
        <f>gescon_infosparticip!AQ167</f>
        <v/>
      </c>
      <c r="M168">
        <f>gescon_infosparticip!BA167</f>
        <v>0</v>
      </c>
      <c r="N168">
        <f>gescon_infosparticip!BB167</f>
        <v>0</v>
      </c>
      <c r="O168">
        <f>gescon_infosparticip!BC167</f>
        <v>0</v>
      </c>
      <c r="P168">
        <f>gescon_infosparticip!BD167</f>
        <v>0</v>
      </c>
      <c r="Q168">
        <f>gescon_infosparticip!BE167</f>
        <v>0</v>
      </c>
      <c r="R168" t="str">
        <f>gescon_infosparticip!BF167</f>
        <v/>
      </c>
      <c r="S168" t="str">
        <f>gescon_infosparticip!BG167</f>
        <v/>
      </c>
      <c r="T168" t="str">
        <f>gescon_infosparticip!BH167</f>
        <v/>
      </c>
      <c r="U168" t="str">
        <f>gescon_infosparticip!BI167</f>
        <v/>
      </c>
      <c r="V168" t="str">
        <f>gescon_infosparticip!BJ167</f>
        <v/>
      </c>
      <c r="W168" t="str">
        <f>gescon_infosparticip!BK167</f>
        <v/>
      </c>
      <c r="X168" t="str">
        <f>gescon_infosparticip!BL167</f>
        <v/>
      </c>
      <c r="Y168" t="str">
        <f>gescon_infosparticip!BM167</f>
        <v/>
      </c>
    </row>
    <row r="169" spans="2:25" ht="15.75" customHeight="1" x14ac:dyDescent="0.25">
      <c r="B169">
        <f>gescon_infosparticip!A168</f>
        <v>1228923808</v>
      </c>
      <c r="C169" t="str">
        <f>gescon_infosparticip!AH168</f>
        <v>Veiller à ce qu’il se nourrisse suffisamment car s’il y a de l’animation autour de lui il a tendance à s’arrêter de manger. Il faut mixer très finement (consistance d'un yaourt). Pour lui donner à manger utiliser une cuillère à dessert en plastique. Lui mettre des épices sur la nourriture (paprika, gingembre, sel, poivre) lui demander ce qu'il préfère. Les épices stimule la déglutition
veiller à ce que la tête soit en flexion et pieds attachés. + chaise légèrement en arrière</v>
      </c>
      <c r="D169" t="str">
        <f>gescon_infosparticip!AI168</f>
        <v>tout ce qui est à base de chocolat</v>
      </c>
      <c r="E169" t="str">
        <f>gescon_infosparticip!AJ168</f>
        <v/>
      </c>
      <c r="F169" t="str">
        <f>gescon_infosparticip!AK168</f>
        <v/>
      </c>
      <c r="G169" t="str">
        <f>gescon_infosparticip!AL168</f>
        <v/>
      </c>
      <c r="H169" t="str">
        <f>gescon_infosparticip!AM168</f>
        <v>Utiliser le gobelet en plastique échancré de Nicolas pour lui donner à boire. Donner 2 verres pendant le repas. Contrôler qu'il boive suffisamment. Épaissir les liquides</v>
      </c>
      <c r="I169" t="str">
        <f>gescon_infosparticip!AN168</f>
        <v>café au lait sucré</v>
      </c>
      <c r="J169" t="str">
        <f>gescon_infosparticip!AO168</f>
        <v/>
      </c>
      <c r="K169" t="str">
        <f>gescon_infosparticip!AP168</f>
        <v/>
      </c>
      <c r="L169" t="str">
        <f>gescon_infosparticip!AQ168</f>
        <v/>
      </c>
      <c r="M169">
        <f>gescon_infosparticip!BA168</f>
        <v>107</v>
      </c>
      <c r="N169">
        <f>gescon_infosparticip!BB168</f>
        <v>0</v>
      </c>
      <c r="O169">
        <f>gescon_infosparticip!BC168</f>
        <v>0</v>
      </c>
      <c r="P169">
        <f>gescon_infosparticip!BD168</f>
        <v>2146188976</v>
      </c>
      <c r="Q169">
        <f>gescon_infosparticip!BE168</f>
        <v>2146188976</v>
      </c>
      <c r="R169" t="str">
        <f>gescon_infosparticip!BF168</f>
        <v>190-46-326</v>
      </c>
      <c r="S169" t="str">
        <f>gescon_infosparticip!BG168</f>
        <v>IMC</v>
      </c>
      <c r="T169" t="str">
        <f>gescon_infosparticip!BH168</f>
        <v>Handicap mental, troubles moteurs</v>
      </c>
      <c r="U169" t="str">
        <f>gescon_infosparticip!BI168</f>
        <v>Elevé</v>
      </c>
      <c r="V169" t="str">
        <f>gescon_infosparticip!BJ168</f>
        <v>A protéger du soleil (casquette, crème, lunettes) Nicolas est très sensible de la peau. Eventuellement du Zyrtec en cas de rhume des foins.</v>
      </c>
      <c r="W169" t="str">
        <f>gescon_infosparticip!BK168</f>
        <v>Aide nécessaire. Bien sécher après la toiette. Le matin crème Exipial sur le visage.</v>
      </c>
      <c r="X169" t="str">
        <f>gescon_infosparticip!BL168</f>
        <v>Nicolas est langé jour et nuit. A changer la protection le matin, midi, soir et nuit si nécessaire.</v>
      </c>
      <c r="Y169" t="str">
        <f>gescon_infosparticip!BM168</f>
        <v>si rougeurs sur talons et siège, masser avec crème Vascosa</v>
      </c>
    </row>
    <row r="170" spans="2:25" ht="15.75" customHeight="1" x14ac:dyDescent="0.25">
      <c r="B170">
        <f>gescon_infosparticip!A169</f>
        <v>1228924280</v>
      </c>
      <c r="C170" t="str">
        <f>gescon_infosparticip!AH169</f>
        <v>Elle apprécie ce qui est sucré, voire très sucré et épicé. Il faut mixer et suffisamment mouiller les aliments. Lui donner à manger avec une petite cuillère. Maya met la tête en arrière et mettre doucement la cuillère au fond de la gorge. Si elle n'a pas faim ou soif, ne pas insister (sauf si elle est malade), car elle se régule.</v>
      </c>
      <c r="D170" t="str">
        <f>gescon_infosparticip!AI169</f>
        <v>le matin : bircher, cake ou pain (sans crôutes) avec de la confiture trempé dans le lait ou le café.</v>
      </c>
      <c r="E170" t="str">
        <f>gescon_infosparticip!AJ169</f>
        <v>mixé. Maya a besoin d'une alimentation riche en fibres alimentaires.</v>
      </c>
      <c r="F170" t="str">
        <f>gescon_infosparticip!AK169</f>
        <v/>
      </c>
      <c r="G170" t="str">
        <f>gescon_infosparticip!AL169</f>
        <v>les gros morceaux</v>
      </c>
      <c r="H170" t="str">
        <f>gescon_infosparticip!AM169</f>
        <v>utiliser épaississant (thick and Easy) pour les boissons et certains aliments trop liquides. Pour boire, elle a un gobelet coupé. Il faut se  tenir derrière elle et lui maintenir la tête.</v>
      </c>
      <c r="I170" t="str">
        <f>gescon_infosparticip!AN169</f>
        <v>boissons gazeuses. Lait mélangé avec du sirop. Toutes les boissons sucrées</v>
      </c>
      <c r="J170" t="str">
        <f>gescon_infosparticip!AO169</f>
        <v/>
      </c>
      <c r="K170" t="str">
        <f>gescon_infosparticip!AP169</f>
        <v/>
      </c>
      <c r="L170" t="str">
        <f>gescon_infosparticip!AQ169</f>
        <v/>
      </c>
      <c r="M170">
        <f>gescon_infosparticip!BA169</f>
        <v>107</v>
      </c>
      <c r="N170">
        <f>gescon_infosparticip!BB169</f>
        <v>0</v>
      </c>
      <c r="O170">
        <f>gescon_infosparticip!BC169</f>
        <v>0</v>
      </c>
      <c r="P170">
        <f>gescon_infosparticip!BD169</f>
        <v>2146189015</v>
      </c>
      <c r="Q170">
        <f>gescon_infosparticip!BE169</f>
        <v>2146189015</v>
      </c>
      <c r="R170" t="str">
        <f>gescon_infosparticip!BF169</f>
        <v>4133159</v>
      </c>
      <c r="S170" t="str">
        <f>gescon_infosparticip!BG169</f>
        <v>IMC</v>
      </c>
      <c r="T170" t="str">
        <f>gescon_infosparticip!BH169</f>
        <v>handicap mental, troubles moteurs, attention dans les manipulations car Maya a une tige de fer dans son dos pour la scoliose.</v>
      </c>
      <c r="U170" t="str">
        <f>gescon_infosparticip!BI169</f>
        <v/>
      </c>
      <c r="V170" t="str">
        <f>gescon_infosparticip!BJ169</f>
        <v>A protéger du soleil, casquette et crème solaire. Si non elle n’a pas d’allergies</v>
      </c>
      <c r="W170" t="str">
        <f>gescon_infosparticip!BK169</f>
        <v>Maya a besoin d’une aide complète pour sa toilette (laver le visage, les dents, coiffer, etc.) Bien laver et sécher les parties du corps et principalement les parties intimes (car elle souffre de mycoses). Une douche journalière si possible. 
Maya demande pour aller aux toilettes (c’est aussi parfois un jeu).</v>
      </c>
      <c r="X170" t="str">
        <f>gescon_infosparticip!BL169</f>
        <v>Elle est langée la nuit et le jour. Il faut changer le pampers après les repas et mettre une protection dans le pli de la hanche (matin, midi, soir) et la nuit avant de la positionner sur le dos pour la nuit. Maya peut dire si elle a besoin d’être changée</v>
      </c>
      <c r="Y170" t="str">
        <f>gescon_infosparticip!BM169</f>
        <v>contrôler matin et soir les pieds, les chevilles et le siège. Si rougeurs : appliquer crème Vascosa</v>
      </c>
    </row>
    <row r="171" spans="2:25" ht="15.75" customHeight="1" x14ac:dyDescent="0.25">
      <c r="B171">
        <f>gescon_infosparticip!A170</f>
        <v>1228924570</v>
      </c>
      <c r="C171" t="str">
        <f>gescon_infosparticip!AH170</f>
        <v>Aide totale : manger : couper fin - lui donner à manger cuillère+ fourchette normales. Doit manger proprement. En cas de toux : lui demander de baisser la tête pou qu'il ne mette pas de la nourriture partout. Il doit avoir les 2 mains sur la table.</v>
      </c>
      <c r="D171" t="str">
        <f>gescon_infosparticip!AI170</f>
        <v/>
      </c>
      <c r="E171" t="str">
        <f>gescon_infosparticip!AJ170</f>
        <v/>
      </c>
      <c r="F171" t="str">
        <f>gescon_infosparticip!AK170</f>
        <v/>
      </c>
      <c r="G171" t="str">
        <f>gescon_infosparticip!AL170</f>
        <v/>
      </c>
      <c r="H171" t="str">
        <f>gescon_infosparticip!AM170</f>
        <v>verre à bec verseur : il le mord un peu mais il arrive à boire sans problème avec de l'aide</v>
      </c>
      <c r="I171" t="str">
        <f>gescon_infosparticip!AN170</f>
        <v>jus de fruits sans gaz ou sirop. Préfère le cacao le matin.</v>
      </c>
      <c r="J171" t="str">
        <f>gescon_infosparticip!AO170</f>
        <v/>
      </c>
      <c r="K171" t="str">
        <f>gescon_infosparticip!AP170</f>
        <v/>
      </c>
      <c r="L171" t="str">
        <f>gescon_infosparticip!AQ170</f>
        <v/>
      </c>
      <c r="M171">
        <f>gescon_infosparticip!BA170</f>
        <v>107</v>
      </c>
      <c r="N171">
        <f>gescon_infosparticip!BB170</f>
        <v>0</v>
      </c>
      <c r="O171">
        <f>gescon_infosparticip!BC170</f>
        <v>0</v>
      </c>
      <c r="P171">
        <f>gescon_infosparticip!BD170</f>
        <v>2146188969</v>
      </c>
      <c r="Q171">
        <f>gescon_infosparticip!BE170</f>
        <v>0</v>
      </c>
      <c r="R171" t="str">
        <f>gescon_infosparticip!BF170</f>
        <v>756.1168.7015.03</v>
      </c>
      <c r="S171" t="str">
        <f>gescon_infosparticip!BG170</f>
        <v>IMC mixte 
athétosique / spastique</v>
      </c>
      <c r="T171" t="str">
        <f>gescon_infosparticip!BH170</f>
        <v>Handicap mental</v>
      </c>
      <c r="U171" t="str">
        <f>gescon_infosparticip!BI170</f>
        <v>Elevé</v>
      </c>
      <c r="V171" t="str">
        <f>gescon_infosparticip!BJ170</f>
        <v/>
      </c>
      <c r="W171" t="str">
        <f>gescon_infosparticip!BK170</f>
        <v>Aide totale : douche : sur une chaise percée adaptée</v>
      </c>
      <c r="X171" t="str">
        <f>gescon_infosparticip!BL170</f>
        <v>Aide totale : N'est pas langé. Aux toilettes en principe après les repas - avec une chaise percée. Urinoir dans son sac  derrière la chaise pour les déplacements.</v>
      </c>
      <c r="Y171" t="str">
        <f>gescon_infosparticip!BM170</f>
        <v/>
      </c>
    </row>
    <row r="172" spans="2:25" ht="15.75" customHeight="1" x14ac:dyDescent="0.25">
      <c r="B172">
        <f>gescon_infosparticip!A171</f>
        <v>1228928441</v>
      </c>
      <c r="C172" t="str">
        <f>gescon_infosparticip!AH171</f>
        <v>couper fin et lui mettre l’assiette devant. Il mange seul, il faut réguler les quantités de nourriture</v>
      </c>
      <c r="D172" t="str">
        <f>gescon_infosparticip!AI171</f>
        <v/>
      </c>
      <c r="E172" t="str">
        <f>gescon_infosparticip!AJ171</f>
        <v/>
      </c>
      <c r="F172" t="str">
        <f>gescon_infosparticip!AK171</f>
        <v>pas trop de féculents</v>
      </c>
      <c r="G172" t="str">
        <f>gescon_infosparticip!AL171</f>
        <v>fromage fondue</v>
      </c>
      <c r="H172" t="str">
        <f>gescon_infosparticip!AM171</f>
        <v/>
      </c>
      <c r="I172" t="str">
        <f>gescon_infosparticip!AN171</f>
        <v/>
      </c>
      <c r="J172" t="str">
        <f>gescon_infosparticip!AO171</f>
        <v/>
      </c>
      <c r="K172" t="str">
        <f>gescon_infosparticip!AP171</f>
        <v/>
      </c>
      <c r="L172" t="str">
        <f>gescon_infosparticip!AQ171</f>
        <v/>
      </c>
      <c r="M172">
        <f>gescon_infosparticip!BA171</f>
        <v>107</v>
      </c>
      <c r="N172">
        <f>gescon_infosparticip!BB171</f>
        <v>0</v>
      </c>
      <c r="O172">
        <f>gescon_infosparticip!BC171</f>
        <v>0</v>
      </c>
      <c r="P172">
        <f>gescon_infosparticip!BD171</f>
        <v>2146189026</v>
      </c>
      <c r="Q172">
        <f>gescon_infosparticip!BE171</f>
        <v>2146189026</v>
      </c>
      <c r="R172" t="str">
        <f>gescon_infosparticip!BF171</f>
        <v>087135</v>
      </c>
      <c r="S172" t="str">
        <f>gescon_infosparticip!BG171</f>
        <v>IMC</v>
      </c>
      <c r="T172" t="str">
        <f>gescon_infosparticip!BH171</f>
        <v>Diplégie spastique – retard mental – comportement autiste</v>
      </c>
      <c r="U172" t="str">
        <f>gescon_infosparticip!BI171</f>
        <v/>
      </c>
      <c r="V172" t="str">
        <f>gescon_infosparticip!BJ171</f>
        <v/>
      </c>
      <c r="W172" t="str">
        <f>gescon_infosparticip!BK171</f>
        <v>Aide totale - entièrement dépendant</v>
      </c>
      <c r="X172" t="str">
        <f>gescon_infosparticip!BL171</f>
        <v>Yves va trois fois par jour aux WC</v>
      </c>
      <c r="Y172" t="str">
        <f>gescon_infosparticip!BM171</f>
        <v/>
      </c>
    </row>
    <row r="173" spans="2:25" ht="15.75" customHeight="1" x14ac:dyDescent="0.25">
      <c r="B173">
        <f>gescon_infosparticip!A172</f>
        <v>1228928949</v>
      </c>
      <c r="C173" t="str">
        <f>gescon_infosparticip!AH172</f>
        <v/>
      </c>
      <c r="D173" t="str">
        <f>gescon_infosparticip!AI172</f>
        <v/>
      </c>
      <c r="E173" t="str">
        <f>gescon_infosparticip!AJ172</f>
        <v/>
      </c>
      <c r="F173" t="str">
        <f>gescon_infosparticip!AK172</f>
        <v/>
      </c>
      <c r="G173" t="str">
        <f>gescon_infosparticip!AL172</f>
        <v/>
      </c>
      <c r="H173" t="str">
        <f>gescon_infosparticip!AM172</f>
        <v/>
      </c>
      <c r="I173" t="str">
        <f>gescon_infosparticip!AN172</f>
        <v/>
      </c>
      <c r="J173" t="str">
        <f>gescon_infosparticip!AO172</f>
        <v/>
      </c>
      <c r="K173" t="str">
        <f>gescon_infosparticip!AP172</f>
        <v/>
      </c>
      <c r="L173" t="str">
        <f>gescon_infosparticip!AQ172</f>
        <v/>
      </c>
      <c r="M173">
        <f>gescon_infosparticip!BA172</f>
        <v>0</v>
      </c>
      <c r="N173">
        <f>gescon_infosparticip!BB172</f>
        <v>0</v>
      </c>
      <c r="O173">
        <f>gescon_infosparticip!BC172</f>
        <v>0</v>
      </c>
      <c r="P173">
        <f>gescon_infosparticip!BD172</f>
        <v>0</v>
      </c>
      <c r="Q173">
        <f>gescon_infosparticip!BE172</f>
        <v>0</v>
      </c>
      <c r="R173" t="str">
        <f>gescon_infosparticip!BF172</f>
        <v/>
      </c>
      <c r="S173" t="str">
        <f>gescon_infosparticip!BG172</f>
        <v/>
      </c>
      <c r="T173" t="str">
        <f>gescon_infosparticip!BH172</f>
        <v/>
      </c>
      <c r="U173" t="str">
        <f>gescon_infosparticip!BI172</f>
        <v/>
      </c>
      <c r="V173" t="str">
        <f>gescon_infosparticip!BJ172</f>
        <v/>
      </c>
      <c r="W173" t="str">
        <f>gescon_infosparticip!BK172</f>
        <v/>
      </c>
      <c r="X173" t="str">
        <f>gescon_infosparticip!BL172</f>
        <v/>
      </c>
      <c r="Y173" t="str">
        <f>gescon_infosparticip!BM172</f>
        <v/>
      </c>
    </row>
    <row r="174" spans="2:25" ht="15.75" customHeight="1" x14ac:dyDescent="0.25">
      <c r="B174">
        <f>gescon_infosparticip!A173</f>
        <v>1241531093</v>
      </c>
      <c r="C174" t="str">
        <f>gescon_infosparticip!AH173</f>
        <v/>
      </c>
      <c r="D174" t="str">
        <f>gescon_infosparticip!AI173</f>
        <v/>
      </c>
      <c r="E174" t="str">
        <f>gescon_infosparticip!AJ173</f>
        <v/>
      </c>
      <c r="F174" t="str">
        <f>gescon_infosparticip!AK173</f>
        <v/>
      </c>
      <c r="G174" t="str">
        <f>gescon_infosparticip!AL173</f>
        <v/>
      </c>
      <c r="H174" t="str">
        <f>gescon_infosparticip!AM173</f>
        <v/>
      </c>
      <c r="I174" t="str">
        <f>gescon_infosparticip!AN173</f>
        <v/>
      </c>
      <c r="J174" t="str">
        <f>gescon_infosparticip!AO173</f>
        <v/>
      </c>
      <c r="K174" t="str">
        <f>gescon_infosparticip!AP173</f>
        <v/>
      </c>
      <c r="L174" t="str">
        <f>gescon_infosparticip!AQ173</f>
        <v/>
      </c>
      <c r="M174">
        <f>gescon_infosparticip!BA173</f>
        <v>0</v>
      </c>
      <c r="N174">
        <f>gescon_infosparticip!BB173</f>
        <v>0</v>
      </c>
      <c r="O174">
        <f>gescon_infosparticip!BC173</f>
        <v>0</v>
      </c>
      <c r="P174">
        <f>gescon_infosparticip!BD173</f>
        <v>0</v>
      </c>
      <c r="Q174">
        <f>gescon_infosparticip!BE173</f>
        <v>0</v>
      </c>
      <c r="R174" t="str">
        <f>gescon_infosparticip!BF173</f>
        <v/>
      </c>
      <c r="S174" t="str">
        <f>gescon_infosparticip!BG173</f>
        <v/>
      </c>
      <c r="T174" t="str">
        <f>gescon_infosparticip!BH173</f>
        <v/>
      </c>
      <c r="U174" t="str">
        <f>gescon_infosparticip!BI173</f>
        <v/>
      </c>
      <c r="V174" t="str">
        <f>gescon_infosparticip!BJ173</f>
        <v/>
      </c>
      <c r="W174" t="str">
        <f>gescon_infosparticip!BK173</f>
        <v/>
      </c>
      <c r="X174" t="str">
        <f>gescon_infosparticip!BL173</f>
        <v/>
      </c>
      <c r="Y174" t="str">
        <f>gescon_infosparticip!BM173</f>
        <v/>
      </c>
    </row>
    <row r="175" spans="2:25" ht="15.75" customHeight="1" x14ac:dyDescent="0.25">
      <c r="B175">
        <f>gescon_infosparticip!A174</f>
        <v>1264433332</v>
      </c>
      <c r="C175" t="str">
        <f>gescon_infosparticip!AH174</f>
        <v>Walter aime manger et il mange de tout. Il mange mixé ou coupé -haché menu</v>
      </c>
      <c r="D175" t="str">
        <f>gescon_infosparticip!AI174</f>
        <v>biscuits, chocolat, viande, moutarde</v>
      </c>
      <c r="E175" t="str">
        <f>gescon_infosparticip!AJ174</f>
        <v>Attention à la prise de poids.</v>
      </c>
      <c r="F175" t="str">
        <f>gescon_infosparticip!AK174</f>
        <v/>
      </c>
      <c r="G175" t="str">
        <f>gescon_infosparticip!AL174</f>
        <v/>
      </c>
      <c r="H175" t="str">
        <f>gescon_infosparticip!AM174</f>
        <v>Il boit avec une paille</v>
      </c>
      <c r="I175" t="str">
        <f>gescon_infosparticip!AN174</f>
        <v>le matin : café dans une assiette avec une tartine (beure + confiture ou avec du fromage ou parfait). Boisson : Jus d'orange coupé à l'eau</v>
      </c>
      <c r="J175" t="str">
        <f>gescon_infosparticip!AO174</f>
        <v/>
      </c>
      <c r="K175" t="str">
        <f>gescon_infosparticip!AP174</f>
        <v/>
      </c>
      <c r="L175" t="str">
        <f>gescon_infosparticip!AQ174</f>
        <v/>
      </c>
      <c r="M175">
        <f>gescon_infosparticip!BA174</f>
        <v>107</v>
      </c>
      <c r="N175">
        <f>gescon_infosparticip!BB174</f>
        <v>0</v>
      </c>
      <c r="O175">
        <f>gescon_infosparticip!BC174</f>
        <v>0</v>
      </c>
      <c r="P175">
        <f>gescon_infosparticip!BD174</f>
        <v>2146189029</v>
      </c>
      <c r="Q175">
        <f>gescon_infosparticip!BE174</f>
        <v>2146189029</v>
      </c>
      <c r="R175" t="str">
        <f>gescon_infosparticip!BF174</f>
        <v>3631770</v>
      </c>
      <c r="S175" t="str">
        <f>gescon_infosparticip!BG174</f>
        <v>IMC</v>
      </c>
      <c r="T175" t="str">
        <f>gescon_infosparticip!BH174</f>
        <v/>
      </c>
      <c r="U175" t="str">
        <f>gescon_infosparticip!BI174</f>
        <v>Elevé</v>
      </c>
      <c r="V175" t="str">
        <f>gescon_infosparticip!BJ174</f>
        <v>Aucune</v>
      </c>
      <c r="W175" t="str">
        <f>gescon_infosparticip!BK174</f>
        <v>Aide totale</v>
      </c>
      <c r="X175" t="str">
        <f>gescon_infosparticip!BL174</f>
        <v>il a une bouteille. Il est toujours langé.Transit sensible. Veiller à ce qu'il aille à selle tous les 3 jours.</v>
      </c>
      <c r="Y175" t="str">
        <f>gescon_infosparticip!BM174</f>
        <v>au talon droit.protéger avec un protège talon.</v>
      </c>
    </row>
    <row r="176" spans="2:25" ht="15.75" customHeight="1" x14ac:dyDescent="0.25">
      <c r="B176">
        <f>gescon_infosparticip!A175</f>
        <v>1264491950</v>
      </c>
      <c r="C176" t="str">
        <f>gescon_infosparticip!AH175</f>
        <v/>
      </c>
      <c r="D176" t="str">
        <f>gescon_infosparticip!AI175</f>
        <v/>
      </c>
      <c r="E176" t="str">
        <f>gescon_infosparticip!AJ175</f>
        <v/>
      </c>
      <c r="F176" t="str">
        <f>gescon_infosparticip!AK175</f>
        <v/>
      </c>
      <c r="G176" t="str">
        <f>gescon_infosparticip!AL175</f>
        <v/>
      </c>
      <c r="H176" t="str">
        <f>gescon_infosparticip!AM175</f>
        <v/>
      </c>
      <c r="I176" t="str">
        <f>gescon_infosparticip!AN175</f>
        <v/>
      </c>
      <c r="J176" t="str">
        <f>gescon_infosparticip!AO175</f>
        <v/>
      </c>
      <c r="K176" t="str">
        <f>gescon_infosparticip!AP175</f>
        <v/>
      </c>
      <c r="L176" t="str">
        <f>gescon_infosparticip!AQ175</f>
        <v/>
      </c>
      <c r="M176">
        <f>gescon_infosparticip!BA175</f>
        <v>0</v>
      </c>
      <c r="N176">
        <f>gescon_infosparticip!BB175</f>
        <v>0</v>
      </c>
      <c r="O176">
        <f>gescon_infosparticip!BC175</f>
        <v>0</v>
      </c>
      <c r="P176">
        <f>gescon_infosparticip!BD175</f>
        <v>0</v>
      </c>
      <c r="Q176">
        <f>gescon_infosparticip!BE175</f>
        <v>0</v>
      </c>
      <c r="R176" t="str">
        <f>gescon_infosparticip!BF175</f>
        <v/>
      </c>
      <c r="S176" t="str">
        <f>gescon_infosparticip!BG175</f>
        <v/>
      </c>
      <c r="T176" t="str">
        <f>gescon_infosparticip!BH175</f>
        <v/>
      </c>
      <c r="U176" t="str">
        <f>gescon_infosparticip!BI175</f>
        <v/>
      </c>
      <c r="V176" t="str">
        <f>gescon_infosparticip!BJ175</f>
        <v/>
      </c>
      <c r="W176" t="str">
        <f>gescon_infosparticip!BK175</f>
        <v/>
      </c>
      <c r="X176" t="str">
        <f>gescon_infosparticip!BL175</f>
        <v/>
      </c>
      <c r="Y176" t="str">
        <f>gescon_infosparticip!BM175</f>
        <v/>
      </c>
    </row>
    <row r="177" spans="2:25" ht="15.75" customHeight="1" x14ac:dyDescent="0.25">
      <c r="B177">
        <f>gescon_infosparticip!A176</f>
        <v>1270805862</v>
      </c>
      <c r="C177" t="str">
        <f>gescon_infosparticip!AH176</f>
        <v>Il faut l'aider à couper les aliments mais Ivan le fait gentiment seul</v>
      </c>
      <c r="D177" t="str">
        <f>gescon_infosparticip!AI176</f>
        <v>Il aime bien les biscuits. Matin : yoghurt ou kellogs sans lait</v>
      </c>
      <c r="E177" t="str">
        <f>gescon_infosparticip!AJ176</f>
        <v/>
      </c>
      <c r="F177" t="str">
        <f>gescon_infosparticip!AK176</f>
        <v>pas de fromage à la main.</v>
      </c>
      <c r="G177" t="str">
        <f>gescon_infosparticip!AL176</f>
        <v/>
      </c>
      <c r="H177" t="str">
        <f>gescon_infosparticip!AM176</f>
        <v>Il boit au verre ou dans une tasse normale.</v>
      </c>
      <c r="I177" t="str">
        <f>gescon_infosparticip!AN176</f>
        <v>eau, sirop, thé froid</v>
      </c>
      <c r="J177" t="str">
        <f>gescon_infosparticip!AO176</f>
        <v/>
      </c>
      <c r="K177" t="str">
        <f>gescon_infosparticip!AP176</f>
        <v/>
      </c>
      <c r="L177" t="str">
        <f>gescon_infosparticip!AQ176</f>
        <v/>
      </c>
      <c r="M177">
        <f>gescon_infosparticip!BA176</f>
        <v>2146189397</v>
      </c>
      <c r="N177">
        <f>gescon_infosparticip!BB176</f>
        <v>2146189703</v>
      </c>
      <c r="O177">
        <f>gescon_infosparticip!BC176</f>
        <v>2146189813</v>
      </c>
      <c r="P177">
        <f>gescon_infosparticip!BD176</f>
        <v>2146188974</v>
      </c>
      <c r="Q177">
        <f>gescon_infosparticip!BE176</f>
        <v>2146188974</v>
      </c>
      <c r="R177" t="str">
        <f>gescon_infosparticip!BF176</f>
        <v>150000</v>
      </c>
      <c r="S177" t="str">
        <f>gescon_infosparticip!BG176</f>
        <v>IMC</v>
      </c>
      <c r="T177" t="str">
        <f>gescon_infosparticip!BH176</f>
        <v>Spasticité, hémiplégique surtout à gauche</v>
      </c>
      <c r="U177" t="str">
        <f>gescon_infosparticip!BI176</f>
        <v>Elevé</v>
      </c>
      <c r="V177" t="str">
        <f>gescon_infosparticip!BJ176</f>
        <v>Non, Saignement de nez parfois abondant (de moins en moins de saignement). Si cela arrive serrer le nez entre l’os et les narines et mettre de la ouate. Rhume des foins.</v>
      </c>
      <c r="W177" t="str">
        <f>gescon_infosparticip!BK176</f>
        <v>aide nécessaire , Toilette mais Ivan donne un coup de main et il se lave les dents seul et on contrôle après.</v>
      </c>
      <c r="X177" t="str">
        <f>gescon_infosparticip!BL176</f>
        <v/>
      </c>
      <c r="Y177" t="str">
        <f>gescon_infosparticip!BM176</f>
        <v/>
      </c>
    </row>
    <row r="178" spans="2:25" ht="15.75" customHeight="1" x14ac:dyDescent="0.25">
      <c r="B178">
        <f>gescon_infosparticip!A177</f>
        <v>1298294561</v>
      </c>
      <c r="C178" t="str">
        <f>gescon_infosparticip!AH177</f>
        <v>Être attentif aux fausses routes. Pas de riz et des choses difficiles à passer (exemple: petits pois). Il a besoin d'aide pour manger.</v>
      </c>
      <c r="D178" t="str">
        <f>gescon_infosparticip!AI177</f>
        <v/>
      </c>
      <c r="E178" t="str">
        <f>gescon_infosparticip!AJ177</f>
        <v/>
      </c>
      <c r="F178" t="str">
        <f>gescon_infosparticip!AK177</f>
        <v/>
      </c>
      <c r="G178" t="str">
        <f>gescon_infosparticip!AL177</f>
        <v>Riz</v>
      </c>
      <c r="H178" t="str">
        <f>gescon_infosparticip!AM177</f>
        <v>Il boit dans un gobelet adapté avec une paille.</v>
      </c>
      <c r="I178" t="str">
        <f>gescon_infosparticip!AN177</f>
        <v/>
      </c>
      <c r="J178" t="str">
        <f>gescon_infosparticip!AO177</f>
        <v/>
      </c>
      <c r="K178" t="str">
        <f>gescon_infosparticip!AP177</f>
        <v/>
      </c>
      <c r="L178" t="str">
        <f>gescon_infosparticip!AQ177</f>
        <v/>
      </c>
      <c r="M178">
        <f>gescon_infosparticip!BA177</f>
        <v>2146189812</v>
      </c>
      <c r="N178">
        <f>gescon_infosparticip!BB177</f>
        <v>0</v>
      </c>
      <c r="O178">
        <f>gescon_infosparticip!BC177</f>
        <v>0</v>
      </c>
      <c r="P178">
        <f>gescon_infosparticip!BD177</f>
        <v>2146188972</v>
      </c>
      <c r="Q178">
        <f>gescon_infosparticip!BE177</f>
        <v>2146188972</v>
      </c>
      <c r="R178" t="str">
        <f>gescon_infosparticip!BF177</f>
        <v>756.6326.36.28.79</v>
      </c>
      <c r="S178" t="str">
        <f>gescon_infosparticip!BG177</f>
        <v>IMC</v>
      </c>
      <c r="T178" t="str">
        <f>gescon_infosparticip!BH177</f>
        <v>Tétraplégie incomplète, le canal de la colonne vertébrale se bouche.</v>
      </c>
      <c r="U178" t="str">
        <f>gescon_infosparticip!BI177</f>
        <v>Elevé</v>
      </c>
      <c r="V178" t="str">
        <f>gescon_infosparticip!BJ177</f>
        <v>Méfix</v>
      </c>
      <c r="W178" t="str">
        <f>gescon_infosparticip!BK177</f>
        <v>Simon a besoin d'une aide totale. Petite toilette au lit, habiller le bas, guidance pour le haut. Toilette au savon Purimed.</v>
      </c>
      <c r="X178" t="str">
        <f>gescon_infosparticip!BL177</f>
        <v>Simon urine dans une bouteille et a besoin d'aide pour aller à selle.Condom jour et nuit</v>
      </c>
      <c r="Y178" t="str">
        <f>gescon_infosparticip!BM177</f>
        <v/>
      </c>
    </row>
    <row r="179" spans="2:25" ht="15.75" customHeight="1" x14ac:dyDescent="0.25">
      <c r="B179">
        <f>gescon_infosparticip!A178</f>
        <v>1299487111</v>
      </c>
      <c r="C179" t="str">
        <f>gescon_infosparticip!AH178</f>
        <v>Servir de relativement petites quantités.</v>
      </c>
      <c r="D179" t="str">
        <f>gescon_infosparticip!AI178</f>
        <v/>
      </c>
      <c r="E179" t="str">
        <f>gescon_infosparticip!AJ178</f>
        <v/>
      </c>
      <c r="F179" t="str">
        <f>gescon_infosparticip!AK178</f>
        <v/>
      </c>
      <c r="G179" t="str">
        <f>gescon_infosparticip!AL178</f>
        <v>Glace au coca cola</v>
      </c>
      <c r="H179" t="str">
        <f>gescon_infosparticip!AM178</f>
        <v/>
      </c>
      <c r="I179" t="str">
        <f>gescon_infosparticip!AN178</f>
        <v/>
      </c>
      <c r="J179" t="str">
        <f>gescon_infosparticip!AO178</f>
        <v/>
      </c>
      <c r="K179" t="str">
        <f>gescon_infosparticip!AP178</f>
        <v/>
      </c>
      <c r="L179" t="str">
        <f>gescon_infosparticip!AQ178</f>
        <v>Coca cola</v>
      </c>
      <c r="M179">
        <f>gescon_infosparticip!BA178</f>
        <v>2146189074</v>
      </c>
      <c r="N179">
        <f>gescon_infosparticip!BB178</f>
        <v>0</v>
      </c>
      <c r="O179">
        <f>gescon_infosparticip!BC178</f>
        <v>0</v>
      </c>
      <c r="P179">
        <f>gescon_infosparticip!BD178</f>
        <v>2146188979</v>
      </c>
      <c r="Q179">
        <f>gescon_infosparticip!BE178</f>
        <v>2146188979</v>
      </c>
      <c r="R179" t="str">
        <f>gescon_infosparticip!BF178</f>
        <v>01569 707-47-586</v>
      </c>
      <c r="S179" t="str">
        <f>gescon_infosparticip!BG178</f>
        <v>Spina Bifida</v>
      </c>
      <c r="T179" t="str">
        <f>gescon_infosparticip!BH178</f>
        <v/>
      </c>
      <c r="U179" t="str">
        <f>gescon_infosparticip!BI178</f>
        <v/>
      </c>
      <c r="V179" t="str">
        <f>gescon_infosparticip!BJ178</f>
        <v/>
      </c>
      <c r="W179" t="str">
        <f>gescon_infosparticip!BK178</f>
        <v>à surveiller ou accompagner selon son désir</v>
      </c>
      <c r="X179" t="str">
        <f>gescon_infosparticip!BL178</f>
        <v>À sa demande</v>
      </c>
      <c r="Y179" t="str">
        <f>gescon_infosparticip!BM178</f>
        <v/>
      </c>
    </row>
    <row r="180" spans="2:25" ht="15.75" customHeight="1" x14ac:dyDescent="0.25">
      <c r="B180">
        <f>gescon_infosparticip!A179</f>
        <v>1306135154</v>
      </c>
      <c r="C180" t="str">
        <f>gescon_infosparticip!AH179</f>
        <v>il faut lui couper sa nourriture finement</v>
      </c>
      <c r="D180" t="str">
        <f>gescon_infosparticip!AI179</f>
        <v>Le matin Yasmine aime manger du pain (sans lait et sans beurre) avec de la confiture ou du miel (sans sucre) et margarine spécial et du lait de céréale. Elle aime les pâtes à la farine complète, légumes et riz</v>
      </c>
      <c r="E180" t="str">
        <f>gescon_infosparticip!AJ179</f>
        <v>Selon ce qu’on peut manger (gastrite chronique, allergie au lait de vache et au soja)</v>
      </c>
      <c r="F180" t="str">
        <f>gescon_infosparticip!AK179</f>
        <v>Les aliments très acides comme le vinaigre, les tomates, sucre blanc, citron</v>
      </c>
      <c r="G180" t="str">
        <f>gescon_infosparticip!AL179</f>
        <v>Tout ce qui contient du lait de vache et du soja. Elle peut boire du lait de céréales et des yaourts au lait de brebis</v>
      </c>
      <c r="H180" t="str">
        <f>gescon_infosparticip!AM179</f>
        <v>lui donner avec aide</v>
      </c>
      <c r="I180" t="str">
        <f>gescon_infosparticip!AN179</f>
        <v>Elle aime boire du jus de pomme avec de l'eau, de l’eau sans gaz et du thé.</v>
      </c>
      <c r="J180" t="str">
        <f>gescon_infosparticip!AO179</f>
        <v/>
      </c>
      <c r="K180" t="str">
        <f>gescon_infosparticip!AP179</f>
        <v/>
      </c>
      <c r="L180" t="str">
        <f>gescon_infosparticip!AQ179</f>
        <v/>
      </c>
      <c r="M180">
        <f>gescon_infosparticip!BA179</f>
        <v>107</v>
      </c>
      <c r="N180">
        <f>gescon_infosparticip!BB179</f>
        <v>0</v>
      </c>
      <c r="O180">
        <f>gescon_infosparticip!BC179</f>
        <v>0</v>
      </c>
      <c r="P180">
        <f>gescon_infosparticip!BD179</f>
        <v>2146189023</v>
      </c>
      <c r="Q180">
        <f>gescon_infosparticip!BE179</f>
        <v>2146189023</v>
      </c>
      <c r="R180" t="str">
        <f>gescon_infosparticip!BF179</f>
        <v>287-32-436</v>
      </c>
      <c r="S180" t="str">
        <f>gescon_infosparticip!BG179</f>
        <v>IMC</v>
      </c>
      <c r="T180" t="str">
        <f>gescon_infosparticip!BH179</f>
        <v/>
      </c>
      <c r="U180" t="str">
        <f>gescon_infosparticip!BI179</f>
        <v>Elevé</v>
      </c>
      <c r="V180" t="str">
        <f>gescon_infosparticip!BJ179</f>
        <v>Yasmine est allergique aux produits qui contiennent du lait de vache ou du lait de soja. Faire attention à l’alimentation de Yasmine (risque de gastrite)</v>
      </c>
      <c r="W180" t="str">
        <f>gescon_infosparticip!BK179</f>
        <v>aide complète</v>
      </c>
      <c r="X180" t="str">
        <f>gescon_infosparticip!BL179</f>
        <v>Yasmine n’a aucune autonomie, elle est langée jour et nuit. Quand elle a besoin d’aller aux toilettes, il lui arrive de poser sa main sur l’abdomen. Chaise percée importante.</v>
      </c>
      <c r="Y180" t="str">
        <f>gescon_infosparticip!BM179</f>
        <v/>
      </c>
    </row>
    <row r="181" spans="2:25" ht="15.75" customHeight="1" x14ac:dyDescent="0.25">
      <c r="B181">
        <f>gescon_infosparticip!A180</f>
        <v>1306411305</v>
      </c>
      <c r="C181" t="str">
        <f>gescon_infosparticip!AH180</f>
        <v>Couper les aliments, tour d'assiette, anti-glisse, bavette et parfois services spéciaux.</v>
      </c>
      <c r="D181" t="str">
        <f>gescon_infosparticip!AI180</f>
        <v/>
      </c>
      <c r="E181" t="str">
        <f>gescon_infosparticip!AJ180</f>
        <v/>
      </c>
      <c r="F181" t="str">
        <f>gescon_infosparticip!AK180</f>
        <v>attention aux fausses routes</v>
      </c>
      <c r="G181" t="str">
        <f>gescon_infosparticip!AL180</f>
        <v/>
      </c>
      <c r="H181" t="str">
        <f>gescon_infosparticip!AM180</f>
        <v>Boit avec une paille, il faut la stimuler. Elle doit beaucoup boire (environ 2l). Elle doit toujours avoir des bouteilles avec elle.</v>
      </c>
      <c r="I181" t="str">
        <f>gescon_infosparticip!AN180</f>
        <v/>
      </c>
      <c r="J181" t="str">
        <f>gescon_infosparticip!AO180</f>
        <v/>
      </c>
      <c r="K181" t="str">
        <f>gescon_infosparticip!AP180</f>
        <v>Alexandrine n'aime pas l'eau, il faut donc la mélanger avec du sirop.</v>
      </c>
      <c r="L181" t="str">
        <f>gescon_infosparticip!AQ180</f>
        <v/>
      </c>
      <c r="M181">
        <f>gescon_infosparticip!BA180</f>
        <v>2146189850</v>
      </c>
      <c r="N181">
        <f>gescon_infosparticip!BB180</f>
        <v>2146189014</v>
      </c>
      <c r="O181">
        <f>gescon_infosparticip!BC180</f>
        <v>0</v>
      </c>
      <c r="P181">
        <f>gescon_infosparticip!BD180</f>
        <v>2146188969</v>
      </c>
      <c r="Q181">
        <f>gescon_infosparticip!BE180</f>
        <v>2146188982</v>
      </c>
      <c r="R181" t="str">
        <f>gescon_infosparticip!BF180</f>
        <v>244.91.05</v>
      </c>
      <c r="S181" t="str">
        <f>gescon_infosparticip!BG180</f>
        <v>Malformation d'Arnold Chiari</v>
      </c>
      <c r="T181" t="str">
        <f>gescon_infosparticip!BH180</f>
        <v/>
      </c>
      <c r="U181" t="str">
        <f>gescon_infosparticip!BI180</f>
        <v>Elevé</v>
      </c>
      <c r="V181" t="str">
        <f>gescon_infosparticip!BJ180</f>
        <v/>
      </c>
      <c r="W181" t="str">
        <f>gescon_infosparticip!BK180</f>
        <v>Aide nécessaire pour la toilette du bas. Douche avec quelqu'un à coté. Alexandrine fait seule mais a besoin de surveillance</v>
      </c>
      <c r="X181" t="str">
        <f>gescon_infosparticip!BL180</f>
        <v>Il faut l'accompagner aux wc, elle a tendance à être constipée. Elle va aux toilettes avec des barres d'appuis.</v>
      </c>
      <c r="Y181" t="str">
        <f>gescon_infosparticip!BM180</f>
        <v/>
      </c>
    </row>
    <row r="182" spans="2:25" ht="15.75" customHeight="1" x14ac:dyDescent="0.25">
      <c r="B182">
        <f>gescon_infosparticip!A181</f>
        <v>1306825490</v>
      </c>
      <c r="C182" t="str">
        <f>gescon_infosparticip!AH181</f>
        <v>A285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v>
      </c>
      <c r="D182" t="str">
        <f>gescon_infosparticip!AI181</f>
        <v>A50wwwwwwwwwwwwwwwwwwwwwwwwwwwwwwwwwwwwwwwwwwwwwwZ</v>
      </c>
      <c r="E182" t="str">
        <f>gescon_infosparticip!AJ181</f>
        <v>A50wwwwwwwwwwwwwwwwwwwwwwwwwwwwwwwwwwwwwwwwwwwwwwZ</v>
      </c>
      <c r="F182" t="str">
        <f>gescon_infosparticip!AK181</f>
        <v>A50wwwwwwwwwwwwwwwwwwwwwwwwwwwwwwwwwwwwwwwwwwwwwwZ</v>
      </c>
      <c r="G182" t="str">
        <f>gescon_infosparticip!AL181</f>
        <v>A150wwwwwwwwwwwwwwwwwwwwwwwwwwwwwwwwwwwwwwwwwwwwwwwwwwwwwwwwwwwwwwwwwwwwwwwwwwwwwwwwwwwwwwwwwwwwwwwwwwwwwwwwwwwwwwwwwwwwwwwwwwwwwwwwwwwwwwwwwwwwwwwwwZ</v>
      </c>
      <c r="H182" t="str">
        <f>gescon_infosparticip!AM181</f>
        <v/>
      </c>
      <c r="I182" t="str">
        <f>gescon_infosparticip!AN181</f>
        <v/>
      </c>
      <c r="J182" t="str">
        <f>gescon_infosparticip!AO181</f>
        <v/>
      </c>
      <c r="K182" t="str">
        <f>gescon_infosparticip!AP181</f>
        <v/>
      </c>
      <c r="L182" t="str">
        <f>gescon_infosparticip!AQ181</f>
        <v/>
      </c>
      <c r="M182">
        <f>gescon_infosparticip!BA181</f>
        <v>0</v>
      </c>
      <c r="N182">
        <f>gescon_infosparticip!BB181</f>
        <v>0</v>
      </c>
      <c r="O182">
        <f>gescon_infosparticip!BC181</f>
        <v>0</v>
      </c>
      <c r="P182">
        <f>gescon_infosparticip!BD181</f>
        <v>0</v>
      </c>
      <c r="Q182">
        <f>gescon_infosparticip!BE181</f>
        <v>0</v>
      </c>
      <c r="R182" t="str">
        <f>gescon_infosparticip!BF181</f>
        <v/>
      </c>
      <c r="S182" t="str">
        <f>gescon_infosparticip!BG181</f>
        <v>A50wwwwwwwwwwwwwwwwwwwwwwwwwwwwwwwwwwwwwwwwwwwwwwZ</v>
      </c>
      <c r="T182" t="str">
        <f>gescon_infosparticip!BH181</f>
        <v>A50wwwwwwwwwwwwwwwwwwwwwwwwwwwwwwwwwwwwwwwwwwwwwwZ</v>
      </c>
      <c r="U182" t="str">
        <f>gescon_infosparticip!BI181</f>
        <v/>
      </c>
      <c r="V182" t="str">
        <f>gescon_infosparticip!BJ181</f>
        <v>A150wwwwwwwwwwwwwwwwwwwwwwwwwwwwwwwwwwwwwwwwwwwwwwwwwwwwwwwwwwwwwwwwwwwwwwwwwwwwwwwwwwwwwwwwwwwwwwwwwwwwwwwwwwwwwwwwwwwwwwwwwwwwwwwwwwwwwwwwwwwwwwwwwZ</v>
      </c>
      <c r="W182" t="str">
        <f>gescon_infosparticip!BK181</f>
        <v>A740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v>
      </c>
      <c r="X182" t="str">
        <f>gescon_infosparticip!BL181</f>
        <v>A400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v>
      </c>
      <c r="Y182" t="str">
        <f>gescon_infosparticip!BM181</f>
        <v>A150wwwwwwwwwwwwwwwwwwwwwwwwwwwwwwwwwwwwwwwwwwwwwwwwwwwwwwwwwwwwwwwwwwwwwwwwwwwwwwwwwwwwwwwwwwwwwwwwwwwwwwwwwwwwwwwwwwwwwwwwwwwwwwwwwwwwwwwwwwwwwwwwwZ</v>
      </c>
    </row>
    <row r="183" spans="2:25" ht="15.75" customHeight="1" x14ac:dyDescent="0.25">
      <c r="B183">
        <f>gescon_infosparticip!A182</f>
        <v>1307716338</v>
      </c>
      <c r="C183" t="str">
        <f>gescon_infosparticip!AH182</f>
        <v>Il faut lui couper la viande.</v>
      </c>
      <c r="D183" t="str">
        <f>gescon_infosparticip!AI182</f>
        <v/>
      </c>
      <c r="E183" t="str">
        <f>gescon_infosparticip!AJ182</f>
        <v/>
      </c>
      <c r="F183" t="str">
        <f>gescon_infosparticip!AK182</f>
        <v/>
      </c>
      <c r="G183" t="str">
        <f>gescon_infosparticip!AL182</f>
        <v/>
      </c>
      <c r="H183" t="str">
        <f>gescon_infosparticip!AM182</f>
        <v/>
      </c>
      <c r="I183" t="str">
        <f>gescon_infosparticip!AN182</f>
        <v/>
      </c>
      <c r="J183" t="str">
        <f>gescon_infosparticip!AO182</f>
        <v/>
      </c>
      <c r="K183" t="str">
        <f>gescon_infosparticip!AP182</f>
        <v/>
      </c>
      <c r="L183" t="str">
        <f>gescon_infosparticip!AQ182</f>
        <v/>
      </c>
      <c r="M183">
        <f>gescon_infosparticip!BA182</f>
        <v>0</v>
      </c>
      <c r="N183">
        <f>gescon_infosparticip!BB182</f>
        <v>0</v>
      </c>
      <c r="O183">
        <f>gescon_infosparticip!BC182</f>
        <v>0</v>
      </c>
      <c r="P183">
        <f>gescon_infosparticip!BD182</f>
        <v>0</v>
      </c>
      <c r="Q183">
        <f>gescon_infosparticip!BE182</f>
        <v>0</v>
      </c>
      <c r="R183" t="str">
        <f>gescon_infosparticip!BF182</f>
        <v/>
      </c>
      <c r="S183" t="str">
        <f>gescon_infosparticip!BG182</f>
        <v/>
      </c>
      <c r="T183" t="str">
        <f>gescon_infosparticip!BH182</f>
        <v/>
      </c>
      <c r="U183" t="str">
        <f>gescon_infosparticip!BI182</f>
        <v/>
      </c>
      <c r="V183" t="str">
        <f>gescon_infosparticip!BJ182</f>
        <v/>
      </c>
      <c r="W183" t="str">
        <f>gescon_infosparticip!BK182</f>
        <v/>
      </c>
      <c r="X183" t="str">
        <f>gescon_infosparticip!BL182</f>
        <v/>
      </c>
      <c r="Y183" t="str">
        <f>gescon_infosparticip!BM182</f>
        <v/>
      </c>
    </row>
    <row r="184" spans="2:25" ht="15.75" customHeight="1" x14ac:dyDescent="0.25">
      <c r="B184">
        <f>gescon_infosparticip!A183</f>
        <v>1309859639</v>
      </c>
      <c r="C184" t="str">
        <f>gescon_infosparticip!AH183</f>
        <v/>
      </c>
      <c r="D184" t="str">
        <f>gescon_infosparticip!AI183</f>
        <v/>
      </c>
      <c r="E184" t="str">
        <f>gescon_infosparticip!AJ183</f>
        <v/>
      </c>
      <c r="F184" t="str">
        <f>gescon_infosparticip!AK183</f>
        <v/>
      </c>
      <c r="G184" t="str">
        <f>gescon_infosparticip!AL183</f>
        <v/>
      </c>
      <c r="H184" t="str">
        <f>gescon_infosparticip!AM183</f>
        <v/>
      </c>
      <c r="I184" t="str">
        <f>gescon_infosparticip!AN183</f>
        <v/>
      </c>
      <c r="J184" t="str">
        <f>gescon_infosparticip!AO183</f>
        <v/>
      </c>
      <c r="K184" t="str">
        <f>gescon_infosparticip!AP183</f>
        <v/>
      </c>
      <c r="L184" t="str">
        <f>gescon_infosparticip!AQ183</f>
        <v/>
      </c>
      <c r="M184">
        <f>gescon_infosparticip!BA183</f>
        <v>0</v>
      </c>
      <c r="N184">
        <f>gescon_infosparticip!BB183</f>
        <v>0</v>
      </c>
      <c r="O184">
        <f>gescon_infosparticip!BC183</f>
        <v>0</v>
      </c>
      <c r="P184">
        <f>gescon_infosparticip!BD183</f>
        <v>0</v>
      </c>
      <c r="Q184">
        <f>gescon_infosparticip!BE183</f>
        <v>0</v>
      </c>
      <c r="R184" t="str">
        <f>gescon_infosparticip!BF183</f>
        <v/>
      </c>
      <c r="S184" t="str">
        <f>gescon_infosparticip!BG183</f>
        <v/>
      </c>
      <c r="T184" t="str">
        <f>gescon_infosparticip!BH183</f>
        <v/>
      </c>
      <c r="U184" t="str">
        <f>gescon_infosparticip!BI183</f>
        <v/>
      </c>
      <c r="V184" t="str">
        <f>gescon_infosparticip!BJ183</f>
        <v/>
      </c>
      <c r="W184" t="str">
        <f>gescon_infosparticip!BK183</f>
        <v/>
      </c>
      <c r="X184" t="str">
        <f>gescon_infosparticip!BL183</f>
        <v/>
      </c>
      <c r="Y184" t="str">
        <f>gescon_infosparticip!BM183</f>
        <v/>
      </c>
    </row>
    <row r="185" spans="2:25" ht="15.75" customHeight="1" x14ac:dyDescent="0.25">
      <c r="B185">
        <f>gescon_infosparticip!A184</f>
        <v>1315228613</v>
      </c>
      <c r="C185" t="str">
        <f>gescon_infosparticip!AH184</f>
        <v/>
      </c>
      <c r="D185" t="str">
        <f>gescon_infosparticip!AI184</f>
        <v/>
      </c>
      <c r="E185" t="str">
        <f>gescon_infosparticip!AJ184</f>
        <v/>
      </c>
      <c r="F185" t="str">
        <f>gescon_infosparticip!AK184</f>
        <v/>
      </c>
      <c r="G185" t="str">
        <f>gescon_infosparticip!AL184</f>
        <v/>
      </c>
      <c r="H185" t="str">
        <f>gescon_infosparticip!AM184</f>
        <v/>
      </c>
      <c r="I185" t="str">
        <f>gescon_infosparticip!AN184</f>
        <v/>
      </c>
      <c r="J185" t="str">
        <f>gescon_infosparticip!AO184</f>
        <v/>
      </c>
      <c r="K185" t="str">
        <f>gescon_infosparticip!AP184</f>
        <v/>
      </c>
      <c r="L185" t="str">
        <f>gescon_infosparticip!AQ184</f>
        <v/>
      </c>
      <c r="M185">
        <f>gescon_infosparticip!BA184</f>
        <v>0</v>
      </c>
      <c r="N185">
        <f>gescon_infosparticip!BB184</f>
        <v>0</v>
      </c>
      <c r="O185">
        <f>gescon_infosparticip!BC184</f>
        <v>0</v>
      </c>
      <c r="P185">
        <f>gescon_infosparticip!BD184</f>
        <v>0</v>
      </c>
      <c r="Q185">
        <f>gescon_infosparticip!BE184</f>
        <v>0</v>
      </c>
      <c r="R185" t="str">
        <f>gescon_infosparticip!BF184</f>
        <v/>
      </c>
      <c r="S185" t="str">
        <f>gescon_infosparticip!BG184</f>
        <v/>
      </c>
      <c r="T185" t="str">
        <f>gescon_infosparticip!BH184</f>
        <v/>
      </c>
      <c r="U185" t="str">
        <f>gescon_infosparticip!BI184</f>
        <v/>
      </c>
      <c r="V185" t="str">
        <f>gescon_infosparticip!BJ184</f>
        <v/>
      </c>
      <c r="W185" t="str">
        <f>gescon_infosparticip!BK184</f>
        <v/>
      </c>
      <c r="X185" t="str">
        <f>gescon_infosparticip!BL184</f>
        <v/>
      </c>
      <c r="Y185" t="str">
        <f>gescon_infosparticip!BM184</f>
        <v/>
      </c>
    </row>
    <row r="186" spans="2:25" ht="15.75" customHeight="1" x14ac:dyDescent="0.25">
      <c r="B186">
        <f>gescon_infosparticip!A185</f>
        <v>1318585409</v>
      </c>
      <c r="C186" t="str">
        <f>gescon_infosparticip!AH185</f>
        <v/>
      </c>
      <c r="D186" t="str">
        <f>gescon_infosparticip!AI185</f>
        <v/>
      </c>
      <c r="E186" t="str">
        <f>gescon_infosparticip!AJ185</f>
        <v/>
      </c>
      <c r="F186" t="str">
        <f>gescon_infosparticip!AK185</f>
        <v/>
      </c>
      <c r="G186" t="str">
        <f>gescon_infosparticip!AL185</f>
        <v/>
      </c>
      <c r="H186" t="str">
        <f>gescon_infosparticip!AM185</f>
        <v/>
      </c>
      <c r="I186" t="str">
        <f>gescon_infosparticip!AN185</f>
        <v/>
      </c>
      <c r="J186" t="str">
        <f>gescon_infosparticip!AO185</f>
        <v/>
      </c>
      <c r="K186" t="str">
        <f>gescon_infosparticip!AP185</f>
        <v/>
      </c>
      <c r="L186" t="str">
        <f>gescon_infosparticip!AQ185</f>
        <v/>
      </c>
      <c r="M186">
        <f>gescon_infosparticip!BA185</f>
        <v>0</v>
      </c>
      <c r="N186">
        <f>gescon_infosparticip!BB185</f>
        <v>0</v>
      </c>
      <c r="O186">
        <f>gescon_infosparticip!BC185</f>
        <v>0</v>
      </c>
      <c r="P186">
        <f>gescon_infosparticip!BD185</f>
        <v>0</v>
      </c>
      <c r="Q186">
        <f>gescon_infosparticip!BE185</f>
        <v>0</v>
      </c>
      <c r="R186" t="str">
        <f>gescon_infosparticip!BF185</f>
        <v/>
      </c>
      <c r="S186" t="str">
        <f>gescon_infosparticip!BG185</f>
        <v/>
      </c>
      <c r="T186" t="str">
        <f>gescon_infosparticip!BH185</f>
        <v/>
      </c>
      <c r="U186" t="str">
        <f>gescon_infosparticip!BI185</f>
        <v/>
      </c>
      <c r="V186" t="str">
        <f>gescon_infosparticip!BJ185</f>
        <v/>
      </c>
      <c r="W186" t="str">
        <f>gescon_infosparticip!BK185</f>
        <v/>
      </c>
      <c r="X186" t="str">
        <f>gescon_infosparticip!BL185</f>
        <v/>
      </c>
      <c r="Y186" t="str">
        <f>gescon_infosparticip!BM185</f>
        <v/>
      </c>
    </row>
    <row r="187" spans="2:25" ht="15.75" customHeight="1" x14ac:dyDescent="0.25">
      <c r="B187">
        <f>gescon_infosparticip!A186</f>
        <v>1349252291</v>
      </c>
      <c r="C187" t="str">
        <f>gescon_infosparticip!AH186</f>
        <v>Un kiwi ou un jus d'orange le matin serait idéal. Eau tiède tous les matins.</v>
      </c>
      <c r="D187" t="str">
        <f>gescon_infosparticip!AI186</f>
        <v>Julien aime quasiment tout, et sait ce qu'il aime ou quil n'aime.pas (lui poser la question). Il aime les bières, un café après les repas.</v>
      </c>
      <c r="E187" t="str">
        <f>gescon_infosparticip!AJ186</f>
        <v>Julien prend toujours des pruneaux secs au déjeuner.</v>
      </c>
      <c r="F187" t="str">
        <f>gescon_infosparticip!AK186</f>
        <v>Lactose à surveiller</v>
      </c>
      <c r="G187" t="str">
        <f>gescon_infosparticip!AL186</f>
        <v/>
      </c>
      <c r="H187" t="str">
        <f>gescon_infosparticip!AM186</f>
        <v>Boire un verre d'eau chaude au reveil (bon pour le transit)</v>
      </c>
      <c r="I187" t="str">
        <f>gescon_infosparticip!AN186</f>
        <v>Bière limonade</v>
      </c>
      <c r="J187" t="str">
        <f>gescon_infosparticip!AO186</f>
        <v/>
      </c>
      <c r="K187" t="str">
        <f>gescon_infosparticip!AP186</f>
        <v>lait</v>
      </c>
      <c r="L187" t="str">
        <f>gescon_infosparticip!AQ186</f>
        <v/>
      </c>
      <c r="M187">
        <f>gescon_infosparticip!BA186</f>
        <v>2146188983</v>
      </c>
      <c r="N187">
        <f>gescon_infosparticip!BB186</f>
        <v>0</v>
      </c>
      <c r="O187">
        <f>gescon_infosparticip!BC186</f>
        <v>0</v>
      </c>
      <c r="P187">
        <f>gescon_infosparticip!BD186</f>
        <v>2146188985</v>
      </c>
      <c r="Q187">
        <f>gescon_infosparticip!BE186</f>
        <v>2146188985</v>
      </c>
      <c r="R187" t="str">
        <f>gescon_infosparticip!BF186</f>
        <v>190 51 144</v>
      </c>
      <c r="S187" t="str">
        <f>gescon_infosparticip!BG186</f>
        <v>IMC</v>
      </c>
      <c r="T187" t="str">
        <f>gescon_infosparticip!BH186</f>
        <v>handicap mental et physique</v>
      </c>
      <c r="U187" t="str">
        <f>gescon_infosparticip!BI186</f>
        <v>Faible</v>
      </c>
      <c r="V187" t="str">
        <f>gescon_infosparticip!BJ186</f>
        <v>Protéger Julien du soleil.</v>
      </c>
      <c r="W187" t="str">
        <f>gescon_infosparticip!BK186</f>
        <v>Il faut le surveiller pour être sur qu'il fasse sa toilette correctement. Si le siège de la douche est à sa hauteur Julien peut se débrouiller seul. Il a besoin d'aide pour se laver le dos.</v>
      </c>
      <c r="X187" t="str">
        <f>gescon_infosparticip!BL186</f>
        <v>Autonome. Vérifier qu'il aille à selle si possible chaque deux jours, au plus trois. Il note sur son carnet lorsqu'il va à selle.</v>
      </c>
      <c r="Y187" t="str">
        <f>gescon_infosparticip!BM186</f>
        <v>À contrôler quand il va à la douche.</v>
      </c>
    </row>
    <row r="188" spans="2:25" ht="15.75" customHeight="1" x14ac:dyDescent="0.25">
      <c r="B188">
        <f>gescon_infosparticip!A187</f>
        <v>1457402239</v>
      </c>
      <c r="C188" t="str">
        <f>gescon_infosparticip!AH187</f>
        <v>aider à couper la viande, pizza et aliments durs, éviter qu'elle ne mange trop le soir car risques de cauchemars</v>
      </c>
      <c r="D188" t="str">
        <f>gescon_infosparticip!AI187</f>
        <v/>
      </c>
      <c r="E188" t="str">
        <f>gescon_infosparticip!AJ187</f>
        <v>rien</v>
      </c>
      <c r="F188" t="str">
        <f>gescon_infosparticip!AK187</f>
        <v/>
      </c>
      <c r="G188" t="str">
        <f>gescon_infosparticip!AL187</f>
        <v>rien</v>
      </c>
      <c r="H188" t="str">
        <f>gescon_infosparticip!AM187</f>
        <v>Elle ne boit jamais assez</v>
      </c>
      <c r="I188" t="str">
        <f>gescon_infosparticip!AN187</f>
        <v/>
      </c>
      <c r="J188" t="str">
        <f>gescon_infosparticip!AO187</f>
        <v/>
      </c>
      <c r="K188" t="str">
        <f>gescon_infosparticip!AP187</f>
        <v/>
      </c>
      <c r="L188" t="str">
        <f>gescon_infosparticip!AQ187</f>
        <v/>
      </c>
      <c r="M188">
        <f>gescon_infosparticip!BA187</f>
        <v>107</v>
      </c>
      <c r="N188">
        <f>gescon_infosparticip!BB187</f>
        <v>2146189081</v>
      </c>
      <c r="O188">
        <f>gescon_infosparticip!BC187</f>
        <v>0</v>
      </c>
      <c r="P188">
        <f>gescon_infosparticip!BD187</f>
        <v>0</v>
      </c>
      <c r="Q188">
        <f>gescon_infosparticip!BE187</f>
        <v>2146189082</v>
      </c>
      <c r="R188" t="str">
        <f>gescon_infosparticip!BF187</f>
        <v>272-41-491</v>
      </c>
      <c r="S188" t="str">
        <f>gescon_infosparticip!BG187</f>
        <v>retard de développement général</v>
      </c>
      <c r="T188" t="str">
        <f>gescon_infosparticip!BH187</f>
        <v>crises, convulsions</v>
      </c>
      <c r="U188" t="str">
        <f>gescon_infosparticip!BI187</f>
        <v/>
      </c>
      <c r="V188" t="str">
        <f>gescon_infosparticip!BJ187</f>
        <v>non</v>
      </c>
      <c r="W188" t="str">
        <f>gescon_infosparticip!BK187</f>
        <v>s’infecte facilement les doigts, à contrôler : s’essuie mal le derrière, doit bien brosser ses dents</v>
      </c>
      <c r="X188" t="str">
        <f>gescon_infosparticip!BL187</f>
        <v>elle n’a besoin d’aucune aide</v>
      </c>
      <c r="Y188" t="str">
        <f>gescon_infosparticip!BM187</f>
        <v/>
      </c>
    </row>
    <row r="189" spans="2:25" ht="15.75" customHeight="1" x14ac:dyDescent="0.25">
      <c r="B189">
        <f>gescon_infosparticip!A188</f>
        <v>1493190852</v>
      </c>
      <c r="C189" t="str">
        <f>gescon_infosparticip!AH188</f>
        <v/>
      </c>
      <c r="D189" t="str">
        <f>gescon_infosparticip!AI188</f>
        <v/>
      </c>
      <c r="E189" t="str">
        <f>gescon_infosparticip!AJ188</f>
        <v/>
      </c>
      <c r="F189" t="str">
        <f>gescon_infosparticip!AK188</f>
        <v/>
      </c>
      <c r="G189" t="str">
        <f>gescon_infosparticip!AL188</f>
        <v/>
      </c>
      <c r="H189" t="str">
        <f>gescon_infosparticip!AM188</f>
        <v/>
      </c>
      <c r="I189" t="str">
        <f>gescon_infosparticip!AN188</f>
        <v/>
      </c>
      <c r="J189" t="str">
        <f>gescon_infosparticip!AO188</f>
        <v/>
      </c>
      <c r="K189" t="str">
        <f>gescon_infosparticip!AP188</f>
        <v/>
      </c>
      <c r="L189" t="str">
        <f>gescon_infosparticip!AQ188</f>
        <v/>
      </c>
      <c r="M189">
        <f>gescon_infosparticip!BA188</f>
        <v>0</v>
      </c>
      <c r="N189">
        <f>gescon_infosparticip!BB188</f>
        <v>0</v>
      </c>
      <c r="O189">
        <f>gescon_infosparticip!BC188</f>
        <v>0</v>
      </c>
      <c r="P189">
        <f>gescon_infosparticip!BD188</f>
        <v>0</v>
      </c>
      <c r="Q189">
        <f>gescon_infosparticip!BE188</f>
        <v>0</v>
      </c>
      <c r="R189" t="str">
        <f>gescon_infosparticip!BF188</f>
        <v/>
      </c>
      <c r="S189" t="str">
        <f>gescon_infosparticip!BG188</f>
        <v/>
      </c>
      <c r="T189" t="str">
        <f>gescon_infosparticip!BH188</f>
        <v/>
      </c>
      <c r="U189" t="str">
        <f>gescon_infosparticip!BI188</f>
        <v/>
      </c>
      <c r="V189" t="str">
        <f>gescon_infosparticip!BJ188</f>
        <v/>
      </c>
      <c r="W189" t="str">
        <f>gescon_infosparticip!BK188</f>
        <v/>
      </c>
      <c r="X189" t="str">
        <f>gescon_infosparticip!BL188</f>
        <v/>
      </c>
      <c r="Y189" t="str">
        <f>gescon_infosparticip!BM188</f>
        <v/>
      </c>
    </row>
    <row r="190" spans="2:25" ht="15.75" customHeight="1" x14ac:dyDescent="0.25">
      <c r="B190">
        <f>gescon_infosparticip!A189</f>
        <v>1540756715</v>
      </c>
      <c r="C190" t="str">
        <f>gescon_infosparticip!AH189</f>
        <v>Autonome : mange seule</v>
      </c>
      <c r="D190" t="str">
        <f>gescon_infosparticip!AI189</f>
        <v>Aime tout.Attention avec ce qui donne de l'acidité gastrique (tomate,orange)</v>
      </c>
      <c r="E190" t="str">
        <f>gescon_infosparticip!AJ189</f>
        <v>Rationner les féculents et la quantité de nourriture.</v>
      </c>
      <c r="F190" t="str">
        <f>gescon_infosparticip!AK189</f>
        <v>-</v>
      </c>
      <c r="G190" t="str">
        <f>gescon_infosparticip!AL189</f>
        <v>-</v>
      </c>
      <c r="H190" t="str">
        <f>gescon_infosparticip!AM189</f>
        <v>Autonome : Boire : au moins 1 verre d'eau à chaque repas - et en général doit beaucoup boire. A stimuler.</v>
      </c>
      <c r="I190" t="str">
        <f>gescon_infosparticip!AN189</f>
        <v>coca zéro, vin..</v>
      </c>
      <c r="J190" t="str">
        <f>gescon_infosparticip!AO189</f>
        <v>Elle doit beaucoup boire (1 bouteille d'eau entre les repas)</v>
      </c>
      <c r="K190" t="str">
        <f>gescon_infosparticip!AP189</f>
        <v>-</v>
      </c>
      <c r="L190" t="str">
        <f>gescon_infosparticip!AQ189</f>
        <v>-</v>
      </c>
      <c r="M190">
        <f>gescon_infosparticip!BA189</f>
        <v>2146189812</v>
      </c>
      <c r="N190">
        <f>gescon_infosparticip!BB189</f>
        <v>0</v>
      </c>
      <c r="O190">
        <f>gescon_infosparticip!BC189</f>
        <v>0</v>
      </c>
      <c r="P190">
        <f>gescon_infosparticip!BD189</f>
        <v>2146188976</v>
      </c>
      <c r="Q190">
        <f>gescon_infosparticip!BE189</f>
        <v>2146188976</v>
      </c>
      <c r="R190" t="str">
        <f>gescon_infosparticip!BF189</f>
        <v>192 89 747</v>
      </c>
      <c r="S190" t="str">
        <f>gescon_infosparticip!BG189</f>
        <v>Spina Bifina</v>
      </c>
      <c r="T190" t="str">
        <f>gescon_infosparticip!BH189</f>
        <v>Handicap mental léger et troubles moteurs</v>
      </c>
      <c r="U190" t="str">
        <f>gescon_infosparticip!BI189</f>
        <v>Moyen</v>
      </c>
      <c r="V190" t="str">
        <f>gescon_infosparticip!BJ189</f>
        <v>Soleil : à protéger (chapeau - crème) - Peau très fragile et sujette aux escarres</v>
      </c>
      <c r="W190" t="str">
        <f>gescon_infosparticip!BK189</f>
        <v>Autonome pour la toilette - Fait sa toilette sur sa chaise percée -  Elle se lave le visage avec de l'eau. L'aider à la douche et faire les soins. Infirmiers. L'aider a mettre ses bas de contention Bépanthène si sein douloureux</v>
      </c>
      <c r="X190" t="str">
        <f>gescon_infosparticip!BL189</f>
        <v>A une poche pour uriner. Lui faire le grand changement de poche (complet) le lundi et quand nécessaire. Changer la poche le mercredi et vendredi matin pour limiter les odeurs. Elle élimine ses selles manuellement tous les matins (elle utilise un gant chirurgical et de la vaseline)</v>
      </c>
      <c r="Y190" t="str">
        <f>gescon_infosparticip!BM189</f>
        <v>Coussin anti-escarres tjs posé sur sa chaise - fer. Massage de la fesse gauche avec anti-dry</v>
      </c>
    </row>
    <row r="191" spans="2:25" ht="15.75" customHeight="1" x14ac:dyDescent="0.25">
      <c r="B191">
        <f>gescon_infosparticip!A190</f>
        <v>1639681950</v>
      </c>
      <c r="C191" t="str">
        <f>gescon_infosparticip!AH190</f>
        <v/>
      </c>
      <c r="D191" t="str">
        <f>gescon_infosparticip!AI190</f>
        <v/>
      </c>
      <c r="E191" t="str">
        <f>gescon_infosparticip!AJ190</f>
        <v/>
      </c>
      <c r="F191" t="str">
        <f>gescon_infosparticip!AK190</f>
        <v/>
      </c>
      <c r="G191" t="str">
        <f>gescon_infosparticip!AL190</f>
        <v/>
      </c>
      <c r="H191" t="str">
        <f>gescon_infosparticip!AM190</f>
        <v/>
      </c>
      <c r="I191" t="str">
        <f>gescon_infosparticip!AN190</f>
        <v/>
      </c>
      <c r="J191" t="str">
        <f>gescon_infosparticip!AO190</f>
        <v/>
      </c>
      <c r="K191" t="str">
        <f>gescon_infosparticip!AP190</f>
        <v/>
      </c>
      <c r="L191" t="str">
        <f>gescon_infosparticip!AQ190</f>
        <v/>
      </c>
      <c r="M191">
        <f>gescon_infosparticip!BA190</f>
        <v>0</v>
      </c>
      <c r="N191">
        <f>gescon_infosparticip!BB190</f>
        <v>0</v>
      </c>
      <c r="O191">
        <f>gescon_infosparticip!BC190</f>
        <v>0</v>
      </c>
      <c r="P191">
        <f>gescon_infosparticip!BD190</f>
        <v>0</v>
      </c>
      <c r="Q191">
        <f>gescon_infosparticip!BE190</f>
        <v>0</v>
      </c>
      <c r="R191" t="str">
        <f>gescon_infosparticip!BF190</f>
        <v/>
      </c>
      <c r="S191" t="str">
        <f>gescon_infosparticip!BG190</f>
        <v/>
      </c>
      <c r="T191" t="str">
        <f>gescon_infosparticip!BH190</f>
        <v/>
      </c>
      <c r="U191" t="str">
        <f>gescon_infosparticip!BI190</f>
        <v/>
      </c>
      <c r="V191" t="str">
        <f>gescon_infosparticip!BJ190</f>
        <v/>
      </c>
      <c r="W191" t="str">
        <f>gescon_infosparticip!BK190</f>
        <v/>
      </c>
      <c r="X191" t="str">
        <f>gescon_infosparticip!BL190</f>
        <v/>
      </c>
      <c r="Y191" t="str">
        <f>gescon_infosparticip!BM190</f>
        <v/>
      </c>
    </row>
    <row r="192" spans="2:25" ht="15.75" customHeight="1" x14ac:dyDescent="0.25">
      <c r="B192">
        <f>gescon_infosparticip!A191</f>
        <v>1674789794</v>
      </c>
      <c r="C192" t="str">
        <f>gescon_infosparticip!AH191</f>
        <v>aider à couper.</v>
      </c>
      <c r="D192" t="str">
        <f>gescon_infosparticip!AI191</f>
        <v/>
      </c>
      <c r="E192" t="str">
        <f>gescon_infosparticip!AJ191</f>
        <v/>
      </c>
      <c r="F192" t="str">
        <f>gescon_infosparticip!AK191</f>
        <v/>
      </c>
      <c r="G192" t="str">
        <f>gescon_infosparticip!AL191</f>
        <v/>
      </c>
      <c r="H192" t="str">
        <f>gescon_infosparticip!AM191</f>
        <v>Il boit tout seul avec un verre étroit ou une paille.</v>
      </c>
      <c r="I192" t="str">
        <f>gescon_infosparticip!AN191</f>
        <v/>
      </c>
      <c r="J192" t="str">
        <f>gescon_infosparticip!AO191</f>
        <v/>
      </c>
      <c r="K192" t="str">
        <f>gescon_infosparticip!AP191</f>
        <v/>
      </c>
      <c r="L192" t="str">
        <f>gescon_infosparticip!AQ191</f>
        <v/>
      </c>
      <c r="M192">
        <f>gescon_infosparticip!BA191</f>
        <v>0</v>
      </c>
      <c r="N192">
        <f>gescon_infosparticip!BB191</f>
        <v>2146189738</v>
      </c>
      <c r="O192">
        <f>gescon_infosparticip!BC191</f>
        <v>0</v>
      </c>
      <c r="P192">
        <f>gescon_infosparticip!BD191</f>
        <v>2146188974</v>
      </c>
      <c r="Q192">
        <f>gescon_infosparticip!BE191</f>
        <v>2146188974</v>
      </c>
      <c r="R192" t="str">
        <f>gescon_infosparticip!BF191</f>
        <v/>
      </c>
      <c r="S192" t="str">
        <f>gescon_infosparticip!BG191</f>
        <v>IMC</v>
      </c>
      <c r="T192" t="str">
        <f>gescon_infosparticip!BH191</f>
        <v>troubles moteurs</v>
      </c>
      <c r="U192" t="str">
        <f>gescon_infosparticip!BI191</f>
        <v/>
      </c>
      <c r="V192" t="str">
        <f>gescon_infosparticip!BJ191</f>
        <v/>
      </c>
      <c r="W192" t="str">
        <f>gescon_infosparticip!BK191</f>
        <v>La matinée, lui mettre l’attèle pour le bras droit. À besoin d’une personne pour le laver, aller au WC. Pierre aide selon ses capacités.</v>
      </c>
      <c r="X192" t="str">
        <f>gescon_infosparticip!BL191</f>
        <v>Pierre n’est plus langé. Lui demander s’il a besoin. Il peut aussi demander s’il veut aller sur les toilettes.</v>
      </c>
      <c r="Y192" t="str">
        <f>gescon_infosparticip!BM191</f>
        <v/>
      </c>
    </row>
    <row r="193" spans="2:25" ht="15.75" customHeight="1" x14ac:dyDescent="0.25">
      <c r="B193">
        <f>gescon_infosparticip!A192</f>
        <v>1700385237</v>
      </c>
      <c r="C193" t="str">
        <f>gescon_infosparticip!AH192</f>
        <v/>
      </c>
      <c r="D193" t="str">
        <f>gescon_infosparticip!AI192</f>
        <v/>
      </c>
      <c r="E193" t="str">
        <f>gescon_infosparticip!AJ192</f>
        <v/>
      </c>
      <c r="F193" t="str">
        <f>gescon_infosparticip!AK192</f>
        <v/>
      </c>
      <c r="G193" t="str">
        <f>gescon_infosparticip!AL192</f>
        <v/>
      </c>
      <c r="H193" t="str">
        <f>gescon_infosparticip!AM192</f>
        <v/>
      </c>
      <c r="I193" t="str">
        <f>gescon_infosparticip!AN192</f>
        <v/>
      </c>
      <c r="J193" t="str">
        <f>gescon_infosparticip!AO192</f>
        <v/>
      </c>
      <c r="K193" t="str">
        <f>gescon_infosparticip!AP192</f>
        <v/>
      </c>
      <c r="L193" t="str">
        <f>gescon_infosparticip!AQ192</f>
        <v/>
      </c>
      <c r="M193">
        <f>gescon_infosparticip!BA192</f>
        <v>0</v>
      </c>
      <c r="N193">
        <f>gescon_infosparticip!BB192</f>
        <v>0</v>
      </c>
      <c r="O193">
        <f>gescon_infosparticip!BC192</f>
        <v>0</v>
      </c>
      <c r="P193">
        <f>gescon_infosparticip!BD192</f>
        <v>0</v>
      </c>
      <c r="Q193">
        <f>gescon_infosparticip!BE192</f>
        <v>0</v>
      </c>
      <c r="R193" t="str">
        <f>gescon_infosparticip!BF192</f>
        <v/>
      </c>
      <c r="S193" t="str">
        <f>gescon_infosparticip!BG192</f>
        <v/>
      </c>
      <c r="T193" t="str">
        <f>gescon_infosparticip!BH192</f>
        <v/>
      </c>
      <c r="U193" t="str">
        <f>gescon_infosparticip!BI192</f>
        <v/>
      </c>
      <c r="V193" t="str">
        <f>gescon_infosparticip!BJ192</f>
        <v/>
      </c>
      <c r="W193" t="str">
        <f>gescon_infosparticip!BK192</f>
        <v/>
      </c>
      <c r="X193" t="str">
        <f>gescon_infosparticip!BL192</f>
        <v/>
      </c>
      <c r="Y193" t="str">
        <f>gescon_infosparticip!BM192</f>
        <v/>
      </c>
    </row>
    <row r="194" spans="2:25" ht="15.75" customHeight="1" x14ac:dyDescent="0.25">
      <c r="B194">
        <f>gescon_infosparticip!A193</f>
        <v>1730687754</v>
      </c>
      <c r="C194" t="str">
        <f>gescon_infosparticip!AH193</f>
        <v>Il faut l'aider à couper. Lionel mange seul. Si aliment trop liquide (pudding,…), l'aider</v>
      </c>
      <c r="D194" t="str">
        <f>gescon_infosparticip!AI193</f>
        <v/>
      </c>
      <c r="E194" t="str">
        <f>gescon_infosparticip!AJ193</f>
        <v/>
      </c>
      <c r="F194" t="str">
        <f>gescon_infosparticip!AK193</f>
        <v/>
      </c>
      <c r="G194" t="str">
        <f>gescon_infosparticip!AL193</f>
        <v/>
      </c>
      <c r="H194" t="str">
        <f>gescon_infosparticip!AM193</f>
        <v>boit seul avec une paille</v>
      </c>
      <c r="I194" t="str">
        <f>gescon_infosparticip!AN193</f>
        <v/>
      </c>
      <c r="J194" t="str">
        <f>gescon_infosparticip!AO193</f>
        <v/>
      </c>
      <c r="K194" t="str">
        <f>gescon_infosparticip!AP193</f>
        <v/>
      </c>
      <c r="L194" t="str">
        <f>gescon_infosparticip!AQ193</f>
        <v/>
      </c>
      <c r="M194">
        <f>gescon_infosparticip!BA193</f>
        <v>2146189001</v>
      </c>
      <c r="N194">
        <f>gescon_infosparticip!BB193</f>
        <v>2146189663</v>
      </c>
      <c r="O194">
        <f>gescon_infosparticip!BC193</f>
        <v>0</v>
      </c>
      <c r="P194">
        <f>gescon_infosparticip!BD193</f>
        <v>2146189003</v>
      </c>
      <c r="Q194">
        <f>gescon_infosparticip!BE193</f>
        <v>2146189003</v>
      </c>
      <c r="R194" t="str">
        <f>gescon_infosparticip!BF193</f>
        <v>010917043</v>
      </c>
      <c r="S194" t="str">
        <f>gescon_infosparticip!BG193</f>
        <v>Maladie neuromusculaire</v>
      </c>
      <c r="T194" t="str">
        <f>gescon_infosparticip!BH193</f>
        <v>Troubles moteurs</v>
      </c>
      <c r="U194" t="str">
        <f>gescon_infosparticip!BI193</f>
        <v>Elevé</v>
      </c>
      <c r="V194" t="str">
        <f>gescon_infosparticip!BJ193</f>
        <v>Protéger Lionel du soleil avec un chapeau et de la crème.</v>
      </c>
      <c r="W194" t="str">
        <f>gescon_infosparticip!BK193</f>
        <v>Il a besoin d'aide pour sa toilette ainsi que la douche.</v>
      </c>
      <c r="X194" t="str">
        <f>gescon_infosparticip!BL193</f>
        <v>Lionel est autonome. Il faut l'aider à se mettre sur les toilettes lorsqu'il va à selle, sinon juste lui sortir la bouteille lorsqu'il veut uriner. L'aider pour le transfert.</v>
      </c>
      <c r="Y194" t="str">
        <f>gescon_infosparticip!BM193</f>
        <v>Prévention des escarres.</v>
      </c>
    </row>
    <row r="195" spans="2:25" ht="15.75" customHeight="1" x14ac:dyDescent="0.25">
      <c r="B195">
        <f>gescon_infosparticip!A194</f>
        <v>1844045075</v>
      </c>
      <c r="C195" t="str">
        <f>gescon_infosparticip!AH194</f>
        <v>boit dans un verre avec la paille dans un plot, cuillère coudée, assiette avec bord plastique, + antiglisse. Couper petit les aliments.Elle mange de la main droite: dans sa chaise sur la tablette</v>
      </c>
      <c r="D195" t="str">
        <f>gescon_infosparticip!AI194</f>
        <v>Le matin jus de pomme ou orange ou autre jus de fruit. Elle aime le café et le thé. Elle mange de tout lorsqu’elle a faim. Elle adore les tartes aux pommes et les pâtes aux tomates.</v>
      </c>
      <c r="E195" t="str">
        <f>gescon_infosparticip!AJ194</f>
        <v/>
      </c>
      <c r="F195" t="str">
        <f>gescon_infosparticip!AK194</f>
        <v/>
      </c>
      <c r="G195" t="str">
        <f>gescon_infosparticip!AL194</f>
        <v/>
      </c>
      <c r="H195" t="str">
        <f>gescon_infosparticip!AM194</f>
        <v/>
      </c>
      <c r="I195" t="str">
        <f>gescon_infosparticip!AN194</f>
        <v>Café au lait</v>
      </c>
      <c r="J195" t="str">
        <f>gescon_infosparticip!AO194</f>
        <v/>
      </c>
      <c r="K195" t="str">
        <f>gescon_infosparticip!AP194</f>
        <v/>
      </c>
      <c r="L195" t="str">
        <f>gescon_infosparticip!AQ194</f>
        <v/>
      </c>
      <c r="M195">
        <f>gescon_infosparticip!BA194</f>
        <v>2146189786</v>
      </c>
      <c r="N195">
        <f>gescon_infosparticip!BB194</f>
        <v>0</v>
      </c>
      <c r="O195">
        <f>gescon_infosparticip!BC194</f>
        <v>0</v>
      </c>
      <c r="P195">
        <f>gescon_infosparticip!BD194</f>
        <v>2146189275</v>
      </c>
      <c r="Q195">
        <f>gescon_infosparticip!BE194</f>
        <v>0</v>
      </c>
      <c r="R195" t="str">
        <f>gescon_infosparticip!BF194</f>
        <v/>
      </c>
      <c r="S195" t="str">
        <f>gescon_infosparticip!BG194</f>
        <v>IMC</v>
      </c>
      <c r="T195" t="str">
        <f>gescon_infosparticip!BH194</f>
        <v>petit problème de vue</v>
      </c>
      <c r="U195" t="str">
        <f>gescon_infosparticip!BI194</f>
        <v/>
      </c>
      <c r="V195" t="str">
        <f>gescon_infosparticip!BJ194</f>
        <v>aucune</v>
      </c>
      <c r="W195" t="str">
        <f>gescon_infosparticip!BK194</f>
        <v>Elle prend la douche avec l’aide d’une chaise percée ou fait une toilette complète au lit. Lui laver les cheveux le mardi, vendredi et dimanche.</v>
      </c>
      <c r="X195" t="str">
        <f>gescon_infosparticip!BL194</f>
        <v>langée nuit et jour, fait sur la chaise percée au lever lors de son jour de douche, le matin et à midi. Elle ne s'exprime pas lorsqu'elle a mal, être attentif et lui poser la question</v>
      </c>
      <c r="Y195" t="str">
        <f>gescon_infosparticip!BM194</f>
        <v>prévention normal. Rougeurs aux fesses, bien hydrater</v>
      </c>
    </row>
    <row r="196" spans="2:25" ht="15.75" customHeight="1" x14ac:dyDescent="0.25">
      <c r="B196">
        <f>gescon_infosparticip!A195</f>
        <v>1855965489</v>
      </c>
      <c r="C196" t="str">
        <f>gescon_infosparticip!AH195</f>
        <v>Attention fausse route. Manger : couper en morceaux - lui donner à manger. Diriger la cuillère/fourchette plutôt sur la mâchoire gauche pour l'encourager à mastiquer. Aller lentement. A une digerstion lente, lui laisser le temps de digérer le soir avant d'aller se coucher.</v>
      </c>
      <c r="D196" t="str">
        <f>gescon_infosparticip!AI195</f>
        <v>-</v>
      </c>
      <c r="E196" t="str">
        <f>gescon_infosparticip!AJ195</f>
        <v>-</v>
      </c>
      <c r="F196" t="str">
        <f>gescon_infosparticip!AK195</f>
        <v/>
      </c>
      <c r="G196" t="str">
        <f>gescon_infosparticip!AL195</f>
        <v>pas de champignons, riz et semoule</v>
      </c>
      <c r="H196" t="str">
        <f>gescon_infosparticip!AM195</f>
        <v>Cédric doit boire ses 2 gourdes/jours. Lui donner 3 gorgée sinon tousse. Il peut boire de l'alcool (avec modération bien sûr). Paille interdite</v>
      </c>
      <c r="I196" t="str">
        <f>gescon_infosparticip!AN195</f>
        <v>eau gazeuse - Bière - Vin - Wiskey</v>
      </c>
      <c r="J196" t="str">
        <f>gescon_infosparticip!AO195</f>
        <v>-</v>
      </c>
      <c r="K196" t="str">
        <f>gescon_infosparticip!AP195</f>
        <v>eau plate risque de fausse route</v>
      </c>
      <c r="L196" t="str">
        <f>gescon_infosparticip!AQ195</f>
        <v>-</v>
      </c>
      <c r="M196">
        <f>gescon_infosparticip!BA195</f>
        <v>2146189423</v>
      </c>
      <c r="N196">
        <f>gescon_infosparticip!BB195</f>
        <v>0</v>
      </c>
      <c r="O196">
        <f>gescon_infosparticip!BC195</f>
        <v>0</v>
      </c>
      <c r="P196">
        <f>gescon_infosparticip!BD195</f>
        <v>2146188969</v>
      </c>
      <c r="Q196">
        <f>gescon_infosparticip!BE195</f>
        <v>2146188969</v>
      </c>
      <c r="R196" t="str">
        <f>gescon_infosparticip!BF195</f>
        <v>701482-PH</v>
      </c>
      <c r="S196" t="str">
        <f>gescon_infosparticip!BG195</f>
        <v>IMC</v>
      </c>
      <c r="T196" t="str">
        <f>gescon_infosparticip!BH195</f>
        <v>Porteur de lunette</v>
      </c>
      <c r="U196" t="str">
        <f>gescon_infosparticip!BI195</f>
        <v>Elevé</v>
      </c>
      <c r="V196" t="str">
        <f>gescon_infosparticip!BJ195</f>
        <v>Pénicilline, Cephalosoprine, Bactrim, Tavanic, Flagyl, Norfloxacine, Norflex, chat, chien, cheval,arbre, pollen.</v>
      </c>
      <c r="W196" t="str">
        <f>gescon_infosparticip!BK195</f>
        <v>Tiges de Harrington dans le dos (son dos ne se plie pas) - Doit faire des exercices respiratoires (aérosol, spiromètre, bulles - voir avec lui pour les dosages) - Donner les médicaments sur une cuillère de yogurth et donner après le yogurth</v>
      </c>
      <c r="X196" t="str">
        <f>gescon_infosparticip!BL195</f>
        <v>Cédric est continent des selles,il peut avoir besoin d'un Microlast à mettre sur une chaisse percée. Porteur d'une sondes sus-pubien. Uriflac nuit à accrocher à celui du jour.Crème Mycolog si problème prépuce</v>
      </c>
      <c r="Y196" t="str">
        <f>gescon_infosparticip!BM195</f>
        <v>A sa demande faire 1 à 2 changements de position dans la journée. Avec la chaise, il ne fait pas tous les jours.</v>
      </c>
    </row>
    <row r="197" spans="2:25" ht="15.75" customHeight="1" x14ac:dyDescent="0.25">
      <c r="B197">
        <f>gescon_infosparticip!A196</f>
        <v>1884143596</v>
      </c>
      <c r="C197" t="str">
        <f>gescon_infosparticip!AH196</f>
        <v/>
      </c>
      <c r="D197" t="str">
        <f>gescon_infosparticip!AI196</f>
        <v/>
      </c>
      <c r="E197" t="str">
        <f>gescon_infosparticip!AJ196</f>
        <v/>
      </c>
      <c r="F197" t="str">
        <f>gescon_infosparticip!AK196</f>
        <v/>
      </c>
      <c r="G197" t="str">
        <f>gescon_infosparticip!AL196</f>
        <v/>
      </c>
      <c r="H197" t="str">
        <f>gescon_infosparticip!AM196</f>
        <v/>
      </c>
      <c r="I197" t="str">
        <f>gescon_infosparticip!AN196</f>
        <v/>
      </c>
      <c r="J197" t="str">
        <f>gescon_infosparticip!AO196</f>
        <v/>
      </c>
      <c r="K197" t="str">
        <f>gescon_infosparticip!AP196</f>
        <v/>
      </c>
      <c r="L197" t="str">
        <f>gescon_infosparticip!AQ196</f>
        <v/>
      </c>
      <c r="M197">
        <f>gescon_infosparticip!BA196</f>
        <v>0</v>
      </c>
      <c r="N197">
        <f>gescon_infosparticip!BB196</f>
        <v>0</v>
      </c>
      <c r="O197">
        <f>gescon_infosparticip!BC196</f>
        <v>0</v>
      </c>
      <c r="P197">
        <f>gescon_infosparticip!BD196</f>
        <v>0</v>
      </c>
      <c r="Q197">
        <f>gescon_infosparticip!BE196</f>
        <v>0</v>
      </c>
      <c r="R197" t="str">
        <f>gescon_infosparticip!BF196</f>
        <v/>
      </c>
      <c r="S197" t="str">
        <f>gescon_infosparticip!BG196</f>
        <v/>
      </c>
      <c r="T197" t="str">
        <f>gescon_infosparticip!BH196</f>
        <v/>
      </c>
      <c r="U197" t="str">
        <f>gescon_infosparticip!BI196</f>
        <v/>
      </c>
      <c r="V197" t="str">
        <f>gescon_infosparticip!BJ196</f>
        <v/>
      </c>
      <c r="W197" t="str">
        <f>gescon_infosparticip!BK196</f>
        <v/>
      </c>
      <c r="X197" t="str">
        <f>gescon_infosparticip!BL196</f>
        <v/>
      </c>
      <c r="Y197" t="str">
        <f>gescon_infosparticip!BM196</f>
        <v/>
      </c>
    </row>
    <row r="198" spans="2:25" ht="15.75" customHeight="1" x14ac:dyDescent="0.25">
      <c r="B198">
        <f>gescon_infosparticip!A197</f>
        <v>1925632802</v>
      </c>
      <c r="C198" t="str">
        <f>gescon_infosparticip!AH197</f>
        <v/>
      </c>
      <c r="D198" t="str">
        <f>gescon_infosparticip!AI197</f>
        <v/>
      </c>
      <c r="E198" t="str">
        <f>gescon_infosparticip!AJ197</f>
        <v/>
      </c>
      <c r="F198" t="str">
        <f>gescon_infosparticip!AK197</f>
        <v/>
      </c>
      <c r="G198" t="str">
        <f>gescon_infosparticip!AL197</f>
        <v/>
      </c>
      <c r="H198" t="str">
        <f>gescon_infosparticip!AM197</f>
        <v/>
      </c>
      <c r="I198" t="str">
        <f>gescon_infosparticip!AN197</f>
        <v/>
      </c>
      <c r="J198" t="str">
        <f>gescon_infosparticip!AO197</f>
        <v/>
      </c>
      <c r="K198" t="str">
        <f>gescon_infosparticip!AP197</f>
        <v/>
      </c>
      <c r="L198" t="str">
        <f>gescon_infosparticip!AQ197</f>
        <v/>
      </c>
      <c r="M198">
        <f>gescon_infosparticip!BA197</f>
        <v>0</v>
      </c>
      <c r="N198">
        <f>gescon_infosparticip!BB197</f>
        <v>0</v>
      </c>
      <c r="O198">
        <f>gescon_infosparticip!BC197</f>
        <v>0</v>
      </c>
      <c r="P198">
        <f>gescon_infosparticip!BD197</f>
        <v>0</v>
      </c>
      <c r="Q198">
        <f>gescon_infosparticip!BE197</f>
        <v>0</v>
      </c>
      <c r="R198" t="str">
        <f>gescon_infosparticip!BF197</f>
        <v/>
      </c>
      <c r="S198" t="str">
        <f>gescon_infosparticip!BG197</f>
        <v/>
      </c>
      <c r="T198" t="str">
        <f>gescon_infosparticip!BH197</f>
        <v/>
      </c>
      <c r="U198" t="str">
        <f>gescon_infosparticip!BI197</f>
        <v/>
      </c>
      <c r="V198" t="str">
        <f>gescon_infosparticip!BJ197</f>
        <v/>
      </c>
      <c r="W198" t="str">
        <f>gescon_infosparticip!BK197</f>
        <v/>
      </c>
      <c r="X198" t="str">
        <f>gescon_infosparticip!BL197</f>
        <v/>
      </c>
      <c r="Y198" t="str">
        <f>gescon_infosparticip!BM197</f>
        <v/>
      </c>
    </row>
    <row r="199" spans="2:25" ht="15.75" customHeight="1" x14ac:dyDescent="0.25">
      <c r="B199">
        <f>gescon_infosparticip!A198</f>
        <v>1958467881</v>
      </c>
      <c r="C199" t="str">
        <f>gescon_infosparticip!AH198</f>
        <v>Aider à couper. Il mange seul</v>
      </c>
      <c r="D199" t="str">
        <f>gescon_infosparticip!AI198</f>
        <v/>
      </c>
      <c r="E199" t="str">
        <f>gescon_infosparticip!AJ198</f>
        <v>De préférence 1 service à midi et le soir et lui donner avec modération un goûter.</v>
      </c>
      <c r="F199" t="str">
        <f>gescon_infosparticip!AK198</f>
        <v>Il n’aime pas les brocolis et les choux de Bruxelles.</v>
      </c>
      <c r="G199" t="str">
        <f>gescon_infosparticip!AL198</f>
        <v/>
      </c>
      <c r="H199" t="str">
        <f>gescon_infosparticip!AM198</f>
        <v>boit seul</v>
      </c>
      <c r="I199" t="str">
        <f>gescon_infosparticip!AN198</f>
        <v>thé aux fruits, bière (avec modération)</v>
      </c>
      <c r="J199" t="str">
        <f>gescon_infosparticip!AO198</f>
        <v/>
      </c>
      <c r="K199" t="str">
        <f>gescon_infosparticip!AP198</f>
        <v>pas trop de boissons sucrées ou coupé avec de l’eau.</v>
      </c>
      <c r="L199" t="str">
        <f>gescon_infosparticip!AQ198</f>
        <v/>
      </c>
      <c r="M199">
        <f>gescon_infosparticip!BA198</f>
        <v>2146189787</v>
      </c>
      <c r="N199">
        <f>gescon_infosparticip!BB198</f>
        <v>2146189114</v>
      </c>
      <c r="O199">
        <f>gescon_infosparticip!BC198</f>
        <v>0</v>
      </c>
      <c r="P199">
        <f>gescon_infosparticip!BD198</f>
        <v>2146188974</v>
      </c>
      <c r="Q199">
        <f>gescon_infosparticip!BE198</f>
        <v>2146188974</v>
      </c>
      <c r="R199" t="str">
        <f>gescon_infosparticip!BF198</f>
        <v>010 300</v>
      </c>
      <c r="S199" t="str">
        <f>gescon_infosparticip!BG198</f>
        <v>IMC des membres inférieurs</v>
      </c>
      <c r="T199" t="str">
        <f>gescon_infosparticip!BH198</f>
        <v>Troubles moteurs membres inférieurs. Jérémy doit garder les lunettes du matin au soir, sauf pour des activités spéciales (piscine…). Aide à nettoyer les lunettes, il dit quand il veut mettre ses lunettes selon les activités</v>
      </c>
      <c r="U199" t="str">
        <f>gescon_infosparticip!BI198</f>
        <v/>
      </c>
      <c r="V199" t="str">
        <f>gescon_infosparticip!BJ198</f>
        <v>Le protéger du soleil (crème et chapeau)</v>
      </c>
      <c r="W199" t="str">
        <f>gescon_infosparticip!BK198</f>
        <v>Il a besoin d’aide pour le brossage des dents. ATTENTION : Jérémy a une pompe à baclofen située dans l'abdomen et reliée directement à la moelle épinière. Il faut donc avertir directement les parents s'il lui arrive de tomber très fort !!!!!!!! Aide au rasage 1 jour sur 2.</v>
      </c>
      <c r="X199" t="str">
        <f>gescon_infosparticip!BL198</f>
        <v>Il demande lui-même, mais il faut l’aider à aller aux toilettes. Il va assis sur les WC. Il faut lui dire d’aller aux WC avant de partir à une activité, promenade ou autre et avant d’aller au lit.</v>
      </c>
      <c r="Y199" t="str">
        <f>gescon_infosparticip!BM198</f>
        <v>-</v>
      </c>
    </row>
    <row r="200" spans="2:25" ht="15.75" customHeight="1" x14ac:dyDescent="0.25">
      <c r="B200">
        <f>gescon_infosparticip!A199</f>
        <v>1985796047</v>
      </c>
      <c r="C200" t="str">
        <f>gescon_infosparticip!AH199</f>
        <v>A besoin d'aide pour couper les aliments.
Il peut gouter de tout.S'il n'aime pas il peut le dire et laisser</v>
      </c>
      <c r="D200" t="str">
        <f>gescon_infosparticip!AI199</f>
        <v/>
      </c>
      <c r="E200" t="str">
        <f>gescon_infosparticip!AJ199</f>
        <v/>
      </c>
      <c r="F200" t="str">
        <f>gescon_infosparticip!AK199</f>
        <v>Salade</v>
      </c>
      <c r="G200" t="str">
        <f>gescon_infosparticip!AL199</f>
        <v/>
      </c>
      <c r="H200" t="str">
        <f>gescon_infosparticip!AM199</f>
        <v/>
      </c>
      <c r="I200" t="str">
        <f>gescon_infosparticip!AN199</f>
        <v/>
      </c>
      <c r="J200" t="str">
        <f>gescon_infosparticip!AO199</f>
        <v/>
      </c>
      <c r="K200" t="str">
        <f>gescon_infosparticip!AP199</f>
        <v/>
      </c>
      <c r="L200" t="str">
        <f>gescon_infosparticip!AQ199</f>
        <v/>
      </c>
      <c r="M200">
        <f>gescon_infosparticip!BA199</f>
        <v>1309859639</v>
      </c>
      <c r="N200">
        <f>gescon_infosparticip!BB199</f>
        <v>0</v>
      </c>
      <c r="O200">
        <f>gescon_infosparticip!BC199</f>
        <v>0</v>
      </c>
      <c r="P200">
        <f>gescon_infosparticip!BD199</f>
        <v>2146189275</v>
      </c>
      <c r="Q200">
        <f>gescon_infosparticip!BE199</f>
        <v>0</v>
      </c>
      <c r="R200" t="str">
        <f>gescon_infosparticip!BF199</f>
        <v>01479</v>
      </c>
      <c r="S200" t="str">
        <f>gescon_infosparticip!BG199</f>
        <v>Imc</v>
      </c>
      <c r="T200" t="str">
        <f>gescon_infosparticip!BH199</f>
        <v/>
      </c>
      <c r="U200" t="str">
        <f>gescon_infosparticip!BI199</f>
        <v/>
      </c>
      <c r="V200" t="str">
        <f>gescon_infosparticip!BJ199</f>
        <v>Eczémas.Il a parfois des douleurs au Trijumeau.</v>
      </c>
      <c r="W200" t="str">
        <f>gescon_infosparticip!BK199</f>
        <v>Il à besoin d'aide pour s'habiller.Parfois il arrive à mettre son t-Shirt et sa jaquette tout seul.Il à besoin d'aide pour se laver les dents.</v>
      </c>
      <c r="X200" t="str">
        <f>gescon_infosparticip!BL199</f>
        <v>Valentin à besoin d'aide pour aller aux toilettes,mais il peut se tenir debout.</v>
      </c>
      <c r="Y200" t="str">
        <f>gescon_infosparticip!BM199</f>
        <v/>
      </c>
    </row>
    <row r="201" spans="2:25" ht="15.75" customHeight="1" x14ac:dyDescent="0.25">
      <c r="B201">
        <f>gescon_infosparticip!A200</f>
        <v>1996993420</v>
      </c>
      <c r="C201" t="str">
        <f>gescon_infosparticip!AH200</f>
        <v/>
      </c>
      <c r="D201" t="str">
        <f>gescon_infosparticip!AI200</f>
        <v/>
      </c>
      <c r="E201" t="str">
        <f>gescon_infosparticip!AJ200</f>
        <v/>
      </c>
      <c r="F201" t="str">
        <f>gescon_infosparticip!AK200</f>
        <v/>
      </c>
      <c r="G201" t="str">
        <f>gescon_infosparticip!AL200</f>
        <v/>
      </c>
      <c r="H201" t="str">
        <f>gescon_infosparticip!AM200</f>
        <v/>
      </c>
      <c r="I201" t="str">
        <f>gescon_infosparticip!AN200</f>
        <v/>
      </c>
      <c r="J201" t="str">
        <f>gescon_infosparticip!AO200</f>
        <v/>
      </c>
      <c r="K201" t="str">
        <f>gescon_infosparticip!AP200</f>
        <v/>
      </c>
      <c r="L201" t="str">
        <f>gescon_infosparticip!AQ200</f>
        <v/>
      </c>
      <c r="M201">
        <f>gescon_infosparticip!BA200</f>
        <v>0</v>
      </c>
      <c r="N201">
        <f>gescon_infosparticip!BB200</f>
        <v>0</v>
      </c>
      <c r="O201">
        <f>gescon_infosparticip!BC200</f>
        <v>0</v>
      </c>
      <c r="P201">
        <f>gescon_infosparticip!BD200</f>
        <v>0</v>
      </c>
      <c r="Q201">
        <f>gescon_infosparticip!BE200</f>
        <v>0</v>
      </c>
      <c r="R201" t="str">
        <f>gescon_infosparticip!BF200</f>
        <v/>
      </c>
      <c r="S201" t="str">
        <f>gescon_infosparticip!BG200</f>
        <v/>
      </c>
      <c r="T201" t="str">
        <f>gescon_infosparticip!BH200</f>
        <v/>
      </c>
      <c r="U201" t="str">
        <f>gescon_infosparticip!BI200</f>
        <v/>
      </c>
      <c r="V201" t="str">
        <f>gescon_infosparticip!BJ200</f>
        <v/>
      </c>
      <c r="W201" t="str">
        <f>gescon_infosparticip!BK200</f>
        <v/>
      </c>
      <c r="X201" t="str">
        <f>gescon_infosparticip!BL200</f>
        <v/>
      </c>
      <c r="Y201" t="str">
        <f>gescon_infosparticip!BM200</f>
        <v/>
      </c>
    </row>
    <row r="202" spans="2:25" ht="15.75" customHeight="1" x14ac:dyDescent="0.25">
      <c r="B202">
        <f>gescon_infosparticip!A201</f>
        <v>2000044555</v>
      </c>
      <c r="C202" t="str">
        <f>gescon_infosparticip!AH201</f>
        <v>besoin d'aide mais il s'entraîne à manger avec la fourchette. Il faut lui guider le bras et lui couper sa nourriture. Il mange de tout</v>
      </c>
      <c r="D202" t="str">
        <f>gescon_infosparticip!AI201</f>
        <v>matin : tartine au miel, à la confiture ou au coin.</v>
      </c>
      <c r="E202" t="str">
        <f>gescon_infosparticip!AJ201</f>
        <v/>
      </c>
      <c r="F202" t="str">
        <f>gescon_infosparticip!AK201</f>
        <v/>
      </c>
      <c r="G202" t="str">
        <f>gescon_infosparticip!AL201</f>
        <v/>
      </c>
      <c r="H202" t="str">
        <f>gescon_infosparticip!AM201</f>
        <v>boit avec une paille</v>
      </c>
      <c r="I202" t="str">
        <f>gescon_infosparticip!AN201</f>
        <v/>
      </c>
      <c r="J202" t="str">
        <f>gescon_infosparticip!AO201</f>
        <v/>
      </c>
      <c r="K202" t="str">
        <f>gescon_infosparticip!AP201</f>
        <v>Trop de lait de vache, il n'a pas l'habitude.</v>
      </c>
      <c r="L202" t="str">
        <f>gescon_infosparticip!AQ201</f>
        <v/>
      </c>
      <c r="M202">
        <f>gescon_infosparticip!BA201</f>
        <v>107</v>
      </c>
      <c r="N202">
        <f>gescon_infosparticip!BB201</f>
        <v>0</v>
      </c>
      <c r="O202">
        <f>gescon_infosparticip!BC201</f>
        <v>0</v>
      </c>
      <c r="P202">
        <f>gescon_infosparticip!BD201</f>
        <v>2146189023</v>
      </c>
      <c r="Q202">
        <f>gescon_infosparticip!BE201</f>
        <v>2146189023</v>
      </c>
      <c r="R202" t="str">
        <f>gescon_infosparticip!BF201</f>
        <v>261-63-944</v>
      </c>
      <c r="S202" t="str">
        <f>gescon_infosparticip!BG201</f>
        <v>IMC</v>
      </c>
      <c r="T202" t="str">
        <f>gescon_infosparticip!BH201</f>
        <v>Yannic  peut faire des crises d’épilepsie (rarement). Le spray nasal se trouve dans une boîte dans son sac, attaché à la chaise roulante.</v>
      </c>
      <c r="U202" t="str">
        <f>gescon_infosparticip!BI201</f>
        <v>Elevé</v>
      </c>
      <c r="V202" t="str">
        <f>gescon_infosparticip!BJ201</f>
        <v/>
      </c>
      <c r="W202" t="str">
        <f>gescon_infosparticip!BK201</f>
        <v>aide complète</v>
      </c>
      <c r="X202" t="str">
        <f>gescon_infosparticip!BL201</f>
        <v>Yannic a une certaine autonomie. Hors de la maison, il faut mettre des protections. Quand il a besoin d’aller aux toilettes, il le montre en appuyant sa main sur l’abdomen. Toilettes adaptées importantes. Un rehausseur à mettre sur la lunette du siège !</v>
      </c>
      <c r="Y202" t="str">
        <f>gescon_infosparticip!BM201</f>
        <v/>
      </c>
    </row>
    <row r="203" spans="2:25" ht="15.75" customHeight="1" x14ac:dyDescent="0.25">
      <c r="B203">
        <f>gescon_infosparticip!A202</f>
        <v>2080662280</v>
      </c>
      <c r="C203" t="str">
        <f>gescon_infosparticip!AH202</f>
        <v>Mégane mange seule. De préférence dans une assiette à soupe pour éviter que les aliments sortent de l’assiette. Il faut lui couper la nourriture assez finement car parfois, elle a de la peine à déglutir. En principe, elle mange de tout.</v>
      </c>
      <c r="D203" t="str">
        <f>gescon_infosparticip!AI202</f>
        <v/>
      </c>
      <c r="E203" t="str">
        <f>gescon_infosparticip!AJ202</f>
        <v/>
      </c>
      <c r="F203" t="str">
        <f>gescon_infosparticip!AK202</f>
        <v/>
      </c>
      <c r="G203" t="str">
        <f>gescon_infosparticip!AL202</f>
        <v/>
      </c>
      <c r="H203" t="str">
        <f>gescon_infosparticip!AM202</f>
        <v>Mégane boit peut. Il faut lui proposer à boire régulièrement lors des 
repas, des pauses, etc… boit dans un verre normal.</v>
      </c>
      <c r="I203" t="str">
        <f>gescon_infosparticip!AN202</f>
        <v/>
      </c>
      <c r="J203" t="str">
        <f>gescon_infosparticip!AO202</f>
        <v/>
      </c>
      <c r="K203" t="str">
        <f>gescon_infosparticip!AP202</f>
        <v/>
      </c>
      <c r="L203" t="str">
        <f>gescon_infosparticip!AQ202</f>
        <v/>
      </c>
      <c r="M203">
        <f>gescon_infosparticip!BA202</f>
        <v>2146189772</v>
      </c>
      <c r="N203">
        <f>gescon_infosparticip!BB202</f>
        <v>2146189739</v>
      </c>
      <c r="O203">
        <f>gescon_infosparticip!BC202</f>
        <v>0</v>
      </c>
      <c r="P203">
        <f>gescon_infosparticip!BD202</f>
        <v>2146188974</v>
      </c>
      <c r="Q203">
        <f>gescon_infosparticip!BE202</f>
        <v>2146188982</v>
      </c>
      <c r="R203" t="str">
        <f>gescon_infosparticip!BF202</f>
        <v>097 051</v>
      </c>
      <c r="S203" t="str">
        <f>gescon_infosparticip!BG202</f>
        <v>IMC</v>
      </c>
      <c r="T203" t="str">
        <f>gescon_infosparticip!BH202</f>
        <v>Mégane a parfois des absences liées à une épilepsie. Cela se remarque sur le côté gauche du corps par un clignement de l’œil, une raideur du bras.Un moyen pour aider Mégane à passer cette phase est de lui prendre le bras gauche et le masser. + spray nasal</v>
      </c>
      <c r="U203" t="str">
        <f>gescon_infosparticip!BI202</f>
        <v>Moyen</v>
      </c>
      <c r="V203" t="str">
        <f>gescon_infosparticip!BJ202</f>
        <v>non, à protéger du soleil.</v>
      </c>
      <c r="W203" t="str">
        <f>gescon_infosparticip!BK202</f>
        <v>Aide pour toilette ou douche. Bien sécher plis l'aine et entre les orteils au foën sinon rougeur et mycose</v>
      </c>
      <c r="X203" t="str">
        <f>gescon_infosparticip!BL202</f>
        <v>Mégane est propre. Elle sait quand il faut aller aux toilettes, mais vu son manque de motricité, il est préférable de l'aider pour l'habillement et pour s'essuyer.</v>
      </c>
      <c r="Y203" t="str">
        <f>gescon_infosparticip!BM202</f>
        <v>Mégane bouge assez, mais il faut rester attentif aux escarres.</v>
      </c>
    </row>
    <row r="204" spans="2:25" ht="15.75" customHeight="1" x14ac:dyDescent="0.25">
      <c r="B204">
        <f>gescon_infosparticip!A203</f>
        <v>2088593679</v>
      </c>
      <c r="C204" t="str">
        <f>gescon_infosparticip!AH203</f>
        <v>Aide totale
Manger : mixé, lisse</v>
      </c>
      <c r="D204" t="str">
        <f>gescon_infosparticip!AI203</f>
        <v>déjeuner: joghurt, céréal, bircher</v>
      </c>
      <c r="E204" t="str">
        <f>gescon_infosparticip!AJ203</f>
        <v/>
      </c>
      <c r="F204" t="str">
        <f>gescon_infosparticip!AK203</f>
        <v/>
      </c>
      <c r="G204" t="str">
        <f>gescon_infosparticip!AL203</f>
        <v>Biscuits secs, bonbons, aliments durs</v>
      </c>
      <c r="H204" t="str">
        <f>gescon_infosparticip!AM203</f>
        <v>Il boit avec une paille</v>
      </c>
      <c r="I204" t="str">
        <f>gescon_infosparticip!AN203</f>
        <v>café/thé sans sucre</v>
      </c>
      <c r="J204" t="str">
        <f>gescon_infosparticip!AO203</f>
        <v/>
      </c>
      <c r="K204" t="str">
        <f>gescon_infosparticip!AP203</f>
        <v/>
      </c>
      <c r="L204" t="str">
        <f>gescon_infosparticip!AQ203</f>
        <v/>
      </c>
      <c r="M204">
        <f>gescon_infosparticip!BA203</f>
        <v>0</v>
      </c>
      <c r="N204">
        <f>gescon_infosparticip!BB203</f>
        <v>0</v>
      </c>
      <c r="O204">
        <f>gescon_infosparticip!BC203</f>
        <v>0</v>
      </c>
      <c r="P204">
        <f>gescon_infosparticip!BD203</f>
        <v>0</v>
      </c>
      <c r="Q204">
        <f>gescon_infosparticip!BE203</f>
        <v>0</v>
      </c>
      <c r="R204" t="str">
        <f>gescon_infosparticip!BF203</f>
        <v/>
      </c>
      <c r="S204" t="str">
        <f>gescon_infosparticip!BG203</f>
        <v>IMC</v>
      </c>
      <c r="T204" t="str">
        <f>gescon_infosparticip!BH203</f>
        <v>Handicap mental, épilepsie, troubles moteurs</v>
      </c>
      <c r="U204" t="str">
        <f>gescon_infosparticip!BI203</f>
        <v>Elevé</v>
      </c>
      <c r="V204" t="str">
        <f>gescon_infosparticip!BJ203</f>
        <v>Rhume des foins - yeux très sensibles : lunettes de soleil nécessaires</v>
      </c>
      <c r="W204" t="str">
        <f>gescon_infosparticip!BK203</f>
        <v>Aide totale, il détestequand il y a trop de monde, de passage lorsqu'il prend la douche.</v>
      </c>
      <c r="X204" t="str">
        <f>gescon_infosparticip!BL203</f>
        <v>Lange - Urine dans la bouteille : matin - midi et soir - Selles : Suppositoires : chaque 2 matins</v>
      </c>
      <c r="Y204" t="str">
        <f>gescon_infosparticip!BM203</f>
        <v/>
      </c>
    </row>
    <row r="205" spans="2:25" ht="15.75" customHeight="1" x14ac:dyDescent="0.25">
      <c r="B205">
        <f>gescon_infosparticip!A204</f>
        <v>2105684264</v>
      </c>
      <c r="C205" t="str">
        <f>gescon_infosparticip!AH204</f>
        <v/>
      </c>
      <c r="D205" t="str">
        <f>gescon_infosparticip!AI204</f>
        <v/>
      </c>
      <c r="E205" t="str">
        <f>gescon_infosparticip!AJ204</f>
        <v/>
      </c>
      <c r="F205" t="str">
        <f>gescon_infosparticip!AK204</f>
        <v/>
      </c>
      <c r="G205" t="str">
        <f>gescon_infosparticip!AL204</f>
        <v/>
      </c>
      <c r="H205" t="str">
        <f>gescon_infosparticip!AM204</f>
        <v/>
      </c>
      <c r="I205" t="str">
        <f>gescon_infosparticip!AN204</f>
        <v/>
      </c>
      <c r="J205" t="str">
        <f>gescon_infosparticip!AO204</f>
        <v/>
      </c>
      <c r="K205" t="str">
        <f>gescon_infosparticip!AP204</f>
        <v/>
      </c>
      <c r="L205" t="str">
        <f>gescon_infosparticip!AQ204</f>
        <v/>
      </c>
      <c r="M205">
        <f>gescon_infosparticip!BA204</f>
        <v>0</v>
      </c>
      <c r="N205">
        <f>gescon_infosparticip!BB204</f>
        <v>0</v>
      </c>
      <c r="O205">
        <f>gescon_infosparticip!BC204</f>
        <v>0</v>
      </c>
      <c r="P205">
        <f>gescon_infosparticip!BD204</f>
        <v>0</v>
      </c>
      <c r="Q205">
        <f>gescon_infosparticip!BE204</f>
        <v>0</v>
      </c>
      <c r="R205" t="str">
        <f>gescon_infosparticip!BF204</f>
        <v/>
      </c>
      <c r="S205" t="str">
        <f>gescon_infosparticip!BG204</f>
        <v/>
      </c>
      <c r="T205" t="str">
        <f>gescon_infosparticip!BH204</f>
        <v/>
      </c>
      <c r="U205" t="str">
        <f>gescon_infosparticip!BI204</f>
        <v/>
      </c>
      <c r="V205" t="str">
        <f>gescon_infosparticip!BJ204</f>
        <v/>
      </c>
      <c r="W205" t="str">
        <f>gescon_infosparticip!BK204</f>
        <v/>
      </c>
      <c r="X205" t="str">
        <f>gescon_infosparticip!BL204</f>
        <v/>
      </c>
      <c r="Y205" t="str">
        <f>gescon_infosparticip!BM204</f>
        <v/>
      </c>
    </row>
    <row r="206" spans="2:25" ht="15.75" customHeight="1" x14ac:dyDescent="0.25">
      <c r="B206">
        <f>gescon_infosparticip!A205</f>
        <v>2146188983</v>
      </c>
      <c r="C206" t="str">
        <f>gescon_infosparticip!AH205</f>
        <v/>
      </c>
      <c r="D206" t="str">
        <f>gescon_infosparticip!AI205</f>
        <v/>
      </c>
      <c r="E206" t="str">
        <f>gescon_infosparticip!AJ205</f>
        <v/>
      </c>
      <c r="F206" t="str">
        <f>gescon_infosparticip!AK205</f>
        <v/>
      </c>
      <c r="G206" t="str">
        <f>gescon_infosparticip!AL205</f>
        <v/>
      </c>
      <c r="H206" t="str">
        <f>gescon_infosparticip!AM205</f>
        <v/>
      </c>
      <c r="I206" t="str">
        <f>gescon_infosparticip!AN205</f>
        <v/>
      </c>
      <c r="J206" t="str">
        <f>gescon_infosparticip!AO205</f>
        <v/>
      </c>
      <c r="K206" t="str">
        <f>gescon_infosparticip!AP205</f>
        <v/>
      </c>
      <c r="L206" t="str">
        <f>gescon_infosparticip!AQ205</f>
        <v/>
      </c>
      <c r="M206">
        <f>gescon_infosparticip!BA205</f>
        <v>0</v>
      </c>
      <c r="N206">
        <f>gescon_infosparticip!BB205</f>
        <v>0</v>
      </c>
      <c r="O206">
        <f>gescon_infosparticip!BC205</f>
        <v>0</v>
      </c>
      <c r="P206">
        <f>gescon_infosparticip!BD205</f>
        <v>0</v>
      </c>
      <c r="Q206">
        <f>gescon_infosparticip!BE205</f>
        <v>0</v>
      </c>
      <c r="R206" t="str">
        <f>gescon_infosparticip!BF205</f>
        <v/>
      </c>
      <c r="S206" t="str">
        <f>gescon_infosparticip!BG205</f>
        <v/>
      </c>
      <c r="T206" t="str">
        <f>gescon_infosparticip!BH205</f>
        <v/>
      </c>
      <c r="U206" t="str">
        <f>gescon_infosparticip!BI205</f>
        <v/>
      </c>
      <c r="V206" t="str">
        <f>gescon_infosparticip!BJ205</f>
        <v/>
      </c>
      <c r="W206" t="str">
        <f>gescon_infosparticip!BK205</f>
        <v/>
      </c>
      <c r="X206" t="str">
        <f>gescon_infosparticip!BL205</f>
        <v/>
      </c>
      <c r="Y206" t="str">
        <f>gescon_infosparticip!BM205</f>
        <v/>
      </c>
    </row>
    <row r="207" spans="2:25" ht="15.75" customHeight="1" x14ac:dyDescent="0.25">
      <c r="B207">
        <f>gescon_infosparticip!A206</f>
        <v>2146189030</v>
      </c>
      <c r="C207" t="str">
        <f>gescon_infosparticip!AH206</f>
        <v/>
      </c>
      <c r="D207" t="str">
        <f>gescon_infosparticip!AI206</f>
        <v/>
      </c>
      <c r="E207" t="str">
        <f>gescon_infosparticip!AJ206</f>
        <v/>
      </c>
      <c r="F207" t="str">
        <f>gescon_infosparticip!AK206</f>
        <v/>
      </c>
      <c r="G207" t="str">
        <f>gescon_infosparticip!AL206</f>
        <v/>
      </c>
      <c r="H207" t="str">
        <f>gescon_infosparticip!AM206</f>
        <v/>
      </c>
      <c r="I207" t="str">
        <f>gescon_infosparticip!AN206</f>
        <v/>
      </c>
      <c r="J207" t="str">
        <f>gescon_infosparticip!AO206</f>
        <v/>
      </c>
      <c r="K207" t="str">
        <f>gescon_infosparticip!AP206</f>
        <v/>
      </c>
      <c r="L207" t="str">
        <f>gescon_infosparticip!AQ206</f>
        <v/>
      </c>
      <c r="M207">
        <f>gescon_infosparticip!BA206</f>
        <v>0</v>
      </c>
      <c r="N207">
        <f>gescon_infosparticip!BB206</f>
        <v>0</v>
      </c>
      <c r="O207">
        <f>gescon_infosparticip!BC206</f>
        <v>0</v>
      </c>
      <c r="P207">
        <f>gescon_infosparticip!BD206</f>
        <v>0</v>
      </c>
      <c r="Q207">
        <f>gescon_infosparticip!BE206</f>
        <v>0</v>
      </c>
      <c r="R207" t="str">
        <f>gescon_infosparticip!BF206</f>
        <v/>
      </c>
      <c r="S207" t="str">
        <f>gescon_infosparticip!BG206</f>
        <v/>
      </c>
      <c r="T207" t="str">
        <f>gescon_infosparticip!BH206</f>
        <v/>
      </c>
      <c r="U207" t="str">
        <f>gescon_infosparticip!BI206</f>
        <v/>
      </c>
      <c r="V207" t="str">
        <f>gescon_infosparticip!BJ206</f>
        <v/>
      </c>
      <c r="W207" t="str">
        <f>gescon_infosparticip!BK206</f>
        <v/>
      </c>
      <c r="X207" t="str">
        <f>gescon_infosparticip!BL206</f>
        <v/>
      </c>
      <c r="Y207" t="str">
        <f>gescon_infosparticip!BM206</f>
        <v/>
      </c>
    </row>
    <row r="208" spans="2:25" ht="15.75" customHeight="1" x14ac:dyDescent="0.25">
      <c r="B208">
        <f>gescon_infosparticip!A207</f>
        <v>2146189066</v>
      </c>
      <c r="C208" t="str">
        <f>gescon_infosparticip!AH207</f>
        <v>Elle ne mange pas beaucoup</v>
      </c>
      <c r="D208" t="str">
        <f>gescon_infosparticip!AI207</f>
        <v>Pâtes, viande</v>
      </c>
      <c r="E208" t="str">
        <f>gescon_infosparticip!AJ207</f>
        <v/>
      </c>
      <c r="F208" t="str">
        <f>gescon_infosparticip!AK207</f>
        <v/>
      </c>
      <c r="G208" t="str">
        <f>gescon_infosparticip!AL207</f>
        <v/>
      </c>
      <c r="H208" t="str">
        <f>gescon_infosparticip!AM207</f>
        <v/>
      </c>
      <c r="I208" t="str">
        <f>gescon_infosparticip!AN207</f>
        <v/>
      </c>
      <c r="J208" t="str">
        <f>gescon_infosparticip!AO207</f>
        <v/>
      </c>
      <c r="K208" t="str">
        <f>gescon_infosparticip!AP207</f>
        <v/>
      </c>
      <c r="L208" t="str">
        <f>gescon_infosparticip!AQ207</f>
        <v/>
      </c>
      <c r="M208">
        <f>gescon_infosparticip!BA207</f>
        <v>0</v>
      </c>
      <c r="N208">
        <f>gescon_infosparticip!BB207</f>
        <v>0</v>
      </c>
      <c r="O208">
        <f>gescon_infosparticip!BC207</f>
        <v>0</v>
      </c>
      <c r="P208">
        <f>gescon_infosparticip!BD207</f>
        <v>0</v>
      </c>
      <c r="Q208">
        <f>gescon_infosparticip!BE207</f>
        <v>0</v>
      </c>
      <c r="R208" t="str">
        <f>gescon_infosparticip!BF207</f>
        <v/>
      </c>
      <c r="S208" t="str">
        <f>gescon_infosparticip!BG207</f>
        <v>Autiste</v>
      </c>
      <c r="T208" t="str">
        <f>gescon_infosparticip!BH207</f>
        <v/>
      </c>
      <c r="U208" t="str">
        <f>gescon_infosparticip!BI207</f>
        <v>Faible</v>
      </c>
      <c r="V208" t="str">
        <f>gescon_infosparticip!BJ207</f>
        <v/>
      </c>
      <c r="W208" t="str">
        <f>gescon_infosparticip!BK207</f>
        <v>Avec de l'aide</v>
      </c>
      <c r="X208" t="str">
        <f>gescon_infosparticip!BL207</f>
        <v/>
      </c>
      <c r="Y208" t="str">
        <f>gescon_infosparticip!BM207</f>
        <v/>
      </c>
    </row>
    <row r="209" spans="2:25" ht="15.75" customHeight="1" x14ac:dyDescent="0.25">
      <c r="B209">
        <f>gescon_infosparticip!A208</f>
        <v>2146189075</v>
      </c>
      <c r="C209" t="str">
        <f>gescon_infosparticip!AH208</f>
        <v/>
      </c>
      <c r="D209" t="str">
        <f>gescon_infosparticip!AI208</f>
        <v/>
      </c>
      <c r="E209" t="str">
        <f>gescon_infosparticip!AJ208</f>
        <v/>
      </c>
      <c r="F209" t="str">
        <f>gescon_infosparticip!AK208</f>
        <v/>
      </c>
      <c r="G209" t="str">
        <f>gescon_infosparticip!AL208</f>
        <v/>
      </c>
      <c r="H209" t="str">
        <f>gescon_infosparticip!AM208</f>
        <v/>
      </c>
      <c r="I209" t="str">
        <f>gescon_infosparticip!AN208</f>
        <v/>
      </c>
      <c r="J209" t="str">
        <f>gescon_infosparticip!AO208</f>
        <v/>
      </c>
      <c r="K209" t="str">
        <f>gescon_infosparticip!AP208</f>
        <v/>
      </c>
      <c r="L209" t="str">
        <f>gescon_infosparticip!AQ208</f>
        <v/>
      </c>
      <c r="M209">
        <f>gescon_infosparticip!BA208</f>
        <v>0</v>
      </c>
      <c r="N209">
        <f>gescon_infosparticip!BB208</f>
        <v>0</v>
      </c>
      <c r="O209">
        <f>gescon_infosparticip!BC208</f>
        <v>0</v>
      </c>
      <c r="P209">
        <f>gescon_infosparticip!BD208</f>
        <v>0</v>
      </c>
      <c r="Q209">
        <f>gescon_infosparticip!BE208</f>
        <v>0</v>
      </c>
      <c r="R209" t="str">
        <f>gescon_infosparticip!BF208</f>
        <v/>
      </c>
      <c r="S209" t="str">
        <f>gescon_infosparticip!BG208</f>
        <v/>
      </c>
      <c r="T209" t="str">
        <f>gescon_infosparticip!BH208</f>
        <v/>
      </c>
      <c r="U209" t="str">
        <f>gescon_infosparticip!BI208</f>
        <v/>
      </c>
      <c r="V209" t="str">
        <f>gescon_infosparticip!BJ208</f>
        <v/>
      </c>
      <c r="W209" t="str">
        <f>gescon_infosparticip!BK208</f>
        <v/>
      </c>
      <c r="X209" t="str">
        <f>gescon_infosparticip!BL208</f>
        <v/>
      </c>
      <c r="Y209" t="str">
        <f>gescon_infosparticip!BM208</f>
        <v/>
      </c>
    </row>
    <row r="210" spans="2:25" ht="15.75" customHeight="1" x14ac:dyDescent="0.25">
      <c r="B210">
        <f>gescon_infosparticip!A209</f>
        <v>2146189086</v>
      </c>
      <c r="C210" t="str">
        <f>gescon_infosparticip!AH209</f>
        <v/>
      </c>
      <c r="D210" t="str">
        <f>gescon_infosparticip!AI209</f>
        <v/>
      </c>
      <c r="E210" t="str">
        <f>gescon_infosparticip!AJ209</f>
        <v/>
      </c>
      <c r="F210" t="str">
        <f>gescon_infosparticip!AK209</f>
        <v/>
      </c>
      <c r="G210" t="str">
        <f>gescon_infosparticip!AL209</f>
        <v/>
      </c>
      <c r="H210" t="str">
        <f>gescon_infosparticip!AM209</f>
        <v/>
      </c>
      <c r="I210" t="str">
        <f>gescon_infosparticip!AN209</f>
        <v/>
      </c>
      <c r="J210" t="str">
        <f>gescon_infosparticip!AO209</f>
        <v/>
      </c>
      <c r="K210" t="str">
        <f>gescon_infosparticip!AP209</f>
        <v/>
      </c>
      <c r="L210" t="str">
        <f>gescon_infosparticip!AQ209</f>
        <v/>
      </c>
      <c r="M210">
        <f>gescon_infosparticip!BA209</f>
        <v>0</v>
      </c>
      <c r="N210">
        <f>gescon_infosparticip!BB209</f>
        <v>0</v>
      </c>
      <c r="O210">
        <f>gescon_infosparticip!BC209</f>
        <v>0</v>
      </c>
      <c r="P210">
        <f>gescon_infosparticip!BD209</f>
        <v>0</v>
      </c>
      <c r="Q210">
        <f>gescon_infosparticip!BE209</f>
        <v>0</v>
      </c>
      <c r="R210" t="str">
        <f>gescon_infosparticip!BF209</f>
        <v/>
      </c>
      <c r="S210" t="str">
        <f>gescon_infosparticip!BG209</f>
        <v/>
      </c>
      <c r="T210" t="str">
        <f>gescon_infosparticip!BH209</f>
        <v/>
      </c>
      <c r="U210" t="str">
        <f>gescon_infosparticip!BI209</f>
        <v/>
      </c>
      <c r="V210" t="str">
        <f>gescon_infosparticip!BJ209</f>
        <v/>
      </c>
      <c r="W210" t="str">
        <f>gescon_infosparticip!BK209</f>
        <v/>
      </c>
      <c r="X210" t="str">
        <f>gescon_infosparticip!BL209</f>
        <v/>
      </c>
      <c r="Y210" t="str">
        <f>gescon_infosparticip!BM209</f>
        <v/>
      </c>
    </row>
    <row r="211" spans="2:25" ht="15.75" customHeight="1" x14ac:dyDescent="0.25">
      <c r="B211">
        <f>gescon_infosparticip!A210</f>
        <v>2146189102</v>
      </c>
      <c r="C211" t="str">
        <f>gescon_infosparticip!AH210</f>
        <v/>
      </c>
      <c r="D211" t="str">
        <f>gescon_infosparticip!AI210</f>
        <v/>
      </c>
      <c r="E211" t="str">
        <f>gescon_infosparticip!AJ210</f>
        <v/>
      </c>
      <c r="F211" t="str">
        <f>gescon_infosparticip!AK210</f>
        <v/>
      </c>
      <c r="G211" t="str">
        <f>gescon_infosparticip!AL210</f>
        <v/>
      </c>
      <c r="H211" t="str">
        <f>gescon_infosparticip!AM210</f>
        <v/>
      </c>
      <c r="I211" t="str">
        <f>gescon_infosparticip!AN210</f>
        <v/>
      </c>
      <c r="J211" t="str">
        <f>gescon_infosparticip!AO210</f>
        <v/>
      </c>
      <c r="K211" t="str">
        <f>gescon_infosparticip!AP210</f>
        <v/>
      </c>
      <c r="L211" t="str">
        <f>gescon_infosparticip!AQ210</f>
        <v/>
      </c>
      <c r="M211">
        <f>gescon_infosparticip!BA210</f>
        <v>0</v>
      </c>
      <c r="N211">
        <f>gescon_infosparticip!BB210</f>
        <v>0</v>
      </c>
      <c r="O211">
        <f>gescon_infosparticip!BC210</f>
        <v>0</v>
      </c>
      <c r="P211">
        <f>gescon_infosparticip!BD210</f>
        <v>0</v>
      </c>
      <c r="Q211">
        <f>gescon_infosparticip!BE210</f>
        <v>0</v>
      </c>
      <c r="R211" t="str">
        <f>gescon_infosparticip!BF210</f>
        <v/>
      </c>
      <c r="S211" t="str">
        <f>gescon_infosparticip!BG210</f>
        <v/>
      </c>
      <c r="T211" t="str">
        <f>gescon_infosparticip!BH210</f>
        <v/>
      </c>
      <c r="U211" t="str">
        <f>gescon_infosparticip!BI210</f>
        <v/>
      </c>
      <c r="V211" t="str">
        <f>gescon_infosparticip!BJ210</f>
        <v/>
      </c>
      <c r="W211" t="str">
        <f>gescon_infosparticip!BK210</f>
        <v/>
      </c>
      <c r="X211" t="str">
        <f>gescon_infosparticip!BL210</f>
        <v/>
      </c>
      <c r="Y211" t="str">
        <f>gescon_infosparticip!BM210</f>
        <v/>
      </c>
    </row>
    <row r="212" spans="2:25" ht="15.75" customHeight="1" x14ac:dyDescent="0.25">
      <c r="B212">
        <f>gescon_infosparticip!A211</f>
        <v>2146189111</v>
      </c>
      <c r="C212" t="str">
        <f>gescon_infosparticip!AH211</f>
        <v>Les repas sont préparés d'avance dans des pots. Il faut lui donner à manger à la cuillère et lui proposer régulièrement de boire.</v>
      </c>
      <c r="D212" t="str">
        <f>gescon_infosparticip!AI211</f>
        <v>En dessert, lui donner un petit suisse ou un yaourt</v>
      </c>
      <c r="E212" t="str">
        <f>gescon_infosparticip!AJ211</f>
        <v/>
      </c>
      <c r="F212" t="str">
        <f>gescon_infosparticip!AK211</f>
        <v/>
      </c>
      <c r="G212" t="str">
        <f>gescon_infosparticip!AL211</f>
        <v>Ne pas donner de la banane</v>
      </c>
      <c r="H212" t="str">
        <f>gescon_infosparticip!AM211</f>
        <v>Dans un biberon. Tétine sur le no 2</v>
      </c>
      <c r="I212" t="str">
        <f>gescon_infosparticip!AN211</f>
        <v>Eau ou jus de fruit</v>
      </c>
      <c r="J212" t="str">
        <f>gescon_infosparticip!AO211</f>
        <v/>
      </c>
      <c r="K212" t="str">
        <f>gescon_infosparticip!AP211</f>
        <v/>
      </c>
      <c r="L212" t="str">
        <f>gescon_infosparticip!AQ211</f>
        <v/>
      </c>
      <c r="M212">
        <f>gescon_infosparticip!BA211</f>
        <v>2146189112</v>
      </c>
      <c r="N212">
        <f>gescon_infosparticip!BB211</f>
        <v>0</v>
      </c>
      <c r="O212">
        <f>gescon_infosparticip!BC211</f>
        <v>0</v>
      </c>
      <c r="P212">
        <f>gescon_infosparticip!BD211</f>
        <v>2146189005</v>
      </c>
      <c r="Q212">
        <f>gescon_infosparticip!BE211</f>
        <v>0</v>
      </c>
      <c r="R212" t="str">
        <f>gescon_infosparticip!BF211</f>
        <v>734-75-969</v>
      </c>
      <c r="S212" t="str">
        <f>gescon_infosparticip!BG211</f>
        <v>Holoprosencephalie semi-lobaire (fusion des hémisphères cérébraux à l'avant du cerveau)</v>
      </c>
      <c r="T212" t="str">
        <f>gescon_infosparticip!BH211</f>
        <v>Son handicap provoque une irrégularité du tonus musculaire (jambe et bras = tonus élevé et tranc. Tonus très faible. Attention, bien tenir sa tête.</v>
      </c>
      <c r="U212" t="str">
        <f>gescon_infosparticip!BI211</f>
        <v>Moyen</v>
      </c>
      <c r="V212" t="str">
        <f>gescon_infosparticip!BJ211</f>
        <v>pas d'allergie. être attentif qu'il ne se morde pas les doigts il peut se mordre très fort.</v>
      </c>
      <c r="W212" t="str">
        <f>gescon_infosparticip!BK211</f>
        <v>besoin d'une aide complète</v>
      </c>
      <c r="X212" t="str">
        <f>gescon_infosparticip!BL211</f>
        <v>Changement de couches</v>
      </c>
      <c r="Y212" t="str">
        <f>gescon_infosparticip!BM211</f>
        <v/>
      </c>
    </row>
    <row r="213" spans="2:25" ht="15.75" customHeight="1" x14ac:dyDescent="0.25">
      <c r="B213">
        <f>gescon_infosparticip!A212</f>
        <v>2146189118</v>
      </c>
      <c r="C213" t="str">
        <f>gescon_infosparticip!AH212</f>
        <v>Lui couper fin. Totalement dépendant</v>
      </c>
      <c r="D213" t="str">
        <f>gescon_infosparticip!AI212</f>
        <v/>
      </c>
      <c r="E213" t="str">
        <f>gescon_infosparticip!AJ212</f>
        <v/>
      </c>
      <c r="F213" t="str">
        <f>gescon_infosparticip!AK212</f>
        <v>Alcool 2 verres mais pas plus.</v>
      </c>
      <c r="G213" t="str">
        <f>gescon_infosparticip!AL212</f>
        <v/>
      </c>
      <c r="H213" t="str">
        <f>gescon_infosparticip!AM212</f>
        <v>Totalement dépendant</v>
      </c>
      <c r="I213" t="str">
        <f>gescon_infosparticip!AN212</f>
        <v/>
      </c>
      <c r="J213" t="str">
        <f>gescon_infosparticip!AO212</f>
        <v/>
      </c>
      <c r="K213" t="str">
        <f>gescon_infosparticip!AP212</f>
        <v/>
      </c>
      <c r="L213" t="str">
        <f>gescon_infosparticip!AQ212</f>
        <v/>
      </c>
      <c r="M213">
        <f>gescon_infosparticip!BA212</f>
        <v>2146189119</v>
      </c>
      <c r="N213">
        <f>gescon_infosparticip!BB212</f>
        <v>0</v>
      </c>
      <c r="O213">
        <f>gescon_infosparticip!BC212</f>
        <v>0</v>
      </c>
      <c r="P213">
        <f>gescon_infosparticip!BD212</f>
        <v>2146189120</v>
      </c>
      <c r="Q213">
        <f>gescon_infosparticip!BE212</f>
        <v>2146189120</v>
      </c>
      <c r="R213" t="str">
        <f>gescon_infosparticip!BF212</f>
        <v>2025804</v>
      </c>
      <c r="S213" t="str">
        <f>gescon_infosparticip!BG212</f>
        <v>AVC le 31.08.2007</v>
      </c>
      <c r="T213" t="str">
        <f>gescon_infosparticip!BH212</f>
        <v>Tétraparésie spastique</v>
      </c>
      <c r="U213" t="str">
        <f>gescon_infosparticip!BI212</f>
        <v>Elevé</v>
      </c>
      <c r="V213" t="str">
        <f>gescon_infosparticip!BJ212</f>
        <v>Allergique à la framboise et au soleil (attention lui mettre de l'écran total et des chemises à longues manches).ALLERGIE AU MéDICAMENT. BACTRIM-NOPIL-TEMESTA.</v>
      </c>
      <c r="W213" t="str">
        <f>gescon_infosparticip!BK212</f>
        <v>Toilette complète au lit et hydratation de la peau avec excipial</v>
      </c>
      <c r="X213" t="str">
        <f>gescon_infosparticip!BL212</f>
        <v>Sonde urinaire. Transit ralenti, lui faire un lavement au 4ème jour sans selle</v>
      </c>
      <c r="Y213" t="str">
        <f>gescon_infosparticip!BM212</f>
        <v>Fauteuil roulant avec coussin anti-escarres</v>
      </c>
    </row>
    <row r="214" spans="2:25" ht="15.75" customHeight="1" x14ac:dyDescent="0.25">
      <c r="B214">
        <f>gescon_infosparticip!A213</f>
        <v>2146189129</v>
      </c>
      <c r="C214" t="str">
        <f>gescon_infosparticip!AH213</f>
        <v/>
      </c>
      <c r="D214" t="str">
        <f>gescon_infosparticip!AI213</f>
        <v/>
      </c>
      <c r="E214" t="str">
        <f>gescon_infosparticip!AJ213</f>
        <v/>
      </c>
      <c r="F214" t="str">
        <f>gescon_infosparticip!AK213</f>
        <v/>
      </c>
      <c r="G214" t="str">
        <f>gescon_infosparticip!AL213</f>
        <v/>
      </c>
      <c r="H214" t="str">
        <f>gescon_infosparticip!AM213</f>
        <v/>
      </c>
      <c r="I214" t="str">
        <f>gescon_infosparticip!AN213</f>
        <v/>
      </c>
      <c r="J214" t="str">
        <f>gescon_infosparticip!AO213</f>
        <v/>
      </c>
      <c r="K214" t="str">
        <f>gescon_infosparticip!AP213</f>
        <v/>
      </c>
      <c r="L214" t="str">
        <f>gescon_infosparticip!AQ213</f>
        <v/>
      </c>
      <c r="M214">
        <f>gescon_infosparticip!BA213</f>
        <v>0</v>
      </c>
      <c r="N214">
        <f>gescon_infosparticip!BB213</f>
        <v>0</v>
      </c>
      <c r="O214">
        <f>gescon_infosparticip!BC213</f>
        <v>0</v>
      </c>
      <c r="P214">
        <f>gescon_infosparticip!BD213</f>
        <v>0</v>
      </c>
      <c r="Q214">
        <f>gescon_infosparticip!BE213</f>
        <v>0</v>
      </c>
      <c r="R214" t="str">
        <f>gescon_infosparticip!BF213</f>
        <v/>
      </c>
      <c r="S214" t="str">
        <f>gescon_infosparticip!BG213</f>
        <v/>
      </c>
      <c r="T214" t="str">
        <f>gescon_infosparticip!BH213</f>
        <v/>
      </c>
      <c r="U214" t="str">
        <f>gescon_infosparticip!BI213</f>
        <v/>
      </c>
      <c r="V214" t="str">
        <f>gescon_infosparticip!BJ213</f>
        <v/>
      </c>
      <c r="W214" t="str">
        <f>gescon_infosparticip!BK213</f>
        <v/>
      </c>
      <c r="X214" t="str">
        <f>gescon_infosparticip!BL213</f>
        <v/>
      </c>
      <c r="Y214" t="str">
        <f>gescon_infosparticip!BM213</f>
        <v/>
      </c>
    </row>
    <row r="215" spans="2:25" ht="15.75" customHeight="1" x14ac:dyDescent="0.25">
      <c r="B215">
        <f>gescon_infosparticip!A214</f>
        <v>2146189159</v>
      </c>
      <c r="C215" t="str">
        <f>gescon_infosparticip!AH214</f>
        <v>normal, équilibré, surveiller la quantité, en petites portions.
Aider à couper la viande</v>
      </c>
      <c r="D215" t="str">
        <f>gescon_infosparticip!AI214</f>
        <v/>
      </c>
      <c r="E215" t="str">
        <f>gescon_infosparticip!AJ214</f>
        <v>aucun</v>
      </c>
      <c r="F215" t="str">
        <f>gescon_infosparticip!AK214</f>
        <v>rien</v>
      </c>
      <c r="G215" t="str">
        <f>gescon_infosparticip!AL214</f>
        <v>aucun</v>
      </c>
      <c r="H215" t="str">
        <f>gescon_infosparticip!AM214</f>
        <v>regarder qu'elle boive assez</v>
      </c>
      <c r="I215" t="str">
        <f>gescon_infosparticip!AN214</f>
        <v/>
      </c>
      <c r="J215" t="str">
        <f>gescon_infosparticip!AO214</f>
        <v/>
      </c>
      <c r="K215" t="str">
        <f>gescon_infosparticip!AP214</f>
        <v/>
      </c>
      <c r="L215" t="str">
        <f>gescon_infosparticip!AQ214</f>
        <v/>
      </c>
      <c r="M215">
        <f>gescon_infosparticip!BA214</f>
        <v>2146189197</v>
      </c>
      <c r="N215">
        <f>gescon_infosparticip!BB214</f>
        <v>0</v>
      </c>
      <c r="O215">
        <f>gescon_infosparticip!BC214</f>
        <v>0</v>
      </c>
      <c r="P215">
        <f>gescon_infosparticip!BD214</f>
        <v>2146188981</v>
      </c>
      <c r="Q215">
        <f>gescon_infosparticip!BE214</f>
        <v>0</v>
      </c>
      <c r="R215" t="str">
        <f>gescon_infosparticip!BF214</f>
        <v/>
      </c>
      <c r="S215" t="str">
        <f>gescon_infosparticip!BG214</f>
        <v>trisomie 21</v>
      </c>
      <c r="T215" t="str">
        <f>gescon_infosparticip!BH214</f>
        <v>syndrome autistes</v>
      </c>
      <c r="U215" t="str">
        <f>gescon_infosparticip!BI214</f>
        <v>Moyen</v>
      </c>
      <c r="V215" t="str">
        <f>gescon_infosparticip!BJ214</f>
        <v/>
      </c>
      <c r="W215" t="str">
        <f>gescon_infosparticip!BK214</f>
        <v>Toilette: contrôler (hygiène + brossage des dents). Préparer ses habits, l'aider si elle "rêve" trop, l'aider si elle n'y arrive pas toute seule (par ex: attacher son soutien-gorge, boutons difficiles, pulls à l'envers)</v>
      </c>
      <c r="X215" t="str">
        <f>gescon_infosparticip!BL214</f>
        <v>qu'elle soit propre, hygiène + laver les mains</v>
      </c>
      <c r="Y215" t="str">
        <f>gescon_infosparticip!BM214</f>
        <v/>
      </c>
    </row>
    <row r="216" spans="2:25" ht="15.75" customHeight="1" x14ac:dyDescent="0.25">
      <c r="B216">
        <f>gescon_infosparticip!A215</f>
        <v>2146189167</v>
      </c>
      <c r="C216" t="str">
        <f>gescon_infosparticip!AH215</f>
        <v/>
      </c>
      <c r="D216" t="str">
        <f>gescon_infosparticip!AI215</f>
        <v/>
      </c>
      <c r="E216" t="str">
        <f>gescon_infosparticip!AJ215</f>
        <v/>
      </c>
      <c r="F216" t="str">
        <f>gescon_infosparticip!AK215</f>
        <v/>
      </c>
      <c r="G216" t="str">
        <f>gescon_infosparticip!AL215</f>
        <v/>
      </c>
      <c r="H216" t="str">
        <f>gescon_infosparticip!AM215</f>
        <v/>
      </c>
      <c r="I216" t="str">
        <f>gescon_infosparticip!AN215</f>
        <v/>
      </c>
      <c r="J216" t="str">
        <f>gescon_infosparticip!AO215</f>
        <v/>
      </c>
      <c r="K216" t="str">
        <f>gescon_infosparticip!AP215</f>
        <v/>
      </c>
      <c r="L216" t="str">
        <f>gescon_infosparticip!AQ215</f>
        <v/>
      </c>
      <c r="M216">
        <f>gescon_infosparticip!BA215</f>
        <v>2146189169</v>
      </c>
      <c r="N216">
        <f>gescon_infosparticip!BB215</f>
        <v>0</v>
      </c>
      <c r="O216">
        <f>gescon_infosparticip!BC215</f>
        <v>0</v>
      </c>
      <c r="P216">
        <f>gescon_infosparticip!BD215</f>
        <v>2146189082</v>
      </c>
      <c r="Q216">
        <f>gescon_infosparticip!BE215</f>
        <v>0</v>
      </c>
      <c r="R216" t="str">
        <f>gescon_infosparticip!BF215</f>
        <v/>
      </c>
      <c r="S216" t="str">
        <f>gescon_infosparticip!BG215</f>
        <v/>
      </c>
      <c r="T216" t="str">
        <f>gescon_infosparticip!BH215</f>
        <v/>
      </c>
      <c r="U216" t="str">
        <f>gescon_infosparticip!BI215</f>
        <v/>
      </c>
      <c r="V216" t="str">
        <f>gescon_infosparticip!BJ215</f>
        <v/>
      </c>
      <c r="W216" t="str">
        <f>gescon_infosparticip!BK215</f>
        <v/>
      </c>
      <c r="X216" t="str">
        <f>gescon_infosparticip!BL215</f>
        <v/>
      </c>
      <c r="Y216" t="str">
        <f>gescon_infosparticip!BM215</f>
        <v/>
      </c>
    </row>
    <row r="217" spans="2:25" ht="15.75" customHeight="1" x14ac:dyDescent="0.25">
      <c r="B217">
        <f>gescon_infosparticip!A216</f>
        <v>2146189179</v>
      </c>
      <c r="C217" t="str">
        <f>gescon_infosparticip!AH216</f>
        <v>Il est autonome il a juste besoin d'une petite aide pour couper les aliments coriaces.</v>
      </c>
      <c r="D217" t="str">
        <f>gescon_infosparticip!AI216</f>
        <v/>
      </c>
      <c r="E217" t="str">
        <f>gescon_infosparticip!AJ216</f>
        <v/>
      </c>
      <c r="F217" t="str">
        <f>gescon_infosparticip!AK216</f>
        <v>Il n'aime pas les épinards en branche</v>
      </c>
      <c r="G217" t="str">
        <f>gescon_infosparticip!AL216</f>
        <v/>
      </c>
      <c r="H217" t="str">
        <f>gescon_infosparticip!AM216</f>
        <v>Il est autonome, il parle</v>
      </c>
      <c r="I217" t="str">
        <f>gescon_infosparticip!AN216</f>
        <v/>
      </c>
      <c r="J217" t="str">
        <f>gescon_infosparticip!AO216</f>
        <v>Ne boit plus</v>
      </c>
      <c r="K217" t="str">
        <f>gescon_infosparticip!AP216</f>
        <v/>
      </c>
      <c r="L217" t="str">
        <f>gescon_infosparticip!AQ216</f>
        <v>alcool</v>
      </c>
      <c r="M217">
        <f>gescon_infosparticip!BA216</f>
        <v>2146189227</v>
      </c>
      <c r="N217">
        <f>gescon_infosparticip!BB216</f>
        <v>0</v>
      </c>
      <c r="O217">
        <f>gescon_infosparticip!BC216</f>
        <v>0</v>
      </c>
      <c r="P217">
        <f>gescon_infosparticip!BD216</f>
        <v>2146188975</v>
      </c>
      <c r="Q217">
        <f>gescon_infosparticip!BE216</f>
        <v>0</v>
      </c>
      <c r="R217" t="str">
        <f>gescon_infosparticip!BF216</f>
        <v>712-73-764</v>
      </c>
      <c r="S217" t="str">
        <f>gescon_infosparticip!BG216</f>
        <v>TCC sévère survenu en 1979. Exision d'un Carcinome Nasal. Porte une épithèse nasale. (voir fiche annexe)</v>
      </c>
      <c r="T217" t="str">
        <f>gescon_infosparticip!BH216</f>
        <v>Suite au TCC : Hémi-syndrôme spastique droit, epilepsie post-traumatique, troubles du comportement avec hétéro-agressivité (jamais observé au foyer), troubles cognitifs</v>
      </c>
      <c r="U217" t="str">
        <f>gescon_infosparticip!BI216</f>
        <v>Moyen</v>
      </c>
      <c r="V217" t="str">
        <f>gescon_infosparticip!BJ216</f>
        <v/>
      </c>
      <c r="W217" t="str">
        <f>gescon_infosparticip!BK216</f>
        <v>Autonome pour la toilette au lavabo. Sous la douche il faut l'aider pour le dos et les fessiers.</v>
      </c>
      <c r="X217" t="str">
        <f>gescon_infosparticip!BL216</f>
        <v>Autonome. Lui rappeler de temps en temps d'aller aux toilettes sinon risque d'accident.</v>
      </c>
      <c r="Y217" t="str">
        <f>gescon_infosparticip!BM216</f>
        <v>Actuellement, J-C porte une épithèse nasale fixe aimantée -&gt; à enlever la nuit. A rincer sous l'eau avec du savon</v>
      </c>
    </row>
    <row r="218" spans="2:25" ht="15.75" customHeight="1" x14ac:dyDescent="0.25">
      <c r="B218">
        <f>gescon_infosparticip!A217</f>
        <v>2146189191</v>
      </c>
      <c r="C218" t="str">
        <f>gescon_infosparticip!AH217</f>
        <v>il mange avec un bord d'assiette. Lui couper ses aliments. (pour les sandwich, il devrait pouvoir se débrouiller seul, éventuellement lui donner un coup de main pour la fin)</v>
      </c>
      <c r="D218" t="str">
        <f>gescon_infosparticip!AI217</f>
        <v/>
      </c>
      <c r="E218" t="str">
        <f>gescon_infosparticip!AJ217</f>
        <v>aucun</v>
      </c>
      <c r="F218" t="str">
        <f>gescon_infosparticip!AK217</f>
        <v>rien</v>
      </c>
      <c r="G218" t="str">
        <f>gescon_infosparticip!AL217</f>
        <v>rien</v>
      </c>
      <c r="H218" t="str">
        <f>gescon_infosparticip!AM217</f>
        <v/>
      </c>
      <c r="I218" t="str">
        <f>gescon_infosparticip!AN217</f>
        <v/>
      </c>
      <c r="J218" t="str">
        <f>gescon_infosparticip!AO217</f>
        <v/>
      </c>
      <c r="K218" t="str">
        <f>gescon_infosparticip!AP217</f>
        <v/>
      </c>
      <c r="L218" t="str">
        <f>gescon_infosparticip!AQ217</f>
        <v/>
      </c>
      <c r="M218">
        <f>gescon_infosparticip!BA217</f>
        <v>2146188977</v>
      </c>
      <c r="N218">
        <f>gescon_infosparticip!BB217</f>
        <v>0</v>
      </c>
      <c r="O218">
        <f>gescon_infosparticip!BC217</f>
        <v>0</v>
      </c>
      <c r="P218">
        <f>gescon_infosparticip!BD217</f>
        <v>2146188984</v>
      </c>
      <c r="Q218">
        <f>gescon_infosparticip!BE217</f>
        <v>0</v>
      </c>
      <c r="R218" t="str">
        <f>gescon_infosparticip!BF217</f>
        <v>10915537</v>
      </c>
      <c r="S218" t="str">
        <f>gescon_infosparticip!BG217</f>
        <v>Sclérose en plaque</v>
      </c>
      <c r="T218" t="str">
        <f>gescon_infosparticip!BH217</f>
        <v>non</v>
      </c>
      <c r="U218" t="str">
        <f>gescon_infosparticip!BI217</f>
        <v>Elevé</v>
      </c>
      <c r="V218" t="str">
        <f>gescon_infosparticip!BJ217</f>
        <v>non</v>
      </c>
      <c r="W218" t="str">
        <f>gescon_infosparticip!BK217</f>
        <v/>
      </c>
      <c r="X218" t="str">
        <f>gescon_infosparticip!BL217</f>
        <v>Paul a une sonde sus-pubienne. Il faut donc lui vider sa poche si nécessaire</v>
      </c>
      <c r="Y218" t="str">
        <f>gescon_infosparticip!BM217</f>
        <v/>
      </c>
    </row>
    <row r="219" spans="2:25" ht="15.75" customHeight="1" x14ac:dyDescent="0.25">
      <c r="B219">
        <f>gescon_infosparticip!A218</f>
        <v>2146189203</v>
      </c>
      <c r="C219" t="str">
        <f>gescon_infosparticip!AH218</f>
        <v>Autonome</v>
      </c>
      <c r="D219" t="str">
        <f>gescon_infosparticip!AI218</f>
        <v/>
      </c>
      <c r="E219" t="str">
        <f>gescon_infosparticip!AJ218</f>
        <v>Conseillé : petit déjeuner :  1 café, 2 tartine de confiture light. Midi et soir : Une assiette sans excés</v>
      </c>
      <c r="F219" t="str">
        <f>gescon_infosparticip!AK218</f>
        <v/>
      </c>
      <c r="G219" t="str">
        <f>gescon_infosparticip!AL218</f>
        <v/>
      </c>
      <c r="H219" t="str">
        <f>gescon_infosparticip!AM218</f>
        <v>Autonome</v>
      </c>
      <c r="I219" t="str">
        <f>gescon_infosparticip!AN218</f>
        <v/>
      </c>
      <c r="J219" t="str">
        <f>gescon_infosparticip!AO218</f>
        <v>tendance à redemander. Limiter les boissons sucrées</v>
      </c>
      <c r="K219" t="str">
        <f>gescon_infosparticip!AP218</f>
        <v>Alcool. Il peut boire de la bière sans alcool.</v>
      </c>
      <c r="L219" t="str">
        <f>gescon_infosparticip!AQ218</f>
        <v/>
      </c>
      <c r="M219">
        <f>gescon_infosparticip!BA218</f>
        <v>0</v>
      </c>
      <c r="N219">
        <f>gescon_infosparticip!BB218</f>
        <v>0</v>
      </c>
      <c r="O219">
        <f>gescon_infosparticip!BC218</f>
        <v>0</v>
      </c>
      <c r="P219">
        <f>gescon_infosparticip!BD218</f>
        <v>2146189004</v>
      </c>
      <c r="Q219">
        <f>gescon_infosparticip!BE218</f>
        <v>0</v>
      </c>
      <c r="R219" t="str">
        <f>gescon_infosparticip!BF218</f>
        <v>030-386-Li</v>
      </c>
      <c r="S219" t="str">
        <f>gescon_infosparticip!BG218</f>
        <v>Eric a des troubles de la mémoire. Il a besoin de stimulis pour faire les choses (activités, soins quotidiens, etc…). Troubles alimentaires à cadrer selon régime.</v>
      </c>
      <c r="T219" t="str">
        <f>gescon_infosparticip!BH218</f>
        <v/>
      </c>
      <c r="U219" t="str">
        <f>gescon_infosparticip!BI218</f>
        <v>Moyen</v>
      </c>
      <c r="V219" t="str">
        <f>gescon_infosparticip!BJ218</f>
        <v/>
      </c>
      <c r="W219" t="str">
        <f>gescon_infosparticip!BK218</f>
        <v>Autonome, besoins de stimulations</v>
      </c>
      <c r="X219" t="str">
        <f>gescon_infosparticip!BL218</f>
        <v>Autonome</v>
      </c>
      <c r="Y219" t="str">
        <f>gescon_infosparticip!BM218</f>
        <v/>
      </c>
    </row>
    <row r="220" spans="2:25" ht="15.75" customHeight="1" x14ac:dyDescent="0.25">
      <c r="B220">
        <f>gescon_infosparticip!A219</f>
        <v>2146189217</v>
      </c>
      <c r="C220" t="str">
        <f>gescon_infosparticip!AH219</f>
        <v/>
      </c>
      <c r="D220" t="str">
        <f>gescon_infosparticip!AI219</f>
        <v/>
      </c>
      <c r="E220" t="str">
        <f>gescon_infosparticip!AJ219</f>
        <v/>
      </c>
      <c r="F220" t="str">
        <f>gescon_infosparticip!AK219</f>
        <v/>
      </c>
      <c r="G220" t="str">
        <f>gescon_infosparticip!AL219</f>
        <v/>
      </c>
      <c r="H220" t="str">
        <f>gescon_infosparticip!AM219</f>
        <v/>
      </c>
      <c r="I220" t="str">
        <f>gescon_infosparticip!AN219</f>
        <v/>
      </c>
      <c r="J220" t="str">
        <f>gescon_infosparticip!AO219</f>
        <v/>
      </c>
      <c r="K220" t="str">
        <f>gescon_infosparticip!AP219</f>
        <v/>
      </c>
      <c r="L220" t="str">
        <f>gescon_infosparticip!AQ219</f>
        <v/>
      </c>
      <c r="M220">
        <f>gescon_infosparticip!BA219</f>
        <v>0</v>
      </c>
      <c r="N220">
        <f>gescon_infosparticip!BB219</f>
        <v>0</v>
      </c>
      <c r="O220">
        <f>gescon_infosparticip!BC219</f>
        <v>0</v>
      </c>
      <c r="P220">
        <f>gescon_infosparticip!BD219</f>
        <v>0</v>
      </c>
      <c r="Q220">
        <f>gescon_infosparticip!BE219</f>
        <v>0</v>
      </c>
      <c r="R220" t="str">
        <f>gescon_infosparticip!BF219</f>
        <v/>
      </c>
      <c r="S220" t="str">
        <f>gescon_infosparticip!BG219</f>
        <v/>
      </c>
      <c r="T220" t="str">
        <f>gescon_infosparticip!BH219</f>
        <v/>
      </c>
      <c r="U220" t="str">
        <f>gescon_infosparticip!BI219</f>
        <v/>
      </c>
      <c r="V220" t="str">
        <f>gescon_infosparticip!BJ219</f>
        <v/>
      </c>
      <c r="W220" t="str">
        <f>gescon_infosparticip!BK219</f>
        <v/>
      </c>
      <c r="X220" t="str">
        <f>gescon_infosparticip!BL219</f>
        <v/>
      </c>
      <c r="Y220" t="str">
        <f>gescon_infosparticip!BM219</f>
        <v/>
      </c>
    </row>
    <row r="221" spans="2:25" ht="15.75" customHeight="1" x14ac:dyDescent="0.25">
      <c r="B221">
        <f>gescon_infosparticip!A220</f>
        <v>2146189218</v>
      </c>
      <c r="C221" t="str">
        <f>gescon_infosparticip!AH220</f>
        <v>autonome, l'aider à couper les aliments dures.</v>
      </c>
      <c r="D221" t="str">
        <f>gescon_infosparticip!AI220</f>
        <v/>
      </c>
      <c r="E221" t="str">
        <f>gescon_infosparticip!AJ220</f>
        <v/>
      </c>
      <c r="F221" t="str">
        <f>gescon_infosparticip!AK220</f>
        <v/>
      </c>
      <c r="G221" t="str">
        <f>gescon_infosparticip!AL220</f>
        <v/>
      </c>
      <c r="H221" t="str">
        <f>gescon_infosparticip!AM220</f>
        <v>autonome</v>
      </c>
      <c r="I221" t="str">
        <f>gescon_infosparticip!AN220</f>
        <v/>
      </c>
      <c r="J221" t="str">
        <f>gescon_infosparticip!AO220</f>
        <v/>
      </c>
      <c r="K221" t="str">
        <f>gescon_infosparticip!AP220</f>
        <v/>
      </c>
      <c r="L221" t="str">
        <f>gescon_infosparticip!AQ220</f>
        <v/>
      </c>
      <c r="M221">
        <f>gescon_infosparticip!BA220</f>
        <v>2146189227</v>
      </c>
      <c r="N221">
        <f>gescon_infosparticip!BB220</f>
        <v>2146189014</v>
      </c>
      <c r="O221">
        <f>gescon_infosparticip!BC220</f>
        <v>0</v>
      </c>
      <c r="P221">
        <f>gescon_infosparticip!BD220</f>
        <v>2146189275</v>
      </c>
      <c r="Q221">
        <f>gescon_infosparticip!BE220</f>
        <v>0</v>
      </c>
      <c r="R221" t="str">
        <f>gescon_infosparticip!BF220</f>
        <v>380558</v>
      </c>
      <c r="S221" t="str">
        <f>gescon_infosparticip!BG220</f>
        <v>dysarthrie sévère : production verbale ralentie. Comprend tout mais à de la difficutlé à s'exprimer. Spasme.</v>
      </c>
      <c r="T221" t="str">
        <f>gescon_infosparticip!BH220</f>
        <v/>
      </c>
      <c r="U221" t="str">
        <f>gescon_infosparticip!BI220</f>
        <v>Faible</v>
      </c>
      <c r="V221" t="str">
        <f>gescon_infosparticip!BJ220</f>
        <v/>
      </c>
      <c r="W221" t="str">
        <f>gescon_infosparticip!BK220</f>
        <v>autonome</v>
      </c>
      <c r="X221" t="str">
        <f>gescon_infosparticip!BL220</f>
        <v>autonome</v>
      </c>
      <c r="Y221" t="str">
        <f>gescon_infosparticip!BM220</f>
        <v/>
      </c>
    </row>
    <row r="222" spans="2:25" ht="15.75" customHeight="1" x14ac:dyDescent="0.25">
      <c r="B222">
        <f>gescon_infosparticip!A221</f>
        <v>2146189219</v>
      </c>
      <c r="C222" t="str">
        <f>gescon_infosparticip!AH221</f>
        <v/>
      </c>
      <c r="D222" t="str">
        <f>gescon_infosparticip!AI221</f>
        <v/>
      </c>
      <c r="E222" t="str">
        <f>gescon_infosparticip!AJ221</f>
        <v/>
      </c>
      <c r="F222" t="str">
        <f>gescon_infosparticip!AK221</f>
        <v/>
      </c>
      <c r="G222" t="str">
        <f>gescon_infosparticip!AL221</f>
        <v/>
      </c>
      <c r="H222" t="str">
        <f>gescon_infosparticip!AM221</f>
        <v/>
      </c>
      <c r="I222" t="str">
        <f>gescon_infosparticip!AN221</f>
        <v/>
      </c>
      <c r="J222" t="str">
        <f>gescon_infosparticip!AO221</f>
        <v/>
      </c>
      <c r="K222" t="str">
        <f>gescon_infosparticip!AP221</f>
        <v/>
      </c>
      <c r="L222" t="str">
        <f>gescon_infosparticip!AQ221</f>
        <v/>
      </c>
      <c r="M222">
        <f>gescon_infosparticip!BA221</f>
        <v>0</v>
      </c>
      <c r="N222">
        <f>gescon_infosparticip!BB221</f>
        <v>0</v>
      </c>
      <c r="O222">
        <f>gescon_infosparticip!BC221</f>
        <v>0</v>
      </c>
      <c r="P222">
        <f>gescon_infosparticip!BD221</f>
        <v>0</v>
      </c>
      <c r="Q222">
        <f>gescon_infosparticip!BE221</f>
        <v>0</v>
      </c>
      <c r="R222" t="str">
        <f>gescon_infosparticip!BF221</f>
        <v/>
      </c>
      <c r="S222" t="str">
        <f>gescon_infosparticip!BG221</f>
        <v/>
      </c>
      <c r="T222" t="str">
        <f>gescon_infosparticip!BH221</f>
        <v/>
      </c>
      <c r="U222" t="str">
        <f>gescon_infosparticip!BI221</f>
        <v/>
      </c>
      <c r="V222" t="str">
        <f>gescon_infosparticip!BJ221</f>
        <v/>
      </c>
      <c r="W222" t="str">
        <f>gescon_infosparticip!BK221</f>
        <v/>
      </c>
      <c r="X222" t="str">
        <f>gescon_infosparticip!BL221</f>
        <v/>
      </c>
      <c r="Y222" t="str">
        <f>gescon_infosparticip!BM221</f>
        <v/>
      </c>
    </row>
    <row r="223" spans="2:25" ht="15.75" customHeight="1" x14ac:dyDescent="0.25">
      <c r="B223">
        <f>gescon_infosparticip!A222</f>
        <v>2146189224</v>
      </c>
      <c r="C223" t="str">
        <f>gescon_infosparticip!AH222</f>
        <v>aide verbale + couper la viande</v>
      </c>
      <c r="D223" t="str">
        <f>gescon_infosparticip!AI222</f>
        <v/>
      </c>
      <c r="E223" t="str">
        <f>gescon_infosparticip!AJ222</f>
        <v>Non</v>
      </c>
      <c r="F223" t="str">
        <f>gescon_infosparticip!AK222</f>
        <v>Non</v>
      </c>
      <c r="G223" t="str">
        <f>gescon_infosparticip!AL222</f>
        <v>Non</v>
      </c>
      <c r="H223" t="str">
        <f>gescon_infosparticip!AM222</f>
        <v/>
      </c>
      <c r="I223" t="str">
        <f>gescon_infosparticip!AN222</f>
        <v/>
      </c>
      <c r="J223" t="str">
        <f>gescon_infosparticip!AO222</f>
        <v/>
      </c>
      <c r="K223" t="str">
        <f>gescon_infosparticip!AP222</f>
        <v/>
      </c>
      <c r="L223" t="str">
        <f>gescon_infosparticip!AQ222</f>
        <v/>
      </c>
      <c r="M223">
        <f>gescon_infosparticip!BA222</f>
        <v>0</v>
      </c>
      <c r="N223">
        <f>gescon_infosparticip!BB222</f>
        <v>0</v>
      </c>
      <c r="O223">
        <f>gescon_infosparticip!BC222</f>
        <v>0</v>
      </c>
      <c r="P223">
        <f>gescon_infosparticip!BD222</f>
        <v>0</v>
      </c>
      <c r="Q223">
        <f>gescon_infosparticip!BE222</f>
        <v>0</v>
      </c>
      <c r="R223" t="str">
        <f>gescon_infosparticip!BF222</f>
        <v/>
      </c>
      <c r="S223" t="str">
        <f>gescon_infosparticip!BG222</f>
        <v>retard de développement général</v>
      </c>
      <c r="T223" t="str">
        <f>gescon_infosparticip!BH222</f>
        <v>-</v>
      </c>
      <c r="U223" t="str">
        <f>gescon_infosparticip!BI222</f>
        <v/>
      </c>
      <c r="V223" t="str">
        <f>gescon_infosparticip!BJ222</f>
        <v>-</v>
      </c>
      <c r="W223" t="str">
        <f>gescon_infosparticip!BK222</f>
        <v>Aide à ouvrir le pantalon et refermer après. Aide à l'habillement.</v>
      </c>
      <c r="X223" t="str">
        <f>gescon_infosparticip!BL222</f>
        <v>-</v>
      </c>
      <c r="Y223" t="str">
        <f>gescon_infosparticip!BM222</f>
        <v/>
      </c>
    </row>
    <row r="224" spans="2:25" ht="15.75" customHeight="1" x14ac:dyDescent="0.25">
      <c r="B224">
        <f>gescon_infosparticip!A223</f>
        <v>2146189226</v>
      </c>
      <c r="C224" t="str">
        <f>gescon_infosparticip!AH223</f>
        <v>Tendance à trop manger ou très peu par période (avec vomissement). Besoin d'aide pour couper. Elle utilise un couteau spécial, un cerceau pour assiette, un anti-glisse et une bavette.</v>
      </c>
      <c r="D224" t="str">
        <f>gescon_infosparticip!AI223</f>
        <v/>
      </c>
      <c r="E224" t="str">
        <f>gescon_infosparticip!AJ223</f>
        <v>Attention: prise de poid</v>
      </c>
      <c r="F224" t="str">
        <f>gescon_infosparticip!AK223</f>
        <v/>
      </c>
      <c r="G224" t="str">
        <f>gescon_infosparticip!AL223</f>
        <v/>
      </c>
      <c r="H224" t="str">
        <f>gescon_infosparticip!AM223</f>
        <v/>
      </c>
      <c r="I224" t="str">
        <f>gescon_infosparticip!AN223</f>
        <v/>
      </c>
      <c r="J224" t="str">
        <f>gescon_infosparticip!AO223</f>
        <v/>
      </c>
      <c r="K224" t="str">
        <f>gescon_infosparticip!AP223</f>
        <v/>
      </c>
      <c r="L224" t="str">
        <f>gescon_infosparticip!AQ223</f>
        <v/>
      </c>
      <c r="M224">
        <f>gescon_infosparticip!BA223</f>
        <v>2146189227</v>
      </c>
      <c r="N224">
        <f>gescon_infosparticip!BB223</f>
        <v>0</v>
      </c>
      <c r="O224">
        <f>gescon_infosparticip!BC223</f>
        <v>0</v>
      </c>
      <c r="P224">
        <f>gescon_infosparticip!BD223</f>
        <v>2146188974</v>
      </c>
      <c r="Q224">
        <f>gescon_infosparticip!BE223</f>
        <v>0</v>
      </c>
      <c r="R224" t="str">
        <f>gescon_infosparticip!BF223</f>
        <v>047795-SI</v>
      </c>
      <c r="S224" t="str">
        <f>gescon_infosparticip!BG223</f>
        <v>AVC avec hémiplégie gauche</v>
      </c>
      <c r="T224" t="str">
        <f>gescon_infosparticip!BH223</f>
        <v>HTA (hypertension artérielle)</v>
      </c>
      <c r="U224" t="str">
        <f>gescon_infosparticip!BI223</f>
        <v>Elevé</v>
      </c>
      <c r="V224" t="str">
        <f>gescon_infosparticip!BJ223</f>
        <v/>
      </c>
      <c r="W224" t="str">
        <f>gescon_infosparticip!BK223</f>
        <v>Besoin d'aide. Effectue la toilette du haut à moitié. Pour la toilette intime, aide pour le siège.</v>
      </c>
      <c r="X224" t="str">
        <f>gescon_infosparticip!BL223</f>
        <v>Besoin de protection de type Pants la journée et Tena pour la nuit. Demande pour uriner sur WC et le vase la nuit. Répondre à ces demandes impérieuses d'uriner rapidement.</v>
      </c>
      <c r="Y224" t="str">
        <f>gescon_infosparticip!BM223</f>
        <v/>
      </c>
    </row>
    <row r="225" spans="2:25" ht="15.75" customHeight="1" x14ac:dyDescent="0.25">
      <c r="B225">
        <f>gescon_infosparticip!A224</f>
        <v>2146189272</v>
      </c>
      <c r="C225" t="str">
        <f>gescon_infosparticip!AH224</f>
        <v/>
      </c>
      <c r="D225" t="str">
        <f>gescon_infosparticip!AI224</f>
        <v/>
      </c>
      <c r="E225" t="str">
        <f>gescon_infosparticip!AJ224</f>
        <v/>
      </c>
      <c r="F225" t="str">
        <f>gescon_infosparticip!AK224</f>
        <v/>
      </c>
      <c r="G225" t="str">
        <f>gescon_infosparticip!AL224</f>
        <v/>
      </c>
      <c r="H225" t="str">
        <f>gescon_infosparticip!AM224</f>
        <v/>
      </c>
      <c r="I225" t="str">
        <f>gescon_infosparticip!AN224</f>
        <v/>
      </c>
      <c r="J225" t="str">
        <f>gescon_infosparticip!AO224</f>
        <v/>
      </c>
      <c r="K225" t="str">
        <f>gescon_infosparticip!AP224</f>
        <v/>
      </c>
      <c r="L225" t="str">
        <f>gescon_infosparticip!AQ224</f>
        <v/>
      </c>
      <c r="M225">
        <f>gescon_infosparticip!BA224</f>
        <v>0</v>
      </c>
      <c r="N225">
        <f>gescon_infosparticip!BB224</f>
        <v>0</v>
      </c>
      <c r="O225">
        <f>gescon_infosparticip!BC224</f>
        <v>0</v>
      </c>
      <c r="P225">
        <f>gescon_infosparticip!BD224</f>
        <v>0</v>
      </c>
      <c r="Q225">
        <f>gescon_infosparticip!BE224</f>
        <v>0</v>
      </c>
      <c r="R225" t="str">
        <f>gescon_infosparticip!BF224</f>
        <v/>
      </c>
      <c r="S225" t="str">
        <f>gescon_infosparticip!BG224</f>
        <v/>
      </c>
      <c r="T225" t="str">
        <f>gescon_infosparticip!BH224</f>
        <v/>
      </c>
      <c r="U225" t="str">
        <f>gescon_infosparticip!BI224</f>
        <v/>
      </c>
      <c r="V225" t="str">
        <f>gescon_infosparticip!BJ224</f>
        <v/>
      </c>
      <c r="W225" t="str">
        <f>gescon_infosparticip!BK224</f>
        <v/>
      </c>
      <c r="X225" t="str">
        <f>gescon_infosparticip!BL224</f>
        <v/>
      </c>
      <c r="Y225" t="str">
        <f>gescon_infosparticip!BM224</f>
        <v/>
      </c>
    </row>
    <row r="226" spans="2:25" ht="15.75" customHeight="1" x14ac:dyDescent="0.25">
      <c r="B226">
        <f>gescon_infosparticip!A225</f>
        <v>2146189287</v>
      </c>
      <c r="C226" t="str">
        <f>gescon_infosparticip!AH225</f>
        <v/>
      </c>
      <c r="D226" t="str">
        <f>gescon_infosparticip!AI225</f>
        <v/>
      </c>
      <c r="E226" t="str">
        <f>gescon_infosparticip!AJ225</f>
        <v>pas trop gras ni trop salé</v>
      </c>
      <c r="F226" t="str">
        <f>gescon_infosparticip!AK225</f>
        <v>viande crue (mais en petite quantité). N'aime pas les œufs.</v>
      </c>
      <c r="G226" t="str">
        <f>gescon_infosparticip!AL225</f>
        <v>tartare, pamplemousse</v>
      </c>
      <c r="H226" t="str">
        <f>gescon_infosparticip!AM225</f>
        <v>ELLE BOIT 2L et 1/2 PAR JOUR. 5x 5dl bouteille Pet pour qu'elle sache où elle en est…</v>
      </c>
      <c r="I226" t="str">
        <f>gescon_infosparticip!AN225</f>
        <v/>
      </c>
      <c r="J226" t="str">
        <f>gescon_infosparticip!AO225</f>
        <v/>
      </c>
      <c r="K226" t="str">
        <f>gescon_infosparticip!AP225</f>
        <v/>
      </c>
      <c r="L226" t="str">
        <f>gescon_infosparticip!AQ225</f>
        <v/>
      </c>
      <c r="M226">
        <f>gescon_infosparticip!BA225</f>
        <v>107</v>
      </c>
      <c r="N226">
        <f>gescon_infosparticip!BB225</f>
        <v>0</v>
      </c>
      <c r="O226">
        <f>gescon_infosparticip!BC225</f>
        <v>0</v>
      </c>
      <c r="P226">
        <f>gescon_infosparticip!BD225</f>
        <v>2146188984</v>
      </c>
      <c r="Q226">
        <f>gescon_infosparticip!BE225</f>
        <v>0</v>
      </c>
      <c r="R226" t="str">
        <f>gescon_infosparticip!BF225</f>
        <v>020052663</v>
      </c>
      <c r="S226" t="str">
        <f>gescon_infosparticip!BG225</f>
        <v>retard mental léger</v>
      </c>
      <c r="T226" t="str">
        <f>gescon_infosparticip!BH225</f>
        <v>greffée rénale en sept. 2011 - très lente</v>
      </c>
      <c r="U226" t="str">
        <f>gescon_infosparticip!BI225</f>
        <v>Moyen</v>
      </c>
      <c r="V226" t="str">
        <f>gescon_infosparticip!BJ225</f>
        <v/>
      </c>
      <c r="W226" t="str">
        <f>gescon_infosparticip!BK225</f>
        <v>autonome</v>
      </c>
      <c r="X226" t="str">
        <f>gescon_infosparticip!BL225</f>
        <v>autonome</v>
      </c>
      <c r="Y226" t="str">
        <f>gescon_infosparticip!BM225</f>
        <v/>
      </c>
    </row>
    <row r="227" spans="2:25" ht="15.75" customHeight="1" x14ac:dyDescent="0.25">
      <c r="B227">
        <f>gescon_infosparticip!A226</f>
        <v>2146189295</v>
      </c>
      <c r="C227" t="str">
        <f>gescon_infosparticip!AH226</f>
        <v>aliments pas trop durs et coupés en petits morceaux.</v>
      </c>
      <c r="D227" t="str">
        <f>gescon_infosparticip!AI226</f>
        <v/>
      </c>
      <c r="E227" t="str">
        <f>gescon_infosparticip!AJ226</f>
        <v/>
      </c>
      <c r="F227" t="str">
        <f>gescon_infosparticip!AK226</f>
        <v/>
      </c>
      <c r="G227" t="str">
        <f>gescon_infosparticip!AL226</f>
        <v/>
      </c>
      <c r="H227" t="str">
        <f>gescon_infosparticip!AM226</f>
        <v/>
      </c>
      <c r="I227" t="str">
        <f>gescon_infosparticip!AN226</f>
        <v/>
      </c>
      <c r="J227" t="str">
        <f>gescon_infosparticip!AO226</f>
        <v>lait sans lactose / pas un régime stricte sans lactose seulement le lait, autrement peut tout manger</v>
      </c>
      <c r="K227" t="str">
        <f>gescon_infosparticip!AP226</f>
        <v/>
      </c>
      <c r="L227" t="str">
        <f>gescon_infosparticip!AQ226</f>
        <v/>
      </c>
      <c r="M227">
        <f>gescon_infosparticip!BA226</f>
        <v>2146189112</v>
      </c>
      <c r="N227">
        <f>gescon_infosparticip!BB226</f>
        <v>0</v>
      </c>
      <c r="O227">
        <f>gescon_infosparticip!BC226</f>
        <v>0</v>
      </c>
      <c r="P227">
        <f>gescon_infosparticip!BD226</f>
        <v>2146188969</v>
      </c>
      <c r="Q227">
        <f>gescon_infosparticip!BE226</f>
        <v>0</v>
      </c>
      <c r="R227" t="str">
        <f>gescon_infosparticip!BF226</f>
        <v>756.9376.7450.98</v>
      </c>
      <c r="S227" t="str">
        <f>gescon_infosparticip!BG226</f>
        <v>Maladie des os de verre - Ne pas aller aux urgences sans les parents, même en cas de fracture !</v>
      </c>
      <c r="T227" t="str">
        <f>gescon_infosparticip!BH226</f>
        <v>aucun</v>
      </c>
      <c r="U227" t="str">
        <f>gescon_infosparticip!BI226</f>
        <v>Elevé</v>
      </c>
      <c r="V227" t="str">
        <f>gescon_infosparticip!BJ226</f>
        <v>aucune</v>
      </c>
      <c r="W227" t="str">
        <f>gescon_infosparticip!BK226</f>
        <v>surveillance : prévention des accidents. Coups ou chute = fracture. Toujours faire attention pour éviter les fractures. Si Nathan reçoit un coup d'une moyenne intensité, pour lui cela répresente une fracture. Donc la prévention est obligatoire. Malgré tout parfois les accidents arrivent et à ce moment là il ne faut pas chercher des coupables car c'est sa maladie.</v>
      </c>
      <c r="X227" t="str">
        <f>gescon_infosparticip!BL226</f>
        <v>autonome, avec quelques accidents</v>
      </c>
      <c r="Y227" t="str">
        <f>gescon_infosparticip!BM226</f>
        <v/>
      </c>
    </row>
    <row r="228" spans="2:25" ht="15.75" customHeight="1" x14ac:dyDescent="0.25">
      <c r="B228">
        <f>gescon_infosparticip!A227</f>
        <v>2146189297</v>
      </c>
      <c r="C228" t="str">
        <f>gescon_infosparticip!AH227</f>
        <v/>
      </c>
      <c r="D228" t="str">
        <f>gescon_infosparticip!AI227</f>
        <v/>
      </c>
      <c r="E228" t="str">
        <f>gescon_infosparticip!AJ227</f>
        <v/>
      </c>
      <c r="F228" t="str">
        <f>gescon_infosparticip!AK227</f>
        <v/>
      </c>
      <c r="G228" t="str">
        <f>gescon_infosparticip!AL227</f>
        <v/>
      </c>
      <c r="H228" t="str">
        <f>gescon_infosparticip!AM227</f>
        <v/>
      </c>
      <c r="I228" t="str">
        <f>gescon_infosparticip!AN227</f>
        <v/>
      </c>
      <c r="J228" t="str">
        <f>gescon_infosparticip!AO227</f>
        <v/>
      </c>
      <c r="K228" t="str">
        <f>gescon_infosparticip!AP227</f>
        <v/>
      </c>
      <c r="L228" t="str">
        <f>gescon_infosparticip!AQ227</f>
        <v/>
      </c>
      <c r="M228">
        <f>gescon_infosparticip!BA227</f>
        <v>0</v>
      </c>
      <c r="N228">
        <f>gescon_infosparticip!BB227</f>
        <v>0</v>
      </c>
      <c r="O228">
        <f>gescon_infosparticip!BC227</f>
        <v>0</v>
      </c>
      <c r="P228">
        <f>gescon_infosparticip!BD227</f>
        <v>0</v>
      </c>
      <c r="Q228">
        <f>gescon_infosparticip!BE227</f>
        <v>0</v>
      </c>
      <c r="R228" t="str">
        <f>gescon_infosparticip!BF227</f>
        <v/>
      </c>
      <c r="S228" t="str">
        <f>gescon_infosparticip!BG227</f>
        <v/>
      </c>
      <c r="T228" t="str">
        <f>gescon_infosparticip!BH227</f>
        <v/>
      </c>
      <c r="U228" t="str">
        <f>gescon_infosparticip!BI227</f>
        <v/>
      </c>
      <c r="V228" t="str">
        <f>gescon_infosparticip!BJ227</f>
        <v/>
      </c>
      <c r="W228" t="str">
        <f>gescon_infosparticip!BK227</f>
        <v/>
      </c>
      <c r="X228" t="str">
        <f>gescon_infosparticip!BL227</f>
        <v/>
      </c>
      <c r="Y228" t="str">
        <f>gescon_infosparticip!BM227</f>
        <v/>
      </c>
    </row>
    <row r="229" spans="2:25" ht="15.75" customHeight="1" x14ac:dyDescent="0.25">
      <c r="B229">
        <f>gescon_infosparticip!A228</f>
        <v>2146189312</v>
      </c>
      <c r="C229" t="str">
        <f>gescon_infosparticip!AH228</f>
        <v/>
      </c>
      <c r="D229" t="str">
        <f>gescon_infosparticip!AI228</f>
        <v/>
      </c>
      <c r="E229" t="str">
        <f>gescon_infosparticip!AJ228</f>
        <v/>
      </c>
      <c r="F229" t="str">
        <f>gescon_infosparticip!AK228</f>
        <v/>
      </c>
      <c r="G229" t="str">
        <f>gescon_infosparticip!AL228</f>
        <v/>
      </c>
      <c r="H229" t="str">
        <f>gescon_infosparticip!AM228</f>
        <v/>
      </c>
      <c r="I229" t="str">
        <f>gescon_infosparticip!AN228</f>
        <v/>
      </c>
      <c r="J229" t="str">
        <f>gescon_infosparticip!AO228</f>
        <v/>
      </c>
      <c r="K229" t="str">
        <f>gescon_infosparticip!AP228</f>
        <v/>
      </c>
      <c r="L229" t="str">
        <f>gescon_infosparticip!AQ228</f>
        <v/>
      </c>
      <c r="M229">
        <f>gescon_infosparticip!BA228</f>
        <v>0</v>
      </c>
      <c r="N229">
        <f>gescon_infosparticip!BB228</f>
        <v>0</v>
      </c>
      <c r="O229">
        <f>gescon_infosparticip!BC228</f>
        <v>0</v>
      </c>
      <c r="P229">
        <f>gescon_infosparticip!BD228</f>
        <v>0</v>
      </c>
      <c r="Q229">
        <f>gescon_infosparticip!BE228</f>
        <v>0</v>
      </c>
      <c r="R229" t="str">
        <f>gescon_infosparticip!BF228</f>
        <v/>
      </c>
      <c r="S229" t="str">
        <f>gescon_infosparticip!BG228</f>
        <v/>
      </c>
      <c r="T229" t="str">
        <f>gescon_infosparticip!BH228</f>
        <v/>
      </c>
      <c r="U229" t="str">
        <f>gescon_infosparticip!BI228</f>
        <v/>
      </c>
      <c r="V229" t="str">
        <f>gescon_infosparticip!BJ228</f>
        <v/>
      </c>
      <c r="W229" t="str">
        <f>gescon_infosparticip!BK228</f>
        <v/>
      </c>
      <c r="X229" t="str">
        <f>gescon_infosparticip!BL228</f>
        <v/>
      </c>
      <c r="Y229" t="str">
        <f>gescon_infosparticip!BM228</f>
        <v/>
      </c>
    </row>
    <row r="230" spans="2:25" ht="15.75" customHeight="1" x14ac:dyDescent="0.25">
      <c r="B230">
        <f>gescon_infosparticip!A229</f>
        <v>2146189323</v>
      </c>
      <c r="C230" t="str">
        <f>gescon_infosparticip!AH229</f>
        <v>couper en petit morceau</v>
      </c>
      <c r="D230" t="str">
        <f>gescon_infosparticip!AI229</f>
        <v>les pâtes</v>
      </c>
      <c r="E230" t="str">
        <f>gescon_infosparticip!AJ229</f>
        <v>-</v>
      </c>
      <c r="F230" t="str">
        <f>gescon_infosparticip!AK229</f>
        <v>Léo n'aime pas trop la viande surtout si elle est dur.</v>
      </c>
      <c r="G230" t="str">
        <f>gescon_infosparticip!AL229</f>
        <v>-</v>
      </c>
      <c r="H230" t="str">
        <f>gescon_infosparticip!AM229</f>
        <v>uniquement avec son biberon</v>
      </c>
      <c r="I230" t="str">
        <f>gescon_infosparticip!AN229</f>
        <v>Cacao, jus de fruits, jus de pomme, sirop (tiède)</v>
      </c>
      <c r="J230" t="str">
        <f>gescon_infosparticip!AO229</f>
        <v/>
      </c>
      <c r="K230" t="str">
        <f>gescon_infosparticip!AP229</f>
        <v>Léo n'aime pas le thé froid.</v>
      </c>
      <c r="L230" t="str">
        <f>gescon_infosparticip!AQ229</f>
        <v/>
      </c>
      <c r="M230">
        <f>gescon_infosparticip!BA229</f>
        <v>107</v>
      </c>
      <c r="N230">
        <f>gescon_infosparticip!BB229</f>
        <v>0</v>
      </c>
      <c r="O230">
        <f>gescon_infosparticip!BC229</f>
        <v>0</v>
      </c>
      <c r="P230">
        <f>gescon_infosparticip!BD229</f>
        <v>2146188969</v>
      </c>
      <c r="Q230">
        <f>gescon_infosparticip!BE229</f>
        <v>0</v>
      </c>
      <c r="R230" t="str">
        <f>gescon_infosparticip!BF229</f>
        <v>17874</v>
      </c>
      <c r="S230" t="str">
        <f>gescon_infosparticip!BG229</f>
        <v>Imc</v>
      </c>
      <c r="T230" t="str">
        <f>gescon_infosparticip!BH229</f>
        <v>Attention , quelques fois , léo fait des absences.</v>
      </c>
      <c r="U230" t="str">
        <f>gescon_infosparticip!BI229</f>
        <v>Elevé</v>
      </c>
      <c r="V230" t="str">
        <f>gescon_infosparticip!BJ229</f>
        <v/>
      </c>
      <c r="W230" t="str">
        <f>gescon_infosparticip!BK229</f>
        <v>Léo prend sa douche sur une chaise percée il prend volontiers le pommeau de douche et s'amuse à boire l'eau c'est du plaisir.</v>
      </c>
      <c r="X230" t="str">
        <f>gescon_infosparticip!BL229</f>
        <v>ll est langé, va à selles seul et régulièrement.</v>
      </c>
      <c r="Y230" t="str">
        <f>gescon_infosparticip!BM229</f>
        <v/>
      </c>
    </row>
    <row r="231" spans="2:25" ht="15.75" customHeight="1" x14ac:dyDescent="0.25">
      <c r="B231">
        <f>gescon_infosparticip!A230</f>
        <v>2146189330</v>
      </c>
      <c r="C231" t="str">
        <f>gescon_infosparticip!AH230</f>
        <v>Il faut lui couper la nourriture. Si elle n’est pas fatiguée elle arrive à manger avec une cuillère ou une fourchette (main gauche) toute seule. Si elle est fatiguée, elle arrive à se faire comprendre qu’elle a besoin d’aide.</v>
      </c>
      <c r="D231" t="str">
        <f>gescon_infosparticip!AI230</f>
        <v/>
      </c>
      <c r="E231" t="str">
        <f>gescon_infosparticip!AJ230</f>
        <v/>
      </c>
      <c r="F231" t="str">
        <f>gescon_infosparticip!AK230</f>
        <v>Fruits acides</v>
      </c>
      <c r="G231" t="str">
        <f>gescon_infosparticip!AL230</f>
        <v/>
      </c>
      <c r="H231" t="str">
        <f>gescon_infosparticip!AM230</f>
        <v/>
      </c>
      <c r="I231" t="str">
        <f>gescon_infosparticip!AN230</f>
        <v>Uniquement de l'eau plate</v>
      </c>
      <c r="J231" t="str">
        <f>gescon_infosparticip!AO230</f>
        <v/>
      </c>
      <c r="K231" t="str">
        <f>gescon_infosparticip!AP230</f>
        <v/>
      </c>
      <c r="L231" t="str">
        <f>gescon_infosparticip!AQ230</f>
        <v/>
      </c>
      <c r="M231">
        <f>gescon_infosparticip!BA230</f>
        <v>0</v>
      </c>
      <c r="N231">
        <f>gescon_infosparticip!BB230</f>
        <v>0</v>
      </c>
      <c r="O231">
        <f>gescon_infosparticip!BC230</f>
        <v>0</v>
      </c>
      <c r="P231">
        <f>gescon_infosparticip!BD230</f>
        <v>2146188974</v>
      </c>
      <c r="Q231">
        <f>gescon_infosparticip!BE230</f>
        <v>0</v>
      </c>
      <c r="R231" t="str">
        <f>gescon_infosparticip!BF230</f>
        <v>5215711</v>
      </c>
      <c r="S231" t="str">
        <f>gescon_infosparticip!BG230</f>
        <v>IMC</v>
      </c>
      <c r="T231" t="str">
        <f>gescon_infosparticip!BH230</f>
        <v>Hydrocéphalie. Paralysie côté droit + jambe gauche.</v>
      </c>
      <c r="U231" t="str">
        <f>gescon_infosparticip!BI230</f>
        <v>Elevé</v>
      </c>
      <c r="V231" t="str">
        <f>gescon_infosparticip!BJ230</f>
        <v/>
      </c>
      <c r="W231" t="str">
        <f>gescon_infosparticip!BK230</f>
        <v>Avec aide complète</v>
      </c>
      <c r="X231" t="str">
        <f>gescon_infosparticip!BL230</f>
        <v>Protection (lange)</v>
      </c>
      <c r="Y231" t="str">
        <f>gescon_infosparticip!BM230</f>
        <v/>
      </c>
    </row>
    <row r="232" spans="2:25" ht="15.75" customHeight="1" x14ac:dyDescent="0.25">
      <c r="B232">
        <f>gescon_infosparticip!A231</f>
        <v>2146189333</v>
      </c>
      <c r="C232" t="str">
        <f>gescon_infosparticip!AH231</f>
        <v>ne prend rien par la bouche un peu de lait à la pipette. Mais pas nécessaire. Nourriture entéral. Nourriture en continue. Débit de 70 ml à l'heure. Env 1300 à1400 ml/jour. Pour un saschet de 500ml de nutissi standard, ajouter 100ml d'eau</v>
      </c>
      <c r="D232" t="str">
        <f>gescon_infosparticip!AI231</f>
        <v/>
      </c>
      <c r="E232" t="str">
        <f>gescon_infosparticip!AJ231</f>
        <v/>
      </c>
      <c r="F232" t="str">
        <f>gescon_infosparticip!AK231</f>
        <v/>
      </c>
      <c r="G232" t="str">
        <f>gescon_infosparticip!AL231</f>
        <v/>
      </c>
      <c r="H232" t="str">
        <f>gescon_infosparticip!AM231</f>
        <v/>
      </c>
      <c r="I232" t="str">
        <f>gescon_infosparticip!AN231</f>
        <v/>
      </c>
      <c r="J232" t="str">
        <f>gescon_infosparticip!AO231</f>
        <v/>
      </c>
      <c r="K232" t="str">
        <f>gescon_infosparticip!AP231</f>
        <v/>
      </c>
      <c r="L232" t="str">
        <f>gescon_infosparticip!AQ231</f>
        <v/>
      </c>
      <c r="M232">
        <f>gescon_infosparticip!BA231</f>
        <v>0</v>
      </c>
      <c r="N232">
        <f>gescon_infosparticip!BB231</f>
        <v>0</v>
      </c>
      <c r="O232">
        <f>gescon_infosparticip!BC231</f>
        <v>0</v>
      </c>
      <c r="P232">
        <f>gescon_infosparticip!BD231</f>
        <v>0</v>
      </c>
      <c r="Q232">
        <f>gescon_infosparticip!BE231</f>
        <v>0</v>
      </c>
      <c r="R232" t="str">
        <f>gescon_infosparticip!BF231</f>
        <v/>
      </c>
      <c r="S232" t="str">
        <f>gescon_infosparticip!BG231</f>
        <v>IMC</v>
      </c>
      <c r="T232" t="str">
        <f>gescon_infosparticip!BH231</f>
        <v/>
      </c>
      <c r="U232" t="str">
        <f>gescon_infosparticip!BI231</f>
        <v>Elevé</v>
      </c>
      <c r="V232" t="str">
        <f>gescon_infosparticip!BJ231</f>
        <v>elle fait parfois de la fièvre. Si c'est le cas algifor en 2 fois.3 ml une fois puis 30 min plus tard à nouveau 3 ml. Crise de dystonie du au stress ou à la douleur. Se mord fort bouche ou langue. Dans ce cas il faut la maintenir et lui donner de l'arnica</v>
      </c>
      <c r="W232" t="str">
        <f>gescon_infosparticip!BK231</f>
        <v>elle a tendance à bavé beaucoup. Changer parfois 3 à 4 fois par jour le pull</v>
      </c>
      <c r="X232" t="str">
        <f>gescon_infosparticip!BL231</f>
        <v>langer</v>
      </c>
      <c r="Y232" t="str">
        <f>gescon_infosparticip!BM231</f>
        <v/>
      </c>
    </row>
    <row r="233" spans="2:25" ht="15.75" customHeight="1" x14ac:dyDescent="0.25">
      <c r="B233">
        <f>gescon_infosparticip!A232</f>
        <v>2146189335</v>
      </c>
      <c r="C233" t="str">
        <f>gescon_infosparticip!AH232</f>
        <v>Il mange tout seul, mais il a besoin d'aide pour découper les aliments.</v>
      </c>
      <c r="D233" t="str">
        <f>gescon_infosparticip!AI232</f>
        <v/>
      </c>
      <c r="E233" t="str">
        <f>gescon_infosparticip!AJ232</f>
        <v/>
      </c>
      <c r="F233" t="str">
        <f>gescon_infosparticip!AK232</f>
        <v/>
      </c>
      <c r="G233" t="str">
        <f>gescon_infosparticip!AL232</f>
        <v/>
      </c>
      <c r="H233" t="str">
        <f>gescon_infosparticip!AM232</f>
        <v/>
      </c>
      <c r="I233" t="str">
        <f>gescon_infosparticip!AN232</f>
        <v/>
      </c>
      <c r="J233" t="str">
        <f>gescon_infosparticip!AO232</f>
        <v/>
      </c>
      <c r="K233" t="str">
        <f>gescon_infosparticip!AP232</f>
        <v/>
      </c>
      <c r="L233" t="str">
        <f>gescon_infosparticip!AQ232</f>
        <v/>
      </c>
      <c r="M233">
        <f>gescon_infosparticip!BA232</f>
        <v>107</v>
      </c>
      <c r="N233">
        <f>gescon_infosparticip!BB232</f>
        <v>0</v>
      </c>
      <c r="O233">
        <f>gescon_infosparticip!BC232</f>
        <v>0</v>
      </c>
      <c r="P233">
        <f>gescon_infosparticip!BD232</f>
        <v>2146189019</v>
      </c>
      <c r="Q233">
        <f>gescon_infosparticip!BE232</f>
        <v>0</v>
      </c>
      <c r="R233" t="str">
        <f>gescon_infosparticip!BF232</f>
        <v>997.10.14.015</v>
      </c>
      <c r="S233" t="str">
        <f>gescon_infosparticip!BG232</f>
        <v>Dyshophie musculaire évolutive</v>
      </c>
      <c r="T233" t="str">
        <f>gescon_infosparticip!BH232</f>
        <v>Myopathie des ceintures</v>
      </c>
      <c r="U233" t="str">
        <f>gescon_infosparticip!BI232</f>
        <v>Elevé</v>
      </c>
      <c r="V233" t="str">
        <f>gescon_infosparticip!BJ232</f>
        <v>non</v>
      </c>
      <c r="W233" t="str">
        <f>gescon_infosparticip!BK232</f>
        <v>avec aide</v>
      </c>
      <c r="X233" t="str">
        <f>gescon_infosparticip!BL232</f>
        <v>avec aide pour s'installer aux toilettes</v>
      </c>
      <c r="Y233" t="str">
        <f>gescon_infosparticip!BM232</f>
        <v/>
      </c>
    </row>
    <row r="234" spans="2:25" ht="15.75" customHeight="1" x14ac:dyDescent="0.25">
      <c r="B234">
        <f>gescon_infosparticip!A233</f>
        <v>2146189337</v>
      </c>
      <c r="C234" t="str">
        <f>gescon_infosparticip!AH233</f>
        <v>Lui retirer le natel pendant les repas et lui mettre l'anti-glisse.</v>
      </c>
      <c r="D234" t="str">
        <f>gescon_infosparticip!AI233</f>
        <v/>
      </c>
      <c r="E234" t="str">
        <f>gescon_infosparticip!AJ233</f>
        <v>aucun</v>
      </c>
      <c r="F234" t="str">
        <f>gescon_infosparticip!AK233</f>
        <v>Alimentation grasse et sucrée</v>
      </c>
      <c r="G234" t="str">
        <f>gescon_infosparticip!AL233</f>
        <v/>
      </c>
      <c r="H234" t="str">
        <f>gescon_infosparticip!AM233</f>
        <v/>
      </c>
      <c r="I234" t="str">
        <f>gescon_infosparticip!AN233</f>
        <v/>
      </c>
      <c r="J234" t="str">
        <f>gescon_infosparticip!AO233</f>
        <v/>
      </c>
      <c r="K234" t="str">
        <f>gescon_infosparticip!AP233</f>
        <v/>
      </c>
      <c r="L234" t="str">
        <f>gescon_infosparticip!AQ233</f>
        <v>Café après 16h00</v>
      </c>
      <c r="M234">
        <f>gescon_infosparticip!BA233</f>
        <v>2146189227</v>
      </c>
      <c r="N234">
        <f>gescon_infosparticip!BB233</f>
        <v>0</v>
      </c>
      <c r="O234">
        <f>gescon_infosparticip!BC233</f>
        <v>0</v>
      </c>
      <c r="P234">
        <f>gescon_infosparticip!BD233</f>
        <v>2146189339</v>
      </c>
      <c r="Q234">
        <f>gescon_infosparticip!BE233</f>
        <v>2146188982</v>
      </c>
      <c r="R234" t="str">
        <f>gescon_infosparticip!BF233</f>
        <v>756.6614.3411.66</v>
      </c>
      <c r="S234" t="str">
        <f>gescon_infosparticip!BG233</f>
        <v>Rupture d'anévrisme avec hémiplégie gauche</v>
      </c>
      <c r="T234" t="str">
        <f>gescon_infosparticip!BH233</f>
        <v>épilepsie</v>
      </c>
      <c r="U234" t="str">
        <f>gescon_infosparticip!BI233</f>
        <v>Elevé</v>
      </c>
      <c r="V234" t="str">
        <f>gescon_infosparticip!BJ233</f>
        <v>aucune</v>
      </c>
      <c r="W234" t="str">
        <f>gescon_infosparticip!BK233</f>
        <v>Aide partielle pour le fessier et le bras valide, avec guidance pour le reste. Douche tous les jours. Alèse pour la nuit.</v>
      </c>
      <c r="X234" t="str">
        <f>gescon_infosparticip!BL233</f>
        <v>Utilise l'urinal la nuit. 4 demande au toilettes qu'il gère.</v>
      </c>
      <c r="Y234" t="str">
        <f>gescon_infosparticip!BM233</f>
        <v/>
      </c>
    </row>
    <row r="235" spans="2:25" ht="15.75" customHeight="1" x14ac:dyDescent="0.25">
      <c r="B235">
        <f>gescon_infosparticip!A234</f>
        <v>2146189343</v>
      </c>
      <c r="C235" t="str">
        <f>gescon_infosparticip!AH234</f>
        <v>Il peut manger seul avec la main gauche, mais toujours être à coté. En cas de fausse route, bien le pencher en avant et lui taper dans le dos. Si ça continue, faire la méthode heimlich.</v>
      </c>
      <c r="D235" t="str">
        <f>gescon_infosparticip!AI234</f>
        <v/>
      </c>
      <c r="E235" t="str">
        <f>gescon_infosparticip!AJ234</f>
        <v>Haché et coupé fin et accompagné d'une sauce pour faciliter la déglutition.</v>
      </c>
      <c r="F235" t="str">
        <f>gescon_infosparticip!AK234</f>
        <v>Ce qui contient des fils et/ou des graines</v>
      </c>
      <c r="G235" t="str">
        <f>gescon_infosparticip!AL234</f>
        <v>Ce qui peut causer des fausses routes (cacahuètes, chips, etc.)</v>
      </c>
      <c r="H235" t="str">
        <f>gescon_infosparticip!AM234</f>
        <v>Peut boire seul, avec la main gauche.</v>
      </c>
      <c r="I235" t="str">
        <f>gescon_infosparticip!AN234</f>
        <v/>
      </c>
      <c r="J235" t="str">
        <f>gescon_infosparticip!AO234</f>
        <v>A le droit à un verre de vin pendant le repas du midi et un pendant le repas du soir. Lorsqu'il sort boire un verre, il aime bien prendre un galopin</v>
      </c>
      <c r="K235" t="str">
        <f>gescon_infosparticip!AP234</f>
        <v/>
      </c>
      <c r="L235" t="str">
        <f>gescon_infosparticip!AQ234</f>
        <v/>
      </c>
      <c r="M235">
        <f>gescon_infosparticip!BA234</f>
        <v>2146189227</v>
      </c>
      <c r="N235">
        <f>gescon_infosparticip!BB234</f>
        <v>0</v>
      </c>
      <c r="O235">
        <f>gescon_infosparticip!BC234</f>
        <v>0</v>
      </c>
      <c r="P235">
        <f>gescon_infosparticip!BD234</f>
        <v>2146189004</v>
      </c>
      <c r="Q235">
        <f>gescon_infosparticip!BE234</f>
        <v>2146189004</v>
      </c>
      <c r="R235" t="str">
        <f>gescon_infosparticip!BF234</f>
        <v>2968099</v>
      </c>
      <c r="S235" t="str">
        <f>gescon_infosparticip!BG234</f>
        <v>TTC sévère en 2008</v>
      </c>
      <c r="T235" t="str">
        <f>gescon_infosparticip!BH234</f>
        <v>Amputation des extrémités des doigts de la main droite, maladie de Bechterew (maladie rhumatismale chronique, douloureuse et incurable.</v>
      </c>
      <c r="U235" t="str">
        <f>gescon_infosparticip!BI234</f>
        <v/>
      </c>
      <c r="V235" t="str">
        <f>gescon_infosparticip!BJ234</f>
        <v/>
      </c>
      <c r="W235" t="str">
        <f>gescon_infosparticip!BK234</f>
        <v>Aide totale pour la toilette. Toilette complète au lit ou lavabo. Il préfère la douche.</v>
      </c>
      <c r="X235" t="str">
        <f>gescon_infosparticip!BL234</f>
        <v>Continent pour les selles (demande pour aller). Incontinence pour les urines. Il porte une protection jour et nuit mais demande quand-même pour aller au toilette.</v>
      </c>
      <c r="Y235" t="str">
        <f>gescon_infosparticip!BM234</f>
        <v/>
      </c>
    </row>
    <row r="236" spans="2:25" ht="15.75" customHeight="1" x14ac:dyDescent="0.25">
      <c r="B236">
        <f>gescon_infosparticip!A235</f>
        <v>2146189362</v>
      </c>
      <c r="C236" t="str">
        <f>gescon_infosparticip!AH235</f>
        <v>Il faut essayer de stimuler Florent au quotidien pour l'alimentation, langage, motricité.
Aide pour manger et pour boire.</v>
      </c>
      <c r="D236" t="str">
        <f>gescon_infosparticip!AI235</f>
        <v/>
      </c>
      <c r="E236" t="str">
        <f>gescon_infosparticip!AJ235</f>
        <v/>
      </c>
      <c r="F236" t="str">
        <f>gescon_infosparticip!AK235</f>
        <v>Gluten + lactose</v>
      </c>
      <c r="G236" t="str">
        <f>gescon_infosparticip!AL235</f>
        <v/>
      </c>
      <c r="H236" t="str">
        <f>gescon_infosparticip!AM235</f>
        <v/>
      </c>
      <c r="I236" t="str">
        <f>gescon_infosparticip!AN235</f>
        <v/>
      </c>
      <c r="J236" t="str">
        <f>gescon_infosparticip!AO235</f>
        <v/>
      </c>
      <c r="K236" t="str">
        <f>gescon_infosparticip!AP235</f>
        <v/>
      </c>
      <c r="L236" t="str">
        <f>gescon_infosparticip!AQ235</f>
        <v/>
      </c>
      <c r="M236">
        <f>gescon_infosparticip!BA235</f>
        <v>2146189384</v>
      </c>
      <c r="N236">
        <f>gescon_infosparticip!BB235</f>
        <v>0</v>
      </c>
      <c r="O236">
        <f>gescon_infosparticip!BC235</f>
        <v>0</v>
      </c>
      <c r="P236">
        <f>gescon_infosparticip!BD235</f>
        <v>2146189082</v>
      </c>
      <c r="Q236">
        <f>gescon_infosparticip!BE235</f>
        <v>0</v>
      </c>
      <c r="R236" t="str">
        <f>gescon_infosparticip!BF235</f>
        <v>799-46-756</v>
      </c>
      <c r="S236" t="str">
        <f>gescon_infosparticip!BG235</f>
        <v>Trisomie 21</v>
      </c>
      <c r="T236" t="str">
        <f>gescon_infosparticip!BH235</f>
        <v>Retard de développement général. Malformation cardiaque</v>
      </c>
      <c r="U236" t="str">
        <f>gescon_infosparticip!BI235</f>
        <v/>
      </c>
      <c r="V236" t="str">
        <f>gescon_infosparticip!BJ235</f>
        <v/>
      </c>
      <c r="W236" t="str">
        <f>gescon_infosparticip!BK235</f>
        <v>Il porte une protection</v>
      </c>
      <c r="X236" t="str">
        <f>gescon_infosparticip!BL235</f>
        <v/>
      </c>
      <c r="Y236" t="str">
        <f>gescon_infosparticip!BM235</f>
        <v/>
      </c>
    </row>
    <row r="237" spans="2:25" ht="15.75" customHeight="1" x14ac:dyDescent="0.25">
      <c r="B237">
        <f>gescon_infosparticip!A236</f>
        <v>2146189369</v>
      </c>
      <c r="C237" t="str">
        <f>gescon_infosparticip!AH236</f>
        <v>à contrôler pour qu'elle ne mange pas trop</v>
      </c>
      <c r="D237" t="str">
        <f>gescon_infosparticip!AI236</f>
        <v/>
      </c>
      <c r="E237" t="str">
        <f>gescon_infosparticip!AJ236</f>
        <v>sans sucre et sans graisse</v>
      </c>
      <c r="F237" t="str">
        <f>gescon_infosparticip!AK236</f>
        <v/>
      </c>
      <c r="G237" t="str">
        <f>gescon_infosparticip!AL236</f>
        <v>contrôler la nourriture pour pas qu'elle ne mange trop</v>
      </c>
      <c r="H237" t="str">
        <f>gescon_infosparticip!AM236</f>
        <v>sans sucre</v>
      </c>
      <c r="I237" t="str">
        <f>gescon_infosparticip!AN236</f>
        <v/>
      </c>
      <c r="J237" t="str">
        <f>gescon_infosparticip!AO236</f>
        <v/>
      </c>
      <c r="K237" t="str">
        <f>gescon_infosparticip!AP236</f>
        <v/>
      </c>
      <c r="L237" t="str">
        <f>gescon_infosparticip!AQ236</f>
        <v/>
      </c>
      <c r="M237">
        <f>gescon_infosparticip!BA236</f>
        <v>0</v>
      </c>
      <c r="N237">
        <f>gescon_infosparticip!BB236</f>
        <v>0</v>
      </c>
      <c r="O237">
        <f>gescon_infosparticip!BC236</f>
        <v>0</v>
      </c>
      <c r="P237">
        <f>gescon_infosparticip!BD236</f>
        <v>0</v>
      </c>
      <c r="Q237">
        <f>gescon_infosparticip!BE236</f>
        <v>0</v>
      </c>
      <c r="R237" t="str">
        <f>gescon_infosparticip!BF236</f>
        <v/>
      </c>
      <c r="S237" t="str">
        <f>gescon_infosparticip!BG236</f>
        <v>Syndrome de prader-Willli avec déficiance intélectuel</v>
      </c>
      <c r="T237" t="str">
        <f>gescon_infosparticip!BH236</f>
        <v>hypotonie musculaire, trouble du comportement alimentaire</v>
      </c>
      <c r="U237" t="str">
        <f>gescon_infosparticip!BI236</f>
        <v>Moyen</v>
      </c>
      <c r="V237" t="str">
        <f>gescon_infosparticip!BJ236</f>
        <v/>
      </c>
      <c r="W237" t="str">
        <f>gescon_infosparticip!BK236</f>
        <v/>
      </c>
      <c r="X237" t="str">
        <f>gescon_infosparticip!BL236</f>
        <v/>
      </c>
      <c r="Y237" t="str">
        <f>gescon_infosparticip!BM236</f>
        <v/>
      </c>
    </row>
    <row r="238" spans="2:25" ht="15.75" customHeight="1" x14ac:dyDescent="0.25">
      <c r="B238">
        <f>gescon_infosparticip!A237</f>
        <v>2146189370</v>
      </c>
      <c r="C238" t="str">
        <f>gescon_infosparticip!AH237</f>
        <v>nécessite un accompagnement.</v>
      </c>
      <c r="D238" t="str">
        <f>gescon_infosparticip!AI237</f>
        <v>mange volontiers de tout</v>
      </c>
      <c r="E238" t="str">
        <f>gescon_infosparticip!AJ237</f>
        <v>-</v>
      </c>
      <c r="F238" t="str">
        <f>gescon_infosparticip!AK237</f>
        <v>-</v>
      </c>
      <c r="G238" t="str">
        <f>gescon_infosparticip!AL237</f>
        <v>-</v>
      </c>
      <c r="H238" t="str">
        <f>gescon_infosparticip!AM237</f>
        <v/>
      </c>
      <c r="I238" t="str">
        <f>gescon_infosparticip!AN237</f>
        <v>eau et sirop menthe/ Jus de fruit le matin (clémentine/ fruit rouge)</v>
      </c>
      <c r="J238" t="str">
        <f>gescon_infosparticip!AO237</f>
        <v>-</v>
      </c>
      <c r="K238" t="str">
        <f>gescon_infosparticip!AP237</f>
        <v>-</v>
      </c>
      <c r="L238" t="str">
        <f>gescon_infosparticip!AQ237</f>
        <v>-</v>
      </c>
      <c r="M238">
        <f>gescon_infosparticip!BA237</f>
        <v>226884306</v>
      </c>
      <c r="N238">
        <f>gescon_infosparticip!BB237</f>
        <v>0</v>
      </c>
      <c r="O238">
        <f>gescon_infosparticip!BC237</f>
        <v>0</v>
      </c>
      <c r="P238">
        <f>gescon_infosparticip!BD237</f>
        <v>2146188991</v>
      </c>
      <c r="Q238">
        <f>gescon_infosparticip!BE237</f>
        <v>0</v>
      </c>
      <c r="R238" t="str">
        <f>gescon_infosparticip!BF237</f>
        <v>01529</v>
      </c>
      <c r="S238" t="str">
        <f>gescon_infosparticip!BG237</f>
        <v/>
      </c>
      <c r="T238" t="str">
        <f>gescon_infosparticip!BH237</f>
        <v/>
      </c>
      <c r="U238" t="str">
        <f>gescon_infosparticip!BI237</f>
        <v>Elevé</v>
      </c>
      <c r="V238" t="str">
        <f>gescon_infosparticip!BJ237</f>
        <v/>
      </c>
      <c r="W238" t="str">
        <f>gescon_infosparticip!BK237</f>
        <v>la mettre sur une chaise percée ou debout avec soutien.</v>
      </c>
      <c r="X238" t="str">
        <f>gescon_infosparticip!BL237</f>
        <v>elle peut aller aux toilettes en étant accompagnée. Elle n'est plus langée, lui rappeler souvent  si elle a besoin d'aller aux toilettes.  Insister et surveiller pour les selles</v>
      </c>
      <c r="Y238" t="str">
        <f>gescon_infosparticip!BM237</f>
        <v/>
      </c>
    </row>
    <row r="239" spans="2:25" ht="15.75" customHeight="1" x14ac:dyDescent="0.25">
      <c r="B239">
        <f>gescon_infosparticip!A238</f>
        <v>2146189374</v>
      </c>
      <c r="C239" t="str">
        <f>gescon_infosparticip!AH238</f>
        <v/>
      </c>
      <c r="D239" t="str">
        <f>gescon_infosparticip!AI238</f>
        <v/>
      </c>
      <c r="E239" t="str">
        <f>gescon_infosparticip!AJ238</f>
        <v/>
      </c>
      <c r="F239" t="str">
        <f>gescon_infosparticip!AK238</f>
        <v/>
      </c>
      <c r="G239" t="str">
        <f>gescon_infosparticip!AL238</f>
        <v/>
      </c>
      <c r="H239" t="str">
        <f>gescon_infosparticip!AM238</f>
        <v/>
      </c>
      <c r="I239" t="str">
        <f>gescon_infosparticip!AN238</f>
        <v/>
      </c>
      <c r="J239" t="str">
        <f>gescon_infosparticip!AO238</f>
        <v/>
      </c>
      <c r="K239" t="str">
        <f>gescon_infosparticip!AP238</f>
        <v/>
      </c>
      <c r="L239" t="str">
        <f>gescon_infosparticip!AQ238</f>
        <v/>
      </c>
      <c r="M239">
        <f>gescon_infosparticip!BA238</f>
        <v>0</v>
      </c>
      <c r="N239">
        <f>gescon_infosparticip!BB238</f>
        <v>0</v>
      </c>
      <c r="O239">
        <f>gescon_infosparticip!BC238</f>
        <v>0</v>
      </c>
      <c r="P239">
        <f>gescon_infosparticip!BD238</f>
        <v>0</v>
      </c>
      <c r="Q239">
        <f>gescon_infosparticip!BE238</f>
        <v>0</v>
      </c>
      <c r="R239" t="str">
        <f>gescon_infosparticip!BF238</f>
        <v/>
      </c>
      <c r="S239" t="str">
        <f>gescon_infosparticip!BG238</f>
        <v/>
      </c>
      <c r="T239" t="str">
        <f>gescon_infosparticip!BH238</f>
        <v/>
      </c>
      <c r="U239" t="str">
        <f>gescon_infosparticip!BI238</f>
        <v/>
      </c>
      <c r="V239" t="str">
        <f>gescon_infosparticip!BJ238</f>
        <v/>
      </c>
      <c r="W239" t="str">
        <f>gescon_infosparticip!BK238</f>
        <v/>
      </c>
      <c r="X239" t="str">
        <f>gescon_infosparticip!BL238</f>
        <v/>
      </c>
      <c r="Y239" t="str">
        <f>gescon_infosparticip!BM238</f>
        <v/>
      </c>
    </row>
    <row r="240" spans="2:25" ht="15.75" customHeight="1" x14ac:dyDescent="0.25">
      <c r="B240">
        <f>gescon_infosparticip!A239</f>
        <v>2146189377</v>
      </c>
      <c r="C240" t="str">
        <f>gescon_infosparticip!AH239</f>
        <v/>
      </c>
      <c r="D240" t="str">
        <f>gescon_infosparticip!AI239</f>
        <v/>
      </c>
      <c r="E240" t="str">
        <f>gescon_infosparticip!AJ239</f>
        <v/>
      </c>
      <c r="F240" t="str">
        <f>gescon_infosparticip!AK239</f>
        <v/>
      </c>
      <c r="G240" t="str">
        <f>gescon_infosparticip!AL239</f>
        <v/>
      </c>
      <c r="H240" t="str">
        <f>gescon_infosparticip!AM239</f>
        <v/>
      </c>
      <c r="I240" t="str">
        <f>gescon_infosparticip!AN239</f>
        <v/>
      </c>
      <c r="J240" t="str">
        <f>gescon_infosparticip!AO239</f>
        <v/>
      </c>
      <c r="K240" t="str">
        <f>gescon_infosparticip!AP239</f>
        <v/>
      </c>
      <c r="L240" t="str">
        <f>gescon_infosparticip!AQ239</f>
        <v/>
      </c>
      <c r="M240">
        <f>gescon_infosparticip!BA239</f>
        <v>0</v>
      </c>
      <c r="N240">
        <f>gescon_infosparticip!BB239</f>
        <v>0</v>
      </c>
      <c r="O240">
        <f>gescon_infosparticip!BC239</f>
        <v>0</v>
      </c>
      <c r="P240">
        <f>gescon_infosparticip!BD239</f>
        <v>0</v>
      </c>
      <c r="Q240">
        <f>gescon_infosparticip!BE239</f>
        <v>0</v>
      </c>
      <c r="R240" t="str">
        <f>gescon_infosparticip!BF239</f>
        <v/>
      </c>
      <c r="S240" t="str">
        <f>gescon_infosparticip!BG239</f>
        <v/>
      </c>
      <c r="T240" t="str">
        <f>gescon_infosparticip!BH239</f>
        <v/>
      </c>
      <c r="U240" t="str">
        <f>gescon_infosparticip!BI239</f>
        <v/>
      </c>
      <c r="V240" t="str">
        <f>gescon_infosparticip!BJ239</f>
        <v/>
      </c>
      <c r="W240" t="str">
        <f>gescon_infosparticip!BK239</f>
        <v/>
      </c>
      <c r="X240" t="str">
        <f>gescon_infosparticip!BL239</f>
        <v/>
      </c>
      <c r="Y240" t="str">
        <f>gescon_infosparticip!BM239</f>
        <v/>
      </c>
    </row>
    <row r="241" spans="2:25" ht="15.75" customHeight="1" x14ac:dyDescent="0.25">
      <c r="B241">
        <f>gescon_infosparticip!A240</f>
        <v>2146189380</v>
      </c>
      <c r="C241" t="str">
        <f>gescon_infosparticip!AH240</f>
        <v>Il faut mettre un cadre pour ne pas se disputer avec son frère et sœur.
A l'extérieur il sait bien se comporter</v>
      </c>
      <c r="D241" t="str">
        <f>gescon_infosparticip!AI240</f>
        <v/>
      </c>
      <c r="E241" t="str">
        <f>gescon_infosparticip!AJ240</f>
        <v>Sans gluten</v>
      </c>
      <c r="F241" t="str">
        <f>gescon_infosparticip!AK240</f>
        <v/>
      </c>
      <c r="G241" t="str">
        <f>gescon_infosparticip!AL240</f>
        <v/>
      </c>
      <c r="H241" t="str">
        <f>gescon_infosparticip!AM240</f>
        <v/>
      </c>
      <c r="I241" t="str">
        <f>gescon_infosparticip!AN240</f>
        <v/>
      </c>
      <c r="J241" t="str">
        <f>gescon_infosparticip!AO240</f>
        <v/>
      </c>
      <c r="K241" t="str">
        <f>gescon_infosparticip!AP240</f>
        <v/>
      </c>
      <c r="L241" t="str">
        <f>gescon_infosparticip!AQ240</f>
        <v/>
      </c>
      <c r="M241">
        <f>gescon_infosparticip!BA240</f>
        <v>0</v>
      </c>
      <c r="N241">
        <f>gescon_infosparticip!BB240</f>
        <v>0</v>
      </c>
      <c r="O241">
        <f>gescon_infosparticip!BC240</f>
        <v>0</v>
      </c>
      <c r="P241">
        <f>gescon_infosparticip!BD240</f>
        <v>2146189003</v>
      </c>
      <c r="Q241">
        <f>gescon_infosparticip!BE240</f>
        <v>0</v>
      </c>
      <c r="R241" t="str">
        <f>gescon_infosparticip!BF240</f>
        <v/>
      </c>
      <c r="S241" t="str">
        <f>gescon_infosparticip!BG240</f>
        <v>Asperger. Autisme</v>
      </c>
      <c r="T241" t="str">
        <f>gescon_infosparticip!BH240</f>
        <v>Retard de développement général.</v>
      </c>
      <c r="U241" t="str">
        <f>gescon_infosparticip!BI240</f>
        <v/>
      </c>
      <c r="V241" t="str">
        <f>gescon_infosparticip!BJ240</f>
        <v>Gluten</v>
      </c>
      <c r="W241" t="str">
        <f>gescon_infosparticip!BK240</f>
        <v/>
      </c>
      <c r="X241" t="str">
        <f>gescon_infosparticip!BL240</f>
        <v/>
      </c>
      <c r="Y241" t="str">
        <f>gescon_infosparticip!BM240</f>
        <v/>
      </c>
    </row>
    <row r="242" spans="2:25" ht="15.75" customHeight="1" x14ac:dyDescent="0.25">
      <c r="B242">
        <f>gescon_infosparticip!A241</f>
        <v>2146189381</v>
      </c>
      <c r="C242" t="str">
        <f>gescon_infosparticip!AH241</f>
        <v/>
      </c>
      <c r="D242" t="str">
        <f>gescon_infosparticip!AI241</f>
        <v/>
      </c>
      <c r="E242" t="str">
        <f>gescon_infosparticip!AJ241</f>
        <v/>
      </c>
      <c r="F242" t="str">
        <f>gescon_infosparticip!AK241</f>
        <v/>
      </c>
      <c r="G242" t="str">
        <f>gescon_infosparticip!AL241</f>
        <v/>
      </c>
      <c r="H242" t="str">
        <f>gescon_infosparticip!AM241</f>
        <v/>
      </c>
      <c r="I242" t="str">
        <f>gescon_infosparticip!AN241</f>
        <v/>
      </c>
      <c r="J242" t="str">
        <f>gescon_infosparticip!AO241</f>
        <v/>
      </c>
      <c r="K242" t="str">
        <f>gescon_infosparticip!AP241</f>
        <v/>
      </c>
      <c r="L242" t="str">
        <f>gescon_infosparticip!AQ241</f>
        <v/>
      </c>
      <c r="M242">
        <f>gescon_infosparticip!BA241</f>
        <v>0</v>
      </c>
      <c r="N242">
        <f>gescon_infosparticip!BB241</f>
        <v>0</v>
      </c>
      <c r="O242">
        <f>gescon_infosparticip!BC241</f>
        <v>0</v>
      </c>
      <c r="P242">
        <f>gescon_infosparticip!BD241</f>
        <v>0</v>
      </c>
      <c r="Q242">
        <f>gescon_infosparticip!BE241</f>
        <v>0</v>
      </c>
      <c r="R242" t="str">
        <f>gescon_infosparticip!BF241</f>
        <v/>
      </c>
      <c r="S242" t="str">
        <f>gescon_infosparticip!BG241</f>
        <v/>
      </c>
      <c r="T242" t="str">
        <f>gescon_infosparticip!BH241</f>
        <v/>
      </c>
      <c r="U242" t="str">
        <f>gescon_infosparticip!BI241</f>
        <v/>
      </c>
      <c r="V242" t="str">
        <f>gescon_infosparticip!BJ241</f>
        <v/>
      </c>
      <c r="W242" t="str">
        <f>gescon_infosparticip!BK241</f>
        <v/>
      </c>
      <c r="X242" t="str">
        <f>gescon_infosparticip!BL241</f>
        <v/>
      </c>
      <c r="Y242" t="str">
        <f>gescon_infosparticip!BM241</f>
        <v/>
      </c>
    </row>
    <row r="243" spans="2:25" ht="15.75" customHeight="1" x14ac:dyDescent="0.25">
      <c r="B243">
        <f>gescon_infosparticip!A242</f>
        <v>2146189410</v>
      </c>
      <c r="C243" t="str">
        <f>gescon_infosparticip!AH242</f>
        <v/>
      </c>
      <c r="D243" t="str">
        <f>gescon_infosparticip!AI242</f>
        <v/>
      </c>
      <c r="E243" t="str">
        <f>gescon_infosparticip!AJ242</f>
        <v/>
      </c>
      <c r="F243" t="str">
        <f>gescon_infosparticip!AK242</f>
        <v/>
      </c>
      <c r="G243" t="str">
        <f>gescon_infosparticip!AL242</f>
        <v/>
      </c>
      <c r="H243" t="str">
        <f>gescon_infosparticip!AM242</f>
        <v/>
      </c>
      <c r="I243" t="str">
        <f>gescon_infosparticip!AN242</f>
        <v/>
      </c>
      <c r="J243" t="str">
        <f>gescon_infosparticip!AO242</f>
        <v/>
      </c>
      <c r="K243" t="str">
        <f>gescon_infosparticip!AP242</f>
        <v/>
      </c>
      <c r="L243" t="str">
        <f>gescon_infosparticip!AQ242</f>
        <v/>
      </c>
      <c r="M243">
        <f>gescon_infosparticip!BA242</f>
        <v>0</v>
      </c>
      <c r="N243">
        <f>gescon_infosparticip!BB242</f>
        <v>0</v>
      </c>
      <c r="O243">
        <f>gescon_infosparticip!BC242</f>
        <v>0</v>
      </c>
      <c r="P243">
        <f>gescon_infosparticip!BD242</f>
        <v>0</v>
      </c>
      <c r="Q243">
        <f>gescon_infosparticip!BE242</f>
        <v>0</v>
      </c>
      <c r="R243" t="str">
        <f>gescon_infosparticip!BF242</f>
        <v/>
      </c>
      <c r="S243" t="str">
        <f>gescon_infosparticip!BG242</f>
        <v/>
      </c>
      <c r="T243" t="str">
        <f>gescon_infosparticip!BH242</f>
        <v/>
      </c>
      <c r="U243" t="str">
        <f>gescon_infosparticip!BI242</f>
        <v/>
      </c>
      <c r="V243" t="str">
        <f>gescon_infosparticip!BJ242</f>
        <v/>
      </c>
      <c r="W243" t="str">
        <f>gescon_infosparticip!BK242</f>
        <v/>
      </c>
      <c r="X243" t="str">
        <f>gescon_infosparticip!BL242</f>
        <v/>
      </c>
      <c r="Y243" t="str">
        <f>gescon_infosparticip!BM242</f>
        <v/>
      </c>
    </row>
    <row r="244" spans="2:25" ht="15.75" customHeight="1" x14ac:dyDescent="0.25">
      <c r="B244">
        <f>gescon_infosparticip!A243</f>
        <v>2146189420</v>
      </c>
      <c r="C244" t="str">
        <f>gescon_infosparticip!AH243</f>
        <v>Ne mange pas seul. Surveillance.</v>
      </c>
      <c r="D244" t="str">
        <f>gescon_infosparticip!AI243</f>
        <v/>
      </c>
      <c r="E244" t="str">
        <f>gescon_infosparticip!AJ243</f>
        <v/>
      </c>
      <c r="F244" t="str">
        <f>gescon_infosparticip!AK243</f>
        <v/>
      </c>
      <c r="G244" t="str">
        <f>gescon_infosparticip!AL243</f>
        <v/>
      </c>
      <c r="H244" t="str">
        <f>gescon_infosparticip!AM243</f>
        <v/>
      </c>
      <c r="I244" t="str">
        <f>gescon_infosparticip!AN243</f>
        <v/>
      </c>
      <c r="J244" t="str">
        <f>gescon_infosparticip!AO243</f>
        <v/>
      </c>
      <c r="K244" t="str">
        <f>gescon_infosparticip!AP243</f>
        <v/>
      </c>
      <c r="L244" t="str">
        <f>gescon_infosparticip!AQ243</f>
        <v/>
      </c>
      <c r="M244">
        <f>gescon_infosparticip!BA243</f>
        <v>1309859639</v>
      </c>
      <c r="N244">
        <f>gescon_infosparticip!BB243</f>
        <v>0</v>
      </c>
      <c r="O244">
        <f>gescon_infosparticip!BC243</f>
        <v>0</v>
      </c>
      <c r="P244">
        <f>gescon_infosparticip!BD243</f>
        <v>0</v>
      </c>
      <c r="Q244">
        <f>gescon_infosparticip!BE243</f>
        <v>0</v>
      </c>
      <c r="R244" t="str">
        <f>gescon_infosparticip!BF243</f>
        <v/>
      </c>
      <c r="S244" t="str">
        <f>gescon_infosparticip!BG243</f>
        <v>Le soir peut faire des grosses crises et s'auto-mutiler ou mordre d'autres personnes (adultes ou enfants)</v>
      </c>
      <c r="T244" t="str">
        <f>gescon_infosparticip!BH243</f>
        <v>Autisme</v>
      </c>
      <c r="U244" t="str">
        <f>gescon_infosparticip!BI243</f>
        <v>Moyen</v>
      </c>
      <c r="V244" t="str">
        <f>gescon_infosparticip!BJ243</f>
        <v/>
      </c>
      <c r="W244" t="str">
        <f>gescon_infosparticip!BK243</f>
        <v/>
      </c>
      <c r="X244" t="str">
        <f>gescon_infosparticip!BL243</f>
        <v>Langé</v>
      </c>
      <c r="Y244" t="str">
        <f>gescon_infosparticip!BM243</f>
        <v/>
      </c>
    </row>
    <row r="245" spans="2:25" ht="15.75" customHeight="1" x14ac:dyDescent="0.25">
      <c r="B245">
        <f>gescon_infosparticip!A244</f>
        <v>2146189445</v>
      </c>
      <c r="C245" t="str">
        <f>gescon_infosparticip!AH244</f>
        <v/>
      </c>
      <c r="D245" t="str">
        <f>gescon_infosparticip!AI244</f>
        <v/>
      </c>
      <c r="E245" t="str">
        <f>gescon_infosparticip!AJ244</f>
        <v/>
      </c>
      <c r="F245" t="str">
        <f>gescon_infosparticip!AK244</f>
        <v/>
      </c>
      <c r="G245" t="str">
        <f>gescon_infosparticip!AL244</f>
        <v/>
      </c>
      <c r="H245" t="str">
        <f>gescon_infosparticip!AM244</f>
        <v/>
      </c>
      <c r="I245" t="str">
        <f>gescon_infosparticip!AN244</f>
        <v/>
      </c>
      <c r="J245" t="str">
        <f>gescon_infosparticip!AO244</f>
        <v/>
      </c>
      <c r="K245" t="str">
        <f>gescon_infosparticip!AP244</f>
        <v/>
      </c>
      <c r="L245" t="str">
        <f>gescon_infosparticip!AQ244</f>
        <v/>
      </c>
      <c r="M245">
        <f>gescon_infosparticip!BA244</f>
        <v>0</v>
      </c>
      <c r="N245">
        <f>gescon_infosparticip!BB244</f>
        <v>0</v>
      </c>
      <c r="O245">
        <f>gescon_infosparticip!BC244</f>
        <v>0</v>
      </c>
      <c r="P245">
        <f>gescon_infosparticip!BD244</f>
        <v>0</v>
      </c>
      <c r="Q245">
        <f>gescon_infosparticip!BE244</f>
        <v>0</v>
      </c>
      <c r="R245" t="str">
        <f>gescon_infosparticip!BF244</f>
        <v/>
      </c>
      <c r="S245" t="str">
        <f>gescon_infosparticip!BG244</f>
        <v/>
      </c>
      <c r="T245" t="str">
        <f>gescon_infosparticip!BH244</f>
        <v/>
      </c>
      <c r="U245" t="str">
        <f>gescon_infosparticip!BI244</f>
        <v/>
      </c>
      <c r="V245" t="str">
        <f>gescon_infosparticip!BJ244</f>
        <v/>
      </c>
      <c r="W245" t="str">
        <f>gescon_infosparticip!BK244</f>
        <v/>
      </c>
      <c r="X245" t="str">
        <f>gescon_infosparticip!BL244</f>
        <v/>
      </c>
      <c r="Y245" t="str">
        <f>gescon_infosparticip!BM244</f>
        <v/>
      </c>
    </row>
    <row r="246" spans="2:25" ht="15.75" customHeight="1" x14ac:dyDescent="0.25">
      <c r="B246">
        <f>gescon_infosparticip!A245</f>
        <v>2146189450</v>
      </c>
      <c r="C246" t="str">
        <f>gescon_infosparticip!AH245</f>
        <v>normal il se débrouille seul pour manger</v>
      </c>
      <c r="D246" t="str">
        <f>gescon_infosparticip!AI245</f>
        <v/>
      </c>
      <c r="E246" t="str">
        <f>gescon_infosparticip!AJ245</f>
        <v/>
      </c>
      <c r="F246" t="str">
        <f>gescon_infosparticip!AK245</f>
        <v/>
      </c>
      <c r="G246" t="str">
        <f>gescon_infosparticip!AL245</f>
        <v/>
      </c>
      <c r="H246" t="str">
        <f>gescon_infosparticip!AM245</f>
        <v/>
      </c>
      <c r="I246" t="str">
        <f>gescon_infosparticip!AN245</f>
        <v/>
      </c>
      <c r="J246" t="str">
        <f>gescon_infosparticip!AO245</f>
        <v/>
      </c>
      <c r="K246" t="str">
        <f>gescon_infosparticip!AP245</f>
        <v/>
      </c>
      <c r="L246" t="str">
        <f>gescon_infosparticip!AQ245</f>
        <v/>
      </c>
      <c r="M246">
        <f>gescon_infosparticip!BA245</f>
        <v>0</v>
      </c>
      <c r="N246">
        <f>gescon_infosparticip!BB245</f>
        <v>0</v>
      </c>
      <c r="O246">
        <f>gescon_infosparticip!BC245</f>
        <v>0</v>
      </c>
      <c r="P246">
        <f>gescon_infosparticip!BD245</f>
        <v>0</v>
      </c>
      <c r="Q246">
        <f>gescon_infosparticip!BE245</f>
        <v>0</v>
      </c>
      <c r="R246" t="str">
        <f>gescon_infosparticip!BF245</f>
        <v/>
      </c>
      <c r="S246" t="str">
        <f>gescon_infosparticip!BG245</f>
        <v>Distophie musculaire</v>
      </c>
      <c r="T246" t="str">
        <f>gescon_infosparticip!BH245</f>
        <v/>
      </c>
      <c r="U246" t="str">
        <f>gescon_infosparticip!BI245</f>
        <v>Faible</v>
      </c>
      <c r="V246" t="str">
        <f>gescon_infosparticip!BJ245</f>
        <v/>
      </c>
      <c r="W246" t="str">
        <f>gescon_infosparticip!BK245</f>
        <v>il peut faire sa douche et sa toilette seul</v>
      </c>
      <c r="X246" t="str">
        <f>gescon_infosparticip!BL245</f>
        <v>va seul</v>
      </c>
      <c r="Y246" t="str">
        <f>gescon_infosparticip!BM245</f>
        <v/>
      </c>
    </row>
    <row r="247" spans="2:25" ht="15.75" customHeight="1" x14ac:dyDescent="0.25">
      <c r="B247">
        <f>gescon_infosparticip!A246</f>
        <v>2146189461</v>
      </c>
      <c r="C247" t="str">
        <f>gescon_infosparticip!AH246</f>
        <v>################</v>
      </c>
      <c r="D247" t="str">
        <f>gescon_infosparticip!AI246</f>
        <v/>
      </c>
      <c r="E247" t="str">
        <f>gescon_infosparticip!AJ246</f>
        <v/>
      </c>
      <c r="F247" t="str">
        <f>gescon_infosparticip!AK246</f>
        <v>cacahuète et noisette</v>
      </c>
      <c r="G247" t="str">
        <f>gescon_infosparticip!AL246</f>
        <v/>
      </c>
      <c r="H247" t="str">
        <f>gescon_infosparticip!AM246</f>
        <v/>
      </c>
      <c r="I247" t="str">
        <f>gescon_infosparticip!AN246</f>
        <v/>
      </c>
      <c r="J247" t="str">
        <f>gescon_infosparticip!AO246</f>
        <v/>
      </c>
      <c r="K247" t="str">
        <f>gescon_infosparticip!AP246</f>
        <v/>
      </c>
      <c r="L247" t="str">
        <f>gescon_infosparticip!AQ246</f>
        <v/>
      </c>
      <c r="M247">
        <f>gescon_infosparticip!BA246</f>
        <v>0</v>
      </c>
      <c r="N247">
        <f>gescon_infosparticip!BB246</f>
        <v>0</v>
      </c>
      <c r="O247">
        <f>gescon_infosparticip!BC246</f>
        <v>0</v>
      </c>
      <c r="P247">
        <f>gescon_infosparticip!BD246</f>
        <v>0</v>
      </c>
      <c r="Q247">
        <f>gescon_infosparticip!BE246</f>
        <v>0</v>
      </c>
      <c r="R247" t="str">
        <f>gescon_infosparticip!BF246</f>
        <v/>
      </c>
      <c r="S247" t="str">
        <f>gescon_infosparticip!BG246</f>
        <v>trisomie 21</v>
      </c>
      <c r="T247" t="str">
        <f>gescon_infosparticip!BH246</f>
        <v/>
      </c>
      <c r="U247" t="str">
        <f>gescon_infosparticip!BI246</f>
        <v>Moyen</v>
      </c>
      <c r="V247" t="str">
        <f>gescon_infosparticip!BJ246</f>
        <v/>
      </c>
      <c r="W247" t="str">
        <f>gescon_infosparticip!BK246</f>
        <v>avec aide</v>
      </c>
      <c r="X247" t="str">
        <f>gescon_infosparticip!BL246</f>
        <v>################</v>
      </c>
      <c r="Y247" t="str">
        <f>gescon_infosparticip!BM246</f>
        <v/>
      </c>
    </row>
    <row r="248" spans="2:25" ht="15.75" customHeight="1" x14ac:dyDescent="0.25">
      <c r="B248">
        <f>gescon_infosparticip!A247</f>
        <v>2146189463</v>
      </c>
      <c r="C248" t="str">
        <f>gescon_infosparticip!AH247</f>
        <v>avec aide (couper)</v>
      </c>
      <c r="D248" t="str">
        <f>gescon_infosparticip!AI247</f>
        <v>mange de tout. Gros faible pour les désserts</v>
      </c>
      <c r="E248" t="str">
        <f>gescon_infosparticip!AJ247</f>
        <v>pas de régime particulier</v>
      </c>
      <c r="F248" t="str">
        <f>gescon_infosparticip!AK247</f>
        <v>Gazeuse</v>
      </c>
      <c r="G248" t="str">
        <f>gescon_infosparticip!AL247</f>
        <v/>
      </c>
      <c r="H248" t="str">
        <f>gescon_infosparticip!AM247</f>
        <v>se débrouille seul si verser dans le verre</v>
      </c>
      <c r="I248" t="str">
        <f>gescon_infosparticip!AN247</f>
        <v>thé froid et eau plate et 1/2 verre de vin aux repas. Bière limonade.</v>
      </c>
      <c r="J248" t="str">
        <f>gescon_infosparticip!AO247</f>
        <v/>
      </c>
      <c r="K248" t="str">
        <f>gescon_infosparticip!AP247</f>
        <v/>
      </c>
      <c r="L248" t="str">
        <f>gescon_infosparticip!AQ247</f>
        <v/>
      </c>
      <c r="M248">
        <f>gescon_infosparticip!BA247</f>
        <v>2146189464</v>
      </c>
      <c r="N248">
        <f>gescon_infosparticip!BB247</f>
        <v>2146189497</v>
      </c>
      <c r="O248">
        <f>gescon_infosparticip!BC247</f>
        <v>0</v>
      </c>
      <c r="P248">
        <f>gescon_infosparticip!BD247</f>
        <v>2146189025</v>
      </c>
      <c r="Q248">
        <f>gescon_infosparticip!BE247</f>
        <v>2146188982</v>
      </c>
      <c r="R248" t="str">
        <f>gescon_infosparticip!BF247</f>
        <v/>
      </c>
      <c r="S248" t="str">
        <f>gescon_infosparticip!BG247</f>
        <v>Hémiparésie côté droit</v>
      </c>
      <c r="T248" t="str">
        <f>gescon_infosparticip!BH247</f>
        <v>Yeux sensibles.lui mettre les lunettes de soleil dans son sac derrière la chaise roulante-Appliquer gouttes si nécessaire</v>
      </c>
      <c r="U248" t="str">
        <f>gescon_infosparticip!BI247</f>
        <v>Elevé</v>
      </c>
      <c r="V248" t="str">
        <f>gescon_infosparticip!BJ247</f>
        <v/>
      </c>
      <c r="W248" t="str">
        <f>gescon_infosparticip!BK247</f>
        <v>Pour le pied droit: le stimuler en maintenant la cheville par-dessous avec la main gauche et le tenir avec la main droit et faire aller la cheville en avant et en arrière pour la circulation sanguine. Ce pied doit porter des bas de contention et porter un atèle pour le maintien de sa cheville (lanière intérieur par trop serré et la lanière extérieur c'est pour le maintien). Attention de ne pas faire de plis. 
Il a besoin qu'on lui fasse la toilette soit sur une chaise percée pour la douche, soit une toilette au lit.Douche tous les jours.</v>
      </c>
      <c r="X248" t="str">
        <f>gescon_infosparticip!BL247</f>
        <v>il a une poche urinaire avec un condom. Pour les selles, il faut le mettre sur les toilette à sa demande. La nuit, il a un condom urinaire avec un slip adapté à usage unique. La journée il a des protections de taille L.</v>
      </c>
      <c r="Y248" t="str">
        <f>gescon_infosparticip!BM247</f>
        <v>être attentif.</v>
      </c>
    </row>
    <row r="249" spans="2:25" ht="15.75" customHeight="1" x14ac:dyDescent="0.25">
      <c r="B249">
        <f>gescon_infosparticip!A248</f>
        <v>2146189466</v>
      </c>
      <c r="C249" t="str">
        <f>gescon_infosparticip!AH248</f>
        <v>Péniel mange dans une assiette en plastique avec un antiglisse placé dessous. Il manque de petites quantités qui sont servies et coupées par l'adulte. Il mâche très bien les aliments et mange lentement. Son appétit varie en fonction des aliments qu'on lui présente. Lui donner le repas en guidance. Il peut manger assis sur une chaise, mais l'attacher avec une écharpe ou une ceinture pour éviter qu'il tombe et se blesse.</v>
      </c>
      <c r="D249" t="str">
        <f>gescon_infosparticip!AI248</f>
        <v>Pommes de terre, viande hachée, poulet, pizza, tortellinis,</v>
      </c>
      <c r="E249" t="str">
        <f>gescon_infosparticip!AJ248</f>
        <v/>
      </c>
      <c r="F249" t="str">
        <f>gescon_infosparticip!AK248</f>
        <v/>
      </c>
      <c r="G249" t="str">
        <f>gescon_infosparticip!AL248</f>
        <v/>
      </c>
      <c r="H249" t="str">
        <f>gescon_infosparticip!AM248</f>
        <v>Péniel boit dans un verre. Si l'on remarque que durant la journée, il n'a pas suffisamment mangé, lui donner un biberon de lait froid avec du sirop après le souper.</v>
      </c>
      <c r="I249" t="str">
        <f>gescon_infosparticip!AN248</f>
        <v>Au déjeuner, il aime le jus de pomme ou le cacao. Il aime le sirop</v>
      </c>
      <c r="J249" t="str">
        <f>gescon_infosparticip!AO248</f>
        <v/>
      </c>
      <c r="K249" t="str">
        <f>gescon_infosparticip!AP248</f>
        <v/>
      </c>
      <c r="L249" t="str">
        <f>gescon_infosparticip!AQ248</f>
        <v/>
      </c>
      <c r="M249">
        <f>gescon_infosparticip!BA248</f>
        <v>2146189468</v>
      </c>
      <c r="N249">
        <f>gescon_infosparticip!BB248</f>
        <v>0</v>
      </c>
      <c r="O249">
        <f>gescon_infosparticip!BC248</f>
        <v>0</v>
      </c>
      <c r="P249">
        <f>gescon_infosparticip!BD248</f>
        <v>0</v>
      </c>
      <c r="Q249">
        <f>gescon_infosparticip!BE248</f>
        <v>0</v>
      </c>
      <c r="R249" t="str">
        <f>gescon_infosparticip!BF248</f>
        <v/>
      </c>
      <c r="S249" t="str">
        <f>gescon_infosparticip!BG248</f>
        <v/>
      </c>
      <c r="T249" t="str">
        <f>gescon_infosparticip!BH248</f>
        <v>autisme</v>
      </c>
      <c r="U249" t="str">
        <f>gescon_infosparticip!BI248</f>
        <v>Moyen</v>
      </c>
      <c r="V249" t="str">
        <f>gescon_infosparticip!BJ248</f>
        <v>pas à ce jour</v>
      </c>
      <c r="W249" t="str">
        <f>gescon_infosparticip!BK248</f>
        <v>Essayer de lui faire les soins en guidance. Pour le brossage de dents,  Péniel est debout et se laisse brosser les dents par des moments variables.</v>
      </c>
      <c r="X249" t="str">
        <f>gescon_infosparticip!BL248</f>
        <v>il est langé jour et nuit. Après chaque change, le placer sur les toilettes quelques minutes afin qu'il puisse faire pipi</v>
      </c>
      <c r="Y249" t="str">
        <f>gescon_infosparticip!BM248</f>
        <v/>
      </c>
    </row>
    <row r="250" spans="2:25" ht="15.75" customHeight="1" x14ac:dyDescent="0.25">
      <c r="B250">
        <f>gescon_infosparticip!A249</f>
        <v>2146189469</v>
      </c>
      <c r="C250" t="str">
        <f>gescon_infosparticip!AH249</f>
        <v>de tout mais couper en petit morceaux. Le soir le faire manger à 18h30 pour qu'il puisse digérer avant le coucher</v>
      </c>
      <c r="D250" t="str">
        <f>gescon_infosparticip!AI249</f>
        <v/>
      </c>
      <c r="E250" t="str">
        <f>gescon_infosparticip!AJ249</f>
        <v>disoocié pour éviter la prise de poids</v>
      </c>
      <c r="F250" t="str">
        <f>gescon_infosparticip!AK249</f>
        <v>poison faire très attention avec les arêtes</v>
      </c>
      <c r="G250" t="str">
        <f>gescon_infosparticip!AL249</f>
        <v>sucreries non</v>
      </c>
      <c r="H250" t="str">
        <f>gescon_infosparticip!AM249</f>
        <v>eau, tisanes</v>
      </c>
      <c r="I250" t="str">
        <f>gescon_infosparticip!AN249</f>
        <v/>
      </c>
      <c r="J250" t="str">
        <f>gescon_infosparticip!AO249</f>
        <v>pas qu'il ne mange trop. Une assiette normal suffi.</v>
      </c>
      <c r="K250" t="str">
        <f>gescon_infosparticip!AP249</f>
        <v>tout ce qui est sucré</v>
      </c>
      <c r="L250" t="str">
        <f>gescon_infosparticip!AQ249</f>
        <v/>
      </c>
      <c r="M250">
        <f>gescon_infosparticip!BA249</f>
        <v>0</v>
      </c>
      <c r="N250">
        <f>gescon_infosparticip!BB249</f>
        <v>0</v>
      </c>
      <c r="O250">
        <f>gescon_infosparticip!BC249</f>
        <v>0</v>
      </c>
      <c r="P250">
        <f>gescon_infosparticip!BD249</f>
        <v>0</v>
      </c>
      <c r="Q250">
        <f>gescon_infosparticip!BE249</f>
        <v>0</v>
      </c>
      <c r="R250" t="str">
        <f>gescon_infosparticip!BF249</f>
        <v/>
      </c>
      <c r="S250" t="str">
        <f>gescon_infosparticip!BG249</f>
        <v>trisomie 21</v>
      </c>
      <c r="T250" t="str">
        <f>gescon_infosparticip!BH249</f>
        <v>il a une santé fragil. Il transpire facilement. Il faud donc être attentif à le lui changer les habits sous risque de bronchite.une fois par semaine il suis la physiothérapie, car il a une scoliaose.il faut l'accompagner. Ensuite le laiser seul evenir 45</v>
      </c>
      <c r="U250" t="str">
        <f>gescon_infosparticip!BI249</f>
        <v>Elevé</v>
      </c>
      <c r="V250" t="str">
        <f>gescon_infosparticip!BJ249</f>
        <v/>
      </c>
      <c r="W250" t="str">
        <f>gescon_infosparticip!BK249</f>
        <v>il est langer et vérifier régulièrement si il faut le changer. Risque de mycose dans les parties génitales. Donc être attentif pour bien les sécher. Le changer avant d'aller dormir le soir</v>
      </c>
      <c r="X250" t="str">
        <f>gescon_infosparticip!BL249</f>
        <v>langer et contrôler souvent et changer avant d'aller coucher le soir.</v>
      </c>
      <c r="Y250" t="str">
        <f>gescon_infosparticip!BM249</f>
        <v/>
      </c>
    </row>
    <row r="251" spans="2:25" ht="15.75" customHeight="1" x14ac:dyDescent="0.25">
      <c r="B251">
        <f>gescon_infosparticip!A250</f>
        <v>2146189471</v>
      </c>
      <c r="C251" t="str">
        <f>gescon_infosparticip!AH250</f>
        <v>Alfonso mange de tout en petite quantité. Il est autonomne, mais mange rapidement. Attention il à tendanve à donner sa nourriture au chien.</v>
      </c>
      <c r="D251" t="str">
        <f>gescon_infosparticip!AI250</f>
        <v/>
      </c>
      <c r="E251" t="str">
        <f>gescon_infosparticip!AJ250</f>
        <v/>
      </c>
      <c r="F251" t="str">
        <f>gescon_infosparticip!AK250</f>
        <v/>
      </c>
      <c r="G251" t="str">
        <f>gescon_infosparticip!AL250</f>
        <v/>
      </c>
      <c r="H251" t="str">
        <f>gescon_infosparticip!AM250</f>
        <v>Autonome</v>
      </c>
      <c r="I251" t="str">
        <f>gescon_infosparticip!AN250</f>
        <v>Eau</v>
      </c>
      <c r="J251" t="str">
        <f>gescon_infosparticip!AO250</f>
        <v/>
      </c>
      <c r="K251" t="str">
        <f>gescon_infosparticip!AP250</f>
        <v>Thé froid &amp; Boissons sucrées</v>
      </c>
      <c r="L251" t="str">
        <f>gescon_infosparticip!AQ250</f>
        <v/>
      </c>
      <c r="M251">
        <f>gescon_infosparticip!BA250</f>
        <v>2146189548</v>
      </c>
      <c r="N251">
        <f>gescon_infosparticip!BB250</f>
        <v>0</v>
      </c>
      <c r="O251">
        <f>gescon_infosparticip!BC250</f>
        <v>0</v>
      </c>
      <c r="P251">
        <f>gescon_infosparticip!BD250</f>
        <v>2146189275</v>
      </c>
      <c r="Q251">
        <f>gescon_infosparticip!BE250</f>
        <v>0</v>
      </c>
      <c r="R251" t="str">
        <f>gescon_infosparticip!BF250</f>
        <v>756.6086.8574.62</v>
      </c>
      <c r="S251" t="str">
        <f>gescon_infosparticip!BG250</f>
        <v>Autisme</v>
      </c>
      <c r="T251" t="str">
        <f>gescon_infosparticip!BH250</f>
        <v/>
      </c>
      <c r="U251" t="str">
        <f>gescon_infosparticip!BI250</f>
        <v/>
      </c>
      <c r="V251" t="str">
        <f>gescon_infosparticip!BJ250</f>
        <v>Aucune allergie.</v>
      </c>
      <c r="W251" t="str">
        <f>gescon_infosparticip!BK250</f>
        <v>Alfonso est autonomne.mais avec surveillance. (Attention,il ne gère pas la tempétature de l'eau)</v>
      </c>
      <c r="X251" t="str">
        <f>gescon_infosparticip!BL250</f>
        <v>Alfonso est autonomne , mais il faut lui rappeler de se laver les mains.</v>
      </c>
      <c r="Y251" t="str">
        <f>gescon_infosparticip!BM250</f>
        <v/>
      </c>
    </row>
    <row r="252" spans="2:25" ht="15.75" customHeight="1" x14ac:dyDescent="0.25">
      <c r="B252">
        <f>gescon_infosparticip!A251</f>
        <v>2146189475</v>
      </c>
      <c r="C252" t="str">
        <f>gescon_infosparticip!AH251</f>
        <v>Difficultés pour manger certains aliments (joue ou lance la nourriture s'il est agité)</v>
      </c>
      <c r="D252" t="str">
        <f>gescon_infosparticip!AI251</f>
        <v>les choses sucrées</v>
      </c>
      <c r="E252" t="str">
        <f>gescon_infosparticip!AJ251</f>
        <v/>
      </c>
      <c r="F252" t="str">
        <f>gescon_infosparticip!AK251</f>
        <v/>
      </c>
      <c r="G252" t="str">
        <f>gescon_infosparticip!AL251</f>
        <v/>
      </c>
      <c r="H252" t="str">
        <f>gescon_infosparticip!AM251</f>
        <v/>
      </c>
      <c r="I252" t="str">
        <f>gescon_infosparticip!AN251</f>
        <v/>
      </c>
      <c r="J252" t="str">
        <f>gescon_infosparticip!AO251</f>
        <v/>
      </c>
      <c r="K252" t="str">
        <f>gescon_infosparticip!AP251</f>
        <v/>
      </c>
      <c r="L252" t="str">
        <f>gescon_infosparticip!AQ251</f>
        <v/>
      </c>
      <c r="M252">
        <f>gescon_infosparticip!BA251</f>
        <v>2146189468</v>
      </c>
      <c r="N252">
        <f>gescon_infosparticip!BB251</f>
        <v>0</v>
      </c>
      <c r="O252">
        <f>gescon_infosparticip!BC251</f>
        <v>0</v>
      </c>
      <c r="P252">
        <f>gescon_infosparticip!BD251</f>
        <v>0</v>
      </c>
      <c r="Q252">
        <f>gescon_infosparticip!BE251</f>
        <v>0</v>
      </c>
      <c r="R252" t="str">
        <f>gescon_infosparticip!BF251</f>
        <v/>
      </c>
      <c r="S252" t="str">
        <f>gescon_infosparticip!BG251</f>
        <v>autisme</v>
      </c>
      <c r="T252" t="str">
        <f>gescon_infosparticip!BH251</f>
        <v/>
      </c>
      <c r="U252" t="str">
        <f>gescon_infosparticip!BI251</f>
        <v>Moyen</v>
      </c>
      <c r="V252" t="str">
        <f>gescon_infosparticip!BJ251</f>
        <v>pas à ce jour</v>
      </c>
      <c r="W252" t="str">
        <f>gescon_infosparticip!BK251</f>
        <v>Peniel est langé jour et nuit. Lors des moments de change, il est capable de faire pipi sur les toilettes avec un réducteur.</v>
      </c>
      <c r="X252" t="str">
        <f>gescon_infosparticip!BL251</f>
        <v/>
      </c>
      <c r="Y252" t="str">
        <f>gescon_infosparticip!BM251</f>
        <v/>
      </c>
    </row>
    <row r="253" spans="2:25" ht="15.75" customHeight="1" x14ac:dyDescent="0.25">
      <c r="B253">
        <f>gescon_infosparticip!A252</f>
        <v>2146189476</v>
      </c>
      <c r="C253" t="str">
        <f>gescon_infosparticip!AH252</f>
        <v/>
      </c>
      <c r="D253" t="str">
        <f>gescon_infosparticip!AI252</f>
        <v/>
      </c>
      <c r="E253" t="str">
        <f>gescon_infosparticip!AJ252</f>
        <v/>
      </c>
      <c r="F253" t="str">
        <f>gescon_infosparticip!AK252</f>
        <v/>
      </c>
      <c r="G253" t="str">
        <f>gescon_infosparticip!AL252</f>
        <v/>
      </c>
      <c r="H253" t="str">
        <f>gescon_infosparticip!AM252</f>
        <v/>
      </c>
      <c r="I253" t="str">
        <f>gescon_infosparticip!AN252</f>
        <v/>
      </c>
      <c r="J253" t="str">
        <f>gescon_infosparticip!AO252</f>
        <v/>
      </c>
      <c r="K253" t="str">
        <f>gescon_infosparticip!AP252</f>
        <v/>
      </c>
      <c r="L253" t="str">
        <f>gescon_infosparticip!AQ252</f>
        <v/>
      </c>
      <c r="M253">
        <f>gescon_infosparticip!BA252</f>
        <v>0</v>
      </c>
      <c r="N253">
        <f>gescon_infosparticip!BB252</f>
        <v>0</v>
      </c>
      <c r="O253">
        <f>gescon_infosparticip!BC252</f>
        <v>0</v>
      </c>
      <c r="P253">
        <f>gescon_infosparticip!BD252</f>
        <v>0</v>
      </c>
      <c r="Q253">
        <f>gescon_infosparticip!BE252</f>
        <v>0</v>
      </c>
      <c r="R253" t="str">
        <f>gescon_infosparticip!BF252</f>
        <v/>
      </c>
      <c r="S253" t="str">
        <f>gescon_infosparticip!BG252</f>
        <v>Syndrômepotocki-shaffer (maladie génétique rare)</v>
      </c>
      <c r="T253" t="str">
        <f>gescon_infosparticip!BH252</f>
        <v>retard mental, retard psychomoteur global</v>
      </c>
      <c r="U253" t="str">
        <f>gescon_infosparticip!BI252</f>
        <v>Moyen</v>
      </c>
      <c r="V253" t="str">
        <f>gescon_infosparticip!BJ252</f>
        <v/>
      </c>
      <c r="W253" t="str">
        <f>gescon_infosparticip!BK252</f>
        <v/>
      </c>
      <c r="X253" t="str">
        <f>gescon_infosparticip!BL252</f>
        <v>elle est langer en permanance</v>
      </c>
      <c r="Y253" t="str">
        <f>gescon_infosparticip!BM252</f>
        <v/>
      </c>
    </row>
    <row r="254" spans="2:25" ht="15.75" customHeight="1" x14ac:dyDescent="0.25">
      <c r="B254">
        <f>gescon_infosparticip!A253</f>
        <v>2146189477</v>
      </c>
      <c r="C254" t="str">
        <f>gescon_infosparticip!AH253</f>
        <v>Noelie a besoin d'aide pour boire et manger. Elle a besoin d'être constament surveillée car elle met tout à la bouche et elle n'a pas conscience es dangers.
Elle est très sensible aux bruits et aux sons. Elle a très vite peur lorsqu'il y a trop de bruits forts ou trop de monde, etc. 
Elle ne joue que très peu seul.</v>
      </c>
      <c r="D254" t="str">
        <f>gescon_infosparticip!AI253</f>
        <v/>
      </c>
      <c r="E254" t="str">
        <f>gescon_infosparticip!AJ253</f>
        <v/>
      </c>
      <c r="F254" t="str">
        <f>gescon_infosparticip!AK253</f>
        <v/>
      </c>
      <c r="G254" t="str">
        <f>gescon_infosparticip!AL253</f>
        <v/>
      </c>
      <c r="H254" t="str">
        <f>gescon_infosparticip!AM253</f>
        <v/>
      </c>
      <c r="I254" t="str">
        <f>gescon_infosparticip!AN253</f>
        <v/>
      </c>
      <c r="J254" t="str">
        <f>gescon_infosparticip!AO253</f>
        <v/>
      </c>
      <c r="K254" t="str">
        <f>gescon_infosparticip!AP253</f>
        <v/>
      </c>
      <c r="L254" t="str">
        <f>gescon_infosparticip!AQ253</f>
        <v/>
      </c>
      <c r="M254">
        <f>gescon_infosparticip!BA253</f>
        <v>0</v>
      </c>
      <c r="N254">
        <f>gescon_infosparticip!BB253</f>
        <v>0</v>
      </c>
      <c r="O254">
        <f>gescon_infosparticip!BC253</f>
        <v>0</v>
      </c>
      <c r="P254">
        <f>gescon_infosparticip!BD253</f>
        <v>0</v>
      </c>
      <c r="Q254">
        <f>gescon_infosparticip!BE253</f>
        <v>0</v>
      </c>
      <c r="R254" t="str">
        <f>gescon_infosparticip!BF253</f>
        <v/>
      </c>
      <c r="S254" t="str">
        <f>gescon_infosparticip!BG253</f>
        <v>Syndrôme Potocki-shaffer (maladie rare)</v>
      </c>
      <c r="T254" t="str">
        <f>gescon_infosparticip!BH253</f>
        <v>Retard mental / Retard psychomoteur Global</v>
      </c>
      <c r="U254" t="str">
        <f>gescon_infosparticip!BI253</f>
        <v>Moyen</v>
      </c>
      <c r="V254" t="str">
        <f>gescon_infosparticip!BJ253</f>
        <v/>
      </c>
      <c r="W254" t="str">
        <f>gescon_infosparticip!BK253</f>
        <v/>
      </c>
      <c r="X254" t="str">
        <f>gescon_infosparticip!BL253</f>
        <v/>
      </c>
      <c r="Y254" t="str">
        <f>gescon_infosparticip!BM253</f>
        <v/>
      </c>
    </row>
    <row r="255" spans="2:25" ht="15.75" customHeight="1" x14ac:dyDescent="0.25">
      <c r="B255">
        <f>gescon_infosparticip!A254</f>
        <v>2146189478</v>
      </c>
      <c r="C255" t="str">
        <f>gescon_infosparticip!AH254</f>
        <v>lui couper les aliments et l'encourager à utiliser les services et veiller à la propreter</v>
      </c>
      <c r="D255" t="str">
        <f>gescon_infosparticip!AI254</f>
        <v/>
      </c>
      <c r="E255" t="str">
        <f>gescon_infosparticip!AJ254</f>
        <v/>
      </c>
      <c r="F255" t="str">
        <f>gescon_infosparticip!AK254</f>
        <v/>
      </c>
      <c r="G255" t="str">
        <f>gescon_infosparticip!AL254</f>
        <v/>
      </c>
      <c r="H255" t="str">
        <f>gescon_infosparticip!AM254</f>
        <v/>
      </c>
      <c r="I255" t="str">
        <f>gescon_infosparticip!AN254</f>
        <v/>
      </c>
      <c r="J255" t="str">
        <f>gescon_infosparticip!AO254</f>
        <v/>
      </c>
      <c r="K255" t="str">
        <f>gescon_infosparticip!AP254</f>
        <v>sucre</v>
      </c>
      <c r="L255" t="str">
        <f>gescon_infosparticip!AQ254</f>
        <v/>
      </c>
      <c r="M255">
        <f>gescon_infosparticip!BA254</f>
        <v>107</v>
      </c>
      <c r="N255">
        <f>gescon_infosparticip!BB254</f>
        <v>0</v>
      </c>
      <c r="O255">
        <f>gescon_infosparticip!BC254</f>
        <v>0</v>
      </c>
      <c r="P255">
        <f>gescon_infosparticip!BD254</f>
        <v>0</v>
      </c>
      <c r="Q255">
        <f>gescon_infosparticip!BE254</f>
        <v>0</v>
      </c>
      <c r="R255" t="str">
        <f>gescon_infosparticip!BF254</f>
        <v/>
      </c>
      <c r="S255" t="str">
        <f>gescon_infosparticip!BG254</f>
        <v/>
      </c>
      <c r="T255" t="str">
        <f>gescon_infosparticip!BH254</f>
        <v/>
      </c>
      <c r="U255" t="str">
        <f>gescon_infosparticip!BI254</f>
        <v/>
      </c>
      <c r="V255" t="str">
        <f>gescon_infosparticip!BJ254</f>
        <v/>
      </c>
      <c r="W255" t="str">
        <f>gescon_infosparticip!BK254</f>
        <v/>
      </c>
      <c r="X255" t="str">
        <f>gescon_infosparticip!BL254</f>
        <v/>
      </c>
      <c r="Y255" t="str">
        <f>gescon_infosparticip!BM254</f>
        <v/>
      </c>
    </row>
    <row r="256" spans="2:25" ht="15.75" customHeight="1" x14ac:dyDescent="0.25">
      <c r="B256">
        <f>gescon_infosparticip!A255</f>
        <v>2146189479</v>
      </c>
      <c r="C256" t="str">
        <f>gescon_infosparticip!AH255</f>
        <v/>
      </c>
      <c r="D256" t="str">
        <f>gescon_infosparticip!AI255</f>
        <v/>
      </c>
      <c r="E256" t="str">
        <f>gescon_infosparticip!AJ255</f>
        <v/>
      </c>
      <c r="F256" t="str">
        <f>gescon_infosparticip!AK255</f>
        <v/>
      </c>
      <c r="G256" t="str">
        <f>gescon_infosparticip!AL255</f>
        <v/>
      </c>
      <c r="H256" t="str">
        <f>gescon_infosparticip!AM255</f>
        <v/>
      </c>
      <c r="I256" t="str">
        <f>gescon_infosparticip!AN255</f>
        <v/>
      </c>
      <c r="J256" t="str">
        <f>gescon_infosparticip!AO255</f>
        <v/>
      </c>
      <c r="K256" t="str">
        <f>gescon_infosparticip!AP255</f>
        <v/>
      </c>
      <c r="L256" t="str">
        <f>gescon_infosparticip!AQ255</f>
        <v/>
      </c>
      <c r="M256">
        <f>gescon_infosparticip!BA255</f>
        <v>0</v>
      </c>
      <c r="N256">
        <f>gescon_infosparticip!BB255</f>
        <v>0</v>
      </c>
      <c r="O256">
        <f>gescon_infosparticip!BC255</f>
        <v>0</v>
      </c>
      <c r="P256">
        <f>gescon_infosparticip!BD255</f>
        <v>0</v>
      </c>
      <c r="Q256">
        <f>gescon_infosparticip!BE255</f>
        <v>0</v>
      </c>
      <c r="R256" t="str">
        <f>gescon_infosparticip!BF255</f>
        <v/>
      </c>
      <c r="S256" t="str">
        <f>gescon_infosparticip!BG255</f>
        <v/>
      </c>
      <c r="T256" t="str">
        <f>gescon_infosparticip!BH255</f>
        <v/>
      </c>
      <c r="U256" t="str">
        <f>gescon_infosparticip!BI255</f>
        <v/>
      </c>
      <c r="V256" t="str">
        <f>gescon_infosparticip!BJ255</f>
        <v/>
      </c>
      <c r="W256" t="str">
        <f>gescon_infosparticip!BK255</f>
        <v/>
      </c>
      <c r="X256" t="str">
        <f>gescon_infosparticip!BL255</f>
        <v/>
      </c>
      <c r="Y256" t="str">
        <f>gescon_infosparticip!BM255</f>
        <v/>
      </c>
    </row>
    <row r="257" spans="2:25" ht="15.75" customHeight="1" x14ac:dyDescent="0.25">
      <c r="B257">
        <f>gescon_infosparticip!A256</f>
        <v>2146189481</v>
      </c>
      <c r="C257" t="str">
        <f>gescon_infosparticip!AH256</f>
        <v/>
      </c>
      <c r="D257" t="str">
        <f>gescon_infosparticip!AI256</f>
        <v/>
      </c>
      <c r="E257" t="str">
        <f>gescon_infosparticip!AJ256</f>
        <v/>
      </c>
      <c r="F257" t="str">
        <f>gescon_infosparticip!AK256</f>
        <v/>
      </c>
      <c r="G257" t="str">
        <f>gescon_infosparticip!AL256</f>
        <v/>
      </c>
      <c r="H257" t="str">
        <f>gescon_infosparticip!AM256</f>
        <v/>
      </c>
      <c r="I257" t="str">
        <f>gescon_infosparticip!AN256</f>
        <v/>
      </c>
      <c r="J257" t="str">
        <f>gescon_infosparticip!AO256</f>
        <v/>
      </c>
      <c r="K257" t="str">
        <f>gescon_infosparticip!AP256</f>
        <v/>
      </c>
      <c r="L257" t="str">
        <f>gescon_infosparticip!AQ256</f>
        <v/>
      </c>
      <c r="M257">
        <f>gescon_infosparticip!BA256</f>
        <v>0</v>
      </c>
      <c r="N257">
        <f>gescon_infosparticip!BB256</f>
        <v>0</v>
      </c>
      <c r="O257">
        <f>gescon_infosparticip!BC256</f>
        <v>0</v>
      </c>
      <c r="P257">
        <f>gescon_infosparticip!BD256</f>
        <v>0</v>
      </c>
      <c r="Q257">
        <f>gescon_infosparticip!BE256</f>
        <v>0</v>
      </c>
      <c r="R257" t="str">
        <f>gescon_infosparticip!BF256</f>
        <v/>
      </c>
      <c r="S257" t="str">
        <f>gescon_infosparticip!BG256</f>
        <v/>
      </c>
      <c r="T257" t="str">
        <f>gescon_infosparticip!BH256</f>
        <v/>
      </c>
      <c r="U257" t="str">
        <f>gescon_infosparticip!BI256</f>
        <v/>
      </c>
      <c r="V257" t="str">
        <f>gescon_infosparticip!BJ256</f>
        <v/>
      </c>
      <c r="W257" t="str">
        <f>gescon_infosparticip!BK256</f>
        <v/>
      </c>
      <c r="X257" t="str">
        <f>gescon_infosparticip!BL256</f>
        <v/>
      </c>
      <c r="Y257" t="str">
        <f>gescon_infosparticip!BM256</f>
        <v/>
      </c>
    </row>
    <row r="258" spans="2:25" ht="15.75" customHeight="1" x14ac:dyDescent="0.25">
      <c r="B258">
        <f>gescon_infosparticip!A257</f>
        <v>2146189492</v>
      </c>
      <c r="C258" t="str">
        <f>gescon_infosparticip!AH257</f>
        <v/>
      </c>
      <c r="D258" t="str">
        <f>gescon_infosparticip!AI257</f>
        <v/>
      </c>
      <c r="E258" t="str">
        <f>gescon_infosparticip!AJ257</f>
        <v/>
      </c>
      <c r="F258" t="str">
        <f>gescon_infosparticip!AK257</f>
        <v/>
      </c>
      <c r="G258" t="str">
        <f>gescon_infosparticip!AL257</f>
        <v/>
      </c>
      <c r="H258" t="str">
        <f>gescon_infosparticip!AM257</f>
        <v/>
      </c>
      <c r="I258" t="str">
        <f>gescon_infosparticip!AN257</f>
        <v/>
      </c>
      <c r="J258" t="str">
        <f>gescon_infosparticip!AO257</f>
        <v/>
      </c>
      <c r="K258" t="str">
        <f>gescon_infosparticip!AP257</f>
        <v/>
      </c>
      <c r="L258" t="str">
        <f>gescon_infosparticip!AQ257</f>
        <v/>
      </c>
      <c r="M258">
        <f>gescon_infosparticip!BA257</f>
        <v>0</v>
      </c>
      <c r="N258">
        <f>gescon_infosparticip!BB257</f>
        <v>0</v>
      </c>
      <c r="O258">
        <f>gescon_infosparticip!BC257</f>
        <v>0</v>
      </c>
      <c r="P258">
        <f>gescon_infosparticip!BD257</f>
        <v>0</v>
      </c>
      <c r="Q258">
        <f>gescon_infosparticip!BE257</f>
        <v>0</v>
      </c>
      <c r="R258" t="str">
        <f>gescon_infosparticip!BF257</f>
        <v/>
      </c>
      <c r="S258" t="str">
        <f>gescon_infosparticip!BG257</f>
        <v/>
      </c>
      <c r="T258" t="str">
        <f>gescon_infosparticip!BH257</f>
        <v/>
      </c>
      <c r="U258" t="str">
        <f>gescon_infosparticip!BI257</f>
        <v/>
      </c>
      <c r="V258" t="str">
        <f>gescon_infosparticip!BJ257</f>
        <v/>
      </c>
      <c r="W258" t="str">
        <f>gescon_infosparticip!BK257</f>
        <v/>
      </c>
      <c r="X258" t="str">
        <f>gescon_infosparticip!BL257</f>
        <v/>
      </c>
      <c r="Y258" t="str">
        <f>gescon_infosparticip!BM257</f>
        <v/>
      </c>
    </row>
    <row r="259" spans="2:25" ht="15.75" customHeight="1" x14ac:dyDescent="0.25">
      <c r="B259">
        <f>gescon_infosparticip!A258</f>
        <v>2146189494</v>
      </c>
      <c r="C259" t="str">
        <f>gescon_infosparticip!AH258</f>
        <v>Autonome mais il ne faut pas le laisser manger devant la télé.Bien lui laisser du temps pour manger 20 à 25 minutes.</v>
      </c>
      <c r="D259" t="str">
        <f>gescon_infosparticip!AI258</f>
        <v>Lasagne</v>
      </c>
      <c r="E259" t="str">
        <f>gescon_infosparticip!AJ258</f>
        <v/>
      </c>
      <c r="F259" t="str">
        <f>gescon_infosparticip!AK258</f>
        <v>Chocolat et attention au mets trop sucrés.</v>
      </c>
      <c r="G259" t="str">
        <f>gescon_infosparticip!AL258</f>
        <v/>
      </c>
      <c r="H259" t="str">
        <f>gescon_infosparticip!AM258</f>
        <v>Autonome mais il faut lui rappeler de boire chaque deux heures environ. Il ne faut pas lui donner à boire durant le repas sinon il ne mange rien, lui donner après qu'il ait fini de manger</v>
      </c>
      <c r="I259" t="str">
        <f>gescon_infosparticip!AN258</f>
        <v>Il boit généralement de l'eau. Lors du goûter, il boit du jus ou du lait selon son désir.</v>
      </c>
      <c r="J259" t="str">
        <f>gescon_infosparticip!AO258</f>
        <v/>
      </c>
      <c r="K259" t="str">
        <f>gescon_infosparticip!AP258</f>
        <v>Le Coca et les boissons sucrées.</v>
      </c>
      <c r="L259" t="str">
        <f>gescon_infosparticip!AQ258</f>
        <v/>
      </c>
      <c r="M259">
        <f>gescon_infosparticip!BA258</f>
        <v>2146189536</v>
      </c>
      <c r="N259">
        <f>gescon_infosparticip!BB258</f>
        <v>0</v>
      </c>
      <c r="O259">
        <f>gescon_infosparticip!BC258</f>
        <v>0</v>
      </c>
      <c r="P259">
        <f>gescon_infosparticip!BD258</f>
        <v>2146188974</v>
      </c>
      <c r="Q259">
        <f>gescon_infosparticip!BE258</f>
        <v>0</v>
      </c>
      <c r="R259" t="str">
        <f>gescon_infosparticip!BF258</f>
        <v>283 997</v>
      </c>
      <c r="S259" t="str">
        <f>gescon_infosparticip!BG258</f>
        <v>Paralysie cérébral congénitales ) OIC 390)</v>
      </c>
      <c r="T259" t="str">
        <f>gescon_infosparticip!BH258</f>
        <v>Trouble de la motricité fine &amp; Hyper-Activité.</v>
      </c>
      <c r="U259" t="str">
        <f>gescon_infosparticip!BI258</f>
        <v>Moyen</v>
      </c>
      <c r="V259" t="str">
        <f>gescon_infosparticip!BJ258</f>
        <v/>
      </c>
      <c r="W259" t="str">
        <f>gescon_infosparticip!BK258</f>
        <v>Autonome</v>
      </c>
      <c r="X259" t="str">
        <f>gescon_infosparticip!BL258</f>
        <v>Autonome. Lui rappeler de bien se nettoyer s'il est pressé et de se laver les mains.</v>
      </c>
      <c r="Y259" t="str">
        <f>gescon_infosparticip!BM258</f>
        <v/>
      </c>
    </row>
    <row r="260" spans="2:25" ht="15.75" customHeight="1" x14ac:dyDescent="0.25">
      <c r="B260">
        <f>gescon_infosparticip!A259</f>
        <v>2146189495</v>
      </c>
      <c r="C260" t="str">
        <f>gescon_infosparticip!AH259</f>
        <v/>
      </c>
      <c r="D260" t="str">
        <f>gescon_infosparticip!AI259</f>
        <v/>
      </c>
      <c r="E260" t="str">
        <f>gescon_infosparticip!AJ259</f>
        <v/>
      </c>
      <c r="F260" t="str">
        <f>gescon_infosparticip!AK259</f>
        <v/>
      </c>
      <c r="G260" t="str">
        <f>gescon_infosparticip!AL259</f>
        <v/>
      </c>
      <c r="H260" t="str">
        <f>gescon_infosparticip!AM259</f>
        <v/>
      </c>
      <c r="I260" t="str">
        <f>gescon_infosparticip!AN259</f>
        <v/>
      </c>
      <c r="J260" t="str">
        <f>gescon_infosparticip!AO259</f>
        <v/>
      </c>
      <c r="K260" t="str">
        <f>gescon_infosparticip!AP259</f>
        <v/>
      </c>
      <c r="L260" t="str">
        <f>gescon_infosparticip!AQ259</f>
        <v/>
      </c>
      <c r="M260">
        <f>gescon_infosparticip!BA259</f>
        <v>107</v>
      </c>
      <c r="N260">
        <f>gescon_infosparticip!BB259</f>
        <v>0</v>
      </c>
      <c r="O260">
        <f>gescon_infosparticip!BC259</f>
        <v>0</v>
      </c>
      <c r="P260">
        <f>gescon_infosparticip!BD259</f>
        <v>2146188991</v>
      </c>
      <c r="Q260">
        <f>gescon_infosparticip!BE259</f>
        <v>0</v>
      </c>
      <c r="R260" t="str">
        <f>gescon_infosparticip!BF259</f>
        <v>177-58-081</v>
      </c>
      <c r="S260" t="str">
        <f>gescon_infosparticip!BG259</f>
        <v/>
      </c>
      <c r="T260" t="str">
        <f>gescon_infosparticip!BH259</f>
        <v/>
      </c>
      <c r="U260" t="str">
        <f>gescon_infosparticip!BI259</f>
        <v>Elevé</v>
      </c>
      <c r="V260" t="str">
        <f>gescon_infosparticip!BJ259</f>
        <v/>
      </c>
      <c r="W260" t="str">
        <f>gescon_infosparticip!BK259</f>
        <v/>
      </c>
      <c r="X260" t="str">
        <f>gescon_infosparticip!BL259</f>
        <v/>
      </c>
      <c r="Y260" t="str">
        <f>gescon_infosparticip!BM259</f>
        <v/>
      </c>
    </row>
    <row r="261" spans="2:25" ht="15.75" customHeight="1" x14ac:dyDescent="0.25">
      <c r="B261">
        <f>gescon_infosparticip!A260</f>
        <v>2146189498</v>
      </c>
      <c r="C261" t="str">
        <f>gescon_infosparticip!AH260</f>
        <v/>
      </c>
      <c r="D261" t="str">
        <f>gescon_infosparticip!AI260</f>
        <v/>
      </c>
      <c r="E261" t="str">
        <f>gescon_infosparticip!AJ260</f>
        <v/>
      </c>
      <c r="F261" t="str">
        <f>gescon_infosparticip!AK260</f>
        <v/>
      </c>
      <c r="G261" t="str">
        <f>gescon_infosparticip!AL260</f>
        <v/>
      </c>
      <c r="H261" t="str">
        <f>gescon_infosparticip!AM260</f>
        <v/>
      </c>
      <c r="I261" t="str">
        <f>gescon_infosparticip!AN260</f>
        <v/>
      </c>
      <c r="J261" t="str">
        <f>gescon_infosparticip!AO260</f>
        <v/>
      </c>
      <c r="K261" t="str">
        <f>gescon_infosparticip!AP260</f>
        <v/>
      </c>
      <c r="L261" t="str">
        <f>gescon_infosparticip!AQ260</f>
        <v/>
      </c>
      <c r="M261">
        <f>gescon_infosparticip!BA260</f>
        <v>0</v>
      </c>
      <c r="N261">
        <f>gescon_infosparticip!BB260</f>
        <v>0</v>
      </c>
      <c r="O261">
        <f>gescon_infosparticip!BC260</f>
        <v>0</v>
      </c>
      <c r="P261">
        <f>gescon_infosparticip!BD260</f>
        <v>0</v>
      </c>
      <c r="Q261">
        <f>gescon_infosparticip!BE260</f>
        <v>0</v>
      </c>
      <c r="R261" t="str">
        <f>gescon_infosparticip!BF260</f>
        <v/>
      </c>
      <c r="S261" t="str">
        <f>gescon_infosparticip!BG260</f>
        <v/>
      </c>
      <c r="T261" t="str">
        <f>gescon_infosparticip!BH260</f>
        <v/>
      </c>
      <c r="U261" t="str">
        <f>gescon_infosparticip!BI260</f>
        <v/>
      </c>
      <c r="V261" t="str">
        <f>gescon_infosparticip!BJ260</f>
        <v/>
      </c>
      <c r="W261" t="str">
        <f>gescon_infosparticip!BK260</f>
        <v/>
      </c>
      <c r="X261" t="str">
        <f>gescon_infosparticip!BL260</f>
        <v/>
      </c>
      <c r="Y261" t="str">
        <f>gescon_infosparticip!BM260</f>
        <v/>
      </c>
    </row>
    <row r="262" spans="2:25" ht="15.75" customHeight="1" x14ac:dyDescent="0.25">
      <c r="B262">
        <f>gescon_infosparticip!A261</f>
        <v>2146189502</v>
      </c>
      <c r="C262" t="str">
        <f>gescon_infosparticip!AH261</f>
        <v>mixée
Jean-Guy mange seul avec une cuillère à dessert, son assiette est surélevée sur un plot en bois et il utilise aussi un bord d'assiette.  il faut l'inciter à faire des pauses afin de limiter les fausses-routes.</v>
      </c>
      <c r="D262" t="str">
        <f>gescon_infosparticip!AI261</f>
        <v/>
      </c>
      <c r="E262" t="str">
        <f>gescon_infosparticip!AJ261</f>
        <v>il apprécie les grosses portions/ l'encourager à manger calmement</v>
      </c>
      <c r="F262" t="str">
        <f>gescon_infosparticip!AK261</f>
        <v/>
      </c>
      <c r="G262" t="str">
        <f>gescon_infosparticip!AL261</f>
        <v/>
      </c>
      <c r="H262" t="str">
        <f>gescon_infosparticip!AM261</f>
        <v>Poudre à épaissir à mettre pour boire, 1 cuillère par verre. Il boit seul, il faut l'inciter à faire des pauses afin de limiter les fausses-routes.</v>
      </c>
      <c r="I262" t="str">
        <f>gescon_infosparticip!AN261</f>
        <v/>
      </c>
      <c r="J262" t="str">
        <f>gescon_infosparticip!AO261</f>
        <v/>
      </c>
      <c r="K262" t="str">
        <f>gescon_infosparticip!AP261</f>
        <v/>
      </c>
      <c r="L262" t="str">
        <f>gescon_infosparticip!AQ261</f>
        <v/>
      </c>
      <c r="M262">
        <f>gescon_infosparticip!BA261</f>
        <v>0</v>
      </c>
      <c r="N262">
        <f>gescon_infosparticip!BB261</f>
        <v>0</v>
      </c>
      <c r="O262">
        <f>gescon_infosparticip!BC261</f>
        <v>0</v>
      </c>
      <c r="P262">
        <f>gescon_infosparticip!BD261</f>
        <v>0</v>
      </c>
      <c r="Q262">
        <f>gescon_infosparticip!BE261</f>
        <v>0</v>
      </c>
      <c r="R262" t="str">
        <f>gescon_infosparticip!BF261</f>
        <v/>
      </c>
      <c r="S262" t="str">
        <f>gescon_infosparticip!BG261</f>
        <v/>
      </c>
      <c r="T262" t="str">
        <f>gescon_infosparticip!BH261</f>
        <v>Retard mental grave avec syndrome autistique et trouble du comportement</v>
      </c>
      <c r="U262" t="str">
        <f>gescon_infosparticip!BI261</f>
        <v>Elevé</v>
      </c>
      <c r="V262" t="str">
        <f>gescon_infosparticip!BJ261</f>
        <v>Jean-Guy est allergique à la pénicilline</v>
      </c>
      <c r="W262" t="str">
        <f>gescon_infosparticip!BK261</f>
        <v>Jean-Guy est incontinent</v>
      </c>
      <c r="X262" t="str">
        <f>gescon_infosparticip!BL261</f>
        <v/>
      </c>
      <c r="Y262" t="str">
        <f>gescon_infosparticip!BM261</f>
        <v/>
      </c>
    </row>
    <row r="263" spans="2:25" ht="15.75" customHeight="1" x14ac:dyDescent="0.25">
      <c r="B263">
        <f>gescon_infosparticip!A262</f>
        <v>2146189504</v>
      </c>
      <c r="C263" t="str">
        <f>gescon_infosparticip!AH262</f>
        <v/>
      </c>
      <c r="D263" t="str">
        <f>gescon_infosparticip!AI262</f>
        <v/>
      </c>
      <c r="E263" t="str">
        <f>gescon_infosparticip!AJ262</f>
        <v/>
      </c>
      <c r="F263" t="str">
        <f>gescon_infosparticip!AK262</f>
        <v>pas de viande rouge et peu de porc</v>
      </c>
      <c r="G263" t="str">
        <f>gescon_infosparticip!AL262</f>
        <v>pas de sucrerie ou chocolat hors anniversaire. Pas de biscuits ni dessert. Sauf yoghourts ou fruit</v>
      </c>
      <c r="H263" t="str">
        <f>gescon_infosparticip!AM262</f>
        <v/>
      </c>
      <c r="I263" t="str">
        <f>gescon_infosparticip!AN262</f>
        <v/>
      </c>
      <c r="J263" t="str">
        <f>gescon_infosparticip!AO262</f>
        <v/>
      </c>
      <c r="K263" t="str">
        <f>gescon_infosparticip!AP262</f>
        <v>Boisson Gazeuze</v>
      </c>
      <c r="L263" t="str">
        <f>gescon_infosparticip!AQ262</f>
        <v/>
      </c>
      <c r="M263">
        <f>gescon_infosparticip!BA262</f>
        <v>0</v>
      </c>
      <c r="N263">
        <f>gescon_infosparticip!BB262</f>
        <v>0</v>
      </c>
      <c r="O263">
        <f>gescon_infosparticip!BC262</f>
        <v>0</v>
      </c>
      <c r="P263">
        <f>gescon_infosparticip!BD262</f>
        <v>0</v>
      </c>
      <c r="Q263">
        <f>gescon_infosparticip!BE262</f>
        <v>0</v>
      </c>
      <c r="R263" t="str">
        <f>gescon_infosparticip!BF262</f>
        <v/>
      </c>
      <c r="S263" t="str">
        <f>gescon_infosparticip!BG262</f>
        <v>opéré du cœur à 7 mois = traitement préventif ne cas d'opération</v>
      </c>
      <c r="T263" t="str">
        <f>gescon_infosparticip!BH262</f>
        <v/>
      </c>
      <c r="U263" t="str">
        <f>gescon_infosparticip!BI262</f>
        <v>Faible</v>
      </c>
      <c r="V263" t="str">
        <f>gescon_infosparticip!BJ262</f>
        <v/>
      </c>
      <c r="W263" t="str">
        <f>gescon_infosparticip!BK262</f>
        <v>l'accompagner pour tout les actes de la vie en général</v>
      </c>
      <c r="X263" t="str">
        <f>gescon_infosparticip!BL262</f>
        <v>la nuit elle est langée et le jour pas. Il faut l'amener au toilette régulièrement.</v>
      </c>
      <c r="Y263" t="str">
        <f>gescon_infosparticip!BM262</f>
        <v/>
      </c>
    </row>
    <row r="264" spans="2:25" ht="15.75" customHeight="1" x14ac:dyDescent="0.25">
      <c r="B264">
        <f>gescon_infosparticip!A263</f>
        <v>2146189510</v>
      </c>
      <c r="C264" t="str">
        <f>gescon_infosparticip!AH263</f>
        <v/>
      </c>
      <c r="D264" t="str">
        <f>gescon_infosparticip!AI263</f>
        <v/>
      </c>
      <c r="E264" t="str">
        <f>gescon_infosparticip!AJ263</f>
        <v/>
      </c>
      <c r="F264" t="str">
        <f>gescon_infosparticip!AK263</f>
        <v/>
      </c>
      <c r="G264" t="str">
        <f>gescon_infosparticip!AL263</f>
        <v/>
      </c>
      <c r="H264" t="str">
        <f>gescon_infosparticip!AM263</f>
        <v/>
      </c>
      <c r="I264" t="str">
        <f>gescon_infosparticip!AN263</f>
        <v/>
      </c>
      <c r="J264" t="str">
        <f>gescon_infosparticip!AO263</f>
        <v/>
      </c>
      <c r="K264" t="str">
        <f>gescon_infosparticip!AP263</f>
        <v/>
      </c>
      <c r="L264" t="str">
        <f>gescon_infosparticip!AQ263</f>
        <v/>
      </c>
      <c r="M264">
        <f>gescon_infosparticip!BA263</f>
        <v>0</v>
      </c>
      <c r="N264">
        <f>gescon_infosparticip!BB263</f>
        <v>0</v>
      </c>
      <c r="O264">
        <f>gescon_infosparticip!BC263</f>
        <v>0</v>
      </c>
      <c r="P264">
        <f>gescon_infosparticip!BD263</f>
        <v>0</v>
      </c>
      <c r="Q264">
        <f>gescon_infosparticip!BE263</f>
        <v>0</v>
      </c>
      <c r="R264" t="str">
        <f>gescon_infosparticip!BF263</f>
        <v/>
      </c>
      <c r="S264" t="str">
        <f>gescon_infosparticip!BG263</f>
        <v/>
      </c>
      <c r="T264" t="str">
        <f>gescon_infosparticip!BH263</f>
        <v/>
      </c>
      <c r="U264" t="str">
        <f>gescon_infosparticip!BI263</f>
        <v/>
      </c>
      <c r="V264" t="str">
        <f>gescon_infosparticip!BJ263</f>
        <v/>
      </c>
      <c r="W264" t="str">
        <f>gescon_infosparticip!BK263</f>
        <v/>
      </c>
      <c r="X264" t="str">
        <f>gescon_infosparticip!BL263</f>
        <v/>
      </c>
      <c r="Y264" t="str">
        <f>gescon_infosparticip!BM263</f>
        <v/>
      </c>
    </row>
    <row r="265" spans="2:25" ht="15.75" customHeight="1" x14ac:dyDescent="0.25">
      <c r="B265">
        <f>gescon_infosparticip!A264</f>
        <v>2146189512</v>
      </c>
      <c r="C265" t="str">
        <f>gescon_infosparticip!AH264</f>
        <v>Il mange mixé. Lui donner à manger avec une cuillère à café et redresser sa chaise.</v>
      </c>
      <c r="D265" t="str">
        <f>gescon_infosparticip!AI264</f>
        <v>Il adore la soupe</v>
      </c>
      <c r="E265" t="str">
        <f>gescon_infosparticip!AJ264</f>
        <v/>
      </c>
      <c r="F265" t="str">
        <f>gescon_infosparticip!AK264</f>
        <v>Tout ce qui est piquant.</v>
      </c>
      <c r="G265" t="str">
        <f>gescon_infosparticip!AL264</f>
        <v/>
      </c>
      <c r="H265" t="str">
        <f>gescon_infosparticip!AM264</f>
        <v>Boit dans un biberon</v>
      </c>
      <c r="I265" t="str">
        <f>gescon_infosparticip!AN264</f>
        <v>Il aime le sirop avec de l'eau tiède, le cacao tiède ou le lait tiède avec du miel.</v>
      </c>
      <c r="J265" t="str">
        <f>gescon_infosparticip!AO264</f>
        <v/>
      </c>
      <c r="K265" t="str">
        <f>gescon_infosparticip!AP264</f>
        <v/>
      </c>
      <c r="L265" t="str">
        <f>gescon_infosparticip!AQ264</f>
        <v/>
      </c>
      <c r="M265">
        <f>gescon_infosparticip!BA264</f>
        <v>107</v>
      </c>
      <c r="N265">
        <f>gescon_infosparticip!BB264</f>
        <v>2152</v>
      </c>
      <c r="O265">
        <f>gescon_infosparticip!BC264</f>
        <v>0</v>
      </c>
      <c r="P265">
        <f>gescon_infosparticip!BD264</f>
        <v>2146188985</v>
      </c>
      <c r="Q265">
        <f>gescon_infosparticip!BE264</f>
        <v>0</v>
      </c>
      <c r="R265" t="str">
        <f>gescon_infosparticip!BF264</f>
        <v>88015529</v>
      </c>
      <c r="S265" t="str">
        <f>gescon_infosparticip!BG264</f>
        <v>IMC</v>
      </c>
      <c r="T265" t="str">
        <f>gescon_infosparticip!BH264</f>
        <v>Retard mental</v>
      </c>
      <c r="U265" t="str">
        <f>gescon_infosparticip!BI264</f>
        <v/>
      </c>
      <c r="V265" t="str">
        <f>gescon_infosparticip!BJ264</f>
        <v/>
      </c>
      <c r="W265" t="str">
        <f>gescon_infosparticip!BK264</f>
        <v>douche sur le lit douche. Yahor aime bien être baigné. Aide totale.</v>
      </c>
      <c r="X265" t="str">
        <f>gescon_infosparticip!BL264</f>
        <v>Yahor est langé jour et nuit! Nous pouvons essayer de le mettre sur la chaise percée si elle est adaptée pour lui.</v>
      </c>
      <c r="Y265" t="str">
        <f>gescon_infosparticip!BM264</f>
        <v/>
      </c>
    </row>
    <row r="266" spans="2:25" ht="15.75" customHeight="1" x14ac:dyDescent="0.25">
      <c r="B266">
        <f>gescon_infosparticip!A265</f>
        <v>2146189529</v>
      </c>
      <c r="C266" t="str">
        <f>gescon_infosparticip!AH265</f>
        <v>Alycia est alimentée par sonde. 150 ml de frébini 300m/h avec la pompe. (peg) matin, midi et soir avec la pompe et le sachet alimentaire. Donner de l'eau 3x/jours 150ml
Prend environs 30 min pour le repas trois fois limentation avec les sachet pour la boisson. On peut l'alimenter durant les transports ou en déplacement sur la chaise.</v>
      </c>
      <c r="D266" t="str">
        <f>gescon_infosparticip!AI265</f>
        <v>Léanne aime bien manger à la cuillère de la compote et des petits gervais.</v>
      </c>
      <c r="E266" t="str">
        <f>gescon_infosparticip!AJ265</f>
        <v/>
      </c>
      <c r="F266" t="str">
        <f>gescon_infosparticip!AK265</f>
        <v/>
      </c>
      <c r="G266" t="str">
        <f>gescon_infosparticip!AL265</f>
        <v/>
      </c>
      <c r="H266" t="str">
        <f>gescon_infosparticip!AM265</f>
        <v/>
      </c>
      <c r="I266" t="str">
        <f>gescon_infosparticip!AN265</f>
        <v/>
      </c>
      <c r="J266" t="str">
        <f>gescon_infosparticip!AO265</f>
        <v/>
      </c>
      <c r="K266" t="str">
        <f>gescon_infosparticip!AP265</f>
        <v/>
      </c>
      <c r="L266" t="str">
        <f>gescon_infosparticip!AQ265</f>
        <v/>
      </c>
      <c r="M266">
        <f>gescon_infosparticip!BA265</f>
        <v>226884306</v>
      </c>
      <c r="N266">
        <f>gescon_infosparticip!BB265</f>
        <v>0</v>
      </c>
      <c r="O266">
        <f>gescon_infosparticip!BC265</f>
        <v>0</v>
      </c>
      <c r="P266">
        <f>gescon_infosparticip!BD265</f>
        <v>2146189019</v>
      </c>
      <c r="Q266">
        <f>gescon_infosparticip!BE265</f>
        <v>0</v>
      </c>
      <c r="R266" t="str">
        <f>gescon_infosparticip!BF265</f>
        <v>012.08.19.501.4</v>
      </c>
      <c r="S266" t="str">
        <f>gescon_infosparticip!BG265</f>
        <v>Polyhandicap</v>
      </c>
      <c r="T266" t="str">
        <f>gescon_infosparticip!BH265</f>
        <v/>
      </c>
      <c r="U266" t="str">
        <f>gescon_infosparticip!BI265</f>
        <v/>
      </c>
      <c r="V266" t="str">
        <f>gescon_infosparticip!BJ265</f>
        <v/>
      </c>
      <c r="W266" t="str">
        <f>gescon_infosparticip!BK265</f>
        <v/>
      </c>
      <c r="X266" t="str">
        <f>gescon_infosparticip!BL265</f>
        <v>Changement de pampers 3x/j</v>
      </c>
      <c r="Y266" t="str">
        <f>gescon_infosparticip!BM265</f>
        <v/>
      </c>
    </row>
    <row r="267" spans="2:25" ht="15.75" customHeight="1" x14ac:dyDescent="0.25">
      <c r="B267">
        <f>gescon_infosparticip!A266</f>
        <v>2146189539</v>
      </c>
      <c r="C267" t="str">
        <f>gescon_infosparticip!AH266</f>
        <v>Il est autonome. 
A surveiller les aliments à cause de son poids.</v>
      </c>
      <c r="D267" t="str">
        <f>gescon_infosparticip!AI266</f>
        <v/>
      </c>
      <c r="E267" t="str">
        <f>gescon_infosparticip!AJ266</f>
        <v/>
      </c>
      <c r="F267" t="str">
        <f>gescon_infosparticip!AK266</f>
        <v/>
      </c>
      <c r="G267" t="str">
        <f>gescon_infosparticip!AL266</f>
        <v/>
      </c>
      <c r="H267" t="str">
        <f>gescon_infosparticip!AM266</f>
        <v/>
      </c>
      <c r="I267" t="str">
        <f>gescon_infosparticip!AN266</f>
        <v/>
      </c>
      <c r="J267" t="str">
        <f>gescon_infosparticip!AO266</f>
        <v/>
      </c>
      <c r="K267" t="str">
        <f>gescon_infosparticip!AP266</f>
        <v/>
      </c>
      <c r="L267" t="str">
        <f>gescon_infosparticip!AQ266</f>
        <v/>
      </c>
      <c r="M267">
        <f>gescon_infosparticip!BA266</f>
        <v>107</v>
      </c>
      <c r="N267">
        <f>gescon_infosparticip!BB266</f>
        <v>0</v>
      </c>
      <c r="O267">
        <f>gescon_infosparticip!BC266</f>
        <v>0</v>
      </c>
      <c r="P267">
        <f>gescon_infosparticip!BD266</f>
        <v>2146188985</v>
      </c>
      <c r="Q267">
        <f>gescon_infosparticip!BE266</f>
        <v>0</v>
      </c>
      <c r="R267" t="str">
        <f>gescon_infosparticip!BF266</f>
        <v>189-12-371</v>
      </c>
      <c r="S267" t="str">
        <f>gescon_infosparticip!BG266</f>
        <v>Pied Bot, Handicap mental.</v>
      </c>
      <c r="T267" t="str">
        <f>gescon_infosparticip!BH266</f>
        <v/>
      </c>
      <c r="U267" t="str">
        <f>gescon_infosparticip!BI266</f>
        <v/>
      </c>
      <c r="V267" t="str">
        <f>gescon_infosparticip!BJ266</f>
        <v>Non</v>
      </c>
      <c r="W267" t="str">
        <f>gescon_infosparticip!BK266</f>
        <v>Il est autonome, mais il faut contrôler en cas de selles</v>
      </c>
      <c r="X267" t="str">
        <f>gescon_infosparticip!BL266</f>
        <v/>
      </c>
      <c r="Y267" t="str">
        <f>gescon_infosparticip!BM266</f>
        <v/>
      </c>
    </row>
    <row r="268" spans="2:25" ht="15.75" customHeight="1" x14ac:dyDescent="0.25">
      <c r="B268">
        <f>gescon_infosparticip!A267</f>
        <v>2146189541</v>
      </c>
      <c r="C268" t="str">
        <f>gescon_infosparticip!AH267</f>
        <v>Autonomie pour les repas : assiette avec collerette, il porte à la bouche les aliments déjà coupés. S'il n'arrive pas seul, il faut l'aider.</v>
      </c>
      <c r="D268" t="str">
        <f>gescon_infosparticip!AI267</f>
        <v>Toujours lui demander ce qu'il souhaite</v>
      </c>
      <c r="E268" t="str">
        <f>gescon_infosparticip!AJ267</f>
        <v/>
      </c>
      <c r="F268" t="str">
        <f>gescon_infosparticip!AK267</f>
        <v>Alimentation trop riche en graisse, mais peut se permettre des écarts</v>
      </c>
      <c r="G268" t="str">
        <f>gescon_infosparticip!AL267</f>
        <v>Raclette 2x au maximum</v>
      </c>
      <c r="H268" t="str">
        <f>gescon_infosparticip!AM267</f>
        <v/>
      </c>
      <c r="I268" t="str">
        <f>gescon_infosparticip!AN267</f>
        <v/>
      </c>
      <c r="J268" t="str">
        <f>gescon_infosparticip!AO267</f>
        <v/>
      </c>
      <c r="K268" t="str">
        <f>gescon_infosparticip!AP267</f>
        <v/>
      </c>
      <c r="L268" t="str">
        <f>gescon_infosparticip!AQ267</f>
        <v/>
      </c>
      <c r="M268">
        <f>gescon_infosparticip!BA267</f>
        <v>2146189812</v>
      </c>
      <c r="N268">
        <f>gescon_infosparticip!BB267</f>
        <v>0</v>
      </c>
      <c r="O268">
        <f>gescon_infosparticip!BC267</f>
        <v>0</v>
      </c>
      <c r="P268">
        <f>gescon_infosparticip!BD267</f>
        <v>2146189010</v>
      </c>
      <c r="Q268">
        <f>gescon_infosparticip!BE267</f>
        <v>0</v>
      </c>
      <c r="R268" t="str">
        <f>gescon_infosparticip!BF267</f>
        <v>0882 457</v>
      </c>
      <c r="S268" t="str">
        <f>gescon_infosparticip!BG267</f>
        <v>TCC (traumatisme crânien)</v>
      </c>
      <c r="T268" t="str">
        <f>gescon_infosparticip!BH267</f>
        <v>Epilepsie</v>
      </c>
      <c r="U268" t="str">
        <f>gescon_infosparticip!BI267</f>
        <v>Elevé</v>
      </c>
      <c r="V268" t="str">
        <f>gescon_infosparticip!BJ267</f>
        <v/>
      </c>
      <c r="W268" t="str">
        <f>gescon_infosparticip!BK267</f>
        <v>Protection Tena confort tous les jours + condom (jour et nuit). Jour du supp. mettre une grande protection.</v>
      </c>
      <c r="X268" t="str">
        <f>gescon_infosparticip!BL267</f>
        <v>Ne tient pas seul sur les WC, mettre sur chaise-percée. Attention, il peut faire des malaises sur les WC. Prendre TA - allonger - surélever les membres inférieurs.</v>
      </c>
      <c r="Y268" t="str">
        <f>gescon_infosparticip!BM267</f>
        <v>Pansement de protection sur la cheville externe droite (Mépitex border) car il a un mouvement continu de frottement dans le lit et "brûle" cet endroit</v>
      </c>
    </row>
    <row r="269" spans="2:25" ht="15.75" customHeight="1" x14ac:dyDescent="0.25">
      <c r="B269">
        <f>gescon_infosparticip!A268</f>
        <v>2146189543</v>
      </c>
      <c r="C269" t="str">
        <f>gescon_infosparticip!AH268</f>
        <v/>
      </c>
      <c r="D269" t="str">
        <f>gescon_infosparticip!AI268</f>
        <v/>
      </c>
      <c r="E269" t="str">
        <f>gescon_infosparticip!AJ268</f>
        <v/>
      </c>
      <c r="F269" t="str">
        <f>gescon_infosparticip!AK268</f>
        <v/>
      </c>
      <c r="G269" t="str">
        <f>gescon_infosparticip!AL268</f>
        <v/>
      </c>
      <c r="H269" t="str">
        <f>gescon_infosparticip!AM268</f>
        <v/>
      </c>
      <c r="I269" t="str">
        <f>gescon_infosparticip!AN268</f>
        <v/>
      </c>
      <c r="J269" t="str">
        <f>gescon_infosparticip!AO268</f>
        <v/>
      </c>
      <c r="K269" t="str">
        <f>gescon_infosparticip!AP268</f>
        <v/>
      </c>
      <c r="L269" t="str">
        <f>gescon_infosparticip!AQ268</f>
        <v/>
      </c>
      <c r="M269">
        <f>gescon_infosparticip!BA268</f>
        <v>0</v>
      </c>
      <c r="N269">
        <f>gescon_infosparticip!BB268</f>
        <v>0</v>
      </c>
      <c r="O269">
        <f>gescon_infosparticip!BC268</f>
        <v>0</v>
      </c>
      <c r="P269">
        <f>gescon_infosparticip!BD268</f>
        <v>0</v>
      </c>
      <c r="Q269">
        <f>gescon_infosparticip!BE268</f>
        <v>0</v>
      </c>
      <c r="R269" t="str">
        <f>gescon_infosparticip!BF268</f>
        <v/>
      </c>
      <c r="S269" t="str">
        <f>gescon_infosparticip!BG268</f>
        <v/>
      </c>
      <c r="T269" t="str">
        <f>gescon_infosparticip!BH268</f>
        <v/>
      </c>
      <c r="U269" t="str">
        <f>gescon_infosparticip!BI268</f>
        <v/>
      </c>
      <c r="V269" t="str">
        <f>gescon_infosparticip!BJ268</f>
        <v/>
      </c>
      <c r="W269" t="str">
        <f>gescon_infosparticip!BK268</f>
        <v/>
      </c>
      <c r="X269" t="str">
        <f>gescon_infosparticip!BL268</f>
        <v/>
      </c>
      <c r="Y269" t="str">
        <f>gescon_infosparticip!BM268</f>
        <v/>
      </c>
    </row>
    <row r="270" spans="2:25" ht="15.75" customHeight="1" x14ac:dyDescent="0.25">
      <c r="B270">
        <f>gescon_infosparticip!A269</f>
        <v>2146189547</v>
      </c>
      <c r="C270" t="str">
        <f>gescon_infosparticip!AH269</f>
        <v/>
      </c>
      <c r="D270" t="str">
        <f>gescon_infosparticip!AI269</f>
        <v>Poulet, pâtes, frites, sauces,.. Mange de tout</v>
      </c>
      <c r="E270" t="str">
        <f>gescon_infosparticip!AJ269</f>
        <v/>
      </c>
      <c r="F270" t="str">
        <f>gescon_infosparticip!AK269</f>
        <v/>
      </c>
      <c r="G270" t="str">
        <f>gescon_infosparticip!AL269</f>
        <v/>
      </c>
      <c r="H270" t="str">
        <f>gescon_infosparticip!AM269</f>
        <v/>
      </c>
      <c r="I270" t="str">
        <f>gescon_infosparticip!AN269</f>
        <v>coca. Thé froid,..</v>
      </c>
      <c r="J270" t="str">
        <f>gescon_infosparticip!AO269</f>
        <v/>
      </c>
      <c r="K270" t="str">
        <f>gescon_infosparticip!AP269</f>
        <v>N'aime pas l'eau. Apprécie peu l'alcool</v>
      </c>
      <c r="L270" t="str">
        <f>gescon_infosparticip!AQ269</f>
        <v/>
      </c>
      <c r="M270">
        <f>gescon_infosparticip!BA269</f>
        <v>968</v>
      </c>
      <c r="N270">
        <f>gescon_infosparticip!BB269</f>
        <v>0</v>
      </c>
      <c r="O270">
        <f>gescon_infosparticip!BC269</f>
        <v>0</v>
      </c>
      <c r="P270">
        <f>gescon_infosparticip!BD269</f>
        <v>2146189005</v>
      </c>
      <c r="Q270">
        <f>gescon_infosparticip!BE269</f>
        <v>2146189005</v>
      </c>
      <c r="R270" t="str">
        <f>gescon_infosparticip!BF269</f>
        <v>326-02-423</v>
      </c>
      <c r="S270" t="str">
        <f>gescon_infosparticip!BG269</f>
        <v>difficultés d'apprentissage</v>
      </c>
      <c r="T270" t="str">
        <f>gescon_infosparticip!BH269</f>
        <v>difficultés de contacts</v>
      </c>
      <c r="U270" t="str">
        <f>gescon_infosparticip!BI269</f>
        <v>Moyen</v>
      </c>
      <c r="V270" t="str">
        <f>gescon_infosparticip!BJ269</f>
        <v/>
      </c>
      <c r="W270" t="str">
        <f>gescon_infosparticip!BK269</f>
        <v/>
      </c>
      <c r="X270" t="str">
        <f>gescon_infosparticip!BL269</f>
        <v>vérifier la propreté après le passage aux toilettes.</v>
      </c>
      <c r="Y270" t="str">
        <f>gescon_infosparticip!BM269</f>
        <v/>
      </c>
    </row>
    <row r="271" spans="2:25" ht="15.75" customHeight="1" x14ac:dyDescent="0.25">
      <c r="B271">
        <f>gescon_infosparticip!A270</f>
        <v>2146189550</v>
      </c>
      <c r="C271" t="str">
        <f>gescon_infosparticip!AH270</f>
        <v/>
      </c>
      <c r="D271" t="str">
        <f>gescon_infosparticip!AI270</f>
        <v/>
      </c>
      <c r="E271" t="str">
        <f>gescon_infosparticip!AJ270</f>
        <v/>
      </c>
      <c r="F271" t="str">
        <f>gescon_infosparticip!AK270</f>
        <v/>
      </c>
      <c r="G271" t="str">
        <f>gescon_infosparticip!AL270</f>
        <v/>
      </c>
      <c r="H271" t="str">
        <f>gescon_infosparticip!AM270</f>
        <v/>
      </c>
      <c r="I271" t="str">
        <f>gescon_infosparticip!AN270</f>
        <v/>
      </c>
      <c r="J271" t="str">
        <f>gescon_infosparticip!AO270</f>
        <v/>
      </c>
      <c r="K271" t="str">
        <f>gescon_infosparticip!AP270</f>
        <v/>
      </c>
      <c r="L271" t="str">
        <f>gescon_infosparticip!AQ270</f>
        <v/>
      </c>
      <c r="M271">
        <f>gescon_infosparticip!BA270</f>
        <v>2146189557</v>
      </c>
      <c r="N271">
        <f>gescon_infosparticip!BB270</f>
        <v>0</v>
      </c>
      <c r="O271">
        <f>gescon_infosparticip!BC270</f>
        <v>0</v>
      </c>
      <c r="P271">
        <f>gescon_infosparticip!BD270</f>
        <v>2146188985</v>
      </c>
      <c r="Q271">
        <f>gescon_infosparticip!BE270</f>
        <v>0</v>
      </c>
      <c r="R271" t="str">
        <f>gescon_infosparticip!BF270</f>
        <v>158.74.078</v>
      </c>
      <c r="S271" t="str">
        <f>gescon_infosparticip!BG270</f>
        <v/>
      </c>
      <c r="T271" t="str">
        <f>gescon_infosparticip!BH270</f>
        <v/>
      </c>
      <c r="U271" t="str">
        <f>gescon_infosparticip!BI270</f>
        <v/>
      </c>
      <c r="V271" t="str">
        <f>gescon_infosparticip!BJ270</f>
        <v/>
      </c>
      <c r="W271" t="str">
        <f>gescon_infosparticip!BK270</f>
        <v>Besoin d'aide</v>
      </c>
      <c r="X271" t="str">
        <f>gescon_infosparticip!BL270</f>
        <v>Elle a une sonde</v>
      </c>
      <c r="Y271" t="str">
        <f>gescon_infosparticip!BM270</f>
        <v/>
      </c>
    </row>
    <row r="272" spans="2:25" ht="15.75" customHeight="1" x14ac:dyDescent="0.25">
      <c r="B272">
        <f>gescon_infosparticip!A271</f>
        <v>2146189552</v>
      </c>
      <c r="C272" t="str">
        <f>gescon_infosparticip!AH271</f>
        <v>En cas d'uregence appeler au 027 327 29 12 Couper les aliments de trop grosses tailles.</v>
      </c>
      <c r="D272" t="str">
        <f>gescon_infosparticip!AI271</f>
        <v/>
      </c>
      <c r="E272" t="str">
        <f>gescon_infosparticip!AJ271</f>
        <v>-</v>
      </c>
      <c r="F272" t="str">
        <f>gescon_infosparticip!AK271</f>
        <v/>
      </c>
      <c r="G272" t="str">
        <f>gescon_infosparticip!AL271</f>
        <v/>
      </c>
      <c r="H272" t="str">
        <f>gescon_infosparticip!AM271</f>
        <v/>
      </c>
      <c r="I272" t="str">
        <f>gescon_infosparticip!AN271</f>
        <v/>
      </c>
      <c r="J272" t="str">
        <f>gescon_infosparticip!AO271</f>
        <v/>
      </c>
      <c r="K272" t="str">
        <f>gescon_infosparticip!AP271</f>
        <v/>
      </c>
      <c r="L272" t="str">
        <f>gescon_infosparticip!AQ271</f>
        <v/>
      </c>
      <c r="M272">
        <f>gescon_infosparticip!BA271</f>
        <v>0</v>
      </c>
      <c r="N272">
        <f>gescon_infosparticip!BB271</f>
        <v>0</v>
      </c>
      <c r="O272">
        <f>gescon_infosparticip!BC271</f>
        <v>0</v>
      </c>
      <c r="P272">
        <f>gescon_infosparticip!BD271</f>
        <v>2146188974</v>
      </c>
      <c r="Q272">
        <f>gescon_infosparticip!BE271</f>
        <v>0</v>
      </c>
      <c r="R272" t="str">
        <f>gescon_infosparticip!BF271</f>
        <v>1947451</v>
      </c>
      <c r="S272" t="str">
        <f>gescon_infosparticip!BG271</f>
        <v>IMC</v>
      </c>
      <c r="T272" t="str">
        <f>gescon_infosparticip!BH271</f>
        <v/>
      </c>
      <c r="U272" t="str">
        <f>gescon_infosparticip!BI271</f>
        <v/>
      </c>
      <c r="V272" t="str">
        <f>gescon_infosparticip!BJ271</f>
        <v/>
      </c>
      <c r="W272" t="str">
        <f>gescon_infosparticip!BK271</f>
        <v/>
      </c>
      <c r="X272" t="str">
        <f>gescon_infosparticip!BL271</f>
        <v/>
      </c>
      <c r="Y272" t="str">
        <f>gescon_infosparticip!BM271</f>
        <v/>
      </c>
    </row>
    <row r="273" spans="2:25" ht="15.75" customHeight="1" x14ac:dyDescent="0.25">
      <c r="B273">
        <f>gescon_infosparticip!A272</f>
        <v>2146189556</v>
      </c>
      <c r="C273" t="str">
        <f>gescon_infosparticip!AH272</f>
        <v/>
      </c>
      <c r="D273" t="str">
        <f>gescon_infosparticip!AI272</f>
        <v/>
      </c>
      <c r="E273" t="str">
        <f>gescon_infosparticip!AJ272</f>
        <v/>
      </c>
      <c r="F273" t="str">
        <f>gescon_infosparticip!AK272</f>
        <v/>
      </c>
      <c r="G273" t="str">
        <f>gescon_infosparticip!AL272</f>
        <v/>
      </c>
      <c r="H273" t="str">
        <f>gescon_infosparticip!AM272</f>
        <v/>
      </c>
      <c r="I273" t="str">
        <f>gescon_infosparticip!AN272</f>
        <v/>
      </c>
      <c r="J273" t="str">
        <f>gescon_infosparticip!AO272</f>
        <v/>
      </c>
      <c r="K273" t="str">
        <f>gescon_infosparticip!AP272</f>
        <v/>
      </c>
      <c r="L273" t="str">
        <f>gescon_infosparticip!AQ272</f>
        <v/>
      </c>
      <c r="M273">
        <f>gescon_infosparticip!BA272</f>
        <v>0</v>
      </c>
      <c r="N273">
        <f>gescon_infosparticip!BB272</f>
        <v>0</v>
      </c>
      <c r="O273">
        <f>gescon_infosparticip!BC272</f>
        <v>0</v>
      </c>
      <c r="P273">
        <f>gescon_infosparticip!BD272</f>
        <v>0</v>
      </c>
      <c r="Q273">
        <f>gescon_infosparticip!BE272</f>
        <v>0</v>
      </c>
      <c r="R273" t="str">
        <f>gescon_infosparticip!BF272</f>
        <v/>
      </c>
      <c r="S273" t="str">
        <f>gescon_infosparticip!BG272</f>
        <v/>
      </c>
      <c r="T273" t="str">
        <f>gescon_infosparticip!BH272</f>
        <v/>
      </c>
      <c r="U273" t="str">
        <f>gescon_infosparticip!BI272</f>
        <v/>
      </c>
      <c r="V273" t="str">
        <f>gescon_infosparticip!BJ272</f>
        <v/>
      </c>
      <c r="W273" t="str">
        <f>gescon_infosparticip!BK272</f>
        <v/>
      </c>
      <c r="X273" t="str">
        <f>gescon_infosparticip!BL272</f>
        <v/>
      </c>
      <c r="Y273" t="str">
        <f>gescon_infosparticip!BM272</f>
        <v/>
      </c>
    </row>
    <row r="274" spans="2:25" ht="15.75" customHeight="1" x14ac:dyDescent="0.25">
      <c r="B274">
        <f>gescon_infosparticip!A273</f>
        <v>2146189573</v>
      </c>
      <c r="C274" t="str">
        <f>gescon_infosparticip!AH273</f>
        <v/>
      </c>
      <c r="D274" t="str">
        <f>gescon_infosparticip!AI273</f>
        <v/>
      </c>
      <c r="E274" t="str">
        <f>gescon_infosparticip!AJ273</f>
        <v/>
      </c>
      <c r="F274" t="str">
        <f>gescon_infosparticip!AK273</f>
        <v/>
      </c>
      <c r="G274" t="str">
        <f>gescon_infosparticip!AL273</f>
        <v/>
      </c>
      <c r="H274" t="str">
        <f>gescon_infosparticip!AM273</f>
        <v/>
      </c>
      <c r="I274" t="str">
        <f>gescon_infosparticip!AN273</f>
        <v/>
      </c>
      <c r="J274" t="str">
        <f>gescon_infosparticip!AO273</f>
        <v/>
      </c>
      <c r="K274" t="str">
        <f>gescon_infosparticip!AP273</f>
        <v/>
      </c>
      <c r="L274" t="str">
        <f>gescon_infosparticip!AQ273</f>
        <v/>
      </c>
      <c r="M274">
        <f>gescon_infosparticip!BA273</f>
        <v>0</v>
      </c>
      <c r="N274">
        <f>gescon_infosparticip!BB273</f>
        <v>0</v>
      </c>
      <c r="O274">
        <f>gescon_infosparticip!BC273</f>
        <v>0</v>
      </c>
      <c r="P274">
        <f>gescon_infosparticip!BD273</f>
        <v>0</v>
      </c>
      <c r="Q274">
        <f>gescon_infosparticip!BE273</f>
        <v>0</v>
      </c>
      <c r="R274" t="str">
        <f>gescon_infosparticip!BF273</f>
        <v/>
      </c>
      <c r="S274" t="str">
        <f>gescon_infosparticip!BG273</f>
        <v/>
      </c>
      <c r="T274" t="str">
        <f>gescon_infosparticip!BH273</f>
        <v/>
      </c>
      <c r="U274" t="str">
        <f>gescon_infosparticip!BI273</f>
        <v/>
      </c>
      <c r="V274" t="str">
        <f>gescon_infosparticip!BJ273</f>
        <v/>
      </c>
      <c r="W274" t="str">
        <f>gescon_infosparticip!BK273</f>
        <v/>
      </c>
      <c r="X274" t="str">
        <f>gescon_infosparticip!BL273</f>
        <v/>
      </c>
      <c r="Y274" t="str">
        <f>gescon_infosparticip!BM273</f>
        <v/>
      </c>
    </row>
    <row r="275" spans="2:25" ht="15.75" customHeight="1" x14ac:dyDescent="0.25">
      <c r="B275">
        <f>gescon_infosparticip!A274</f>
        <v>2146189577</v>
      </c>
      <c r="C275" t="str">
        <f>gescon_infosparticip!AH274</f>
        <v>Autonome</v>
      </c>
      <c r="D275" t="str">
        <f>gescon_infosparticip!AI274</f>
        <v>Justine apprécie tout</v>
      </c>
      <c r="E275" t="str">
        <f>gescon_infosparticip!AJ274</f>
        <v>Surveiller un peu car tendance à trop manger</v>
      </c>
      <c r="F275" t="str">
        <f>gescon_infosparticip!AK274</f>
        <v>Alimentation trop grasse</v>
      </c>
      <c r="G275" t="str">
        <f>gescon_infosparticip!AL274</f>
        <v/>
      </c>
      <c r="H275" t="str">
        <f>gescon_infosparticip!AM274</f>
        <v>Autonome mais privilégier l'eau gazeuse.</v>
      </c>
      <c r="I275" t="str">
        <f>gescon_infosparticip!AN274</f>
        <v/>
      </c>
      <c r="J275" t="str">
        <f>gescon_infosparticip!AO274</f>
        <v/>
      </c>
      <c r="K275" t="str">
        <f>gescon_infosparticip!AP274</f>
        <v/>
      </c>
      <c r="L275" t="str">
        <f>gescon_infosparticip!AQ274</f>
        <v/>
      </c>
      <c r="M275">
        <f>gescon_infosparticip!BA274</f>
        <v>2146189536</v>
      </c>
      <c r="N275">
        <f>gescon_infosparticip!BB274</f>
        <v>0</v>
      </c>
      <c r="O275">
        <f>gescon_infosparticip!BC274</f>
        <v>0</v>
      </c>
      <c r="P275">
        <f>gescon_infosparticip!BD274</f>
        <v>2146189004</v>
      </c>
      <c r="Q275">
        <f>gescon_infosparticip!BE274</f>
        <v>0</v>
      </c>
      <c r="R275" t="str">
        <f>gescon_infosparticip!BF274</f>
        <v/>
      </c>
      <c r="S275" t="str">
        <f>gescon_infosparticip!BG274</f>
        <v>Trisomie 21</v>
      </c>
      <c r="T275" t="str">
        <f>gescon_infosparticip!BH274</f>
        <v/>
      </c>
      <c r="U275" t="str">
        <f>gescon_infosparticip!BI274</f>
        <v>Moyen</v>
      </c>
      <c r="V275" t="str">
        <f>gescon_infosparticip!BJ274</f>
        <v/>
      </c>
      <c r="W275" t="str">
        <f>gescon_infosparticip!BK274</f>
        <v>Contrôler qu'elle le fasse correctement</v>
      </c>
      <c r="X275" t="str">
        <f>gescon_infosparticip!BL274</f>
        <v>Rien de particulier, relativement autonome</v>
      </c>
      <c r="Y275" t="str">
        <f>gescon_infosparticip!BM274</f>
        <v/>
      </c>
    </row>
    <row r="276" spans="2:25" ht="15.75" customHeight="1" x14ac:dyDescent="0.25">
      <c r="B276">
        <f>gescon_infosparticip!A275</f>
        <v>2146189579</v>
      </c>
      <c r="C276" t="str">
        <f>gescon_infosparticip!AH275</f>
        <v>Mange très lentement. Sépare les aliments. Il ne mange pas très chaud. Il commence à manger ce qu'il aime pas et fini par ce qu'il aime. Mange peu mais souvent.</v>
      </c>
      <c r="D276" t="str">
        <f>gescon_infosparticip!AI275</f>
        <v/>
      </c>
      <c r="E276" t="str">
        <f>gescon_infosparticip!AJ275</f>
        <v/>
      </c>
      <c r="F276" t="str">
        <f>gescon_infosparticip!AK275</f>
        <v/>
      </c>
      <c r="G276" t="str">
        <f>gescon_infosparticip!AL275</f>
        <v/>
      </c>
      <c r="H276" t="str">
        <f>gescon_infosparticip!AM275</f>
        <v/>
      </c>
      <c r="I276" t="str">
        <f>gescon_infosparticip!AN275</f>
        <v/>
      </c>
      <c r="J276" t="str">
        <f>gescon_infosparticip!AO275</f>
        <v/>
      </c>
      <c r="K276" t="str">
        <f>gescon_infosparticip!AP275</f>
        <v/>
      </c>
      <c r="L276" t="str">
        <f>gescon_infosparticip!AQ275</f>
        <v/>
      </c>
      <c r="M276">
        <f>gescon_infosparticip!BA275</f>
        <v>2146189868</v>
      </c>
      <c r="N276">
        <f>gescon_infosparticip!BB275</f>
        <v>0</v>
      </c>
      <c r="O276">
        <f>gescon_infosparticip!BC275</f>
        <v>0</v>
      </c>
      <c r="P276">
        <f>gescon_infosparticip!BD275</f>
        <v>2146188976</v>
      </c>
      <c r="Q276">
        <f>gescon_infosparticip!BE275</f>
        <v>0</v>
      </c>
      <c r="R276" t="str">
        <f>gescon_infosparticip!BF275</f>
        <v/>
      </c>
      <c r="S276" t="str">
        <f>gescon_infosparticip!BG275</f>
        <v/>
      </c>
      <c r="T276" t="str">
        <f>gescon_infosparticip!BH275</f>
        <v>Troubles autistiques, maux de tête (dafalgan).</v>
      </c>
      <c r="U276" t="str">
        <f>gescon_infosparticip!BI275</f>
        <v/>
      </c>
      <c r="V276" t="str">
        <f>gescon_infosparticip!BJ275</f>
        <v/>
      </c>
      <c r="W276" t="str">
        <f>gescon_infosparticip!BK275</f>
        <v/>
      </c>
      <c r="X276" t="str">
        <f>gescon_infosparticip!BL275</f>
        <v>Se retient beaucoup avant d'aller à selles lors d'activités de longue durée. Il s'oublie et il perd sa continence si un adulte ne lui demande pour d'aller au WC.</v>
      </c>
      <c r="Y276" t="str">
        <f>gescon_infosparticip!BM275</f>
        <v/>
      </c>
    </row>
    <row r="277" spans="2:25" ht="15.75" customHeight="1" x14ac:dyDescent="0.25">
      <c r="B277">
        <f>gescon_infosparticip!A276</f>
        <v>2146189582</v>
      </c>
      <c r="C277" t="str">
        <f>gescon_infosparticip!AH276</f>
        <v/>
      </c>
      <c r="D277" t="str">
        <f>gescon_infosparticip!AI276</f>
        <v/>
      </c>
      <c r="E277" t="str">
        <f>gescon_infosparticip!AJ276</f>
        <v/>
      </c>
      <c r="F277" t="str">
        <f>gescon_infosparticip!AK276</f>
        <v/>
      </c>
      <c r="G277" t="str">
        <f>gescon_infosparticip!AL276</f>
        <v/>
      </c>
      <c r="H277" t="str">
        <f>gescon_infosparticip!AM276</f>
        <v/>
      </c>
      <c r="I277" t="str">
        <f>gescon_infosparticip!AN276</f>
        <v/>
      </c>
      <c r="J277" t="str">
        <f>gescon_infosparticip!AO276</f>
        <v/>
      </c>
      <c r="K277" t="str">
        <f>gescon_infosparticip!AP276</f>
        <v/>
      </c>
      <c r="L277" t="str">
        <f>gescon_infosparticip!AQ276</f>
        <v/>
      </c>
      <c r="M277">
        <f>gescon_infosparticip!BA276</f>
        <v>2146188990</v>
      </c>
      <c r="N277">
        <f>gescon_infosparticip!BB276</f>
        <v>0</v>
      </c>
      <c r="O277">
        <f>gescon_infosparticip!BC276</f>
        <v>0</v>
      </c>
      <c r="P277">
        <f>gescon_infosparticip!BD276</f>
        <v>0</v>
      </c>
      <c r="Q277">
        <f>gescon_infosparticip!BE276</f>
        <v>0</v>
      </c>
      <c r="R277" t="str">
        <f>gescon_infosparticip!BF276</f>
        <v/>
      </c>
      <c r="S277" t="str">
        <f>gescon_infosparticip!BG276</f>
        <v/>
      </c>
      <c r="T277" t="str">
        <f>gescon_infosparticip!BH276</f>
        <v/>
      </c>
      <c r="U277" t="str">
        <f>gescon_infosparticip!BI276</f>
        <v/>
      </c>
      <c r="V277" t="str">
        <f>gescon_infosparticip!BJ276</f>
        <v/>
      </c>
      <c r="W277" t="str">
        <f>gescon_infosparticip!BK276</f>
        <v/>
      </c>
      <c r="X277" t="str">
        <f>gescon_infosparticip!BL276</f>
        <v/>
      </c>
      <c r="Y277" t="str">
        <f>gescon_infosparticip!BM276</f>
        <v/>
      </c>
    </row>
    <row r="278" spans="2:25" ht="15.75" customHeight="1" x14ac:dyDescent="0.25">
      <c r="B278">
        <f>gescon_infosparticip!A277</f>
        <v>2146189599</v>
      </c>
      <c r="C278" t="str">
        <f>gescon_infosparticip!AH277</f>
        <v/>
      </c>
      <c r="D278" t="str">
        <f>gescon_infosparticip!AI277</f>
        <v/>
      </c>
      <c r="E278" t="str">
        <f>gescon_infosparticip!AJ277</f>
        <v/>
      </c>
      <c r="F278" t="str">
        <f>gescon_infosparticip!AK277</f>
        <v/>
      </c>
      <c r="G278" t="str">
        <f>gescon_infosparticip!AL277</f>
        <v/>
      </c>
      <c r="H278" t="str">
        <f>gescon_infosparticip!AM277</f>
        <v/>
      </c>
      <c r="I278" t="str">
        <f>gescon_infosparticip!AN277</f>
        <v/>
      </c>
      <c r="J278" t="str">
        <f>gescon_infosparticip!AO277</f>
        <v/>
      </c>
      <c r="K278" t="str">
        <f>gescon_infosparticip!AP277</f>
        <v/>
      </c>
      <c r="L278" t="str">
        <f>gescon_infosparticip!AQ277</f>
        <v/>
      </c>
      <c r="M278">
        <f>gescon_infosparticip!BA277</f>
        <v>0</v>
      </c>
      <c r="N278">
        <f>gescon_infosparticip!BB277</f>
        <v>0</v>
      </c>
      <c r="O278">
        <f>gescon_infosparticip!BC277</f>
        <v>0</v>
      </c>
      <c r="P278">
        <f>gescon_infosparticip!BD277</f>
        <v>2146189275</v>
      </c>
      <c r="Q278">
        <f>gescon_infosparticip!BE277</f>
        <v>0</v>
      </c>
      <c r="R278" t="str">
        <f>gescon_infosparticip!BF277</f>
        <v>01479</v>
      </c>
      <c r="S278" t="str">
        <f>gescon_infosparticip!BG277</f>
        <v>Tétrasomie 18p Maladie génétique rare</v>
      </c>
      <c r="T278" t="str">
        <f>gescon_infosparticip!BH277</f>
        <v>Hypotonie importante - reflux</v>
      </c>
      <c r="U278" t="str">
        <f>gescon_infosparticip!BI277</f>
        <v/>
      </c>
      <c r="V278" t="str">
        <f>gescon_infosparticip!BJ277</f>
        <v>Bronchite chroniques en cours de traitement</v>
      </c>
      <c r="W278" t="str">
        <f>gescon_infosparticip!BK277</f>
        <v/>
      </c>
      <c r="X278" t="str">
        <f>gescon_infosparticip!BL277</f>
        <v/>
      </c>
      <c r="Y278" t="str">
        <f>gescon_infosparticip!BM277</f>
        <v/>
      </c>
    </row>
    <row r="279" spans="2:25" ht="15.75" customHeight="1" x14ac:dyDescent="0.25">
      <c r="B279">
        <f>gescon_infosparticip!A278</f>
        <v>2146189610</v>
      </c>
      <c r="C279" t="str">
        <f>gescon_infosparticip!AH278</f>
        <v>Il mange de tout.ne réclame jamais une 2 ème fois.Noé est gaucher, mange avec un bord d'assiette, bien coupé fin</v>
      </c>
      <c r="D279" t="str">
        <f>gescon_infosparticip!AI278</f>
        <v/>
      </c>
      <c r="E279" t="str">
        <f>gescon_infosparticip!AJ278</f>
        <v/>
      </c>
      <c r="F279" t="str">
        <f>gescon_infosparticip!AK278</f>
        <v>lait,riz(constipation)</v>
      </c>
      <c r="G279" t="str">
        <f>gescon_infosparticip!AL278</f>
        <v/>
      </c>
      <c r="H279" t="str">
        <f>gescon_infosparticip!AM278</f>
        <v>il boit de tout et seul</v>
      </c>
      <c r="I279" t="str">
        <f>gescon_infosparticip!AN278</f>
        <v/>
      </c>
      <c r="J279" t="str">
        <f>gescon_infosparticip!AO278</f>
        <v/>
      </c>
      <c r="K279" t="str">
        <f>gescon_infosparticip!AP278</f>
        <v/>
      </c>
      <c r="L279" t="str">
        <f>gescon_infosparticip!AQ278</f>
        <v/>
      </c>
      <c r="M279">
        <f>gescon_infosparticip!BA278</f>
        <v>2146188990</v>
      </c>
      <c r="N279">
        <f>gescon_infosparticip!BB278</f>
        <v>0</v>
      </c>
      <c r="O279">
        <f>gescon_infosparticip!BC278</f>
        <v>0</v>
      </c>
      <c r="P279">
        <f>gescon_infosparticip!BD278</f>
        <v>2146189005</v>
      </c>
      <c r="Q279">
        <f>gescon_infosparticip!BE278</f>
        <v>0</v>
      </c>
      <c r="R279" t="str">
        <f>gescon_infosparticip!BF278</f>
        <v>756.3554.0411.63</v>
      </c>
      <c r="S279" t="str">
        <f>gescon_infosparticip!BG278</f>
        <v>Imc</v>
      </c>
      <c r="T279" t="str">
        <f>gescon_infosparticip!BH278</f>
        <v>Troubles auditifs:nécessiste de lui parler en face et distinctement.Trouble de la vision:ne voit pas les reliefs et évalue mal les distances.</v>
      </c>
      <c r="U279" t="str">
        <f>gescon_infosparticip!BI278</f>
        <v>Moyen</v>
      </c>
      <c r="V279" t="str">
        <f>gescon_infosparticip!BJ278</f>
        <v>Il se plaint souvent de mal à la tête.</v>
      </c>
      <c r="W279" t="str">
        <f>gescon_infosparticip!BK278</f>
        <v>Fait en partie seul, mais a besoin de guidance et d' aide. Aide pour le lavage des dents.</v>
      </c>
      <c r="X279" t="str">
        <f>gescon_infosparticip!BL278</f>
        <v>Se retient pas longtemps,il oublie d'aller au Wc.Etre attentif si il se dendine.  Protection la nuit.</v>
      </c>
      <c r="Y279" t="str">
        <f>gescon_infosparticip!BM278</f>
        <v/>
      </c>
    </row>
    <row r="280" spans="2:25" ht="15.75" customHeight="1" x14ac:dyDescent="0.25">
      <c r="B280">
        <f>gescon_infosparticip!A279</f>
        <v>2146189623</v>
      </c>
      <c r="C280" t="str">
        <f>gescon_infosparticip!AH279</f>
        <v>mange seul, il a de la peine à couper sa viande, n'arrive pas à faire ses tartines.</v>
      </c>
      <c r="D280" t="str">
        <f>gescon_infosparticip!AI279</f>
        <v>frites, saucisse de veau, saucisse à rôtir, gruyère, yogurth, purée, salade, épinards hachés.</v>
      </c>
      <c r="E280" t="str">
        <f>gescon_infosparticip!AJ279</f>
        <v>il n'aime pas trop les légumes</v>
      </c>
      <c r="F280" t="str">
        <f>gescon_infosparticip!AK279</f>
        <v/>
      </c>
      <c r="G280" t="str">
        <f>gescon_infosparticip!AL279</f>
        <v/>
      </c>
      <c r="H280" t="str">
        <f>gescon_infosparticip!AM279</f>
        <v>il boit seul, mais n'a pas la sensation de soif. Il faut lui dire de boire</v>
      </c>
      <c r="I280" t="str">
        <f>gescon_infosparticip!AN279</f>
        <v>coca zéro - thé froid pêche - chocolat viennois - capuccino - tisane</v>
      </c>
      <c r="J280" t="str">
        <f>gescon_infosparticip!AO279</f>
        <v>aucun - il n'aime pas le café</v>
      </c>
      <c r="K280" t="str">
        <f>gescon_infosparticip!AP279</f>
        <v/>
      </c>
      <c r="L280" t="str">
        <f>gescon_infosparticip!AQ279</f>
        <v/>
      </c>
      <c r="M280">
        <f>gescon_infosparticip!BA279</f>
        <v>2146189780</v>
      </c>
      <c r="N280">
        <f>gescon_infosparticip!BB279</f>
        <v>0</v>
      </c>
      <c r="O280">
        <f>gescon_infosparticip!BC279</f>
        <v>0</v>
      </c>
      <c r="P280">
        <f>gescon_infosparticip!BD279</f>
        <v>2146189029</v>
      </c>
      <c r="Q280">
        <f>gescon_infosparticip!BE279</f>
        <v>2146188982</v>
      </c>
      <c r="R280" t="str">
        <f>gescon_infosparticip!BF279</f>
        <v>80756003760011416835</v>
      </c>
      <c r="S280" t="str">
        <f>gescon_infosparticip!BG279</f>
        <v>Handicap mental</v>
      </c>
      <c r="T280" t="str">
        <f>gescon_infosparticip!BH279</f>
        <v/>
      </c>
      <c r="U280" t="str">
        <f>gescon_infosparticip!BI279</f>
        <v>Moyen</v>
      </c>
      <c r="V280" t="str">
        <f>gescon_infosparticip!BJ279</f>
        <v>piqûre d'abeille</v>
      </c>
      <c r="W280" t="str">
        <f>gescon_infosparticip!BK279</f>
        <v>se douche seul avec un robinet mélangeur - à contrôler la chaleur de l'eau.</v>
      </c>
      <c r="X280" t="str">
        <f>gescon_infosparticip!BL279</f>
        <v>pas besoin d'aide</v>
      </c>
      <c r="Y280" t="str">
        <f>gescon_infosparticip!BM279</f>
        <v/>
      </c>
    </row>
    <row r="281" spans="2:25" ht="15.75" customHeight="1" x14ac:dyDescent="0.25">
      <c r="B281">
        <f>gescon_infosparticip!A280</f>
        <v>2146189639</v>
      </c>
      <c r="C281" t="str">
        <f>gescon_infosparticip!AH280</f>
        <v>Elle est très difficile pour manger. Elle commence à manger avec la cuillère.</v>
      </c>
      <c r="D281" t="str">
        <f>gescon_infosparticip!AI280</f>
        <v/>
      </c>
      <c r="E281" t="str">
        <f>gescon_infosparticip!AJ280</f>
        <v/>
      </c>
      <c r="F281" t="str">
        <f>gescon_infosparticip!AK280</f>
        <v/>
      </c>
      <c r="G281" t="str">
        <f>gescon_infosparticip!AL280</f>
        <v/>
      </c>
      <c r="H281" t="str">
        <f>gescon_infosparticip!AM280</f>
        <v/>
      </c>
      <c r="I281" t="str">
        <f>gescon_infosparticip!AN280</f>
        <v/>
      </c>
      <c r="J281" t="str">
        <f>gescon_infosparticip!AO280</f>
        <v/>
      </c>
      <c r="K281" t="str">
        <f>gescon_infosparticip!AP280</f>
        <v/>
      </c>
      <c r="L281" t="str">
        <f>gescon_infosparticip!AQ280</f>
        <v/>
      </c>
      <c r="M281">
        <f>gescon_infosparticip!BA280</f>
        <v>226884306</v>
      </c>
      <c r="N281">
        <f>gescon_infosparticip!BB280</f>
        <v>0</v>
      </c>
      <c r="O281">
        <f>gescon_infosparticip!BC280</f>
        <v>0</v>
      </c>
      <c r="P281">
        <f>gescon_infosparticip!BD280</f>
        <v>2146189275</v>
      </c>
      <c r="Q281">
        <f>gescon_infosparticip!BE280</f>
        <v>0</v>
      </c>
      <c r="R281" t="str">
        <f>gescon_infosparticip!BF280</f>
        <v>756.3359.0124.05</v>
      </c>
      <c r="S281" t="str">
        <f>gescon_infosparticip!BG280</f>
        <v>IMC</v>
      </c>
      <c r="T281" t="str">
        <f>gescon_infosparticip!BH280</f>
        <v/>
      </c>
      <c r="U281" t="str">
        <f>gescon_infosparticip!BI280</f>
        <v/>
      </c>
      <c r="V281" t="str">
        <f>gescon_infosparticip!BJ280</f>
        <v/>
      </c>
      <c r="W281" t="str">
        <f>gescon_infosparticip!BK280</f>
        <v>Elle a besoin d'aide</v>
      </c>
      <c r="X281" t="str">
        <f>gescon_infosparticip!BL280</f>
        <v>Julie est langée</v>
      </c>
      <c r="Y281" t="str">
        <f>gescon_infosparticip!BM280</f>
        <v/>
      </c>
    </row>
    <row r="282" spans="2:25" ht="15.75" customHeight="1" x14ac:dyDescent="0.25">
      <c r="B282">
        <f>gescon_infosparticip!A281</f>
        <v>2146189640</v>
      </c>
      <c r="C282" t="str">
        <f>gescon_infosparticip!AH281</f>
        <v/>
      </c>
      <c r="D282" t="str">
        <f>gescon_infosparticip!AI281</f>
        <v/>
      </c>
      <c r="E282" t="str">
        <f>gescon_infosparticip!AJ281</f>
        <v/>
      </c>
      <c r="F282" t="str">
        <f>gescon_infosparticip!AK281</f>
        <v/>
      </c>
      <c r="G282" t="str">
        <f>gescon_infosparticip!AL281</f>
        <v/>
      </c>
      <c r="H282" t="str">
        <f>gescon_infosparticip!AM281</f>
        <v/>
      </c>
      <c r="I282" t="str">
        <f>gescon_infosparticip!AN281</f>
        <v/>
      </c>
      <c r="J282" t="str">
        <f>gescon_infosparticip!AO281</f>
        <v/>
      </c>
      <c r="K282" t="str">
        <f>gescon_infosparticip!AP281</f>
        <v/>
      </c>
      <c r="L282" t="str">
        <f>gescon_infosparticip!AQ281</f>
        <v/>
      </c>
      <c r="M282">
        <f>gescon_infosparticip!BA281</f>
        <v>0</v>
      </c>
      <c r="N282">
        <f>gescon_infosparticip!BB281</f>
        <v>0</v>
      </c>
      <c r="O282">
        <f>gescon_infosparticip!BC281</f>
        <v>0</v>
      </c>
      <c r="P282">
        <f>gescon_infosparticip!BD281</f>
        <v>0</v>
      </c>
      <c r="Q282">
        <f>gescon_infosparticip!BE281</f>
        <v>0</v>
      </c>
      <c r="R282" t="str">
        <f>gescon_infosparticip!BF281</f>
        <v/>
      </c>
      <c r="S282" t="str">
        <f>gescon_infosparticip!BG281</f>
        <v>IMC</v>
      </c>
      <c r="T282" t="str">
        <f>gescon_infosparticip!BH281</f>
        <v/>
      </c>
      <c r="U282" t="str">
        <f>gescon_infosparticip!BI281</f>
        <v>Moyen</v>
      </c>
      <c r="V282" t="str">
        <f>gescon_infosparticip!BJ281</f>
        <v/>
      </c>
      <c r="W282" t="str">
        <f>gescon_infosparticip!BK281</f>
        <v/>
      </c>
      <c r="X282" t="str">
        <f>gescon_infosparticip!BL281</f>
        <v/>
      </c>
      <c r="Y282" t="str">
        <f>gescon_infosparticip!BM281</f>
        <v/>
      </c>
    </row>
    <row r="283" spans="2:25" ht="15.75" customHeight="1" x14ac:dyDescent="0.25">
      <c r="B283">
        <f>gescon_infosparticip!A282</f>
        <v>2146189642</v>
      </c>
      <c r="C283" t="str">
        <f>gescon_infosparticip!AH282</f>
        <v>Il sélectionne ce qu'il veut manger. S'il ne veut pas manger, ses parents utilisent la tablette.</v>
      </c>
      <c r="D283" t="str">
        <f>gescon_infosparticip!AI282</f>
        <v>Adore les hamburgers</v>
      </c>
      <c r="E283" t="str">
        <f>gescon_infosparticip!AJ282</f>
        <v/>
      </c>
      <c r="F283" t="str">
        <f>gescon_infosparticip!AK282</f>
        <v/>
      </c>
      <c r="G283" t="str">
        <f>gescon_infosparticip!AL282</f>
        <v/>
      </c>
      <c r="H283" t="str">
        <f>gescon_infosparticip!AM282</f>
        <v/>
      </c>
      <c r="I283" t="str">
        <f>gescon_infosparticip!AN282</f>
        <v/>
      </c>
      <c r="J283" t="str">
        <f>gescon_infosparticip!AO282</f>
        <v/>
      </c>
      <c r="K283" t="str">
        <f>gescon_infosparticip!AP282</f>
        <v/>
      </c>
      <c r="L283" t="str">
        <f>gescon_infosparticip!AQ282</f>
        <v/>
      </c>
      <c r="M283">
        <f>gescon_infosparticip!BA282</f>
        <v>107</v>
      </c>
      <c r="N283">
        <f>gescon_infosparticip!BB282</f>
        <v>0</v>
      </c>
      <c r="O283">
        <f>gescon_infosparticip!BC282</f>
        <v>0</v>
      </c>
      <c r="P283">
        <f>gescon_infosparticip!BD282</f>
        <v>2146189004</v>
      </c>
      <c r="Q283">
        <f>gescon_infosparticip!BE282</f>
        <v>0</v>
      </c>
      <c r="R283" t="str">
        <f>gescon_infosparticip!BF282</f>
        <v/>
      </c>
      <c r="S283" t="str">
        <f>gescon_infosparticip!BG282</f>
        <v>TSA (autisme)</v>
      </c>
      <c r="T283" t="str">
        <f>gescon_infosparticip!BH282</f>
        <v/>
      </c>
      <c r="U283" t="str">
        <f>gescon_infosparticip!BI282</f>
        <v/>
      </c>
      <c r="V283" t="str">
        <f>gescon_infosparticip!BJ282</f>
        <v/>
      </c>
      <c r="W283" t="str">
        <f>gescon_infosparticip!BK282</f>
        <v>A besoin d'aide pour se laver</v>
      </c>
      <c r="X283" t="str">
        <f>gescon_infosparticip!BL282</f>
        <v>Mateo est langé jour et nuit et a besoin d'aide pour aller aux toilettes.</v>
      </c>
      <c r="Y283" t="str">
        <f>gescon_infosparticip!BM282</f>
        <v/>
      </c>
    </row>
    <row r="284" spans="2:25" ht="15.75" customHeight="1" x14ac:dyDescent="0.25">
      <c r="B284">
        <f>gescon_infosparticip!A283</f>
        <v>2146189643</v>
      </c>
      <c r="C284" t="str">
        <f>gescon_infosparticip!AH283</f>
        <v>Sans problème particulier. Avec de l'aide.</v>
      </c>
      <c r="D284" t="str">
        <f>gescon_infosparticip!AI283</f>
        <v/>
      </c>
      <c r="E284" t="str">
        <f>gescon_infosparticip!AJ283</f>
        <v/>
      </c>
      <c r="F284" t="str">
        <f>gescon_infosparticip!AK283</f>
        <v/>
      </c>
      <c r="G284" t="str">
        <f>gescon_infosparticip!AL283</f>
        <v/>
      </c>
      <c r="H284" t="str">
        <f>gescon_infosparticip!AM283</f>
        <v/>
      </c>
      <c r="I284" t="str">
        <f>gescon_infosparticip!AN283</f>
        <v/>
      </c>
      <c r="J284" t="str">
        <f>gescon_infosparticip!AO283</f>
        <v/>
      </c>
      <c r="K284" t="str">
        <f>gescon_infosparticip!AP283</f>
        <v/>
      </c>
      <c r="L284" t="str">
        <f>gescon_infosparticip!AQ283</f>
        <v/>
      </c>
      <c r="M284">
        <f>gescon_infosparticip!BA283</f>
        <v>2146189536</v>
      </c>
      <c r="N284">
        <f>gescon_infosparticip!BB283</f>
        <v>0</v>
      </c>
      <c r="O284">
        <f>gescon_infosparticip!BC283</f>
        <v>0</v>
      </c>
      <c r="P284">
        <f>gescon_infosparticip!BD283</f>
        <v>2146189004</v>
      </c>
      <c r="Q284">
        <f>gescon_infosparticip!BE283</f>
        <v>0</v>
      </c>
      <c r="R284" t="str">
        <f>gescon_infosparticip!BF283</f>
        <v>80756007740007835507</v>
      </c>
      <c r="S284" t="str">
        <f>gescon_infosparticip!BG283</f>
        <v>TSA (autisme)</v>
      </c>
      <c r="T284" t="str">
        <f>gescon_infosparticip!BH283</f>
        <v/>
      </c>
      <c r="U284" t="str">
        <f>gescon_infosparticip!BI283</f>
        <v/>
      </c>
      <c r="V284" t="str">
        <f>gescon_infosparticip!BJ283</f>
        <v/>
      </c>
      <c r="W284" t="str">
        <f>gescon_infosparticip!BK283</f>
        <v>avec de l'aide totale.</v>
      </c>
      <c r="X284" t="str">
        <f>gescon_infosparticip!BL283</f>
        <v>Maximilien est langé jour et nuit.</v>
      </c>
      <c r="Y284" t="str">
        <f>gescon_infosparticip!BM283</f>
        <v/>
      </c>
    </row>
    <row r="285" spans="2:25" ht="15.75" customHeight="1" x14ac:dyDescent="0.25">
      <c r="B285">
        <f>gescon_infosparticip!A284</f>
        <v>2146189655</v>
      </c>
      <c r="C285" t="str">
        <f>gescon_infosparticip!AH284</f>
        <v>Luca mange en guidance avec l'aide d'une tierce personne.</v>
      </c>
      <c r="D285" t="str">
        <f>gescon_infosparticip!AI284</f>
        <v>Les carottes en particulier ainsi que tous les fruits et les légumes</v>
      </c>
      <c r="E285" t="str">
        <f>gescon_infosparticip!AJ284</f>
        <v/>
      </c>
      <c r="F285" t="str">
        <f>gescon_infosparticip!AK284</f>
        <v/>
      </c>
      <c r="G285" t="str">
        <f>gescon_infosparticip!AL284</f>
        <v/>
      </c>
      <c r="H285" t="str">
        <f>gescon_infosparticip!AM284</f>
        <v>Luca est autonome pour boire.</v>
      </c>
      <c r="I285" t="str">
        <f>gescon_infosparticip!AN284</f>
        <v>Le coca (seulement après les 6 gomettes)</v>
      </c>
      <c r="J285" t="str">
        <f>gescon_infosparticip!AO284</f>
        <v/>
      </c>
      <c r="K285" t="str">
        <f>gescon_infosparticip!AP284</f>
        <v/>
      </c>
      <c r="L285" t="str">
        <f>gescon_infosparticip!AQ284</f>
        <v/>
      </c>
      <c r="M285">
        <f>gescon_infosparticip!BA284</f>
        <v>2146189536</v>
      </c>
      <c r="N285">
        <f>gescon_infosparticip!BB284</f>
        <v>0</v>
      </c>
      <c r="O285">
        <f>gescon_infosparticip!BC284</f>
        <v>0</v>
      </c>
      <c r="P285">
        <f>gescon_infosparticip!BD284</f>
        <v>2146189003</v>
      </c>
      <c r="Q285">
        <f>gescon_infosparticip!BE284</f>
        <v>0</v>
      </c>
      <c r="R285" t="str">
        <f>gescon_infosparticip!BF284</f>
        <v>95514431</v>
      </c>
      <c r="S285" t="str">
        <f>gescon_infosparticip!BG284</f>
        <v>TSA, trouble de la spère autistique (autisme)</v>
      </c>
      <c r="T285" t="str">
        <f>gescon_infosparticip!BH284</f>
        <v/>
      </c>
      <c r="U285" t="str">
        <f>gescon_infosparticip!BI284</f>
        <v/>
      </c>
      <c r="V285" t="str">
        <f>gescon_infosparticip!BJ284</f>
        <v/>
      </c>
      <c r="W285" t="str">
        <f>gescon_infosparticip!BK284</f>
        <v>Luca le lave en guidance avec l'aide d'une tierce personne. Il a l'habitude de se brosser les dents sur la chaise de la cuisine.</v>
      </c>
      <c r="X285" t="str">
        <f>gescon_infosparticip!BL284</f>
        <v>Il faut lui rappeler d'aller au toilette environ chaque 1/2 heure lorsqu'il est à la maison Lorsqu'il va au toilette, il a le droit à une gomette.à la 6ème, Luca a droit à un 1/2 verre de coca pour le féliciter. Pour l'extérieur, il porte des protections. Etre attenfif à ce que Luca ne joue pas avec ses selles.</v>
      </c>
      <c r="Y285" t="str">
        <f>gescon_infosparticip!BM284</f>
        <v/>
      </c>
    </row>
    <row r="286" spans="2:25" ht="15.75" customHeight="1" x14ac:dyDescent="0.25">
      <c r="B286">
        <f>gescon_infosparticip!A285</f>
        <v>2146189658</v>
      </c>
      <c r="C286" t="str">
        <f>gescon_infosparticip!AH285</f>
        <v/>
      </c>
      <c r="D286" t="str">
        <f>gescon_infosparticip!AI285</f>
        <v/>
      </c>
      <c r="E286" t="str">
        <f>gescon_infosparticip!AJ285</f>
        <v/>
      </c>
      <c r="F286" t="str">
        <f>gescon_infosparticip!AK285</f>
        <v/>
      </c>
      <c r="G286" t="str">
        <f>gescon_infosparticip!AL285</f>
        <v/>
      </c>
      <c r="H286" t="str">
        <f>gescon_infosparticip!AM285</f>
        <v/>
      </c>
      <c r="I286" t="str">
        <f>gescon_infosparticip!AN285</f>
        <v/>
      </c>
      <c r="J286" t="str">
        <f>gescon_infosparticip!AO285</f>
        <v/>
      </c>
      <c r="K286" t="str">
        <f>gescon_infosparticip!AP285</f>
        <v/>
      </c>
      <c r="L286" t="str">
        <f>gescon_infosparticip!AQ285</f>
        <v/>
      </c>
      <c r="M286">
        <f>gescon_infosparticip!BA285</f>
        <v>0</v>
      </c>
      <c r="N286">
        <f>gescon_infosparticip!BB285</f>
        <v>0</v>
      </c>
      <c r="O286">
        <f>gescon_infosparticip!BC285</f>
        <v>0</v>
      </c>
      <c r="P286">
        <f>gescon_infosparticip!BD285</f>
        <v>0</v>
      </c>
      <c r="Q286">
        <f>gescon_infosparticip!BE285</f>
        <v>0</v>
      </c>
      <c r="R286" t="str">
        <f>gescon_infosparticip!BF285</f>
        <v/>
      </c>
      <c r="S286" t="str">
        <f>gescon_infosparticip!BG285</f>
        <v/>
      </c>
      <c r="T286" t="str">
        <f>gescon_infosparticip!BH285</f>
        <v/>
      </c>
      <c r="U286" t="str">
        <f>gescon_infosparticip!BI285</f>
        <v/>
      </c>
      <c r="V286" t="str">
        <f>gescon_infosparticip!BJ285</f>
        <v/>
      </c>
      <c r="W286" t="str">
        <f>gescon_infosparticip!BK285</f>
        <v/>
      </c>
      <c r="X286" t="str">
        <f>gescon_infosparticip!BL285</f>
        <v/>
      </c>
      <c r="Y286" t="str">
        <f>gescon_infosparticip!BM285</f>
        <v/>
      </c>
    </row>
    <row r="287" spans="2:25" ht="15.75" customHeight="1" x14ac:dyDescent="0.25">
      <c r="B287">
        <f>gescon_infosparticip!A286</f>
        <v>2146189676</v>
      </c>
      <c r="C287" t="str">
        <f>gescon_infosparticip!AH286</f>
        <v>Autonome à table du moment qu'il a ses moyens auxiliaires : support en bois surelevé, fourchette et cuillère ergonomique, rebord d'assiette et bavette</v>
      </c>
      <c r="D287" t="str">
        <f>gescon_infosparticip!AI286</f>
        <v>Stefano mange volontiers de tout.</v>
      </c>
      <c r="E287" t="str">
        <f>gescon_infosparticip!AJ286</f>
        <v>Il mange en petite quantité car il est au régime. Un premier service de tout et un deuxième de légumes, peu de sucre.</v>
      </c>
      <c r="F287" t="str">
        <f>gescon_infosparticip!AK286</f>
        <v>Il n'apprécie pas du tout le riz au lait</v>
      </c>
      <c r="G287" t="str">
        <f>gescon_infosparticip!AL286</f>
        <v/>
      </c>
      <c r="H287" t="str">
        <f>gescon_infosparticip!AM286</f>
        <v>Autonome</v>
      </c>
      <c r="I287" t="str">
        <f>gescon_infosparticip!AN286</f>
        <v/>
      </c>
      <c r="J287" t="str">
        <f>gescon_infosparticip!AO286</f>
        <v/>
      </c>
      <c r="K287" t="str">
        <f>gescon_infosparticip!AP286</f>
        <v/>
      </c>
      <c r="L287" t="str">
        <f>gescon_infosparticip!AQ286</f>
        <v/>
      </c>
      <c r="M287">
        <f>gescon_infosparticip!BA286</f>
        <v>107</v>
      </c>
      <c r="N287">
        <f>gescon_infosparticip!BB286</f>
        <v>0</v>
      </c>
      <c r="O287">
        <f>gescon_infosparticip!BC286</f>
        <v>0</v>
      </c>
      <c r="P287">
        <f>gescon_infosparticip!BD286</f>
        <v>2146188974</v>
      </c>
      <c r="Q287">
        <f>gescon_infosparticip!BE286</f>
        <v>0</v>
      </c>
      <c r="R287" t="str">
        <f>gescon_infosparticip!BF286</f>
        <v>745.62.458.151</v>
      </c>
      <c r="S287" t="str">
        <f>gescon_infosparticip!BG286</f>
        <v>IMC</v>
      </c>
      <c r="T287" t="str">
        <f>gescon_infosparticip!BH286</f>
        <v>Retard mental</v>
      </c>
      <c r="U287" t="str">
        <f>gescon_infosparticip!BI286</f>
        <v>Elevé</v>
      </c>
      <c r="V287" t="str">
        <f>gescon_infosparticip!BJ286</f>
        <v>Stefano se plaint parfois d'avoir mal aux yeux. Possibilité de lui mettre des gouttes ou du gel pour les humidifier</v>
      </c>
      <c r="W287" t="str">
        <f>gescon_infosparticip!BK286</f>
        <v>Il utilise la chaise percée pour la douche. Il est capable de se laver le haut et besoin d'aide pour le reste.</v>
      </c>
      <c r="X287" t="str">
        <f>gescon_infosparticip!BL286</f>
        <v>Il se lève de la chaise avec de l'aide et en se tenant par la barre. Il fait alors une rotation pour se mettre sur les WC. Il va au WC plusieurs fois par jour et la nuit, utiliser l'urinal.</v>
      </c>
      <c r="Y287" t="str">
        <f>gescon_infosparticip!BM286</f>
        <v/>
      </c>
    </row>
    <row r="288" spans="2:25" ht="15.75" customHeight="1" x14ac:dyDescent="0.25">
      <c r="B288">
        <f>gescon_infosparticip!A287</f>
        <v>2146189678</v>
      </c>
      <c r="C288" t="str">
        <f>gescon_infosparticip!AH287</f>
        <v/>
      </c>
      <c r="D288" t="str">
        <f>gescon_infosparticip!AI287</f>
        <v/>
      </c>
      <c r="E288" t="str">
        <f>gescon_infosparticip!AJ287</f>
        <v/>
      </c>
      <c r="F288" t="str">
        <f>gescon_infosparticip!AK287</f>
        <v/>
      </c>
      <c r="G288" t="str">
        <f>gescon_infosparticip!AL287</f>
        <v/>
      </c>
      <c r="H288" t="str">
        <f>gescon_infosparticip!AM287</f>
        <v/>
      </c>
      <c r="I288" t="str">
        <f>gescon_infosparticip!AN287</f>
        <v/>
      </c>
      <c r="J288" t="str">
        <f>gescon_infosparticip!AO287</f>
        <v/>
      </c>
      <c r="K288" t="str">
        <f>gescon_infosparticip!AP287</f>
        <v/>
      </c>
      <c r="L288" t="str">
        <f>gescon_infosparticip!AQ287</f>
        <v/>
      </c>
      <c r="M288">
        <f>gescon_infosparticip!BA287</f>
        <v>0</v>
      </c>
      <c r="N288">
        <f>gescon_infosparticip!BB287</f>
        <v>0</v>
      </c>
      <c r="O288">
        <f>gescon_infosparticip!BC287</f>
        <v>0</v>
      </c>
      <c r="P288">
        <f>gescon_infosparticip!BD287</f>
        <v>0</v>
      </c>
      <c r="Q288">
        <f>gescon_infosparticip!BE287</f>
        <v>0</v>
      </c>
      <c r="R288" t="str">
        <f>gescon_infosparticip!BF287</f>
        <v/>
      </c>
      <c r="S288" t="str">
        <f>gescon_infosparticip!BG287</f>
        <v/>
      </c>
      <c r="T288" t="str">
        <f>gescon_infosparticip!BH287</f>
        <v/>
      </c>
      <c r="U288" t="str">
        <f>gescon_infosparticip!BI287</f>
        <v/>
      </c>
      <c r="V288" t="str">
        <f>gescon_infosparticip!BJ287</f>
        <v/>
      </c>
      <c r="W288" t="str">
        <f>gescon_infosparticip!BK287</f>
        <v/>
      </c>
      <c r="X288" t="str">
        <f>gescon_infosparticip!BL287</f>
        <v/>
      </c>
      <c r="Y288" t="str">
        <f>gescon_infosparticip!BM287</f>
        <v/>
      </c>
    </row>
    <row r="289" spans="2:25" ht="15.75" customHeight="1" x14ac:dyDescent="0.25">
      <c r="B289">
        <f>gescon_infosparticip!A288</f>
        <v>2146189679</v>
      </c>
      <c r="C289" t="str">
        <f>gescon_infosparticip!AH288</f>
        <v>A la cuillière. Etre bien avec lui  quand on lui donne à manger. Attention , il attrappe la vaisselle et la jette par terre</v>
      </c>
      <c r="D289" t="str">
        <f>gescon_infosparticip!AI288</f>
        <v>Riz au lait, semoule lactée.</v>
      </c>
      <c r="E289" t="str">
        <f>gescon_infosparticip!AJ288</f>
        <v/>
      </c>
      <c r="F289" t="str">
        <f>gescon_infosparticip!AK288</f>
        <v>il n'aime pas la soupe.</v>
      </c>
      <c r="G289" t="str">
        <f>gescon_infosparticip!AL288</f>
        <v/>
      </c>
      <c r="H289" t="str">
        <f>gescon_infosparticip!AM288</f>
        <v>On lui donne à la cuillière à café.Avec épaissisant (texture similaire au yoghourt). Minimum 2 verres par repas.</v>
      </c>
      <c r="I289" t="str">
        <f>gescon_infosparticip!AN288</f>
        <v>Boissons sucrées(cacao,sirop,thé,café),boisson lactée</v>
      </c>
      <c r="J289" t="str">
        <f>gescon_infosparticip!AO288</f>
        <v>Mixé</v>
      </c>
      <c r="K289" t="str">
        <f>gescon_infosparticip!AP288</f>
        <v/>
      </c>
      <c r="L289" t="str">
        <f>gescon_infosparticip!AQ288</f>
        <v/>
      </c>
      <c r="M289">
        <f>gescon_infosparticip!BA288</f>
        <v>2146189786</v>
      </c>
      <c r="N289">
        <f>gescon_infosparticip!BB288</f>
        <v>2146189787</v>
      </c>
      <c r="O289">
        <f>gescon_infosparticip!BC288</f>
        <v>0</v>
      </c>
      <c r="P289">
        <f>gescon_infosparticip!BD288</f>
        <v>2146188979</v>
      </c>
      <c r="Q289">
        <f>gescon_infosparticip!BE288</f>
        <v>0</v>
      </c>
      <c r="R289" t="str">
        <f>gescon_infosparticip!BF288</f>
        <v>179-70-650</v>
      </c>
      <c r="S289" t="str">
        <f>gescon_infosparticip!BG288</f>
        <v>Imc</v>
      </c>
      <c r="T289" t="str">
        <f>gescon_infosparticip!BH288</f>
        <v>Trouble de la sphère autistique, déficience intellectuelle, Epilepsie.</v>
      </c>
      <c r="U289" t="str">
        <f>gescon_infosparticip!BI288</f>
        <v/>
      </c>
      <c r="V289" t="str">
        <f>gescon_infosparticip!BJ288</f>
        <v/>
      </c>
      <c r="W289" t="str">
        <f>gescon_infosparticip!BK288</f>
        <v>Langé tout le temps.</v>
      </c>
      <c r="X289" t="str">
        <f>gescon_infosparticip!BL288</f>
        <v/>
      </c>
      <c r="Y289" t="str">
        <f>gescon_infosparticip!BM288</f>
        <v/>
      </c>
    </row>
    <row r="290" spans="2:25" ht="15.75" customHeight="1" x14ac:dyDescent="0.25">
      <c r="B290">
        <f>gescon_infosparticip!A289</f>
        <v>2146189681</v>
      </c>
      <c r="C290" t="str">
        <f>gescon_infosparticip!AH289</f>
        <v/>
      </c>
      <c r="D290" t="str">
        <f>gescon_infosparticip!AI289</f>
        <v/>
      </c>
      <c r="E290" t="str">
        <f>gescon_infosparticip!AJ289</f>
        <v/>
      </c>
      <c r="F290" t="str">
        <f>gescon_infosparticip!AK289</f>
        <v/>
      </c>
      <c r="G290" t="str">
        <f>gescon_infosparticip!AL289</f>
        <v/>
      </c>
      <c r="H290" t="str">
        <f>gescon_infosparticip!AM289</f>
        <v/>
      </c>
      <c r="I290" t="str">
        <f>gescon_infosparticip!AN289</f>
        <v/>
      </c>
      <c r="J290" t="str">
        <f>gescon_infosparticip!AO289</f>
        <v/>
      </c>
      <c r="K290" t="str">
        <f>gescon_infosparticip!AP289</f>
        <v/>
      </c>
      <c r="L290" t="str">
        <f>gescon_infosparticip!AQ289</f>
        <v/>
      </c>
      <c r="M290">
        <f>gescon_infosparticip!BA289</f>
        <v>0</v>
      </c>
      <c r="N290">
        <f>gescon_infosparticip!BB289</f>
        <v>0</v>
      </c>
      <c r="O290">
        <f>gescon_infosparticip!BC289</f>
        <v>0</v>
      </c>
      <c r="P290">
        <f>gescon_infosparticip!BD289</f>
        <v>0</v>
      </c>
      <c r="Q290">
        <f>gescon_infosparticip!BE289</f>
        <v>0</v>
      </c>
      <c r="R290" t="str">
        <f>gescon_infosparticip!BF289</f>
        <v/>
      </c>
      <c r="S290" t="str">
        <f>gescon_infosparticip!BG289</f>
        <v/>
      </c>
      <c r="T290" t="str">
        <f>gescon_infosparticip!BH289</f>
        <v/>
      </c>
      <c r="U290" t="str">
        <f>gescon_infosparticip!BI289</f>
        <v/>
      </c>
      <c r="V290" t="str">
        <f>gescon_infosparticip!BJ289</f>
        <v/>
      </c>
      <c r="W290" t="str">
        <f>gescon_infosparticip!BK289</f>
        <v/>
      </c>
      <c r="X290" t="str">
        <f>gescon_infosparticip!BL289</f>
        <v/>
      </c>
      <c r="Y290" t="str">
        <f>gescon_infosparticip!BM289</f>
        <v/>
      </c>
    </row>
    <row r="291" spans="2:25" ht="15.75" customHeight="1" x14ac:dyDescent="0.25">
      <c r="B291">
        <f>gescon_infosparticip!A290</f>
        <v>2146189682</v>
      </c>
      <c r="C291" t="str">
        <f>gescon_infosparticip!AH290</f>
        <v>1 paquet de cigarette pour 2 jours. Il a une feuille qu'il signe.</v>
      </c>
      <c r="D291" t="str">
        <f>gescon_infosparticip!AI290</f>
        <v>Au déjeuner, il mange un yahourt mocca.Il adore les frites</v>
      </c>
      <c r="E291" t="str">
        <f>gescon_infosparticip!AJ290</f>
        <v/>
      </c>
      <c r="F291" t="str">
        <f>gescon_infosparticip!AK290</f>
        <v/>
      </c>
      <c r="G291" t="str">
        <f>gescon_infosparticip!AL290</f>
        <v/>
      </c>
      <c r="H291" t="str">
        <f>gescon_infosparticip!AM290</f>
        <v>Bière à 11h. Rituel (à respecter) 1 verre de vin à midi.</v>
      </c>
      <c r="I291" t="str">
        <f>gescon_infosparticip!AN290</f>
        <v/>
      </c>
      <c r="J291" t="str">
        <f>gescon_infosparticip!AO290</f>
        <v/>
      </c>
      <c r="K291" t="str">
        <f>gescon_infosparticip!AP290</f>
        <v>les bières sont gérées par l'accompagnant.</v>
      </c>
      <c r="L291" t="str">
        <f>gescon_infosparticip!AQ290</f>
        <v>Consommation d'alcool sous surveillance. Car dépandance forte à l'alcool. Si il n'est pas accompagné.</v>
      </c>
      <c r="M291">
        <f>gescon_infosparticip!BA290</f>
        <v>2146189227</v>
      </c>
      <c r="N291">
        <f>gescon_infosparticip!BB290</f>
        <v>0</v>
      </c>
      <c r="O291">
        <f>gescon_infosparticip!BC290</f>
        <v>0</v>
      </c>
      <c r="P291">
        <f>gescon_infosparticip!BD290</f>
        <v>2146188969</v>
      </c>
      <c r="Q291">
        <f>gescon_infosparticip!BE290</f>
        <v>2146188982</v>
      </c>
      <c r="R291" t="str">
        <f>gescon_infosparticip!BF290</f>
        <v>1539250</v>
      </c>
      <c r="S291" t="str">
        <f>gescon_infosparticip!BG290</f>
        <v>TCC</v>
      </c>
      <c r="T291" t="str">
        <f>gescon_infosparticip!BH290</f>
        <v>Schizophrénie traitée</v>
      </c>
      <c r="U291" t="str">
        <f>gescon_infosparticip!BI290</f>
        <v>Moyen</v>
      </c>
      <c r="V291" t="str">
        <f>gescon_infosparticip!BJ290</f>
        <v>Augmentin</v>
      </c>
      <c r="W291" t="str">
        <f>gescon_infosparticip!BK290</f>
        <v>Autonome. Se rase tous les matins après le petit-déjeuner.</v>
      </c>
      <c r="X291" t="str">
        <f>gescon_infosparticip!BL290</f>
        <v>Automne</v>
      </c>
      <c r="Y291" t="str">
        <f>gescon_infosparticip!BM290</f>
        <v/>
      </c>
    </row>
    <row r="292" spans="2:25" ht="15.75" customHeight="1" x14ac:dyDescent="0.25">
      <c r="B292">
        <f>gescon_infosparticip!A291</f>
        <v>2146189684</v>
      </c>
      <c r="C292" t="str">
        <f>gescon_infosparticip!AH291</f>
        <v>Il mange avec la bouche ouverte, pas très proprement. Assis sur une chaise trip-trap et avec des services normaux. A tendance à mettre les mains dans la bouche et à toucher ses vêtements. Autrement, il mange de tout, même certains aliments qu'il aime moins (il faut juste le motiver un peu). Il prend en général deux petits services.</v>
      </c>
      <c r="D292" t="str">
        <f>gescon_infosparticip!AI291</f>
        <v>pain, fruits, frites</v>
      </c>
      <c r="E292" t="str">
        <f>gescon_infosparticip!AJ291</f>
        <v>RAS</v>
      </c>
      <c r="F292" t="str">
        <f>gescon_infosparticip!AK291</f>
        <v>RAS</v>
      </c>
      <c r="G292" t="str">
        <f>gescon_infosparticip!AL291</f>
        <v>porc (musulman)</v>
      </c>
      <c r="H292" t="str">
        <f>gescon_infosparticip!AM291</f>
        <v>Il boit dans un verre.</v>
      </c>
      <c r="I292" t="str">
        <f>gescon_infosparticip!AN291</f>
        <v>eau, coca, thé froid</v>
      </c>
      <c r="J292" t="str">
        <f>gescon_infosparticip!AO291</f>
        <v>RAS</v>
      </c>
      <c r="K292" t="str">
        <f>gescon_infosparticip!AP291</f>
        <v>RAS</v>
      </c>
      <c r="L292" t="str">
        <f>gescon_infosparticip!AQ291</f>
        <v/>
      </c>
      <c r="M292">
        <f>gescon_infosparticip!BA291</f>
        <v>885155152</v>
      </c>
      <c r="N292">
        <f>gescon_infosparticip!BB291</f>
        <v>107</v>
      </c>
      <c r="O292">
        <f>gescon_infosparticip!BC291</f>
        <v>0</v>
      </c>
      <c r="P292">
        <f>gescon_infosparticip!BD291</f>
        <v>2146188971</v>
      </c>
      <c r="Q292">
        <f>gescon_infosparticip!BE291</f>
        <v>0</v>
      </c>
      <c r="R292" t="str">
        <f>gescon_infosparticip!BF291</f>
        <v>756.1245.4413.91</v>
      </c>
      <c r="S292" t="str">
        <f>gescon_infosparticip!BG291</f>
        <v>Retard du développement, Autisme (TSA)</v>
      </c>
      <c r="T292" t="str">
        <f>gescon_infosparticip!BH291</f>
        <v/>
      </c>
      <c r="U292" t="str">
        <f>gescon_infosparticip!BI291</f>
        <v>Moyen</v>
      </c>
      <c r="V292" t="str">
        <f>gescon_infosparticip!BJ291</f>
        <v/>
      </c>
      <c r="W292" t="str">
        <f>gescon_infosparticip!BK291</f>
        <v>Il a besoin d'aide pour le lavage des dents. A tendance à frotter une fois partout, sans que ce soit efficace. Pour le lavage des mains, il arrive tout seul, il faut juste contrôler qu'il frotte bien. Pour son visage, il passe une lavette mouillée mais n'appuie pas vraiment, du coup il faut l'aider.</v>
      </c>
      <c r="X292" t="str">
        <f>gescon_infosparticip!BL291</f>
        <v>Il est langé, mais il travaille sur l'apprentissage de la propreté durant la journée à la Castalie. Il dit qu'il veut aller aux WC en disant "pipi". S'il n'y pense pas pendant 30-45 minutes, lui proposer d'aller aux toillettes.</v>
      </c>
      <c r="Y292" t="str">
        <f>gescon_infosparticip!BM291</f>
        <v/>
      </c>
    </row>
    <row r="293" spans="2:25" ht="15.75" customHeight="1" x14ac:dyDescent="0.25">
      <c r="B293">
        <f>gescon_infosparticip!A292</f>
        <v>2146189691</v>
      </c>
      <c r="C293" t="str">
        <f>gescon_infosparticip!AH292</f>
        <v>Tous les aliments mixés, mangeant à l'aide d'une cuillère à dessert.
Matin : un grand bol de lait avec céréales et biscuits 
Midi : une purée de légumes + féculents + graminées, viande, poisson ou œuf (ajout de matière grasse : huile d'olive, beurre, huile de tournesol, crème fraîche) + 1 ou 2 yaourts à la fin du repas. 
Après-midi : dessert enrichissants (tiramisu, riz au lait, ile flottante, etc). 
Soir : un grand bol de fruits + biscuits ou yaourts.</v>
      </c>
      <c r="D293" t="str">
        <f>gescon_infosparticip!AI292</f>
        <v>Fruits et yaourts.</v>
      </c>
      <c r="E293" t="str">
        <f>gescon_infosparticip!AJ292</f>
        <v/>
      </c>
      <c r="F293" t="str">
        <f>gescon_infosparticip!AK292</f>
        <v/>
      </c>
      <c r="G293" t="str">
        <f>gescon_infosparticip!AL292</f>
        <v/>
      </c>
      <c r="H293" t="str">
        <f>gescon_infosparticip!AM292</f>
        <v>Dans une gourde, avec l'aide de quelqu'un. Le verre peut être aussi utilisé.</v>
      </c>
      <c r="I293" t="str">
        <f>gescon_infosparticip!AN292</f>
        <v>Eau en bouteille. Thé froid occasionnellement.</v>
      </c>
      <c r="J293" t="str">
        <f>gescon_infosparticip!AO292</f>
        <v/>
      </c>
      <c r="K293" t="str">
        <f>gescon_infosparticip!AP292</f>
        <v>Boissons gazeuses</v>
      </c>
      <c r="L293" t="str">
        <f>gescon_infosparticip!AQ292</f>
        <v/>
      </c>
      <c r="M293">
        <f>gescon_infosparticip!BA292</f>
        <v>2146189548</v>
      </c>
      <c r="N293">
        <f>gescon_infosparticip!BB292</f>
        <v>0</v>
      </c>
      <c r="O293">
        <f>gescon_infosparticip!BC292</f>
        <v>0</v>
      </c>
      <c r="P293">
        <f>gescon_infosparticip!BD292</f>
        <v>2146188969</v>
      </c>
      <c r="Q293">
        <f>gescon_infosparticip!BE292</f>
        <v>2146188969</v>
      </c>
      <c r="R293" t="str">
        <f>gescon_infosparticip!BF292</f>
        <v/>
      </c>
      <c r="S293" t="str">
        <f>gescon_infosparticip!BG292</f>
        <v>Infirmité congénitale 395 OIC.</v>
      </c>
      <c r="T293" t="str">
        <f>gescon_infosparticip!BH292</f>
        <v>Moteur et cérébral.</v>
      </c>
      <c r="U293" t="str">
        <f>gescon_infosparticip!BI292</f>
        <v>Moyen</v>
      </c>
      <c r="V293" t="str">
        <f>gescon_infosparticip!BJ292</f>
        <v/>
      </c>
      <c r="W293" t="str">
        <f>gescon_infosparticip!BK292</f>
        <v>1fois/2: douche matinale - 1fois/2: toilette avec gant. Utilisation d'une pommade pour peaux très sèches</v>
      </c>
      <c r="X293" t="str">
        <f>gescon_infosparticip!BL292</f>
        <v>Protection à changé minimum 4 x par jour</v>
      </c>
      <c r="Y293" t="str">
        <f>gescon_infosparticip!BM292</f>
        <v>Sérum physiologique tous les matins - Aspirateur nasal à piles et mouchoirs très rarement.</v>
      </c>
    </row>
    <row r="294" spans="2:25" ht="15.75" customHeight="1" x14ac:dyDescent="0.25">
      <c r="B294">
        <f>gescon_infosparticip!A293</f>
        <v>2146189695</v>
      </c>
      <c r="C294" t="str">
        <f>gescon_infosparticip!AH293</f>
        <v/>
      </c>
      <c r="D294" t="str">
        <f>gescon_infosparticip!AI293</f>
        <v/>
      </c>
      <c r="E294" t="str">
        <f>gescon_infosparticip!AJ293</f>
        <v/>
      </c>
      <c r="F294" t="str">
        <f>gescon_infosparticip!AK293</f>
        <v/>
      </c>
      <c r="G294" t="str">
        <f>gescon_infosparticip!AL293</f>
        <v/>
      </c>
      <c r="H294" t="str">
        <f>gescon_infosparticip!AM293</f>
        <v/>
      </c>
      <c r="I294" t="str">
        <f>gescon_infosparticip!AN293</f>
        <v/>
      </c>
      <c r="J294" t="str">
        <f>gescon_infosparticip!AO293</f>
        <v/>
      </c>
      <c r="K294" t="str">
        <f>gescon_infosparticip!AP293</f>
        <v/>
      </c>
      <c r="L294" t="str">
        <f>gescon_infosparticip!AQ293</f>
        <v/>
      </c>
      <c r="M294">
        <f>gescon_infosparticip!BA293</f>
        <v>0</v>
      </c>
      <c r="N294">
        <f>gescon_infosparticip!BB293</f>
        <v>0</v>
      </c>
      <c r="O294">
        <f>gescon_infosparticip!BC293</f>
        <v>0</v>
      </c>
      <c r="P294">
        <f>gescon_infosparticip!BD293</f>
        <v>0</v>
      </c>
      <c r="Q294">
        <f>gescon_infosparticip!BE293</f>
        <v>0</v>
      </c>
      <c r="R294" t="str">
        <f>gescon_infosparticip!BF293</f>
        <v/>
      </c>
      <c r="S294" t="str">
        <f>gescon_infosparticip!BG293</f>
        <v/>
      </c>
      <c r="T294" t="str">
        <f>gescon_infosparticip!BH293</f>
        <v/>
      </c>
      <c r="U294" t="str">
        <f>gescon_infosparticip!BI293</f>
        <v/>
      </c>
      <c r="V294" t="str">
        <f>gescon_infosparticip!BJ293</f>
        <v/>
      </c>
      <c r="W294" t="str">
        <f>gescon_infosparticip!BK293</f>
        <v/>
      </c>
      <c r="X294" t="str">
        <f>gescon_infosparticip!BL293</f>
        <v/>
      </c>
      <c r="Y294" t="str">
        <f>gescon_infosparticip!BM293</f>
        <v/>
      </c>
    </row>
    <row r="295" spans="2:25" ht="15.75" customHeight="1" x14ac:dyDescent="0.25">
      <c r="B295">
        <f>gescon_infosparticip!A294</f>
        <v>2146189701</v>
      </c>
      <c r="C295" t="str">
        <f>gescon_infosparticip!AH294</f>
        <v>Il faut lui couper les aliments.</v>
      </c>
      <c r="D295" t="str">
        <f>gescon_infosparticip!AI294</f>
        <v>salade, steack, frites</v>
      </c>
      <c r="E295" t="str">
        <f>gescon_infosparticip!AJ294</f>
        <v>-</v>
      </c>
      <c r="F295" t="str">
        <f>gescon_infosparticip!AK294</f>
        <v>-</v>
      </c>
      <c r="G295" t="str">
        <f>gescon_infosparticip!AL294</f>
        <v>-</v>
      </c>
      <c r="H295" t="str">
        <f>gescon_infosparticip!AM294</f>
        <v>dans un verre</v>
      </c>
      <c r="I295" t="str">
        <f>gescon_infosparticip!AN294</f>
        <v>coca zéro, henniez citronnelle (de préférence à donner) ou cassis, limonade</v>
      </c>
      <c r="J295" t="str">
        <f>gescon_infosparticip!AO294</f>
        <v>-</v>
      </c>
      <c r="K295" t="str">
        <f>gescon_infosparticip!AP294</f>
        <v>-</v>
      </c>
      <c r="L295" t="str">
        <f>gescon_infosparticip!AQ294</f>
        <v>-</v>
      </c>
      <c r="M295">
        <f>gescon_infosparticip!BA294</f>
        <v>2146189703</v>
      </c>
      <c r="N295">
        <f>gescon_infosparticip!BB294</f>
        <v>2146189303</v>
      </c>
      <c r="O295">
        <f>gescon_infosparticip!BC294</f>
        <v>0</v>
      </c>
      <c r="P295">
        <f>gescon_infosparticip!BD294</f>
        <v>2146189004</v>
      </c>
      <c r="Q295">
        <f>gescon_infosparticip!BE294</f>
        <v>2146189004</v>
      </c>
      <c r="R295" t="str">
        <f>gescon_infosparticip!BF294</f>
        <v>807 5600 77 4000 677 5950</v>
      </c>
      <c r="S295" t="str">
        <f>gescon_infosparticip!BG294</f>
        <v>myopathie de Duchenne</v>
      </c>
      <c r="T295" t="str">
        <f>gescon_infosparticip!BH294</f>
        <v>retard mental / Igor peut tomber à tout moment</v>
      </c>
      <c r="U295" t="str">
        <f>gescon_infosparticip!BI294</f>
        <v>Elevé</v>
      </c>
      <c r="V295" t="str">
        <f>gescon_infosparticip!BJ294</f>
        <v>-</v>
      </c>
      <c r="W295" t="str">
        <f>gescon_infosparticip!BK294</f>
        <v>Igor à besoin d'aide pour aller aux WC, pour s'habiller, se déshabiller et s'essuyer s'il va à la selle.</v>
      </c>
      <c r="X295" t="str">
        <f>gescon_infosparticip!BL294</f>
        <v>-</v>
      </c>
      <c r="Y295" t="str">
        <f>gescon_infosparticip!BM294</f>
        <v>-</v>
      </c>
    </row>
    <row r="296" spans="2:25" ht="15.75" customHeight="1" x14ac:dyDescent="0.25">
      <c r="B296">
        <f>gescon_infosparticip!A295</f>
        <v>2146189708</v>
      </c>
      <c r="C296" t="str">
        <f>gescon_infosparticip!AH295</f>
        <v>autonome</v>
      </c>
      <c r="D296" t="str">
        <f>gescon_infosparticip!AI295</f>
        <v>gratin, pâtes, Mac-do, pizza</v>
      </c>
      <c r="E296" t="str">
        <f>gescon_infosparticip!AJ295</f>
        <v/>
      </c>
      <c r="F296" t="str">
        <f>gescon_infosparticip!AK295</f>
        <v/>
      </c>
      <c r="G296" t="str">
        <f>gescon_infosparticip!AL295</f>
        <v/>
      </c>
      <c r="H296" t="str">
        <f>gescon_infosparticip!AM295</f>
        <v>autonome</v>
      </c>
      <c r="I296" t="str">
        <f>gescon_infosparticip!AN295</f>
        <v>sprite, thé froid</v>
      </c>
      <c r="J296" t="str">
        <f>gescon_infosparticip!AO295</f>
        <v/>
      </c>
      <c r="K296" t="str">
        <f>gescon_infosparticip!AP295</f>
        <v/>
      </c>
      <c r="L296" t="str">
        <f>gescon_infosparticip!AQ295</f>
        <v/>
      </c>
      <c r="M296">
        <f>gescon_infosparticip!BA295</f>
        <v>0</v>
      </c>
      <c r="N296">
        <f>gescon_infosparticip!BB295</f>
        <v>0</v>
      </c>
      <c r="O296">
        <f>gescon_infosparticip!BC295</f>
        <v>0</v>
      </c>
      <c r="P296">
        <f>gescon_infosparticip!BD295</f>
        <v>0</v>
      </c>
      <c r="Q296">
        <f>gescon_infosparticip!BE295</f>
        <v>0</v>
      </c>
      <c r="R296" t="str">
        <f>gescon_infosparticip!BF295</f>
        <v/>
      </c>
      <c r="S296" t="str">
        <f>gescon_infosparticip!BG295</f>
        <v>TSA (trouble du spectre autistique), Asperger</v>
      </c>
      <c r="T296" t="str">
        <f>gescon_infosparticip!BH295</f>
        <v/>
      </c>
      <c r="U296" t="str">
        <f>gescon_infosparticip!BI295</f>
        <v/>
      </c>
      <c r="V296" t="str">
        <f>gescon_infosparticip!BJ295</f>
        <v/>
      </c>
      <c r="W296" t="str">
        <f>gescon_infosparticip!BK295</f>
        <v/>
      </c>
      <c r="X296" t="str">
        <f>gescon_infosparticip!BL295</f>
        <v>autonome</v>
      </c>
      <c r="Y296" t="str">
        <f>gescon_infosparticip!BM295</f>
        <v/>
      </c>
    </row>
    <row r="297" spans="2:25" ht="15.75" customHeight="1" x14ac:dyDescent="0.25">
      <c r="B297">
        <f>gescon_infosparticip!A296</f>
        <v>2146189712</v>
      </c>
      <c r="C297" t="str">
        <f>gescon_infosparticip!AH296</f>
        <v>Assise à table les aliments doivent être coupés en petits morceaux dans une assiette creuse.</v>
      </c>
      <c r="D297" t="str">
        <f>gescon_infosparticip!AI296</f>
        <v>Fromage, compote, crème dessert, poulet, purée</v>
      </c>
      <c r="E297" t="str">
        <f>gescon_infosparticip!AJ296</f>
        <v/>
      </c>
      <c r="F297" t="str">
        <f>gescon_infosparticip!AK296</f>
        <v/>
      </c>
      <c r="G297" t="str">
        <f>gescon_infosparticip!AL296</f>
        <v>Fruits à noyau, bonbon</v>
      </c>
      <c r="H297" t="str">
        <f>gescon_infosparticip!AM296</f>
        <v>De préférence en position assise, à table. Sans glaçon et sans paille</v>
      </c>
      <c r="I297" t="str">
        <f>gescon_infosparticip!AN296</f>
        <v>jus de fruit, coca-cola, lait, chocolat.</v>
      </c>
      <c r="J297" t="str">
        <f>gescon_infosparticip!AO296</f>
        <v/>
      </c>
      <c r="K297" t="str">
        <f>gescon_infosparticip!AP296</f>
        <v/>
      </c>
      <c r="L297" t="str">
        <f>gescon_infosparticip!AQ296</f>
        <v/>
      </c>
      <c r="M297">
        <f>gescon_infosparticip!BA296</f>
        <v>0</v>
      </c>
      <c r="N297">
        <f>gescon_infosparticip!BB296</f>
        <v>0</v>
      </c>
      <c r="O297">
        <f>gescon_infosparticip!BC296</f>
        <v>0</v>
      </c>
      <c r="P297">
        <f>gescon_infosparticip!BD296</f>
        <v>2146188974</v>
      </c>
      <c r="Q297">
        <f>gescon_infosparticip!BE296</f>
        <v>2146188974</v>
      </c>
      <c r="R297" t="str">
        <f>gescon_infosparticip!BF296</f>
        <v>756 5854 6443 96</v>
      </c>
      <c r="S297" t="str">
        <f>gescon_infosparticip!BG296</f>
        <v>IMC</v>
      </c>
      <c r="T297" t="str">
        <f>gescon_infosparticip!BH296</f>
        <v>Marie n'a pas de communication verbale, elle a un retard mental, marche avec difficulté. Son champs visuel limité vers le bas.</v>
      </c>
      <c r="U297" t="str">
        <f>gescon_infosparticip!BI296</f>
        <v/>
      </c>
      <c r="V297" t="str">
        <f>gescon_infosparticip!BJ296</f>
        <v/>
      </c>
      <c r="W297" t="str">
        <f>gescon_infosparticip!BK296</f>
        <v>Marie apprécie l'eau et la douche. Il faut bien lui sécher entre les orteils et lui appliquer la crème antimycosique si necéssaire</v>
      </c>
      <c r="X297" t="str">
        <f>gescon_infosparticip!BL296</f>
        <v>elle a besoin d'accompagnement pour les WC. Elle peut baisser les pantalon et culotte, a besoin d'être essuyée. Il faut lui proposer régulièrement les toilettes mais elle est propre jour et nuit.</v>
      </c>
      <c r="Y297" t="str">
        <f>gescon_infosparticip!BM296</f>
        <v/>
      </c>
    </row>
    <row r="298" spans="2:25" ht="15.75" customHeight="1" x14ac:dyDescent="0.25">
      <c r="B298">
        <f>gescon_infosparticip!A297</f>
        <v>2146189714</v>
      </c>
      <c r="C298" t="str">
        <f>gescon_infosparticip!AH297</f>
        <v/>
      </c>
      <c r="D298" t="str">
        <f>gescon_infosparticip!AI297</f>
        <v/>
      </c>
      <c r="E298" t="str">
        <f>gescon_infosparticip!AJ297</f>
        <v/>
      </c>
      <c r="F298" t="str">
        <f>gescon_infosparticip!AK297</f>
        <v/>
      </c>
      <c r="G298" t="str">
        <f>gescon_infosparticip!AL297</f>
        <v/>
      </c>
      <c r="H298" t="str">
        <f>gescon_infosparticip!AM297</f>
        <v/>
      </c>
      <c r="I298" t="str">
        <f>gescon_infosparticip!AN297</f>
        <v/>
      </c>
      <c r="J298" t="str">
        <f>gescon_infosparticip!AO297</f>
        <v/>
      </c>
      <c r="K298" t="str">
        <f>gescon_infosparticip!AP297</f>
        <v/>
      </c>
      <c r="L298" t="str">
        <f>gescon_infosparticip!AQ297</f>
        <v/>
      </c>
      <c r="M298">
        <f>gescon_infosparticip!BA297</f>
        <v>0</v>
      </c>
      <c r="N298">
        <f>gescon_infosparticip!BB297</f>
        <v>0</v>
      </c>
      <c r="O298">
        <f>gescon_infosparticip!BC297</f>
        <v>0</v>
      </c>
      <c r="P298">
        <f>gescon_infosparticip!BD297</f>
        <v>0</v>
      </c>
      <c r="Q298">
        <f>gescon_infosparticip!BE297</f>
        <v>0</v>
      </c>
      <c r="R298" t="str">
        <f>gescon_infosparticip!BF297</f>
        <v/>
      </c>
      <c r="S298" t="str">
        <f>gescon_infosparticip!BG297</f>
        <v/>
      </c>
      <c r="T298" t="str">
        <f>gescon_infosparticip!BH297</f>
        <v/>
      </c>
      <c r="U298" t="str">
        <f>gescon_infosparticip!BI297</f>
        <v/>
      </c>
      <c r="V298" t="str">
        <f>gescon_infosparticip!BJ297</f>
        <v/>
      </c>
      <c r="W298" t="str">
        <f>gescon_infosparticip!BK297</f>
        <v/>
      </c>
      <c r="X298" t="str">
        <f>gescon_infosparticip!BL297</f>
        <v/>
      </c>
      <c r="Y298" t="str">
        <f>gescon_infosparticip!BM297</f>
        <v/>
      </c>
    </row>
    <row r="299" spans="2:25" ht="15.75" customHeight="1" x14ac:dyDescent="0.25">
      <c r="B299">
        <f>gescon_infosparticip!A298</f>
        <v>2146189722</v>
      </c>
      <c r="C299" t="str">
        <f>gescon_infosparticip!AH298</f>
        <v/>
      </c>
      <c r="D299" t="str">
        <f>gescon_infosparticip!AI298</f>
        <v/>
      </c>
      <c r="E299" t="str">
        <f>gescon_infosparticip!AJ298</f>
        <v/>
      </c>
      <c r="F299" t="str">
        <f>gescon_infosparticip!AK298</f>
        <v/>
      </c>
      <c r="G299" t="str">
        <f>gescon_infosparticip!AL298</f>
        <v/>
      </c>
      <c r="H299" t="str">
        <f>gescon_infosparticip!AM298</f>
        <v/>
      </c>
      <c r="I299" t="str">
        <f>gescon_infosparticip!AN298</f>
        <v/>
      </c>
      <c r="J299" t="str">
        <f>gescon_infosparticip!AO298</f>
        <v/>
      </c>
      <c r="K299" t="str">
        <f>gescon_infosparticip!AP298</f>
        <v/>
      </c>
      <c r="L299" t="str">
        <f>gescon_infosparticip!AQ298</f>
        <v/>
      </c>
      <c r="M299">
        <f>gescon_infosparticip!BA298</f>
        <v>0</v>
      </c>
      <c r="N299">
        <f>gescon_infosparticip!BB298</f>
        <v>0</v>
      </c>
      <c r="O299">
        <f>gescon_infosparticip!BC298</f>
        <v>0</v>
      </c>
      <c r="P299">
        <f>gescon_infosparticip!BD298</f>
        <v>0</v>
      </c>
      <c r="Q299">
        <f>gescon_infosparticip!BE298</f>
        <v>0</v>
      </c>
      <c r="R299" t="str">
        <f>gescon_infosparticip!BF298</f>
        <v/>
      </c>
      <c r="S299" t="str">
        <f>gescon_infosparticip!BG298</f>
        <v/>
      </c>
      <c r="T299" t="str">
        <f>gescon_infosparticip!BH298</f>
        <v/>
      </c>
      <c r="U299" t="str">
        <f>gescon_infosparticip!BI298</f>
        <v/>
      </c>
      <c r="V299" t="str">
        <f>gescon_infosparticip!BJ298</f>
        <v/>
      </c>
      <c r="W299" t="str">
        <f>gescon_infosparticip!BK298</f>
        <v/>
      </c>
      <c r="X299" t="str">
        <f>gescon_infosparticip!BL298</f>
        <v/>
      </c>
      <c r="Y299" t="str">
        <f>gescon_infosparticip!BM298</f>
        <v/>
      </c>
    </row>
    <row r="300" spans="2:25" ht="15.75" customHeight="1" x14ac:dyDescent="0.25">
      <c r="B300">
        <f>gescon_infosparticip!A299</f>
        <v>2146189741</v>
      </c>
      <c r="C300" t="str">
        <f>gescon_infosparticip!AH299</f>
        <v>Normal, lui couper les aliments et parfois lui rappeler de manger.</v>
      </c>
      <c r="D300" t="str">
        <f>gescon_infosparticip!AI299</f>
        <v>il aime tout en général</v>
      </c>
      <c r="E300" t="str">
        <f>gescon_infosparticip!AJ299</f>
        <v/>
      </c>
      <c r="F300" t="str">
        <f>gescon_infosparticip!AK299</f>
        <v>cacahuètes le soir, chips avec modération.</v>
      </c>
      <c r="G300" t="str">
        <f>gescon_infosparticip!AL299</f>
        <v>grapefruit - pamplemouse.</v>
      </c>
      <c r="H300" t="str">
        <f>gescon_infosparticip!AM299</f>
        <v/>
      </c>
      <c r="I300" t="str">
        <f>gescon_infosparticip!AN299</f>
        <v>eau, sirop, thé, lait, avec ovo ou chocolat</v>
      </c>
      <c r="J300" t="str">
        <f>gescon_infosparticip!AO299</f>
        <v/>
      </c>
      <c r="K300" t="str">
        <f>gescon_infosparticip!AP299</f>
        <v>après 14h, le cacao, le café.Après 19h ne plus lui donner à boire sauf 1/2 verre avec les medics à 20h.</v>
      </c>
      <c r="L300" t="str">
        <f>gescon_infosparticip!AQ299</f>
        <v>alcool - pamplemouse - grapefruit.</v>
      </c>
      <c r="M300">
        <f>gescon_infosparticip!BA299</f>
        <v>2146189293</v>
      </c>
      <c r="N300">
        <f>gescon_infosparticip!BB299</f>
        <v>107</v>
      </c>
      <c r="O300">
        <f>gescon_infosparticip!BC299</f>
        <v>0</v>
      </c>
      <c r="P300">
        <f>gescon_infosparticip!BD299</f>
        <v>2146188969</v>
      </c>
      <c r="Q300">
        <f>gescon_infosparticip!BE299</f>
        <v>2146188982</v>
      </c>
      <c r="R300" t="str">
        <f>gescon_infosparticip!BF299</f>
        <v>2667611</v>
      </c>
      <c r="S300" t="str">
        <f>gescon_infosparticip!BG299</f>
        <v>Handicap mental</v>
      </c>
      <c r="T300" t="str">
        <f>gescon_infosparticip!BH299</f>
        <v>trouble de vue - équilibre- motricité des mains très réduite- épilepsie controlée.</v>
      </c>
      <c r="U300" t="str">
        <f>gescon_infosparticip!BI299</f>
        <v>Elevé</v>
      </c>
      <c r="V300" t="str">
        <f>gescon_infosparticip!BJ299</f>
        <v/>
      </c>
      <c r="W300" t="str">
        <f>gescon_infosparticip!BK299</f>
        <v>Alexandre confond le chaud et le froid. Toujours l'aider pour sa douche.</v>
      </c>
      <c r="X300" t="str">
        <f>gescon_infosparticip!BL299</f>
        <v>Il demande souvent à la dernière minute, toujours l'accompagner, toujours regarder ce qu'il fait, ne sais pas s'essuyer. Il n'est pas incontinent, lui rappeler d'aller aux toilettes, au lever, avant et après une promenade ou avant d'aller au lit.</v>
      </c>
      <c r="Y300" t="str">
        <f>gescon_infosparticip!BM299</f>
        <v/>
      </c>
    </row>
    <row r="301" spans="2:25" ht="15.75" customHeight="1" x14ac:dyDescent="0.25">
      <c r="B301">
        <f>gescon_infosparticip!A300</f>
        <v>2146189743</v>
      </c>
      <c r="C301" t="str">
        <f>gescon_infosparticip!AH300</f>
        <v>Petite assiette, couverts adaptés. Gère très mal les aliments trop chaud. (brûlures)</v>
      </c>
      <c r="D301" t="str">
        <f>gescon_infosparticip!AI300</f>
        <v>Mange de tout , elle adoreles fruits crus (tomate, poivrons), spaghettis bolo. Frites, chip's, les crèpes, tartine de nuttela ou au miel, les céréales au chocolat, le chocolat, les fromages froids.</v>
      </c>
      <c r="E301" t="str">
        <f>gescon_infosparticip!AJ300</f>
        <v>Attention à la mastication, mache très peu, peut s'étouffer si c'est trop gros.</v>
      </c>
      <c r="F301" t="str">
        <f>gescon_infosparticip!AK300</f>
        <v>gros bonbon dur, chiclette, la viande rouge non hachée</v>
      </c>
      <c r="G301" t="str">
        <f>gescon_infosparticip!AL300</f>
        <v/>
      </c>
      <c r="H301" t="str">
        <f>gescon_infosparticip!AM300</f>
        <v>Au verre ou verre avec paille. 
Gère très mal les boissons chaudes (risque de brûlure)</v>
      </c>
      <c r="I301" t="str">
        <f>gescon_infosparticip!AN300</f>
        <v>eau, sirop, jus de fruits.Cacao au petit déjeuner, lait frois si elle a de la peine à dormir</v>
      </c>
      <c r="J301" t="str">
        <f>gescon_infosparticip!AO300</f>
        <v/>
      </c>
      <c r="K301" t="str">
        <f>gescon_infosparticip!AP300</f>
        <v>boisson gazeuse</v>
      </c>
      <c r="L301" t="str">
        <f>gescon_infosparticip!AQ300</f>
        <v/>
      </c>
      <c r="M301">
        <f>gescon_infosparticip!BA300</f>
        <v>2146189818</v>
      </c>
      <c r="N301">
        <f>gescon_infosparticip!BB300</f>
        <v>0</v>
      </c>
      <c r="O301">
        <f>gescon_infosparticip!BC300</f>
        <v>0</v>
      </c>
      <c r="P301">
        <f>gescon_infosparticip!BD300</f>
        <v>2146189294</v>
      </c>
      <c r="Q301">
        <f>gescon_infosparticip!BE300</f>
        <v>2146189294</v>
      </c>
      <c r="R301" t="str">
        <f>gescon_infosparticip!BF300</f>
        <v>880-67-181</v>
      </c>
      <c r="S301" t="str">
        <f>gescon_infosparticip!BG300</f>
        <v>dysphasie, faiblesse musculaire généralisée hypotonie abandonique</v>
      </c>
      <c r="T301" t="str">
        <f>gescon_infosparticip!BH300</f>
        <v>Trouble du langage, problème à mâcher, vite fatiguable, douleurs musculaire, besoin d'être rassuré et en contact avec l'adulte</v>
      </c>
      <c r="U301" t="str">
        <f>gescon_infosparticip!BI300</f>
        <v/>
      </c>
      <c r="V301" t="str">
        <f>gescon_infosparticip!BJ300</f>
        <v/>
      </c>
      <c r="W301" t="str">
        <f>gescon_infosparticip!BK300</f>
        <v>A besoin d'aide pour s'essuyer et remonter son pantalon. Si les toilettes sont hautes, soit la portée, soit un escabot.</v>
      </c>
      <c r="X301" t="str">
        <f>gescon_infosparticip!BL300</f>
        <v>Elle est propre, tient les longs trajets, elle sait dire quand elle à besoin.</v>
      </c>
      <c r="Y301" t="str">
        <f>gescon_infosparticip!BM300</f>
        <v/>
      </c>
    </row>
    <row r="302" spans="2:25" ht="15.75" customHeight="1" x14ac:dyDescent="0.25">
      <c r="B302">
        <f>gescon_infosparticip!A301</f>
        <v>2146189746</v>
      </c>
      <c r="C302" t="str">
        <f>gescon_infosparticip!AH301</f>
        <v>Couper ses aliments</v>
      </c>
      <c r="D302" t="str">
        <f>gescon_infosparticip!AI301</f>
        <v>légume courgette - viande saignante - Poisson</v>
      </c>
      <c r="E302" t="str">
        <f>gescon_infosparticip!AJ301</f>
        <v>sans graisse et sans sucre, viande blanche coupée à point</v>
      </c>
      <c r="F302" t="str">
        <f>gescon_infosparticip!AK301</f>
        <v>très peu d'huile - sel - tomates - brocolis - choux fleur, lait</v>
      </c>
      <c r="G302" t="str">
        <f>gescon_infosparticip!AL301</f>
        <v>Œufs</v>
      </c>
      <c r="H302" t="str">
        <f>gescon_infosparticip!AM301</f>
        <v>Tiède - normal</v>
      </c>
      <c r="I302" t="str">
        <f>gescon_infosparticip!AN301</f>
        <v>eau gazeuse - coca - henniez menthe - thé vert.</v>
      </c>
      <c r="J302" t="str">
        <f>gescon_infosparticip!AO301</f>
        <v/>
      </c>
      <c r="K302" t="str">
        <f>gescon_infosparticip!AP301</f>
        <v>Pas trop d'alcool</v>
      </c>
      <c r="L302" t="str">
        <f>gescon_infosparticip!AQ301</f>
        <v>Œufs</v>
      </c>
      <c r="M302">
        <f>gescon_infosparticip!BA301</f>
        <v>2146189423</v>
      </c>
      <c r="N302">
        <f>gescon_infosparticip!BB301</f>
        <v>2146189014</v>
      </c>
      <c r="O302">
        <f>gescon_infosparticip!BC301</f>
        <v>0</v>
      </c>
      <c r="P302">
        <f>gescon_infosparticip!BD301</f>
        <v>2146189749</v>
      </c>
      <c r="Q302">
        <f>gescon_infosparticip!BE301</f>
        <v>0</v>
      </c>
      <c r="R302" t="str">
        <f>gescon_infosparticip!BF301</f>
        <v>80756099990000441546</v>
      </c>
      <c r="S302" t="str">
        <f>gescon_infosparticip!BG301</f>
        <v>Traumatisée cranien cérébral sévère</v>
      </c>
      <c r="T302" t="str">
        <f>gescon_infosparticip!BH301</f>
        <v>triplégie - trouble de la mémoire.</v>
      </c>
      <c r="U302" t="str">
        <f>gescon_infosparticip!BI301</f>
        <v>Moyen</v>
      </c>
      <c r="V302" t="str">
        <f>gescon_infosparticip!BJ301</f>
        <v>Latex - Codéïne - certain antibiotique (Bactrim)</v>
      </c>
      <c r="W302" t="str">
        <f>gescon_infosparticip!BK301</f>
        <v>Le mettre sur la chaise percée le matin. Douche tous les matins sur fauteuil de douche. Attention à l'hygiène et ne tolère pas de l'incompréhension de ce qui lui semble logique et facile. Escarre : Peau très fragile surtout au niveau des fesses et du sacrum.</v>
      </c>
      <c r="X302" t="str">
        <f>gescon_infosparticip!BL301</f>
        <v>Sonde sus-pubienne (Uriflac)</v>
      </c>
      <c r="Y302" t="str">
        <f>gescon_infosparticip!BM301</f>
        <v/>
      </c>
    </row>
    <row r="303" spans="2:25" ht="15.75" customHeight="1" x14ac:dyDescent="0.25">
      <c r="B303">
        <f>gescon_infosparticip!A302</f>
        <v>2146189750</v>
      </c>
      <c r="C303" t="str">
        <f>gescon_infosparticip!AH302</f>
        <v>Autonome</v>
      </c>
      <c r="D303" t="str">
        <f>gescon_infosparticip!AI302</f>
        <v>Aime tout</v>
      </c>
      <c r="E303" t="str">
        <f>gescon_infosparticip!AJ302</f>
        <v/>
      </c>
      <c r="F303" t="str">
        <f>gescon_infosparticip!AK302</f>
        <v/>
      </c>
      <c r="G303" t="str">
        <f>gescon_infosparticip!AL302</f>
        <v/>
      </c>
      <c r="H303" t="str">
        <f>gescon_infosparticip!AM302</f>
        <v>Autonome</v>
      </c>
      <c r="I303" t="str">
        <f>gescon_infosparticip!AN302</f>
        <v>Sirop, thé froid</v>
      </c>
      <c r="J303" t="str">
        <f>gescon_infosparticip!AO302</f>
        <v/>
      </c>
      <c r="K303" t="str">
        <f>gescon_infosparticip!AP302</f>
        <v/>
      </c>
      <c r="L303" t="str">
        <f>gescon_infosparticip!AQ302</f>
        <v/>
      </c>
      <c r="M303">
        <f>gescon_infosparticip!BA302</f>
        <v>-630865173</v>
      </c>
      <c r="N303">
        <f>gescon_infosparticip!BB302</f>
        <v>0</v>
      </c>
      <c r="O303">
        <f>gescon_infosparticip!BC302</f>
        <v>0</v>
      </c>
      <c r="P303">
        <f>gescon_infosparticip!BD302</f>
        <v>2146189275</v>
      </c>
      <c r="Q303">
        <f>gescon_infosparticip!BE302</f>
        <v>0</v>
      </c>
      <c r="R303" t="str">
        <f>gescon_infosparticip!BF302</f>
        <v>01479</v>
      </c>
      <c r="S303" t="str">
        <f>gescon_infosparticip!BG302</f>
        <v>Trisomie 21</v>
      </c>
      <c r="T303" t="str">
        <f>gescon_infosparticip!BH302</f>
        <v/>
      </c>
      <c r="U303" t="str">
        <f>gescon_infosparticip!BI302</f>
        <v/>
      </c>
      <c r="V303" t="str">
        <f>gescon_infosparticip!BJ302</f>
        <v/>
      </c>
      <c r="W303" t="str">
        <f>gescon_infosparticip!BK302</f>
        <v>Mileon est autonome mais il faut bien lui rappeler d'aller au toilette.</v>
      </c>
      <c r="X303" t="str">
        <f>gescon_infosparticip!BL302</f>
        <v/>
      </c>
      <c r="Y303" t="str">
        <f>gescon_infosparticip!BM302</f>
        <v/>
      </c>
    </row>
    <row r="304" spans="2:25" ht="15.75" customHeight="1" x14ac:dyDescent="0.25">
      <c r="B304">
        <f>gescon_infosparticip!A303</f>
        <v>2146189783</v>
      </c>
      <c r="C304" t="str">
        <f>gescon_infosparticip!AH303</f>
        <v>Il mange de manière autonome, avec une cuillère dans une assiette creuse à bords remontant ou dans un bol. Le moment des repas est difficile pour Bryan. L'encourager à manger par petites bouchées et en faisant des pauses et lui demander de nous donner son assiette lorsque son repas est terminé pour éviter qu'il ne la râcle en boucle. Au petit dejeuner, il nous dit ce qu'il souhaite manger, en pointant du doigt.</v>
      </c>
      <c r="D304" t="str">
        <f>gescon_infosparticip!AI303</f>
        <v>Bryan a généralement bon appétit et mange de tout</v>
      </c>
      <c r="E304" t="str">
        <f>gescon_infosparticip!AJ303</f>
        <v>Intolérance au lactose. Bien lui couper les aliments en petits morceaux.</v>
      </c>
      <c r="F304" t="str">
        <f>gescon_infosparticip!AK303</f>
        <v>les légumes et les fruits (à l'exception des bananes)</v>
      </c>
      <c r="G304" t="str">
        <f>gescon_infosparticip!AL303</f>
        <v>intolérent au lactose</v>
      </c>
      <c r="H304" t="str">
        <f>gescon_infosparticip!AM303</f>
        <v>boit de manière autonome, un verre d'eau au 1er service et un verre de sirop au début du 2ème service. Lui donner suffisamment à boire mais pas en excès pour éviter les débordement urinaires.</v>
      </c>
      <c r="I304" t="str">
        <f>gescon_infosparticip!AN303</f>
        <v>pas de préférence, boit de tout</v>
      </c>
      <c r="J304" t="str">
        <f>gescon_infosparticip!AO303</f>
        <v/>
      </c>
      <c r="K304" t="str">
        <f>gescon_infosparticip!AP303</f>
        <v/>
      </c>
      <c r="L304" t="str">
        <f>gescon_infosparticip!AQ303</f>
        <v>jus de pomme et jus d'orange</v>
      </c>
      <c r="M304">
        <f>gescon_infosparticip!BA303</f>
        <v>2146189786</v>
      </c>
      <c r="N304">
        <f>gescon_infosparticip!BB303</f>
        <v>2146189787</v>
      </c>
      <c r="O304">
        <f>gescon_infosparticip!BC303</f>
        <v>0</v>
      </c>
      <c r="P304">
        <f>gescon_infosparticip!BD303</f>
        <v>2146189785</v>
      </c>
      <c r="Q304">
        <f>gescon_infosparticip!BE303</f>
        <v>2146189785</v>
      </c>
      <c r="R304" t="str">
        <f>gescon_infosparticip!BF303</f>
        <v>447.94.382.112</v>
      </c>
      <c r="S304" t="str">
        <f>gescon_infosparticip!BG303</f>
        <v>IMC</v>
      </c>
      <c r="T304" t="str">
        <f>gescon_infosparticip!BH303</f>
        <v>retard du développement intellectuel</v>
      </c>
      <c r="U304" t="str">
        <f>gescon_infosparticip!BI303</f>
        <v>Elevé</v>
      </c>
      <c r="V304" t="str">
        <f>gescon_infosparticip!BJ303</f>
        <v/>
      </c>
      <c r="W304" t="str">
        <f>gescon_infosparticip!BK303</f>
        <v>Il prend des douches, attention car Bryan a tendance à employer le mélangeur d'eau pour mettre plus de pression. Bryan apprécie qu'on prenne soin de lui en lui appliquant de la crème sur le visage ou gel dans les cheveux</v>
      </c>
      <c r="X304" t="str">
        <f>gescon_infosparticip!BL303</f>
        <v>Bryan n'a pas aquis la propreté. Il est langé jour et nuit. La nuit il dispose d'une miette afin de limiter les débordements urinaires. Lors du change, il faut lui demander de ne pas toucher son sexe et de tenir son T-shirt.</v>
      </c>
      <c r="Y304" t="str">
        <f>gescon_infosparticip!BM303</f>
        <v>Lui donner 2 objets pour lui occuper les mains</v>
      </c>
    </row>
    <row r="305" spans="2:25" ht="15.75" customHeight="1" x14ac:dyDescent="0.25">
      <c r="B305">
        <f>gescon_infosparticip!A304</f>
        <v>2146189788</v>
      </c>
      <c r="C305" t="str">
        <f>gescon_infosparticip!AH304</f>
        <v/>
      </c>
      <c r="D305" t="str">
        <f>gescon_infosparticip!AI304</f>
        <v>tout sauf poisson (dégoût)</v>
      </c>
      <c r="E305" t="str">
        <f>gescon_infosparticip!AJ304</f>
        <v/>
      </c>
      <c r="F305" t="str">
        <f>gescon_infosparticip!AK304</f>
        <v/>
      </c>
      <c r="G305" t="str">
        <f>gescon_infosparticip!AL304</f>
        <v/>
      </c>
      <c r="H305" t="str">
        <f>gescon_infosparticip!AM304</f>
        <v/>
      </c>
      <c r="I305" t="str">
        <f>gescon_infosparticip!AN304</f>
        <v>eau, sirop, thé froid</v>
      </c>
      <c r="J305" t="str">
        <f>gescon_infosparticip!AO304</f>
        <v/>
      </c>
      <c r="K305" t="str">
        <f>gescon_infosparticip!AP304</f>
        <v/>
      </c>
      <c r="L305" t="str">
        <f>gescon_infosparticip!AQ304</f>
        <v/>
      </c>
      <c r="M305">
        <f>gescon_infosparticip!BA304</f>
        <v>2146189815</v>
      </c>
      <c r="N305">
        <f>gescon_infosparticip!BB304</f>
        <v>2146189804</v>
      </c>
      <c r="O305">
        <f>gescon_infosparticip!BC304</f>
        <v>0</v>
      </c>
      <c r="P305">
        <f>gescon_infosparticip!BD304</f>
        <v>2146189801</v>
      </c>
      <c r="Q305">
        <f>gescon_infosparticip!BE304</f>
        <v>2146189801</v>
      </c>
      <c r="R305" t="str">
        <f>gescon_infosparticip!BF304</f>
        <v>756.4150.0423.32</v>
      </c>
      <c r="S305" t="str">
        <f>gescon_infosparticip!BG304</f>
        <v>dyspraxie, syndrôme Asperger</v>
      </c>
      <c r="T305" t="str">
        <f>gescon_infosparticip!BH304</f>
        <v/>
      </c>
      <c r="U305" t="str">
        <f>gescon_infosparticip!BI304</f>
        <v/>
      </c>
      <c r="V305" t="str">
        <f>gescon_infosparticip!BJ304</f>
        <v/>
      </c>
      <c r="W305" t="str">
        <f>gescon_infosparticip!BK304</f>
        <v>autonome à vérifier ongles et coiffage</v>
      </c>
      <c r="X305" t="str">
        <f>gescon_infosparticip!BL304</f>
        <v/>
      </c>
      <c r="Y305" t="str">
        <f>gescon_infosparticip!BM304</f>
        <v/>
      </c>
    </row>
    <row r="306" spans="2:25" ht="15.75" customHeight="1" x14ac:dyDescent="0.25">
      <c r="B306">
        <f>gescon_infosparticip!A305</f>
        <v>2146189808</v>
      </c>
      <c r="C306" t="str">
        <f>gescon_infosparticip!AH305</f>
        <v/>
      </c>
      <c r="D306" t="str">
        <f>gescon_infosparticip!AI305</f>
        <v/>
      </c>
      <c r="E306" t="str">
        <f>gescon_infosparticip!AJ305</f>
        <v/>
      </c>
      <c r="F306" t="str">
        <f>gescon_infosparticip!AK305</f>
        <v/>
      </c>
      <c r="G306" t="str">
        <f>gescon_infosparticip!AL305</f>
        <v/>
      </c>
      <c r="H306" t="str">
        <f>gescon_infosparticip!AM305</f>
        <v/>
      </c>
      <c r="I306" t="str">
        <f>gescon_infosparticip!AN305</f>
        <v/>
      </c>
      <c r="J306" t="str">
        <f>gescon_infosparticip!AO305</f>
        <v/>
      </c>
      <c r="K306" t="str">
        <f>gescon_infosparticip!AP305</f>
        <v/>
      </c>
      <c r="L306" t="str">
        <f>gescon_infosparticip!AQ305</f>
        <v/>
      </c>
      <c r="M306">
        <f>gescon_infosparticip!BA305</f>
        <v>0</v>
      </c>
      <c r="N306">
        <f>gescon_infosparticip!BB305</f>
        <v>0</v>
      </c>
      <c r="O306">
        <f>gescon_infosparticip!BC305</f>
        <v>0</v>
      </c>
      <c r="P306">
        <f>gescon_infosparticip!BD305</f>
        <v>0</v>
      </c>
      <c r="Q306">
        <f>gescon_infosparticip!BE305</f>
        <v>0</v>
      </c>
      <c r="R306" t="str">
        <f>gescon_infosparticip!BF305</f>
        <v/>
      </c>
      <c r="S306" t="str">
        <f>gescon_infosparticip!BG305</f>
        <v/>
      </c>
      <c r="T306" t="str">
        <f>gescon_infosparticip!BH305</f>
        <v/>
      </c>
      <c r="U306" t="str">
        <f>gescon_infosparticip!BI305</f>
        <v/>
      </c>
      <c r="V306" t="str">
        <f>gescon_infosparticip!BJ305</f>
        <v/>
      </c>
      <c r="W306" t="str">
        <f>gescon_infosparticip!BK305</f>
        <v/>
      </c>
      <c r="X306" t="str">
        <f>gescon_infosparticip!BL305</f>
        <v/>
      </c>
      <c r="Y306" t="str">
        <f>gescon_infosparticip!BM305</f>
        <v/>
      </c>
    </row>
    <row r="307" spans="2:25" ht="15.75" customHeight="1" x14ac:dyDescent="0.25">
      <c r="B307">
        <f>gescon_infosparticip!A306</f>
        <v>2146189810</v>
      </c>
      <c r="C307" t="str">
        <f>gescon_infosparticip!AH306</f>
        <v>Besoin d'aide pour couper les aliments</v>
      </c>
      <c r="D307" t="str">
        <f>gescon_infosparticip!AI306</f>
        <v>pizza, crèpes au fromage et au sucre</v>
      </c>
      <c r="E307" t="str">
        <f>gescon_infosparticip!AJ306</f>
        <v/>
      </c>
      <c r="F307" t="str">
        <f>gescon_infosparticip!AK306</f>
        <v/>
      </c>
      <c r="G307" t="str">
        <f>gescon_infosparticip!AL306</f>
        <v/>
      </c>
      <c r="H307" t="str">
        <f>gescon_infosparticip!AM306</f>
        <v>Pas besoin de soutien mais doit être servi</v>
      </c>
      <c r="I307" t="str">
        <f>gescon_infosparticip!AN306</f>
        <v>eau gazeuse, thé froid.</v>
      </c>
      <c r="J307" t="str">
        <f>gescon_infosparticip!AO306</f>
        <v/>
      </c>
      <c r="K307" t="str">
        <f>gescon_infosparticip!AP306</f>
        <v>coca-cola</v>
      </c>
      <c r="L307" t="str">
        <f>gescon_infosparticip!AQ306</f>
        <v/>
      </c>
      <c r="M307">
        <f>gescon_infosparticip!BA306</f>
        <v>2146189817</v>
      </c>
      <c r="N307">
        <f>gescon_infosparticip!BB306</f>
        <v>2146189102</v>
      </c>
      <c r="O307">
        <f>gescon_infosparticip!BC306</f>
        <v>2146189849</v>
      </c>
      <c r="P307">
        <f>gescon_infosparticip!BD306</f>
        <v>2146188974</v>
      </c>
      <c r="Q307">
        <f>gescon_infosparticip!BE306</f>
        <v>2146188974</v>
      </c>
      <c r="R307" t="str">
        <f>gescon_infosparticip!BF306</f>
        <v>01479</v>
      </c>
      <c r="S307" t="str">
        <f>gescon_infosparticip!BG306</f>
        <v>Tumeur au cervelet</v>
      </c>
      <c r="T307" t="str">
        <f>gescon_infosparticip!BH306</f>
        <v/>
      </c>
      <c r="U307" t="str">
        <f>gescon_infosparticip!BI306</f>
        <v>Moyen</v>
      </c>
      <c r="V307" t="str">
        <f>gescon_infosparticip!BJ306</f>
        <v/>
      </c>
      <c r="W307" t="str">
        <f>gescon_infosparticip!BK306</f>
        <v>la maman l'aide</v>
      </c>
      <c r="X307" t="str">
        <f>gescon_infosparticip!BL306</f>
        <v>La maman l'aide pour la mobilité</v>
      </c>
      <c r="Y307" t="str">
        <f>gescon_infosparticip!BM306</f>
        <v/>
      </c>
    </row>
    <row r="308" spans="2:25" ht="15.75" customHeight="1" x14ac:dyDescent="0.25">
      <c r="B308">
        <f>gescon_infosparticip!A307</f>
        <v>2146189816</v>
      </c>
      <c r="C308" t="str">
        <f>gescon_infosparticip!AH307</f>
        <v/>
      </c>
      <c r="D308" t="str">
        <f>gescon_infosparticip!AI307</f>
        <v/>
      </c>
      <c r="E308" t="str">
        <f>gescon_infosparticip!AJ307</f>
        <v/>
      </c>
      <c r="F308" t="str">
        <f>gescon_infosparticip!AK307</f>
        <v/>
      </c>
      <c r="G308" t="str">
        <f>gescon_infosparticip!AL307</f>
        <v/>
      </c>
      <c r="H308" t="str">
        <f>gescon_infosparticip!AM307</f>
        <v/>
      </c>
      <c r="I308" t="str">
        <f>gescon_infosparticip!AN307</f>
        <v/>
      </c>
      <c r="J308" t="str">
        <f>gescon_infosparticip!AO307</f>
        <v/>
      </c>
      <c r="K308" t="str">
        <f>gescon_infosparticip!AP307</f>
        <v/>
      </c>
      <c r="L308" t="str">
        <f>gescon_infosparticip!AQ307</f>
        <v/>
      </c>
      <c r="M308">
        <f>gescon_infosparticip!BA307</f>
        <v>0</v>
      </c>
      <c r="N308">
        <f>gescon_infosparticip!BB307</f>
        <v>0</v>
      </c>
      <c r="O308">
        <f>gescon_infosparticip!BC307</f>
        <v>0</v>
      </c>
      <c r="P308">
        <f>gescon_infosparticip!BD307</f>
        <v>0</v>
      </c>
      <c r="Q308">
        <f>gescon_infosparticip!BE307</f>
        <v>0</v>
      </c>
      <c r="R308" t="str">
        <f>gescon_infosparticip!BF307</f>
        <v/>
      </c>
      <c r="S308" t="str">
        <f>gescon_infosparticip!BG307</f>
        <v/>
      </c>
      <c r="T308" t="str">
        <f>gescon_infosparticip!BH307</f>
        <v/>
      </c>
      <c r="U308" t="str">
        <f>gescon_infosparticip!BI307</f>
        <v/>
      </c>
      <c r="V308" t="str">
        <f>gescon_infosparticip!BJ307</f>
        <v/>
      </c>
      <c r="W308" t="str">
        <f>gescon_infosparticip!BK307</f>
        <v/>
      </c>
      <c r="X308" t="str">
        <f>gescon_infosparticip!BL307</f>
        <v/>
      </c>
      <c r="Y308" t="str">
        <f>gescon_infosparticip!BM307</f>
        <v/>
      </c>
    </row>
    <row r="309" spans="2:25" ht="15.75" customHeight="1" x14ac:dyDescent="0.25">
      <c r="B309">
        <f>gescon_infosparticip!A308</f>
        <v>2146189819</v>
      </c>
      <c r="C309" t="str">
        <f>gescon_infosparticip!AH308</f>
        <v/>
      </c>
      <c r="D309" t="str">
        <f>gescon_infosparticip!AI308</f>
        <v>cervelas, œufs durs, pâtes, saucisse de veau, salade verte</v>
      </c>
      <c r="E309" t="str">
        <f>gescon_infosparticip!AJ308</f>
        <v>-</v>
      </c>
      <c r="F309" t="str">
        <f>gescon_infosparticip!AK308</f>
        <v>-</v>
      </c>
      <c r="G309" t="str">
        <f>gescon_infosparticip!AL308</f>
        <v>-</v>
      </c>
      <c r="H309" t="str">
        <f>gescon_infosparticip!AM308</f>
        <v/>
      </c>
      <c r="I309" t="str">
        <f>gescon_infosparticip!AN308</f>
        <v>sirop (menthe, framboise, cassis), coca zéro, eau gazeuse</v>
      </c>
      <c r="J309" t="str">
        <f>gescon_infosparticip!AO308</f>
        <v>non</v>
      </c>
      <c r="K309" t="str">
        <f>gescon_infosparticip!AP308</f>
        <v>-</v>
      </c>
      <c r="L309" t="str">
        <f>gescon_infosparticip!AQ308</f>
        <v>-</v>
      </c>
      <c r="M309">
        <f>gescon_infosparticip!BA308</f>
        <v>2146189703</v>
      </c>
      <c r="N309">
        <f>gescon_infosparticip!BB308</f>
        <v>2146189820</v>
      </c>
      <c r="O309">
        <f>gescon_infosparticip!BC308</f>
        <v>0</v>
      </c>
      <c r="P309">
        <f>gescon_infosparticip!BD308</f>
        <v>2146189801</v>
      </c>
      <c r="Q309">
        <f>gescon_infosparticip!BE308</f>
        <v>2146189801</v>
      </c>
      <c r="R309" t="str">
        <f>gescon_infosparticip!BF308</f>
        <v>2639338</v>
      </c>
      <c r="S309" t="str">
        <f>gescon_infosparticip!BG308</f>
        <v>TSA</v>
      </c>
      <c r="T309" t="str">
        <f>gescon_infosparticip!BH308</f>
        <v/>
      </c>
      <c r="U309" t="str">
        <f>gescon_infosparticip!BI308</f>
        <v>Moyen</v>
      </c>
      <c r="V309" t="str">
        <f>gescon_infosparticip!BJ308</f>
        <v>-</v>
      </c>
      <c r="W309" t="str">
        <f>gescon_infosparticip!BK308</f>
        <v>Noélie se lave seule, avec un peu d'aide.</v>
      </c>
      <c r="X309" t="str">
        <f>gescon_infosparticip!BL308</f>
        <v>Elle a de la peine à aller à selle, a besoin d'aide. Elle a besoin d'être accompagnée au WC hors de la maison.</v>
      </c>
      <c r="Y309" t="str">
        <f>gescon_infosparticip!BM308</f>
        <v>-</v>
      </c>
    </row>
    <row r="310" spans="2:25" ht="15.75" customHeight="1" x14ac:dyDescent="0.25">
      <c r="B310">
        <f>gescon_infosparticip!A309</f>
        <v>2146189843</v>
      </c>
      <c r="C310" t="str">
        <f>gescon_infosparticip!AH309</f>
        <v/>
      </c>
      <c r="D310" t="str">
        <f>gescon_infosparticip!AI309</f>
        <v/>
      </c>
      <c r="E310" t="str">
        <f>gescon_infosparticip!AJ309</f>
        <v/>
      </c>
      <c r="F310" t="str">
        <f>gescon_infosparticip!AK309</f>
        <v/>
      </c>
      <c r="G310" t="str">
        <f>gescon_infosparticip!AL309</f>
        <v>viande</v>
      </c>
      <c r="H310" t="str">
        <f>gescon_infosparticip!AM309</f>
        <v/>
      </c>
      <c r="I310" t="str">
        <f>gescon_infosparticip!AN309</f>
        <v>coca, thé froid, fanta</v>
      </c>
      <c r="J310" t="str">
        <f>gescon_infosparticip!AO309</f>
        <v/>
      </c>
      <c r="K310" t="str">
        <f>gescon_infosparticip!AP309</f>
        <v/>
      </c>
      <c r="L310" t="str">
        <f>gescon_infosparticip!AQ309</f>
        <v/>
      </c>
      <c r="M310">
        <f>gescon_infosparticip!BA309</f>
        <v>0</v>
      </c>
      <c r="N310">
        <f>gescon_infosparticip!BB309</f>
        <v>0</v>
      </c>
      <c r="O310">
        <f>gescon_infosparticip!BC309</f>
        <v>0</v>
      </c>
      <c r="P310">
        <f>gescon_infosparticip!BD309</f>
        <v>2146188974</v>
      </c>
      <c r="Q310">
        <f>gescon_infosparticip!BE309</f>
        <v>0</v>
      </c>
      <c r="R310" t="str">
        <f>gescon_infosparticip!BF309</f>
        <v/>
      </c>
      <c r="S310" t="str">
        <f>gescon_infosparticip!BG309</f>
        <v>retard de développement, difficultés motrices</v>
      </c>
      <c r="T310" t="str">
        <f>gescon_infosparticip!BH309</f>
        <v/>
      </c>
      <c r="U310" t="str">
        <f>gescon_infosparticip!BI309</f>
        <v/>
      </c>
      <c r="V310" t="str">
        <f>gescon_infosparticip!BJ309</f>
        <v/>
      </c>
      <c r="W310" t="str">
        <f>gescon_infosparticip!BK309</f>
        <v/>
      </c>
      <c r="X310" t="str">
        <f>gescon_infosparticip!BL309</f>
        <v>il faut vérifier qu'il ait bien fait le nettoyage après la grosse commission et lui faire laver les mains.</v>
      </c>
      <c r="Y310" t="str">
        <f>gescon_infosparticip!BM309</f>
        <v/>
      </c>
    </row>
    <row r="311" spans="2:25" ht="15.75" customHeight="1" x14ac:dyDescent="0.25">
      <c r="B311">
        <f>gescon_infosparticip!A310</f>
        <v>2146189852</v>
      </c>
      <c r="C311" t="str">
        <f>gescon_infosparticip!AH310</f>
        <v>Mange seule mais les aliments doivent être coupés</v>
      </c>
      <c r="D311" t="str">
        <f>gescon_infosparticip!AI310</f>
        <v>Mange de tout</v>
      </c>
      <c r="E311" t="str">
        <f>gescon_infosparticip!AJ310</f>
        <v/>
      </c>
      <c r="F311" t="str">
        <f>gescon_infosparticip!AK310</f>
        <v/>
      </c>
      <c r="G311" t="str">
        <f>gescon_infosparticip!AL310</f>
        <v/>
      </c>
      <c r="H311" t="str">
        <f>gescon_infosparticip!AM310</f>
        <v>Boit seule au verre</v>
      </c>
      <c r="I311" t="str">
        <f>gescon_infosparticip!AN310</f>
        <v>jus de fruits - sirops - thé froid/chaud - Coca - Chocolat Chaud - Lait - Café - Limonade - Eau</v>
      </c>
      <c r="J311" t="str">
        <f>gescon_infosparticip!AO310</f>
        <v/>
      </c>
      <c r="K311" t="str">
        <f>gescon_infosparticip!AP310</f>
        <v>Alcool</v>
      </c>
      <c r="L311" t="str">
        <f>gescon_infosparticip!AQ310</f>
        <v>Alcool</v>
      </c>
      <c r="M311">
        <f>gescon_infosparticip!BA310</f>
        <v>2146189868</v>
      </c>
      <c r="N311">
        <f>gescon_infosparticip!BB310</f>
        <v>0</v>
      </c>
      <c r="O311">
        <f>gescon_infosparticip!BC310</f>
        <v>0</v>
      </c>
      <c r="P311">
        <f>gescon_infosparticip!BD310</f>
        <v>2146188976</v>
      </c>
      <c r="Q311">
        <f>gescon_infosparticip!BE310</f>
        <v>2146188976</v>
      </c>
      <c r="R311" t="str">
        <f>gescon_infosparticip!BF310</f>
        <v>01-025-090-193</v>
      </c>
      <c r="S311" t="str">
        <f>gescon_infosparticip!BG310</f>
        <v>Retard du développement, trouble du spectre autistique</v>
      </c>
      <c r="T311" t="str">
        <f>gescon_infosparticip!BH310</f>
        <v>Ne parle pas</v>
      </c>
      <c r="U311" t="str">
        <f>gescon_infosparticip!BI310</f>
        <v>Elevé</v>
      </c>
      <c r="V311" t="str">
        <f>gescon_infosparticip!BJ310</f>
        <v/>
      </c>
      <c r="W311" t="str">
        <f>gescon_infosparticip!BK310</f>
        <v>besoin d'aide</v>
      </c>
      <c r="X311" t="str">
        <f>gescon_infosparticip!BL310</f>
        <v>Partiellement autonome</v>
      </c>
      <c r="Y311" t="str">
        <f>gescon_infosparticip!BM310</f>
        <v/>
      </c>
    </row>
    <row r="312" spans="2:25" ht="15.75" customHeight="1" x14ac:dyDescent="0.25">
      <c r="B312">
        <f>gescon_infosparticip!A311</f>
        <v>2146189856</v>
      </c>
      <c r="C312" t="str">
        <f>gescon_infosparticip!AH311</f>
        <v>Alimentation par PEG + par bouche</v>
      </c>
      <c r="D312" t="str">
        <f>gescon_infosparticip!AI311</f>
        <v>Kellogs, pizza, tartine, crêpes, oranges,..</v>
      </c>
      <c r="E312" t="str">
        <f>gescon_infosparticip!AJ311</f>
        <v>Plan spécial pour la PEG</v>
      </c>
      <c r="F312" t="str">
        <f>gescon_infosparticip!AK311</f>
        <v>trop de sucre</v>
      </c>
      <c r="G312" t="str">
        <f>gescon_infosparticip!AL311</f>
        <v/>
      </c>
      <c r="H312" t="str">
        <f>gescon_infosparticip!AM311</f>
        <v>Boissons par PEG mais aussi par la bouche doucement au verre. Parfois préfère à la cuillière ou avec une seringue. Attention fausses routes au verres.</v>
      </c>
      <c r="I312" t="str">
        <f>gescon_infosparticip!AN311</f>
        <v>thé, jus, sirop</v>
      </c>
      <c r="J312" t="str">
        <f>gescon_infosparticip!AO311</f>
        <v>Plan spécial pour la PEG</v>
      </c>
      <c r="K312" t="str">
        <f>gescon_infosparticip!AP311</f>
        <v>Eviter trop sucré</v>
      </c>
      <c r="L312" t="str">
        <f>gescon_infosparticip!AQ311</f>
        <v/>
      </c>
      <c r="M312">
        <f>gescon_infosparticip!BA311</f>
        <v>2146188990</v>
      </c>
      <c r="N312">
        <f>gescon_infosparticip!BB311</f>
        <v>2146189585</v>
      </c>
      <c r="O312">
        <f>gescon_infosparticip!BC311</f>
        <v>0</v>
      </c>
      <c r="P312">
        <f>gescon_infosparticip!BD311</f>
        <v>2146188969</v>
      </c>
      <c r="Q312">
        <f>gescon_infosparticip!BE311</f>
        <v>0</v>
      </c>
      <c r="R312" t="str">
        <f>gescon_infosparticip!BF311</f>
        <v/>
      </c>
      <c r="S312" t="str">
        <f>gescon_infosparticip!BG311</f>
        <v>maladie génétique métabolique, traits autistiques</v>
      </c>
      <c r="T312" t="str">
        <f>gescon_infosparticip!BH311</f>
        <v>retard général, problème de cœur,</v>
      </c>
      <c r="U312" t="str">
        <f>gescon_infosparticip!BI311</f>
        <v>Elevé</v>
      </c>
      <c r="V312" t="str">
        <f>gescon_infosparticip!BJ311</f>
        <v/>
      </c>
      <c r="W312" t="str">
        <f>gescon_infosparticip!BK311</f>
        <v>matin et soir nettoyage et changement du pansement autour de la PEG et plus si fuites</v>
      </c>
      <c r="X312" t="str">
        <f>gescon_infosparticip!BL311</f>
        <v>langé jours et nuits</v>
      </c>
      <c r="Y312" t="str">
        <f>gescon_infosparticip!BM311</f>
        <v/>
      </c>
    </row>
    <row r="313" spans="2:25" ht="15.75" customHeight="1" x14ac:dyDescent="0.25">
      <c r="B313">
        <f>gescon_infosparticip!A312</f>
        <v>2146189869</v>
      </c>
      <c r="C313" t="str">
        <f>gescon_infosparticip!AH312</f>
        <v>Lui donner à manger avec une cuillère en plastique. Mange de tout. Attendre 30 à 45 minutes avant la sieste sinon vomissement.</v>
      </c>
      <c r="D313" t="str">
        <f>gescon_infosparticip!AI312</f>
        <v>la semoule, les potages, le riz au lait. Aliment bien chaud sinon elle ne mange pas.</v>
      </c>
      <c r="E313" t="str">
        <f>gescon_infosparticip!AJ312</f>
        <v>Mixé Lisse +++ (aucun morceau), très important sinon fausse route. Demi portion le soir sinon vomissement la nuit</v>
      </c>
      <c r="F313" t="str">
        <f>gescon_infosparticip!AK312</f>
        <v>Tous les aliments piquants</v>
      </c>
      <c r="G313" t="str">
        <f>gescon_infosparticip!AL312</f>
        <v/>
      </c>
      <c r="H313" t="str">
        <f>gescon_infosparticip!AM312</f>
        <v>Boit seule ou avec guidance. Elle boit de tout mais surtout sucré et chaud au biberon.</v>
      </c>
      <c r="I313" t="str">
        <f>gescon_infosparticip!AN312</f>
        <v>Café au lait (boisson Ladie), Cacao, Sirop bien sucré. Chauffer toutes les boisons, si pas assez chaud, Sandrine refuse de boire. Si elle n'arrive pas à boire, incliner la chaise en arrière.</v>
      </c>
      <c r="J313" t="str">
        <f>gescon_infosparticip!AO312</f>
        <v/>
      </c>
      <c r="K313" t="str">
        <f>gescon_infosparticip!AP312</f>
        <v>Boisson gazeuse. Boissons lactées seulement le matin sinon vomissement</v>
      </c>
      <c r="L313" t="str">
        <f>gescon_infosparticip!AQ312</f>
        <v>Alcool</v>
      </c>
      <c r="M313">
        <f>gescon_infosparticip!BA312</f>
        <v>2146189786</v>
      </c>
      <c r="N313">
        <f>gescon_infosparticip!BB312</f>
        <v>0</v>
      </c>
      <c r="O313">
        <f>gescon_infosparticip!BC312</f>
        <v>0</v>
      </c>
      <c r="P313">
        <f>gescon_infosparticip!BD312</f>
        <v>2146188969</v>
      </c>
      <c r="Q313">
        <f>gescon_infosparticip!BE312</f>
        <v>2146188969</v>
      </c>
      <c r="R313" t="str">
        <f>gescon_infosparticip!BF312</f>
        <v/>
      </c>
      <c r="S313" t="str">
        <f>gescon_infosparticip!BG312</f>
        <v>IMC</v>
      </c>
      <c r="T313" t="str">
        <f>gescon_infosparticip!BH312</f>
        <v>Syndrome du chat, handicap mental</v>
      </c>
      <c r="U313" t="str">
        <f>gescon_infosparticip!BI312</f>
        <v>Elevé</v>
      </c>
      <c r="V313" t="str">
        <f>gescon_infosparticip!BJ312</f>
        <v/>
      </c>
      <c r="W313" t="str">
        <f>gescon_infosparticip!BK312</f>
        <v>Douche tous les jours, chaisse percée ou lit de douche. En cas de rougeur sur la joue, appliquer la crème Similasan 3x/j jusqu'à évolution</v>
      </c>
      <c r="X313" t="str">
        <f>gescon_infosparticip!BL312</f>
        <v>Langée jour et nuit, va à selle tous les jours. Si pas de selles après 2j -&gt; 10 gouttes de Laxoberon et si pas de selles après 5j -&gt; lavement (Clyssie)</v>
      </c>
      <c r="Y313" t="str">
        <f>gescon_infosparticip!BM312</f>
        <v/>
      </c>
    </row>
    <row r="314" spans="2:25" ht="15.75" customHeight="1" x14ac:dyDescent="0.25">
      <c r="B314">
        <f>gescon_infosparticip!A313</f>
        <v>2146189874</v>
      </c>
      <c r="C314" t="str">
        <f>gescon_infosparticip!AH313</f>
        <v/>
      </c>
      <c r="D314" t="str">
        <f>gescon_infosparticip!AI313</f>
        <v/>
      </c>
      <c r="E314" t="str">
        <f>gescon_infosparticip!AJ313</f>
        <v/>
      </c>
      <c r="F314" t="str">
        <f>gescon_infosparticip!AK313</f>
        <v/>
      </c>
      <c r="G314" t="str">
        <f>gescon_infosparticip!AL313</f>
        <v/>
      </c>
      <c r="H314" t="str">
        <f>gescon_infosparticip!AM313</f>
        <v/>
      </c>
      <c r="I314" t="str">
        <f>gescon_infosparticip!AN313</f>
        <v/>
      </c>
      <c r="J314" t="str">
        <f>gescon_infosparticip!AO313</f>
        <v/>
      </c>
      <c r="K314" t="str">
        <f>gescon_infosparticip!AP313</f>
        <v/>
      </c>
      <c r="L314" t="str">
        <f>gescon_infosparticip!AQ313</f>
        <v/>
      </c>
      <c r="M314">
        <f>gescon_infosparticip!BA313</f>
        <v>0</v>
      </c>
      <c r="N314">
        <f>gescon_infosparticip!BB313</f>
        <v>0</v>
      </c>
      <c r="O314">
        <f>gescon_infosparticip!BC313</f>
        <v>0</v>
      </c>
      <c r="P314">
        <f>gescon_infosparticip!BD313</f>
        <v>0</v>
      </c>
      <c r="Q314">
        <f>gescon_infosparticip!BE313</f>
        <v>0</v>
      </c>
      <c r="R314" t="str">
        <f>gescon_infosparticip!BF313</f>
        <v/>
      </c>
      <c r="S314" t="str">
        <f>gescon_infosparticip!BG313</f>
        <v>1</v>
      </c>
      <c r="T314" t="str">
        <f>gescon_infosparticip!BH313</f>
        <v/>
      </c>
      <c r="U314" t="str">
        <f>gescon_infosparticip!BI313</f>
        <v/>
      </c>
      <c r="V314" t="str">
        <f>gescon_infosparticip!BJ313</f>
        <v/>
      </c>
      <c r="W314" t="str">
        <f>gescon_infosparticip!BK313</f>
        <v/>
      </c>
      <c r="X314" t="str">
        <f>gescon_infosparticip!BL313</f>
        <v/>
      </c>
      <c r="Y314" t="str">
        <f>gescon_infosparticip!BM313</f>
        <v/>
      </c>
    </row>
    <row r="315" spans="2:25" ht="15.75" customHeight="1" x14ac:dyDescent="0.25">
      <c r="B315">
        <f>gescon_infosparticip!A314</f>
        <v>2146189888</v>
      </c>
      <c r="C315" t="str">
        <f>gescon_infosparticip!AH314</f>
        <v/>
      </c>
      <c r="D315" t="str">
        <f>gescon_infosparticip!AI314</f>
        <v/>
      </c>
      <c r="E315" t="str">
        <f>gescon_infosparticip!AJ314</f>
        <v/>
      </c>
      <c r="F315" t="str">
        <f>gescon_infosparticip!AK314</f>
        <v/>
      </c>
      <c r="G315" t="str">
        <f>gescon_infosparticip!AL314</f>
        <v/>
      </c>
      <c r="H315" t="str">
        <f>gescon_infosparticip!AM314</f>
        <v/>
      </c>
      <c r="I315" t="str">
        <f>gescon_infosparticip!AN314</f>
        <v/>
      </c>
      <c r="J315" t="str">
        <f>gescon_infosparticip!AO314</f>
        <v/>
      </c>
      <c r="K315" t="str">
        <f>gescon_infosparticip!AP314</f>
        <v/>
      </c>
      <c r="L315" t="str">
        <f>gescon_infosparticip!AQ314</f>
        <v/>
      </c>
      <c r="M315">
        <f>gescon_infosparticip!BA314</f>
        <v>0</v>
      </c>
      <c r="N315">
        <f>gescon_infosparticip!BB314</f>
        <v>0</v>
      </c>
      <c r="O315">
        <f>gescon_infosparticip!BC314</f>
        <v>0</v>
      </c>
      <c r="P315">
        <f>gescon_infosparticip!BD314</f>
        <v>0</v>
      </c>
      <c r="Q315">
        <f>gescon_infosparticip!BE314</f>
        <v>0</v>
      </c>
      <c r="R315" t="str">
        <f>gescon_infosparticip!BF314</f>
        <v/>
      </c>
      <c r="S315" t="str">
        <f>gescon_infosparticip!BG314</f>
        <v/>
      </c>
      <c r="T315" t="str">
        <f>gescon_infosparticip!BH314</f>
        <v/>
      </c>
      <c r="U315" t="str">
        <f>gescon_infosparticip!BI314</f>
        <v/>
      </c>
      <c r="V315" t="str">
        <f>gescon_infosparticip!BJ314</f>
        <v/>
      </c>
      <c r="W315" t="str">
        <f>gescon_infosparticip!BK314</f>
        <v/>
      </c>
      <c r="X315" t="str">
        <f>gescon_infosparticip!BL314</f>
        <v/>
      </c>
      <c r="Y315" t="str">
        <f>gescon_infosparticip!BM314</f>
        <v/>
      </c>
    </row>
    <row r="316" spans="2:25" ht="15.75" customHeight="1" x14ac:dyDescent="0.25">
      <c r="B316">
        <f>gescon_infosparticip!A315</f>
        <v>2146189890</v>
      </c>
      <c r="C316" t="str">
        <f>gescon_infosparticip!AH315</f>
        <v>Nolan mange seul, mais il faut lui découper la viande</v>
      </c>
      <c r="D316" t="str">
        <f>gescon_infosparticip!AI315</f>
        <v>Pâtes, pizza, lasagne, confiture, banane, abricot</v>
      </c>
      <c r="E316" t="str">
        <f>gescon_infosparticip!AJ315</f>
        <v>Riche en fibre, pâte-riz, pain complet</v>
      </c>
      <c r="F316" t="str">
        <f>gescon_infosparticip!AK315</f>
        <v/>
      </c>
      <c r="G316" t="str">
        <f>gescon_infosparticip!AL315</f>
        <v/>
      </c>
      <c r="H316" t="str">
        <f>gescon_infosparticip!AM315</f>
        <v>dans un verre, il boit seul</v>
      </c>
      <c r="I316" t="str">
        <f>gescon_infosparticip!AN315</f>
        <v>sirop</v>
      </c>
      <c r="J316" t="str">
        <f>gescon_infosparticip!AO315</f>
        <v>apport de fibre (Optifibre) 2 mesurettes dans un verre à chaque repas (midi-soir)</v>
      </c>
      <c r="K316" t="str">
        <f>gescon_infosparticip!AP315</f>
        <v/>
      </c>
      <c r="L316" t="str">
        <f>gescon_infosparticip!AQ315</f>
        <v/>
      </c>
      <c r="M316">
        <f>gescon_infosparticip!BA315</f>
        <v>226884306</v>
      </c>
      <c r="N316">
        <f>gescon_infosparticip!BB315</f>
        <v>0</v>
      </c>
      <c r="O316">
        <f>gescon_infosparticip!BC315</f>
        <v>0</v>
      </c>
      <c r="P316">
        <f>gescon_infosparticip!BD315</f>
        <v>2146188987</v>
      </c>
      <c r="Q316">
        <f>gescon_infosparticip!BE315</f>
        <v>2146188987</v>
      </c>
      <c r="R316" t="str">
        <f>gescon_infosparticip!BF315</f>
        <v/>
      </c>
      <c r="S316" t="str">
        <f>gescon_infosparticip!BG315</f>
        <v>Duplication bras court sur chromosome 5</v>
      </c>
      <c r="T316" t="str">
        <f>gescon_infosparticip!BH315</f>
        <v>retard mental et développement, malformation ano-rectale.</v>
      </c>
      <c r="U316" t="str">
        <f>gescon_infosparticip!BI315</f>
        <v>Moyen</v>
      </c>
      <c r="V316" t="str">
        <f>gescon_infosparticip!BJ315</f>
        <v>aucune</v>
      </c>
      <c r="W316" t="str">
        <f>gescon_infosparticip!BK315</f>
        <v>Avec adapateur. Il semble comprendre ce que nous lui demandons, en phase d'aprentissage.</v>
      </c>
      <c r="X316" t="str">
        <f>gescon_infosparticip!BL315</f>
        <v>Nolan est encore langé, pas d'autonomie</v>
      </c>
      <c r="Y316" t="str">
        <f>gescon_infosparticip!BM315</f>
        <v/>
      </c>
    </row>
    <row r="317" spans="2:25" ht="15.75" customHeight="1" x14ac:dyDescent="0.25">
      <c r="B317">
        <f>gescon_infosparticip!A316</f>
        <v>2146189914</v>
      </c>
      <c r="C317" t="str">
        <f>gescon_infosparticip!AH316</f>
        <v>assiette ainsi que les services tout en plastique</v>
      </c>
      <c r="D317" t="str">
        <f>gescon_infosparticip!AI316</f>
        <v>spagetti bolognese, épinard à la crème, purée de pdt, frites, chcken, cœur de poulet, omelette, kinder, biscuits..</v>
      </c>
      <c r="E317" t="str">
        <f>gescon_infosparticip!AJ316</f>
        <v/>
      </c>
      <c r="F317" t="str">
        <f>gescon_infosparticip!AK316</f>
        <v>frites conventionnel (si possible frite préparé par actifry)</v>
      </c>
      <c r="G317" t="str">
        <f>gescon_infosparticip!AL316</f>
        <v/>
      </c>
      <c r="H317" t="str">
        <f>gescon_infosparticip!AM316</f>
        <v>biberons, gobelet en plastique</v>
      </c>
      <c r="I317" t="str">
        <f>gescon_infosparticip!AN316</f>
        <v>jus de fruits (biberon), lait tiède au chocolat (biberon), eau (gobelet), coca thé froid (gobelet)</v>
      </c>
      <c r="J317" t="str">
        <f>gescon_infosparticip!AO316</f>
        <v/>
      </c>
      <c r="K317" t="str">
        <f>gescon_infosparticip!AP316</f>
        <v>Coca, thé froid (pas trop en donner)</v>
      </c>
      <c r="L317" t="str">
        <f>gescon_infosparticip!AQ316</f>
        <v/>
      </c>
      <c r="M317">
        <f>gescon_infosparticip!BA316</f>
        <v>1691</v>
      </c>
      <c r="N317">
        <f>gescon_infosparticip!BB316</f>
        <v>0</v>
      </c>
      <c r="O317">
        <f>gescon_infosparticip!BC316</f>
        <v>0</v>
      </c>
      <c r="P317">
        <f>gescon_infosparticip!BD316</f>
        <v>0</v>
      </c>
      <c r="Q317">
        <f>gescon_infosparticip!BE316</f>
        <v>0</v>
      </c>
      <c r="R317" t="str">
        <f>gescon_infosparticip!BF316</f>
        <v/>
      </c>
      <c r="S317" t="str">
        <f>gescon_infosparticip!BG316</f>
        <v>TSA, disphasie</v>
      </c>
      <c r="T317" t="str">
        <f>gescon_infosparticip!BH316</f>
        <v>besoin d'aide à se vétir, manger, langer, surveillance (beaucoup)</v>
      </c>
      <c r="U317" t="str">
        <f>gescon_infosparticip!BI316</f>
        <v>Moyen</v>
      </c>
      <c r="V317" t="str">
        <f>gescon_infosparticip!BJ316</f>
        <v/>
      </c>
      <c r="W317" t="str">
        <f>gescon_infosparticip!BK316</f>
        <v>Langer jour et nuit</v>
      </c>
      <c r="X317" t="str">
        <f>gescon_infosparticip!BL316</f>
        <v>Pas trop serrer la protection</v>
      </c>
      <c r="Y317" t="str">
        <f>gescon_infosparticip!BM316</f>
        <v/>
      </c>
    </row>
    <row r="318" spans="2:25" ht="15.75" customHeight="1" x14ac:dyDescent="0.25">
      <c r="B318">
        <f>gescon_infosparticip!A317</f>
        <v>2146189919</v>
      </c>
      <c r="C318" t="str">
        <f>gescon_infosparticip!AH317</f>
        <v>Aide pour manger</v>
      </c>
      <c r="D318" t="str">
        <f>gescon_infosparticip!AI317</f>
        <v>Tout</v>
      </c>
      <c r="E318" t="str">
        <f>gescon_infosparticip!AJ317</f>
        <v/>
      </c>
      <c r="F318" t="str">
        <f>gescon_infosparticip!AK317</f>
        <v/>
      </c>
      <c r="G318" t="str">
        <f>gescon_infosparticip!AL317</f>
        <v/>
      </c>
      <c r="H318" t="str">
        <f>gescon_infosparticip!AM317</f>
        <v>Aide pour Boire</v>
      </c>
      <c r="I318" t="str">
        <f>gescon_infosparticip!AN317</f>
        <v>Eau, café</v>
      </c>
      <c r="J318" t="str">
        <f>gescon_infosparticip!AO317</f>
        <v/>
      </c>
      <c r="K318" t="str">
        <f>gescon_infosparticip!AP317</f>
        <v>Thé chaud</v>
      </c>
      <c r="L318" t="str">
        <f>gescon_infosparticip!AQ317</f>
        <v/>
      </c>
      <c r="M318">
        <f>gescon_infosparticip!BA317</f>
        <v>2146189917</v>
      </c>
      <c r="N318">
        <f>gescon_infosparticip!BB317</f>
        <v>2146189002</v>
      </c>
      <c r="O318">
        <f>gescon_infosparticip!BC317</f>
        <v>2146189918</v>
      </c>
      <c r="P318">
        <f>gescon_infosparticip!BD317</f>
        <v>2146188985</v>
      </c>
      <c r="Q318">
        <f>gescon_infosparticip!BE317</f>
        <v>0</v>
      </c>
      <c r="R318" t="str">
        <f>gescon_infosparticip!BF317</f>
        <v>78223067</v>
      </c>
      <c r="S318" t="str">
        <f>gescon_infosparticip!BG317</f>
        <v>Phyisique</v>
      </c>
      <c r="T318" t="str">
        <f>gescon_infosparticip!BH317</f>
        <v>Sclérose en plaques</v>
      </c>
      <c r="U318" t="str">
        <f>gescon_infosparticip!BI317</f>
        <v>Elevé</v>
      </c>
      <c r="V318" t="str">
        <f>gescon_infosparticip!BJ317</f>
        <v/>
      </c>
      <c r="W318" t="str">
        <f>gescon_infosparticip!BK317</f>
        <v>une barre va être installé</v>
      </c>
      <c r="X318" t="str">
        <f>gescon_infosparticip!BL317</f>
        <v>besoin d'aide</v>
      </c>
      <c r="Y318" t="str">
        <f>gescon_infosparticip!BM317</f>
        <v/>
      </c>
    </row>
    <row r="319" spans="2:25" ht="15.75" customHeight="1" x14ac:dyDescent="0.25">
      <c r="B319">
        <f>gescon_infosparticip!A318</f>
        <v>2146189929</v>
      </c>
      <c r="C319" t="str">
        <f>gescon_infosparticip!AH318</f>
        <v/>
      </c>
      <c r="D319" t="str">
        <f>gescon_infosparticip!AI318</f>
        <v>Antoine mange de tout aux heures de repas.</v>
      </c>
      <c r="E319" t="str">
        <f>gescon_infosparticip!AJ318</f>
        <v/>
      </c>
      <c r="F319" t="str">
        <f>gescon_infosparticip!AK318</f>
        <v/>
      </c>
      <c r="G319" t="str">
        <f>gescon_infosparticip!AL318</f>
        <v/>
      </c>
      <c r="H319" t="str">
        <f>gescon_infosparticip!AM318</f>
        <v>A la demande, de l'eau et occasionnellement sirop fraise/framboise et jus de pomme.</v>
      </c>
      <c r="I319" t="str">
        <f>gescon_infosparticip!AN318</f>
        <v/>
      </c>
      <c r="J319" t="str">
        <f>gescon_infosparticip!AO318</f>
        <v/>
      </c>
      <c r="K319" t="str">
        <f>gescon_infosparticip!AP318</f>
        <v/>
      </c>
      <c r="L319" t="str">
        <f>gescon_infosparticip!AQ318</f>
        <v/>
      </c>
      <c r="M319">
        <f>gescon_infosparticip!BA318</f>
        <v>2146189953</v>
      </c>
      <c r="N319">
        <f>gescon_infosparticip!BB318</f>
        <v>0</v>
      </c>
      <c r="O319">
        <f>gescon_infosparticip!BC318</f>
        <v>0</v>
      </c>
      <c r="P319">
        <f>gescon_infosparticip!BD318</f>
        <v>2146189916</v>
      </c>
      <c r="Q319">
        <f>gescon_infosparticip!BE318</f>
        <v>2146189916</v>
      </c>
      <c r="R319" t="str">
        <f>gescon_infosparticip!BF318</f>
        <v>784-92-351</v>
      </c>
      <c r="S319" t="str">
        <f>gescon_infosparticip!BG318</f>
        <v>Trouble du spectre autistique</v>
      </c>
      <c r="T319" t="str">
        <f>gescon_infosparticip!BH318</f>
        <v>Antoine a une dérivation ventriculopéritonéale en raison d'une hydrocéphalie post-hémorragique. En d'autres termes un drain régule sa production de liquide céphalorachidien, depuis le cerveau jusqu'au péritoine.</v>
      </c>
      <c r="U319" t="str">
        <f>gescon_infosparticip!BI318</f>
        <v>Faible</v>
      </c>
      <c r="V319" t="str">
        <f>gescon_infosparticip!BJ318</f>
        <v/>
      </c>
      <c r="W319" t="str">
        <f>gescon_infosparticip!BK318</f>
        <v>Antoine va sur les toilettes tout seul.</v>
      </c>
      <c r="X319" t="str">
        <f>gescon_infosparticip!BL318</f>
        <v/>
      </c>
      <c r="Y319" t="str">
        <f>gescon_infosparticip!BM318</f>
        <v/>
      </c>
    </row>
    <row r="320" spans="2:25" ht="15.75" customHeight="1" x14ac:dyDescent="0.25">
      <c r="B320">
        <f>gescon_infosparticip!A319</f>
        <v>2146189936</v>
      </c>
      <c r="C320" t="str">
        <f>gescon_infosparticip!AH319</f>
        <v/>
      </c>
      <c r="D320" t="str">
        <f>gescon_infosparticip!AI319</f>
        <v>Saucisse à rôtir</v>
      </c>
      <c r="E320" t="str">
        <f>gescon_infosparticip!AJ319</f>
        <v/>
      </c>
      <c r="F320" t="str">
        <f>gescon_infosparticip!AK319</f>
        <v>choux de bruxelles</v>
      </c>
      <c r="G320" t="str">
        <f>gescon_infosparticip!AL319</f>
        <v/>
      </c>
      <c r="H320" t="str">
        <f>gescon_infosparticip!AM319</f>
        <v/>
      </c>
      <c r="I320" t="str">
        <f>gescon_infosparticip!AN319</f>
        <v>Sirop grenadine</v>
      </c>
      <c r="J320" t="str">
        <f>gescon_infosparticip!AO319</f>
        <v/>
      </c>
      <c r="K320" t="str">
        <f>gescon_infosparticip!AP319</f>
        <v/>
      </c>
      <c r="L320" t="str">
        <f>gescon_infosparticip!AQ319</f>
        <v/>
      </c>
      <c r="M320">
        <f>gescon_infosparticip!BA319</f>
        <v>2146189804</v>
      </c>
      <c r="N320">
        <f>gescon_infosparticip!BB319</f>
        <v>0</v>
      </c>
      <c r="O320">
        <f>gescon_infosparticip!BC319</f>
        <v>0</v>
      </c>
      <c r="P320">
        <f>gescon_infosparticip!BD319</f>
        <v>2146189987</v>
      </c>
      <c r="Q320">
        <f>gescon_infosparticip!BE319</f>
        <v>0</v>
      </c>
      <c r="R320" t="str">
        <f>gescon_infosparticip!BF319</f>
        <v/>
      </c>
      <c r="S320" t="str">
        <f>gescon_infosparticip!BG319</f>
        <v/>
      </c>
      <c r="T320" t="str">
        <f>gescon_infosparticip!BH319</f>
        <v/>
      </c>
      <c r="U320" t="str">
        <f>gescon_infosparticip!BI319</f>
        <v/>
      </c>
      <c r="V320" t="str">
        <f>gescon_infosparticip!BJ319</f>
        <v/>
      </c>
      <c r="W320" t="str">
        <f>gescon_infosparticip!BK319</f>
        <v/>
      </c>
      <c r="X320" t="str">
        <f>gescon_infosparticip!BL319</f>
        <v/>
      </c>
      <c r="Y320" t="str">
        <f>gescon_infosparticip!BM319</f>
        <v/>
      </c>
    </row>
    <row r="321" spans="2:25" ht="15.75" customHeight="1" x14ac:dyDescent="0.25">
      <c r="B321">
        <f>gescon_infosparticip!A320</f>
        <v>2146189939</v>
      </c>
      <c r="C321" t="str">
        <f>gescon_infosparticip!AH320</f>
        <v>Aux moments des repas, éviter en dehors. Couper en petits morceaux. ATTENTION il ne mâche pas.</v>
      </c>
      <c r="D321" t="str">
        <f>gescon_infosparticip!AI320</f>
        <v>Les coquillettes à la tomate, le paté, le fromage et les yaourts.</v>
      </c>
      <c r="E321" t="str">
        <f>gescon_infosparticip!AJ320</f>
        <v/>
      </c>
      <c r="F321" t="str">
        <f>gescon_infosparticip!AK320</f>
        <v/>
      </c>
      <c r="G321" t="str">
        <f>gescon_infosparticip!AL320</f>
        <v/>
      </c>
      <c r="H321" t="str">
        <f>gescon_infosparticip!AM320</f>
        <v>Dès qu'il le souhaite et aux moments des repas. Penser à lui proposer régulièrement</v>
      </c>
      <c r="I321" t="str">
        <f>gescon_infosparticip!AN320</f>
        <v>L'eau et le lait avec du chocolat.</v>
      </c>
      <c r="J321" t="str">
        <f>gescon_infosparticip!AO320</f>
        <v/>
      </c>
      <c r="K321" t="str">
        <f>gescon_infosparticip!AP320</f>
        <v>Boissons sucrées comme le Cola.</v>
      </c>
      <c r="L321" t="str">
        <f>gescon_infosparticip!AQ320</f>
        <v/>
      </c>
      <c r="M321">
        <f>gescon_infosparticip!BA320</f>
        <v>-129692674</v>
      </c>
      <c r="N321">
        <f>gescon_infosparticip!BB320</f>
        <v>0</v>
      </c>
      <c r="O321">
        <f>gescon_infosparticip!BC320</f>
        <v>0</v>
      </c>
      <c r="P321">
        <f>gescon_infosparticip!BD320</f>
        <v>2146189003</v>
      </c>
      <c r="Q321">
        <f>gescon_infosparticip!BE320</f>
        <v>2146190010</v>
      </c>
      <c r="R321" t="str">
        <f>gescon_infosparticip!BF320</f>
        <v>95516143</v>
      </c>
      <c r="S321" t="str">
        <f>gescon_infosparticip!BG320</f>
        <v>Retard global di développement.</v>
      </c>
      <c r="T321" t="str">
        <f>gescon_infosparticip!BH320</f>
        <v/>
      </c>
      <c r="U321" t="str">
        <f>gescon_infosparticip!BI320</f>
        <v>Faible</v>
      </c>
      <c r="V321" t="str">
        <f>gescon_infosparticip!BJ320</f>
        <v/>
      </c>
      <c r="W321" t="str">
        <f>gescon_infosparticip!BK320</f>
        <v>Il porte des couches toute la journée.</v>
      </c>
      <c r="X321" t="str">
        <f>gescon_infosparticip!BL320</f>
        <v>But: arriver petit à petit à la propreté.</v>
      </c>
      <c r="Y321" t="str">
        <f>gescon_infosparticip!BM320</f>
        <v/>
      </c>
    </row>
    <row r="322" spans="2:25" ht="15.75" customHeight="1" x14ac:dyDescent="0.25">
      <c r="B322">
        <f>gescon_infosparticip!A321</f>
        <v>2146189948</v>
      </c>
      <c r="C322" t="str">
        <f>gescon_infosparticip!AH321</f>
        <v>Couper les aliments. Tapis anti-glisse, cuillère personnelle, mange seul.</v>
      </c>
      <c r="D322" t="str">
        <f>gescon_infosparticip!AI321</f>
        <v>Poissons</v>
      </c>
      <c r="E322" t="str">
        <f>gescon_infosparticip!AJ321</f>
        <v/>
      </c>
      <c r="F322" t="str">
        <f>gescon_infosparticip!AK321</f>
        <v>Il n'aime pas le saumon</v>
      </c>
      <c r="G322" t="str">
        <f>gescon_infosparticip!AL321</f>
        <v/>
      </c>
      <c r="H322" t="str">
        <f>gescon_infosparticip!AM321</f>
        <v>Verre + paille, boit seul.</v>
      </c>
      <c r="I322" t="str">
        <f>gescon_infosparticip!AN321</f>
        <v>Egal, à stimuler.</v>
      </c>
      <c r="J322" t="str">
        <f>gescon_infosparticip!AO321</f>
        <v/>
      </c>
      <c r="K322" t="str">
        <f>gescon_infosparticip!AP321</f>
        <v/>
      </c>
      <c r="L322" t="str">
        <f>gescon_infosparticip!AQ321</f>
        <v>Ne boit pas d'alcool.</v>
      </c>
      <c r="M322">
        <f>gescon_infosparticip!BA321</f>
        <v>2146189484</v>
      </c>
      <c r="N322">
        <f>gescon_infosparticip!BB321</f>
        <v>2146189670</v>
      </c>
      <c r="O322">
        <f>gescon_infosparticip!BC321</f>
        <v>2146189854</v>
      </c>
      <c r="P322">
        <f>gescon_infosparticip!BD321</f>
        <v>2146189004</v>
      </c>
      <c r="Q322">
        <f>gescon_infosparticip!BE321</f>
        <v>2146188982</v>
      </c>
      <c r="R322" t="str">
        <f>gescon_infosparticip!BF321</f>
        <v>756.9825.3167.63</v>
      </c>
      <c r="S322" t="str">
        <f>gescon_infosparticip!BG321</f>
        <v>Tétraplégie (incomplète : haut du corps - complète : bas du corps)</v>
      </c>
      <c r="T322" t="str">
        <f>gescon_infosparticip!BH321</f>
        <v>Trachéostomie avec canule parlante</v>
      </c>
      <c r="U322" t="str">
        <f>gescon_infosparticip!BI321</f>
        <v>Elevé</v>
      </c>
      <c r="V322" t="str">
        <f>gescon_infosparticip!BJ321</f>
        <v/>
      </c>
      <c r="W322" t="str">
        <f>gescon_infosparticip!BK321</f>
        <v>Toilette complète au lit ou douche. Se rase lui-même au lavabo. Petit pansement sur l'abdomen. Changer pst. si tâché. Soins de canule matin et soir (si possible) : à l'aide de la pince à épiler + lampe de poche, enlever petites croutes, sécrétions sèches autour de la canule parlante, nettoyer l'intérieur de la canule avec une petite brosse ( désinfecter la brosse dans l'Hidibil)
Soins de canule matin et soir (si possible à midi): à l'aide de la pince à épiler + lampe de poche, enlever les petites croutes, sécrétions sèches autour de la canule parlante, nettoyer l'intérieur de la canule avec une petite brosse (désinfecter la brosse dans l'Hidibil)</v>
      </c>
      <c r="X322" t="str">
        <f>gescon_infosparticip!BL321</f>
        <v>Sonde vésicale sus-pubienne. Selles : suppositoire une heure avant le lever, puis toucher rectal stimulant côté gauche. Pas de protections la journée.</v>
      </c>
      <c r="Y322" t="str">
        <f>gescon_infosparticip!BM321</f>
        <v>Petit pansement sur l'abdomen. Changer pst. si tâché.</v>
      </c>
    </row>
    <row r="323" spans="2:25" ht="15.75" customHeight="1" x14ac:dyDescent="0.25">
      <c r="B323">
        <f>gescon_infosparticip!A322</f>
        <v>2146189949</v>
      </c>
      <c r="C323" t="str">
        <f>gescon_infosparticip!AH322</f>
        <v/>
      </c>
      <c r="D323" t="str">
        <f>gescon_infosparticip!AI322</f>
        <v>Fruits et légumes</v>
      </c>
      <c r="E323" t="str">
        <f>gescon_infosparticip!AJ322</f>
        <v/>
      </c>
      <c r="F323" t="str">
        <f>gescon_infosparticip!AK322</f>
        <v/>
      </c>
      <c r="G323" t="str">
        <f>gescon_infosparticip!AL322</f>
        <v>Chocolat</v>
      </c>
      <c r="H323" t="str">
        <f>gescon_infosparticip!AM322</f>
        <v>Eau à la demande</v>
      </c>
      <c r="I323" t="str">
        <f>gescon_infosparticip!AN322</f>
        <v>Eau-Sirop-Jus de Fruit-Lait (le matin)</v>
      </c>
      <c r="J323" t="str">
        <f>gescon_infosparticip!AO322</f>
        <v/>
      </c>
      <c r="K323" t="str">
        <f>gescon_infosparticip!AP322</f>
        <v/>
      </c>
      <c r="L323" t="str">
        <f>gescon_infosparticip!AQ322</f>
        <v>Cacao</v>
      </c>
      <c r="M323">
        <f>gescon_infosparticip!BA322</f>
        <v>2152</v>
      </c>
      <c r="N323">
        <f>gescon_infosparticip!BB322</f>
        <v>0</v>
      </c>
      <c r="O323">
        <f>gescon_infosparticip!BC322</f>
        <v>0</v>
      </c>
      <c r="P323">
        <f>gescon_infosparticip!BD322</f>
        <v>0</v>
      </c>
      <c r="Q323">
        <f>gescon_infosparticip!BE322</f>
        <v>0</v>
      </c>
      <c r="R323" t="str">
        <f>gescon_infosparticip!BF322</f>
        <v/>
      </c>
      <c r="S323" t="str">
        <f>gescon_infosparticip!BG322</f>
        <v/>
      </c>
      <c r="T323" t="str">
        <f>gescon_infosparticip!BH322</f>
        <v/>
      </c>
      <c r="U323" t="str">
        <f>gescon_infosparticip!BI322</f>
        <v/>
      </c>
      <c r="V323" t="str">
        <f>gescon_infosparticip!BJ322</f>
        <v>chocolat</v>
      </c>
      <c r="W323" t="str">
        <f>gescon_infosparticip!BK322</f>
        <v>En cas de crise, difficile de le nettoyer</v>
      </c>
      <c r="X323" t="str">
        <f>gescon_infosparticip!BL322</f>
        <v>A besoin d'aide sur demande</v>
      </c>
      <c r="Y323" t="str">
        <f>gescon_infosparticip!BM322</f>
        <v/>
      </c>
    </row>
    <row r="324" spans="2:25" ht="15.75" customHeight="1" x14ac:dyDescent="0.25">
      <c r="B324">
        <f>gescon_infosparticip!A323</f>
        <v>2146189971</v>
      </c>
      <c r="C324" t="str">
        <f>gescon_infosparticip!AH323</f>
        <v>Il mange de tout.</v>
      </c>
      <c r="D324" t="str">
        <f>gescon_infosparticip!AI323</f>
        <v/>
      </c>
      <c r="E324" t="str">
        <f>gescon_infosparticip!AJ323</f>
        <v/>
      </c>
      <c r="F324" t="str">
        <f>gescon_infosparticip!AK323</f>
        <v>Epinards</v>
      </c>
      <c r="G324" t="str">
        <f>gescon_infosparticip!AL323</f>
        <v/>
      </c>
      <c r="H324" t="str">
        <f>gescon_infosparticip!AM323</f>
        <v>Verre, gobelet.</v>
      </c>
      <c r="I324" t="str">
        <f>gescon_infosparticip!AN323</f>
        <v>Sirop à la menthe, thé froid, jus de fruit.</v>
      </c>
      <c r="J324" t="str">
        <f>gescon_infosparticip!AO323</f>
        <v/>
      </c>
      <c r="K324" t="str">
        <f>gescon_infosparticip!AP323</f>
        <v/>
      </c>
      <c r="L324" t="str">
        <f>gescon_infosparticip!AQ323</f>
        <v/>
      </c>
      <c r="M324">
        <f>gescon_infosparticip!BA323</f>
        <v>2152</v>
      </c>
      <c r="N324">
        <f>gescon_infosparticip!BB323</f>
        <v>0</v>
      </c>
      <c r="O324">
        <f>gescon_infosparticip!BC323</f>
        <v>0</v>
      </c>
      <c r="P324">
        <f>gescon_infosparticip!BD323</f>
        <v>2146188985</v>
      </c>
      <c r="Q324">
        <f>gescon_infosparticip!BE323</f>
        <v>2146188985</v>
      </c>
      <c r="R324" t="str">
        <f>gescon_infosparticip!BF323</f>
        <v/>
      </c>
      <c r="S324" t="str">
        <f>gescon_infosparticip!BG323</f>
        <v/>
      </c>
      <c r="T324" t="str">
        <f>gescon_infosparticip!BH323</f>
        <v/>
      </c>
      <c r="U324" t="str">
        <f>gescon_infosparticip!BI323</f>
        <v/>
      </c>
      <c r="V324" t="str">
        <f>gescon_infosparticip!BJ323</f>
        <v/>
      </c>
      <c r="W324" t="str">
        <f>gescon_infosparticip!BK323</f>
        <v/>
      </c>
      <c r="X324" t="str">
        <f>gescon_infosparticip!BL323</f>
        <v/>
      </c>
      <c r="Y324" t="str">
        <f>gescon_infosparticip!BM323</f>
        <v/>
      </c>
    </row>
    <row r="325" spans="2:25" ht="15.75" customHeight="1" x14ac:dyDescent="0.25">
      <c r="B325">
        <f>gescon_infosparticip!A324</f>
        <v>2146189979</v>
      </c>
      <c r="C325" t="str">
        <f>gescon_infosparticip!AH324</f>
        <v>petit-déjeuner, dîner, goûter, souper ( difficile de cadrer ou strcturer les repas. )</v>
      </c>
      <c r="D325" t="str">
        <f>gescon_infosparticip!AI324</f>
        <v>pâtes, Kinder branche au lait, pain toast, banane, poire, pomme, fromage râpé. ( légumes, viande…)</v>
      </c>
      <c r="E325" t="str">
        <f>gescon_infosparticip!AJ324</f>
        <v/>
      </c>
      <c r="F325" t="str">
        <f>gescon_infosparticip!AK324</f>
        <v>Très sélectif sur la nourriture ( aliments blancs ).</v>
      </c>
      <c r="G325" t="str">
        <f>gescon_infosparticip!AL324</f>
        <v/>
      </c>
      <c r="H325" t="str">
        <f>gescon_infosparticip!AM324</f>
        <v/>
      </c>
      <c r="I325" t="str">
        <f>gescon_infosparticip!AN324</f>
        <v>eau, lait entier UHT (Emmi) ou autres marques</v>
      </c>
      <c r="J325" t="str">
        <f>gescon_infosparticip!AO324</f>
        <v/>
      </c>
      <c r="K325" t="str">
        <f>gescon_infosparticip!AP324</f>
        <v/>
      </c>
      <c r="L325" t="str">
        <f>gescon_infosparticip!AQ324</f>
        <v>Pas d'allergies</v>
      </c>
      <c r="M325">
        <f>gescon_infosparticip!BA324</f>
        <v>-129692674</v>
      </c>
      <c r="N325">
        <f>gescon_infosparticip!BB324</f>
        <v>0</v>
      </c>
      <c r="O325">
        <f>gescon_infosparticip!BC324</f>
        <v>0</v>
      </c>
      <c r="P325">
        <f>gescon_infosparticip!BD324</f>
        <v>0</v>
      </c>
      <c r="Q325">
        <f>gescon_infosparticip!BE324</f>
        <v>0</v>
      </c>
      <c r="R325" t="str">
        <f>gescon_infosparticip!BF324</f>
        <v/>
      </c>
      <c r="S325" t="str">
        <f>gescon_infosparticip!BG324</f>
        <v/>
      </c>
      <c r="T325" t="str">
        <f>gescon_infosparticip!BH324</f>
        <v/>
      </c>
      <c r="U325" t="str">
        <f>gescon_infosparticip!BI324</f>
        <v/>
      </c>
      <c r="V325" t="str">
        <f>gescon_infosparticip!BJ324</f>
        <v/>
      </c>
      <c r="W325" t="str">
        <f>gescon_infosparticip!BK324</f>
        <v/>
      </c>
      <c r="X325" t="str">
        <f>gescon_infosparticip!BL324</f>
        <v>le mettre au WC régulièrement, porte encore des couches, apprend à aller aux WC.</v>
      </c>
      <c r="Y325" t="str">
        <f>gescon_infosparticip!BM324</f>
        <v/>
      </c>
    </row>
    <row r="326" spans="2:25" ht="15.75" customHeight="1" x14ac:dyDescent="0.25">
      <c r="B326">
        <f>gescon_infosparticip!A325</f>
        <v>2146189991</v>
      </c>
      <c r="C326" t="str">
        <f>gescon_infosparticip!AH325</f>
        <v>Prendre le temps pour lui donner à manger.</v>
      </c>
      <c r="D326" t="str">
        <f>gescon_infosparticip!AI325</f>
        <v/>
      </c>
      <c r="E326" t="str">
        <f>gescon_infosparticip!AJ325</f>
        <v>Coupé</v>
      </c>
      <c r="F326" t="str">
        <f>gescon_infosparticip!AK325</f>
        <v/>
      </c>
      <c r="G326" t="str">
        <f>gescon_infosparticip!AL325</f>
        <v/>
      </c>
      <c r="H326" t="str">
        <f>gescon_infosparticip!AM325</f>
        <v>Dans un verre.</v>
      </c>
      <c r="I326" t="str">
        <f>gescon_infosparticip!AN325</f>
        <v>Sirop et café froid</v>
      </c>
      <c r="J326" t="str">
        <f>gescon_infosparticip!AO325</f>
        <v/>
      </c>
      <c r="K326" t="str">
        <f>gescon_infosparticip!AP325</f>
        <v/>
      </c>
      <c r="L326" t="str">
        <f>gescon_infosparticip!AQ325</f>
        <v/>
      </c>
      <c r="M326">
        <f>gescon_infosparticip!BA325</f>
        <v>2146189995</v>
      </c>
      <c r="N326">
        <f>gescon_infosparticip!BB325</f>
        <v>0</v>
      </c>
      <c r="O326">
        <f>gescon_infosparticip!BC325</f>
        <v>0</v>
      </c>
      <c r="P326">
        <f>gescon_infosparticip!BD325</f>
        <v>2146189120</v>
      </c>
      <c r="Q326">
        <f>gescon_infosparticip!BE325</f>
        <v>0</v>
      </c>
      <c r="R326" t="str">
        <f>gescon_infosparticip!BF325</f>
        <v>2319294</v>
      </c>
      <c r="S326" t="str">
        <f>gescon_infosparticip!BG325</f>
        <v>CP et épilepsie</v>
      </c>
      <c r="T326" t="str">
        <f>gescon_infosparticip!BH325</f>
        <v/>
      </c>
      <c r="U326" t="str">
        <f>gescon_infosparticip!BI325</f>
        <v/>
      </c>
      <c r="V326" t="str">
        <f>gescon_infosparticip!BJ325</f>
        <v>Aucune</v>
      </c>
      <c r="W326" t="str">
        <f>gescon_infosparticip!BK325</f>
        <v/>
      </c>
      <c r="X326" t="str">
        <f>gescon_infosparticip!BL325</f>
        <v>Il porte des protections.</v>
      </c>
      <c r="Y326" t="str">
        <f>gescon_infosparticip!BM325</f>
        <v/>
      </c>
    </row>
    <row r="327" spans="2:25" ht="15.75" customHeight="1" x14ac:dyDescent="0.25">
      <c r="B327">
        <f>gescon_infosparticip!A326</f>
        <v>2146189993</v>
      </c>
      <c r="C327" t="str">
        <f>gescon_infosparticip!AH326</f>
        <v/>
      </c>
      <c r="D327" t="str">
        <f>gescon_infosparticip!AI326</f>
        <v/>
      </c>
      <c r="E327" t="str">
        <f>gescon_infosparticip!AJ326</f>
        <v/>
      </c>
      <c r="F327" t="str">
        <f>gescon_infosparticip!AK326</f>
        <v/>
      </c>
      <c r="G327" t="str">
        <f>gescon_infosparticip!AL326</f>
        <v/>
      </c>
      <c r="H327" t="str">
        <f>gescon_infosparticip!AM326</f>
        <v/>
      </c>
      <c r="I327" t="str">
        <f>gescon_infosparticip!AN326</f>
        <v/>
      </c>
      <c r="J327" t="str">
        <f>gescon_infosparticip!AO326</f>
        <v/>
      </c>
      <c r="K327" t="str">
        <f>gescon_infosparticip!AP326</f>
        <v/>
      </c>
      <c r="L327" t="str">
        <f>gescon_infosparticip!AQ326</f>
        <v/>
      </c>
      <c r="M327">
        <f>gescon_infosparticip!BA326</f>
        <v>0</v>
      </c>
      <c r="N327">
        <f>gescon_infosparticip!BB326</f>
        <v>0</v>
      </c>
      <c r="O327">
        <f>gescon_infosparticip!BC326</f>
        <v>0</v>
      </c>
      <c r="P327">
        <f>gescon_infosparticip!BD326</f>
        <v>0</v>
      </c>
      <c r="Q327">
        <f>gescon_infosparticip!BE326</f>
        <v>0</v>
      </c>
      <c r="R327" t="str">
        <f>gescon_infosparticip!BF326</f>
        <v/>
      </c>
      <c r="S327" t="str">
        <f>gescon_infosparticip!BG326</f>
        <v/>
      </c>
      <c r="T327" t="str">
        <f>gescon_infosparticip!BH326</f>
        <v/>
      </c>
      <c r="U327" t="str">
        <f>gescon_infosparticip!BI326</f>
        <v/>
      </c>
      <c r="V327" t="str">
        <f>gescon_infosparticip!BJ326</f>
        <v/>
      </c>
      <c r="W327" t="str">
        <f>gescon_infosparticip!BK326</f>
        <v/>
      </c>
      <c r="X327" t="str">
        <f>gescon_infosparticip!BL326</f>
        <v/>
      </c>
      <c r="Y327" t="str">
        <f>gescon_infosparticip!BM326</f>
        <v/>
      </c>
    </row>
    <row r="328" spans="2:25" ht="15.75" customHeight="1" x14ac:dyDescent="0.25">
      <c r="B328">
        <f>gescon_infosparticip!A327</f>
        <v>2146189997</v>
      </c>
      <c r="C328" t="str">
        <f>gescon_infosparticip!AH327</f>
        <v>Nutrini par la PEG</v>
      </c>
      <c r="D328" t="str">
        <f>gescon_infosparticip!AI327</f>
        <v>Compote, purée</v>
      </c>
      <c r="E328" t="str">
        <f>gescon_infosparticip!AJ327</f>
        <v/>
      </c>
      <c r="F328" t="str">
        <f>gescon_infosparticip!AK327</f>
        <v/>
      </c>
      <c r="G328" t="str">
        <f>gescon_infosparticip!AL327</f>
        <v/>
      </c>
      <c r="H328" t="str">
        <f>gescon_infosparticip!AM327</f>
        <v>Pas de liquide pour le moment</v>
      </c>
      <c r="I328" t="str">
        <f>gescon_infosparticip!AN327</f>
        <v/>
      </c>
      <c r="J328" t="str">
        <f>gescon_infosparticip!AO327</f>
        <v/>
      </c>
      <c r="K328" t="str">
        <f>gescon_infosparticip!AP327</f>
        <v/>
      </c>
      <c r="L328" t="str">
        <f>gescon_infosparticip!AQ327</f>
        <v/>
      </c>
      <c r="M328">
        <f>gescon_infosparticip!BA327</f>
        <v>1309859639</v>
      </c>
      <c r="N328">
        <f>gescon_infosparticip!BB327</f>
        <v>0</v>
      </c>
      <c r="O328">
        <f>gescon_infosparticip!BC327</f>
        <v>0</v>
      </c>
      <c r="P328">
        <f>gescon_infosparticip!BD327</f>
        <v>0</v>
      </c>
      <c r="Q328">
        <f>gescon_infosparticip!BE327</f>
        <v>0</v>
      </c>
      <c r="R328" t="str">
        <f>gescon_infosparticip!BF327</f>
        <v/>
      </c>
      <c r="S328" t="str">
        <f>gescon_infosparticip!BG327</f>
        <v/>
      </c>
      <c r="T328" t="str">
        <f>gescon_infosparticip!BH327</f>
        <v/>
      </c>
      <c r="U328" t="str">
        <f>gescon_infosparticip!BI327</f>
        <v/>
      </c>
      <c r="V328" t="str">
        <f>gescon_infosparticip!BJ327</f>
        <v/>
      </c>
      <c r="W328" t="str">
        <f>gescon_infosparticip!BK327</f>
        <v/>
      </c>
      <c r="X328" t="str">
        <f>gescon_infosparticip!BL327</f>
        <v/>
      </c>
      <c r="Y328" t="str">
        <f>gescon_infosparticip!BM327</f>
        <v/>
      </c>
    </row>
    <row r="329" spans="2:25" ht="15.75" customHeight="1" x14ac:dyDescent="0.25">
      <c r="B329">
        <f>gescon_infosparticip!A328</f>
        <v>2146190010</v>
      </c>
      <c r="C329" t="str">
        <f>gescon_infosparticip!AH328</f>
        <v>Aux moments des repas, eviter en dehors. Couper en petits morceaux. Attention il ne mâche pas.</v>
      </c>
      <c r="D329" t="str">
        <f>gescon_infosparticip!AI328</f>
        <v>Les coquillettes à la tomate, le paté, le fromage et les yaourts.</v>
      </c>
      <c r="E329" t="str">
        <f>gescon_infosparticip!AJ328</f>
        <v/>
      </c>
      <c r="F329" t="str">
        <f>gescon_infosparticip!AK328</f>
        <v/>
      </c>
      <c r="G329" t="str">
        <f>gescon_infosparticip!AL328</f>
        <v/>
      </c>
      <c r="H329" t="str">
        <f>gescon_infosparticip!AM328</f>
        <v>Dès qu'il le souhaite et aux moments des repas. Penser à lui proposer régulièrement.</v>
      </c>
      <c r="I329" t="str">
        <f>gescon_infosparticip!AN328</f>
        <v>L'eau et le lait avec du chocolat.</v>
      </c>
      <c r="J329" t="str">
        <f>gescon_infosparticip!AO328</f>
        <v/>
      </c>
      <c r="K329" t="str">
        <f>gescon_infosparticip!AP328</f>
        <v>Boissons sucrées comme le Coca-Cola.</v>
      </c>
      <c r="L329" t="str">
        <f>gescon_infosparticip!AQ328</f>
        <v/>
      </c>
      <c r="M329">
        <f>gescon_infosparticip!BA328</f>
        <v>-129692674</v>
      </c>
      <c r="N329">
        <f>gescon_infosparticip!BB328</f>
        <v>0</v>
      </c>
      <c r="O329">
        <f>gescon_infosparticip!BC328</f>
        <v>0</v>
      </c>
      <c r="P329">
        <f>gescon_infosparticip!BD328</f>
        <v>2146189003</v>
      </c>
      <c r="Q329">
        <f>gescon_infosparticip!BE328</f>
        <v>0</v>
      </c>
      <c r="R329" t="str">
        <f>gescon_infosparticip!BF328</f>
        <v>95516143</v>
      </c>
      <c r="S329" t="str">
        <f>gescon_infosparticip!BG328</f>
        <v>Retard global du développement.</v>
      </c>
      <c r="T329" t="str">
        <f>gescon_infosparticip!BH328</f>
        <v/>
      </c>
      <c r="U329" t="str">
        <f>gescon_infosparticip!BI328</f>
        <v>Faible</v>
      </c>
      <c r="V329" t="str">
        <f>gescon_infosparticip!BJ328</f>
        <v/>
      </c>
      <c r="W329" t="str">
        <f>gescon_infosparticip!BK328</f>
        <v/>
      </c>
      <c r="X329" t="str">
        <f>gescon_infosparticip!BL328</f>
        <v/>
      </c>
      <c r="Y329" t="str">
        <f>gescon_infosparticip!BM328</f>
        <v/>
      </c>
    </row>
    <row r="330" spans="2:25" ht="15.75" customHeight="1" x14ac:dyDescent="0.25">
      <c r="B330">
        <f>gescon_infosparticip!A329</f>
        <v>2146190023</v>
      </c>
      <c r="C330" t="str">
        <f>gescon_infosparticip!AH329</f>
        <v>A la cuillière, morceaux, en guidance</v>
      </c>
      <c r="D330" t="str">
        <f>gescon_infosparticip!AI329</f>
        <v>potage, burger, pâtes, etc.. Mange de tout</v>
      </c>
      <c r="E330" t="str">
        <f>gescon_infosparticip!AJ329</f>
        <v/>
      </c>
      <c r="F330" t="str">
        <f>gescon_infosparticip!AK329</f>
        <v/>
      </c>
      <c r="G330" t="str">
        <f>gescon_infosparticip!AL329</f>
        <v/>
      </c>
      <c r="H330" t="str">
        <f>gescon_infosparticip!AM329</f>
        <v>Au verre</v>
      </c>
      <c r="I330" t="str">
        <f>gescon_infosparticip!AN329</f>
        <v>Eau plate- lait d'avoine- jus de fruit</v>
      </c>
      <c r="J330" t="str">
        <f>gescon_infosparticip!AO329</f>
        <v/>
      </c>
      <c r="K330" t="str">
        <f>gescon_infosparticip!AP329</f>
        <v/>
      </c>
      <c r="L330" t="str">
        <f>gescon_infosparticip!AQ329</f>
        <v/>
      </c>
      <c r="M330">
        <f>gescon_infosparticip!BA329</f>
        <v>2146190025</v>
      </c>
      <c r="N330">
        <f>gescon_infosparticip!BB329</f>
        <v>2146190026</v>
      </c>
      <c r="O330">
        <f>gescon_infosparticip!BC329</f>
        <v>0</v>
      </c>
      <c r="P330">
        <f>gescon_infosparticip!BD329</f>
        <v>2146190027</v>
      </c>
      <c r="Q330">
        <f>gescon_infosparticip!BE329</f>
        <v>2146190027</v>
      </c>
      <c r="R330" t="str">
        <f>gescon_infosparticip!BF329</f>
        <v>6.204.693</v>
      </c>
      <c r="S330" t="str">
        <f>gescon_infosparticip!BG329</f>
        <v>syndrome d'Aicardi</v>
      </c>
      <c r="T330" t="str">
        <f>gescon_infosparticip!BH329</f>
        <v>Epilepsie, marche avec déambulateur, retard de développement</v>
      </c>
      <c r="U330" t="str">
        <f>gescon_infosparticip!BI329</f>
        <v/>
      </c>
      <c r="V330" t="str">
        <f>gescon_infosparticip!BJ329</f>
        <v/>
      </c>
      <c r="W330" t="str">
        <f>gescon_infosparticip!BK329</f>
        <v/>
      </c>
      <c r="X330" t="str">
        <f>gescon_infosparticip!BL329</f>
        <v>protection</v>
      </c>
      <c r="Y330" t="str">
        <f>gescon_infosparticip!BM329</f>
        <v/>
      </c>
    </row>
    <row r="331" spans="2:25" ht="15.75" customHeight="1" x14ac:dyDescent="0.25">
      <c r="B331">
        <f>gescon_infosparticip!A330</f>
        <v>2146190031</v>
      </c>
      <c r="C331" t="str">
        <f>gescon_infosparticip!AH330</f>
        <v>Sur demande ou sur l'horaire des repas</v>
      </c>
      <c r="D331" t="str">
        <f>gescon_infosparticip!AI330</f>
        <v>Pomme,croissant au chocolat, pain au lait, biscuit d'avoine,yoghourt, compote.</v>
      </c>
      <c r="E331" t="str">
        <f>gescon_infosparticip!AJ330</f>
        <v/>
      </c>
      <c r="F331" t="str">
        <f>gescon_infosparticip!AK330</f>
        <v/>
      </c>
      <c r="G331" t="str">
        <f>gescon_infosparticip!AL330</f>
        <v/>
      </c>
      <c r="H331" t="str">
        <f>gescon_infosparticip!AM330</f>
        <v>Eau pendant la journée, sirop à midi et parfois milieu de matinée/après midi</v>
      </c>
      <c r="I331" t="str">
        <f>gescon_infosparticip!AN330</f>
        <v>eau,sirop</v>
      </c>
      <c r="J331" t="str">
        <f>gescon_infosparticip!AO330</f>
        <v/>
      </c>
      <c r="K331" t="str">
        <f>gescon_infosparticip!AP330</f>
        <v/>
      </c>
      <c r="L331" t="str">
        <f>gescon_infosparticip!AQ330</f>
        <v/>
      </c>
      <c r="M331">
        <f>gescon_infosparticip!BA330</f>
        <v>2146190045</v>
      </c>
      <c r="N331">
        <f>gescon_infosparticip!BB330</f>
        <v>0</v>
      </c>
      <c r="O331">
        <f>gescon_infosparticip!BC330</f>
        <v>0</v>
      </c>
      <c r="P331">
        <f>gescon_infosparticip!BD330</f>
        <v>2146190058</v>
      </c>
      <c r="Q331">
        <f>gescon_infosparticip!BE330</f>
        <v>0</v>
      </c>
      <c r="R331" t="str">
        <f>gescon_infosparticip!BF330</f>
        <v/>
      </c>
      <c r="S331" t="str">
        <f>gescon_infosparticip!BG330</f>
        <v>troubles du spectre autistique</v>
      </c>
      <c r="T331" t="str">
        <f>gescon_infosparticip!BH330</f>
        <v/>
      </c>
      <c r="U331" t="str">
        <f>gescon_infosparticip!BI330</f>
        <v/>
      </c>
      <c r="V331" t="str">
        <f>gescon_infosparticip!BJ330</f>
        <v/>
      </c>
      <c r="W331" t="str">
        <f>gescon_infosparticip!BK330</f>
        <v/>
      </c>
      <c r="X331" t="str">
        <f>gescon_infosparticip!BL330</f>
        <v>Mayara met des protections</v>
      </c>
      <c r="Y331" t="str">
        <f>gescon_infosparticip!BM330</f>
        <v/>
      </c>
    </row>
    <row r="332" spans="2:25" ht="15.75" customHeight="1" x14ac:dyDescent="0.25">
      <c r="B332">
        <f>gescon_infosparticip!A331</f>
        <v>2146190034</v>
      </c>
      <c r="C332" t="str">
        <f>gescon_infosparticip!AH331</f>
        <v>service pour enfants</v>
      </c>
      <c r="D332" t="str">
        <f>gescon_infosparticip!AI331</f>
        <v>poulet, brocoli, patatte</v>
      </c>
      <c r="E332" t="str">
        <f>gescon_infosparticip!AJ331</f>
        <v/>
      </c>
      <c r="F332" t="str">
        <f>gescon_infosparticip!AK331</f>
        <v>Aliments dur à mâcher</v>
      </c>
      <c r="G332" t="str">
        <f>gescon_infosparticip!AL331</f>
        <v/>
      </c>
      <c r="H332" t="str">
        <f>gescon_infosparticip!AM331</f>
        <v>gobelet plastique + paille</v>
      </c>
      <c r="I332" t="str">
        <f>gescon_infosparticip!AN331</f>
        <v>jus de pomme</v>
      </c>
      <c r="J332" t="str">
        <f>gescon_infosparticip!AO331</f>
        <v/>
      </c>
      <c r="K332" t="str">
        <f>gescon_infosparticip!AP331</f>
        <v/>
      </c>
      <c r="L332" t="str">
        <f>gescon_infosparticip!AQ331</f>
        <v/>
      </c>
      <c r="M332">
        <f>gescon_infosparticip!BA331</f>
        <v>2146188990</v>
      </c>
      <c r="N332">
        <f>gescon_infosparticip!BB331</f>
        <v>2146189867</v>
      </c>
      <c r="O332">
        <f>gescon_infosparticip!BC331</f>
        <v>2146189303</v>
      </c>
      <c r="P332">
        <f>gescon_infosparticip!BD331</f>
        <v>2146189020</v>
      </c>
      <c r="Q332">
        <f>gescon_infosparticip!BE331</f>
        <v>2146189020</v>
      </c>
      <c r="R332" t="str">
        <f>gescon_infosparticip!BF331</f>
        <v/>
      </c>
      <c r="S332" t="str">
        <f>gescon_infosparticip!BG331</f>
        <v>moypathie (TPM3) = faiblesse musculaire</v>
      </c>
      <c r="T332" t="str">
        <f>gescon_infosparticip!BH331</f>
        <v>difficultés à se déplacer, se fatigue rapidement</v>
      </c>
      <c r="U332" t="str">
        <f>gescon_infosparticip!BI331</f>
        <v/>
      </c>
      <c r="V332" t="str">
        <f>gescon_infosparticip!BJ331</f>
        <v>Aucune allergie</v>
      </c>
      <c r="W332" t="str">
        <f>gescon_infosparticip!BK331</f>
        <v/>
      </c>
      <c r="X332" t="str">
        <f>gescon_infosparticip!BL331</f>
        <v>pampers</v>
      </c>
      <c r="Y332" t="str">
        <f>gescon_infosparticip!BM331</f>
        <v/>
      </c>
    </row>
    <row r="333" spans="2:25" ht="15.75" customHeight="1" x14ac:dyDescent="0.25">
      <c r="B333">
        <f>gescon_infosparticip!A332</f>
        <v>2146190037</v>
      </c>
      <c r="C333" t="str">
        <f>gescon_infosparticip!AH332</f>
        <v>Dominika est autonome pour manger</v>
      </c>
      <c r="D333" t="str">
        <f>gescon_infosparticip!AI332</f>
        <v/>
      </c>
      <c r="E333" t="str">
        <f>gescon_infosparticip!AJ332</f>
        <v/>
      </c>
      <c r="F333" t="str">
        <f>gescon_infosparticip!AK332</f>
        <v>N'apprécie pas la chasse</v>
      </c>
      <c r="G333" t="str">
        <f>gescon_infosparticip!AL332</f>
        <v/>
      </c>
      <c r="H333" t="str">
        <f>gescon_infosparticip!AM332</f>
        <v>Dominika est autonome pour boire et choisi sa boisson</v>
      </c>
      <c r="I333" t="str">
        <f>gescon_infosparticip!AN332</f>
        <v/>
      </c>
      <c r="J333" t="str">
        <f>gescon_infosparticip!AO332</f>
        <v/>
      </c>
      <c r="K333" t="str">
        <f>gescon_infosparticip!AP332</f>
        <v/>
      </c>
      <c r="L333" t="str">
        <f>gescon_infosparticip!AQ332</f>
        <v>Allergique aux boissons contenant de l'Aloevera</v>
      </c>
      <c r="M333">
        <f>gescon_infosparticip!BA332</f>
        <v>2146189786</v>
      </c>
      <c r="N333">
        <f>gescon_infosparticip!BB332</f>
        <v>0</v>
      </c>
      <c r="O333">
        <f>gescon_infosparticip!BC332</f>
        <v>0</v>
      </c>
      <c r="P333">
        <f>gescon_infosparticip!BD332</f>
        <v>2146188974</v>
      </c>
      <c r="Q333">
        <f>gescon_infosparticip!BE332</f>
        <v>2146188974</v>
      </c>
      <c r="R333" t="str">
        <f>gescon_infosparticip!BF332</f>
        <v>80756014790023869826</v>
      </c>
      <c r="S333" t="str">
        <f>gescon_infosparticip!BG332</f>
        <v>IMC</v>
      </c>
      <c r="T333" t="str">
        <f>gescon_infosparticip!BH332</f>
        <v>Troubles de la vue</v>
      </c>
      <c r="U333" t="str">
        <f>gescon_infosparticip!BI332</f>
        <v>Moyen</v>
      </c>
      <c r="V333" t="str">
        <f>gescon_infosparticip!BJ332</f>
        <v>Pantenole, substance contenue dans la crème solaire</v>
      </c>
      <c r="W333" t="str">
        <f>gescon_infosparticip!BK332</f>
        <v>De préférence une femme pour accompagner Dominika</v>
      </c>
      <c r="X333" t="str">
        <f>gescon_infosparticip!BL332</f>
        <v>Dominika est autonome</v>
      </c>
      <c r="Y333" t="str">
        <f>gescon_infosparticip!BM332</f>
        <v/>
      </c>
    </row>
    <row r="334" spans="2:25" ht="15.75" customHeight="1" x14ac:dyDescent="0.25">
      <c r="B334">
        <f>gescon_infosparticip!A333</f>
        <v>2146190042</v>
      </c>
      <c r="C334" t="str">
        <f>gescon_infosparticip!AH333</f>
        <v/>
      </c>
      <c r="D334" t="str">
        <f>gescon_infosparticip!AI333</f>
        <v/>
      </c>
      <c r="E334" t="str">
        <f>gescon_infosparticip!AJ333</f>
        <v/>
      </c>
      <c r="F334" t="str">
        <f>gescon_infosparticip!AK333</f>
        <v/>
      </c>
      <c r="G334" t="str">
        <f>gescon_infosparticip!AL333</f>
        <v/>
      </c>
      <c r="H334" t="str">
        <f>gescon_infosparticip!AM333</f>
        <v/>
      </c>
      <c r="I334" t="str">
        <f>gescon_infosparticip!AN333</f>
        <v/>
      </c>
      <c r="J334" t="str">
        <f>gescon_infosparticip!AO333</f>
        <v/>
      </c>
      <c r="K334" t="str">
        <f>gescon_infosparticip!AP333</f>
        <v/>
      </c>
      <c r="L334" t="str">
        <f>gescon_infosparticip!AQ333</f>
        <v/>
      </c>
      <c r="M334">
        <f>gescon_infosparticip!BA333</f>
        <v>0</v>
      </c>
      <c r="N334">
        <f>gescon_infosparticip!BB333</f>
        <v>0</v>
      </c>
      <c r="O334">
        <f>gescon_infosparticip!BC333</f>
        <v>0</v>
      </c>
      <c r="P334">
        <f>gescon_infosparticip!BD333</f>
        <v>0</v>
      </c>
      <c r="Q334">
        <f>gescon_infosparticip!BE333</f>
        <v>0</v>
      </c>
      <c r="R334" t="str">
        <f>gescon_infosparticip!BF333</f>
        <v/>
      </c>
      <c r="S334" t="str">
        <f>gescon_infosparticip!BG333</f>
        <v/>
      </c>
      <c r="T334" t="str">
        <f>gescon_infosparticip!BH333</f>
        <v/>
      </c>
      <c r="U334" t="str">
        <f>gescon_infosparticip!BI333</f>
        <v/>
      </c>
      <c r="V334" t="str">
        <f>gescon_infosparticip!BJ333</f>
        <v/>
      </c>
      <c r="W334" t="str">
        <f>gescon_infosparticip!BK333</f>
        <v/>
      </c>
      <c r="X334" t="str">
        <f>gescon_infosparticip!BL333</f>
        <v/>
      </c>
      <c r="Y334" t="str">
        <f>gescon_infosparticip!BM333</f>
        <v/>
      </c>
    </row>
    <row r="335" spans="2:25" ht="15.75" customHeight="1" x14ac:dyDescent="0.25">
      <c r="B335">
        <f>gescon_infosparticip!A334</f>
        <v>2146190044</v>
      </c>
      <c r="C335" t="str">
        <f>gescon_infosparticip!AH334</f>
        <v>Gaël mange normal, il faut lui couper la nourriture. Fourchette normale, couteau spécial manche épaise</v>
      </c>
      <c r="D335" t="str">
        <f>gescon_infosparticip!AI334</f>
        <v/>
      </c>
      <c r="E335" t="str">
        <f>gescon_infosparticip!AJ334</f>
        <v/>
      </c>
      <c r="F335" t="str">
        <f>gescon_infosparticip!AK334</f>
        <v/>
      </c>
      <c r="G335" t="str">
        <f>gescon_infosparticip!AL334</f>
        <v/>
      </c>
      <c r="H335" t="str">
        <f>gescon_infosparticip!AM334</f>
        <v>peut tout boire</v>
      </c>
      <c r="I335" t="str">
        <f>gescon_infosparticip!AN334</f>
        <v>cacao, café</v>
      </c>
      <c r="J335" t="str">
        <f>gescon_infosparticip!AO334</f>
        <v/>
      </c>
      <c r="K335" t="str">
        <f>gescon_infosparticip!AP334</f>
        <v/>
      </c>
      <c r="L335" t="str">
        <f>gescon_infosparticip!AQ334</f>
        <v/>
      </c>
      <c r="M335">
        <f>gescon_infosparticip!BA334</f>
        <v>0</v>
      </c>
      <c r="N335">
        <f>gescon_infosparticip!BB334</f>
        <v>0</v>
      </c>
      <c r="O335">
        <f>gescon_infosparticip!BC334</f>
        <v>0</v>
      </c>
      <c r="P335">
        <f>gescon_infosparticip!BD334</f>
        <v>0</v>
      </c>
      <c r="Q335">
        <f>gescon_infosparticip!BE334</f>
        <v>0</v>
      </c>
      <c r="R335" t="str">
        <f>gescon_infosparticip!BF334</f>
        <v/>
      </c>
      <c r="S335" t="str">
        <f>gescon_infosparticip!BG334</f>
        <v>Ercéphalopathie prénatale malformative</v>
      </c>
      <c r="T335" t="str">
        <f>gescon_infosparticip!BH334</f>
        <v>Strabisme - retard mental - éléments de type autistique</v>
      </c>
      <c r="U335" t="str">
        <f>gescon_infosparticip!BI334</f>
        <v/>
      </c>
      <c r="V335" t="str">
        <f>gescon_infosparticip!BJ334</f>
        <v>Gaël peut s'agiter, met sa main dans la bouche, crie très fort : lui donner une résérve</v>
      </c>
      <c r="W335" t="str">
        <f>gescon_infosparticip!BK334</f>
        <v>douche debout face au mur car fair ''pipi''</v>
      </c>
      <c r="X335" t="str">
        <f>gescon_infosparticip!BL334</f>
        <v>Gaël est langé jours et nuits</v>
      </c>
      <c r="Y335" t="str">
        <f>gescon_infosparticip!BM334</f>
        <v/>
      </c>
    </row>
    <row r="336" spans="2:25" ht="15.75" customHeight="1" x14ac:dyDescent="0.25">
      <c r="B336">
        <f>gescon_infosparticip!A335</f>
        <v>2146190077</v>
      </c>
      <c r="C336" t="str">
        <f>gescon_infosparticip!AH335</f>
        <v/>
      </c>
      <c r="D336" t="str">
        <f>gescon_infosparticip!AI335</f>
        <v/>
      </c>
      <c r="E336" t="str">
        <f>gescon_infosparticip!AJ335</f>
        <v/>
      </c>
      <c r="F336" t="str">
        <f>gescon_infosparticip!AK335</f>
        <v/>
      </c>
      <c r="G336" t="str">
        <f>gescon_infosparticip!AL335</f>
        <v/>
      </c>
      <c r="H336" t="str">
        <f>gescon_infosparticip!AM335</f>
        <v/>
      </c>
      <c r="I336" t="str">
        <f>gescon_infosparticip!AN335</f>
        <v/>
      </c>
      <c r="J336" t="str">
        <f>gescon_infosparticip!AO335</f>
        <v/>
      </c>
      <c r="K336" t="str">
        <f>gescon_infosparticip!AP335</f>
        <v/>
      </c>
      <c r="L336" t="str">
        <f>gescon_infosparticip!AQ335</f>
        <v/>
      </c>
      <c r="M336">
        <f>gescon_infosparticip!BA335</f>
        <v>0</v>
      </c>
      <c r="N336">
        <f>gescon_infosparticip!BB335</f>
        <v>0</v>
      </c>
      <c r="O336">
        <f>gescon_infosparticip!BC335</f>
        <v>0</v>
      </c>
      <c r="P336">
        <f>gescon_infosparticip!BD335</f>
        <v>0</v>
      </c>
      <c r="Q336">
        <f>gescon_infosparticip!BE335</f>
        <v>0</v>
      </c>
      <c r="R336" t="str">
        <f>gescon_infosparticip!BF335</f>
        <v/>
      </c>
      <c r="S336" t="str">
        <f>gescon_infosparticip!BG335</f>
        <v/>
      </c>
      <c r="T336" t="str">
        <f>gescon_infosparticip!BH335</f>
        <v/>
      </c>
      <c r="U336" t="str">
        <f>gescon_infosparticip!BI335</f>
        <v/>
      </c>
      <c r="V336" t="str">
        <f>gescon_infosparticip!BJ335</f>
        <v/>
      </c>
      <c r="W336" t="str">
        <f>gescon_infosparticip!BK335</f>
        <v/>
      </c>
      <c r="X336" t="str">
        <f>gescon_infosparticip!BL335</f>
        <v/>
      </c>
      <c r="Y336" t="str">
        <f>gescon_infosparticip!BM335</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6"/>
  <sheetViews>
    <sheetView tabSelected="1" workbookViewId="0">
      <selection activeCell="F336" sqref="A1:F336"/>
    </sheetView>
  </sheetViews>
  <sheetFormatPr baseColWidth="10" defaultRowHeight="15" x14ac:dyDescent="0.25"/>
  <sheetData>
    <row r="1" spans="1:6" x14ac:dyDescent="0.25">
      <c r="A1" t="s">
        <v>3256</v>
      </c>
      <c r="B1" t="s">
        <v>3257</v>
      </c>
      <c r="C1" t="s">
        <v>3258</v>
      </c>
      <c r="D1" t="s">
        <v>3259</v>
      </c>
      <c r="E1" t="s">
        <v>3260</v>
      </c>
      <c r="F1" t="s">
        <v>3261</v>
      </c>
    </row>
    <row r="2" spans="1:6" x14ac:dyDescent="0.25">
      <c r="B2" t="str">
        <f>gescon_infosparticip!A1</f>
        <v>membre</v>
      </c>
      <c r="C2" t="str">
        <f>gescon_infosparticip!AS1</f>
        <v>Interv_A</v>
      </c>
      <c r="D2" t="str">
        <f>gescon_infosparticip!AT1</f>
        <v>Interv_B</v>
      </c>
      <c r="E2" t="str">
        <f>gescon_infosparticip!AU1</f>
        <v>Interv_C</v>
      </c>
      <c r="F2" t="str">
        <f>gescon_infosparticip!AV1</f>
        <v>Interv_R</v>
      </c>
    </row>
    <row r="3" spans="1:6" x14ac:dyDescent="0.25">
      <c r="B3">
        <f>gescon_infosparticip!A2</f>
        <v>-2138585887</v>
      </c>
      <c r="C3">
        <f>gescon_infosparticip!AS2</f>
        <v>0</v>
      </c>
      <c r="D3">
        <f>gescon_infosparticip!AT2</f>
        <v>0</v>
      </c>
      <c r="E3">
        <f>gescon_infosparticip!AU2</f>
        <v>0</v>
      </c>
      <c r="F3">
        <f>gescon_infosparticip!AV2</f>
        <v>0</v>
      </c>
    </row>
    <row r="4" spans="1:6" x14ac:dyDescent="0.25">
      <c r="B4">
        <f>gescon_infosparticip!A3</f>
        <v>-1974002318</v>
      </c>
      <c r="C4">
        <f>gescon_infosparticip!AS3</f>
        <v>0</v>
      </c>
      <c r="D4">
        <f>gescon_infosparticip!AT3</f>
        <v>0</v>
      </c>
      <c r="E4">
        <f>gescon_infosparticip!AU3</f>
        <v>0</v>
      </c>
      <c r="F4">
        <f>gescon_infosparticip!AV3</f>
        <v>0</v>
      </c>
    </row>
    <row r="5" spans="1:6" x14ac:dyDescent="0.25">
      <c r="B5">
        <f>gescon_infosparticip!A4</f>
        <v>-1949668449</v>
      </c>
      <c r="C5">
        <f>gescon_infosparticip!AS4</f>
        <v>0</v>
      </c>
      <c r="D5">
        <f>gescon_infosparticip!AT4</f>
        <v>0</v>
      </c>
      <c r="E5">
        <f>gescon_infosparticip!AU4</f>
        <v>0</v>
      </c>
      <c r="F5">
        <f>gescon_infosparticip!AV4</f>
        <v>0</v>
      </c>
    </row>
    <row r="6" spans="1:6" x14ac:dyDescent="0.25">
      <c r="B6">
        <f>gescon_infosparticip!A5</f>
        <v>-1887115141</v>
      </c>
      <c r="C6">
        <f>gescon_infosparticip!AS5</f>
        <v>0</v>
      </c>
      <c r="D6">
        <f>gescon_infosparticip!AT5</f>
        <v>0</v>
      </c>
      <c r="E6">
        <f>gescon_infosparticip!AU5</f>
        <v>0</v>
      </c>
      <c r="F6">
        <f>gescon_infosparticip!AV5</f>
        <v>0</v>
      </c>
    </row>
    <row r="7" spans="1:6" x14ac:dyDescent="0.25">
      <c r="B7">
        <f>gescon_infosparticip!A6</f>
        <v>-1756164214</v>
      </c>
      <c r="C7">
        <f>gescon_infosparticip!AS6</f>
        <v>0</v>
      </c>
      <c r="D7">
        <f>gescon_infosparticip!AT6</f>
        <v>0</v>
      </c>
      <c r="E7">
        <f>gescon_infosparticip!AU6</f>
        <v>0</v>
      </c>
      <c r="F7">
        <f>gescon_infosparticip!AV6</f>
        <v>0</v>
      </c>
    </row>
    <row r="8" spans="1:6" x14ac:dyDescent="0.25">
      <c r="B8">
        <f>gescon_infosparticip!A7</f>
        <v>-1735727011</v>
      </c>
      <c r="C8">
        <f>gescon_infosparticip!AS7</f>
        <v>0</v>
      </c>
      <c r="D8">
        <f>gescon_infosparticip!AT7</f>
        <v>0</v>
      </c>
      <c r="E8">
        <f>gescon_infosparticip!AU7</f>
        <v>0</v>
      </c>
      <c r="F8">
        <f>gescon_infosparticip!AV7</f>
        <v>0</v>
      </c>
    </row>
    <row r="9" spans="1:6" x14ac:dyDescent="0.25">
      <c r="B9">
        <f>gescon_infosparticip!A8</f>
        <v>-1690129297</v>
      </c>
      <c r="C9">
        <f>gescon_infosparticip!AS8</f>
        <v>0</v>
      </c>
      <c r="D9">
        <f>gescon_infosparticip!AT8</f>
        <v>0</v>
      </c>
      <c r="E9">
        <f>gescon_infosparticip!AU8</f>
        <v>0</v>
      </c>
      <c r="F9">
        <f>gescon_infosparticip!AV8</f>
        <v>0</v>
      </c>
    </row>
    <row r="10" spans="1:6" x14ac:dyDescent="0.25">
      <c r="B10">
        <f>gescon_infosparticip!A9</f>
        <v>-1579856298</v>
      </c>
      <c r="C10">
        <f>gescon_infosparticip!AS9</f>
        <v>0</v>
      </c>
      <c r="D10">
        <f>gescon_infosparticip!AT9</f>
        <v>0</v>
      </c>
      <c r="E10">
        <f>gescon_infosparticip!AU9</f>
        <v>0</v>
      </c>
      <c r="F10">
        <f>gescon_infosparticip!AV9</f>
        <v>0</v>
      </c>
    </row>
    <row r="11" spans="1:6" x14ac:dyDescent="0.25">
      <c r="B11">
        <f>gescon_infosparticip!A10</f>
        <v>-1475569285</v>
      </c>
      <c r="C11">
        <f>gescon_infosparticip!AS10</f>
        <v>0</v>
      </c>
      <c r="D11">
        <f>gescon_infosparticip!AT10</f>
        <v>0</v>
      </c>
      <c r="E11">
        <f>gescon_infosparticip!AU10</f>
        <v>0</v>
      </c>
      <c r="F11">
        <f>gescon_infosparticip!AV10</f>
        <v>0</v>
      </c>
    </row>
    <row r="12" spans="1:6" x14ac:dyDescent="0.25">
      <c r="B12">
        <f>gescon_infosparticip!A11</f>
        <v>-1435346384</v>
      </c>
      <c r="C12">
        <f>gescon_infosparticip!AS11</f>
        <v>0</v>
      </c>
      <c r="D12">
        <f>gescon_infosparticip!AT11</f>
        <v>0</v>
      </c>
      <c r="E12">
        <f>gescon_infosparticip!AU11</f>
        <v>0</v>
      </c>
      <c r="F12">
        <f>gescon_infosparticip!AV11</f>
        <v>0</v>
      </c>
    </row>
    <row r="13" spans="1:6" x14ac:dyDescent="0.25">
      <c r="B13">
        <f>gescon_infosparticip!A12</f>
        <v>-1354980006</v>
      </c>
      <c r="C13">
        <f>gescon_infosparticip!AS12</f>
        <v>2146189479</v>
      </c>
      <c r="D13">
        <f>gescon_infosparticip!AT12</f>
        <v>2146189314</v>
      </c>
      <c r="E13">
        <f>gescon_infosparticip!AU12</f>
        <v>2146189314</v>
      </c>
      <c r="F13">
        <f>gescon_infosparticip!AV12</f>
        <v>0</v>
      </c>
    </row>
    <row r="14" spans="1:6" x14ac:dyDescent="0.25">
      <c r="B14">
        <f>gescon_infosparticip!A13</f>
        <v>-1336383801</v>
      </c>
      <c r="C14">
        <f>gescon_infosparticip!AS13</f>
        <v>0</v>
      </c>
      <c r="D14">
        <f>gescon_infosparticip!AT13</f>
        <v>0</v>
      </c>
      <c r="E14">
        <f>gescon_infosparticip!AU13</f>
        <v>0</v>
      </c>
      <c r="F14">
        <f>gescon_infosparticip!AV13</f>
        <v>0</v>
      </c>
    </row>
    <row r="15" spans="1:6" x14ac:dyDescent="0.25">
      <c r="B15">
        <f>gescon_infosparticip!A14</f>
        <v>-1226171744</v>
      </c>
      <c r="C15">
        <f>gescon_infosparticip!AS14</f>
        <v>0</v>
      </c>
      <c r="D15">
        <f>gescon_infosparticip!AT14</f>
        <v>0</v>
      </c>
      <c r="E15">
        <f>gescon_infosparticip!AU14</f>
        <v>0</v>
      </c>
      <c r="F15">
        <f>gescon_infosparticip!AV14</f>
        <v>0</v>
      </c>
    </row>
    <row r="16" spans="1:6" x14ac:dyDescent="0.25">
      <c r="B16">
        <f>gescon_infosparticip!A15</f>
        <v>-1213086902</v>
      </c>
      <c r="C16">
        <f>gescon_infosparticip!AS15</f>
        <v>0</v>
      </c>
      <c r="D16">
        <f>gescon_infosparticip!AT15</f>
        <v>0</v>
      </c>
      <c r="E16">
        <f>gescon_infosparticip!AU15</f>
        <v>0</v>
      </c>
      <c r="F16">
        <f>gescon_infosparticip!AV15</f>
        <v>0</v>
      </c>
    </row>
    <row r="17" spans="2:6" x14ac:dyDescent="0.25">
      <c r="B17">
        <f>gescon_infosparticip!A16</f>
        <v>-1120356771</v>
      </c>
      <c r="C17">
        <f>gescon_infosparticip!AS16</f>
        <v>0</v>
      </c>
      <c r="D17">
        <f>gescon_infosparticip!AT16</f>
        <v>0</v>
      </c>
      <c r="E17">
        <f>gescon_infosparticip!AU16</f>
        <v>0</v>
      </c>
      <c r="F17">
        <f>gescon_infosparticip!AV16</f>
        <v>0</v>
      </c>
    </row>
    <row r="18" spans="2:6" x14ac:dyDescent="0.25">
      <c r="B18">
        <f>gescon_infosparticip!A17</f>
        <v>-1100872493</v>
      </c>
      <c r="C18">
        <f>gescon_infosparticip!AS17</f>
        <v>0</v>
      </c>
      <c r="D18">
        <f>gescon_infosparticip!AT17</f>
        <v>0</v>
      </c>
      <c r="E18">
        <f>gescon_infosparticip!AU17</f>
        <v>0</v>
      </c>
      <c r="F18">
        <f>gescon_infosparticip!AV17</f>
        <v>0</v>
      </c>
    </row>
    <row r="19" spans="2:6" x14ac:dyDescent="0.25">
      <c r="B19">
        <f>gescon_infosparticip!A18</f>
        <v>-1029621688</v>
      </c>
      <c r="C19">
        <f>gescon_infosparticip!AS18</f>
        <v>0</v>
      </c>
      <c r="D19">
        <f>gescon_infosparticip!AT18</f>
        <v>0</v>
      </c>
      <c r="E19">
        <f>gescon_infosparticip!AU18</f>
        <v>0</v>
      </c>
      <c r="F19">
        <f>gescon_infosparticip!AV18</f>
        <v>0</v>
      </c>
    </row>
    <row r="20" spans="2:6" x14ac:dyDescent="0.25">
      <c r="B20">
        <f>gescon_infosparticip!A19</f>
        <v>-959706217</v>
      </c>
      <c r="C20">
        <f>gescon_infosparticip!AS19</f>
        <v>0</v>
      </c>
      <c r="D20">
        <f>gescon_infosparticip!AT19</f>
        <v>0</v>
      </c>
      <c r="E20">
        <f>gescon_infosparticip!AU19</f>
        <v>0</v>
      </c>
      <c r="F20">
        <f>gescon_infosparticip!AV19</f>
        <v>0</v>
      </c>
    </row>
    <row r="21" spans="2:6" x14ac:dyDescent="0.25">
      <c r="B21">
        <f>gescon_infosparticip!A20</f>
        <v>-953224796</v>
      </c>
      <c r="C21">
        <f>gescon_infosparticip!AS20</f>
        <v>0</v>
      </c>
      <c r="D21">
        <f>gescon_infosparticip!AT20</f>
        <v>0</v>
      </c>
      <c r="E21">
        <f>gescon_infosparticip!AU20</f>
        <v>0</v>
      </c>
      <c r="F21">
        <f>gescon_infosparticip!AV20</f>
        <v>0</v>
      </c>
    </row>
    <row r="22" spans="2:6" x14ac:dyDescent="0.25">
      <c r="B22">
        <f>gescon_infosparticip!A21</f>
        <v>-587438322</v>
      </c>
      <c r="C22">
        <f>gescon_infosparticip!AS21</f>
        <v>0</v>
      </c>
      <c r="D22">
        <f>gescon_infosparticip!AT21</f>
        <v>0</v>
      </c>
      <c r="E22">
        <f>gescon_infosparticip!AU21</f>
        <v>0</v>
      </c>
      <c r="F22">
        <f>gescon_infosparticip!AV21</f>
        <v>0</v>
      </c>
    </row>
    <row r="23" spans="2:6" x14ac:dyDescent="0.25">
      <c r="B23">
        <f>gescon_infosparticip!A22</f>
        <v>-568750303</v>
      </c>
      <c r="C23">
        <f>gescon_infosparticip!AS22</f>
        <v>0</v>
      </c>
      <c r="D23">
        <f>gescon_infosparticip!AT22</f>
        <v>0</v>
      </c>
      <c r="E23">
        <f>gescon_infosparticip!AU22</f>
        <v>0</v>
      </c>
      <c r="F23">
        <f>gescon_infosparticip!AV22</f>
        <v>0</v>
      </c>
    </row>
    <row r="24" spans="2:6" x14ac:dyDescent="0.25">
      <c r="B24">
        <f>gescon_infosparticip!A23</f>
        <v>-486550603</v>
      </c>
      <c r="C24">
        <f>gescon_infosparticip!AS23</f>
        <v>0</v>
      </c>
      <c r="D24">
        <f>gescon_infosparticip!AT23</f>
        <v>0</v>
      </c>
      <c r="E24">
        <f>gescon_infosparticip!AU23</f>
        <v>0</v>
      </c>
      <c r="F24">
        <f>gescon_infosparticip!AV23</f>
        <v>0</v>
      </c>
    </row>
    <row r="25" spans="2:6" x14ac:dyDescent="0.25">
      <c r="B25">
        <f>gescon_infosparticip!A24</f>
        <v>-479406894</v>
      </c>
      <c r="C25">
        <f>gescon_infosparticip!AS24</f>
        <v>0</v>
      </c>
      <c r="D25">
        <f>gescon_infosparticip!AT24</f>
        <v>0</v>
      </c>
      <c r="E25">
        <f>gescon_infosparticip!AU24</f>
        <v>0</v>
      </c>
      <c r="F25">
        <f>gescon_infosparticip!AV24</f>
        <v>0</v>
      </c>
    </row>
    <row r="26" spans="2:6" x14ac:dyDescent="0.25">
      <c r="B26">
        <f>gescon_infosparticip!A25</f>
        <v>-414006540</v>
      </c>
      <c r="C26">
        <f>gescon_infosparticip!AS25</f>
        <v>0</v>
      </c>
      <c r="D26">
        <f>gescon_infosparticip!AT25</f>
        <v>0</v>
      </c>
      <c r="E26">
        <f>gescon_infosparticip!AU25</f>
        <v>0</v>
      </c>
      <c r="F26">
        <f>gescon_infosparticip!AV25</f>
        <v>0</v>
      </c>
    </row>
    <row r="27" spans="2:6" x14ac:dyDescent="0.25">
      <c r="B27">
        <f>gescon_infosparticip!A26</f>
        <v>-362773667</v>
      </c>
      <c r="C27">
        <f>gescon_infosparticip!AS26</f>
        <v>-509124961</v>
      </c>
      <c r="D27">
        <f>gescon_infosparticip!AT26</f>
        <v>0</v>
      </c>
      <c r="E27">
        <f>gescon_infosparticip!AU26</f>
        <v>0</v>
      </c>
      <c r="F27">
        <f>gescon_infosparticip!AV26</f>
        <v>0</v>
      </c>
    </row>
    <row r="28" spans="2:6" x14ac:dyDescent="0.25">
      <c r="B28">
        <f>gescon_infosparticip!A27</f>
        <v>-22390883</v>
      </c>
      <c r="C28">
        <f>gescon_infosparticip!AS27</f>
        <v>0</v>
      </c>
      <c r="D28">
        <f>gescon_infosparticip!AT27</f>
        <v>0</v>
      </c>
      <c r="E28">
        <f>gescon_infosparticip!AU27</f>
        <v>0</v>
      </c>
      <c r="F28">
        <f>gescon_infosparticip!AV27</f>
        <v>0</v>
      </c>
    </row>
    <row r="29" spans="2:6" x14ac:dyDescent="0.25">
      <c r="B29">
        <f>gescon_infosparticip!A28</f>
        <v>0</v>
      </c>
      <c r="C29">
        <f>gescon_infosparticip!AS28</f>
        <v>0</v>
      </c>
      <c r="D29">
        <f>gescon_infosparticip!AT28</f>
        <v>0</v>
      </c>
      <c r="E29">
        <f>gescon_infosparticip!AU28</f>
        <v>0</v>
      </c>
      <c r="F29">
        <f>gescon_infosparticip!AV28</f>
        <v>0</v>
      </c>
    </row>
    <row r="30" spans="2:6" x14ac:dyDescent="0.25">
      <c r="B30">
        <f>gescon_infosparticip!A29</f>
        <v>107</v>
      </c>
      <c r="C30">
        <f>gescon_infosparticip!AS29</f>
        <v>0</v>
      </c>
      <c r="D30">
        <f>gescon_infosparticip!AT29</f>
        <v>0</v>
      </c>
      <c r="E30">
        <f>gescon_infosparticip!AU29</f>
        <v>0</v>
      </c>
      <c r="F30">
        <f>gescon_infosparticip!AV29</f>
        <v>0</v>
      </c>
    </row>
    <row r="31" spans="2:6" x14ac:dyDescent="0.25">
      <c r="B31">
        <f>gescon_infosparticip!A30</f>
        <v>111</v>
      </c>
      <c r="C31">
        <f>gescon_infosparticip!AS30</f>
        <v>0</v>
      </c>
      <c r="D31">
        <f>gescon_infosparticip!AT30</f>
        <v>0</v>
      </c>
      <c r="E31">
        <f>gescon_infosparticip!AU30</f>
        <v>0</v>
      </c>
      <c r="F31">
        <f>gescon_infosparticip!AV30</f>
        <v>0</v>
      </c>
    </row>
    <row r="32" spans="2:6" x14ac:dyDescent="0.25">
      <c r="B32">
        <f>gescon_infosparticip!A31</f>
        <v>118</v>
      </c>
      <c r="C32">
        <f>gescon_infosparticip!AS31</f>
        <v>0</v>
      </c>
      <c r="D32">
        <f>gescon_infosparticip!AT31</f>
        <v>0</v>
      </c>
      <c r="E32">
        <f>gescon_infosparticip!AU31</f>
        <v>0</v>
      </c>
      <c r="F32">
        <f>gescon_infosparticip!AV31</f>
        <v>0</v>
      </c>
    </row>
    <row r="33" spans="2:6" x14ac:dyDescent="0.25">
      <c r="B33">
        <f>gescon_infosparticip!A32</f>
        <v>119</v>
      </c>
      <c r="C33">
        <f>gescon_infosparticip!AS32</f>
        <v>0</v>
      </c>
      <c r="D33">
        <f>gescon_infosparticip!AT32</f>
        <v>0</v>
      </c>
      <c r="E33">
        <f>gescon_infosparticip!AU32</f>
        <v>0</v>
      </c>
      <c r="F33">
        <f>gescon_infosparticip!AV32</f>
        <v>0</v>
      </c>
    </row>
    <row r="34" spans="2:6" x14ac:dyDescent="0.25">
      <c r="B34">
        <f>gescon_infosparticip!A33</f>
        <v>129</v>
      </c>
      <c r="C34">
        <f>gescon_infosparticip!AS33</f>
        <v>0</v>
      </c>
      <c r="D34">
        <f>gescon_infosparticip!AT33</f>
        <v>0</v>
      </c>
      <c r="E34">
        <f>gescon_infosparticip!AU33</f>
        <v>0</v>
      </c>
      <c r="F34">
        <f>gescon_infosparticip!AV33</f>
        <v>0</v>
      </c>
    </row>
    <row r="35" spans="2:6" x14ac:dyDescent="0.25">
      <c r="B35">
        <f>gescon_infosparticip!A34</f>
        <v>138</v>
      </c>
      <c r="C35">
        <f>gescon_infosparticip!AS34</f>
        <v>0</v>
      </c>
      <c r="D35">
        <f>gescon_infosparticip!AT34</f>
        <v>0</v>
      </c>
      <c r="E35">
        <f>gescon_infosparticip!AU34</f>
        <v>0</v>
      </c>
      <c r="F35">
        <f>gescon_infosparticip!AV34</f>
        <v>0</v>
      </c>
    </row>
    <row r="36" spans="2:6" x14ac:dyDescent="0.25">
      <c r="B36">
        <f>gescon_infosparticip!A35</f>
        <v>160</v>
      </c>
      <c r="C36">
        <f>gescon_infosparticip!AS35</f>
        <v>0</v>
      </c>
      <c r="D36">
        <f>gescon_infosparticip!AT35</f>
        <v>0</v>
      </c>
      <c r="E36">
        <f>gescon_infosparticip!AU35</f>
        <v>0</v>
      </c>
      <c r="F36">
        <f>gescon_infosparticip!AV35</f>
        <v>0</v>
      </c>
    </row>
    <row r="37" spans="2:6" x14ac:dyDescent="0.25">
      <c r="B37">
        <f>gescon_infosparticip!A36</f>
        <v>166</v>
      </c>
      <c r="C37">
        <f>gescon_infosparticip!AS36</f>
        <v>0</v>
      </c>
      <c r="D37">
        <f>gescon_infosparticip!AT36</f>
        <v>0</v>
      </c>
      <c r="E37">
        <f>gescon_infosparticip!AU36</f>
        <v>0</v>
      </c>
      <c r="F37">
        <f>gescon_infosparticip!AV36</f>
        <v>0</v>
      </c>
    </row>
    <row r="38" spans="2:6" x14ac:dyDescent="0.25">
      <c r="B38">
        <f>gescon_infosparticip!A37</f>
        <v>167</v>
      </c>
      <c r="C38">
        <f>gescon_infosparticip!AS37</f>
        <v>0</v>
      </c>
      <c r="D38">
        <f>gescon_infosparticip!AT37</f>
        <v>0</v>
      </c>
      <c r="E38">
        <f>gescon_infosparticip!AU37</f>
        <v>0</v>
      </c>
      <c r="F38">
        <f>gescon_infosparticip!AV37</f>
        <v>0</v>
      </c>
    </row>
    <row r="39" spans="2:6" x14ac:dyDescent="0.25">
      <c r="B39">
        <f>gescon_infosparticip!A38</f>
        <v>175</v>
      </c>
      <c r="C39">
        <f>gescon_infosparticip!AS38</f>
        <v>0</v>
      </c>
      <c r="D39">
        <f>gescon_infosparticip!AT38</f>
        <v>0</v>
      </c>
      <c r="E39">
        <f>gescon_infosparticip!AU38</f>
        <v>0</v>
      </c>
      <c r="F39">
        <f>gescon_infosparticip!AV38</f>
        <v>0</v>
      </c>
    </row>
    <row r="40" spans="2:6" x14ac:dyDescent="0.25">
      <c r="B40">
        <f>gescon_infosparticip!A39</f>
        <v>177</v>
      </c>
      <c r="C40">
        <f>gescon_infosparticip!AS39</f>
        <v>0</v>
      </c>
      <c r="D40">
        <f>gescon_infosparticip!AT39</f>
        <v>0</v>
      </c>
      <c r="E40">
        <f>gescon_infosparticip!AU39</f>
        <v>0</v>
      </c>
      <c r="F40">
        <f>gescon_infosparticip!AV39</f>
        <v>0</v>
      </c>
    </row>
    <row r="41" spans="2:6" x14ac:dyDescent="0.25">
      <c r="B41">
        <f>gescon_infosparticip!A40</f>
        <v>179</v>
      </c>
      <c r="C41">
        <f>gescon_infosparticip!AS40</f>
        <v>0</v>
      </c>
      <c r="D41">
        <f>gescon_infosparticip!AT40</f>
        <v>0</v>
      </c>
      <c r="E41">
        <f>gescon_infosparticip!AU40</f>
        <v>0</v>
      </c>
      <c r="F41">
        <f>gescon_infosparticip!AV40</f>
        <v>0</v>
      </c>
    </row>
    <row r="42" spans="2:6" x14ac:dyDescent="0.25">
      <c r="B42">
        <f>gescon_infosparticip!A41</f>
        <v>182</v>
      </c>
      <c r="C42">
        <f>gescon_infosparticip!AS41</f>
        <v>0</v>
      </c>
      <c r="D42">
        <f>gescon_infosparticip!AT41</f>
        <v>0</v>
      </c>
      <c r="E42">
        <f>gescon_infosparticip!AU41</f>
        <v>0</v>
      </c>
      <c r="F42">
        <f>gescon_infosparticip!AV41</f>
        <v>0</v>
      </c>
    </row>
    <row r="43" spans="2:6" x14ac:dyDescent="0.25">
      <c r="B43">
        <f>gescon_infosparticip!A42</f>
        <v>184</v>
      </c>
      <c r="C43">
        <f>gescon_infosparticip!AS42</f>
        <v>0</v>
      </c>
      <c r="D43">
        <f>gescon_infosparticip!AT42</f>
        <v>0</v>
      </c>
      <c r="E43">
        <f>gescon_infosparticip!AU42</f>
        <v>0</v>
      </c>
      <c r="F43">
        <f>gescon_infosparticip!AV42</f>
        <v>0</v>
      </c>
    </row>
    <row r="44" spans="2:6" x14ac:dyDescent="0.25">
      <c r="B44">
        <f>gescon_infosparticip!A43</f>
        <v>252</v>
      </c>
      <c r="C44">
        <f>gescon_infosparticip!AS43</f>
        <v>0</v>
      </c>
      <c r="D44">
        <f>gescon_infosparticip!AT43</f>
        <v>0</v>
      </c>
      <c r="E44">
        <f>gescon_infosparticip!AU43</f>
        <v>0</v>
      </c>
      <c r="F44">
        <f>gescon_infosparticip!AV43</f>
        <v>0</v>
      </c>
    </row>
    <row r="45" spans="2:6" x14ac:dyDescent="0.25">
      <c r="B45">
        <f>gescon_infosparticip!A44</f>
        <v>279</v>
      </c>
      <c r="C45">
        <f>gescon_infosparticip!AS44</f>
        <v>0</v>
      </c>
      <c r="D45">
        <f>gescon_infosparticip!AT44</f>
        <v>0</v>
      </c>
      <c r="E45">
        <f>gescon_infosparticip!AU44</f>
        <v>0</v>
      </c>
      <c r="F45">
        <f>gescon_infosparticip!AV44</f>
        <v>0</v>
      </c>
    </row>
    <row r="46" spans="2:6" x14ac:dyDescent="0.25">
      <c r="B46">
        <f>gescon_infosparticip!A45</f>
        <v>280</v>
      </c>
      <c r="C46">
        <f>gescon_infosparticip!AS45</f>
        <v>0</v>
      </c>
      <c r="D46">
        <f>gescon_infosparticip!AT45</f>
        <v>0</v>
      </c>
      <c r="E46">
        <f>gescon_infosparticip!AU45</f>
        <v>0</v>
      </c>
      <c r="F46">
        <f>gescon_infosparticip!AV45</f>
        <v>0</v>
      </c>
    </row>
    <row r="47" spans="2:6" x14ac:dyDescent="0.25">
      <c r="B47">
        <f>gescon_infosparticip!A46</f>
        <v>281</v>
      </c>
      <c r="C47">
        <f>gescon_infosparticip!AS46</f>
        <v>0</v>
      </c>
      <c r="D47">
        <f>gescon_infosparticip!AT46</f>
        <v>0</v>
      </c>
      <c r="E47">
        <f>gescon_infosparticip!AU46</f>
        <v>0</v>
      </c>
      <c r="F47">
        <f>gescon_infosparticip!AV46</f>
        <v>0</v>
      </c>
    </row>
    <row r="48" spans="2:6" x14ac:dyDescent="0.25">
      <c r="B48">
        <f>gescon_infosparticip!A47</f>
        <v>283</v>
      </c>
      <c r="C48">
        <f>gescon_infosparticip!AS47</f>
        <v>0</v>
      </c>
      <c r="D48">
        <f>gescon_infosparticip!AT47</f>
        <v>0</v>
      </c>
      <c r="E48">
        <f>gescon_infosparticip!AU47</f>
        <v>0</v>
      </c>
      <c r="F48">
        <f>gescon_infosparticip!AV47</f>
        <v>0</v>
      </c>
    </row>
    <row r="49" spans="2:6" x14ac:dyDescent="0.25">
      <c r="B49">
        <f>gescon_infosparticip!A48</f>
        <v>286</v>
      </c>
      <c r="C49">
        <f>gescon_infosparticip!AS48</f>
        <v>0</v>
      </c>
      <c r="D49">
        <f>gescon_infosparticip!AT48</f>
        <v>0</v>
      </c>
      <c r="E49">
        <f>gescon_infosparticip!AU48</f>
        <v>0</v>
      </c>
      <c r="F49">
        <f>gescon_infosparticip!AV48</f>
        <v>0</v>
      </c>
    </row>
    <row r="50" spans="2:6" x14ac:dyDescent="0.25">
      <c r="B50">
        <f>gescon_infosparticip!A49</f>
        <v>287</v>
      </c>
      <c r="C50">
        <f>gescon_infosparticip!AS49</f>
        <v>0</v>
      </c>
      <c r="D50">
        <f>gescon_infosparticip!AT49</f>
        <v>0</v>
      </c>
      <c r="E50">
        <f>gescon_infosparticip!AU49</f>
        <v>0</v>
      </c>
      <c r="F50">
        <f>gescon_infosparticip!AV49</f>
        <v>0</v>
      </c>
    </row>
    <row r="51" spans="2:6" x14ac:dyDescent="0.25">
      <c r="B51">
        <f>gescon_infosparticip!A50</f>
        <v>290</v>
      </c>
      <c r="C51">
        <f>gescon_infosparticip!AS50</f>
        <v>0</v>
      </c>
      <c r="D51">
        <f>gescon_infosparticip!AT50</f>
        <v>0</v>
      </c>
      <c r="E51">
        <f>gescon_infosparticip!AU50</f>
        <v>0</v>
      </c>
      <c r="F51">
        <f>gescon_infosparticip!AV50</f>
        <v>0</v>
      </c>
    </row>
    <row r="52" spans="2:6" x14ac:dyDescent="0.25">
      <c r="B52">
        <f>gescon_infosparticip!A51</f>
        <v>292</v>
      </c>
      <c r="C52">
        <f>gescon_infosparticip!AS51</f>
        <v>0</v>
      </c>
      <c r="D52">
        <f>gescon_infosparticip!AT51</f>
        <v>0</v>
      </c>
      <c r="E52">
        <f>gescon_infosparticip!AU51</f>
        <v>0</v>
      </c>
      <c r="F52">
        <f>gescon_infosparticip!AV51</f>
        <v>0</v>
      </c>
    </row>
    <row r="53" spans="2:6" x14ac:dyDescent="0.25">
      <c r="B53">
        <f>gescon_infosparticip!A52</f>
        <v>296</v>
      </c>
      <c r="C53">
        <f>gescon_infosparticip!AS52</f>
        <v>0</v>
      </c>
      <c r="D53">
        <f>gescon_infosparticip!AT52</f>
        <v>0</v>
      </c>
      <c r="E53">
        <f>gescon_infosparticip!AU52</f>
        <v>0</v>
      </c>
      <c r="F53">
        <f>gescon_infosparticip!AV52</f>
        <v>0</v>
      </c>
    </row>
    <row r="54" spans="2:6" x14ac:dyDescent="0.25">
      <c r="B54">
        <f>gescon_infosparticip!A53</f>
        <v>297</v>
      </c>
      <c r="C54">
        <f>gescon_infosparticip!AS53</f>
        <v>0</v>
      </c>
      <c r="D54">
        <f>gescon_infosparticip!AT53</f>
        <v>0</v>
      </c>
      <c r="E54">
        <f>gescon_infosparticip!AU53</f>
        <v>0</v>
      </c>
      <c r="F54">
        <f>gescon_infosparticip!AV53</f>
        <v>0</v>
      </c>
    </row>
    <row r="55" spans="2:6" x14ac:dyDescent="0.25">
      <c r="B55">
        <f>gescon_infosparticip!A54</f>
        <v>301</v>
      </c>
      <c r="C55">
        <f>gescon_infosparticip!AS54</f>
        <v>0</v>
      </c>
      <c r="D55">
        <f>gescon_infosparticip!AT54</f>
        <v>0</v>
      </c>
      <c r="E55">
        <f>gescon_infosparticip!AU54</f>
        <v>0</v>
      </c>
      <c r="F55">
        <f>gescon_infosparticip!AV54</f>
        <v>0</v>
      </c>
    </row>
    <row r="56" spans="2:6" x14ac:dyDescent="0.25">
      <c r="B56">
        <f>gescon_infosparticip!A55</f>
        <v>302</v>
      </c>
      <c r="C56">
        <f>gescon_infosparticip!AS55</f>
        <v>0</v>
      </c>
      <c r="D56">
        <f>gescon_infosparticip!AT55</f>
        <v>0</v>
      </c>
      <c r="E56">
        <f>gescon_infosparticip!AU55</f>
        <v>0</v>
      </c>
      <c r="F56">
        <f>gescon_infosparticip!AV55</f>
        <v>0</v>
      </c>
    </row>
    <row r="57" spans="2:6" x14ac:dyDescent="0.25">
      <c r="B57">
        <f>gescon_infosparticip!A56</f>
        <v>303</v>
      </c>
      <c r="C57">
        <f>gescon_infosparticip!AS56</f>
        <v>0</v>
      </c>
      <c r="D57">
        <f>gescon_infosparticip!AT56</f>
        <v>0</v>
      </c>
      <c r="E57">
        <f>gescon_infosparticip!AU56</f>
        <v>0</v>
      </c>
      <c r="F57">
        <f>gescon_infosparticip!AV56</f>
        <v>0</v>
      </c>
    </row>
    <row r="58" spans="2:6" x14ac:dyDescent="0.25">
      <c r="B58">
        <f>gescon_infosparticip!A57</f>
        <v>429</v>
      </c>
      <c r="C58">
        <f>gescon_infosparticip!AS57</f>
        <v>0</v>
      </c>
      <c r="D58">
        <f>gescon_infosparticip!AT57</f>
        <v>0</v>
      </c>
      <c r="E58">
        <f>gescon_infosparticip!AU57</f>
        <v>0</v>
      </c>
      <c r="F58">
        <f>gescon_infosparticip!AV57</f>
        <v>0</v>
      </c>
    </row>
    <row r="59" spans="2:6" x14ac:dyDescent="0.25">
      <c r="B59">
        <f>gescon_infosparticip!A58</f>
        <v>450</v>
      </c>
      <c r="C59">
        <f>gescon_infosparticip!AS58</f>
        <v>0</v>
      </c>
      <c r="D59">
        <f>gescon_infosparticip!AT58</f>
        <v>0</v>
      </c>
      <c r="E59">
        <f>gescon_infosparticip!AU58</f>
        <v>0</v>
      </c>
      <c r="F59">
        <f>gescon_infosparticip!AV58</f>
        <v>0</v>
      </c>
    </row>
    <row r="60" spans="2:6" x14ac:dyDescent="0.25">
      <c r="B60">
        <f>gescon_infosparticip!A59</f>
        <v>455</v>
      </c>
      <c r="C60">
        <f>gescon_infosparticip!AS59</f>
        <v>0</v>
      </c>
      <c r="D60">
        <f>gescon_infosparticip!AT59</f>
        <v>0</v>
      </c>
      <c r="E60">
        <f>gescon_infosparticip!AU59</f>
        <v>0</v>
      </c>
      <c r="F60">
        <f>gescon_infosparticip!AV59</f>
        <v>0</v>
      </c>
    </row>
    <row r="61" spans="2:6" x14ac:dyDescent="0.25">
      <c r="B61">
        <f>gescon_infosparticip!A60</f>
        <v>857</v>
      </c>
      <c r="C61">
        <f>gescon_infosparticip!AS60</f>
        <v>0</v>
      </c>
      <c r="D61">
        <f>gescon_infosparticip!AT60</f>
        <v>0</v>
      </c>
      <c r="E61">
        <f>gescon_infosparticip!AU60</f>
        <v>0</v>
      </c>
      <c r="F61">
        <f>gescon_infosparticip!AV60</f>
        <v>0</v>
      </c>
    </row>
    <row r="62" spans="2:6" x14ac:dyDescent="0.25">
      <c r="B62">
        <f>gescon_infosparticip!A61</f>
        <v>1414</v>
      </c>
      <c r="C62">
        <f>gescon_infosparticip!AS61</f>
        <v>0</v>
      </c>
      <c r="D62">
        <f>gescon_infosparticip!AT61</f>
        <v>0</v>
      </c>
      <c r="E62">
        <f>gescon_infosparticip!AU61</f>
        <v>0</v>
      </c>
      <c r="F62">
        <f>gescon_infosparticip!AV61</f>
        <v>0</v>
      </c>
    </row>
    <row r="63" spans="2:6" x14ac:dyDescent="0.25">
      <c r="B63">
        <f>gescon_infosparticip!A62</f>
        <v>1447</v>
      </c>
      <c r="C63">
        <f>gescon_infosparticip!AS62</f>
        <v>1429891015</v>
      </c>
      <c r="D63">
        <f>gescon_infosparticip!AT62</f>
        <v>1231232923</v>
      </c>
      <c r="E63">
        <f>gescon_infosparticip!AU62</f>
        <v>1290764579</v>
      </c>
      <c r="F63">
        <f>gescon_infosparticip!AV62</f>
        <v>0</v>
      </c>
    </row>
    <row r="64" spans="2:6" x14ac:dyDescent="0.25">
      <c r="B64">
        <f>gescon_infosparticip!A63</f>
        <v>1452</v>
      </c>
      <c r="C64">
        <f>gescon_infosparticip!AS63</f>
        <v>0</v>
      </c>
      <c r="D64">
        <f>gescon_infosparticip!AT63</f>
        <v>0</v>
      </c>
      <c r="E64">
        <f>gescon_infosparticip!AU63</f>
        <v>0</v>
      </c>
      <c r="F64">
        <f>gescon_infosparticip!AV63</f>
        <v>0</v>
      </c>
    </row>
    <row r="65" spans="2:6" x14ac:dyDescent="0.25">
      <c r="B65">
        <f>gescon_infosparticip!A64</f>
        <v>1507</v>
      </c>
      <c r="C65">
        <f>gescon_infosparticip!AS64</f>
        <v>0</v>
      </c>
      <c r="D65">
        <f>gescon_infosparticip!AT64</f>
        <v>0</v>
      </c>
      <c r="E65">
        <f>gescon_infosparticip!AU64</f>
        <v>0</v>
      </c>
      <c r="F65">
        <f>gescon_infosparticip!AV64</f>
        <v>0</v>
      </c>
    </row>
    <row r="66" spans="2:6" x14ac:dyDescent="0.25">
      <c r="B66">
        <f>gescon_infosparticip!A65</f>
        <v>1508</v>
      </c>
      <c r="C66">
        <f>gescon_infosparticip!AS65</f>
        <v>0</v>
      </c>
      <c r="D66">
        <f>gescon_infosparticip!AT65</f>
        <v>0</v>
      </c>
      <c r="E66">
        <f>gescon_infosparticip!AU65</f>
        <v>0</v>
      </c>
      <c r="F66">
        <f>gescon_infosparticip!AV65</f>
        <v>0</v>
      </c>
    </row>
    <row r="67" spans="2:6" x14ac:dyDescent="0.25">
      <c r="B67">
        <f>gescon_infosparticip!A66</f>
        <v>1511</v>
      </c>
      <c r="C67">
        <f>gescon_infosparticip!AS66</f>
        <v>0</v>
      </c>
      <c r="D67">
        <f>gescon_infosparticip!AT66</f>
        <v>0</v>
      </c>
      <c r="E67">
        <f>gescon_infosparticip!AU66</f>
        <v>0</v>
      </c>
      <c r="F67">
        <f>gescon_infosparticip!AV66</f>
        <v>0</v>
      </c>
    </row>
    <row r="68" spans="2:6" x14ac:dyDescent="0.25">
      <c r="B68">
        <f>gescon_infosparticip!A67</f>
        <v>1512</v>
      </c>
      <c r="C68">
        <f>gescon_infosparticip!AS67</f>
        <v>2146189591</v>
      </c>
      <c r="D68">
        <f>gescon_infosparticip!AT67</f>
        <v>2146189770</v>
      </c>
      <c r="E68">
        <f>gescon_infosparticip!AU67</f>
        <v>2146189781</v>
      </c>
      <c r="F68">
        <f>gescon_infosparticip!AV67</f>
        <v>0</v>
      </c>
    </row>
    <row r="69" spans="2:6" x14ac:dyDescent="0.25">
      <c r="B69">
        <f>gescon_infosparticip!A68</f>
        <v>1513</v>
      </c>
      <c r="C69">
        <f>gescon_infosparticip!AS68</f>
        <v>0</v>
      </c>
      <c r="D69">
        <f>gescon_infosparticip!AT68</f>
        <v>0</v>
      </c>
      <c r="E69">
        <f>gescon_infosparticip!AU68</f>
        <v>0</v>
      </c>
      <c r="F69">
        <f>gescon_infosparticip!AV68</f>
        <v>0</v>
      </c>
    </row>
    <row r="70" spans="2:6" x14ac:dyDescent="0.25">
      <c r="B70">
        <f>gescon_infosparticip!A69</f>
        <v>1578</v>
      </c>
      <c r="C70">
        <f>gescon_infosparticip!AS69</f>
        <v>0</v>
      </c>
      <c r="D70">
        <f>gescon_infosparticip!AT69</f>
        <v>-707996126</v>
      </c>
      <c r="E70">
        <f>gescon_infosparticip!AU69</f>
        <v>1174489966</v>
      </c>
      <c r="F70">
        <f>gescon_infosparticip!AV69</f>
        <v>0</v>
      </c>
    </row>
    <row r="71" spans="2:6" x14ac:dyDescent="0.25">
      <c r="B71">
        <f>gescon_infosparticip!A70</f>
        <v>1630</v>
      </c>
      <c r="C71">
        <f>gescon_infosparticip!AS70</f>
        <v>0</v>
      </c>
      <c r="D71">
        <f>gescon_infosparticip!AT70</f>
        <v>0</v>
      </c>
      <c r="E71">
        <f>gescon_infosparticip!AU70</f>
        <v>0</v>
      </c>
      <c r="F71">
        <f>gescon_infosparticip!AV70</f>
        <v>0</v>
      </c>
    </row>
    <row r="72" spans="2:6" x14ac:dyDescent="0.25">
      <c r="B72">
        <f>gescon_infosparticip!A71</f>
        <v>1691</v>
      </c>
      <c r="C72">
        <f>gescon_infosparticip!AS71</f>
        <v>0</v>
      </c>
      <c r="D72">
        <f>gescon_infosparticip!AT71</f>
        <v>0</v>
      </c>
      <c r="E72">
        <f>gescon_infosparticip!AU71</f>
        <v>0</v>
      </c>
      <c r="F72">
        <f>gescon_infosparticip!AV71</f>
        <v>0</v>
      </c>
    </row>
    <row r="73" spans="2:6" x14ac:dyDescent="0.25">
      <c r="B73">
        <f>gescon_infosparticip!A72</f>
        <v>1828</v>
      </c>
      <c r="C73">
        <f>gescon_infosparticip!AS72</f>
        <v>0</v>
      </c>
      <c r="D73">
        <f>gescon_infosparticip!AT72</f>
        <v>0</v>
      </c>
      <c r="E73">
        <f>gescon_infosparticip!AU72</f>
        <v>0</v>
      </c>
      <c r="F73">
        <f>gescon_infosparticip!AV72</f>
        <v>0</v>
      </c>
    </row>
    <row r="74" spans="2:6" x14ac:dyDescent="0.25">
      <c r="B74">
        <f>gescon_infosparticip!A73</f>
        <v>2045</v>
      </c>
      <c r="C74">
        <f>gescon_infosparticip!AS73</f>
        <v>0</v>
      </c>
      <c r="D74">
        <f>gescon_infosparticip!AT73</f>
        <v>0</v>
      </c>
      <c r="E74">
        <f>gescon_infosparticip!AU73</f>
        <v>0</v>
      </c>
      <c r="F74">
        <f>gescon_infosparticip!AV73</f>
        <v>0</v>
      </c>
    </row>
    <row r="75" spans="2:6" x14ac:dyDescent="0.25">
      <c r="B75">
        <f>gescon_infosparticip!A74</f>
        <v>2204</v>
      </c>
      <c r="C75">
        <f>gescon_infosparticip!AS74</f>
        <v>0</v>
      </c>
      <c r="D75">
        <f>gescon_infosparticip!AT74</f>
        <v>0</v>
      </c>
      <c r="E75">
        <f>gescon_infosparticip!AU74</f>
        <v>0</v>
      </c>
      <c r="F75">
        <f>gescon_infosparticip!AV74</f>
        <v>0</v>
      </c>
    </row>
    <row r="76" spans="2:6" x14ac:dyDescent="0.25">
      <c r="B76">
        <f>gescon_infosparticip!A75</f>
        <v>2210</v>
      </c>
      <c r="C76">
        <f>gescon_infosparticip!AS75</f>
        <v>0</v>
      </c>
      <c r="D76">
        <f>gescon_infosparticip!AT75</f>
        <v>0</v>
      </c>
      <c r="E76">
        <f>gescon_infosparticip!AU75</f>
        <v>0</v>
      </c>
      <c r="F76">
        <f>gescon_infosparticip!AV75</f>
        <v>0</v>
      </c>
    </row>
    <row r="77" spans="2:6" x14ac:dyDescent="0.25">
      <c r="B77">
        <f>gescon_infosparticip!A76</f>
        <v>2215</v>
      </c>
      <c r="C77">
        <f>gescon_infosparticip!AS76</f>
        <v>0</v>
      </c>
      <c r="D77">
        <f>gescon_infosparticip!AT76</f>
        <v>0</v>
      </c>
      <c r="E77">
        <f>gescon_infosparticip!AU76</f>
        <v>0</v>
      </c>
      <c r="F77">
        <f>gescon_infosparticip!AV76</f>
        <v>0</v>
      </c>
    </row>
    <row r="78" spans="2:6" x14ac:dyDescent="0.25">
      <c r="B78">
        <f>gescon_infosparticip!A77</f>
        <v>2219</v>
      </c>
      <c r="C78">
        <f>gescon_infosparticip!AS77</f>
        <v>0</v>
      </c>
      <c r="D78">
        <f>gescon_infosparticip!AT77</f>
        <v>0</v>
      </c>
      <c r="E78">
        <f>gescon_infosparticip!AU77</f>
        <v>0</v>
      </c>
      <c r="F78">
        <f>gescon_infosparticip!AV77</f>
        <v>0</v>
      </c>
    </row>
    <row r="79" spans="2:6" x14ac:dyDescent="0.25">
      <c r="B79">
        <f>gescon_infosparticip!A78</f>
        <v>2291</v>
      </c>
      <c r="C79">
        <f>gescon_infosparticip!AS78</f>
        <v>0</v>
      </c>
      <c r="D79">
        <f>gescon_infosparticip!AT78</f>
        <v>0</v>
      </c>
      <c r="E79">
        <f>gescon_infosparticip!AU78</f>
        <v>0</v>
      </c>
      <c r="F79">
        <f>gescon_infosparticip!AV78</f>
        <v>0</v>
      </c>
    </row>
    <row r="80" spans="2:6" x14ac:dyDescent="0.25">
      <c r="B80">
        <f>gescon_infosparticip!A79</f>
        <v>2309</v>
      </c>
      <c r="C80">
        <f>gescon_infosparticip!AS79</f>
        <v>0</v>
      </c>
      <c r="D80">
        <f>gescon_infosparticip!AT79</f>
        <v>0</v>
      </c>
      <c r="E80">
        <f>gescon_infosparticip!AU79</f>
        <v>0</v>
      </c>
      <c r="F80">
        <f>gescon_infosparticip!AV79</f>
        <v>0</v>
      </c>
    </row>
    <row r="81" spans="2:6" x14ac:dyDescent="0.25">
      <c r="B81">
        <f>gescon_infosparticip!A80</f>
        <v>2347</v>
      </c>
      <c r="C81">
        <f>gescon_infosparticip!AS80</f>
        <v>2146189417</v>
      </c>
      <c r="D81">
        <f>gescon_infosparticip!AT80</f>
        <v>2146189030</v>
      </c>
      <c r="E81">
        <f>gescon_infosparticip!AU80</f>
        <v>1831959862</v>
      </c>
      <c r="F81">
        <f>gescon_infosparticip!AV80</f>
        <v>0</v>
      </c>
    </row>
    <row r="82" spans="2:6" x14ac:dyDescent="0.25">
      <c r="B82">
        <f>gescon_infosparticip!A81</f>
        <v>2425</v>
      </c>
      <c r="C82">
        <f>gescon_infosparticip!AS81</f>
        <v>0</v>
      </c>
      <c r="D82">
        <f>gescon_infosparticip!AT81</f>
        <v>0</v>
      </c>
      <c r="E82">
        <f>gescon_infosparticip!AU81</f>
        <v>0</v>
      </c>
      <c r="F82">
        <f>gescon_infosparticip!AV81</f>
        <v>0</v>
      </c>
    </row>
    <row r="83" spans="2:6" x14ac:dyDescent="0.25">
      <c r="B83">
        <f>gescon_infosparticip!A82</f>
        <v>2541</v>
      </c>
      <c r="C83">
        <f>gescon_infosparticip!AS82</f>
        <v>1127805523</v>
      </c>
      <c r="D83">
        <f>gescon_infosparticip!AT82</f>
        <v>1319632834</v>
      </c>
      <c r="E83">
        <f>gescon_infosparticip!AU82</f>
        <v>2146189152</v>
      </c>
      <c r="F83">
        <f>gescon_infosparticip!AV82</f>
        <v>0</v>
      </c>
    </row>
    <row r="84" spans="2:6" x14ac:dyDescent="0.25">
      <c r="B84">
        <f>gescon_infosparticip!A83</f>
        <v>2542</v>
      </c>
      <c r="C84">
        <f>gescon_infosparticip!AS83</f>
        <v>0</v>
      </c>
      <c r="D84">
        <f>gescon_infosparticip!AT83</f>
        <v>0</v>
      </c>
      <c r="E84">
        <f>gescon_infosparticip!AU83</f>
        <v>0</v>
      </c>
      <c r="F84">
        <f>gescon_infosparticip!AV83</f>
        <v>0</v>
      </c>
    </row>
    <row r="85" spans="2:6" x14ac:dyDescent="0.25">
      <c r="B85">
        <f>gescon_infosparticip!A84</f>
        <v>2548</v>
      </c>
      <c r="C85">
        <f>gescon_infosparticip!AS84</f>
        <v>2146189576</v>
      </c>
      <c r="D85">
        <f>gescon_infosparticip!AT84</f>
        <v>2146189572</v>
      </c>
      <c r="E85">
        <f>gescon_infosparticip!AU84</f>
        <v>2146189983</v>
      </c>
      <c r="F85">
        <f>gescon_infosparticip!AV84</f>
        <v>2146189091</v>
      </c>
    </row>
    <row r="86" spans="2:6" x14ac:dyDescent="0.25">
      <c r="B86">
        <f>gescon_infosparticip!A85</f>
        <v>2554</v>
      </c>
      <c r="C86">
        <f>gescon_infosparticip!AS85</f>
        <v>0</v>
      </c>
      <c r="D86">
        <f>gescon_infosparticip!AT85</f>
        <v>0</v>
      </c>
      <c r="E86">
        <f>gescon_infosparticip!AU85</f>
        <v>0</v>
      </c>
      <c r="F86">
        <f>gescon_infosparticip!AV85</f>
        <v>0</v>
      </c>
    </row>
    <row r="87" spans="2:6" x14ac:dyDescent="0.25">
      <c r="B87">
        <f>gescon_infosparticip!A86</f>
        <v>2578</v>
      </c>
      <c r="C87">
        <f>gescon_infosparticip!AS86</f>
        <v>0</v>
      </c>
      <c r="D87">
        <f>gescon_infosparticip!AT86</f>
        <v>0</v>
      </c>
      <c r="E87">
        <f>gescon_infosparticip!AU86</f>
        <v>0</v>
      </c>
      <c r="F87">
        <f>gescon_infosparticip!AV86</f>
        <v>0</v>
      </c>
    </row>
    <row r="88" spans="2:6" x14ac:dyDescent="0.25">
      <c r="B88">
        <f>gescon_infosparticip!A87</f>
        <v>2584</v>
      </c>
      <c r="C88">
        <f>gescon_infosparticip!AS87</f>
        <v>0</v>
      </c>
      <c r="D88">
        <f>gescon_infosparticip!AT87</f>
        <v>0</v>
      </c>
      <c r="E88">
        <f>gescon_infosparticip!AU87</f>
        <v>0</v>
      </c>
      <c r="F88">
        <f>gescon_infosparticip!AV87</f>
        <v>0</v>
      </c>
    </row>
    <row r="89" spans="2:6" x14ac:dyDescent="0.25">
      <c r="B89">
        <f>gescon_infosparticip!A88</f>
        <v>2589</v>
      </c>
      <c r="C89">
        <f>gescon_infosparticip!AS88</f>
        <v>0</v>
      </c>
      <c r="D89">
        <f>gescon_infosparticip!AT88</f>
        <v>0</v>
      </c>
      <c r="E89">
        <f>gescon_infosparticip!AU88</f>
        <v>0</v>
      </c>
      <c r="F89">
        <f>gescon_infosparticip!AV88</f>
        <v>0</v>
      </c>
    </row>
    <row r="90" spans="2:6" x14ac:dyDescent="0.25">
      <c r="B90">
        <f>gescon_infosparticip!A89</f>
        <v>2604</v>
      </c>
      <c r="C90">
        <f>gescon_infosparticip!AS89</f>
        <v>0</v>
      </c>
      <c r="D90">
        <f>gescon_infosparticip!AT89</f>
        <v>0</v>
      </c>
      <c r="E90">
        <f>gescon_infosparticip!AU89</f>
        <v>2146189314</v>
      </c>
      <c r="F90">
        <f>gescon_infosparticip!AV89</f>
        <v>0</v>
      </c>
    </row>
    <row r="91" spans="2:6" x14ac:dyDescent="0.25">
      <c r="B91">
        <f>gescon_infosparticip!A90</f>
        <v>2611</v>
      </c>
      <c r="C91">
        <f>gescon_infosparticip!AS90</f>
        <v>0</v>
      </c>
      <c r="D91">
        <f>gescon_infosparticip!AT90</f>
        <v>0</v>
      </c>
      <c r="E91">
        <f>gescon_infosparticip!AU90</f>
        <v>0</v>
      </c>
      <c r="F91">
        <f>gescon_infosparticip!AV90</f>
        <v>0</v>
      </c>
    </row>
    <row r="92" spans="2:6" x14ac:dyDescent="0.25">
      <c r="B92">
        <f>gescon_infosparticip!A91</f>
        <v>2619</v>
      </c>
      <c r="C92">
        <f>gescon_infosparticip!AS91</f>
        <v>0</v>
      </c>
      <c r="D92">
        <f>gescon_infosparticip!AT91</f>
        <v>0</v>
      </c>
      <c r="E92">
        <f>gescon_infosparticip!AU91</f>
        <v>0</v>
      </c>
      <c r="F92">
        <f>gescon_infosparticip!AV91</f>
        <v>0</v>
      </c>
    </row>
    <row r="93" spans="2:6" x14ac:dyDescent="0.25">
      <c r="B93">
        <f>gescon_infosparticip!A92</f>
        <v>2625</v>
      </c>
      <c r="C93">
        <f>gescon_infosparticip!AS92</f>
        <v>0</v>
      </c>
      <c r="D93">
        <f>gescon_infosparticip!AT92</f>
        <v>0</v>
      </c>
      <c r="E93">
        <f>gescon_infosparticip!AU92</f>
        <v>0</v>
      </c>
      <c r="F93">
        <f>gescon_infosparticip!AV92</f>
        <v>0</v>
      </c>
    </row>
    <row r="94" spans="2:6" x14ac:dyDescent="0.25">
      <c r="B94">
        <f>gescon_infosparticip!A93</f>
        <v>2642</v>
      </c>
      <c r="C94">
        <f>gescon_infosparticip!AS93</f>
        <v>0</v>
      </c>
      <c r="D94">
        <f>gescon_infosparticip!AT93</f>
        <v>0</v>
      </c>
      <c r="E94">
        <f>gescon_infosparticip!AU93</f>
        <v>0</v>
      </c>
      <c r="F94">
        <f>gescon_infosparticip!AV93</f>
        <v>0</v>
      </c>
    </row>
    <row r="95" spans="2:6" x14ac:dyDescent="0.25">
      <c r="B95">
        <f>gescon_infosparticip!A94</f>
        <v>2643</v>
      </c>
      <c r="C95">
        <f>gescon_infosparticip!AS94</f>
        <v>0</v>
      </c>
      <c r="D95">
        <f>gescon_infosparticip!AT94</f>
        <v>0</v>
      </c>
      <c r="E95">
        <f>gescon_infosparticip!AU94</f>
        <v>0</v>
      </c>
      <c r="F95">
        <f>gescon_infosparticip!AV94</f>
        <v>0</v>
      </c>
    </row>
    <row r="96" spans="2:6" x14ac:dyDescent="0.25">
      <c r="B96">
        <f>gescon_infosparticip!A95</f>
        <v>2653</v>
      </c>
      <c r="C96">
        <f>gescon_infosparticip!AS95</f>
        <v>0</v>
      </c>
      <c r="D96">
        <f>gescon_infosparticip!AT95</f>
        <v>0</v>
      </c>
      <c r="E96">
        <f>gescon_infosparticip!AU95</f>
        <v>0</v>
      </c>
      <c r="F96">
        <f>gescon_infosparticip!AV95</f>
        <v>0</v>
      </c>
    </row>
    <row r="97" spans="2:6" x14ac:dyDescent="0.25">
      <c r="B97">
        <f>gescon_infosparticip!A96</f>
        <v>2654</v>
      </c>
      <c r="C97">
        <f>gescon_infosparticip!AS96</f>
        <v>0</v>
      </c>
      <c r="D97">
        <f>gescon_infosparticip!AT96</f>
        <v>0</v>
      </c>
      <c r="E97">
        <f>gescon_infosparticip!AU96</f>
        <v>0</v>
      </c>
      <c r="F97">
        <f>gescon_infosparticip!AV96</f>
        <v>0</v>
      </c>
    </row>
    <row r="98" spans="2:6" x14ac:dyDescent="0.25">
      <c r="B98">
        <f>gescon_infosparticip!A97</f>
        <v>2655</v>
      </c>
      <c r="C98">
        <f>gescon_infosparticip!AS97</f>
        <v>0</v>
      </c>
      <c r="D98">
        <f>gescon_infosparticip!AT97</f>
        <v>0</v>
      </c>
      <c r="E98">
        <f>gescon_infosparticip!AU97</f>
        <v>0</v>
      </c>
      <c r="F98">
        <f>gescon_infosparticip!AV97</f>
        <v>0</v>
      </c>
    </row>
    <row r="99" spans="2:6" x14ac:dyDescent="0.25">
      <c r="B99">
        <f>gescon_infosparticip!A98</f>
        <v>2657</v>
      </c>
      <c r="C99">
        <f>gescon_infosparticip!AS98</f>
        <v>0</v>
      </c>
      <c r="D99">
        <f>gescon_infosparticip!AT98</f>
        <v>0</v>
      </c>
      <c r="E99">
        <f>gescon_infosparticip!AU98</f>
        <v>0</v>
      </c>
      <c r="F99">
        <f>gescon_infosparticip!AV98</f>
        <v>0</v>
      </c>
    </row>
    <row r="100" spans="2:6" x14ac:dyDescent="0.25">
      <c r="B100">
        <f>gescon_infosparticip!A99</f>
        <v>2659</v>
      </c>
      <c r="C100">
        <f>gescon_infosparticip!AS99</f>
        <v>0</v>
      </c>
      <c r="D100">
        <f>gescon_infosparticip!AT99</f>
        <v>0</v>
      </c>
      <c r="E100">
        <f>gescon_infosparticip!AU99</f>
        <v>0</v>
      </c>
      <c r="F100">
        <f>gescon_infosparticip!AV99</f>
        <v>0</v>
      </c>
    </row>
    <row r="101" spans="2:6" x14ac:dyDescent="0.25">
      <c r="B101">
        <f>gescon_infosparticip!A100</f>
        <v>2734</v>
      </c>
      <c r="C101">
        <f>gescon_infosparticip!AS100</f>
        <v>0</v>
      </c>
      <c r="D101">
        <f>gescon_infosparticip!AT100</f>
        <v>0</v>
      </c>
      <c r="E101">
        <f>gescon_infosparticip!AU100</f>
        <v>0</v>
      </c>
      <c r="F101">
        <f>gescon_infosparticip!AV100</f>
        <v>0</v>
      </c>
    </row>
    <row r="102" spans="2:6" x14ac:dyDescent="0.25">
      <c r="B102">
        <f>gescon_infosparticip!A101</f>
        <v>2746</v>
      </c>
      <c r="C102">
        <f>gescon_infosparticip!AS101</f>
        <v>0</v>
      </c>
      <c r="D102">
        <f>gescon_infosparticip!AT101</f>
        <v>0</v>
      </c>
      <c r="E102">
        <f>gescon_infosparticip!AU101</f>
        <v>0</v>
      </c>
      <c r="F102">
        <f>gescon_infosparticip!AV101</f>
        <v>0</v>
      </c>
    </row>
    <row r="103" spans="2:6" x14ac:dyDescent="0.25">
      <c r="B103">
        <f>gescon_infosparticip!A102</f>
        <v>2762</v>
      </c>
      <c r="C103">
        <f>gescon_infosparticip!AS102</f>
        <v>0</v>
      </c>
      <c r="D103">
        <f>gescon_infosparticip!AT102</f>
        <v>0</v>
      </c>
      <c r="E103">
        <f>gescon_infosparticip!AU102</f>
        <v>0</v>
      </c>
      <c r="F103">
        <f>gescon_infosparticip!AV102</f>
        <v>0</v>
      </c>
    </row>
    <row r="104" spans="2:6" x14ac:dyDescent="0.25">
      <c r="B104">
        <f>gescon_infosparticip!A103</f>
        <v>2811</v>
      </c>
      <c r="C104">
        <f>gescon_infosparticip!AS103</f>
        <v>0</v>
      </c>
      <c r="D104">
        <f>gescon_infosparticip!AT103</f>
        <v>0</v>
      </c>
      <c r="E104">
        <f>gescon_infosparticip!AU103</f>
        <v>0</v>
      </c>
      <c r="F104">
        <f>gescon_infosparticip!AV103</f>
        <v>0</v>
      </c>
    </row>
    <row r="105" spans="2:6" x14ac:dyDescent="0.25">
      <c r="B105">
        <f>gescon_infosparticip!A104</f>
        <v>2846</v>
      </c>
      <c r="C105">
        <f>gescon_infosparticip!AS104</f>
        <v>0</v>
      </c>
      <c r="D105">
        <f>gescon_infosparticip!AT104</f>
        <v>0</v>
      </c>
      <c r="E105">
        <f>gescon_infosparticip!AU104</f>
        <v>0</v>
      </c>
      <c r="F105">
        <f>gescon_infosparticip!AV104</f>
        <v>0</v>
      </c>
    </row>
    <row r="106" spans="2:6" x14ac:dyDescent="0.25">
      <c r="B106">
        <f>gescon_infosparticip!A105</f>
        <v>50038399</v>
      </c>
      <c r="C106">
        <f>gescon_infosparticip!AS105</f>
        <v>0</v>
      </c>
      <c r="D106">
        <f>gescon_infosparticip!AT105</f>
        <v>0</v>
      </c>
      <c r="E106">
        <f>gescon_infosparticip!AU105</f>
        <v>0</v>
      </c>
      <c r="F106">
        <f>gescon_infosparticip!AV105</f>
        <v>0</v>
      </c>
    </row>
    <row r="107" spans="2:6" x14ac:dyDescent="0.25">
      <c r="B107">
        <f>gescon_infosparticip!A106</f>
        <v>55168688</v>
      </c>
      <c r="C107">
        <f>gescon_infosparticip!AS106</f>
        <v>0</v>
      </c>
      <c r="D107">
        <f>gescon_infosparticip!AT106</f>
        <v>0</v>
      </c>
      <c r="E107">
        <f>gescon_infosparticip!AU106</f>
        <v>0</v>
      </c>
      <c r="F107">
        <f>gescon_infosparticip!AV106</f>
        <v>0</v>
      </c>
    </row>
    <row r="108" spans="2:6" x14ac:dyDescent="0.25">
      <c r="B108">
        <f>gescon_infosparticip!A107</f>
        <v>187714814</v>
      </c>
      <c r="C108">
        <f>gescon_infosparticip!AS107</f>
        <v>0</v>
      </c>
      <c r="D108">
        <f>gescon_infosparticip!AT107</f>
        <v>0</v>
      </c>
      <c r="E108">
        <f>gescon_infosparticip!AU107</f>
        <v>0</v>
      </c>
      <c r="F108">
        <f>gescon_infosparticip!AV107</f>
        <v>0</v>
      </c>
    </row>
    <row r="109" spans="2:6" x14ac:dyDescent="0.25">
      <c r="B109">
        <f>gescon_infosparticip!A108</f>
        <v>207468492</v>
      </c>
      <c r="C109">
        <f>gescon_infosparticip!AS108</f>
        <v>0</v>
      </c>
      <c r="D109">
        <f>gescon_infosparticip!AT108</f>
        <v>0</v>
      </c>
      <c r="E109">
        <f>gescon_infosparticip!AU108</f>
        <v>0</v>
      </c>
      <c r="F109">
        <f>gescon_infosparticip!AV108</f>
        <v>0</v>
      </c>
    </row>
    <row r="110" spans="2:6" x14ac:dyDescent="0.25">
      <c r="B110">
        <f>gescon_infosparticip!A109</f>
        <v>243437724</v>
      </c>
      <c r="C110">
        <f>gescon_infosparticip!AS109</f>
        <v>2146189636</v>
      </c>
      <c r="D110">
        <f>gescon_infosparticip!AT109</f>
        <v>0</v>
      </c>
      <c r="E110">
        <f>gescon_infosparticip!AU109</f>
        <v>0</v>
      </c>
      <c r="F110">
        <f>gescon_infosparticip!AV109</f>
        <v>0</v>
      </c>
    </row>
    <row r="111" spans="2:6" x14ac:dyDescent="0.25">
      <c r="B111">
        <f>gescon_infosparticip!A110</f>
        <v>396742077</v>
      </c>
      <c r="C111">
        <f>gescon_infosparticip!AS110</f>
        <v>0</v>
      </c>
      <c r="D111">
        <f>gescon_infosparticip!AT110</f>
        <v>0</v>
      </c>
      <c r="E111">
        <f>gescon_infosparticip!AU110</f>
        <v>0</v>
      </c>
      <c r="F111">
        <f>gescon_infosparticip!AV110</f>
        <v>0</v>
      </c>
    </row>
    <row r="112" spans="2:6" x14ac:dyDescent="0.25">
      <c r="B112">
        <f>gescon_infosparticip!A111</f>
        <v>644630123</v>
      </c>
      <c r="C112">
        <f>gescon_infosparticip!AS111</f>
        <v>0</v>
      </c>
      <c r="D112">
        <f>gescon_infosparticip!AT111</f>
        <v>0</v>
      </c>
      <c r="E112">
        <f>gescon_infosparticip!AU111</f>
        <v>0</v>
      </c>
      <c r="F112">
        <f>gescon_infosparticip!AV111</f>
        <v>0</v>
      </c>
    </row>
    <row r="113" spans="2:6" x14ac:dyDescent="0.25">
      <c r="B113">
        <f>gescon_infosparticip!A112</f>
        <v>674040117</v>
      </c>
      <c r="C113">
        <f>gescon_infosparticip!AS112</f>
        <v>2146189228</v>
      </c>
      <c r="D113">
        <f>gescon_infosparticip!AT112</f>
        <v>2146189588</v>
      </c>
      <c r="E113">
        <f>gescon_infosparticip!AU112</f>
        <v>0</v>
      </c>
      <c r="F113">
        <f>gescon_infosparticip!AV112</f>
        <v>0</v>
      </c>
    </row>
    <row r="114" spans="2:6" x14ac:dyDescent="0.25">
      <c r="B114">
        <f>gescon_infosparticip!A113</f>
        <v>674820052</v>
      </c>
      <c r="C114">
        <f>gescon_infosparticip!AS113</f>
        <v>0</v>
      </c>
      <c r="D114">
        <f>gescon_infosparticip!AT113</f>
        <v>0</v>
      </c>
      <c r="E114">
        <f>gescon_infosparticip!AU113</f>
        <v>0</v>
      </c>
      <c r="F114">
        <f>gescon_infosparticip!AV113</f>
        <v>0</v>
      </c>
    </row>
    <row r="115" spans="2:6" x14ac:dyDescent="0.25">
      <c r="B115">
        <f>gescon_infosparticip!A114</f>
        <v>788283754</v>
      </c>
      <c r="C115">
        <f>gescon_infosparticip!AS114</f>
        <v>0</v>
      </c>
      <c r="D115">
        <f>gescon_infosparticip!AT114</f>
        <v>0</v>
      </c>
      <c r="E115">
        <f>gescon_infosparticip!AU114</f>
        <v>0</v>
      </c>
      <c r="F115">
        <f>gescon_infosparticip!AV114</f>
        <v>0</v>
      </c>
    </row>
    <row r="116" spans="2:6" x14ac:dyDescent="0.25">
      <c r="B116">
        <f>gescon_infosparticip!A115</f>
        <v>982284145</v>
      </c>
      <c r="C116">
        <f>gescon_infosparticip!AS115</f>
        <v>0</v>
      </c>
      <c r="D116">
        <f>gescon_infosparticip!AT115</f>
        <v>0</v>
      </c>
      <c r="E116">
        <f>gescon_infosparticip!AU115</f>
        <v>0</v>
      </c>
      <c r="F116">
        <f>gescon_infosparticip!AV115</f>
        <v>0</v>
      </c>
    </row>
    <row r="117" spans="2:6" x14ac:dyDescent="0.25">
      <c r="B117">
        <f>gescon_infosparticip!A116</f>
        <v>1005056097</v>
      </c>
      <c r="C117">
        <f>gescon_infosparticip!AS116</f>
        <v>0</v>
      </c>
      <c r="D117">
        <f>gescon_infosparticip!AT116</f>
        <v>0</v>
      </c>
      <c r="E117">
        <f>gescon_infosparticip!AU116</f>
        <v>0</v>
      </c>
      <c r="F117">
        <f>gescon_infosparticip!AV116</f>
        <v>0</v>
      </c>
    </row>
    <row r="118" spans="2:6" x14ac:dyDescent="0.25">
      <c r="B118">
        <f>gescon_infosparticip!A117</f>
        <v>1014636521</v>
      </c>
      <c r="C118">
        <f>gescon_infosparticip!AS117</f>
        <v>0</v>
      </c>
      <c r="D118">
        <f>gescon_infosparticip!AT117</f>
        <v>0</v>
      </c>
      <c r="E118">
        <f>gescon_infosparticip!AU117</f>
        <v>0</v>
      </c>
      <c r="F118">
        <f>gescon_infosparticip!AV117</f>
        <v>0</v>
      </c>
    </row>
    <row r="119" spans="2:6" x14ac:dyDescent="0.25">
      <c r="B119">
        <f>gescon_infosparticip!A118</f>
        <v>1026306511</v>
      </c>
      <c r="C119">
        <f>gescon_infosparticip!AS118</f>
        <v>0</v>
      </c>
      <c r="D119">
        <f>gescon_infosparticip!AT118</f>
        <v>0</v>
      </c>
      <c r="E119">
        <f>gescon_infosparticip!AU118</f>
        <v>0</v>
      </c>
      <c r="F119">
        <f>gescon_infosparticip!AV118</f>
        <v>0</v>
      </c>
    </row>
    <row r="120" spans="2:6" x14ac:dyDescent="0.25">
      <c r="B120">
        <f>gescon_infosparticip!A119</f>
        <v>1031232110</v>
      </c>
      <c r="C120">
        <f>gescon_infosparticip!AS119</f>
        <v>0</v>
      </c>
      <c r="D120">
        <f>gescon_infosparticip!AT119</f>
        <v>0</v>
      </c>
      <c r="E120">
        <f>gescon_infosparticip!AU119</f>
        <v>0</v>
      </c>
      <c r="F120">
        <f>gescon_infosparticip!AV119</f>
        <v>0</v>
      </c>
    </row>
    <row r="121" spans="2:6" x14ac:dyDescent="0.25">
      <c r="B121">
        <f>gescon_infosparticip!A120</f>
        <v>1034322144</v>
      </c>
      <c r="C121">
        <f>gescon_infosparticip!AS120</f>
        <v>0</v>
      </c>
      <c r="D121">
        <f>gescon_infosparticip!AT120</f>
        <v>0</v>
      </c>
      <c r="E121">
        <f>gescon_infosparticip!AU120</f>
        <v>0</v>
      </c>
      <c r="F121">
        <f>gescon_infosparticip!AV120</f>
        <v>0</v>
      </c>
    </row>
    <row r="122" spans="2:6" x14ac:dyDescent="0.25">
      <c r="B122">
        <f>gescon_infosparticip!A121</f>
        <v>1035988716</v>
      </c>
      <c r="C122">
        <f>gescon_infosparticip!AS121</f>
        <v>0</v>
      </c>
      <c r="D122">
        <f>gescon_infosparticip!AT121</f>
        <v>0</v>
      </c>
      <c r="E122">
        <f>gescon_infosparticip!AU121</f>
        <v>0</v>
      </c>
      <c r="F122">
        <f>gescon_infosparticip!AV121</f>
        <v>0</v>
      </c>
    </row>
    <row r="123" spans="2:6" x14ac:dyDescent="0.25">
      <c r="B123">
        <f>gescon_infosparticip!A122</f>
        <v>1041958732</v>
      </c>
      <c r="C123">
        <f>gescon_infosparticip!AS122</f>
        <v>0</v>
      </c>
      <c r="D123">
        <f>gescon_infosparticip!AT122</f>
        <v>0</v>
      </c>
      <c r="E123">
        <f>gescon_infosparticip!AU122</f>
        <v>0</v>
      </c>
      <c r="F123">
        <f>gescon_infosparticip!AV122</f>
        <v>0</v>
      </c>
    </row>
    <row r="124" spans="2:6" x14ac:dyDescent="0.25">
      <c r="B124">
        <f>gescon_infosparticip!A123</f>
        <v>1045738360</v>
      </c>
      <c r="C124">
        <f>gescon_infosparticip!AS123</f>
        <v>0</v>
      </c>
      <c r="D124">
        <f>gescon_infosparticip!AT123</f>
        <v>0</v>
      </c>
      <c r="E124">
        <f>gescon_infosparticip!AU123</f>
        <v>0</v>
      </c>
      <c r="F124">
        <f>gescon_infosparticip!AV123</f>
        <v>0</v>
      </c>
    </row>
    <row r="125" spans="2:6" x14ac:dyDescent="0.25">
      <c r="B125">
        <f>gescon_infosparticip!A124</f>
        <v>1061796863</v>
      </c>
      <c r="C125">
        <f>gescon_infosparticip!AS124</f>
        <v>0</v>
      </c>
      <c r="D125">
        <f>gescon_infosparticip!AT124</f>
        <v>0</v>
      </c>
      <c r="E125">
        <f>gescon_infosparticip!AU124</f>
        <v>0</v>
      </c>
      <c r="F125">
        <f>gescon_infosparticip!AV124</f>
        <v>0</v>
      </c>
    </row>
    <row r="126" spans="2:6" x14ac:dyDescent="0.25">
      <c r="B126">
        <f>gescon_infosparticip!A125</f>
        <v>1061896702</v>
      </c>
      <c r="C126">
        <f>gescon_infosparticip!AS125</f>
        <v>0</v>
      </c>
      <c r="D126">
        <f>gescon_infosparticip!AT125</f>
        <v>0</v>
      </c>
      <c r="E126">
        <f>gescon_infosparticip!AU125</f>
        <v>0</v>
      </c>
      <c r="F126">
        <f>gescon_infosparticip!AV125</f>
        <v>0</v>
      </c>
    </row>
    <row r="127" spans="2:6" x14ac:dyDescent="0.25">
      <c r="B127">
        <f>gescon_infosparticip!A126</f>
        <v>1061977115</v>
      </c>
      <c r="C127">
        <f>gescon_infosparticip!AS126</f>
        <v>0</v>
      </c>
      <c r="D127">
        <f>gescon_infosparticip!AT126</f>
        <v>0</v>
      </c>
      <c r="E127">
        <f>gescon_infosparticip!AU126</f>
        <v>0</v>
      </c>
      <c r="F127">
        <f>gescon_infosparticip!AV126</f>
        <v>0</v>
      </c>
    </row>
    <row r="128" spans="2:6" x14ac:dyDescent="0.25">
      <c r="B128">
        <f>gescon_infosparticip!A127</f>
        <v>1074518627</v>
      </c>
      <c r="C128">
        <f>gescon_infosparticip!AS127</f>
        <v>0</v>
      </c>
      <c r="D128">
        <f>gescon_infosparticip!AT127</f>
        <v>0</v>
      </c>
      <c r="E128">
        <f>gescon_infosparticip!AU127</f>
        <v>0</v>
      </c>
      <c r="F128">
        <f>gescon_infosparticip!AV127</f>
        <v>0</v>
      </c>
    </row>
    <row r="129" spans="2:6" x14ac:dyDescent="0.25">
      <c r="B129">
        <f>gescon_infosparticip!A128</f>
        <v>1083240723</v>
      </c>
      <c r="C129">
        <f>gescon_infosparticip!AS128</f>
        <v>0</v>
      </c>
      <c r="D129">
        <f>gescon_infosparticip!AT128</f>
        <v>0</v>
      </c>
      <c r="E129">
        <f>gescon_infosparticip!AU128</f>
        <v>0</v>
      </c>
      <c r="F129">
        <f>gescon_infosparticip!AV128</f>
        <v>0</v>
      </c>
    </row>
    <row r="130" spans="2:6" x14ac:dyDescent="0.25">
      <c r="B130">
        <f>gescon_infosparticip!A129</f>
        <v>1087386639</v>
      </c>
      <c r="C130">
        <f>gescon_infosparticip!AS129</f>
        <v>0</v>
      </c>
      <c r="D130">
        <f>gescon_infosparticip!AT129</f>
        <v>0</v>
      </c>
      <c r="E130">
        <f>gescon_infosparticip!AU129</f>
        <v>0</v>
      </c>
      <c r="F130">
        <f>gescon_infosparticip!AV129</f>
        <v>0</v>
      </c>
    </row>
    <row r="131" spans="2:6" x14ac:dyDescent="0.25">
      <c r="B131">
        <f>gescon_infosparticip!A130</f>
        <v>1087391122</v>
      </c>
      <c r="C131">
        <f>gescon_infosparticip!AS130</f>
        <v>0</v>
      </c>
      <c r="D131">
        <f>gescon_infosparticip!AT130</f>
        <v>0</v>
      </c>
      <c r="E131">
        <f>gescon_infosparticip!AU130</f>
        <v>0</v>
      </c>
      <c r="F131">
        <f>gescon_infosparticip!AV130</f>
        <v>0</v>
      </c>
    </row>
    <row r="132" spans="2:6" x14ac:dyDescent="0.25">
      <c r="B132">
        <f>gescon_infosparticip!A131</f>
        <v>1088577847</v>
      </c>
      <c r="C132">
        <f>gescon_infosparticip!AS131</f>
        <v>0</v>
      </c>
      <c r="D132">
        <f>gescon_infosparticip!AT131</f>
        <v>0</v>
      </c>
      <c r="E132">
        <f>gescon_infosparticip!AU131</f>
        <v>0</v>
      </c>
      <c r="F132">
        <f>gescon_infosparticip!AV131</f>
        <v>0</v>
      </c>
    </row>
    <row r="133" spans="2:6" x14ac:dyDescent="0.25">
      <c r="B133">
        <f>gescon_infosparticip!A132</f>
        <v>1100016670</v>
      </c>
      <c r="C133">
        <f>gescon_infosparticip!AS132</f>
        <v>2146189417</v>
      </c>
      <c r="D133">
        <f>gescon_infosparticip!AT132</f>
        <v>0</v>
      </c>
      <c r="E133">
        <f>gescon_infosparticip!AU132</f>
        <v>0</v>
      </c>
      <c r="F133">
        <f>gescon_infosparticip!AV132</f>
        <v>0</v>
      </c>
    </row>
    <row r="134" spans="2:6" x14ac:dyDescent="0.25">
      <c r="B134">
        <f>gescon_infosparticip!A133</f>
        <v>1100158231</v>
      </c>
      <c r="C134">
        <f>gescon_infosparticip!AS133</f>
        <v>0</v>
      </c>
      <c r="D134">
        <f>gescon_infosparticip!AT133</f>
        <v>0</v>
      </c>
      <c r="E134">
        <f>gescon_infosparticip!AU133</f>
        <v>0</v>
      </c>
      <c r="F134">
        <f>gescon_infosparticip!AV133</f>
        <v>0</v>
      </c>
    </row>
    <row r="135" spans="2:6" x14ac:dyDescent="0.25">
      <c r="B135">
        <f>gescon_infosparticip!A134</f>
        <v>1106056329</v>
      </c>
      <c r="C135">
        <f>gescon_infosparticip!AS134</f>
        <v>0</v>
      </c>
      <c r="D135">
        <f>gescon_infosparticip!AT134</f>
        <v>0</v>
      </c>
      <c r="E135">
        <f>gescon_infosparticip!AU134</f>
        <v>0</v>
      </c>
      <c r="F135">
        <f>gescon_infosparticip!AV134</f>
        <v>0</v>
      </c>
    </row>
    <row r="136" spans="2:6" x14ac:dyDescent="0.25">
      <c r="B136">
        <f>gescon_infosparticip!A135</f>
        <v>1115645303</v>
      </c>
      <c r="C136">
        <f>gescon_infosparticip!AS135</f>
        <v>0</v>
      </c>
      <c r="D136">
        <f>gescon_infosparticip!AT135</f>
        <v>0</v>
      </c>
      <c r="E136">
        <f>gescon_infosparticip!AU135</f>
        <v>0</v>
      </c>
      <c r="F136">
        <f>gescon_infosparticip!AV135</f>
        <v>0</v>
      </c>
    </row>
    <row r="137" spans="2:6" x14ac:dyDescent="0.25">
      <c r="B137">
        <f>gescon_infosparticip!A136</f>
        <v>1116339152</v>
      </c>
      <c r="C137">
        <f>gescon_infosparticip!AS136</f>
        <v>0</v>
      </c>
      <c r="D137">
        <f>gescon_infosparticip!AT136</f>
        <v>0</v>
      </c>
      <c r="E137">
        <f>gescon_infosparticip!AU136</f>
        <v>0</v>
      </c>
      <c r="F137">
        <f>gescon_infosparticip!AV136</f>
        <v>0</v>
      </c>
    </row>
    <row r="138" spans="2:6" x14ac:dyDescent="0.25">
      <c r="B138">
        <f>gescon_infosparticip!A137</f>
        <v>1119442659</v>
      </c>
      <c r="C138">
        <f>gescon_infosparticip!AS137</f>
        <v>0</v>
      </c>
      <c r="D138">
        <f>gescon_infosparticip!AT137</f>
        <v>0</v>
      </c>
      <c r="E138">
        <f>gescon_infosparticip!AU137</f>
        <v>0</v>
      </c>
      <c r="F138">
        <f>gescon_infosparticip!AV137</f>
        <v>0</v>
      </c>
    </row>
    <row r="139" spans="2:6" x14ac:dyDescent="0.25">
      <c r="B139">
        <f>gescon_infosparticip!A138</f>
        <v>1119443187</v>
      </c>
      <c r="C139">
        <f>gescon_infosparticip!AS138</f>
        <v>0</v>
      </c>
      <c r="D139">
        <f>gescon_infosparticip!AT138</f>
        <v>0</v>
      </c>
      <c r="E139">
        <f>gescon_infosparticip!AU138</f>
        <v>0</v>
      </c>
      <c r="F139">
        <f>gescon_infosparticip!AV138</f>
        <v>0</v>
      </c>
    </row>
    <row r="140" spans="2:6" x14ac:dyDescent="0.25">
      <c r="B140">
        <f>gescon_infosparticip!A139</f>
        <v>1119448530</v>
      </c>
      <c r="C140">
        <f>gescon_infosparticip!AS139</f>
        <v>1231232923</v>
      </c>
      <c r="D140">
        <f>gescon_infosparticip!AT139</f>
        <v>2146189576</v>
      </c>
      <c r="E140">
        <f>gescon_infosparticip!AU139</f>
        <v>0</v>
      </c>
      <c r="F140">
        <f>gescon_infosparticip!AV139</f>
        <v>0</v>
      </c>
    </row>
    <row r="141" spans="2:6" x14ac:dyDescent="0.25">
      <c r="B141">
        <f>gescon_infosparticip!A140</f>
        <v>1125316835</v>
      </c>
      <c r="C141">
        <f>gescon_infosparticip!AS140</f>
        <v>1823686857</v>
      </c>
      <c r="D141">
        <f>gescon_infosparticip!AT140</f>
        <v>0</v>
      </c>
      <c r="E141">
        <f>gescon_infosparticip!AU140</f>
        <v>0</v>
      </c>
      <c r="F141">
        <f>gescon_infosparticip!AV140</f>
        <v>0</v>
      </c>
    </row>
    <row r="142" spans="2:6" x14ac:dyDescent="0.25">
      <c r="B142">
        <f>gescon_infosparticip!A141</f>
        <v>1127891338</v>
      </c>
      <c r="C142">
        <f>gescon_infosparticip!AS141</f>
        <v>1003999342</v>
      </c>
      <c r="D142">
        <f>gescon_infosparticip!AT141</f>
        <v>0</v>
      </c>
      <c r="E142">
        <f>gescon_infosparticip!AU141</f>
        <v>0</v>
      </c>
      <c r="F142">
        <f>gescon_infosparticip!AV141</f>
        <v>0</v>
      </c>
    </row>
    <row r="143" spans="2:6" x14ac:dyDescent="0.25">
      <c r="B143">
        <f>gescon_infosparticip!A142</f>
        <v>1138806721</v>
      </c>
      <c r="C143">
        <f>gescon_infosparticip!AS142</f>
        <v>1272349759</v>
      </c>
      <c r="D143">
        <f>gescon_infosparticip!AT142</f>
        <v>1823686857</v>
      </c>
      <c r="E143">
        <f>gescon_infosparticip!AU142</f>
        <v>1231232923</v>
      </c>
      <c r="F143">
        <f>gescon_infosparticip!AV142</f>
        <v>0</v>
      </c>
    </row>
    <row r="144" spans="2:6" x14ac:dyDescent="0.25">
      <c r="B144">
        <f>gescon_infosparticip!A143</f>
        <v>1144677323</v>
      </c>
      <c r="C144">
        <f>gescon_infosparticip!AS143</f>
        <v>0</v>
      </c>
      <c r="D144">
        <f>gescon_infosparticip!AT143</f>
        <v>0</v>
      </c>
      <c r="E144">
        <f>gescon_infosparticip!AU143</f>
        <v>0</v>
      </c>
      <c r="F144">
        <f>gescon_infosparticip!AV143</f>
        <v>0</v>
      </c>
    </row>
    <row r="145" spans="2:6" x14ac:dyDescent="0.25">
      <c r="B145">
        <f>gescon_infosparticip!A144</f>
        <v>1148904896</v>
      </c>
      <c r="C145">
        <f>gescon_infosparticip!AS144</f>
        <v>0</v>
      </c>
      <c r="D145">
        <f>gescon_infosparticip!AT144</f>
        <v>0</v>
      </c>
      <c r="E145">
        <f>gescon_infosparticip!AU144</f>
        <v>0</v>
      </c>
      <c r="F145">
        <f>gescon_infosparticip!AV144</f>
        <v>0</v>
      </c>
    </row>
    <row r="146" spans="2:6" x14ac:dyDescent="0.25">
      <c r="B146">
        <f>gescon_infosparticip!A145</f>
        <v>1172471980</v>
      </c>
      <c r="C146">
        <f>gescon_infosparticip!AS145</f>
        <v>0</v>
      </c>
      <c r="D146">
        <f>gescon_infosparticip!AT145</f>
        <v>0</v>
      </c>
      <c r="E146">
        <f>gescon_infosparticip!AU145</f>
        <v>0</v>
      </c>
      <c r="F146">
        <f>gescon_infosparticip!AV145</f>
        <v>0</v>
      </c>
    </row>
    <row r="147" spans="2:6" x14ac:dyDescent="0.25">
      <c r="B147">
        <f>gescon_infosparticip!A146</f>
        <v>1172577274</v>
      </c>
      <c r="C147">
        <f>gescon_infosparticip!AS146</f>
        <v>0</v>
      </c>
      <c r="D147">
        <f>gescon_infosparticip!AT146</f>
        <v>0</v>
      </c>
      <c r="E147">
        <f>gescon_infosparticip!AU146</f>
        <v>0</v>
      </c>
      <c r="F147">
        <f>gescon_infosparticip!AV146</f>
        <v>0</v>
      </c>
    </row>
    <row r="148" spans="2:6" x14ac:dyDescent="0.25">
      <c r="B148">
        <f>gescon_infosparticip!A147</f>
        <v>1175782861</v>
      </c>
      <c r="C148">
        <f>gescon_infosparticip!AS147</f>
        <v>0</v>
      </c>
      <c r="D148">
        <f>gescon_infosparticip!AT147</f>
        <v>0</v>
      </c>
      <c r="E148">
        <f>gescon_infosparticip!AU147</f>
        <v>0</v>
      </c>
      <c r="F148">
        <f>gescon_infosparticip!AV147</f>
        <v>0</v>
      </c>
    </row>
    <row r="149" spans="2:6" x14ac:dyDescent="0.25">
      <c r="B149">
        <f>gescon_infosparticip!A148</f>
        <v>1175783172</v>
      </c>
      <c r="C149">
        <f>gescon_infosparticip!AS148</f>
        <v>0</v>
      </c>
      <c r="D149">
        <f>gescon_infosparticip!AT148</f>
        <v>0</v>
      </c>
      <c r="E149">
        <f>gescon_infosparticip!AU148</f>
        <v>0</v>
      </c>
      <c r="F149">
        <f>gescon_infosparticip!AV148</f>
        <v>0</v>
      </c>
    </row>
    <row r="150" spans="2:6" x14ac:dyDescent="0.25">
      <c r="B150">
        <f>gescon_infosparticip!A149</f>
        <v>1176728538</v>
      </c>
      <c r="C150">
        <f>gescon_infosparticip!AS149</f>
        <v>0</v>
      </c>
      <c r="D150">
        <f>gescon_infosparticip!AT149</f>
        <v>0</v>
      </c>
      <c r="E150">
        <f>gescon_infosparticip!AU149</f>
        <v>0</v>
      </c>
      <c r="F150">
        <f>gescon_infosparticip!AV149</f>
        <v>0</v>
      </c>
    </row>
    <row r="151" spans="2:6" x14ac:dyDescent="0.25">
      <c r="B151">
        <f>gescon_infosparticip!A150</f>
        <v>1184667370</v>
      </c>
      <c r="C151">
        <f>gescon_infosparticip!AS150</f>
        <v>0</v>
      </c>
      <c r="D151">
        <f>gescon_infosparticip!AT150</f>
        <v>0</v>
      </c>
      <c r="E151">
        <f>gescon_infosparticip!AU150</f>
        <v>0</v>
      </c>
      <c r="F151">
        <f>gescon_infosparticip!AV150</f>
        <v>0</v>
      </c>
    </row>
    <row r="152" spans="2:6" x14ac:dyDescent="0.25">
      <c r="B152">
        <f>gescon_infosparticip!A151</f>
        <v>1191311576</v>
      </c>
      <c r="C152">
        <f>gescon_infosparticip!AS151</f>
        <v>0</v>
      </c>
      <c r="D152">
        <f>gescon_infosparticip!AT151</f>
        <v>0</v>
      </c>
      <c r="E152">
        <f>gescon_infosparticip!AU151</f>
        <v>0</v>
      </c>
      <c r="F152">
        <f>gescon_infosparticip!AV151</f>
        <v>0</v>
      </c>
    </row>
    <row r="153" spans="2:6" x14ac:dyDescent="0.25">
      <c r="B153">
        <f>gescon_infosparticip!A152</f>
        <v>1191915897</v>
      </c>
      <c r="C153">
        <f>gescon_infosparticip!AS152</f>
        <v>0</v>
      </c>
      <c r="D153">
        <f>gescon_infosparticip!AT152</f>
        <v>0</v>
      </c>
      <c r="E153">
        <f>gescon_infosparticip!AU152</f>
        <v>0</v>
      </c>
      <c r="F153">
        <f>gescon_infosparticip!AV152</f>
        <v>0</v>
      </c>
    </row>
    <row r="154" spans="2:6" x14ac:dyDescent="0.25">
      <c r="B154">
        <f>gescon_infosparticip!A153</f>
        <v>1194356555</v>
      </c>
      <c r="C154">
        <f>gescon_infosparticip!AS153</f>
        <v>1318928318</v>
      </c>
      <c r="D154">
        <f>gescon_infosparticip!AT153</f>
        <v>2146189064</v>
      </c>
      <c r="E154">
        <f>gescon_infosparticip!AU153</f>
        <v>1300885603</v>
      </c>
      <c r="F154">
        <f>gescon_infosparticip!AV153</f>
        <v>0</v>
      </c>
    </row>
    <row r="155" spans="2:6" x14ac:dyDescent="0.25">
      <c r="B155">
        <f>gescon_infosparticip!A154</f>
        <v>1194358603</v>
      </c>
      <c r="C155">
        <f>gescon_infosparticip!AS154</f>
        <v>0</v>
      </c>
      <c r="D155">
        <f>gescon_infosparticip!AT154</f>
        <v>0</v>
      </c>
      <c r="E155">
        <f>gescon_infosparticip!AU154</f>
        <v>0</v>
      </c>
      <c r="F155">
        <f>gescon_infosparticip!AV154</f>
        <v>0</v>
      </c>
    </row>
    <row r="156" spans="2:6" x14ac:dyDescent="0.25">
      <c r="B156">
        <f>gescon_infosparticip!A155</f>
        <v>1194881278</v>
      </c>
      <c r="C156">
        <f>gescon_infosparticip!AS155</f>
        <v>0</v>
      </c>
      <c r="D156">
        <f>gescon_infosparticip!AT155</f>
        <v>0</v>
      </c>
      <c r="E156">
        <f>gescon_infosparticip!AU155</f>
        <v>0</v>
      </c>
      <c r="F156">
        <f>gescon_infosparticip!AV155</f>
        <v>0</v>
      </c>
    </row>
    <row r="157" spans="2:6" x14ac:dyDescent="0.25">
      <c r="B157">
        <f>gescon_infosparticip!A156</f>
        <v>1195664924</v>
      </c>
      <c r="C157">
        <f>gescon_infosparticip!AS156</f>
        <v>0</v>
      </c>
      <c r="D157">
        <f>gescon_infosparticip!AT156</f>
        <v>0</v>
      </c>
      <c r="E157">
        <f>gescon_infosparticip!AU156</f>
        <v>0</v>
      </c>
      <c r="F157">
        <f>gescon_infosparticip!AV156</f>
        <v>0</v>
      </c>
    </row>
    <row r="158" spans="2:6" x14ac:dyDescent="0.25">
      <c r="B158">
        <f>gescon_infosparticip!A157</f>
        <v>1196153139</v>
      </c>
      <c r="C158">
        <f>gescon_infosparticip!AS157</f>
        <v>0</v>
      </c>
      <c r="D158">
        <f>gescon_infosparticip!AT157</f>
        <v>0</v>
      </c>
      <c r="E158">
        <f>gescon_infosparticip!AU157</f>
        <v>0</v>
      </c>
      <c r="F158">
        <f>gescon_infosparticip!AV157</f>
        <v>0</v>
      </c>
    </row>
    <row r="159" spans="2:6" x14ac:dyDescent="0.25">
      <c r="B159">
        <f>gescon_infosparticip!A158</f>
        <v>1197467512</v>
      </c>
      <c r="C159">
        <f>gescon_infosparticip!AS158</f>
        <v>0</v>
      </c>
      <c r="D159">
        <f>gescon_infosparticip!AT158</f>
        <v>0</v>
      </c>
      <c r="E159">
        <f>gescon_infosparticip!AU158</f>
        <v>0</v>
      </c>
      <c r="F159">
        <f>gescon_infosparticip!AV158</f>
        <v>0</v>
      </c>
    </row>
    <row r="160" spans="2:6" x14ac:dyDescent="0.25">
      <c r="B160">
        <f>gescon_infosparticip!A159</f>
        <v>1201506572</v>
      </c>
      <c r="C160">
        <f>gescon_infosparticip!AS159</f>
        <v>0</v>
      </c>
      <c r="D160">
        <f>gescon_infosparticip!AT159</f>
        <v>0</v>
      </c>
      <c r="E160">
        <f>gescon_infosparticip!AU159</f>
        <v>0</v>
      </c>
      <c r="F160">
        <f>gescon_infosparticip!AV159</f>
        <v>0</v>
      </c>
    </row>
    <row r="161" spans="2:6" x14ac:dyDescent="0.25">
      <c r="B161">
        <f>gescon_infosparticip!A160</f>
        <v>1201536087</v>
      </c>
      <c r="C161">
        <f>gescon_infosparticip!AS160</f>
        <v>0</v>
      </c>
      <c r="D161">
        <f>gescon_infosparticip!AT160</f>
        <v>0</v>
      </c>
      <c r="E161">
        <f>gescon_infosparticip!AU160</f>
        <v>0</v>
      </c>
      <c r="F161">
        <f>gescon_infosparticip!AV160</f>
        <v>0</v>
      </c>
    </row>
    <row r="162" spans="2:6" x14ac:dyDescent="0.25">
      <c r="B162">
        <f>gescon_infosparticip!A161</f>
        <v>1206538880</v>
      </c>
      <c r="C162">
        <f>gescon_infosparticip!AS161</f>
        <v>0</v>
      </c>
      <c r="D162">
        <f>gescon_infosparticip!AT161</f>
        <v>0</v>
      </c>
      <c r="E162">
        <f>gescon_infosparticip!AU161</f>
        <v>0</v>
      </c>
      <c r="F162">
        <f>gescon_infosparticip!AV161</f>
        <v>0</v>
      </c>
    </row>
    <row r="163" spans="2:6" x14ac:dyDescent="0.25">
      <c r="B163">
        <f>gescon_infosparticip!A162</f>
        <v>1210064527</v>
      </c>
      <c r="C163">
        <f>gescon_infosparticip!AS162</f>
        <v>0</v>
      </c>
      <c r="D163">
        <f>gescon_infosparticip!AT162</f>
        <v>0</v>
      </c>
      <c r="E163">
        <f>gescon_infosparticip!AU162</f>
        <v>0</v>
      </c>
      <c r="F163">
        <f>gescon_infosparticip!AV162</f>
        <v>0</v>
      </c>
    </row>
    <row r="164" spans="2:6" x14ac:dyDescent="0.25">
      <c r="B164">
        <f>gescon_infosparticip!A163</f>
        <v>1219752667</v>
      </c>
      <c r="C164">
        <f>gescon_infosparticip!AS163</f>
        <v>0</v>
      </c>
      <c r="D164">
        <f>gescon_infosparticip!AT163</f>
        <v>0</v>
      </c>
      <c r="E164">
        <f>gescon_infosparticip!AU163</f>
        <v>0</v>
      </c>
      <c r="F164">
        <f>gescon_infosparticip!AV163</f>
        <v>0</v>
      </c>
    </row>
    <row r="165" spans="2:6" x14ac:dyDescent="0.25">
      <c r="B165">
        <f>gescon_infosparticip!A164</f>
        <v>1220344826</v>
      </c>
      <c r="C165">
        <f>gescon_infosparticip!AS164</f>
        <v>0</v>
      </c>
      <c r="D165">
        <f>gescon_infosparticip!AT164</f>
        <v>0</v>
      </c>
      <c r="E165">
        <f>gescon_infosparticip!AU164</f>
        <v>0</v>
      </c>
      <c r="F165">
        <f>gescon_infosparticip!AV164</f>
        <v>0</v>
      </c>
    </row>
    <row r="166" spans="2:6" x14ac:dyDescent="0.25">
      <c r="B166">
        <f>gescon_infosparticip!A165</f>
        <v>1228834647</v>
      </c>
      <c r="C166">
        <f>gescon_infosparticip!AS165</f>
        <v>0</v>
      </c>
      <c r="D166">
        <f>gescon_infosparticip!AT165</f>
        <v>0</v>
      </c>
      <c r="E166">
        <f>gescon_infosparticip!AU165</f>
        <v>0</v>
      </c>
      <c r="F166">
        <f>gescon_infosparticip!AV165</f>
        <v>0</v>
      </c>
    </row>
    <row r="167" spans="2:6" x14ac:dyDescent="0.25">
      <c r="B167">
        <f>gescon_infosparticip!A166</f>
        <v>1228835384</v>
      </c>
      <c r="C167">
        <f>gescon_infosparticip!AS166</f>
        <v>0</v>
      </c>
      <c r="D167">
        <f>gescon_infosparticip!AT166</f>
        <v>0</v>
      </c>
      <c r="E167">
        <f>gescon_infosparticip!AU166</f>
        <v>0</v>
      </c>
      <c r="F167">
        <f>gescon_infosparticip!AV166</f>
        <v>0</v>
      </c>
    </row>
    <row r="168" spans="2:6" x14ac:dyDescent="0.25">
      <c r="B168">
        <f>gescon_infosparticip!A167</f>
        <v>1228837894</v>
      </c>
      <c r="C168">
        <f>gescon_infosparticip!AS167</f>
        <v>0</v>
      </c>
      <c r="D168">
        <f>gescon_infosparticip!AT167</f>
        <v>0</v>
      </c>
      <c r="E168">
        <f>gescon_infosparticip!AU167</f>
        <v>0</v>
      </c>
      <c r="F168">
        <f>gescon_infosparticip!AV167</f>
        <v>0</v>
      </c>
    </row>
    <row r="169" spans="2:6" x14ac:dyDescent="0.25">
      <c r="B169">
        <f>gescon_infosparticip!A168</f>
        <v>1228923808</v>
      </c>
      <c r="C169">
        <f>gescon_infosparticip!AS168</f>
        <v>0</v>
      </c>
      <c r="D169">
        <f>gescon_infosparticip!AT168</f>
        <v>0</v>
      </c>
      <c r="E169">
        <f>gescon_infosparticip!AU168</f>
        <v>0</v>
      </c>
      <c r="F169">
        <f>gescon_infosparticip!AV168</f>
        <v>0</v>
      </c>
    </row>
    <row r="170" spans="2:6" x14ac:dyDescent="0.25">
      <c r="B170">
        <f>gescon_infosparticip!A169</f>
        <v>1228924280</v>
      </c>
      <c r="C170">
        <f>gescon_infosparticip!AS169</f>
        <v>0</v>
      </c>
      <c r="D170">
        <f>gescon_infosparticip!AT169</f>
        <v>0</v>
      </c>
      <c r="E170">
        <f>gescon_infosparticip!AU169</f>
        <v>0</v>
      </c>
      <c r="F170">
        <f>gescon_infosparticip!AV169</f>
        <v>0</v>
      </c>
    </row>
    <row r="171" spans="2:6" x14ac:dyDescent="0.25">
      <c r="B171">
        <f>gescon_infosparticip!A170</f>
        <v>1228924570</v>
      </c>
      <c r="C171">
        <f>gescon_infosparticip!AS170</f>
        <v>0</v>
      </c>
      <c r="D171">
        <f>gescon_infosparticip!AT170</f>
        <v>0</v>
      </c>
      <c r="E171">
        <f>gescon_infosparticip!AU170</f>
        <v>0</v>
      </c>
      <c r="F171">
        <f>gescon_infosparticip!AV170</f>
        <v>0</v>
      </c>
    </row>
    <row r="172" spans="2:6" x14ac:dyDescent="0.25">
      <c r="B172">
        <f>gescon_infosparticip!A171</f>
        <v>1228928441</v>
      </c>
      <c r="C172">
        <f>gescon_infosparticip!AS171</f>
        <v>0</v>
      </c>
      <c r="D172">
        <f>gescon_infosparticip!AT171</f>
        <v>0</v>
      </c>
      <c r="E172">
        <f>gescon_infosparticip!AU171</f>
        <v>0</v>
      </c>
      <c r="F172">
        <f>gescon_infosparticip!AV171</f>
        <v>0</v>
      </c>
    </row>
    <row r="173" spans="2:6" x14ac:dyDescent="0.25">
      <c r="B173">
        <f>gescon_infosparticip!A172</f>
        <v>1228928949</v>
      </c>
      <c r="C173">
        <f>gescon_infosparticip!AS172</f>
        <v>0</v>
      </c>
      <c r="D173">
        <f>gescon_infosparticip!AT172</f>
        <v>0</v>
      </c>
      <c r="E173">
        <f>gescon_infosparticip!AU172</f>
        <v>0</v>
      </c>
      <c r="F173">
        <f>gescon_infosparticip!AV172</f>
        <v>0</v>
      </c>
    </row>
    <row r="174" spans="2:6" x14ac:dyDescent="0.25">
      <c r="B174">
        <f>gescon_infosparticip!A173</f>
        <v>1241531093</v>
      </c>
      <c r="C174">
        <f>gescon_infosparticip!AS173</f>
        <v>0</v>
      </c>
      <c r="D174">
        <f>gescon_infosparticip!AT173</f>
        <v>0</v>
      </c>
      <c r="E174">
        <f>gescon_infosparticip!AU173</f>
        <v>0</v>
      </c>
      <c r="F174">
        <f>gescon_infosparticip!AV173</f>
        <v>0</v>
      </c>
    </row>
    <row r="175" spans="2:6" x14ac:dyDescent="0.25">
      <c r="B175">
        <f>gescon_infosparticip!A174</f>
        <v>1264433332</v>
      </c>
      <c r="C175">
        <f>gescon_infosparticip!AS174</f>
        <v>0</v>
      </c>
      <c r="D175">
        <f>gescon_infosparticip!AT174</f>
        <v>0</v>
      </c>
      <c r="E175">
        <f>gescon_infosparticip!AU174</f>
        <v>0</v>
      </c>
      <c r="F175">
        <f>gescon_infosparticip!AV174</f>
        <v>0</v>
      </c>
    </row>
    <row r="176" spans="2:6" x14ac:dyDescent="0.25">
      <c r="B176">
        <f>gescon_infosparticip!A175</f>
        <v>1264491950</v>
      </c>
      <c r="C176">
        <f>gescon_infosparticip!AS175</f>
        <v>0</v>
      </c>
      <c r="D176">
        <f>gescon_infosparticip!AT175</f>
        <v>0</v>
      </c>
      <c r="E176">
        <f>gescon_infosparticip!AU175</f>
        <v>0</v>
      </c>
      <c r="F176">
        <f>gescon_infosparticip!AV175</f>
        <v>0</v>
      </c>
    </row>
    <row r="177" spans="2:6" x14ac:dyDescent="0.25">
      <c r="B177">
        <f>gescon_infosparticip!A176</f>
        <v>1270805862</v>
      </c>
      <c r="C177">
        <f>gescon_infosparticip!AS176</f>
        <v>2146189156</v>
      </c>
      <c r="D177">
        <f>gescon_infosparticip!AT176</f>
        <v>2146189284</v>
      </c>
      <c r="E177">
        <f>gescon_infosparticip!AU176</f>
        <v>0</v>
      </c>
      <c r="F177">
        <f>gescon_infosparticip!AV176</f>
        <v>0</v>
      </c>
    </row>
    <row r="178" spans="2:6" x14ac:dyDescent="0.25">
      <c r="B178">
        <f>gescon_infosparticip!A177</f>
        <v>1298294561</v>
      </c>
      <c r="C178">
        <f>gescon_infosparticip!AS177</f>
        <v>0</v>
      </c>
      <c r="D178">
        <f>gescon_infosparticip!AT177</f>
        <v>0</v>
      </c>
      <c r="E178">
        <f>gescon_infosparticip!AU177</f>
        <v>0</v>
      </c>
      <c r="F178">
        <f>gescon_infosparticip!AV177</f>
        <v>0</v>
      </c>
    </row>
    <row r="179" spans="2:6" x14ac:dyDescent="0.25">
      <c r="B179">
        <f>gescon_infosparticip!A178</f>
        <v>1299487111</v>
      </c>
      <c r="C179">
        <f>gescon_infosparticip!AS178</f>
        <v>0</v>
      </c>
      <c r="D179">
        <f>gescon_infosparticip!AT178</f>
        <v>0</v>
      </c>
      <c r="E179">
        <f>gescon_infosparticip!AU178</f>
        <v>0</v>
      </c>
      <c r="F179">
        <f>gescon_infosparticip!AV178</f>
        <v>0</v>
      </c>
    </row>
    <row r="180" spans="2:6" x14ac:dyDescent="0.25">
      <c r="B180">
        <f>gescon_infosparticip!A179</f>
        <v>1306135154</v>
      </c>
      <c r="C180">
        <f>gescon_infosparticip!AS179</f>
        <v>2146189064</v>
      </c>
      <c r="D180">
        <f>gescon_infosparticip!AT179</f>
        <v>2146188959</v>
      </c>
      <c r="E180">
        <f>gescon_infosparticip!AU179</f>
        <v>2146189358</v>
      </c>
      <c r="F180">
        <f>gescon_infosparticip!AV179</f>
        <v>0</v>
      </c>
    </row>
    <row r="181" spans="2:6" x14ac:dyDescent="0.25">
      <c r="B181">
        <f>gescon_infosparticip!A180</f>
        <v>1306411305</v>
      </c>
      <c r="C181">
        <f>gescon_infosparticip!AS180</f>
        <v>0</v>
      </c>
      <c r="D181">
        <f>gescon_infosparticip!AT180</f>
        <v>0</v>
      </c>
      <c r="E181">
        <f>gescon_infosparticip!AU180</f>
        <v>0</v>
      </c>
      <c r="F181">
        <f>gescon_infosparticip!AV180</f>
        <v>0</v>
      </c>
    </row>
    <row r="182" spans="2:6" x14ac:dyDescent="0.25">
      <c r="B182">
        <f>gescon_infosparticip!A181</f>
        <v>1306825490</v>
      </c>
      <c r="C182">
        <f>gescon_infosparticip!AS181</f>
        <v>0</v>
      </c>
      <c r="D182">
        <f>gescon_infosparticip!AT181</f>
        <v>0</v>
      </c>
      <c r="E182">
        <f>gescon_infosparticip!AU181</f>
        <v>0</v>
      </c>
      <c r="F182">
        <f>gescon_infosparticip!AV181</f>
        <v>0</v>
      </c>
    </row>
    <row r="183" spans="2:6" x14ac:dyDescent="0.25">
      <c r="B183">
        <f>gescon_infosparticip!A182</f>
        <v>1307716338</v>
      </c>
      <c r="C183">
        <f>gescon_infosparticip!AS182</f>
        <v>0</v>
      </c>
      <c r="D183">
        <f>gescon_infosparticip!AT182</f>
        <v>0</v>
      </c>
      <c r="E183">
        <f>gescon_infosparticip!AU182</f>
        <v>0</v>
      </c>
      <c r="F183">
        <f>gescon_infosparticip!AV182</f>
        <v>0</v>
      </c>
    </row>
    <row r="184" spans="2:6" x14ac:dyDescent="0.25">
      <c r="B184">
        <f>gescon_infosparticip!A183</f>
        <v>1309859639</v>
      </c>
      <c r="C184">
        <f>gescon_infosparticip!AS183</f>
        <v>0</v>
      </c>
      <c r="D184">
        <f>gescon_infosparticip!AT183</f>
        <v>0</v>
      </c>
      <c r="E184">
        <f>gescon_infosparticip!AU183</f>
        <v>0</v>
      </c>
      <c r="F184">
        <f>gescon_infosparticip!AV183</f>
        <v>0</v>
      </c>
    </row>
    <row r="185" spans="2:6" x14ac:dyDescent="0.25">
      <c r="B185">
        <f>gescon_infosparticip!A184</f>
        <v>1315228613</v>
      </c>
      <c r="C185">
        <f>gescon_infosparticip!AS184</f>
        <v>0</v>
      </c>
      <c r="D185">
        <f>gescon_infosparticip!AT184</f>
        <v>0</v>
      </c>
      <c r="E185">
        <f>gescon_infosparticip!AU184</f>
        <v>0</v>
      </c>
      <c r="F185">
        <f>gescon_infosparticip!AV184</f>
        <v>0</v>
      </c>
    </row>
    <row r="186" spans="2:6" x14ac:dyDescent="0.25">
      <c r="B186">
        <f>gescon_infosparticip!A185</f>
        <v>1318585409</v>
      </c>
      <c r="C186">
        <f>gescon_infosparticip!AS185</f>
        <v>0</v>
      </c>
      <c r="D186">
        <f>gescon_infosparticip!AT185</f>
        <v>0</v>
      </c>
      <c r="E186">
        <f>gescon_infosparticip!AU185</f>
        <v>0</v>
      </c>
      <c r="F186">
        <f>gescon_infosparticip!AV185</f>
        <v>0</v>
      </c>
    </row>
    <row r="187" spans="2:6" x14ac:dyDescent="0.25">
      <c r="B187">
        <f>gescon_infosparticip!A186</f>
        <v>1349252291</v>
      </c>
      <c r="C187">
        <f>gescon_infosparticip!AS186</f>
        <v>0</v>
      </c>
      <c r="D187">
        <f>gescon_infosparticip!AT186</f>
        <v>0</v>
      </c>
      <c r="E187">
        <f>gescon_infosparticip!AU186</f>
        <v>0</v>
      </c>
      <c r="F187">
        <f>gescon_infosparticip!AV186</f>
        <v>0</v>
      </c>
    </row>
    <row r="188" spans="2:6" x14ac:dyDescent="0.25">
      <c r="B188">
        <f>gescon_infosparticip!A187</f>
        <v>1457402239</v>
      </c>
      <c r="C188">
        <f>gescon_infosparticip!AS187</f>
        <v>0</v>
      </c>
      <c r="D188">
        <f>gescon_infosparticip!AT187</f>
        <v>0</v>
      </c>
      <c r="E188">
        <f>gescon_infosparticip!AU187</f>
        <v>0</v>
      </c>
      <c r="F188">
        <f>gescon_infosparticip!AV187</f>
        <v>0</v>
      </c>
    </row>
    <row r="189" spans="2:6" x14ac:dyDescent="0.25">
      <c r="B189">
        <f>gescon_infosparticip!A188</f>
        <v>1493190852</v>
      </c>
      <c r="C189">
        <f>gescon_infosparticip!AS188</f>
        <v>0</v>
      </c>
      <c r="D189">
        <f>gescon_infosparticip!AT188</f>
        <v>0</v>
      </c>
      <c r="E189">
        <f>gescon_infosparticip!AU188</f>
        <v>0</v>
      </c>
      <c r="F189">
        <f>gescon_infosparticip!AV188</f>
        <v>0</v>
      </c>
    </row>
    <row r="190" spans="2:6" x14ac:dyDescent="0.25">
      <c r="B190">
        <f>gescon_infosparticip!A189</f>
        <v>1540756715</v>
      </c>
      <c r="C190">
        <f>gescon_infosparticip!AS189</f>
        <v>0</v>
      </c>
      <c r="D190">
        <f>gescon_infosparticip!AT189</f>
        <v>0</v>
      </c>
      <c r="E190">
        <f>gescon_infosparticip!AU189</f>
        <v>0</v>
      </c>
      <c r="F190">
        <f>gescon_infosparticip!AV189</f>
        <v>0</v>
      </c>
    </row>
    <row r="191" spans="2:6" x14ac:dyDescent="0.25">
      <c r="B191">
        <f>gescon_infosparticip!A190</f>
        <v>1639681950</v>
      </c>
      <c r="C191">
        <f>gescon_infosparticip!AS190</f>
        <v>0</v>
      </c>
      <c r="D191">
        <f>gescon_infosparticip!AT190</f>
        <v>0</v>
      </c>
      <c r="E191">
        <f>gescon_infosparticip!AU190</f>
        <v>0</v>
      </c>
      <c r="F191">
        <f>gescon_infosparticip!AV190</f>
        <v>0</v>
      </c>
    </row>
    <row r="192" spans="2:6" x14ac:dyDescent="0.25">
      <c r="B192">
        <f>gescon_infosparticip!A191</f>
        <v>1674789794</v>
      </c>
      <c r="C192">
        <f>gescon_infosparticip!AS191</f>
        <v>0</v>
      </c>
      <c r="D192">
        <f>gescon_infosparticip!AT191</f>
        <v>0</v>
      </c>
      <c r="E192">
        <f>gescon_infosparticip!AU191</f>
        <v>0</v>
      </c>
      <c r="F192">
        <f>gescon_infosparticip!AV191</f>
        <v>0</v>
      </c>
    </row>
    <row r="193" spans="2:6" x14ac:dyDescent="0.25">
      <c r="B193">
        <f>gescon_infosparticip!A192</f>
        <v>1700385237</v>
      </c>
      <c r="C193">
        <f>gescon_infosparticip!AS192</f>
        <v>0</v>
      </c>
      <c r="D193">
        <f>gescon_infosparticip!AT192</f>
        <v>0</v>
      </c>
      <c r="E193">
        <f>gescon_infosparticip!AU192</f>
        <v>0</v>
      </c>
      <c r="F193">
        <f>gescon_infosparticip!AV192</f>
        <v>0</v>
      </c>
    </row>
    <row r="194" spans="2:6" x14ac:dyDescent="0.25">
      <c r="B194">
        <f>gescon_infosparticip!A193</f>
        <v>1730687754</v>
      </c>
      <c r="C194">
        <f>gescon_infosparticip!AS193</f>
        <v>0</v>
      </c>
      <c r="D194">
        <f>gescon_infosparticip!AT193</f>
        <v>0</v>
      </c>
      <c r="E194">
        <f>gescon_infosparticip!AU193</f>
        <v>0</v>
      </c>
      <c r="F194">
        <f>gescon_infosparticip!AV193</f>
        <v>0</v>
      </c>
    </row>
    <row r="195" spans="2:6" x14ac:dyDescent="0.25">
      <c r="B195">
        <f>gescon_infosparticip!A194</f>
        <v>1844045075</v>
      </c>
      <c r="C195">
        <f>gescon_infosparticip!AS194</f>
        <v>0</v>
      </c>
      <c r="D195">
        <f>gescon_infosparticip!AT194</f>
        <v>0</v>
      </c>
      <c r="E195">
        <f>gescon_infosparticip!AU194</f>
        <v>0</v>
      </c>
      <c r="F195">
        <f>gescon_infosparticip!AV194</f>
        <v>0</v>
      </c>
    </row>
    <row r="196" spans="2:6" x14ac:dyDescent="0.25">
      <c r="B196">
        <f>gescon_infosparticip!A195</f>
        <v>1855965489</v>
      </c>
      <c r="C196">
        <f>gescon_infosparticip!AS195</f>
        <v>0</v>
      </c>
      <c r="D196">
        <f>gescon_infosparticip!AT195</f>
        <v>0</v>
      </c>
      <c r="E196">
        <f>gescon_infosparticip!AU195</f>
        <v>0</v>
      </c>
      <c r="F196">
        <f>gescon_infosparticip!AV195</f>
        <v>0</v>
      </c>
    </row>
    <row r="197" spans="2:6" x14ac:dyDescent="0.25">
      <c r="B197">
        <f>gescon_infosparticip!A196</f>
        <v>1884143596</v>
      </c>
      <c r="C197">
        <f>gescon_infosparticip!AS196</f>
        <v>2072341970</v>
      </c>
      <c r="D197">
        <f>gescon_infosparticip!AT196</f>
        <v>0</v>
      </c>
      <c r="E197">
        <f>gescon_infosparticip!AU196</f>
        <v>0</v>
      </c>
      <c r="F197">
        <f>gescon_infosparticip!AV196</f>
        <v>0</v>
      </c>
    </row>
    <row r="198" spans="2:6" x14ac:dyDescent="0.25">
      <c r="B198">
        <f>gescon_infosparticip!A197</f>
        <v>1925632802</v>
      </c>
      <c r="C198">
        <f>gescon_infosparticip!AS197</f>
        <v>0</v>
      </c>
      <c r="D198">
        <f>gescon_infosparticip!AT197</f>
        <v>0</v>
      </c>
      <c r="E198">
        <f>gescon_infosparticip!AU197</f>
        <v>0</v>
      </c>
      <c r="F198">
        <f>gescon_infosparticip!AV197</f>
        <v>0</v>
      </c>
    </row>
    <row r="199" spans="2:6" x14ac:dyDescent="0.25">
      <c r="B199">
        <f>gescon_infosparticip!A198</f>
        <v>1958467881</v>
      </c>
      <c r="C199">
        <f>gescon_infosparticip!AS198</f>
        <v>0</v>
      </c>
      <c r="D199">
        <f>gescon_infosparticip!AT198</f>
        <v>0</v>
      </c>
      <c r="E199">
        <f>gescon_infosparticip!AU198</f>
        <v>0</v>
      </c>
      <c r="F199">
        <f>gescon_infosparticip!AV198</f>
        <v>0</v>
      </c>
    </row>
    <row r="200" spans="2:6" x14ac:dyDescent="0.25">
      <c r="B200">
        <f>gescon_infosparticip!A199</f>
        <v>1985796047</v>
      </c>
      <c r="C200">
        <f>gescon_infosparticip!AS199</f>
        <v>0</v>
      </c>
      <c r="D200">
        <f>gescon_infosparticip!AT199</f>
        <v>0</v>
      </c>
      <c r="E200">
        <f>gescon_infosparticip!AU199</f>
        <v>0</v>
      </c>
      <c r="F200">
        <f>gescon_infosparticip!AV199</f>
        <v>0</v>
      </c>
    </row>
    <row r="201" spans="2:6" x14ac:dyDescent="0.25">
      <c r="B201">
        <f>gescon_infosparticip!A200</f>
        <v>1996993420</v>
      </c>
      <c r="C201">
        <f>gescon_infosparticip!AS200</f>
        <v>0</v>
      </c>
      <c r="D201">
        <f>gescon_infosparticip!AT200</f>
        <v>0</v>
      </c>
      <c r="E201">
        <f>gescon_infosparticip!AU200</f>
        <v>0</v>
      </c>
      <c r="F201">
        <f>gescon_infosparticip!AV200</f>
        <v>0</v>
      </c>
    </row>
    <row r="202" spans="2:6" x14ac:dyDescent="0.25">
      <c r="B202">
        <f>gescon_infosparticip!A201</f>
        <v>2000044555</v>
      </c>
      <c r="C202">
        <f>gescon_infosparticip!AS201</f>
        <v>2146189771</v>
      </c>
      <c r="D202">
        <f>gescon_infosparticip!AT201</f>
        <v>2146189733</v>
      </c>
      <c r="E202">
        <f>gescon_infosparticip!AU201</f>
        <v>2146189358</v>
      </c>
      <c r="F202">
        <f>gescon_infosparticip!AV201</f>
        <v>0</v>
      </c>
    </row>
    <row r="203" spans="2:6" x14ac:dyDescent="0.25">
      <c r="B203">
        <f>gescon_infosparticip!A202</f>
        <v>2080662280</v>
      </c>
      <c r="C203">
        <f>gescon_infosparticip!AS202</f>
        <v>2146189436</v>
      </c>
      <c r="D203">
        <f>gescon_infosparticip!AT202</f>
        <v>0</v>
      </c>
      <c r="E203">
        <f>gescon_infosparticip!AU202</f>
        <v>0</v>
      </c>
      <c r="F203">
        <f>gescon_infosparticip!AV202</f>
        <v>0</v>
      </c>
    </row>
    <row r="204" spans="2:6" x14ac:dyDescent="0.25">
      <c r="B204">
        <f>gescon_infosparticip!A203</f>
        <v>2088593679</v>
      </c>
      <c r="C204">
        <f>gescon_infosparticip!AS203</f>
        <v>0</v>
      </c>
      <c r="D204">
        <f>gescon_infosparticip!AT203</f>
        <v>0</v>
      </c>
      <c r="E204">
        <f>gescon_infosparticip!AU203</f>
        <v>0</v>
      </c>
      <c r="F204">
        <f>gescon_infosparticip!AV203</f>
        <v>0</v>
      </c>
    </row>
    <row r="205" spans="2:6" x14ac:dyDescent="0.25">
      <c r="B205">
        <f>gescon_infosparticip!A204</f>
        <v>2105684264</v>
      </c>
      <c r="C205">
        <f>gescon_infosparticip!AS204</f>
        <v>0</v>
      </c>
      <c r="D205">
        <f>gescon_infosparticip!AT204</f>
        <v>0</v>
      </c>
      <c r="E205">
        <f>gescon_infosparticip!AU204</f>
        <v>0</v>
      </c>
      <c r="F205">
        <f>gescon_infosparticip!AV204</f>
        <v>0</v>
      </c>
    </row>
    <row r="206" spans="2:6" x14ac:dyDescent="0.25">
      <c r="B206">
        <f>gescon_infosparticip!A205</f>
        <v>2146188983</v>
      </c>
      <c r="C206">
        <f>gescon_infosparticip!AS205</f>
        <v>0</v>
      </c>
      <c r="D206">
        <f>gescon_infosparticip!AT205</f>
        <v>0</v>
      </c>
      <c r="E206">
        <f>gescon_infosparticip!AU205</f>
        <v>0</v>
      </c>
      <c r="F206">
        <f>gescon_infosparticip!AV205</f>
        <v>0</v>
      </c>
    </row>
    <row r="207" spans="2:6" x14ac:dyDescent="0.25">
      <c r="B207">
        <f>gescon_infosparticip!A206</f>
        <v>2146189030</v>
      </c>
      <c r="C207">
        <f>gescon_infosparticip!AS206</f>
        <v>0</v>
      </c>
      <c r="D207">
        <f>gescon_infosparticip!AT206</f>
        <v>0</v>
      </c>
      <c r="E207">
        <f>gescon_infosparticip!AU206</f>
        <v>0</v>
      </c>
      <c r="F207">
        <f>gescon_infosparticip!AV206</f>
        <v>0</v>
      </c>
    </row>
    <row r="208" spans="2:6" x14ac:dyDescent="0.25">
      <c r="B208">
        <f>gescon_infosparticip!A207</f>
        <v>2146189066</v>
      </c>
      <c r="C208">
        <f>gescon_infosparticip!AS207</f>
        <v>0</v>
      </c>
      <c r="D208">
        <f>gescon_infosparticip!AT207</f>
        <v>2146189068</v>
      </c>
      <c r="E208">
        <f>gescon_infosparticip!AU207</f>
        <v>0</v>
      </c>
      <c r="F208">
        <f>gescon_infosparticip!AV207</f>
        <v>0</v>
      </c>
    </row>
    <row r="209" spans="2:6" x14ac:dyDescent="0.25">
      <c r="B209">
        <f>gescon_infosparticip!A208</f>
        <v>2146189075</v>
      </c>
      <c r="C209">
        <f>gescon_infosparticip!AS208</f>
        <v>0</v>
      </c>
      <c r="D209">
        <f>gescon_infosparticip!AT208</f>
        <v>0</v>
      </c>
      <c r="E209">
        <f>gescon_infosparticip!AU208</f>
        <v>0</v>
      </c>
      <c r="F209">
        <f>gescon_infosparticip!AV208</f>
        <v>0</v>
      </c>
    </row>
    <row r="210" spans="2:6" x14ac:dyDescent="0.25">
      <c r="B210">
        <f>gescon_infosparticip!A209</f>
        <v>2146189086</v>
      </c>
      <c r="C210">
        <f>gescon_infosparticip!AS209</f>
        <v>0</v>
      </c>
      <c r="D210">
        <f>gescon_infosparticip!AT209</f>
        <v>0</v>
      </c>
      <c r="E210">
        <f>gescon_infosparticip!AU209</f>
        <v>0</v>
      </c>
      <c r="F210">
        <f>gescon_infosparticip!AV209</f>
        <v>0</v>
      </c>
    </row>
    <row r="211" spans="2:6" x14ac:dyDescent="0.25">
      <c r="B211">
        <f>gescon_infosparticip!A210</f>
        <v>2146189102</v>
      </c>
      <c r="C211">
        <f>gescon_infosparticip!AS210</f>
        <v>0</v>
      </c>
      <c r="D211">
        <f>gescon_infosparticip!AT210</f>
        <v>0</v>
      </c>
      <c r="E211">
        <f>gescon_infosparticip!AU210</f>
        <v>0</v>
      </c>
      <c r="F211">
        <f>gescon_infosparticip!AV210</f>
        <v>0</v>
      </c>
    </row>
    <row r="212" spans="2:6" x14ac:dyDescent="0.25">
      <c r="B212">
        <f>gescon_infosparticip!A211</f>
        <v>2146189111</v>
      </c>
      <c r="C212">
        <f>gescon_infosparticip!AS211</f>
        <v>2146189482</v>
      </c>
      <c r="D212">
        <f>gescon_infosparticip!AT211</f>
        <v>2146189436</v>
      </c>
      <c r="E212">
        <f>gescon_infosparticip!AU211</f>
        <v>0</v>
      </c>
      <c r="F212">
        <f>gescon_infosparticip!AV211</f>
        <v>0</v>
      </c>
    </row>
    <row r="213" spans="2:6" x14ac:dyDescent="0.25">
      <c r="B213">
        <f>gescon_infosparticip!A212</f>
        <v>2146189118</v>
      </c>
      <c r="C213">
        <f>gescon_infosparticip!AS212</f>
        <v>0</v>
      </c>
      <c r="D213">
        <f>gescon_infosparticip!AT212</f>
        <v>0</v>
      </c>
      <c r="E213">
        <f>gescon_infosparticip!AU212</f>
        <v>0</v>
      </c>
      <c r="F213">
        <f>gescon_infosparticip!AV212</f>
        <v>0</v>
      </c>
    </row>
    <row r="214" spans="2:6" x14ac:dyDescent="0.25">
      <c r="B214">
        <f>gescon_infosparticip!A213</f>
        <v>2146189129</v>
      </c>
      <c r="C214">
        <f>gescon_infosparticip!AS213</f>
        <v>0</v>
      </c>
      <c r="D214">
        <f>gescon_infosparticip!AT213</f>
        <v>0</v>
      </c>
      <c r="E214">
        <f>gescon_infosparticip!AU213</f>
        <v>0</v>
      </c>
      <c r="F214">
        <f>gescon_infosparticip!AV213</f>
        <v>0</v>
      </c>
    </row>
    <row r="215" spans="2:6" x14ac:dyDescent="0.25">
      <c r="B215">
        <f>gescon_infosparticip!A214</f>
        <v>2146189159</v>
      </c>
      <c r="C215">
        <f>gescon_infosparticip!AS214</f>
        <v>2146189824</v>
      </c>
      <c r="D215">
        <f>gescon_infosparticip!AT214</f>
        <v>2146189714</v>
      </c>
      <c r="E215">
        <f>gescon_infosparticip!AU214</f>
        <v>-509124961</v>
      </c>
      <c r="F215">
        <f>gescon_infosparticip!AV214</f>
        <v>0</v>
      </c>
    </row>
    <row r="216" spans="2:6" x14ac:dyDescent="0.25">
      <c r="B216">
        <f>gescon_infosparticip!A215</f>
        <v>2146189167</v>
      </c>
      <c r="C216">
        <f>gescon_infosparticip!AS215</f>
        <v>2146189163</v>
      </c>
      <c r="D216">
        <f>gescon_infosparticip!AT215</f>
        <v>0</v>
      </c>
      <c r="E216">
        <f>gescon_infosparticip!AU215</f>
        <v>0</v>
      </c>
      <c r="F216">
        <f>gescon_infosparticip!AV215</f>
        <v>0</v>
      </c>
    </row>
    <row r="217" spans="2:6" x14ac:dyDescent="0.25">
      <c r="B217">
        <f>gescon_infosparticip!A216</f>
        <v>2146189179</v>
      </c>
      <c r="C217">
        <f>gescon_infosparticip!AS216</f>
        <v>0</v>
      </c>
      <c r="D217">
        <f>gescon_infosparticip!AT216</f>
        <v>0</v>
      </c>
      <c r="E217">
        <f>gescon_infosparticip!AU216</f>
        <v>0</v>
      </c>
      <c r="F217">
        <f>gescon_infosparticip!AV216</f>
        <v>0</v>
      </c>
    </row>
    <row r="218" spans="2:6" x14ac:dyDescent="0.25">
      <c r="B218">
        <f>gescon_infosparticip!A217</f>
        <v>2146189191</v>
      </c>
      <c r="C218">
        <f>gescon_infosparticip!AS217</f>
        <v>0</v>
      </c>
      <c r="D218">
        <f>gescon_infosparticip!AT217</f>
        <v>0</v>
      </c>
      <c r="E218">
        <f>gescon_infosparticip!AU217</f>
        <v>0</v>
      </c>
      <c r="F218">
        <f>gescon_infosparticip!AV217</f>
        <v>0</v>
      </c>
    </row>
    <row r="219" spans="2:6" x14ac:dyDescent="0.25">
      <c r="B219">
        <f>gescon_infosparticip!A218</f>
        <v>2146189203</v>
      </c>
      <c r="C219">
        <f>gescon_infosparticip!AS218</f>
        <v>0</v>
      </c>
      <c r="D219">
        <f>gescon_infosparticip!AT218</f>
        <v>0</v>
      </c>
      <c r="E219">
        <f>gescon_infosparticip!AU218</f>
        <v>0</v>
      </c>
      <c r="F219">
        <f>gescon_infosparticip!AV218</f>
        <v>0</v>
      </c>
    </row>
    <row r="220" spans="2:6" x14ac:dyDescent="0.25">
      <c r="B220">
        <f>gescon_infosparticip!A219</f>
        <v>2146189217</v>
      </c>
      <c r="C220">
        <f>gescon_infosparticip!AS219</f>
        <v>0</v>
      </c>
      <c r="D220">
        <f>gescon_infosparticip!AT219</f>
        <v>0</v>
      </c>
      <c r="E220">
        <f>gescon_infosparticip!AU219</f>
        <v>0</v>
      </c>
      <c r="F220">
        <f>gescon_infosparticip!AV219</f>
        <v>0</v>
      </c>
    </row>
    <row r="221" spans="2:6" x14ac:dyDescent="0.25">
      <c r="B221">
        <f>gescon_infosparticip!A220</f>
        <v>2146189218</v>
      </c>
      <c r="C221">
        <f>gescon_infosparticip!AS220</f>
        <v>0</v>
      </c>
      <c r="D221">
        <f>gescon_infosparticip!AT220</f>
        <v>0</v>
      </c>
      <c r="E221">
        <f>gescon_infosparticip!AU220</f>
        <v>0</v>
      </c>
      <c r="F221">
        <f>gescon_infosparticip!AV220</f>
        <v>0</v>
      </c>
    </row>
    <row r="222" spans="2:6" x14ac:dyDescent="0.25">
      <c r="B222">
        <f>gescon_infosparticip!A221</f>
        <v>2146189219</v>
      </c>
      <c r="C222">
        <f>gescon_infosparticip!AS221</f>
        <v>0</v>
      </c>
      <c r="D222">
        <f>gescon_infosparticip!AT221</f>
        <v>0</v>
      </c>
      <c r="E222">
        <f>gescon_infosparticip!AU221</f>
        <v>0</v>
      </c>
      <c r="F222">
        <f>gescon_infosparticip!AV221</f>
        <v>0</v>
      </c>
    </row>
    <row r="223" spans="2:6" x14ac:dyDescent="0.25">
      <c r="B223">
        <f>gescon_infosparticip!A222</f>
        <v>2146189224</v>
      </c>
      <c r="C223">
        <f>gescon_infosparticip!AS222</f>
        <v>1229346852</v>
      </c>
      <c r="D223">
        <f>gescon_infosparticip!AT222</f>
        <v>0</v>
      </c>
      <c r="E223">
        <f>gescon_infosparticip!AU222</f>
        <v>0</v>
      </c>
      <c r="F223">
        <f>gescon_infosparticip!AV222</f>
        <v>0</v>
      </c>
    </row>
    <row r="224" spans="2:6" x14ac:dyDescent="0.25">
      <c r="B224">
        <f>gescon_infosparticip!A223</f>
        <v>2146189226</v>
      </c>
      <c r="C224">
        <f>gescon_infosparticip!AS223</f>
        <v>0</v>
      </c>
      <c r="D224">
        <f>gescon_infosparticip!AT223</f>
        <v>0</v>
      </c>
      <c r="E224">
        <f>gescon_infosparticip!AU223</f>
        <v>0</v>
      </c>
      <c r="F224">
        <f>gescon_infosparticip!AV223</f>
        <v>0</v>
      </c>
    </row>
    <row r="225" spans="2:6" x14ac:dyDescent="0.25">
      <c r="B225">
        <f>gescon_infosparticip!A224</f>
        <v>2146189272</v>
      </c>
      <c r="C225">
        <f>gescon_infosparticip!AS224</f>
        <v>0</v>
      </c>
      <c r="D225">
        <f>gescon_infosparticip!AT224</f>
        <v>0</v>
      </c>
      <c r="E225">
        <f>gescon_infosparticip!AU224</f>
        <v>0</v>
      </c>
      <c r="F225">
        <f>gescon_infosparticip!AV224</f>
        <v>0</v>
      </c>
    </row>
    <row r="226" spans="2:6" x14ac:dyDescent="0.25">
      <c r="B226">
        <f>gescon_infosparticip!A225</f>
        <v>2146189287</v>
      </c>
      <c r="C226">
        <f>gescon_infosparticip!AS225</f>
        <v>0</v>
      </c>
      <c r="D226">
        <f>gescon_infosparticip!AT225</f>
        <v>0</v>
      </c>
      <c r="E226">
        <f>gescon_infosparticip!AU225</f>
        <v>0</v>
      </c>
      <c r="F226">
        <f>gescon_infosparticip!AV225</f>
        <v>0</v>
      </c>
    </row>
    <row r="227" spans="2:6" x14ac:dyDescent="0.25">
      <c r="B227">
        <f>gescon_infosparticip!A226</f>
        <v>2146189295</v>
      </c>
      <c r="C227">
        <f>gescon_infosparticip!AS226</f>
        <v>1176728538</v>
      </c>
      <c r="D227">
        <f>gescon_infosparticip!AT226</f>
        <v>2146189402</v>
      </c>
      <c r="E227">
        <f>gescon_infosparticip!AU226</f>
        <v>2146189568</v>
      </c>
      <c r="F227">
        <f>gescon_infosparticip!AV226</f>
        <v>0</v>
      </c>
    </row>
    <row r="228" spans="2:6" x14ac:dyDescent="0.25">
      <c r="B228">
        <f>gescon_infosparticip!A227</f>
        <v>2146189297</v>
      </c>
      <c r="C228">
        <f>gescon_infosparticip!AS227</f>
        <v>0</v>
      </c>
      <c r="D228">
        <f>gescon_infosparticip!AT227</f>
        <v>0</v>
      </c>
      <c r="E228">
        <f>gescon_infosparticip!AU227</f>
        <v>0</v>
      </c>
      <c r="F228">
        <f>gescon_infosparticip!AV227</f>
        <v>0</v>
      </c>
    </row>
    <row r="229" spans="2:6" x14ac:dyDescent="0.25">
      <c r="B229">
        <f>gescon_infosparticip!A228</f>
        <v>2146189312</v>
      </c>
      <c r="C229">
        <f>gescon_infosparticip!AS228</f>
        <v>0</v>
      </c>
      <c r="D229">
        <f>gescon_infosparticip!AT228</f>
        <v>0</v>
      </c>
      <c r="E229">
        <f>gescon_infosparticip!AU228</f>
        <v>0</v>
      </c>
      <c r="F229">
        <f>gescon_infosparticip!AV228</f>
        <v>0</v>
      </c>
    </row>
    <row r="230" spans="2:6" x14ac:dyDescent="0.25">
      <c r="B230">
        <f>gescon_infosparticip!A229</f>
        <v>2146189323</v>
      </c>
      <c r="C230">
        <f>gescon_infosparticip!AS229</f>
        <v>0</v>
      </c>
      <c r="D230">
        <f>gescon_infosparticip!AT229</f>
        <v>0</v>
      </c>
      <c r="E230">
        <f>gescon_infosparticip!AU229</f>
        <v>0</v>
      </c>
      <c r="F230">
        <f>gescon_infosparticip!AV229</f>
        <v>0</v>
      </c>
    </row>
    <row r="231" spans="2:6" x14ac:dyDescent="0.25">
      <c r="B231">
        <f>gescon_infosparticip!A230</f>
        <v>2146189330</v>
      </c>
      <c r="C231">
        <f>gescon_infosparticip!AS230</f>
        <v>2146189770</v>
      </c>
      <c r="D231">
        <f>gescon_infosparticip!AT230</f>
        <v>2146189714</v>
      </c>
      <c r="E231">
        <f>gescon_infosparticip!AU230</f>
        <v>2146189563</v>
      </c>
      <c r="F231">
        <f>gescon_infosparticip!AV230</f>
        <v>0</v>
      </c>
    </row>
    <row r="232" spans="2:6" x14ac:dyDescent="0.25">
      <c r="B232">
        <f>gescon_infosparticip!A231</f>
        <v>2146189333</v>
      </c>
      <c r="C232">
        <f>gescon_infosparticip!AS231</f>
        <v>2146189526</v>
      </c>
      <c r="D232">
        <f>gescon_infosparticip!AT231</f>
        <v>2146189281</v>
      </c>
      <c r="E232">
        <f>gescon_infosparticip!AU231</f>
        <v>2146189436</v>
      </c>
      <c r="F232">
        <f>gescon_infosparticip!AV231</f>
        <v>0</v>
      </c>
    </row>
    <row r="233" spans="2:6" x14ac:dyDescent="0.25">
      <c r="B233">
        <f>gescon_infosparticip!A232</f>
        <v>2146189335</v>
      </c>
      <c r="C233">
        <f>gescon_infosparticip!AS232</f>
        <v>0</v>
      </c>
      <c r="D233">
        <f>gescon_infosparticip!AT232</f>
        <v>0</v>
      </c>
      <c r="E233">
        <f>gescon_infosparticip!AU232</f>
        <v>0</v>
      </c>
      <c r="F233">
        <f>gescon_infosparticip!AV232</f>
        <v>0</v>
      </c>
    </row>
    <row r="234" spans="2:6" x14ac:dyDescent="0.25">
      <c r="B234">
        <f>gescon_infosparticip!A233</f>
        <v>2146189337</v>
      </c>
      <c r="C234">
        <f>gescon_infosparticip!AS233</f>
        <v>0</v>
      </c>
      <c r="D234">
        <f>gescon_infosparticip!AT233</f>
        <v>0</v>
      </c>
      <c r="E234">
        <f>gescon_infosparticip!AU233</f>
        <v>0</v>
      </c>
      <c r="F234">
        <f>gescon_infosparticip!AV233</f>
        <v>0</v>
      </c>
    </row>
    <row r="235" spans="2:6" x14ac:dyDescent="0.25">
      <c r="B235">
        <f>gescon_infosparticip!A234</f>
        <v>2146189343</v>
      </c>
      <c r="C235">
        <f>gescon_infosparticip!AS234</f>
        <v>0</v>
      </c>
      <c r="D235">
        <f>gescon_infosparticip!AT234</f>
        <v>0</v>
      </c>
      <c r="E235">
        <f>gescon_infosparticip!AU234</f>
        <v>0</v>
      </c>
      <c r="F235">
        <f>gescon_infosparticip!AV234</f>
        <v>0</v>
      </c>
    </row>
    <row r="236" spans="2:6" x14ac:dyDescent="0.25">
      <c r="B236">
        <f>gescon_infosparticip!A235</f>
        <v>2146189362</v>
      </c>
      <c r="C236">
        <f>gescon_infosparticip!AS235</f>
        <v>1175668750</v>
      </c>
      <c r="D236">
        <f>gescon_infosparticip!AT235</f>
        <v>0</v>
      </c>
      <c r="E236">
        <f>gescon_infosparticip!AU235</f>
        <v>0</v>
      </c>
      <c r="F236">
        <f>gescon_infosparticip!AV235</f>
        <v>0</v>
      </c>
    </row>
    <row r="237" spans="2:6" x14ac:dyDescent="0.25">
      <c r="B237">
        <f>gescon_infosparticip!A236</f>
        <v>2146189369</v>
      </c>
      <c r="C237">
        <f>gescon_infosparticip!AS236</f>
        <v>0</v>
      </c>
      <c r="D237">
        <f>gescon_infosparticip!AT236</f>
        <v>0</v>
      </c>
      <c r="E237">
        <f>gescon_infosparticip!AU236</f>
        <v>0</v>
      </c>
      <c r="F237">
        <f>gescon_infosparticip!AV236</f>
        <v>0</v>
      </c>
    </row>
    <row r="238" spans="2:6" x14ac:dyDescent="0.25">
      <c r="B238">
        <f>gescon_infosparticip!A237</f>
        <v>2146189370</v>
      </c>
      <c r="C238">
        <f>gescon_infosparticip!AS237</f>
        <v>2146189714</v>
      </c>
      <c r="D238">
        <f>gescon_infosparticip!AT237</f>
        <v>2146189591</v>
      </c>
      <c r="E238">
        <f>gescon_infosparticip!AU237</f>
        <v>2146189228</v>
      </c>
      <c r="F238">
        <f>gescon_infosparticip!AV237</f>
        <v>0</v>
      </c>
    </row>
    <row r="239" spans="2:6" x14ac:dyDescent="0.25">
      <c r="B239">
        <f>gescon_infosparticip!A238</f>
        <v>2146189374</v>
      </c>
      <c r="C239">
        <f>gescon_infosparticip!AS238</f>
        <v>0</v>
      </c>
      <c r="D239">
        <f>gescon_infosparticip!AT238</f>
        <v>0</v>
      </c>
      <c r="E239">
        <f>gescon_infosparticip!AU238</f>
        <v>0</v>
      </c>
      <c r="F239">
        <f>gescon_infosparticip!AV238</f>
        <v>0</v>
      </c>
    </row>
    <row r="240" spans="2:6" x14ac:dyDescent="0.25">
      <c r="B240">
        <f>gescon_infosparticip!A239</f>
        <v>2146189377</v>
      </c>
      <c r="C240">
        <f>gescon_infosparticip!AS239</f>
        <v>0</v>
      </c>
      <c r="D240">
        <f>gescon_infosparticip!AT239</f>
        <v>0</v>
      </c>
      <c r="E240">
        <f>gescon_infosparticip!AU239</f>
        <v>0</v>
      </c>
      <c r="F240">
        <f>gescon_infosparticip!AV239</f>
        <v>0</v>
      </c>
    </row>
    <row r="241" spans="2:6" x14ac:dyDescent="0.25">
      <c r="B241">
        <f>gescon_infosparticip!A240</f>
        <v>2146189380</v>
      </c>
      <c r="C241">
        <f>gescon_infosparticip!AS240</f>
        <v>0</v>
      </c>
      <c r="D241">
        <f>gescon_infosparticip!AT240</f>
        <v>0</v>
      </c>
      <c r="E241">
        <f>gescon_infosparticip!AU240</f>
        <v>0</v>
      </c>
      <c r="F241">
        <f>gescon_infosparticip!AV240</f>
        <v>0</v>
      </c>
    </row>
    <row r="242" spans="2:6" x14ac:dyDescent="0.25">
      <c r="B242">
        <f>gescon_infosparticip!A241</f>
        <v>2146189381</v>
      </c>
      <c r="C242">
        <f>gescon_infosparticip!AS241</f>
        <v>0</v>
      </c>
      <c r="D242">
        <f>gescon_infosparticip!AT241</f>
        <v>0</v>
      </c>
      <c r="E242">
        <f>gescon_infosparticip!AU241</f>
        <v>0</v>
      </c>
      <c r="F242">
        <f>gescon_infosparticip!AV241</f>
        <v>0</v>
      </c>
    </row>
    <row r="243" spans="2:6" x14ac:dyDescent="0.25">
      <c r="B243">
        <f>gescon_infosparticip!A242</f>
        <v>2146189410</v>
      </c>
      <c r="C243">
        <f>gescon_infosparticip!AS242</f>
        <v>0</v>
      </c>
      <c r="D243">
        <f>gescon_infosparticip!AT242</f>
        <v>0</v>
      </c>
      <c r="E243">
        <f>gescon_infosparticip!AU242</f>
        <v>0</v>
      </c>
      <c r="F243">
        <f>gescon_infosparticip!AV242</f>
        <v>0</v>
      </c>
    </row>
    <row r="244" spans="2:6" x14ac:dyDescent="0.25">
      <c r="B244">
        <f>gescon_infosparticip!A243</f>
        <v>2146189420</v>
      </c>
      <c r="C244">
        <f>gescon_infosparticip!AS243</f>
        <v>2146189824</v>
      </c>
      <c r="D244">
        <f>gescon_infosparticip!AT243</f>
        <v>2146189525</v>
      </c>
      <c r="E244">
        <f>gescon_infosparticip!AU243</f>
        <v>2146189537</v>
      </c>
      <c r="F244">
        <f>gescon_infosparticip!AV243</f>
        <v>0</v>
      </c>
    </row>
    <row r="245" spans="2:6" x14ac:dyDescent="0.25">
      <c r="B245">
        <f>gescon_infosparticip!A244</f>
        <v>2146189445</v>
      </c>
      <c r="C245">
        <f>gescon_infosparticip!AS244</f>
        <v>0</v>
      </c>
      <c r="D245">
        <f>gescon_infosparticip!AT244</f>
        <v>0</v>
      </c>
      <c r="E245">
        <f>gescon_infosparticip!AU244</f>
        <v>0</v>
      </c>
      <c r="F245">
        <f>gescon_infosparticip!AV244</f>
        <v>0</v>
      </c>
    </row>
    <row r="246" spans="2:6" x14ac:dyDescent="0.25">
      <c r="B246">
        <f>gescon_infosparticip!A245</f>
        <v>2146189450</v>
      </c>
      <c r="C246">
        <f>gescon_infosparticip!AS245</f>
        <v>2146189325</v>
      </c>
      <c r="D246">
        <f>gescon_infosparticip!AT245</f>
        <v>2146189281</v>
      </c>
      <c r="E246">
        <f>gescon_infosparticip!AU245</f>
        <v>2146189436</v>
      </c>
      <c r="F246">
        <f>gescon_infosparticip!AV245</f>
        <v>0</v>
      </c>
    </row>
    <row r="247" spans="2:6" x14ac:dyDescent="0.25">
      <c r="B247">
        <f>gescon_infosparticip!A246</f>
        <v>2146189461</v>
      </c>
      <c r="C247">
        <f>gescon_infosparticip!AS246</f>
        <v>0</v>
      </c>
      <c r="D247">
        <f>gescon_infosparticip!AT246</f>
        <v>0</v>
      </c>
      <c r="E247">
        <f>gescon_infosparticip!AU246</f>
        <v>0</v>
      </c>
      <c r="F247">
        <f>gescon_infosparticip!AV246</f>
        <v>0</v>
      </c>
    </row>
    <row r="248" spans="2:6" x14ac:dyDescent="0.25">
      <c r="B248">
        <f>gescon_infosparticip!A247</f>
        <v>2146189463</v>
      </c>
      <c r="C248">
        <f>gescon_infosparticip!AS247</f>
        <v>2146189714</v>
      </c>
      <c r="D248">
        <f>gescon_infosparticip!AT247</f>
        <v>2146189417</v>
      </c>
      <c r="E248">
        <f>gescon_infosparticip!AU247</f>
        <v>2146189591</v>
      </c>
      <c r="F248">
        <f>gescon_infosparticip!AV247</f>
        <v>0</v>
      </c>
    </row>
    <row r="249" spans="2:6" x14ac:dyDescent="0.25">
      <c r="B249">
        <f>gescon_infosparticip!A248</f>
        <v>2146189466</v>
      </c>
      <c r="C249">
        <f>gescon_infosparticip!AS248</f>
        <v>2146189636</v>
      </c>
      <c r="D249">
        <f>gescon_infosparticip!AT248</f>
        <v>2146189417</v>
      </c>
      <c r="E249">
        <f>gescon_infosparticip!AU248</f>
        <v>0</v>
      </c>
      <c r="F249">
        <f>gescon_infosparticip!AV248</f>
        <v>0</v>
      </c>
    </row>
    <row r="250" spans="2:6" x14ac:dyDescent="0.25">
      <c r="B250">
        <f>gescon_infosparticip!A249</f>
        <v>2146189469</v>
      </c>
      <c r="C250">
        <f>gescon_infosparticip!AS249</f>
        <v>0</v>
      </c>
      <c r="D250">
        <f>gescon_infosparticip!AT249</f>
        <v>0</v>
      </c>
      <c r="E250">
        <f>gescon_infosparticip!AU249</f>
        <v>0</v>
      </c>
      <c r="F250">
        <f>gescon_infosparticip!AV249</f>
        <v>0</v>
      </c>
    </row>
    <row r="251" spans="2:6" x14ac:dyDescent="0.25">
      <c r="B251">
        <f>gescon_infosparticip!A250</f>
        <v>2146189471</v>
      </c>
      <c r="C251">
        <f>gescon_infosparticip!AS250</f>
        <v>0</v>
      </c>
      <c r="D251">
        <f>gescon_infosparticip!AT250</f>
        <v>0</v>
      </c>
      <c r="E251">
        <f>gescon_infosparticip!AU250</f>
        <v>0</v>
      </c>
      <c r="F251">
        <f>gescon_infosparticip!AV250</f>
        <v>0</v>
      </c>
    </row>
    <row r="252" spans="2:6" x14ac:dyDescent="0.25">
      <c r="B252">
        <f>gescon_infosparticip!A251</f>
        <v>2146189475</v>
      </c>
      <c r="C252">
        <f>gescon_infosparticip!AS251</f>
        <v>0</v>
      </c>
      <c r="D252">
        <f>gescon_infosparticip!AT251</f>
        <v>0</v>
      </c>
      <c r="E252">
        <f>gescon_infosparticip!AU251</f>
        <v>0</v>
      </c>
      <c r="F252">
        <f>gescon_infosparticip!AV251</f>
        <v>0</v>
      </c>
    </row>
    <row r="253" spans="2:6" x14ac:dyDescent="0.25">
      <c r="B253">
        <f>gescon_infosparticip!A252</f>
        <v>2146189476</v>
      </c>
      <c r="C253">
        <f>gescon_infosparticip!AS252</f>
        <v>2146189264</v>
      </c>
      <c r="D253">
        <f>gescon_infosparticip!AT252</f>
        <v>0</v>
      </c>
      <c r="E253">
        <f>gescon_infosparticip!AU252</f>
        <v>0</v>
      </c>
      <c r="F253">
        <f>gescon_infosparticip!AV252</f>
        <v>0</v>
      </c>
    </row>
    <row r="254" spans="2:6" x14ac:dyDescent="0.25">
      <c r="B254">
        <f>gescon_infosparticip!A253</f>
        <v>2146189477</v>
      </c>
      <c r="C254">
        <f>gescon_infosparticip!AS253</f>
        <v>0</v>
      </c>
      <c r="D254">
        <f>gescon_infosparticip!AT253</f>
        <v>0</v>
      </c>
      <c r="E254">
        <f>gescon_infosparticip!AU253</f>
        <v>0</v>
      </c>
      <c r="F254">
        <f>gescon_infosparticip!AV253</f>
        <v>0</v>
      </c>
    </row>
    <row r="255" spans="2:6" x14ac:dyDescent="0.25">
      <c r="B255">
        <f>gescon_infosparticip!A254</f>
        <v>2146189478</v>
      </c>
      <c r="C255">
        <f>gescon_infosparticip!AS254</f>
        <v>2146189576</v>
      </c>
      <c r="D255">
        <f>gescon_infosparticip!AT254</f>
        <v>2146189537</v>
      </c>
      <c r="E255">
        <f>gescon_infosparticip!AU254</f>
        <v>2146189417</v>
      </c>
      <c r="F255">
        <f>gescon_infosparticip!AV254</f>
        <v>0</v>
      </c>
    </row>
    <row r="256" spans="2:6" x14ac:dyDescent="0.25">
      <c r="B256">
        <f>gescon_infosparticip!A255</f>
        <v>2146189479</v>
      </c>
      <c r="C256">
        <f>gescon_infosparticip!AS255</f>
        <v>0</v>
      </c>
      <c r="D256">
        <f>gescon_infosparticip!AT255</f>
        <v>0</v>
      </c>
      <c r="E256">
        <f>gescon_infosparticip!AU255</f>
        <v>0</v>
      </c>
      <c r="F256">
        <f>gescon_infosparticip!AV255</f>
        <v>0</v>
      </c>
    </row>
    <row r="257" spans="2:6" x14ac:dyDescent="0.25">
      <c r="B257">
        <f>gescon_infosparticip!A256</f>
        <v>2146189481</v>
      </c>
      <c r="C257">
        <f>gescon_infosparticip!AS256</f>
        <v>0</v>
      </c>
      <c r="D257">
        <f>gescon_infosparticip!AT256</f>
        <v>0</v>
      </c>
      <c r="E257">
        <f>gescon_infosparticip!AU256</f>
        <v>0</v>
      </c>
      <c r="F257">
        <f>gescon_infosparticip!AV256</f>
        <v>0</v>
      </c>
    </row>
    <row r="258" spans="2:6" x14ac:dyDescent="0.25">
      <c r="B258">
        <f>gescon_infosparticip!A257</f>
        <v>2146189492</v>
      </c>
      <c r="C258">
        <f>gescon_infosparticip!AS257</f>
        <v>0</v>
      </c>
      <c r="D258">
        <f>gescon_infosparticip!AT257</f>
        <v>0</v>
      </c>
      <c r="E258">
        <f>gescon_infosparticip!AU257</f>
        <v>0</v>
      </c>
      <c r="F258">
        <f>gescon_infosparticip!AV257</f>
        <v>0</v>
      </c>
    </row>
    <row r="259" spans="2:6" x14ac:dyDescent="0.25">
      <c r="B259">
        <f>gescon_infosparticip!A258</f>
        <v>2146189494</v>
      </c>
      <c r="C259">
        <f>gescon_infosparticip!AS258</f>
        <v>2146189527</v>
      </c>
      <c r="D259">
        <f>gescon_infosparticip!AT258</f>
        <v>1319632834</v>
      </c>
      <c r="E259">
        <f>gescon_infosparticip!AU258</f>
        <v>0</v>
      </c>
      <c r="F259">
        <f>gescon_infosparticip!AV258</f>
        <v>0</v>
      </c>
    </row>
    <row r="260" spans="2:6" x14ac:dyDescent="0.25">
      <c r="B260">
        <f>gescon_infosparticip!A259</f>
        <v>2146189495</v>
      </c>
      <c r="C260">
        <f>gescon_infosparticip!AS259</f>
        <v>0</v>
      </c>
      <c r="D260">
        <f>gescon_infosparticip!AT259</f>
        <v>0</v>
      </c>
      <c r="E260">
        <f>gescon_infosparticip!AU259</f>
        <v>0</v>
      </c>
      <c r="F260">
        <f>gescon_infosparticip!AV259</f>
        <v>0</v>
      </c>
    </row>
    <row r="261" spans="2:6" x14ac:dyDescent="0.25">
      <c r="B261">
        <f>gescon_infosparticip!A260</f>
        <v>2146189498</v>
      </c>
      <c r="C261">
        <f>gescon_infosparticip!AS260</f>
        <v>0</v>
      </c>
      <c r="D261">
        <f>gescon_infosparticip!AT260</f>
        <v>0</v>
      </c>
      <c r="E261">
        <f>gescon_infosparticip!AU260</f>
        <v>0</v>
      </c>
      <c r="F261">
        <f>gescon_infosparticip!AV260</f>
        <v>0</v>
      </c>
    </row>
    <row r="262" spans="2:6" x14ac:dyDescent="0.25">
      <c r="B262">
        <f>gescon_infosparticip!A261</f>
        <v>2146189502</v>
      </c>
      <c r="C262">
        <f>gescon_infosparticip!AS261</f>
        <v>0</v>
      </c>
      <c r="D262">
        <f>gescon_infosparticip!AT261</f>
        <v>0</v>
      </c>
      <c r="E262">
        <f>gescon_infosparticip!AU261</f>
        <v>0</v>
      </c>
      <c r="F262">
        <f>gescon_infosparticip!AV261</f>
        <v>0</v>
      </c>
    </row>
    <row r="263" spans="2:6" x14ac:dyDescent="0.25">
      <c r="B263">
        <f>gescon_infosparticip!A262</f>
        <v>2146189504</v>
      </c>
      <c r="C263">
        <f>gescon_infosparticip!AS262</f>
        <v>2146189821</v>
      </c>
      <c r="D263">
        <f>gescon_infosparticip!AT262</f>
        <v>2146189824</v>
      </c>
      <c r="E263">
        <f>gescon_infosparticip!AU262</f>
        <v>2146189525</v>
      </c>
      <c r="F263">
        <f>gescon_infosparticip!AV262</f>
        <v>0</v>
      </c>
    </row>
    <row r="264" spans="2:6" x14ac:dyDescent="0.25">
      <c r="B264">
        <f>gescon_infosparticip!A263</f>
        <v>2146189510</v>
      </c>
      <c r="C264">
        <f>gescon_infosparticip!AS263</f>
        <v>0</v>
      </c>
      <c r="D264">
        <f>gescon_infosparticip!AT263</f>
        <v>0</v>
      </c>
      <c r="E264">
        <f>gescon_infosparticip!AU263</f>
        <v>0</v>
      </c>
      <c r="F264">
        <f>gescon_infosparticip!AV263</f>
        <v>0</v>
      </c>
    </row>
    <row r="265" spans="2:6" x14ac:dyDescent="0.25">
      <c r="B265">
        <f>gescon_infosparticip!A264</f>
        <v>2146189512</v>
      </c>
      <c r="C265">
        <f>gescon_infosparticip!AS264</f>
        <v>0</v>
      </c>
      <c r="D265">
        <f>gescon_infosparticip!AT264</f>
        <v>0</v>
      </c>
      <c r="E265">
        <f>gescon_infosparticip!AU264</f>
        <v>0</v>
      </c>
      <c r="F265">
        <f>gescon_infosparticip!AV264</f>
        <v>0</v>
      </c>
    </row>
    <row r="266" spans="2:6" x14ac:dyDescent="0.25">
      <c r="B266">
        <f>gescon_infosparticip!A265</f>
        <v>2146189529</v>
      </c>
      <c r="C266">
        <f>gescon_infosparticip!AS265</f>
        <v>0</v>
      </c>
      <c r="D266">
        <f>gescon_infosparticip!AT265</f>
        <v>0</v>
      </c>
      <c r="E266">
        <f>gescon_infosparticip!AU265</f>
        <v>0</v>
      </c>
      <c r="F266">
        <f>gescon_infosparticip!AV265</f>
        <v>0</v>
      </c>
    </row>
    <row r="267" spans="2:6" x14ac:dyDescent="0.25">
      <c r="B267">
        <f>gescon_infosparticip!A266</f>
        <v>2146189539</v>
      </c>
      <c r="C267">
        <f>gescon_infosparticip!AS266</f>
        <v>2146189561</v>
      </c>
      <c r="D267">
        <f>gescon_infosparticip!AT266</f>
        <v>2146189824</v>
      </c>
      <c r="E267">
        <f>gescon_infosparticip!AU266</f>
        <v>2146189526</v>
      </c>
      <c r="F267">
        <f>gescon_infosparticip!AV266</f>
        <v>0</v>
      </c>
    </row>
    <row r="268" spans="2:6" x14ac:dyDescent="0.25">
      <c r="B268">
        <f>gescon_infosparticip!A267</f>
        <v>2146189541</v>
      </c>
      <c r="C268">
        <f>gescon_infosparticip!AS267</f>
        <v>0</v>
      </c>
      <c r="D268">
        <f>gescon_infosparticip!AT267</f>
        <v>0</v>
      </c>
      <c r="E268">
        <f>gescon_infosparticip!AU267</f>
        <v>0</v>
      </c>
      <c r="F268">
        <f>gescon_infosparticip!AV267</f>
        <v>0</v>
      </c>
    </row>
    <row r="269" spans="2:6" x14ac:dyDescent="0.25">
      <c r="B269">
        <f>gescon_infosparticip!A268</f>
        <v>2146189543</v>
      </c>
      <c r="C269">
        <f>gescon_infosparticip!AS268</f>
        <v>0</v>
      </c>
      <c r="D269">
        <f>gescon_infosparticip!AT268</f>
        <v>0</v>
      </c>
      <c r="E269">
        <f>gescon_infosparticip!AU268</f>
        <v>0</v>
      </c>
      <c r="F269">
        <f>gescon_infosparticip!AV268</f>
        <v>0</v>
      </c>
    </row>
    <row r="270" spans="2:6" x14ac:dyDescent="0.25">
      <c r="B270">
        <f>gescon_infosparticip!A269</f>
        <v>2146189547</v>
      </c>
      <c r="C270">
        <f>gescon_infosparticip!AS269</f>
        <v>0</v>
      </c>
      <c r="D270">
        <f>gescon_infosparticip!AT269</f>
        <v>0</v>
      </c>
      <c r="E270">
        <f>gescon_infosparticip!AU269</f>
        <v>0</v>
      </c>
      <c r="F270">
        <f>gescon_infosparticip!AV269</f>
        <v>0</v>
      </c>
    </row>
    <row r="271" spans="2:6" x14ac:dyDescent="0.25">
      <c r="B271">
        <f>gescon_infosparticip!A270</f>
        <v>2146189550</v>
      </c>
      <c r="C271">
        <f>gescon_infosparticip!AS270</f>
        <v>0</v>
      </c>
      <c r="D271">
        <f>gescon_infosparticip!AT270</f>
        <v>0</v>
      </c>
      <c r="E271">
        <f>gescon_infosparticip!AU270</f>
        <v>0</v>
      </c>
      <c r="F271">
        <f>gescon_infosparticip!AV270</f>
        <v>0</v>
      </c>
    </row>
    <row r="272" spans="2:6" x14ac:dyDescent="0.25">
      <c r="B272">
        <f>gescon_infosparticip!A271</f>
        <v>2146189552</v>
      </c>
      <c r="C272">
        <f>gescon_infosparticip!AS271</f>
        <v>0</v>
      </c>
      <c r="D272">
        <f>gescon_infosparticip!AT271</f>
        <v>0</v>
      </c>
      <c r="E272">
        <f>gescon_infosparticip!AU271</f>
        <v>0</v>
      </c>
      <c r="F272">
        <f>gescon_infosparticip!AV271</f>
        <v>0</v>
      </c>
    </row>
    <row r="273" spans="2:6" x14ac:dyDescent="0.25">
      <c r="B273">
        <f>gescon_infosparticip!A272</f>
        <v>2146189556</v>
      </c>
      <c r="C273">
        <f>gescon_infosparticip!AS272</f>
        <v>0</v>
      </c>
      <c r="D273">
        <f>gescon_infosparticip!AT272</f>
        <v>0</v>
      </c>
      <c r="E273">
        <f>gescon_infosparticip!AU272</f>
        <v>0</v>
      </c>
      <c r="F273">
        <f>gescon_infosparticip!AV272</f>
        <v>0</v>
      </c>
    </row>
    <row r="274" spans="2:6" x14ac:dyDescent="0.25">
      <c r="B274">
        <f>gescon_infosparticip!A273</f>
        <v>2146189573</v>
      </c>
      <c r="C274">
        <f>gescon_infosparticip!AS273</f>
        <v>0</v>
      </c>
      <c r="D274">
        <f>gescon_infosparticip!AT273</f>
        <v>0</v>
      </c>
      <c r="E274">
        <f>gescon_infosparticip!AU273</f>
        <v>0</v>
      </c>
      <c r="F274">
        <f>gescon_infosparticip!AV273</f>
        <v>0</v>
      </c>
    </row>
    <row r="275" spans="2:6" x14ac:dyDescent="0.25">
      <c r="B275">
        <f>gescon_infosparticip!A274</f>
        <v>2146189577</v>
      </c>
      <c r="C275">
        <f>gescon_infosparticip!AS274</f>
        <v>2146189525</v>
      </c>
      <c r="D275">
        <f>gescon_infosparticip!AT274</f>
        <v>0</v>
      </c>
      <c r="E275">
        <f>gescon_infosparticip!AU274</f>
        <v>0</v>
      </c>
      <c r="F275">
        <f>gescon_infosparticip!AV274</f>
        <v>0</v>
      </c>
    </row>
    <row r="276" spans="2:6" x14ac:dyDescent="0.25">
      <c r="B276">
        <f>gescon_infosparticip!A275</f>
        <v>2146189579</v>
      </c>
      <c r="C276">
        <f>gescon_infosparticip!AS275</f>
        <v>0</v>
      </c>
      <c r="D276">
        <f>gescon_infosparticip!AT275</f>
        <v>0</v>
      </c>
      <c r="E276">
        <f>gescon_infosparticip!AU275</f>
        <v>0</v>
      </c>
      <c r="F276">
        <f>gescon_infosparticip!AV275</f>
        <v>0</v>
      </c>
    </row>
    <row r="277" spans="2:6" x14ac:dyDescent="0.25">
      <c r="B277">
        <f>gescon_infosparticip!A276</f>
        <v>2146189582</v>
      </c>
      <c r="C277">
        <f>gescon_infosparticip!AS276</f>
        <v>2146189821</v>
      </c>
      <c r="D277">
        <f>gescon_infosparticip!AT276</f>
        <v>0</v>
      </c>
      <c r="E277">
        <f>gescon_infosparticip!AU276</f>
        <v>0</v>
      </c>
      <c r="F277">
        <f>gescon_infosparticip!AV276</f>
        <v>2146189527</v>
      </c>
    </row>
    <row r="278" spans="2:6" x14ac:dyDescent="0.25">
      <c r="B278">
        <f>gescon_infosparticip!A277</f>
        <v>2146189599</v>
      </c>
      <c r="C278">
        <f>gescon_infosparticip!AS277</f>
        <v>2146189563</v>
      </c>
      <c r="D278">
        <f>gescon_infosparticip!AT277</f>
        <v>0</v>
      </c>
      <c r="E278">
        <f>gescon_infosparticip!AU277</f>
        <v>0</v>
      </c>
      <c r="F278">
        <f>gescon_infosparticip!AV277</f>
        <v>0</v>
      </c>
    </row>
    <row r="279" spans="2:6" x14ac:dyDescent="0.25">
      <c r="B279">
        <f>gescon_infosparticip!A278</f>
        <v>2146189610</v>
      </c>
      <c r="C279">
        <f>gescon_infosparticip!AS278</f>
        <v>0</v>
      </c>
      <c r="D279">
        <f>gescon_infosparticip!AT278</f>
        <v>0</v>
      </c>
      <c r="E279">
        <f>gescon_infosparticip!AU278</f>
        <v>0</v>
      </c>
      <c r="F279">
        <f>gescon_infosparticip!AV278</f>
        <v>0</v>
      </c>
    </row>
    <row r="280" spans="2:6" x14ac:dyDescent="0.25">
      <c r="B280">
        <f>gescon_infosparticip!A279</f>
        <v>2146189623</v>
      </c>
      <c r="C280">
        <f>gescon_infosparticip!AS279</f>
        <v>2146189417</v>
      </c>
      <c r="D280">
        <f>gescon_infosparticip!AT279</f>
        <v>2146189190</v>
      </c>
      <c r="E280">
        <f>gescon_infosparticip!AU279</f>
        <v>0</v>
      </c>
      <c r="F280">
        <f>gescon_infosparticip!AV279</f>
        <v>0</v>
      </c>
    </row>
    <row r="281" spans="2:6" x14ac:dyDescent="0.25">
      <c r="B281">
        <f>gescon_infosparticip!A280</f>
        <v>2146189639</v>
      </c>
      <c r="C281">
        <f>gescon_infosparticip!AS280</f>
        <v>2146189714</v>
      </c>
      <c r="D281">
        <f>gescon_infosparticip!AT280</f>
        <v>0</v>
      </c>
      <c r="E281">
        <f>gescon_infosparticip!AU280</f>
        <v>0</v>
      </c>
      <c r="F281">
        <f>gescon_infosparticip!AV280</f>
        <v>0</v>
      </c>
    </row>
    <row r="282" spans="2:6" x14ac:dyDescent="0.25">
      <c r="B282">
        <f>gescon_infosparticip!A281</f>
        <v>2146189640</v>
      </c>
      <c r="C282">
        <f>gescon_infosparticip!AS281</f>
        <v>0</v>
      </c>
      <c r="D282">
        <f>gescon_infosparticip!AT281</f>
        <v>0</v>
      </c>
      <c r="E282">
        <f>gescon_infosparticip!AU281</f>
        <v>0</v>
      </c>
      <c r="F282">
        <f>gescon_infosparticip!AV281</f>
        <v>0</v>
      </c>
    </row>
    <row r="283" spans="2:6" x14ac:dyDescent="0.25">
      <c r="B283">
        <f>gescon_infosparticip!A282</f>
        <v>2146189642</v>
      </c>
      <c r="C283">
        <f>gescon_infosparticip!AS282</f>
        <v>2146189636</v>
      </c>
      <c r="D283">
        <f>gescon_infosparticip!AT282</f>
        <v>2146189824</v>
      </c>
      <c r="E283">
        <f>gescon_infosparticip!AU282</f>
        <v>0</v>
      </c>
      <c r="F283">
        <f>gescon_infosparticip!AV282</f>
        <v>0</v>
      </c>
    </row>
    <row r="284" spans="2:6" x14ac:dyDescent="0.25">
      <c r="B284">
        <f>gescon_infosparticip!A283</f>
        <v>2146189643</v>
      </c>
      <c r="C284">
        <f>gescon_infosparticip!AS283</f>
        <v>2146189636</v>
      </c>
      <c r="D284">
        <f>gescon_infosparticip!AT283</f>
        <v>2146189824</v>
      </c>
      <c r="E284">
        <f>gescon_infosparticip!AU283</f>
        <v>0</v>
      </c>
      <c r="F284">
        <f>gescon_infosparticip!AV283</f>
        <v>0</v>
      </c>
    </row>
    <row r="285" spans="2:6" x14ac:dyDescent="0.25">
      <c r="B285">
        <f>gescon_infosparticip!A284</f>
        <v>2146189655</v>
      </c>
      <c r="C285">
        <f>gescon_infosparticip!AS284</f>
        <v>2146189190</v>
      </c>
      <c r="D285">
        <f>gescon_infosparticip!AT284</f>
        <v>2146189714</v>
      </c>
      <c r="E285">
        <f>gescon_infosparticip!AU284</f>
        <v>0</v>
      </c>
      <c r="F285">
        <f>gescon_infosparticip!AV284</f>
        <v>0</v>
      </c>
    </row>
    <row r="286" spans="2:6" x14ac:dyDescent="0.25">
      <c r="B286">
        <f>gescon_infosparticip!A285</f>
        <v>2146189658</v>
      </c>
      <c r="C286">
        <f>gescon_infosparticip!AS285</f>
        <v>0</v>
      </c>
      <c r="D286">
        <f>gescon_infosparticip!AT285</f>
        <v>0</v>
      </c>
      <c r="E286">
        <f>gescon_infosparticip!AU285</f>
        <v>0</v>
      </c>
      <c r="F286">
        <f>gescon_infosparticip!AV285</f>
        <v>0</v>
      </c>
    </row>
    <row r="287" spans="2:6" x14ac:dyDescent="0.25">
      <c r="B287">
        <f>gescon_infosparticip!A286</f>
        <v>2146189676</v>
      </c>
      <c r="C287">
        <f>gescon_infosparticip!AS286</f>
        <v>0</v>
      </c>
      <c r="D287">
        <f>gescon_infosparticip!AT286</f>
        <v>0</v>
      </c>
      <c r="E287">
        <f>gescon_infosparticip!AU286</f>
        <v>0</v>
      </c>
      <c r="F287">
        <f>gescon_infosparticip!AV286</f>
        <v>0</v>
      </c>
    </row>
    <row r="288" spans="2:6" x14ac:dyDescent="0.25">
      <c r="B288">
        <f>gescon_infosparticip!A287</f>
        <v>2146189678</v>
      </c>
      <c r="C288">
        <f>gescon_infosparticip!AS287</f>
        <v>0</v>
      </c>
      <c r="D288">
        <f>gescon_infosparticip!AT287</f>
        <v>0</v>
      </c>
      <c r="E288">
        <f>gescon_infosparticip!AU287</f>
        <v>0</v>
      </c>
      <c r="F288">
        <f>gescon_infosparticip!AV287</f>
        <v>0</v>
      </c>
    </row>
    <row r="289" spans="2:6" x14ac:dyDescent="0.25">
      <c r="B289">
        <f>gescon_infosparticip!A288</f>
        <v>2146189679</v>
      </c>
      <c r="C289">
        <f>gescon_infosparticip!AS288</f>
        <v>0</v>
      </c>
      <c r="D289">
        <f>gescon_infosparticip!AT288</f>
        <v>0</v>
      </c>
      <c r="E289">
        <f>gescon_infosparticip!AU288</f>
        <v>0</v>
      </c>
      <c r="F289">
        <f>gescon_infosparticip!AV288</f>
        <v>0</v>
      </c>
    </row>
    <row r="290" spans="2:6" x14ac:dyDescent="0.25">
      <c r="B290">
        <f>gescon_infosparticip!A289</f>
        <v>2146189681</v>
      </c>
      <c r="C290">
        <f>gescon_infosparticip!AS289</f>
        <v>0</v>
      </c>
      <c r="D290">
        <f>gescon_infosparticip!AT289</f>
        <v>0</v>
      </c>
      <c r="E290">
        <f>gescon_infosparticip!AU289</f>
        <v>0</v>
      </c>
      <c r="F290">
        <f>gescon_infosparticip!AV289</f>
        <v>0</v>
      </c>
    </row>
    <row r="291" spans="2:6" x14ac:dyDescent="0.25">
      <c r="B291">
        <f>gescon_infosparticip!A290</f>
        <v>2146189682</v>
      </c>
      <c r="C291">
        <f>gescon_infosparticip!AS290</f>
        <v>0</v>
      </c>
      <c r="D291">
        <f>gescon_infosparticip!AT290</f>
        <v>0</v>
      </c>
      <c r="E291">
        <f>gescon_infosparticip!AU290</f>
        <v>0</v>
      </c>
      <c r="F291">
        <f>gescon_infosparticip!AV290</f>
        <v>0</v>
      </c>
    </row>
    <row r="292" spans="2:6" x14ac:dyDescent="0.25">
      <c r="B292">
        <f>gescon_infosparticip!A291</f>
        <v>2146189684</v>
      </c>
      <c r="C292">
        <f>gescon_infosparticip!AS291</f>
        <v>2146189190</v>
      </c>
      <c r="D292">
        <f>gescon_infosparticip!AT291</f>
        <v>0</v>
      </c>
      <c r="E292">
        <f>gescon_infosparticip!AU291</f>
        <v>0</v>
      </c>
      <c r="F292">
        <f>gescon_infosparticip!AV291</f>
        <v>0</v>
      </c>
    </row>
    <row r="293" spans="2:6" x14ac:dyDescent="0.25">
      <c r="B293">
        <f>gescon_infosparticip!A292</f>
        <v>2146189691</v>
      </c>
      <c r="C293">
        <f>gescon_infosparticip!AS292</f>
        <v>2146189228</v>
      </c>
      <c r="D293">
        <f>gescon_infosparticip!AT292</f>
        <v>2146189537</v>
      </c>
      <c r="E293">
        <f>gescon_infosparticip!AU292</f>
        <v>2146189563</v>
      </c>
      <c r="F293">
        <f>gescon_infosparticip!AV292</f>
        <v>0</v>
      </c>
    </row>
    <row r="294" spans="2:6" x14ac:dyDescent="0.25">
      <c r="B294">
        <f>gescon_infosparticip!A293</f>
        <v>2146189695</v>
      </c>
      <c r="C294">
        <f>gescon_infosparticip!AS293</f>
        <v>0</v>
      </c>
      <c r="D294">
        <f>gescon_infosparticip!AT293</f>
        <v>0</v>
      </c>
      <c r="E294">
        <f>gescon_infosparticip!AU293</f>
        <v>0</v>
      </c>
      <c r="F294">
        <f>gescon_infosparticip!AV293</f>
        <v>0</v>
      </c>
    </row>
    <row r="295" spans="2:6" x14ac:dyDescent="0.25">
      <c r="B295">
        <f>gescon_infosparticip!A294</f>
        <v>2146189701</v>
      </c>
      <c r="C295">
        <f>gescon_infosparticip!AS294</f>
        <v>0</v>
      </c>
      <c r="D295">
        <f>gescon_infosparticip!AT294</f>
        <v>0</v>
      </c>
      <c r="E295">
        <f>gescon_infosparticip!AU294</f>
        <v>0</v>
      </c>
      <c r="F295">
        <f>gescon_infosparticip!AV294</f>
        <v>0</v>
      </c>
    </row>
    <row r="296" spans="2:6" x14ac:dyDescent="0.25">
      <c r="B296">
        <f>gescon_infosparticip!A295</f>
        <v>2146189708</v>
      </c>
      <c r="C296">
        <f>gescon_infosparticip!AS295</f>
        <v>2146189190</v>
      </c>
      <c r="D296">
        <f>gescon_infosparticip!AT295</f>
        <v>2146189636</v>
      </c>
      <c r="E296">
        <f>gescon_infosparticip!AU295</f>
        <v>0</v>
      </c>
      <c r="F296">
        <f>gescon_infosparticip!AV295</f>
        <v>0</v>
      </c>
    </row>
    <row r="297" spans="2:6" x14ac:dyDescent="0.25">
      <c r="B297">
        <f>gescon_infosparticip!A296</f>
        <v>2146189712</v>
      </c>
      <c r="C297">
        <f>gescon_infosparticip!AS296</f>
        <v>2146189725</v>
      </c>
      <c r="D297">
        <f>gescon_infosparticip!AT296</f>
        <v>2146189903</v>
      </c>
      <c r="E297">
        <f>gescon_infosparticip!AU296</f>
        <v>2146189878</v>
      </c>
      <c r="F297">
        <f>gescon_infosparticip!AV296</f>
        <v>0</v>
      </c>
    </row>
    <row r="298" spans="2:6" x14ac:dyDescent="0.25">
      <c r="B298">
        <f>gescon_infosparticip!A297</f>
        <v>2146189714</v>
      </c>
      <c r="C298">
        <f>gescon_infosparticip!AS297</f>
        <v>2146189714</v>
      </c>
      <c r="D298">
        <f>gescon_infosparticip!AT297</f>
        <v>0</v>
      </c>
      <c r="E298">
        <f>gescon_infosparticip!AU297</f>
        <v>0</v>
      </c>
      <c r="F298">
        <f>gescon_infosparticip!AV297</f>
        <v>0</v>
      </c>
    </row>
    <row r="299" spans="2:6" x14ac:dyDescent="0.25">
      <c r="B299">
        <f>gescon_infosparticip!A298</f>
        <v>2146189722</v>
      </c>
      <c r="C299">
        <f>gescon_infosparticip!AS298</f>
        <v>2146189636</v>
      </c>
      <c r="D299">
        <f>gescon_infosparticip!AT298</f>
        <v>2146189824</v>
      </c>
      <c r="E299">
        <f>gescon_infosparticip!AU298</f>
        <v>0</v>
      </c>
      <c r="F299">
        <f>gescon_infosparticip!AV298</f>
        <v>0</v>
      </c>
    </row>
    <row r="300" spans="2:6" x14ac:dyDescent="0.25">
      <c r="B300">
        <f>gescon_infosparticip!A299</f>
        <v>2146189741</v>
      </c>
      <c r="C300">
        <f>gescon_infosparticip!AS299</f>
        <v>2146189077</v>
      </c>
      <c r="D300">
        <f>gescon_infosparticip!AT299</f>
        <v>2146189525</v>
      </c>
      <c r="E300">
        <f>gescon_infosparticip!AU299</f>
        <v>2146189607</v>
      </c>
      <c r="F300">
        <f>gescon_infosparticip!AV299</f>
        <v>0</v>
      </c>
    </row>
    <row r="301" spans="2:6" x14ac:dyDescent="0.25">
      <c r="B301">
        <f>gescon_infosparticip!A300</f>
        <v>2146189743</v>
      </c>
      <c r="C301">
        <f>gescon_infosparticip!AS300</f>
        <v>2146189824</v>
      </c>
      <c r="D301">
        <f>gescon_infosparticip!AT300</f>
        <v>0</v>
      </c>
      <c r="E301">
        <f>gescon_infosparticip!AU300</f>
        <v>0</v>
      </c>
      <c r="F301">
        <f>gescon_infosparticip!AV300</f>
        <v>0</v>
      </c>
    </row>
    <row r="302" spans="2:6" x14ac:dyDescent="0.25">
      <c r="B302">
        <f>gescon_infosparticip!A301</f>
        <v>2146189746</v>
      </c>
      <c r="C302">
        <f>gescon_infosparticip!AS301</f>
        <v>2146189190</v>
      </c>
      <c r="D302">
        <f>gescon_infosparticip!AT301</f>
        <v>2146189607</v>
      </c>
      <c r="E302">
        <f>gescon_infosparticip!AU301</f>
        <v>0</v>
      </c>
      <c r="F302">
        <f>gescon_infosparticip!AV301</f>
        <v>0</v>
      </c>
    </row>
    <row r="303" spans="2:6" x14ac:dyDescent="0.25">
      <c r="B303">
        <f>gescon_infosparticip!A302</f>
        <v>2146189750</v>
      </c>
      <c r="C303">
        <f>gescon_infosparticip!AS302</f>
        <v>2146189561</v>
      </c>
      <c r="D303">
        <f>gescon_infosparticip!AT302</f>
        <v>0</v>
      </c>
      <c r="E303">
        <f>gescon_infosparticip!AU302</f>
        <v>0</v>
      </c>
      <c r="F303">
        <f>gescon_infosparticip!AV302</f>
        <v>0</v>
      </c>
    </row>
    <row r="304" spans="2:6" x14ac:dyDescent="0.25">
      <c r="B304">
        <f>gescon_infosparticip!A303</f>
        <v>2146189783</v>
      </c>
      <c r="C304">
        <f>gescon_infosparticip!AS303</f>
        <v>0</v>
      </c>
      <c r="D304">
        <f>gescon_infosparticip!AT303</f>
        <v>0</v>
      </c>
      <c r="E304">
        <f>gescon_infosparticip!AU303</f>
        <v>0</v>
      </c>
      <c r="F304">
        <f>gescon_infosparticip!AV303</f>
        <v>0</v>
      </c>
    </row>
    <row r="305" spans="2:6" x14ac:dyDescent="0.25">
      <c r="B305">
        <f>gescon_infosparticip!A304</f>
        <v>2146189788</v>
      </c>
      <c r="C305">
        <f>gescon_infosparticip!AS304</f>
        <v>2146189821</v>
      </c>
      <c r="D305">
        <f>gescon_infosparticip!AT304</f>
        <v>0</v>
      </c>
      <c r="E305">
        <f>gescon_infosparticip!AU304</f>
        <v>0</v>
      </c>
      <c r="F305">
        <f>gescon_infosparticip!AV304</f>
        <v>0</v>
      </c>
    </row>
    <row r="306" spans="2:6" x14ac:dyDescent="0.25">
      <c r="B306">
        <f>gescon_infosparticip!A305</f>
        <v>2146189808</v>
      </c>
      <c r="C306">
        <f>gescon_infosparticip!AS305</f>
        <v>0</v>
      </c>
      <c r="D306">
        <f>gescon_infosparticip!AT305</f>
        <v>0</v>
      </c>
      <c r="E306">
        <f>gescon_infosparticip!AU305</f>
        <v>0</v>
      </c>
      <c r="F306">
        <f>gescon_infosparticip!AV305</f>
        <v>0</v>
      </c>
    </row>
    <row r="307" spans="2:6" x14ac:dyDescent="0.25">
      <c r="B307">
        <f>gescon_infosparticip!A306</f>
        <v>2146189810</v>
      </c>
      <c r="C307">
        <f>gescon_infosparticip!AS306</f>
        <v>2146189572</v>
      </c>
      <c r="D307">
        <f>gescon_infosparticip!AT306</f>
        <v>1001521379</v>
      </c>
      <c r="E307">
        <f>gescon_infosparticip!AU306</f>
        <v>0</v>
      </c>
      <c r="F307">
        <f>gescon_infosparticip!AV306</f>
        <v>0</v>
      </c>
    </row>
    <row r="308" spans="2:6" x14ac:dyDescent="0.25">
      <c r="B308">
        <f>gescon_infosparticip!A307</f>
        <v>2146189816</v>
      </c>
      <c r="C308">
        <f>gescon_infosparticip!AS307</f>
        <v>0</v>
      </c>
      <c r="D308">
        <f>gescon_infosparticip!AT307</f>
        <v>0</v>
      </c>
      <c r="E308">
        <f>gescon_infosparticip!AU307</f>
        <v>0</v>
      </c>
      <c r="F308">
        <f>gescon_infosparticip!AV307</f>
        <v>0</v>
      </c>
    </row>
    <row r="309" spans="2:6" x14ac:dyDescent="0.25">
      <c r="B309">
        <f>gescon_infosparticip!A308</f>
        <v>2146189819</v>
      </c>
      <c r="C309">
        <f>gescon_infosparticip!AS308</f>
        <v>2146189821</v>
      </c>
      <c r="D309">
        <f>gescon_infosparticip!AT308</f>
        <v>0</v>
      </c>
      <c r="E309">
        <f>gescon_infosparticip!AU308</f>
        <v>0</v>
      </c>
      <c r="F309">
        <f>gescon_infosparticip!AV308</f>
        <v>0</v>
      </c>
    </row>
    <row r="310" spans="2:6" x14ac:dyDescent="0.25">
      <c r="B310">
        <f>gescon_infosparticip!A309</f>
        <v>2146189843</v>
      </c>
      <c r="C310">
        <f>gescon_infosparticip!AS309</f>
        <v>2146189572</v>
      </c>
      <c r="D310">
        <f>gescon_infosparticip!AT309</f>
        <v>0</v>
      </c>
      <c r="E310">
        <f>gescon_infosparticip!AU309</f>
        <v>0</v>
      </c>
      <c r="F310">
        <f>gescon_infosparticip!AV309</f>
        <v>0</v>
      </c>
    </row>
    <row r="311" spans="2:6" x14ac:dyDescent="0.25">
      <c r="B311">
        <f>gescon_infosparticip!A310</f>
        <v>2146189852</v>
      </c>
      <c r="C311">
        <f>gescon_infosparticip!AS310</f>
        <v>2146189887</v>
      </c>
      <c r="D311">
        <f>gescon_infosparticip!AT310</f>
        <v>2146189878</v>
      </c>
      <c r="E311">
        <f>gescon_infosparticip!AU310</f>
        <v>2146189903</v>
      </c>
      <c r="F311">
        <f>gescon_infosparticip!AV310</f>
        <v>0</v>
      </c>
    </row>
    <row r="312" spans="2:6" x14ac:dyDescent="0.25">
      <c r="B312">
        <f>gescon_infosparticip!A311</f>
        <v>2146189856</v>
      </c>
      <c r="C312">
        <f>gescon_infosparticip!AS311</f>
        <v>0</v>
      </c>
      <c r="D312">
        <f>gescon_infosparticip!AT311</f>
        <v>0</v>
      </c>
      <c r="E312">
        <f>gescon_infosparticip!AU311</f>
        <v>0</v>
      </c>
      <c r="F312">
        <f>gescon_infosparticip!AV311</f>
        <v>0</v>
      </c>
    </row>
    <row r="313" spans="2:6" x14ac:dyDescent="0.25">
      <c r="B313">
        <f>gescon_infosparticip!A312</f>
        <v>2146189869</v>
      </c>
      <c r="C313">
        <f>gescon_infosparticip!AS312</f>
        <v>0</v>
      </c>
      <c r="D313">
        <f>gescon_infosparticip!AT312</f>
        <v>0</v>
      </c>
      <c r="E313">
        <f>gescon_infosparticip!AU312</f>
        <v>0</v>
      </c>
      <c r="F313">
        <f>gescon_infosparticip!AV312</f>
        <v>0</v>
      </c>
    </row>
    <row r="314" spans="2:6" x14ac:dyDescent="0.25">
      <c r="B314">
        <f>gescon_infosparticip!A313</f>
        <v>2146189874</v>
      </c>
      <c r="C314">
        <f>gescon_infosparticip!AS313</f>
        <v>2146189790</v>
      </c>
      <c r="D314">
        <f>gescon_infosparticip!AT313</f>
        <v>2146189588</v>
      </c>
      <c r="E314">
        <f>gescon_infosparticip!AU313</f>
        <v>2146189228</v>
      </c>
      <c r="F314">
        <f>gescon_infosparticip!AV313</f>
        <v>0</v>
      </c>
    </row>
    <row r="315" spans="2:6" x14ac:dyDescent="0.25">
      <c r="B315">
        <f>gescon_infosparticip!A314</f>
        <v>2146189888</v>
      </c>
      <c r="C315">
        <f>gescon_infosparticip!AS314</f>
        <v>2146189878</v>
      </c>
      <c r="D315">
        <f>gescon_infosparticip!AT314</f>
        <v>0</v>
      </c>
      <c r="E315">
        <f>gescon_infosparticip!AU314</f>
        <v>0</v>
      </c>
      <c r="F315">
        <f>gescon_infosparticip!AV314</f>
        <v>0</v>
      </c>
    </row>
    <row r="316" spans="2:6" x14ac:dyDescent="0.25">
      <c r="B316">
        <f>gescon_infosparticip!A315</f>
        <v>2146189890</v>
      </c>
      <c r="C316">
        <f>gescon_infosparticip!AS315</f>
        <v>2146189588</v>
      </c>
      <c r="D316">
        <f>gescon_infosparticip!AT315</f>
        <v>2146189228</v>
      </c>
      <c r="E316">
        <f>gescon_infosparticip!AU315</f>
        <v>0</v>
      </c>
      <c r="F316">
        <f>gescon_infosparticip!AV315</f>
        <v>0</v>
      </c>
    </row>
    <row r="317" spans="2:6" x14ac:dyDescent="0.25">
      <c r="B317">
        <f>gescon_infosparticip!A316</f>
        <v>2146189914</v>
      </c>
      <c r="C317">
        <f>gescon_infosparticip!AS316</f>
        <v>2146189824</v>
      </c>
      <c r="D317">
        <f>gescon_infosparticip!AT316</f>
        <v>2146189636</v>
      </c>
      <c r="E317">
        <f>gescon_infosparticip!AU316</f>
        <v>0</v>
      </c>
      <c r="F317">
        <f>gescon_infosparticip!AV316</f>
        <v>0</v>
      </c>
    </row>
    <row r="318" spans="2:6" x14ac:dyDescent="0.25">
      <c r="B318">
        <f>gescon_infosparticip!A317</f>
        <v>2146189919</v>
      </c>
      <c r="C318">
        <f>gescon_infosparticip!AS317</f>
        <v>0</v>
      </c>
      <c r="D318">
        <f>gescon_infosparticip!AT317</f>
        <v>0</v>
      </c>
      <c r="E318">
        <f>gescon_infosparticip!AU317</f>
        <v>0</v>
      </c>
      <c r="F318">
        <f>gescon_infosparticip!AV317</f>
        <v>0</v>
      </c>
    </row>
    <row r="319" spans="2:6" x14ac:dyDescent="0.25">
      <c r="B319">
        <f>gescon_infosparticip!A318</f>
        <v>2146189929</v>
      </c>
      <c r="C319">
        <f>gescon_infosparticip!AS318</f>
        <v>2146189228</v>
      </c>
      <c r="D319">
        <f>gescon_infosparticip!AT318</f>
        <v>0</v>
      </c>
      <c r="E319">
        <f>gescon_infosparticip!AU318</f>
        <v>0</v>
      </c>
      <c r="F319">
        <f>gescon_infosparticip!AV318</f>
        <v>0</v>
      </c>
    </row>
    <row r="320" spans="2:6" x14ac:dyDescent="0.25">
      <c r="B320">
        <f>gescon_infosparticip!A319</f>
        <v>2146189936</v>
      </c>
      <c r="C320">
        <f>gescon_infosparticip!AS319</f>
        <v>2146189824</v>
      </c>
      <c r="D320">
        <f>gescon_infosparticip!AT319</f>
        <v>0</v>
      </c>
      <c r="E320">
        <f>gescon_infosparticip!AU319</f>
        <v>0</v>
      </c>
      <c r="F320">
        <f>gescon_infosparticip!AV319</f>
        <v>0</v>
      </c>
    </row>
    <row r="321" spans="2:6" x14ac:dyDescent="0.25">
      <c r="B321">
        <f>gescon_infosparticip!A320</f>
        <v>2146189939</v>
      </c>
      <c r="C321">
        <f>gescon_infosparticip!AS320</f>
        <v>2146189903</v>
      </c>
      <c r="D321">
        <f>gescon_infosparticip!AT320</f>
        <v>0</v>
      </c>
      <c r="E321">
        <f>gescon_infosparticip!AU320</f>
        <v>0</v>
      </c>
      <c r="F321">
        <f>gescon_infosparticip!AV320</f>
        <v>0</v>
      </c>
    </row>
    <row r="322" spans="2:6" x14ac:dyDescent="0.25">
      <c r="B322">
        <f>gescon_infosparticip!A321</f>
        <v>2146189948</v>
      </c>
      <c r="C322">
        <f>gescon_infosparticip!AS321</f>
        <v>0</v>
      </c>
      <c r="D322">
        <f>gescon_infosparticip!AT321</f>
        <v>0</v>
      </c>
      <c r="E322">
        <f>gescon_infosparticip!AU321</f>
        <v>0</v>
      </c>
      <c r="F322">
        <f>gescon_infosparticip!AV321</f>
        <v>0</v>
      </c>
    </row>
    <row r="323" spans="2:6" x14ac:dyDescent="0.25">
      <c r="B323">
        <f>gescon_infosparticip!A322</f>
        <v>2146189949</v>
      </c>
      <c r="C323">
        <f>gescon_infosparticip!AS322</f>
        <v>0</v>
      </c>
      <c r="D323">
        <f>gescon_infosparticip!AT322</f>
        <v>0</v>
      </c>
      <c r="E323">
        <f>gescon_infosparticip!AU322</f>
        <v>0</v>
      </c>
      <c r="F323">
        <f>gescon_infosparticip!AV322</f>
        <v>0</v>
      </c>
    </row>
    <row r="324" spans="2:6" x14ac:dyDescent="0.25">
      <c r="B324">
        <f>gescon_infosparticip!A323</f>
        <v>2146189971</v>
      </c>
      <c r="C324">
        <f>gescon_infosparticip!AS323</f>
        <v>0</v>
      </c>
      <c r="D324">
        <f>gescon_infosparticip!AT323</f>
        <v>0</v>
      </c>
      <c r="E324">
        <f>gescon_infosparticip!AU323</f>
        <v>0</v>
      </c>
      <c r="F324">
        <f>gescon_infosparticip!AV323</f>
        <v>0</v>
      </c>
    </row>
    <row r="325" spans="2:6" x14ac:dyDescent="0.25">
      <c r="B325">
        <f>gescon_infosparticip!A324</f>
        <v>2146189979</v>
      </c>
      <c r="C325">
        <f>gescon_infosparticip!AS324</f>
        <v>2146189878</v>
      </c>
      <c r="D325">
        <f>gescon_infosparticip!AT324</f>
        <v>2146189887</v>
      </c>
      <c r="E325">
        <f>gescon_infosparticip!AU324</f>
        <v>0</v>
      </c>
      <c r="F325">
        <f>gescon_infosparticip!AV324</f>
        <v>0</v>
      </c>
    </row>
    <row r="326" spans="2:6" x14ac:dyDescent="0.25">
      <c r="B326">
        <f>gescon_infosparticip!A325</f>
        <v>2146189991</v>
      </c>
      <c r="C326">
        <f>gescon_infosparticip!AS325</f>
        <v>2146189988</v>
      </c>
      <c r="D326">
        <f>gescon_infosparticip!AT325</f>
        <v>0</v>
      </c>
      <c r="E326">
        <f>gescon_infosparticip!AU325</f>
        <v>0</v>
      </c>
      <c r="F326">
        <f>gescon_infosparticip!AV325</f>
        <v>0</v>
      </c>
    </row>
    <row r="327" spans="2:6" x14ac:dyDescent="0.25">
      <c r="B327">
        <f>gescon_infosparticip!A326</f>
        <v>2146189993</v>
      </c>
      <c r="C327">
        <f>gescon_infosparticip!AS326</f>
        <v>0</v>
      </c>
      <c r="D327">
        <f>gescon_infosparticip!AT326</f>
        <v>0</v>
      </c>
      <c r="E327">
        <f>gescon_infosparticip!AU326</f>
        <v>0</v>
      </c>
      <c r="F327">
        <f>gescon_infosparticip!AV326</f>
        <v>0</v>
      </c>
    </row>
    <row r="328" spans="2:6" x14ac:dyDescent="0.25">
      <c r="B328">
        <f>gescon_infosparticip!A327</f>
        <v>2146189997</v>
      </c>
      <c r="C328">
        <f>gescon_infosparticip!AS327</f>
        <v>0</v>
      </c>
      <c r="D328">
        <f>gescon_infosparticip!AT327</f>
        <v>0</v>
      </c>
      <c r="E328">
        <f>gescon_infosparticip!AU327</f>
        <v>0</v>
      </c>
      <c r="F328">
        <f>gescon_infosparticip!AV327</f>
        <v>0</v>
      </c>
    </row>
    <row r="329" spans="2:6" x14ac:dyDescent="0.25">
      <c r="B329">
        <f>gescon_infosparticip!A328</f>
        <v>2146190010</v>
      </c>
      <c r="C329">
        <f>gescon_infosparticip!AS328</f>
        <v>0</v>
      </c>
      <c r="D329">
        <f>gescon_infosparticip!AT328</f>
        <v>0</v>
      </c>
      <c r="E329">
        <f>gescon_infosparticip!AU328</f>
        <v>0</v>
      </c>
      <c r="F329">
        <f>gescon_infosparticip!AV328</f>
        <v>0</v>
      </c>
    </row>
    <row r="330" spans="2:6" x14ac:dyDescent="0.25">
      <c r="B330">
        <f>gescon_infosparticip!A329</f>
        <v>2146190023</v>
      </c>
      <c r="C330">
        <f>gescon_infosparticip!AS329</f>
        <v>0</v>
      </c>
      <c r="D330">
        <f>gescon_infosparticip!AT329</f>
        <v>0</v>
      </c>
      <c r="E330">
        <f>gescon_infosparticip!AU329</f>
        <v>0</v>
      </c>
      <c r="F330">
        <f>gescon_infosparticip!AV329</f>
        <v>0</v>
      </c>
    </row>
    <row r="331" spans="2:6" x14ac:dyDescent="0.25">
      <c r="B331">
        <f>gescon_infosparticip!A330</f>
        <v>2146190031</v>
      </c>
      <c r="C331">
        <f>gescon_infosparticip!AS330</f>
        <v>0</v>
      </c>
      <c r="D331">
        <f>gescon_infosparticip!AT330</f>
        <v>0</v>
      </c>
      <c r="E331">
        <f>gescon_infosparticip!AU330</f>
        <v>0</v>
      </c>
      <c r="F331">
        <f>gescon_infosparticip!AV330</f>
        <v>0</v>
      </c>
    </row>
    <row r="332" spans="2:6" x14ac:dyDescent="0.25">
      <c r="B332">
        <f>gescon_infosparticip!A331</f>
        <v>2146190034</v>
      </c>
      <c r="C332">
        <f>gescon_infosparticip!AS331</f>
        <v>0</v>
      </c>
      <c r="D332">
        <f>gescon_infosparticip!AT331</f>
        <v>0</v>
      </c>
      <c r="E332">
        <f>gescon_infosparticip!AU331</f>
        <v>0</v>
      </c>
      <c r="F332">
        <f>gescon_infosparticip!AV331</f>
        <v>0</v>
      </c>
    </row>
    <row r="333" spans="2:6" x14ac:dyDescent="0.25">
      <c r="B333">
        <f>gescon_infosparticip!A332</f>
        <v>2146190037</v>
      </c>
      <c r="C333">
        <f>gescon_infosparticip!AS332</f>
        <v>0</v>
      </c>
      <c r="D333">
        <f>gescon_infosparticip!AT332</f>
        <v>0</v>
      </c>
      <c r="E333">
        <f>gescon_infosparticip!AU332</f>
        <v>0</v>
      </c>
      <c r="F333">
        <f>gescon_infosparticip!AV332</f>
        <v>0</v>
      </c>
    </row>
    <row r="334" spans="2:6" x14ac:dyDescent="0.25">
      <c r="B334">
        <f>gescon_infosparticip!A333</f>
        <v>2146190042</v>
      </c>
      <c r="C334">
        <f>gescon_infosparticip!AS333</f>
        <v>0</v>
      </c>
      <c r="D334">
        <f>gescon_infosparticip!AT333</f>
        <v>0</v>
      </c>
      <c r="E334">
        <f>gescon_infosparticip!AU333</f>
        <v>0</v>
      </c>
      <c r="F334">
        <f>gescon_infosparticip!AV333</f>
        <v>0</v>
      </c>
    </row>
    <row r="335" spans="2:6" x14ac:dyDescent="0.25">
      <c r="B335">
        <f>gescon_infosparticip!A334</f>
        <v>2146190044</v>
      </c>
      <c r="C335">
        <f>gescon_infosparticip!AS334</f>
        <v>0</v>
      </c>
      <c r="D335">
        <f>gescon_infosparticip!AT334</f>
        <v>0</v>
      </c>
      <c r="E335">
        <f>gescon_infosparticip!AU334</f>
        <v>0</v>
      </c>
      <c r="F335">
        <f>gescon_infosparticip!AV334</f>
        <v>0</v>
      </c>
    </row>
    <row r="336" spans="2:6" x14ac:dyDescent="0.25">
      <c r="B336">
        <f>gescon_infosparticip!A335</f>
        <v>2146190077</v>
      </c>
      <c r="C336">
        <f>gescon_infosparticip!AS335</f>
        <v>0</v>
      </c>
      <c r="D336">
        <f>gescon_infosparticip!AT335</f>
        <v>0</v>
      </c>
      <c r="E336">
        <f>gescon_infosparticip!AU335</f>
        <v>0</v>
      </c>
      <c r="F336">
        <f>gescon_infosparticip!AV335</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36"/>
  <sheetViews>
    <sheetView topLeftCell="AB1" workbookViewId="0">
      <selection activeCell="A3" sqref="A3:AJ336"/>
    </sheetView>
  </sheetViews>
  <sheetFormatPr baseColWidth="10" defaultRowHeight="15" x14ac:dyDescent="0.25"/>
  <cols>
    <col min="3" max="3" width="15.28515625" customWidth="1"/>
    <col min="9" max="9" width="18.28515625" bestFit="1" customWidth="1"/>
    <col min="10" max="10" width="13.7109375" bestFit="1" customWidth="1"/>
    <col min="11" max="11" width="18.140625" bestFit="1" customWidth="1"/>
    <col min="12" max="12" width="16.42578125" bestFit="1" customWidth="1"/>
    <col min="13" max="13" width="15.28515625" bestFit="1" customWidth="1"/>
    <col min="14" max="14" width="17.5703125" bestFit="1" customWidth="1"/>
    <col min="15" max="15" width="16.5703125" bestFit="1" customWidth="1"/>
    <col min="16" max="16" width="16.42578125" bestFit="1" customWidth="1"/>
    <col min="17" max="17" width="18.140625" bestFit="1" customWidth="1"/>
    <col min="18" max="18" width="18" bestFit="1" customWidth="1"/>
    <col min="19" max="19" width="15.7109375" bestFit="1" customWidth="1"/>
    <col min="33" max="33" width="15.140625" bestFit="1" customWidth="1"/>
    <col min="34" max="34" width="23" bestFit="1" customWidth="1"/>
    <col min="35" max="35" width="15.7109375" bestFit="1" customWidth="1"/>
  </cols>
  <sheetData>
    <row r="1" spans="1:36" x14ac:dyDescent="0.25">
      <c r="A1" t="s">
        <v>3220</v>
      </c>
      <c r="B1" t="s">
        <v>3221</v>
      </c>
      <c r="C1" t="s">
        <v>3222</v>
      </c>
      <c r="D1" t="s">
        <v>3223</v>
      </c>
      <c r="E1" t="s">
        <v>3224</v>
      </c>
      <c r="F1" t="s">
        <v>3225</v>
      </c>
      <c r="G1" t="s">
        <v>3226</v>
      </c>
      <c r="H1" t="s">
        <v>3227</v>
      </c>
      <c r="I1" t="s">
        <v>3228</v>
      </c>
      <c r="J1" s="1" t="s">
        <v>3229</v>
      </c>
      <c r="K1" s="1" t="s">
        <v>3230</v>
      </c>
      <c r="L1" s="1" t="s">
        <v>3231</v>
      </c>
      <c r="M1" s="1" t="s">
        <v>3232</v>
      </c>
      <c r="N1" s="1" t="s">
        <v>3233</v>
      </c>
      <c r="O1" s="1" t="s">
        <v>3234</v>
      </c>
      <c r="P1" s="1" t="s">
        <v>3235</v>
      </c>
      <c r="Q1" s="1" t="s">
        <v>3236</v>
      </c>
      <c r="R1" s="1" t="s">
        <v>3237</v>
      </c>
      <c r="S1" t="s">
        <v>3238</v>
      </c>
      <c r="T1" t="s">
        <v>3239</v>
      </c>
      <c r="U1" t="s">
        <v>3240</v>
      </c>
      <c r="V1" s="1" t="s">
        <v>3241</v>
      </c>
      <c r="W1" s="1" t="s">
        <v>3242</v>
      </c>
      <c r="X1" t="s">
        <v>3243</v>
      </c>
      <c r="Y1" s="1" t="s">
        <v>3244</v>
      </c>
      <c r="Z1" s="1" t="s">
        <v>3245</v>
      </c>
      <c r="AA1" s="1" t="s">
        <v>3246</v>
      </c>
      <c r="AB1" s="1" t="s">
        <v>3247</v>
      </c>
      <c r="AC1" t="s">
        <v>3248</v>
      </c>
      <c r="AD1" t="s">
        <v>3249</v>
      </c>
      <c r="AE1" t="s">
        <v>3250</v>
      </c>
      <c r="AF1" t="s">
        <v>3251</v>
      </c>
      <c r="AG1" t="s">
        <v>3252</v>
      </c>
      <c r="AH1" t="s">
        <v>3253</v>
      </c>
      <c r="AI1" t="s">
        <v>3254</v>
      </c>
      <c r="AJ1" t="s">
        <v>3255</v>
      </c>
    </row>
    <row r="2" spans="1:36" x14ac:dyDescent="0.25">
      <c r="B2" t="str">
        <f>gescon_infosparticip!A1</f>
        <v>membre</v>
      </c>
      <c r="C2" t="str">
        <f>gescon_infosparticip!B1</f>
        <v>Dernière mise à jour</v>
      </c>
      <c r="D2" t="str">
        <f>gescon_infosparticip!C1</f>
        <v>Fils de(Père)</v>
      </c>
      <c r="E2" t="str">
        <f>gescon_infosparticip!D1</f>
        <v>Fils de(Mère)</v>
      </c>
      <c r="F2" t="str">
        <f>gescon_infosparticip!E1</f>
        <v>Tuteur</v>
      </c>
      <c r="G2" t="str">
        <f>gescon_infosparticip!F1</f>
        <v>Institution</v>
      </c>
      <c r="H2" t="str">
        <f>gescon_infosparticip!G1</f>
        <v>Adresse urgence</v>
      </c>
      <c r="I2" t="str">
        <f>gescon_infosparticip!H1</f>
        <v>Referent_institut</v>
      </c>
      <c r="J2">
        <f>IF(gescon_infosparticip!I1=FALSE,0,1)</f>
        <v>1</v>
      </c>
      <c r="K2" t="str">
        <f>gescon_infosparticip!J1</f>
        <v>arpo_avecaidephys</v>
      </c>
      <c r="L2" t="str">
        <f>gescon_infosparticip!K1</f>
        <v>arpo_avecconseil</v>
      </c>
      <c r="M2" t="str">
        <f>gescon_infosparticip!L1</f>
        <v>arpo_negerepas</v>
      </c>
      <c r="N2" t="str">
        <f>gescon_infosparticip!M1</f>
        <v>Mobil_marcheseul</v>
      </c>
      <c r="O2" t="str">
        <f>gescon_infosparticip!N1</f>
        <v>Mobil_marchaide</v>
      </c>
      <c r="P2" t="str">
        <f>gescon_infosparticip!O1</f>
        <v>Mobil_marchauxi</v>
      </c>
      <c r="Q2" t="str">
        <f>gescon_infosparticip!P1</f>
        <v>Mobil_fauteuilman</v>
      </c>
      <c r="R2" t="str">
        <f>gescon_infosparticip!Q1</f>
        <v>Mobil_fauteuilelec</v>
      </c>
      <c r="S2" t="str">
        <f>gescon_infosparticip!R1</f>
        <v>Long_dep</v>
      </c>
      <c r="T2" t="str">
        <f>gescon_infosparticip!V1</f>
        <v>habillement</v>
      </c>
      <c r="U2" t="str">
        <f>gescon_infosparticip!S1</f>
        <v>Piscine_coment</v>
      </c>
      <c r="V2" t="str">
        <f>gescon_infosparticip!U1</f>
        <v>Publication</v>
      </c>
      <c r="W2" t="str">
        <f>gescon_infosparticip!T1</f>
        <v>Piscine_gilet</v>
      </c>
      <c r="X2" t="str">
        <f>gescon_infosparticip!W1</f>
        <v>someil</v>
      </c>
      <c r="Y2" t="str">
        <f>gescon_infosparticip!X1</f>
        <v>acnuit_atache</v>
      </c>
      <c r="Z2" t="str">
        <f>gescon_infosparticip!Y1</f>
        <v>acnuit_drapspec</v>
      </c>
      <c r="AA2" t="str">
        <f>gescon_infosparticip!Z1</f>
        <v>acnuit_gilet</v>
      </c>
      <c r="AB2" t="str">
        <f>gescon_infosparticip!AA1</f>
        <v>acnuit_barriere</v>
      </c>
      <c r="AC2" t="str">
        <f>gescon_infosparticip!AB1</f>
        <v>Expresssion</v>
      </c>
      <c r="AD2" t="str">
        <f>gescon_infosparticip!AC1</f>
        <v>Famille</v>
      </c>
      <c r="AE2" t="str">
        <f>gescon_infosparticip!AD1</f>
        <v>Fraterie</v>
      </c>
      <c r="AF2" t="str">
        <f>gescon_infosparticip!AE1</f>
        <v>Amis</v>
      </c>
      <c r="AG2" t="str">
        <f>gescon_infosparticip!AF1</f>
        <v>Passions_Loisirs</v>
      </c>
      <c r="AH2" t="str">
        <f>gescon_infosparticip!AG1</f>
        <v>Activités peu appréciées</v>
      </c>
      <c r="AI2" t="str">
        <f>gescon_infosparticip!BN1</f>
        <v>change_pos</v>
      </c>
      <c r="AJ2" t="str">
        <f>gescon_infosparticip!BO1</f>
        <v>frequence_change</v>
      </c>
    </row>
    <row r="3" spans="1:36" x14ac:dyDescent="0.25">
      <c r="B3">
        <f>gescon_infosparticip!A2</f>
        <v>-2138585887</v>
      </c>
      <c r="C3">
        <f>gescon_infosparticip!B2</f>
        <v>41092</v>
      </c>
      <c r="D3">
        <f>gescon_infosparticip!C2</f>
        <v>0</v>
      </c>
      <c r="E3">
        <f>gescon_infosparticip!D2</f>
        <v>0</v>
      </c>
      <c r="F3">
        <f>gescon_infosparticip!E2</f>
        <v>0</v>
      </c>
      <c r="G3">
        <f>gescon_infosparticip!F2</f>
        <v>0</v>
      </c>
      <c r="H3">
        <f>gescon_infosparticip!G2</f>
        <v>0</v>
      </c>
      <c r="I3" t="str">
        <f>gescon_infosparticip!H2</f>
        <v/>
      </c>
      <c r="J3">
        <f>IF(gescon_infosparticip!I2=FALSE,0,1)</f>
        <v>0</v>
      </c>
      <c r="K3">
        <f>IF(gescon_infosparticip!J2=FALSE,0,1)</f>
        <v>0</v>
      </c>
      <c r="L3">
        <f>IF(gescon_infosparticip!K2=FALSE,0,1)</f>
        <v>0</v>
      </c>
      <c r="M3">
        <f>IF(gescon_infosparticip!L2=FALSE,0,1)</f>
        <v>0</v>
      </c>
      <c r="N3">
        <f>IF(gescon_infosparticip!M2=FALSE,0,1)</f>
        <v>0</v>
      </c>
      <c r="O3">
        <f>IF(gescon_infosparticip!N2=FALSE,0,1)</f>
        <v>0</v>
      </c>
      <c r="P3">
        <f>IF(gescon_infosparticip!O2=FALSE,0,1)</f>
        <v>0</v>
      </c>
      <c r="Q3">
        <f>IF(gescon_infosparticip!P2=FALSE,0,1)</f>
        <v>0</v>
      </c>
      <c r="R3">
        <f>IF(gescon_infosparticip!Q2=FALSE,0,1)</f>
        <v>0</v>
      </c>
      <c r="S3" t="str">
        <f>gescon_infosparticip!R2</f>
        <v>ligne1
ligne 2
Ligne 3</v>
      </c>
      <c r="T3" t="str">
        <f>gescon_infosparticip!V2</f>
        <v/>
      </c>
      <c r="U3" t="str">
        <f>gescon_infosparticip!S2</f>
        <v/>
      </c>
      <c r="V3">
        <f>IF(gescon_infosparticip!U2=FALSE,0,1)</f>
        <v>0</v>
      </c>
      <c r="W3">
        <f>IF(gescon_infosparticip!T2=FALSE,0,1)</f>
        <v>0</v>
      </c>
      <c r="X3" t="str">
        <f>gescon_infosparticip!W2</f>
        <v/>
      </c>
      <c r="Y3">
        <f>IF(gescon_infosparticip!X2=FALSE,0,1)</f>
        <v>0</v>
      </c>
      <c r="Z3">
        <f>IF(gescon_infosparticip!Y2=FALSE,0,1)</f>
        <v>0</v>
      </c>
      <c r="AA3">
        <f>IF(gescon_infosparticip!Z2=FALSE,0,1)</f>
        <v>0</v>
      </c>
      <c r="AB3">
        <f>IF(gescon_infosparticip!AA2=FALSE,0,1)</f>
        <v>0</v>
      </c>
      <c r="AC3" t="str">
        <f>gescon_infosparticip!AB2</f>
        <v/>
      </c>
      <c r="AD3" t="str">
        <f>gescon_infosparticip!AC2</f>
        <v/>
      </c>
      <c r="AE3" t="str">
        <f>gescon_infosparticip!AD2</f>
        <v/>
      </c>
      <c r="AF3" t="str">
        <f>gescon_infosparticip!AE2</f>
        <v/>
      </c>
      <c r="AG3" t="str">
        <f>gescon_infosparticip!AF2</f>
        <v/>
      </c>
      <c r="AH3" t="str">
        <f>gescon_infosparticip!AG2</f>
        <v/>
      </c>
      <c r="AI3" t="str">
        <f>gescon_infosparticip!BN2</f>
        <v/>
      </c>
      <c r="AJ3" t="str">
        <f>gescon_infosparticip!BO2</f>
        <v/>
      </c>
    </row>
    <row r="4" spans="1:36" x14ac:dyDescent="0.25">
      <c r="B4">
        <f>gescon_infosparticip!A3</f>
        <v>-1974002318</v>
      </c>
      <c r="C4">
        <f>gescon_infosparticip!B3</f>
        <v>42780</v>
      </c>
      <c r="D4">
        <f>gescon_infosparticip!C3</f>
        <v>1241531093</v>
      </c>
      <c r="E4">
        <f>gescon_infosparticip!D3</f>
        <v>0</v>
      </c>
      <c r="F4">
        <f>gescon_infosparticip!E3</f>
        <v>0</v>
      </c>
      <c r="G4">
        <f>gescon_infosparticip!F3</f>
        <v>0</v>
      </c>
      <c r="H4">
        <f>gescon_infosparticip!G3</f>
        <v>2146189445</v>
      </c>
      <c r="I4" t="str">
        <f>gescon_infosparticip!H3</f>
        <v/>
      </c>
      <c r="J4">
        <f>IF(gescon_infosparticip!I3=FALSE,0,1)</f>
        <v>0</v>
      </c>
      <c r="K4">
        <f>IF(gescon_infosparticip!J3=FALSE,0,1)</f>
        <v>0</v>
      </c>
      <c r="L4">
        <f>IF(gescon_infosparticip!K3=FALSE,0,1)</f>
        <v>0</v>
      </c>
      <c r="M4">
        <f>IF(gescon_infosparticip!L3=FALSE,0,1)</f>
        <v>0</v>
      </c>
      <c r="N4">
        <f>IF(gescon_infosparticip!M3=FALSE,0,1)</f>
        <v>0</v>
      </c>
      <c r="O4">
        <f>IF(gescon_infosparticip!N3=FALSE,0,1)</f>
        <v>0</v>
      </c>
      <c r="P4">
        <f>IF(gescon_infosparticip!O3=FALSE,0,1)</f>
        <v>0</v>
      </c>
      <c r="Q4">
        <f>IF(gescon_infosparticip!P3=FALSE,0,1)</f>
        <v>1</v>
      </c>
      <c r="R4">
        <f>IF(gescon_infosparticip!Q3=FALSE,0,1)</f>
        <v>0</v>
      </c>
      <c r="S4" t="str">
        <f>gescon_infosparticip!R3</f>
        <v>Elle supporte les longs trajets en bus</v>
      </c>
      <c r="T4" t="str">
        <f>gescon_infosparticip!V3</f>
        <v>Aide totale</v>
      </c>
      <c r="U4" t="str">
        <f>gescon_infosparticip!S3</f>
        <v>Elle apprécie l'eau</v>
      </c>
      <c r="V4">
        <f>IF(gescon_infosparticip!U3=FALSE,0,1)</f>
        <v>1</v>
      </c>
      <c r="W4">
        <f>IF(gescon_infosparticip!T3=FALSE,0,1)</f>
        <v>1</v>
      </c>
      <c r="X4" t="str">
        <f>gescon_infosparticip!W3</f>
        <v/>
      </c>
      <c r="Y4">
        <f>IF(gescon_infosparticip!X3=FALSE,0,1)</f>
        <v>0</v>
      </c>
      <c r="Z4">
        <f>IF(gescon_infosparticip!Y3=FALSE,0,1)</f>
        <v>0</v>
      </c>
      <c r="AA4">
        <f>IF(gescon_infosparticip!Z3=FALSE,0,1)</f>
        <v>0</v>
      </c>
      <c r="AB4">
        <f>IF(gescon_infosparticip!AA3=FALSE,0,1)</f>
        <v>0</v>
      </c>
      <c r="AC4" t="str">
        <f>gescon_infosparticip!AB3</f>
        <v>Elle n'a pas l'expression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v>
      </c>
      <c r="AD4" t="str">
        <f>gescon_infosparticip!AC3</f>
        <v>Elle apprécie beaucoup sa grand-maman.</v>
      </c>
      <c r="AE4" t="str">
        <f>gescon_infosparticip!AD3</f>
        <v>Alycia a une petite sœur qui s'appelle Léanne</v>
      </c>
      <c r="AF4" t="str">
        <f>gescon_infosparticip!AE3</f>
        <v/>
      </c>
      <c r="AG4" t="str">
        <f>gescon_infosparticip!AF3</f>
        <v>Activités en plein air. Elle aime bien écouter de la musiquen et des histoires. Elle apprécie les balades et le vélo.</v>
      </c>
      <c r="AH4" t="str">
        <f>gescon_infosparticip!AG3</f>
        <v/>
      </c>
      <c r="AI4" t="str">
        <f>gescon_infosparticip!BN3</f>
        <v>oui</v>
      </c>
      <c r="AJ4" t="str">
        <f>gescon_infosparticip!BO3</f>
        <v>changement de position pendant la journée.</v>
      </c>
    </row>
    <row r="5" spans="1:36" x14ac:dyDescent="0.25">
      <c r="B5">
        <f>gescon_infosparticip!A4</f>
        <v>-1949668449</v>
      </c>
      <c r="C5">
        <f>gescon_infosparticip!B4</f>
        <v>37859.410983796297</v>
      </c>
      <c r="D5">
        <f>gescon_infosparticip!C4</f>
        <v>2643</v>
      </c>
      <c r="E5">
        <f>gescon_infosparticip!D4</f>
        <v>2210</v>
      </c>
      <c r="F5">
        <f>gescon_infosparticip!E4</f>
        <v>0</v>
      </c>
      <c r="G5">
        <f>gescon_infosparticip!F4</f>
        <v>0</v>
      </c>
      <c r="H5">
        <f>gescon_infosparticip!G4</f>
        <v>1424</v>
      </c>
      <c r="I5" t="str">
        <f>gescon_infosparticip!H4</f>
        <v/>
      </c>
      <c r="J5">
        <f>IF(gescon_infosparticip!I4=FALSE,0,1)</f>
        <v>0</v>
      </c>
      <c r="K5">
        <f>IF(gescon_infosparticip!J4=FALSE,0,1)</f>
        <v>0</v>
      </c>
      <c r="L5">
        <f>IF(gescon_infosparticip!K4=FALSE,0,1)</f>
        <v>0</v>
      </c>
      <c r="M5">
        <f>IF(gescon_infosparticip!L4=FALSE,0,1)</f>
        <v>0</v>
      </c>
      <c r="N5">
        <f>IF(gescon_infosparticip!M4=FALSE,0,1)</f>
        <v>0</v>
      </c>
      <c r="O5">
        <f>IF(gescon_infosparticip!N4=FALSE,0,1)</f>
        <v>0</v>
      </c>
      <c r="P5">
        <f>IF(gescon_infosparticip!O4=FALSE,0,1)</f>
        <v>0</v>
      </c>
      <c r="Q5">
        <f>IF(gescon_infosparticip!P4=FALSE,0,1)</f>
        <v>0</v>
      </c>
      <c r="R5">
        <f>IF(gescon_infosparticip!Q4=FALSE,0,1)</f>
        <v>0</v>
      </c>
      <c r="S5" t="str">
        <f>gescon_infosparticip!R4</f>
        <v/>
      </c>
      <c r="T5" t="str">
        <f>gescon_infosparticip!V4</f>
        <v/>
      </c>
      <c r="U5" t="str">
        <f>gescon_infosparticip!S4</f>
        <v>Le faire marcher dans l'eau rester tout le temps à ses côtés.</v>
      </c>
      <c r="V5">
        <f>IF(gescon_infosparticip!U4=FALSE,0,1)</f>
        <v>1</v>
      </c>
      <c r="W5">
        <f>IF(gescon_infosparticip!T4=FALSE,0,1)</f>
        <v>0</v>
      </c>
      <c r="X5" t="str">
        <f>gescon_infosparticip!W4</f>
        <v/>
      </c>
      <c r="Y5">
        <f>IF(gescon_infosparticip!X4=FALSE,0,1)</f>
        <v>0</v>
      </c>
      <c r="Z5">
        <f>IF(gescon_infosparticip!Y4=FALSE,0,1)</f>
        <v>0</v>
      </c>
      <c r="AA5">
        <f>IF(gescon_infosparticip!Z4=FALSE,0,1)</f>
        <v>0</v>
      </c>
      <c r="AB5">
        <f>IF(gescon_infosparticip!AA4=FALSE,0,1)</f>
        <v>0</v>
      </c>
      <c r="AC5" t="str">
        <f>gescon_infosparticip!AB4</f>
        <v>Expression verbale, mimiques, écholalie, stéréotipie</v>
      </c>
      <c r="AD5" t="str">
        <f>gescon_infosparticip!AC4</f>
        <v>Il aime beaucoup la musique: écouter  Mylène Farmer, et chanter.
Ne pas lui donner trop d'ordres, pas trop d'exigences, juste lui indiquer ce que l'on fait. Si il se fâche, il se donne des claques.</v>
      </c>
      <c r="AE5" t="str">
        <f>gescon_infosparticip!AD4</f>
        <v/>
      </c>
      <c r="AF5" t="str">
        <f>gescon_infosparticip!AE4</f>
        <v/>
      </c>
      <c r="AG5" t="str">
        <f>gescon_infosparticip!AF4</f>
        <v/>
      </c>
      <c r="AH5" t="str">
        <f>gescon_infosparticip!AG4</f>
        <v>Elle est destabilisée par la foule.</v>
      </c>
      <c r="AI5" t="str">
        <f>gescon_infosparticip!BN4</f>
        <v/>
      </c>
      <c r="AJ5" t="str">
        <f>gescon_infosparticip!BO4</f>
        <v/>
      </c>
    </row>
    <row r="6" spans="1:36" x14ac:dyDescent="0.25">
      <c r="B6">
        <f>gescon_infosparticip!A5</f>
        <v>-1887115141</v>
      </c>
      <c r="C6">
        <f>gescon_infosparticip!B5</f>
        <v>42517</v>
      </c>
      <c r="D6">
        <f>gescon_infosparticip!C5</f>
        <v>106817863</v>
      </c>
      <c r="E6">
        <f>gescon_infosparticip!D5</f>
        <v>0</v>
      </c>
      <c r="F6">
        <f>gescon_infosparticip!E5</f>
        <v>0</v>
      </c>
      <c r="G6">
        <f>gescon_infosparticip!F5</f>
        <v>1424</v>
      </c>
      <c r="H6">
        <f>gescon_infosparticip!G5</f>
        <v>0</v>
      </c>
      <c r="I6" t="str">
        <f>gescon_infosparticip!H5</f>
        <v>Groupe - C4 Beate Friedberger</v>
      </c>
      <c r="J6">
        <f>IF(gescon_infosparticip!I5=FALSE,0,1)</f>
        <v>0</v>
      </c>
      <c r="K6">
        <f>IF(gescon_infosparticip!J5=FALSE,0,1)</f>
        <v>1</v>
      </c>
      <c r="L6">
        <f>IF(gescon_infosparticip!K5=FALSE,0,1)</f>
        <v>1</v>
      </c>
      <c r="M6">
        <f>IF(gescon_infosparticip!L5=FALSE,0,1)</f>
        <v>0</v>
      </c>
      <c r="N6">
        <f>IF(gescon_infosparticip!M5=FALSE,0,1)</f>
        <v>0</v>
      </c>
      <c r="O6">
        <f>IF(gescon_infosparticip!N5=FALSE,0,1)</f>
        <v>0</v>
      </c>
      <c r="P6">
        <f>IF(gescon_infosparticip!O5=FALSE,0,1)</f>
        <v>0</v>
      </c>
      <c r="Q6">
        <f>IF(gescon_infosparticip!P5=FALSE,0,1)</f>
        <v>1</v>
      </c>
      <c r="R6">
        <f>IF(gescon_infosparticip!Q5=FALSE,0,1)</f>
        <v>0</v>
      </c>
      <c r="S6" t="str">
        <f>gescon_infosparticip!R5</f>
        <v>Elle supporte les trajets en bus.</v>
      </c>
      <c r="T6" t="str">
        <f>gescon_infosparticip!V5</f>
        <v/>
      </c>
      <c r="U6" t="str">
        <f>gescon_infosparticip!S5</f>
        <v>Il faut l’accompagner. Si elle ne veut pas, il ne faut pas la forcer</v>
      </c>
      <c r="V6">
        <f>IF(gescon_infosparticip!U5=FALSE,0,1)</f>
        <v>1</v>
      </c>
      <c r="W6">
        <f>IF(gescon_infosparticip!T5=FALSE,0,1)</f>
        <v>0</v>
      </c>
      <c r="X6" t="str">
        <f>gescon_infosparticip!W5</f>
        <v>dort bien mais discute parfois longtemps. Danièla demande pour aller au lit. Le matin, au lever elle boit volontiers un verre d’eau. Protection pour la nuit</v>
      </c>
      <c r="Y6">
        <f>IF(gescon_infosparticip!X5=FALSE,0,1)</f>
        <v>0</v>
      </c>
      <c r="Z6">
        <f>IF(gescon_infosparticip!Y5=FALSE,0,1)</f>
        <v>0</v>
      </c>
      <c r="AA6">
        <f>IF(gescon_infosparticip!Z5=FALSE,0,1)</f>
        <v>0</v>
      </c>
      <c r="AB6">
        <f>IF(gescon_infosparticip!AA5=FALSE,0,1)</f>
        <v>1</v>
      </c>
      <c r="AC6" t="str">
        <f>gescon_infosparticip!AB5</f>
        <v>s’exprime en allemand et en français à sa manière. Elle mélange les mots allemands avec les mots français.</v>
      </c>
      <c r="AD6" t="str">
        <f>gescon_infosparticip!AC5</f>
        <v>Son papa est décédé.</v>
      </c>
      <c r="AE6" t="str">
        <f>gescon_infosparticip!AD5</f>
        <v>Elle a 2 sœurs : Claudia et Andrea.</v>
      </c>
      <c r="AF6" t="str">
        <f>gescon_infosparticip!AE5</f>
        <v/>
      </c>
      <c r="AG6" t="str">
        <f>gescon_infosparticip!AF5</f>
        <v>Danièla possède un cahier avec des photos de sa famille et de son entourage. Danièla s’exprime bien et montre ce qu’elle souhaite. Elle arrive à faire des choix. Elle apprécie les différents styles de musique. Elle aime faire des jeux d’encastrement ex : mettre les pièces dans le jeu du puissance 4. Elle arrive à faire du vélo à 3 roues.</v>
      </c>
      <c r="AH6" t="str">
        <f>gescon_infosparticip!AG5</f>
        <v>Toutes les activités avec des bruits, Danièla sursaute beaucoup</v>
      </c>
      <c r="AI6" t="str">
        <f>gescon_infosparticip!BN5</f>
        <v/>
      </c>
      <c r="AJ6" t="str">
        <f>gescon_infosparticip!BO5</f>
        <v/>
      </c>
    </row>
    <row r="7" spans="1:36" x14ac:dyDescent="0.25">
      <c r="B7">
        <f>gescon_infosparticip!A6</f>
        <v>-1756164214</v>
      </c>
      <c r="C7">
        <f>gescon_infosparticip!B6</f>
        <v>41087</v>
      </c>
      <c r="D7">
        <f>gescon_infosparticip!C6</f>
        <v>0</v>
      </c>
      <c r="E7">
        <f>gescon_infosparticip!D6</f>
        <v>0</v>
      </c>
      <c r="F7">
        <f>gescon_infosparticip!E6</f>
        <v>0</v>
      </c>
      <c r="G7">
        <f>gescon_infosparticip!F6</f>
        <v>0</v>
      </c>
      <c r="H7">
        <f>gescon_infosparticip!G6</f>
        <v>0</v>
      </c>
      <c r="I7" t="str">
        <f>gescon_infosparticip!H6</f>
        <v/>
      </c>
      <c r="J7">
        <f>IF(gescon_infosparticip!I6=FALSE,0,1)</f>
        <v>0</v>
      </c>
      <c r="K7">
        <f>IF(gescon_infosparticip!J6=FALSE,0,1)</f>
        <v>0</v>
      </c>
      <c r="L7">
        <f>IF(gescon_infosparticip!K6=FALSE,0,1)</f>
        <v>0</v>
      </c>
      <c r="M7">
        <f>IF(gescon_infosparticip!L6=FALSE,0,1)</f>
        <v>0</v>
      </c>
      <c r="N7">
        <f>IF(gescon_infosparticip!M6=FALSE,0,1)</f>
        <v>0</v>
      </c>
      <c r="O7">
        <f>IF(gescon_infosparticip!N6=FALSE,0,1)</f>
        <v>0</v>
      </c>
      <c r="P7">
        <f>IF(gescon_infosparticip!O6=FALSE,0,1)</f>
        <v>0</v>
      </c>
      <c r="Q7">
        <f>IF(gescon_infosparticip!P6=FALSE,0,1)</f>
        <v>0</v>
      </c>
      <c r="R7">
        <f>IF(gescon_infosparticip!Q6=FALSE,0,1)</f>
        <v>0</v>
      </c>
      <c r="S7" t="str">
        <f>gescon_infosparticip!R6</f>
        <v/>
      </c>
      <c r="T7" t="str">
        <f>gescon_infosparticip!V6</f>
        <v/>
      </c>
      <c r="U7" t="str">
        <f>gescon_infosparticip!S6</f>
        <v>si Laurent n'a pas fond, il a besoin d'aide.</v>
      </c>
      <c r="V7">
        <f>IF(gescon_infosparticip!U6=FALSE,0,1)</f>
        <v>1</v>
      </c>
      <c r="W7">
        <f>IF(gescon_infosparticip!T6=FALSE,0,1)</f>
        <v>0</v>
      </c>
      <c r="X7" t="str">
        <f>gescon_infosparticip!W6</f>
        <v/>
      </c>
      <c r="Y7">
        <f>IF(gescon_infosparticip!X6=FALSE,0,1)</f>
        <v>0</v>
      </c>
      <c r="Z7">
        <f>IF(gescon_infosparticip!Y6=FALSE,0,1)</f>
        <v>0</v>
      </c>
      <c r="AA7">
        <f>IF(gescon_infosparticip!Z6=FALSE,0,1)</f>
        <v>0</v>
      </c>
      <c r="AB7">
        <f>IF(gescon_infosparticip!AA6=FALSE,0,1)</f>
        <v>0</v>
      </c>
      <c r="AC7" t="str">
        <f>gescon_infosparticip!AB6</f>
        <v>Parle</v>
      </c>
      <c r="AD7" t="str">
        <f>gescon_infosparticip!AC6</f>
        <v>Ses parents sont séparés. Son papa habite dans le canton de Berne et sa maman à Betten près de Naters. Il a deux frères: Jean-Luc (1965) et Yves (1964). Laurent apprécie la piscine, les ballades.Il travaille un après-midi par semaine dans un atelier et le</v>
      </c>
      <c r="AE7" t="str">
        <f>gescon_infosparticip!AD6</f>
        <v/>
      </c>
      <c r="AF7" t="str">
        <f>gescon_infosparticip!AE6</f>
        <v/>
      </c>
      <c r="AG7" t="str">
        <f>gescon_infosparticip!AF6</f>
        <v/>
      </c>
      <c r="AH7" t="str">
        <f>gescon_infosparticip!AG6</f>
        <v/>
      </c>
      <c r="AI7" t="str">
        <f>gescon_infosparticip!BN6</f>
        <v/>
      </c>
      <c r="AJ7" t="str">
        <f>gescon_infosparticip!BO6</f>
        <v/>
      </c>
    </row>
    <row r="8" spans="1:36" x14ac:dyDescent="0.25">
      <c r="B8">
        <f>gescon_infosparticip!A7</f>
        <v>-1735727011</v>
      </c>
      <c r="C8">
        <f>gescon_infosparticip!B7</f>
        <v>37861.393576388902</v>
      </c>
      <c r="D8">
        <f>gescon_infosparticip!C7</f>
        <v>0</v>
      </c>
      <c r="E8">
        <f>gescon_infosparticip!D7</f>
        <v>0</v>
      </c>
      <c r="F8">
        <f>gescon_infosparticip!E7</f>
        <v>0</v>
      </c>
      <c r="G8">
        <f>gescon_infosparticip!F7</f>
        <v>0</v>
      </c>
      <c r="H8">
        <f>gescon_infosparticip!G7</f>
        <v>0</v>
      </c>
      <c r="I8" t="str">
        <f>gescon_infosparticip!H7</f>
        <v/>
      </c>
      <c r="J8">
        <f>IF(gescon_infosparticip!I7=FALSE,0,1)</f>
        <v>0</v>
      </c>
      <c r="K8">
        <f>IF(gescon_infosparticip!J7=FALSE,0,1)</f>
        <v>0</v>
      </c>
      <c r="L8">
        <f>IF(gescon_infosparticip!K7=FALSE,0,1)</f>
        <v>0</v>
      </c>
      <c r="M8">
        <f>IF(gescon_infosparticip!L7=FALSE,0,1)</f>
        <v>0</v>
      </c>
      <c r="N8">
        <f>IF(gescon_infosparticip!M7=FALSE,0,1)</f>
        <v>0</v>
      </c>
      <c r="O8">
        <f>IF(gescon_infosparticip!N7=FALSE,0,1)</f>
        <v>0</v>
      </c>
      <c r="P8">
        <f>IF(gescon_infosparticip!O7=FALSE,0,1)</f>
        <v>0</v>
      </c>
      <c r="Q8">
        <f>IF(gescon_infosparticip!P7=FALSE,0,1)</f>
        <v>0</v>
      </c>
      <c r="R8">
        <f>IF(gescon_infosparticip!Q7=FALSE,0,1)</f>
        <v>0</v>
      </c>
      <c r="S8" t="str">
        <f>gescon_infosparticip!R7</f>
        <v/>
      </c>
      <c r="T8" t="str">
        <f>gescon_infosparticip!V7</f>
        <v/>
      </c>
      <c r="U8" t="str">
        <f>gescon_infosparticip!S7</f>
        <v>Il sait nager, il faut être à côté</v>
      </c>
      <c r="V8">
        <f>IF(gescon_infosparticip!U7=FALSE,0,1)</f>
        <v>0</v>
      </c>
      <c r="W8">
        <f>IF(gescon_infosparticip!T7=FALSE,0,1)</f>
        <v>0</v>
      </c>
      <c r="X8" t="str">
        <f>gescon_infosparticip!W7</f>
        <v/>
      </c>
      <c r="Y8">
        <f>IF(gescon_infosparticip!X7=FALSE,0,1)</f>
        <v>0</v>
      </c>
      <c r="Z8">
        <f>IF(gescon_infosparticip!Y7=FALSE,0,1)</f>
        <v>0</v>
      </c>
      <c r="AA8">
        <f>IF(gescon_infosparticip!Z7=FALSE,0,1)</f>
        <v>0</v>
      </c>
      <c r="AB8">
        <f>IF(gescon_infosparticip!AA7=FALSE,0,1)</f>
        <v>0</v>
      </c>
      <c r="AC8" t="str">
        <f>gescon_infosparticip!AB7</f>
        <v>oral</v>
      </c>
      <c r="AD8" t="str">
        <f>gescon_infosparticip!AC7</f>
        <v/>
      </c>
      <c r="AE8" t="str">
        <f>gescon_infosparticip!AD7</f>
        <v/>
      </c>
      <c r="AF8" t="str">
        <f>gescon_infosparticip!AE7</f>
        <v/>
      </c>
      <c r="AG8" t="str">
        <f>gescon_infosparticip!AF7</f>
        <v/>
      </c>
      <c r="AH8" t="str">
        <f>gescon_infosparticip!AG7</f>
        <v/>
      </c>
      <c r="AI8" t="str">
        <f>gescon_infosparticip!BN7</f>
        <v/>
      </c>
      <c r="AJ8" t="str">
        <f>gescon_infosparticip!BO7</f>
        <v/>
      </c>
    </row>
    <row r="9" spans="1:36" x14ac:dyDescent="0.25">
      <c r="B9">
        <f>gescon_infosparticip!A8</f>
        <v>-1690129297</v>
      </c>
      <c r="C9">
        <f>gescon_infosparticip!B8</f>
        <v>37858.563287037003</v>
      </c>
      <c r="D9">
        <f>gescon_infosparticip!C8</f>
        <v>1007640806</v>
      </c>
      <c r="E9">
        <f>gescon_infosparticip!D8</f>
        <v>2210</v>
      </c>
      <c r="F9">
        <f>gescon_infosparticip!E8</f>
        <v>0</v>
      </c>
      <c r="G9">
        <f>gescon_infosparticip!F8</f>
        <v>0</v>
      </c>
      <c r="H9">
        <f>gescon_infosparticip!G8</f>
        <v>0</v>
      </c>
      <c r="I9" t="str">
        <f>gescon_infosparticip!H8</f>
        <v/>
      </c>
      <c r="J9">
        <f>IF(gescon_infosparticip!I8=FALSE,0,1)</f>
        <v>0</v>
      </c>
      <c r="K9">
        <f>IF(gescon_infosparticip!J8=FALSE,0,1)</f>
        <v>0</v>
      </c>
      <c r="L9">
        <f>IF(gescon_infosparticip!K8=FALSE,0,1)</f>
        <v>0</v>
      </c>
      <c r="M9">
        <f>IF(gescon_infosparticip!L8=FALSE,0,1)</f>
        <v>0</v>
      </c>
      <c r="N9">
        <f>IF(gescon_infosparticip!M8=FALSE,0,1)</f>
        <v>0</v>
      </c>
      <c r="O9">
        <f>IF(gescon_infosparticip!N8=FALSE,0,1)</f>
        <v>0</v>
      </c>
      <c r="P9">
        <f>IF(gescon_infosparticip!O8=FALSE,0,1)</f>
        <v>0</v>
      </c>
      <c r="Q9">
        <f>IF(gescon_infosparticip!P8=FALSE,0,1)</f>
        <v>0</v>
      </c>
      <c r="R9">
        <f>IF(gescon_infosparticip!Q8=FALSE,0,1)</f>
        <v>0</v>
      </c>
      <c r="S9" t="str">
        <f>gescon_infosparticip!R8</f>
        <v/>
      </c>
      <c r="T9" t="str">
        <f>gescon_infosparticip!V8</f>
        <v/>
      </c>
      <c r="U9" t="str">
        <f>gescon_infosparticip!S8</f>
        <v>Patrice a besoin de l’aide d’un adulte.</v>
      </c>
      <c r="V9">
        <f>IF(gescon_infosparticip!U8=FALSE,0,1)</f>
        <v>1</v>
      </c>
      <c r="W9">
        <f>IF(gescon_infosparticip!T8=FALSE,0,1)</f>
        <v>0</v>
      </c>
      <c r="X9" t="str">
        <f>gescon_infosparticip!W8</f>
        <v/>
      </c>
      <c r="Y9">
        <f>IF(gescon_infosparticip!X8=FALSE,0,1)</f>
        <v>0</v>
      </c>
      <c r="Z9">
        <f>IF(gescon_infosparticip!Y8=FALSE,0,1)</f>
        <v>0</v>
      </c>
      <c r="AA9">
        <f>IF(gescon_infosparticip!Z8=FALSE,0,1)</f>
        <v>0</v>
      </c>
      <c r="AB9">
        <f>IF(gescon_infosparticip!AA8=FALSE,0,1)</f>
        <v>0</v>
      </c>
      <c r="AC9" t="str">
        <f>gescon_infosparticip!AB8</f>
        <v>oral, mais avec difficulté. Il faut lui poser des questions pour qu’il participe à la conversation.</v>
      </c>
      <c r="AD9" t="str">
        <f>gescon_infosparticip!AC8</f>
        <v>Patrice aime les animaux, la musique, les magazines et regarder la télévision. Il a depuis une année un neveu qu’il aime beaucoup. Sa deuxième sœur dirige une société d’accordéoniste. Son papa est passionné de pétanque.</v>
      </c>
      <c r="AE9" t="str">
        <f>gescon_infosparticip!AD8</f>
        <v/>
      </c>
      <c r="AF9" t="str">
        <f>gescon_infosparticip!AE8</f>
        <v/>
      </c>
      <c r="AG9" t="str">
        <f>gescon_infosparticip!AF8</f>
        <v/>
      </c>
      <c r="AH9" t="str">
        <f>gescon_infosparticip!AG8</f>
        <v/>
      </c>
      <c r="AI9" t="str">
        <f>gescon_infosparticip!BN8</f>
        <v/>
      </c>
      <c r="AJ9" t="str">
        <f>gescon_infosparticip!BO8</f>
        <v/>
      </c>
    </row>
    <row r="10" spans="1:36" x14ac:dyDescent="0.25">
      <c r="B10">
        <f>gescon_infosparticip!A9</f>
        <v>-1579856298</v>
      </c>
      <c r="C10">
        <f>gescon_infosparticip!B9</f>
        <v>38154.441030092603</v>
      </c>
      <c r="D10">
        <f>gescon_infosparticip!C9</f>
        <v>0</v>
      </c>
      <c r="E10">
        <f>gescon_infosparticip!D9</f>
        <v>0</v>
      </c>
      <c r="F10">
        <f>gescon_infosparticip!E9</f>
        <v>0</v>
      </c>
      <c r="G10">
        <f>gescon_infosparticip!F9</f>
        <v>0</v>
      </c>
      <c r="H10">
        <f>gescon_infosparticip!G9</f>
        <v>0</v>
      </c>
      <c r="I10" t="str">
        <f>gescon_infosparticip!H9</f>
        <v/>
      </c>
      <c r="J10">
        <f>IF(gescon_infosparticip!I9=FALSE,0,1)</f>
        <v>0</v>
      </c>
      <c r="K10">
        <f>IF(gescon_infosparticip!J9=FALSE,0,1)</f>
        <v>0</v>
      </c>
      <c r="L10">
        <f>IF(gescon_infosparticip!K9=FALSE,0,1)</f>
        <v>0</v>
      </c>
      <c r="M10">
        <f>IF(gescon_infosparticip!L9=FALSE,0,1)</f>
        <v>0</v>
      </c>
      <c r="N10">
        <f>IF(gescon_infosparticip!M9=FALSE,0,1)</f>
        <v>0</v>
      </c>
      <c r="O10">
        <f>IF(gescon_infosparticip!N9=FALSE,0,1)</f>
        <v>0</v>
      </c>
      <c r="P10">
        <f>IF(gescon_infosparticip!O9=FALSE,0,1)</f>
        <v>0</v>
      </c>
      <c r="Q10">
        <f>IF(gescon_infosparticip!P9=FALSE,0,1)</f>
        <v>0</v>
      </c>
      <c r="R10">
        <f>IF(gescon_infosparticip!Q9=FALSE,0,1)</f>
        <v>0</v>
      </c>
      <c r="S10" t="str">
        <f>gescon_infosparticip!R9</f>
        <v/>
      </c>
      <c r="T10" t="str">
        <f>gescon_infosparticip!V9</f>
        <v/>
      </c>
      <c r="U10" t="str">
        <f>gescon_infosparticip!S9</f>
        <v/>
      </c>
      <c r="V10">
        <f>IF(gescon_infosparticip!U9=FALSE,0,1)</f>
        <v>0</v>
      </c>
      <c r="W10">
        <f>IF(gescon_infosparticip!T9=FALSE,0,1)</f>
        <v>0</v>
      </c>
      <c r="X10" t="str">
        <f>gescon_infosparticip!W9</f>
        <v/>
      </c>
      <c r="Y10">
        <f>IF(gescon_infosparticip!X9=FALSE,0,1)</f>
        <v>0</v>
      </c>
      <c r="Z10">
        <f>IF(gescon_infosparticip!Y9=FALSE,0,1)</f>
        <v>0</v>
      </c>
      <c r="AA10">
        <f>IF(gescon_infosparticip!Z9=FALSE,0,1)</f>
        <v>0</v>
      </c>
      <c r="AB10">
        <f>IF(gescon_infosparticip!AA9=FALSE,0,1)</f>
        <v>0</v>
      </c>
      <c r="AC10" t="str">
        <f>gescon_infosparticip!AB9</f>
        <v/>
      </c>
      <c r="AD10" t="str">
        <f>gescon_infosparticip!AC9</f>
        <v/>
      </c>
      <c r="AE10" t="str">
        <f>gescon_infosparticip!AD9</f>
        <v/>
      </c>
      <c r="AF10" t="str">
        <f>gescon_infosparticip!AE9</f>
        <v/>
      </c>
      <c r="AG10" t="str">
        <f>gescon_infosparticip!AF9</f>
        <v/>
      </c>
      <c r="AH10" t="str">
        <f>gescon_infosparticip!AG9</f>
        <v/>
      </c>
      <c r="AI10" t="str">
        <f>gescon_infosparticip!BN9</f>
        <v/>
      </c>
      <c r="AJ10" t="str">
        <f>gescon_infosparticip!BO9</f>
        <v/>
      </c>
    </row>
    <row r="11" spans="1:36" x14ac:dyDescent="0.25">
      <c r="B11">
        <f>gescon_infosparticip!A10</f>
        <v>-1475569285</v>
      </c>
      <c r="C11">
        <f>gescon_infosparticip!B10</f>
        <v>42405</v>
      </c>
      <c r="D11">
        <f>gescon_infosparticip!C10</f>
        <v>2146188951</v>
      </c>
      <c r="E11">
        <f>gescon_infosparticip!D10</f>
        <v>0</v>
      </c>
      <c r="F11">
        <f>gescon_infosparticip!E10</f>
        <v>0</v>
      </c>
      <c r="G11">
        <f>gescon_infosparticip!F10</f>
        <v>2146189395</v>
      </c>
      <c r="H11">
        <f>gescon_infosparticip!G10</f>
        <v>2146188951</v>
      </c>
      <c r="I11" t="str">
        <f>gescon_infosparticip!H10</f>
        <v/>
      </c>
      <c r="J11">
        <f>IF(gescon_infosparticip!I10=FALSE,0,1)</f>
        <v>0</v>
      </c>
      <c r="K11">
        <f>IF(gescon_infosparticip!J10=FALSE,0,1)</f>
        <v>1</v>
      </c>
      <c r="L11">
        <f>IF(gescon_infosparticip!K10=FALSE,0,1)</f>
        <v>0</v>
      </c>
      <c r="M11">
        <f>IF(gescon_infosparticip!L10=FALSE,0,1)</f>
        <v>1</v>
      </c>
      <c r="N11">
        <f>IF(gescon_infosparticip!M10=FALSE,0,1)</f>
        <v>1</v>
      </c>
      <c r="O11">
        <f>IF(gescon_infosparticip!N10=FALSE,0,1)</f>
        <v>0</v>
      </c>
      <c r="P11">
        <f>IF(gescon_infosparticip!O10=FALSE,0,1)</f>
        <v>0</v>
      </c>
      <c r="Q11">
        <f>IF(gescon_infosparticip!P10=FALSE,0,1)</f>
        <v>0</v>
      </c>
      <c r="R11">
        <f>IF(gescon_infosparticip!Q10=FALSE,0,1)</f>
        <v>0</v>
      </c>
      <c r="S11" t="str">
        <f>gescon_infosparticip!R10</f>
        <v>Il supporte les longs trajets et se déplace seul.</v>
      </c>
      <c r="T11" t="str">
        <f>gescon_infosparticip!V10</f>
        <v>Il faut l'aider à choisir ses vêtements en fonction du temps.</v>
      </c>
      <c r="U11" t="str">
        <f>gescon_infosparticip!S10</f>
        <v>Il nage seul, sans manchon. Il n'a pas peur de l'eau.</v>
      </c>
      <c r="V11">
        <f>IF(gescon_infosparticip!U10=FALSE,0,1)</f>
        <v>1</v>
      </c>
      <c r="W11">
        <f>IF(gescon_infosparticip!T10=FALSE,0,1)</f>
        <v>0</v>
      </c>
      <c r="X11" t="str">
        <f>gescon_infosparticip!W10</f>
        <v>Il dort beaucoup, de plus en plus. Il n'a pas d'horaires particuliers.</v>
      </c>
      <c r="Y11">
        <f>IF(gescon_infosparticip!X10=FALSE,0,1)</f>
        <v>0</v>
      </c>
      <c r="Z11">
        <f>IF(gescon_infosparticip!Y10=FALSE,0,1)</f>
        <v>0</v>
      </c>
      <c r="AA11">
        <f>IF(gescon_infosparticip!Z10=FALSE,0,1)</f>
        <v>0</v>
      </c>
      <c r="AB11">
        <f>IF(gescon_infosparticip!AA10=FALSE,0,1)</f>
        <v>0</v>
      </c>
      <c r="AC11" t="str">
        <f>gescon_infosparticip!AB10</f>
        <v>Langage verbal avec des gestes.</v>
      </c>
      <c r="AD11" t="str">
        <f>gescon_infosparticip!AC10</f>
        <v>Il n'a plus que sa maman et l'ami de celle-ci.</v>
      </c>
      <c r="AE11" t="str">
        <f>gescon_infosparticip!AD10</f>
        <v>décédés</v>
      </c>
      <c r="AF11" t="str">
        <f>gescon_infosparticip!AE10</f>
        <v/>
      </c>
      <c r="AG11" t="str">
        <f>gescon_infosparticip!AF10</f>
        <v>Avec sa maman et l'ami de celle-ci, ils vont à vélo, au camping, nager, voir des matchs de foot, manger au restaurant, danser, ect. Il a des cousins et cousines mais ne les voit jamais, seul Fritz Karafiat l'amène faire des raquettes parfois l'hiver. Il aime les activités de groupe, est très sociable mains ne parle pas beaucoup. Il aime le cinéma et le foot, les trains à la gare, les avions à l'aéroport, mais surtout voir des gens ! S'il va au ciné, il ne comprend pas le film, c'est juste pour sortir. Attention, quand il voit des jeux de cartes, il les pique pour s'amuser avec. Il aime les avions et les trains.</v>
      </c>
      <c r="AH11" t="str">
        <f>gescon_infosparticip!AG10</f>
        <v>Aucune, il est agréable et facile à vivre.</v>
      </c>
      <c r="AI11" t="str">
        <f>gescon_infosparticip!BN10</f>
        <v/>
      </c>
      <c r="AJ11" t="str">
        <f>gescon_infosparticip!BO10</f>
        <v/>
      </c>
    </row>
    <row r="12" spans="1:36" x14ac:dyDescent="0.25">
      <c r="B12">
        <f>gescon_infosparticip!A11</f>
        <v>-1435346384</v>
      </c>
      <c r="C12">
        <f>gescon_infosparticip!B11</f>
        <v>42886</v>
      </c>
      <c r="D12">
        <f>gescon_infosparticip!C11</f>
        <v>0</v>
      </c>
      <c r="E12">
        <f>gescon_infosparticip!D11</f>
        <v>0</v>
      </c>
      <c r="F12">
        <f>gescon_infosparticip!E11</f>
        <v>0</v>
      </c>
      <c r="G12">
        <f>gescon_infosparticip!F11</f>
        <v>0</v>
      </c>
      <c r="H12">
        <f>gescon_infosparticip!G11</f>
        <v>0</v>
      </c>
      <c r="I12" t="str">
        <f>gescon_infosparticip!H11</f>
        <v/>
      </c>
      <c r="J12">
        <f>IF(gescon_infosparticip!I11=FALSE,0,1)</f>
        <v>0</v>
      </c>
      <c r="K12">
        <f>IF(gescon_infosparticip!J11=FALSE,0,1)</f>
        <v>0</v>
      </c>
      <c r="L12">
        <f>IF(gescon_infosparticip!K11=FALSE,0,1)</f>
        <v>0</v>
      </c>
      <c r="M12">
        <f>IF(gescon_infosparticip!L11=FALSE,0,1)</f>
        <v>0</v>
      </c>
      <c r="N12">
        <f>IF(gescon_infosparticip!M11=FALSE,0,1)</f>
        <v>0</v>
      </c>
      <c r="O12">
        <f>IF(gescon_infosparticip!N11=FALSE,0,1)</f>
        <v>0</v>
      </c>
      <c r="P12">
        <f>IF(gescon_infosparticip!O11=FALSE,0,1)</f>
        <v>0</v>
      </c>
      <c r="Q12">
        <f>IF(gescon_infosparticip!P11=FALSE,0,1)</f>
        <v>0</v>
      </c>
      <c r="R12">
        <f>IF(gescon_infosparticip!Q11=FALSE,0,1)</f>
        <v>0</v>
      </c>
      <c r="S12" t="str">
        <f>gescon_infosparticip!R11</f>
        <v/>
      </c>
      <c r="T12" t="str">
        <f>gescon_infosparticip!V11</f>
        <v/>
      </c>
      <c r="U12" t="str">
        <f>gescon_infosparticip!S11</f>
        <v/>
      </c>
      <c r="V12">
        <f>IF(gescon_infosparticip!U11=FALSE,0,1)</f>
        <v>0</v>
      </c>
      <c r="W12">
        <f>IF(gescon_infosparticip!T11=FALSE,0,1)</f>
        <v>0</v>
      </c>
      <c r="X12" t="str">
        <f>gescon_infosparticip!W11</f>
        <v/>
      </c>
      <c r="Y12">
        <f>IF(gescon_infosparticip!X11=FALSE,0,1)</f>
        <v>0</v>
      </c>
      <c r="Z12">
        <f>IF(gescon_infosparticip!Y11=FALSE,0,1)</f>
        <v>0</v>
      </c>
      <c r="AA12">
        <f>IF(gescon_infosparticip!Z11=FALSE,0,1)</f>
        <v>0</v>
      </c>
      <c r="AB12">
        <f>IF(gescon_infosparticip!AA11=FALSE,0,1)</f>
        <v>0</v>
      </c>
      <c r="AC12" t="str">
        <f>gescon_infosparticip!AB11</f>
        <v/>
      </c>
      <c r="AD12" t="str">
        <f>gescon_infosparticip!AC11</f>
        <v/>
      </c>
      <c r="AE12" t="str">
        <f>gescon_infosparticip!AD11</f>
        <v/>
      </c>
      <c r="AF12" t="str">
        <f>gescon_infosparticip!AE11</f>
        <v/>
      </c>
      <c r="AG12" t="str">
        <f>gescon_infosparticip!AF11</f>
        <v/>
      </c>
      <c r="AH12" t="str">
        <f>gescon_infosparticip!AG11</f>
        <v/>
      </c>
      <c r="AI12" t="str">
        <f>gescon_infosparticip!BN11</f>
        <v/>
      </c>
      <c r="AJ12" t="str">
        <f>gescon_infosparticip!BO11</f>
        <v/>
      </c>
    </row>
    <row r="13" spans="1:36" x14ac:dyDescent="0.25">
      <c r="B13">
        <f>gescon_infosparticip!A12</f>
        <v>-1354980006</v>
      </c>
      <c r="C13">
        <f>gescon_infosparticip!B12</f>
        <v>42885</v>
      </c>
      <c r="D13">
        <f>gescon_infosparticip!C12</f>
        <v>-362773667</v>
      </c>
      <c r="E13">
        <f>gescon_infosparticip!D12</f>
        <v>0</v>
      </c>
      <c r="F13">
        <f>gescon_infosparticip!E12</f>
        <v>0</v>
      </c>
      <c r="G13">
        <f>gescon_infosparticip!F12</f>
        <v>67</v>
      </c>
      <c r="H13">
        <f>gescon_infosparticip!G12</f>
        <v>0</v>
      </c>
      <c r="I13" t="str">
        <f>gescon_infosparticip!H12</f>
        <v/>
      </c>
      <c r="J13">
        <f>IF(gescon_infosparticip!I12=FALSE,0,1)</f>
        <v>0</v>
      </c>
      <c r="K13">
        <f>IF(gescon_infosparticip!J12=FALSE,0,1)</f>
        <v>1</v>
      </c>
      <c r="L13">
        <f>IF(gescon_infosparticip!K12=FALSE,0,1)</f>
        <v>1</v>
      </c>
      <c r="M13">
        <f>IF(gescon_infosparticip!L12=FALSE,0,1)</f>
        <v>1</v>
      </c>
      <c r="N13">
        <f>IF(gescon_infosparticip!M12=FALSE,0,1)</f>
        <v>0</v>
      </c>
      <c r="O13">
        <f>IF(gescon_infosparticip!N12=FALSE,0,1)</f>
        <v>0</v>
      </c>
      <c r="P13">
        <f>IF(gescon_infosparticip!O12=FALSE,0,1)</f>
        <v>0</v>
      </c>
      <c r="Q13">
        <f>IF(gescon_infosparticip!P12=FALSE,0,1)</f>
        <v>1</v>
      </c>
      <c r="R13">
        <f>IF(gescon_infosparticip!Q12=FALSE,0,1)</f>
        <v>0</v>
      </c>
      <c r="S13" t="str">
        <f>gescon_infosparticip!R12</f>
        <v>Elle supporte les trajets en bus.</v>
      </c>
      <c r="T13" t="str">
        <f>gescon_infosparticip!V12</f>
        <v>aide complète, elle aime être propre et être lavée.</v>
      </c>
      <c r="U13" t="str">
        <f>gescon_infosparticip!S12</f>
        <v>Elle aime l'eau, elle y va avec un gilet et une personne en soutenance.</v>
      </c>
      <c r="V13">
        <f>IF(gescon_infosparticip!U12=FALSE,0,1)</f>
        <v>1</v>
      </c>
      <c r="W13">
        <f>IF(gescon_infosparticip!T12=FALSE,0,1)</f>
        <v>1</v>
      </c>
      <c r="X13" t="str">
        <f>gescon_infosparticip!W12</f>
        <v>Elle dort sur le dos avec  un coussin d’allaitement sous les genoux et un coussin sous la tête selon sa position. Elle apprécie avoir un mobile au dessus de sa tête et des nounours autour d’elle.
Le soir, elle se couche vers  les 20h-21h00. Elle a besoin de temps pour s’endormir et parfois, après avoir mis la sonde, il est nécessaire de la changée. Si non, elle a un bon sommeil. La nuit à vérifier son lange env. 1/ 2heure après l’application de la sonde.</v>
      </c>
      <c r="Y13">
        <f>IF(gescon_infosparticip!X12=FALSE,0,1)</f>
        <v>0</v>
      </c>
      <c r="Z13">
        <f>IF(gescon_infosparticip!Y12=FALSE,0,1)</f>
        <v>0</v>
      </c>
      <c r="AA13">
        <f>IF(gescon_infosparticip!Z12=FALSE,0,1)</f>
        <v>0</v>
      </c>
      <c r="AB13">
        <f>IF(gescon_infosparticip!AA12=FALSE,0,1)</f>
        <v>1</v>
      </c>
      <c r="AC13" t="str">
        <f>gescon_infosparticip!AB12</f>
        <v>Elle n’a pas une communication verbale mais Cloé communique avec des petits cris. L’intonation varie selon son humeur. (Contente, dérangée, douleur, etc.). Cloé ne peut pas se positionner dans le « oui » ou le « non ».</v>
      </c>
      <c r="AD13" t="str">
        <f>gescon_infosparticip!AC12</f>
        <v/>
      </c>
      <c r="AE13" t="str">
        <f>gescon_infosparticip!AD12</f>
        <v>Cloé a des frères (Léandre de 2005, Joaquim de 2002).</v>
      </c>
      <c r="AF13" t="str">
        <f>gescon_infosparticip!AE12</f>
        <v/>
      </c>
      <c r="AG13" t="str">
        <f>gescon_infosparticip!AF12</f>
        <v>Elle aime sortir et faire des balades. Elle apprécie rester dans son lit et jouer avec des mobiles poser au dessus de sa tête.</v>
      </c>
      <c r="AH13" t="str">
        <f>gescon_infosparticip!AG12</f>
        <v/>
      </c>
      <c r="AI13" t="str">
        <f>gescon_infosparticip!BN12</f>
        <v>Sur le dos avec un coussin d'allaitement sous les genoux et un coussin sous la tête selon sa position. Elle est souvent couchle sur le dos. Pas de changement de position la nuit.</v>
      </c>
      <c r="AJ13" t="str">
        <f>gescon_infosparticip!BO12</f>
        <v>Chaque 4 heures</v>
      </c>
    </row>
    <row r="14" spans="1:36" x14ac:dyDescent="0.25">
      <c r="B14">
        <f>gescon_infosparticip!A13</f>
        <v>-1336383801</v>
      </c>
      <c r="C14">
        <f>gescon_infosparticip!B13</f>
        <v>41430</v>
      </c>
      <c r="D14">
        <f>gescon_infosparticip!C13</f>
        <v>0</v>
      </c>
      <c r="E14">
        <f>gescon_infosparticip!D13</f>
        <v>0</v>
      </c>
      <c r="F14">
        <f>gescon_infosparticip!E13</f>
        <v>0</v>
      </c>
      <c r="G14">
        <f>gescon_infosparticip!F13</f>
        <v>0</v>
      </c>
      <c r="H14">
        <f>gescon_infosparticip!G13</f>
        <v>0</v>
      </c>
      <c r="I14" t="str">
        <f>gescon_infosparticip!H13</f>
        <v/>
      </c>
      <c r="J14">
        <f>IF(gescon_infosparticip!I13=FALSE,0,1)</f>
        <v>0</v>
      </c>
      <c r="K14">
        <f>IF(gescon_infosparticip!J13=FALSE,0,1)</f>
        <v>0</v>
      </c>
      <c r="L14">
        <f>IF(gescon_infosparticip!K13=FALSE,0,1)</f>
        <v>0</v>
      </c>
      <c r="M14">
        <f>IF(gescon_infosparticip!L13=FALSE,0,1)</f>
        <v>0</v>
      </c>
      <c r="N14">
        <f>IF(gescon_infosparticip!M13=FALSE,0,1)</f>
        <v>0</v>
      </c>
      <c r="O14">
        <f>IF(gescon_infosparticip!N13=FALSE,0,1)</f>
        <v>0</v>
      </c>
      <c r="P14">
        <f>IF(gescon_infosparticip!O13=FALSE,0,1)</f>
        <v>0</v>
      </c>
      <c r="Q14">
        <f>IF(gescon_infosparticip!P13=FALSE,0,1)</f>
        <v>0</v>
      </c>
      <c r="R14">
        <f>IF(gescon_infosparticip!Q13=FALSE,0,1)</f>
        <v>0</v>
      </c>
      <c r="S14" t="str">
        <f>gescon_infosparticip!R13</f>
        <v/>
      </c>
      <c r="T14" t="str">
        <f>gescon_infosparticip!V13</f>
        <v/>
      </c>
      <c r="U14" t="str">
        <f>gescon_infosparticip!S13</f>
        <v/>
      </c>
      <c r="V14">
        <f>IF(gescon_infosparticip!U13=FALSE,0,1)</f>
        <v>0</v>
      </c>
      <c r="W14">
        <f>IF(gescon_infosparticip!T13=FALSE,0,1)</f>
        <v>0</v>
      </c>
      <c r="X14" t="str">
        <f>gescon_infosparticip!W13</f>
        <v/>
      </c>
      <c r="Y14">
        <f>IF(gescon_infosparticip!X13=FALSE,0,1)</f>
        <v>0</v>
      </c>
      <c r="Z14">
        <f>IF(gescon_infosparticip!Y13=FALSE,0,1)</f>
        <v>0</v>
      </c>
      <c r="AA14">
        <f>IF(gescon_infosparticip!Z13=FALSE,0,1)</f>
        <v>0</v>
      </c>
      <c r="AB14">
        <f>IF(gescon_infosparticip!AA13=FALSE,0,1)</f>
        <v>0</v>
      </c>
      <c r="AC14" t="str">
        <f>gescon_infosparticip!AB13</f>
        <v/>
      </c>
      <c r="AD14" t="str">
        <f>gescon_infosparticip!AC13</f>
        <v/>
      </c>
      <c r="AE14" t="str">
        <f>gescon_infosparticip!AD13</f>
        <v/>
      </c>
      <c r="AF14" t="str">
        <f>gescon_infosparticip!AE13</f>
        <v/>
      </c>
      <c r="AG14" t="str">
        <f>gescon_infosparticip!AF13</f>
        <v/>
      </c>
      <c r="AH14" t="str">
        <f>gescon_infosparticip!AG13</f>
        <v/>
      </c>
      <c r="AI14" t="str">
        <f>gescon_infosparticip!BN13</f>
        <v/>
      </c>
      <c r="AJ14" t="str">
        <f>gescon_infosparticip!BO13</f>
        <v/>
      </c>
    </row>
    <row r="15" spans="1:36" x14ac:dyDescent="0.25">
      <c r="B15">
        <f>gescon_infosparticip!A14</f>
        <v>-1226171744</v>
      </c>
      <c r="C15">
        <f>gescon_infosparticip!B14</f>
        <v>42941</v>
      </c>
      <c r="D15">
        <f>gescon_infosparticip!C14</f>
        <v>0</v>
      </c>
      <c r="E15">
        <f>gescon_infosparticip!D14</f>
        <v>0</v>
      </c>
      <c r="F15">
        <f>gescon_infosparticip!E14</f>
        <v>0</v>
      </c>
      <c r="G15">
        <f>gescon_infosparticip!F14</f>
        <v>0</v>
      </c>
      <c r="H15">
        <f>gescon_infosparticip!G14</f>
        <v>0</v>
      </c>
      <c r="I15" t="str">
        <f>gescon_infosparticip!H14</f>
        <v/>
      </c>
      <c r="J15">
        <f>IF(gescon_infosparticip!I14=FALSE,0,1)</f>
        <v>0</v>
      </c>
      <c r="K15">
        <f>IF(gescon_infosparticip!J14=FALSE,0,1)</f>
        <v>0</v>
      </c>
      <c r="L15">
        <f>IF(gescon_infosparticip!K14=FALSE,0,1)</f>
        <v>0</v>
      </c>
      <c r="M15">
        <f>IF(gescon_infosparticip!L14=FALSE,0,1)</f>
        <v>0</v>
      </c>
      <c r="N15">
        <f>IF(gescon_infosparticip!M14=FALSE,0,1)</f>
        <v>0</v>
      </c>
      <c r="O15">
        <f>IF(gescon_infosparticip!N14=FALSE,0,1)</f>
        <v>0</v>
      </c>
      <c r="P15">
        <f>IF(gescon_infosparticip!O14=FALSE,0,1)</f>
        <v>0</v>
      </c>
      <c r="Q15">
        <f>IF(gescon_infosparticip!P14=FALSE,0,1)</f>
        <v>0</v>
      </c>
      <c r="R15">
        <f>IF(gescon_infosparticip!Q14=FALSE,0,1)</f>
        <v>0</v>
      </c>
      <c r="S15" t="str">
        <f>gescon_infosparticip!R14</f>
        <v/>
      </c>
      <c r="T15" t="str">
        <f>gescon_infosparticip!V14</f>
        <v/>
      </c>
      <c r="U15" t="str">
        <f>gescon_infosparticip!S14</f>
        <v/>
      </c>
      <c r="V15">
        <f>IF(gescon_infosparticip!U14=FALSE,0,1)</f>
        <v>0</v>
      </c>
      <c r="W15">
        <f>IF(gescon_infosparticip!T14=FALSE,0,1)</f>
        <v>0</v>
      </c>
      <c r="X15" t="str">
        <f>gescon_infosparticip!W14</f>
        <v/>
      </c>
      <c r="Y15">
        <f>IF(gescon_infosparticip!X14=FALSE,0,1)</f>
        <v>0</v>
      </c>
      <c r="Z15">
        <f>IF(gescon_infosparticip!Y14=FALSE,0,1)</f>
        <v>0</v>
      </c>
      <c r="AA15">
        <f>IF(gescon_infosparticip!Z14=FALSE,0,1)</f>
        <v>0</v>
      </c>
      <c r="AB15">
        <f>IF(gescon_infosparticip!AA14=FALSE,0,1)</f>
        <v>0</v>
      </c>
      <c r="AC15" t="str">
        <f>gescon_infosparticip!AB14</f>
        <v/>
      </c>
      <c r="AD15" t="str">
        <f>gescon_infosparticip!AC14</f>
        <v/>
      </c>
      <c r="AE15" t="str">
        <f>gescon_infosparticip!AD14</f>
        <v/>
      </c>
      <c r="AF15" t="str">
        <f>gescon_infosparticip!AE14</f>
        <v/>
      </c>
      <c r="AG15" t="str">
        <f>gescon_infosparticip!AF14</f>
        <v/>
      </c>
      <c r="AH15" t="str">
        <f>gescon_infosparticip!AG14</f>
        <v/>
      </c>
      <c r="AI15" t="str">
        <f>gescon_infosparticip!BN14</f>
        <v/>
      </c>
      <c r="AJ15" t="str">
        <f>gescon_infosparticip!BO14</f>
        <v/>
      </c>
    </row>
    <row r="16" spans="1:36" x14ac:dyDescent="0.25">
      <c r="B16">
        <f>gescon_infosparticip!A15</f>
        <v>-1213086902</v>
      </c>
      <c r="C16">
        <f>gescon_infosparticip!B15</f>
        <v>41058</v>
      </c>
      <c r="D16">
        <f>gescon_infosparticip!C15</f>
        <v>0</v>
      </c>
      <c r="E16">
        <f>gescon_infosparticip!D15</f>
        <v>0</v>
      </c>
      <c r="F16">
        <f>gescon_infosparticip!E15</f>
        <v>0</v>
      </c>
      <c r="G16">
        <f>gescon_infosparticip!F15</f>
        <v>0</v>
      </c>
      <c r="H16">
        <f>gescon_infosparticip!G15</f>
        <v>0</v>
      </c>
      <c r="I16" t="str">
        <f>gescon_infosparticip!H15</f>
        <v/>
      </c>
      <c r="J16">
        <f>IF(gescon_infosparticip!I15=FALSE,0,1)</f>
        <v>0</v>
      </c>
      <c r="K16">
        <f>IF(gescon_infosparticip!J15=FALSE,0,1)</f>
        <v>0</v>
      </c>
      <c r="L16">
        <f>IF(gescon_infosparticip!K15=FALSE,0,1)</f>
        <v>0</v>
      </c>
      <c r="M16">
        <f>IF(gescon_infosparticip!L15=FALSE,0,1)</f>
        <v>0</v>
      </c>
      <c r="N16">
        <f>IF(gescon_infosparticip!M15=FALSE,0,1)</f>
        <v>0</v>
      </c>
      <c r="O16">
        <f>IF(gescon_infosparticip!N15=FALSE,0,1)</f>
        <v>0</v>
      </c>
      <c r="P16">
        <f>IF(gescon_infosparticip!O15=FALSE,0,1)</f>
        <v>0</v>
      </c>
      <c r="Q16">
        <f>IF(gescon_infosparticip!P15=FALSE,0,1)</f>
        <v>0</v>
      </c>
      <c r="R16">
        <f>IF(gescon_infosparticip!Q15=FALSE,0,1)</f>
        <v>0</v>
      </c>
      <c r="S16" t="str">
        <f>gescon_infosparticip!R15</f>
        <v/>
      </c>
      <c r="T16" t="str">
        <f>gescon_infosparticip!V15</f>
        <v/>
      </c>
      <c r="U16" t="str">
        <f>gescon_infosparticip!S15</f>
        <v/>
      </c>
      <c r="V16">
        <f>IF(gescon_infosparticip!U15=FALSE,0,1)</f>
        <v>0</v>
      </c>
      <c r="W16">
        <f>IF(gescon_infosparticip!T15=FALSE,0,1)</f>
        <v>0</v>
      </c>
      <c r="X16" t="str">
        <f>gescon_infosparticip!W15</f>
        <v/>
      </c>
      <c r="Y16">
        <f>IF(gescon_infosparticip!X15=FALSE,0,1)</f>
        <v>0</v>
      </c>
      <c r="Z16">
        <f>IF(gescon_infosparticip!Y15=FALSE,0,1)</f>
        <v>0</v>
      </c>
      <c r="AA16">
        <f>IF(gescon_infosparticip!Z15=FALSE,0,1)</f>
        <v>0</v>
      </c>
      <c r="AB16">
        <f>IF(gescon_infosparticip!AA15=FALSE,0,1)</f>
        <v>0</v>
      </c>
      <c r="AC16" t="str">
        <f>gescon_infosparticip!AB15</f>
        <v/>
      </c>
      <c r="AD16" t="str">
        <f>gescon_infosparticip!AC15</f>
        <v/>
      </c>
      <c r="AE16" t="str">
        <f>gescon_infosparticip!AD15</f>
        <v/>
      </c>
      <c r="AF16" t="str">
        <f>gescon_infosparticip!AE15</f>
        <v/>
      </c>
      <c r="AG16" t="str">
        <f>gescon_infosparticip!AF15</f>
        <v/>
      </c>
      <c r="AH16" t="str">
        <f>gescon_infosparticip!AG15</f>
        <v/>
      </c>
      <c r="AI16" t="str">
        <f>gescon_infosparticip!BN15</f>
        <v/>
      </c>
      <c r="AJ16" t="str">
        <f>gescon_infosparticip!BO15</f>
        <v/>
      </c>
    </row>
    <row r="17" spans="2:36" x14ac:dyDescent="0.25">
      <c r="B17">
        <f>gescon_infosparticip!A16</f>
        <v>-1120356771</v>
      </c>
      <c r="C17">
        <f>gescon_infosparticip!B16</f>
        <v>42705</v>
      </c>
      <c r="D17">
        <f>gescon_infosparticip!C16</f>
        <v>-1123050406</v>
      </c>
      <c r="E17">
        <f>gescon_infosparticip!D16</f>
        <v>0</v>
      </c>
      <c r="F17">
        <f>gescon_infosparticip!E16</f>
        <v>0</v>
      </c>
      <c r="G17">
        <f>gescon_infosparticip!F16</f>
        <v>1424</v>
      </c>
      <c r="H17">
        <f>gescon_infosparticip!G16</f>
        <v>0</v>
      </c>
      <c r="I17" t="str">
        <f>gescon_infosparticip!H16</f>
        <v/>
      </c>
      <c r="J17">
        <f>IF(gescon_infosparticip!I16=FALSE,0,1)</f>
        <v>0</v>
      </c>
      <c r="K17">
        <f>IF(gescon_infosparticip!J16=FALSE,0,1)</f>
        <v>1</v>
      </c>
      <c r="L17">
        <f>IF(gescon_infosparticip!K16=FALSE,0,1)</f>
        <v>0</v>
      </c>
      <c r="M17">
        <f>IF(gescon_infosparticip!L16=FALSE,0,1)</f>
        <v>1</v>
      </c>
      <c r="N17">
        <f>IF(gescon_infosparticip!M16=FALSE,0,1)</f>
        <v>0</v>
      </c>
      <c r="O17">
        <f>IF(gescon_infosparticip!N16=FALSE,0,1)</f>
        <v>0</v>
      </c>
      <c r="P17">
        <f>IF(gescon_infosparticip!O16=FALSE,0,1)</f>
        <v>0</v>
      </c>
      <c r="Q17">
        <f>IF(gescon_infosparticip!P16=FALSE,0,1)</f>
        <v>1</v>
      </c>
      <c r="R17">
        <f>IF(gescon_infosparticip!Q16=FALSE,0,1)</f>
        <v>0</v>
      </c>
      <c r="S17" t="str">
        <f>gescon_infosparticip!R16</f>
        <v>Il faut lui mettre les anches droites dès qu'on l'installe dans la chaise.
Elle supporte les longs trajets</v>
      </c>
      <c r="T17" t="str">
        <f>gescon_infosparticip!V16</f>
        <v>aide complète</v>
      </c>
      <c r="U17" t="str">
        <f>gescon_infosparticip!S16</f>
        <v>Elle apprécie beaucoup l'eau, aide complète.</v>
      </c>
      <c r="V17">
        <f>IF(gescon_infosparticip!U16=FALSE,0,1)</f>
        <v>1</v>
      </c>
      <c r="W17">
        <f>IF(gescon_infosparticip!T16=FALSE,0,1)</f>
        <v>0</v>
      </c>
      <c r="X17" t="str">
        <f>gescon_infosparticip!W16</f>
        <v>Elle se couche vers les 19h00 et se lève vers 7h30 en général. Durant la nuit changement de position. Elle s’endort sur le dos avec la gouttière. Puis, vers 23h00, la mettre sur le côté gauche, puis sur le côté droit. Si elle est endormie, il n’est pas nécessaire de faire de changement de position.</v>
      </c>
      <c r="Y17">
        <f>IF(gescon_infosparticip!X16=FALSE,0,1)</f>
        <v>0</v>
      </c>
      <c r="Z17">
        <f>IF(gescon_infosparticip!Y16=FALSE,0,1)</f>
        <v>0</v>
      </c>
      <c r="AA17">
        <f>IF(gescon_infosparticip!Z16=FALSE,0,1)</f>
        <v>0</v>
      </c>
      <c r="AB17">
        <f>IF(gescon_infosparticip!AA16=FALSE,0,1)</f>
        <v>1</v>
      </c>
      <c r="AC17" t="str">
        <f>gescon_infosparticip!AB16</f>
        <v>Non verbal, elle communique avec des cris.</v>
      </c>
      <c r="AD17" t="str">
        <f>gescon_infosparticip!AC16</f>
        <v/>
      </c>
      <c r="AE17" t="str">
        <f>gescon_infosparticip!AD16</f>
        <v>Elle a un frère Maxime de 1989 et deux sœurs Blanche et Rose de 2002 qui sont jumelles.</v>
      </c>
      <c r="AF17" t="str">
        <f>gescon_infosparticip!AE16</f>
        <v/>
      </c>
      <c r="AG17" t="str">
        <f>gescon_infosparticip!AF16</f>
        <v>Elle se montre très conviviale lorsqu'elle se retrouve à l'extérieur. Elle apprécie la musique et le rythme. Elle aime tenir des objets dans ses mains et jouer avec, elle apprécie les câlins.</v>
      </c>
      <c r="AH17" t="str">
        <f>gescon_infosparticip!AG16</f>
        <v>Rien à signaler.</v>
      </c>
      <c r="AI17" t="str">
        <f>gescon_infosparticip!BN16</f>
        <v>Elle apprécie être par terre, la mettre sur le dos sur un tapis.</v>
      </c>
      <c r="AJ17" t="str">
        <f>gescon_infosparticip!BO16</f>
        <v/>
      </c>
    </row>
    <row r="18" spans="2:36" x14ac:dyDescent="0.25">
      <c r="B18">
        <f>gescon_infosparticip!A17</f>
        <v>-1100872493</v>
      </c>
      <c r="C18">
        <f>gescon_infosparticip!B17</f>
        <v>40764.668333333299</v>
      </c>
      <c r="D18">
        <f>gescon_infosparticip!C17</f>
        <v>0</v>
      </c>
      <c r="E18">
        <f>gescon_infosparticip!D17</f>
        <v>0</v>
      </c>
      <c r="F18">
        <f>gescon_infosparticip!E17</f>
        <v>0</v>
      </c>
      <c r="G18">
        <f>gescon_infosparticip!F17</f>
        <v>0</v>
      </c>
      <c r="H18">
        <f>gescon_infosparticip!G17</f>
        <v>0</v>
      </c>
      <c r="I18" t="str">
        <f>gescon_infosparticip!H17</f>
        <v/>
      </c>
      <c r="J18">
        <f>IF(gescon_infosparticip!I17=FALSE,0,1)</f>
        <v>0</v>
      </c>
      <c r="K18">
        <f>IF(gescon_infosparticip!J17=FALSE,0,1)</f>
        <v>0</v>
      </c>
      <c r="L18">
        <f>IF(gescon_infosparticip!K17=FALSE,0,1)</f>
        <v>0</v>
      </c>
      <c r="M18">
        <f>IF(gescon_infosparticip!L17=FALSE,0,1)</f>
        <v>0</v>
      </c>
      <c r="N18">
        <f>IF(gescon_infosparticip!M17=FALSE,0,1)</f>
        <v>0</v>
      </c>
      <c r="O18">
        <f>IF(gescon_infosparticip!N17=FALSE,0,1)</f>
        <v>0</v>
      </c>
      <c r="P18">
        <f>IF(gescon_infosparticip!O17=FALSE,0,1)</f>
        <v>0</v>
      </c>
      <c r="Q18">
        <f>IF(gescon_infosparticip!P17=FALSE,0,1)</f>
        <v>0</v>
      </c>
      <c r="R18">
        <f>IF(gescon_infosparticip!Q17=FALSE,0,1)</f>
        <v>0</v>
      </c>
      <c r="S18" t="str">
        <f>gescon_infosparticip!R17</f>
        <v/>
      </c>
      <c r="T18" t="str">
        <f>gescon_infosparticip!V17</f>
        <v/>
      </c>
      <c r="U18" t="str">
        <f>gescon_infosparticip!S17</f>
        <v/>
      </c>
      <c r="V18">
        <f>IF(gescon_infosparticip!U17=FALSE,0,1)</f>
        <v>0</v>
      </c>
      <c r="W18">
        <f>IF(gescon_infosparticip!T17=FALSE,0,1)</f>
        <v>0</v>
      </c>
      <c r="X18" t="str">
        <f>gescon_infosparticip!W17</f>
        <v/>
      </c>
      <c r="Y18">
        <f>IF(gescon_infosparticip!X17=FALSE,0,1)</f>
        <v>0</v>
      </c>
      <c r="Z18">
        <f>IF(gescon_infosparticip!Y17=FALSE,0,1)</f>
        <v>0</v>
      </c>
      <c r="AA18">
        <f>IF(gescon_infosparticip!Z17=FALSE,0,1)</f>
        <v>0</v>
      </c>
      <c r="AB18">
        <f>IF(gescon_infosparticip!AA17=FALSE,0,1)</f>
        <v>0</v>
      </c>
      <c r="AC18" t="str">
        <f>gescon_infosparticip!AB17</f>
        <v/>
      </c>
      <c r="AD18" t="str">
        <f>gescon_infosparticip!AC17</f>
        <v/>
      </c>
      <c r="AE18" t="str">
        <f>gescon_infosparticip!AD17</f>
        <v/>
      </c>
      <c r="AF18" t="str">
        <f>gescon_infosparticip!AE17</f>
        <v/>
      </c>
      <c r="AG18" t="str">
        <f>gescon_infosparticip!AF17</f>
        <v/>
      </c>
      <c r="AH18" t="str">
        <f>gescon_infosparticip!AG17</f>
        <v/>
      </c>
      <c r="AI18" t="str">
        <f>gescon_infosparticip!BN17</f>
        <v/>
      </c>
      <c r="AJ18" t="str">
        <f>gescon_infosparticip!BO17</f>
        <v/>
      </c>
    </row>
    <row r="19" spans="2:36" x14ac:dyDescent="0.25">
      <c r="B19">
        <f>gescon_infosparticip!A18</f>
        <v>-1029621688</v>
      </c>
      <c r="C19">
        <f>gescon_infosparticip!B18</f>
        <v>41766</v>
      </c>
      <c r="D19">
        <f>gescon_infosparticip!C18</f>
        <v>0</v>
      </c>
      <c r="E19">
        <f>gescon_infosparticip!D18</f>
        <v>0</v>
      </c>
      <c r="F19">
        <f>gescon_infosparticip!E18</f>
        <v>0</v>
      </c>
      <c r="G19">
        <f>gescon_infosparticip!F18</f>
        <v>1434</v>
      </c>
      <c r="H19">
        <f>gescon_infosparticip!G18</f>
        <v>1434</v>
      </c>
      <c r="I19" t="str">
        <f>gescon_infosparticip!H18</f>
        <v>Loic accompagnement, Linda soin, Lydia infirmière</v>
      </c>
      <c r="J19">
        <f>IF(gescon_infosparticip!I18=FALSE,0,1)</f>
        <v>1</v>
      </c>
      <c r="K19">
        <f>IF(gescon_infosparticip!J18=FALSE,0,1)</f>
        <v>0</v>
      </c>
      <c r="L19">
        <f>IF(gescon_infosparticip!K18=FALSE,0,1)</f>
        <v>0</v>
      </c>
      <c r="M19">
        <f>IF(gescon_infosparticip!L18=FALSE,0,1)</f>
        <v>0</v>
      </c>
      <c r="N19">
        <f>IF(gescon_infosparticip!M18=FALSE,0,1)</f>
        <v>0</v>
      </c>
      <c r="O19">
        <f>IF(gescon_infosparticip!N18=FALSE,0,1)</f>
        <v>0</v>
      </c>
      <c r="P19">
        <f>IF(gescon_infosparticip!O18=FALSE,0,1)</f>
        <v>0</v>
      </c>
      <c r="Q19">
        <f>IF(gescon_infosparticip!P18=FALSE,0,1)</f>
        <v>1</v>
      </c>
      <c r="R19">
        <f>IF(gescon_infosparticip!Q18=FALSE,0,1)</f>
        <v>1</v>
      </c>
      <c r="S19" t="str">
        <f>gescon_infosparticip!R18</f>
        <v>Il peut se lever pour un transfert mais il faut le tenir.
Il supporte les longs trajets en bus.</v>
      </c>
      <c r="T19" t="str">
        <f>gescon_infosparticip!V18</f>
        <v>Il est autonome pour l'habillement. Il faut l'aider pour mettre ses chaussettes et ses chaussures.</v>
      </c>
      <c r="U19" t="str">
        <f>gescon_infosparticip!S18</f>
        <v>René n'aime pas trop, il a besoin d'aide. Pas de gilet mais il faut le soutenir.</v>
      </c>
      <c r="V19">
        <f>IF(gescon_infosparticip!U18=FALSE,0,1)</f>
        <v>1</v>
      </c>
      <c r="W19">
        <f>IF(gescon_infosparticip!T18=FALSE,0,1)</f>
        <v>0</v>
      </c>
      <c r="X19" t="str">
        <f>gescon_infosparticip!W18</f>
        <v>Urinal à proximité. Il bouge beaucoup.</v>
      </c>
      <c r="Y19">
        <f>IF(gescon_infosparticip!X18=FALSE,0,1)</f>
        <v>0</v>
      </c>
      <c r="Z19">
        <f>IF(gescon_infosparticip!Y18=FALSE,0,1)</f>
        <v>0</v>
      </c>
      <c r="AA19">
        <f>IF(gescon_infosparticip!Z18=FALSE,0,1)</f>
        <v>0</v>
      </c>
      <c r="AB19">
        <f>IF(gescon_infosparticip!AA18=FALSE,0,1)</f>
        <v>0</v>
      </c>
      <c r="AC19" t="str">
        <f>gescon_infosparticip!AB18</f>
        <v>René parle et il a un appareil auditif. Bien articuler et parler un peu fort bien en face de lui.</v>
      </c>
      <c r="AD19" t="str">
        <f>gescon_infosparticip!AC18</f>
        <v/>
      </c>
      <c r="AE19" t="str">
        <f>gescon_infosparticip!AD18</f>
        <v>René a deux sœurs, deux nièces et une petite nièce.</v>
      </c>
      <c r="AF19" t="str">
        <f>gescon_infosparticip!AE18</f>
        <v/>
      </c>
      <c r="AG19" t="str">
        <f>gescon_infosparticip!AF18</f>
        <v>Ordinateur, la ville, les mots croisés, l'astrologie, discuter, les voyages.</v>
      </c>
      <c r="AH19" t="str">
        <f>gescon_infosparticip!AG18</f>
        <v/>
      </c>
      <c r="AI19" t="str">
        <f>gescon_infosparticip!BN18</f>
        <v>Sur sa chaise électrique</v>
      </c>
      <c r="AJ19" t="str">
        <f>gescon_infosparticip!BO18</f>
        <v/>
      </c>
    </row>
    <row r="20" spans="2:36" x14ac:dyDescent="0.25">
      <c r="B20">
        <f>gescon_infosparticip!A19</f>
        <v>-959706217</v>
      </c>
      <c r="C20">
        <f>gescon_infosparticip!B19</f>
        <v>42886</v>
      </c>
      <c r="D20">
        <f>gescon_infosparticip!C19</f>
        <v>1203348545</v>
      </c>
      <c r="E20">
        <f>gescon_infosparticip!D19</f>
        <v>0</v>
      </c>
      <c r="F20">
        <f>gescon_infosparticip!E19</f>
        <v>0</v>
      </c>
      <c r="G20">
        <f>gescon_infosparticip!F19</f>
        <v>1434</v>
      </c>
      <c r="H20">
        <f>gescon_infosparticip!G19</f>
        <v>1434</v>
      </c>
      <c r="I20" t="str">
        <f>gescon_infosparticip!H19</f>
        <v/>
      </c>
      <c r="J20">
        <f>IF(gescon_infosparticip!I19=FALSE,0,1)</f>
        <v>0</v>
      </c>
      <c r="K20">
        <f>IF(gescon_infosparticip!J19=FALSE,0,1)</f>
        <v>1</v>
      </c>
      <c r="L20">
        <f>IF(gescon_infosparticip!K19=FALSE,0,1)</f>
        <v>1</v>
      </c>
      <c r="M20">
        <f>IF(gescon_infosparticip!L19=FALSE,0,1)</f>
        <v>0</v>
      </c>
      <c r="N20">
        <f>IF(gescon_infosparticip!M19=FALSE,0,1)</f>
        <v>0</v>
      </c>
      <c r="O20">
        <f>IF(gescon_infosparticip!N19=FALSE,0,1)</f>
        <v>0</v>
      </c>
      <c r="P20">
        <f>IF(gescon_infosparticip!O19=FALSE,0,1)</f>
        <v>0</v>
      </c>
      <c r="Q20">
        <f>IF(gescon_infosparticip!P19=FALSE,0,1)</f>
        <v>1</v>
      </c>
      <c r="R20">
        <f>IF(gescon_infosparticip!Q19=FALSE,0,1)</f>
        <v>0</v>
      </c>
      <c r="S20" t="str">
        <f>gescon_infosparticip!R19</f>
        <v>Se déplace seul à l'intérieur et accompagné à l'extérieur même muni du servomatic.Transfert lit chaise avec cigogne. Antidry sur le dos et les démengeaisons.</v>
      </c>
      <c r="T20" t="str">
        <f>gescon_infosparticip!V19</f>
        <v>S'habille seul le haut et lui donner un coup de main pour le bas. Pour les transfets il a besoin d'avoir ses souliers aux pieds.</v>
      </c>
      <c r="U20" t="str">
        <f>gescon_infosparticip!S19</f>
        <v>Oui avec un grand plaisir. Faire attention à l'eau froide, sait nager seul mais le surveiller.</v>
      </c>
      <c r="V20">
        <f>IF(gescon_infosparticip!U19=FALSE,0,1)</f>
        <v>1</v>
      </c>
      <c r="W20">
        <f>IF(gescon_infosparticip!T19=FALSE,0,1)</f>
        <v>0</v>
      </c>
      <c r="X20" t="str">
        <f>gescon_infosparticip!W19</f>
        <v>Il choisit quand il veut se coucher. Généralement il va au lit tôt. Ne pas oublier de brancher son uriflac sur l'uriflac qu'il a spécialement pour la nuit.Enlever Slip. Mettres des pants si diahrées.</v>
      </c>
      <c r="Y20">
        <f>IF(gescon_infosparticip!X19=FALSE,0,1)</f>
        <v>0</v>
      </c>
      <c r="Z20">
        <f>IF(gescon_infosparticip!Y19=FALSE,0,1)</f>
        <v>0</v>
      </c>
      <c r="AA20">
        <f>IF(gescon_infosparticip!Z19=FALSE,0,1)</f>
        <v>0</v>
      </c>
      <c r="AB20">
        <f>IF(gescon_infosparticip!AA19=FALSE,0,1)</f>
        <v>0</v>
      </c>
      <c r="AC20" t="str">
        <f>gescon_infosparticip!AB19</f>
        <v>Oral, au premier abord il est qqun de timide mais une fois à l'aise, il se montre très jovial.
Il est souvent de bonne humeur, très souriant et galant. Il bagaye.</v>
      </c>
      <c r="AD20" t="str">
        <f>gescon_infosparticip!AC19</f>
        <v/>
      </c>
      <c r="AE20" t="str">
        <f>gescon_infosparticip!AD19</f>
        <v/>
      </c>
      <c r="AF20" t="str">
        <f>gescon_infosparticip!AE19</f>
        <v/>
      </c>
      <c r="AG20" t="str">
        <f>gescon_infosparticip!AF19</f>
        <v>Natation, rafroball, puzzles, dessin, peinture, activités manuelles en général et aussi simplement aller boire un verre. Christophe aime parler des sports qu'il pratique et participe volontiers aux discussions et est ouvert à tout. Il aime faire la vaisselle !</v>
      </c>
      <c r="AH20" t="str">
        <f>gescon_infosparticip!AG19</f>
        <v>S'il n'aime pas faire quelque chose il le dit. L'ami de sa maman est décédé et son souvenir lui donne parfois des coups de blues, surtout en janvier.</v>
      </c>
      <c r="AI20" t="str">
        <f>gescon_infosparticip!BN19</f>
        <v>non</v>
      </c>
      <c r="AJ20" t="str">
        <f>gescon_infosparticip!BO19</f>
        <v>Mettre en charge la chaise tous les soirs.</v>
      </c>
    </row>
    <row r="21" spans="2:36" x14ac:dyDescent="0.25">
      <c r="B21">
        <f>gescon_infosparticip!A20</f>
        <v>-953224796</v>
      </c>
      <c r="C21">
        <f>gescon_infosparticip!B20</f>
        <v>42468</v>
      </c>
      <c r="D21">
        <f>gescon_infosparticip!C20</f>
        <v>2034</v>
      </c>
      <c r="E21">
        <f>gescon_infosparticip!D20</f>
        <v>0</v>
      </c>
      <c r="F21">
        <f>gescon_infosparticip!E20</f>
        <v>0</v>
      </c>
      <c r="G21">
        <f>gescon_infosparticip!F20</f>
        <v>1434</v>
      </c>
      <c r="H21">
        <f>gescon_infosparticip!G20</f>
        <v>2034</v>
      </c>
      <c r="I21" t="str">
        <f>gescon_infosparticip!H20</f>
        <v>Quadranti Yann 079/404.86.02</v>
      </c>
      <c r="J21">
        <f>IF(gescon_infosparticip!I20=FALSE,0,1)</f>
        <v>1</v>
      </c>
      <c r="K21">
        <f>IF(gescon_infosparticip!J20=FALSE,0,1)</f>
        <v>1</v>
      </c>
      <c r="L21">
        <f>IF(gescon_infosparticip!K20=FALSE,0,1)</f>
        <v>1</v>
      </c>
      <c r="M21">
        <f>IF(gescon_infosparticip!L20=FALSE,0,1)</f>
        <v>0</v>
      </c>
      <c r="N21">
        <f>IF(gescon_infosparticip!M20=FALSE,0,1)</f>
        <v>0</v>
      </c>
      <c r="O21">
        <f>IF(gescon_infosparticip!N20=FALSE,0,1)</f>
        <v>0</v>
      </c>
      <c r="P21">
        <f>IF(gescon_infosparticip!O20=FALSE,0,1)</f>
        <v>0</v>
      </c>
      <c r="Q21">
        <f>IF(gescon_infosparticip!P20=FALSE,0,1)</f>
        <v>1</v>
      </c>
      <c r="R21">
        <f>IF(gescon_infosparticip!Q20=FALSE,0,1)</f>
        <v>0</v>
      </c>
      <c r="S21" t="str">
        <f>gescon_infosparticip!R20</f>
        <v>Julien supporte les longs trajets sur un siège du bus. Julien a un moteur dans les roues de son fauteil, il faut donc le recharger tous les soirs.</v>
      </c>
      <c r="T21" t="str">
        <f>gescon_infosparticip!V20</f>
        <v>Julien a besoin d'une légère aide pour l'habillement. Toujours mettre les affaires de Julien à sa portée et de manière accessible afin qu'il puisse s'habiller seul.</v>
      </c>
      <c r="U21" t="str">
        <f>gescon_infosparticip!S20</f>
        <v>Sortir Julien de sa chaise et le mettre au bord de la piscine. Il faut être à ses côtés lorsqu'il nage. Il nage sur le dos.</v>
      </c>
      <c r="V21">
        <f>IF(gescon_infosparticip!U20=FALSE,0,1)</f>
        <v>1</v>
      </c>
      <c r="W21">
        <f>IF(gescon_infosparticip!T20=FALSE,0,1)</f>
        <v>0</v>
      </c>
      <c r="X21" t="str">
        <f>gescon_infosparticip!W20</f>
        <v/>
      </c>
      <c r="Y21">
        <f>IF(gescon_infosparticip!X20=FALSE,0,1)</f>
        <v>0</v>
      </c>
      <c r="Z21">
        <f>IF(gescon_infosparticip!Y20=FALSE,0,1)</f>
        <v>0</v>
      </c>
      <c r="AA21">
        <f>IF(gescon_infosparticip!Z20=FALSE,0,1)</f>
        <v>0</v>
      </c>
      <c r="AB21">
        <f>IF(gescon_infosparticip!AA20=FALSE,0,1)</f>
        <v>0</v>
      </c>
      <c r="AC21" t="str">
        <f>gescon_infosparticip!AB20</f>
        <v>Il s'exprime bien pour tout ce qui est courant: envies, joies et tristesses.</v>
      </c>
      <c r="AD21" t="str">
        <f>gescon_infosparticip!AC20</f>
        <v/>
      </c>
      <c r="AE21" t="str">
        <f>gescon_infosparticip!AD20</f>
        <v>Céline</v>
      </c>
      <c r="AF21" t="str">
        <f>gescon_infosparticip!AE20</f>
        <v>Thierry, Carole, Sabine, Pierre-Yves, Anne-Françoise, Pierre, Paul</v>
      </c>
      <c r="AG21" t="str">
        <f>gescon_infosparticip!AF20</f>
        <v>Il est très attaché à sa famille. Il a des oncles et des tantes à Gèneve, à Zurich et à Neuchâtel. Julien aime la musique, la nature, la fête, les amis et le chant. Il aime aussi son travail aux ateliers du Foyer Valais de Cœur à Sierre. Le karaoké. Il fait partie du Cœur du Cœur. Il vit en appartement protégé.</v>
      </c>
      <c r="AH21" t="str">
        <f>gescon_infosparticip!AG20</f>
        <v/>
      </c>
      <c r="AI21" t="str">
        <f>gescon_infosparticip!BN20</f>
        <v>Il fait une sieste après le repas ou en fonction de nos activités.</v>
      </c>
      <c r="AJ21" t="str">
        <f>gescon_infosparticip!BO20</f>
        <v/>
      </c>
    </row>
    <row r="22" spans="2:36" x14ac:dyDescent="0.25">
      <c r="B22">
        <f>gescon_infosparticip!A21</f>
        <v>-587438322</v>
      </c>
      <c r="C22">
        <f>gescon_infosparticip!B21</f>
        <v>42507</v>
      </c>
      <c r="D22">
        <f>gescon_infosparticip!C21</f>
        <v>0</v>
      </c>
      <c r="E22">
        <f>gescon_infosparticip!D21</f>
        <v>0</v>
      </c>
      <c r="F22">
        <f>gescon_infosparticip!E21</f>
        <v>0</v>
      </c>
      <c r="G22">
        <f>gescon_infosparticip!F21</f>
        <v>0</v>
      </c>
      <c r="H22">
        <f>gescon_infosparticip!G21</f>
        <v>0</v>
      </c>
      <c r="I22" t="str">
        <f>gescon_infosparticip!H21</f>
        <v>Groupe B2  Claudia Balet - 024 473 51 42</v>
      </c>
      <c r="J22">
        <f>IF(gescon_infosparticip!I21=FALSE,0,1)</f>
        <v>0</v>
      </c>
      <c r="K22">
        <f>IF(gescon_infosparticip!J21=FALSE,0,1)</f>
        <v>1</v>
      </c>
      <c r="L22">
        <f>IF(gescon_infosparticip!K21=FALSE,0,1)</f>
        <v>1</v>
      </c>
      <c r="M22">
        <f>IF(gescon_infosparticip!L21=FALSE,0,1)</f>
        <v>0</v>
      </c>
      <c r="N22">
        <f>IF(gescon_infosparticip!M21=FALSE,0,1)</f>
        <v>0</v>
      </c>
      <c r="O22">
        <f>IF(gescon_infosparticip!N21=FALSE,0,1)</f>
        <v>0</v>
      </c>
      <c r="P22">
        <f>IF(gescon_infosparticip!O21=FALSE,0,1)</f>
        <v>0</v>
      </c>
      <c r="Q22">
        <f>IF(gescon_infosparticip!P21=FALSE,0,1)</f>
        <v>1</v>
      </c>
      <c r="R22">
        <f>IF(gescon_infosparticip!Q21=FALSE,0,1)</f>
        <v>0</v>
      </c>
      <c r="S22" t="str">
        <f>gescon_infosparticip!R21</f>
        <v>Supporte les longs trajets en bus. Dans le fauteuil : bien l'attacher à la taille et au torse</v>
      </c>
      <c r="T22" t="str">
        <f>gescon_infosparticip!V21</f>
        <v>Aide totale (complétement dépendant du soignant)</v>
      </c>
      <c r="U22" t="str">
        <f>gescon_infosparticip!S21</f>
        <v>René n'aime pas et ne veut pas aller à la piscine. Présence d'une personne obligatoire pour le tenir.</v>
      </c>
      <c r="V22">
        <f>IF(gescon_infosparticip!U21=FALSE,0,1)</f>
        <v>1</v>
      </c>
      <c r="W22">
        <f>IF(gescon_infosparticip!T21=FALSE,0,1)</f>
        <v>1</v>
      </c>
      <c r="X22" t="str">
        <f>gescon_infosparticip!W21</f>
        <v>si possible, il fait la sieste après le dîner. Lui mettre un coussin entre les jambes et sous les pieds. Au coucher : mettre un coussin entre ses jambes et sous ses pieds</v>
      </c>
      <c r="Y22">
        <f>IF(gescon_infosparticip!X21=FALSE,0,1)</f>
        <v>0</v>
      </c>
      <c r="Z22">
        <f>IF(gescon_infosparticip!Y21=FALSE,0,1)</f>
        <v>0</v>
      </c>
      <c r="AA22">
        <f>IF(gescon_infosparticip!Z21=FALSE,0,1)</f>
        <v>0</v>
      </c>
      <c r="AB22">
        <f>IF(gescon_infosparticip!AA21=FALSE,0,1)</f>
        <v>1</v>
      </c>
      <c r="AC22" t="str">
        <f>gescon_infosparticip!AB21</f>
        <v>oral. René comprend tout ce qu’on lui dit en français et en allemand. Il répond aux questions posées par oui ou par non.</v>
      </c>
      <c r="AD22" t="str">
        <f>gescon_infosparticip!AC21</f>
        <v>Mère : décédée</v>
      </c>
      <c r="AE22" t="str">
        <f>gescon_infosparticip!AD21</f>
        <v>Jean-Claude - décédé</v>
      </c>
      <c r="AF22" t="str">
        <f>gescon_infosparticip!AE21</f>
        <v/>
      </c>
      <c r="AG22" t="str">
        <f>gescon_infosparticip!AF21</f>
        <v>Il aime participer à toutes sortes d'activités et aime surtout dialoguer et écouter des contes ou histoires. Il aime l’humour et se montre très jovial.</v>
      </c>
      <c r="AH22" t="str">
        <f>gescon_infosparticip!AG21</f>
        <v>René n'aime pas trop regarder la télévision.</v>
      </c>
      <c r="AI22" t="str">
        <f>gescon_infosparticip!BN21</f>
        <v>Il dort sur le côté, mais il faut le tourner de l’autre côté une fois durant la nuit. Avec un coussin entre les jambes et sous les pieds (éviter les frottements). Après le repos de midi.</v>
      </c>
      <c r="AJ22" t="str">
        <f>gescon_infosparticip!BO21</f>
        <v>1Xnuit et après le repos de midi</v>
      </c>
    </row>
    <row r="23" spans="2:36" x14ac:dyDescent="0.25">
      <c r="B23">
        <f>gescon_infosparticip!A22</f>
        <v>-568750303</v>
      </c>
      <c r="C23">
        <f>gescon_infosparticip!B22</f>
        <v>42524</v>
      </c>
      <c r="D23">
        <f>gescon_infosparticip!C22</f>
        <v>-464138546</v>
      </c>
      <c r="E23">
        <f>gescon_infosparticip!D22</f>
        <v>0</v>
      </c>
      <c r="F23">
        <f>gescon_infosparticip!E22</f>
        <v>-464138546</v>
      </c>
      <c r="G23">
        <f>gescon_infosparticip!F22</f>
        <v>0</v>
      </c>
      <c r="H23">
        <f>gescon_infosparticip!G22</f>
        <v>2146189132</v>
      </c>
      <c r="I23" t="str">
        <f>gescon_infosparticip!H22</f>
        <v>B3 - 0244735143</v>
      </c>
      <c r="J23">
        <f>IF(gescon_infosparticip!I22=FALSE,0,1)</f>
        <v>0</v>
      </c>
      <c r="K23">
        <f>IF(gescon_infosparticip!J22=FALSE,0,1)</f>
        <v>0</v>
      </c>
      <c r="L23">
        <f>IF(gescon_infosparticip!K22=FALSE,0,1)</f>
        <v>0</v>
      </c>
      <c r="M23">
        <f>IF(gescon_infosparticip!L22=FALSE,0,1)</f>
        <v>1</v>
      </c>
      <c r="N23">
        <f>IF(gescon_infosparticip!M22=FALSE,0,1)</f>
        <v>0</v>
      </c>
      <c r="O23">
        <f>IF(gescon_infosparticip!N22=FALSE,0,1)</f>
        <v>0</v>
      </c>
      <c r="P23">
        <f>IF(gescon_infosparticip!O22=FALSE,0,1)</f>
        <v>0</v>
      </c>
      <c r="Q23">
        <f>IF(gescon_infosparticip!P22=FALSE,0,1)</f>
        <v>1</v>
      </c>
      <c r="R23">
        <f>IF(gescon_infosparticip!Q22=FALSE,0,1)</f>
        <v>1</v>
      </c>
      <c r="S23" t="str">
        <f>gescon_infosparticip!R22</f>
        <v>aucun problème</v>
      </c>
      <c r="T23" t="str">
        <f>gescon_infosparticip!V22</f>
        <v>Stéphane aime choisir ses habits la veille.Il a besoin d'une aide complète pour l'habillement et la toilette.</v>
      </c>
      <c r="U23" t="str">
        <f>gescon_infosparticip!S22</f>
        <v>Aide de l'accompagnement + gillet. N'apprécie pas beaucoup la piscine</v>
      </c>
      <c r="V23">
        <f>IF(gescon_infosparticip!U22=FALSE,0,1)</f>
        <v>0</v>
      </c>
      <c r="W23">
        <f>IF(gescon_infosparticip!T22=FALSE,0,1)</f>
        <v>0</v>
      </c>
      <c r="X23" t="str">
        <f>gescon_infosparticip!W22</f>
        <v>Il a tendance à aller au lit tôt. Il se fatigue vite.
Dort sur le ventre</v>
      </c>
      <c r="Y23">
        <f>IF(gescon_infosparticip!X22=FALSE,0,1)</f>
        <v>0</v>
      </c>
      <c r="Z23">
        <f>IF(gescon_infosparticip!Y22=FALSE,0,1)</f>
        <v>0</v>
      </c>
      <c r="AA23">
        <f>IF(gescon_infosparticip!Z22=FALSE,0,1)</f>
        <v>0</v>
      </c>
      <c r="AB23">
        <f>IF(gescon_infosparticip!AA22=FALSE,0,1)</f>
        <v>1</v>
      </c>
      <c r="AC23" t="str">
        <f>gescon_infosparticip!AB22</f>
        <v>Il utilise un classeur de communication et se montre expressif dans sa gestuelle. Il montre avec la tête quelle option il choisit. Stéphane est quelqu'un de jovial, souvent de bonne humeur. Quand ça n'est pas le cas, il peut pincer ou donner des coups de pieds.</v>
      </c>
      <c r="AD23" t="str">
        <f>gescon_infosparticip!AC22</f>
        <v/>
      </c>
      <c r="AE23" t="str">
        <f>gescon_infosparticip!AD22</f>
        <v/>
      </c>
      <c r="AF23" t="str">
        <f>gescon_infosparticip!AE22</f>
        <v/>
      </c>
      <c r="AG23" t="str">
        <f>gescon_infosparticip!AF22</f>
        <v>Il aime l'émission "N'oubliez pas les paroles" sur France2 et le foot. Il apprécie jouer au bowling, regarder les films sentimentaux. Il aime aller au cinéma, au spectacle. Est un très bon spectateur, karaoké</v>
      </c>
      <c r="AH23" t="str">
        <f>gescon_infosparticip!AG22</f>
        <v/>
      </c>
      <c r="AI23" t="str">
        <f>gescon_infosparticip!BN22</f>
        <v>après le diner</v>
      </c>
      <c r="AJ23" t="str">
        <f>gescon_infosparticip!BO22</f>
        <v>couché</v>
      </c>
    </row>
    <row r="24" spans="2:36" x14ac:dyDescent="0.25">
      <c r="B24">
        <f>gescon_infosparticip!A23</f>
        <v>-486550603</v>
      </c>
      <c r="C24">
        <f>gescon_infosparticip!B23</f>
        <v>42886</v>
      </c>
      <c r="D24">
        <f>gescon_infosparticip!C23</f>
        <v>0</v>
      </c>
      <c r="E24">
        <f>gescon_infosparticip!D23</f>
        <v>166</v>
      </c>
      <c r="F24">
        <f>gescon_infosparticip!E23</f>
        <v>0</v>
      </c>
      <c r="G24">
        <f>gescon_infosparticip!F23</f>
        <v>1434</v>
      </c>
      <c r="H24">
        <f>gescon_infosparticip!G23</f>
        <v>2146189000</v>
      </c>
      <c r="I24" t="str">
        <f>gescon_infosparticip!H23</f>
        <v>Danaëlle Savioz 027 451 21 81 (027 451 21 81 infir</v>
      </c>
      <c r="J24">
        <f>IF(gescon_infosparticip!I23=FALSE,0,1)</f>
        <v>1</v>
      </c>
      <c r="K24">
        <f>IF(gescon_infosparticip!J23=FALSE,0,1)</f>
        <v>0</v>
      </c>
      <c r="L24">
        <f>IF(gescon_infosparticip!K23=FALSE,0,1)</f>
        <v>0</v>
      </c>
      <c r="M24">
        <f>IF(gescon_infosparticip!L23=FALSE,0,1)</f>
        <v>0</v>
      </c>
      <c r="N24">
        <f>IF(gescon_infosparticip!M23=FALSE,0,1)</f>
        <v>0</v>
      </c>
      <c r="O24">
        <f>IF(gescon_infosparticip!N23=FALSE,0,1)</f>
        <v>0</v>
      </c>
      <c r="P24">
        <f>IF(gescon_infosparticip!O23=FALSE,0,1)</f>
        <v>0</v>
      </c>
      <c r="Q24">
        <f>IF(gescon_infosparticip!P23=FALSE,0,1)</f>
        <v>1</v>
      </c>
      <c r="R24">
        <f>IF(gescon_infosparticip!Q23=FALSE,0,1)</f>
        <v>1</v>
      </c>
      <c r="S24" t="str">
        <f>gescon_infosparticip!R23</f>
        <v>Supporte les longs trajets en bus  en principe, oui. Mais voir la route devant. Prend de l’Itinerol pour les trajets sinueux</v>
      </c>
      <c r="T24" t="str">
        <f>gescon_infosparticip!V23</f>
        <v>Aide totale</v>
      </c>
      <c r="U24" t="str">
        <f>gescon_infosparticip!S23</f>
        <v>Faire attention à sa sonde et soutenir Janique selon son besoin.</v>
      </c>
      <c r="V24">
        <f>IF(gescon_infosparticip!U23=FALSE,0,1)</f>
        <v>1</v>
      </c>
      <c r="W24">
        <f>IF(gescon_infosparticip!T23=FALSE,0,1)</f>
        <v>0</v>
      </c>
      <c r="X24" t="str">
        <f>gescon_infosparticip!W23</f>
        <v>à voir avec Janique 1 barrière + lit contre mur. Attention, choisir un lit ou elle tourne le dos au mur pour faire pendre ensuite son uriflak. Attention, elle ne voit pas la nuit. Pas la laisser seule pour les toilettes.</v>
      </c>
      <c r="Y24">
        <f>IF(gescon_infosparticip!X23=FALSE,0,1)</f>
        <v>0</v>
      </c>
      <c r="Z24">
        <f>IF(gescon_infosparticip!Y23=FALSE,0,1)</f>
        <v>0</v>
      </c>
      <c r="AA24">
        <f>IF(gescon_infosparticip!Z23=FALSE,0,1)</f>
        <v>0</v>
      </c>
      <c r="AB24">
        <f>IF(gescon_infosparticip!AA23=FALSE,0,1)</f>
        <v>1</v>
      </c>
      <c r="AC24" t="str">
        <f>gescon_infosparticip!AB23</f>
        <v>Oral. Janique sait bien se faire comprendre.</v>
      </c>
      <c r="AD24" t="str">
        <f>gescon_infosparticip!AC23</f>
        <v>Elle s’exprime elle-même à se sujet.</v>
      </c>
      <c r="AE24" t="str">
        <f>gescon_infosparticip!AD23</f>
        <v>Fabian
et Nathalie</v>
      </c>
      <c r="AF24" t="str">
        <f>gescon_infosparticip!AE23</f>
        <v/>
      </c>
      <c r="AG24" t="str">
        <f>gescon_infosparticip!AF23</f>
        <v>Elle croque la vie à pleine dents. Musique française, karaoké, chante à l'ASA-Valais, lecture, shopping</v>
      </c>
      <c r="AH24" t="str">
        <f>gescon_infosparticip!AG23</f>
        <v>les jeux de société style  « Hâte-toi lentement », les jeux de cartes</v>
      </c>
      <c r="AI24" t="str">
        <f>gescon_infosparticip!BN23</f>
        <v>Elle le fait elle-même avec sa chaise. Lui rappeler de lever ses jambes (surtout au niveau des pieds). Avec aide. Au lit: Coussin "banane" de positionnement autour de la jambe gauche. Bas de soutien le matin</v>
      </c>
      <c r="AJ24" t="str">
        <f>gescon_infosparticip!BO23</f>
        <v/>
      </c>
    </row>
    <row r="25" spans="2:36" x14ac:dyDescent="0.25">
      <c r="B25">
        <f>gescon_infosparticip!A24</f>
        <v>-479406894</v>
      </c>
      <c r="C25">
        <f>gescon_infosparticip!B24</f>
        <v>42969</v>
      </c>
      <c r="D25">
        <f>gescon_infosparticip!C24</f>
        <v>166</v>
      </c>
      <c r="E25">
        <f>gescon_infosparticip!D24</f>
        <v>0</v>
      </c>
      <c r="F25">
        <f>gescon_infosparticip!E24</f>
        <v>0</v>
      </c>
      <c r="G25">
        <f>gescon_infosparticip!F24</f>
        <v>0</v>
      </c>
      <c r="H25">
        <f>gescon_infosparticip!G24</f>
        <v>166</v>
      </c>
      <c r="I25" t="str">
        <f>gescon_infosparticip!H24</f>
        <v>Vs Coeur - Annick Savioz 027 451 21 84</v>
      </c>
      <c r="J25">
        <f>IF(gescon_infosparticip!I24=FALSE,0,1)</f>
        <v>0</v>
      </c>
      <c r="K25">
        <f>IF(gescon_infosparticip!J24=FALSE,0,1)</f>
        <v>1</v>
      </c>
      <c r="L25">
        <f>IF(gescon_infosparticip!K24=FALSE,0,1)</f>
        <v>0</v>
      </c>
      <c r="M25">
        <f>IF(gescon_infosparticip!L24=FALSE,0,1)</f>
        <v>0</v>
      </c>
      <c r="N25">
        <f>IF(gescon_infosparticip!M24=FALSE,0,1)</f>
        <v>0</v>
      </c>
      <c r="O25">
        <f>IF(gescon_infosparticip!N24=FALSE,0,1)</f>
        <v>1</v>
      </c>
      <c r="P25">
        <f>IF(gescon_infosparticip!O24=FALSE,0,1)</f>
        <v>0</v>
      </c>
      <c r="Q25">
        <f>IF(gescon_infosparticip!P24=FALSE,0,1)</f>
        <v>1</v>
      </c>
      <c r="R25">
        <f>IF(gescon_infosparticip!Q24=FALSE,0,1)</f>
        <v>1</v>
      </c>
      <c r="S25" t="str">
        <f>gescon_infosparticip!R24</f>
        <v>Argent de poche : connaît la valeur de l'argent
Supporte les longs trajets en bus</v>
      </c>
      <c r="T25" t="str">
        <f>gescon_infosparticip!V24</f>
        <v>Aide nécessaire complète. Protocole Pansement:siège,pli interfessier:laver avec protosan solution,mettre bépanthène onguent autour-Plis inguinaux:Laver avec bétadine-sécher-talc-compresse- Verge:si rougeur ou lésion,mettre Cavilon,laisser sécher avant de remettre le condom</v>
      </c>
      <c r="U25" t="str">
        <f>gescon_infosparticip!S24</f>
        <v>Présence d'une personne obligatoire pour le tenir, de préférence un gilet, Fabian n'aime pas l'eau froide.</v>
      </c>
      <c r="V25">
        <f>IF(gescon_infosparticip!U24=FALSE,0,1)</f>
        <v>1</v>
      </c>
      <c r="W25">
        <f>IF(gescon_infosparticip!T24=FALSE,0,1)</f>
        <v>1</v>
      </c>
      <c r="X25" t="str">
        <f>gescon_infosparticip!W24</f>
        <v>Il apprécie avoir le lit contre le mur. Il se fatigue vite le soir. Il dort sur le côté avec un grand coussin entre les jambes. Il n'a pas de coussin sous la tête. Comme il devient vite fatigué regarder avec lui quand il veut aller se coucher.</v>
      </c>
      <c r="Y25">
        <f>IF(gescon_infosparticip!X24=FALSE,0,1)</f>
        <v>0</v>
      </c>
      <c r="Z25">
        <f>IF(gescon_infosparticip!Y24=FALSE,0,1)</f>
        <v>0</v>
      </c>
      <c r="AA25">
        <f>IF(gescon_infosparticip!Z24=FALSE,0,1)</f>
        <v>0</v>
      </c>
      <c r="AB25">
        <f>IF(gescon_infosparticip!AA24=FALSE,0,1)</f>
        <v>1</v>
      </c>
      <c r="AC25" t="str">
        <f>gescon_infosparticip!AB24</f>
        <v>langage oral : parle et comprend tout - a besoin de temps pour répondre - lui parler lentement
Apprécie les questions aux réponses oui/non. Il bégaie</v>
      </c>
      <c r="AD25" t="str">
        <f>gescon_infosparticip!AC24</f>
        <v>Mère Christiane : y va régulièrement avec sa sœur Janique</v>
      </c>
      <c r="AE25" t="str">
        <f>gescon_infosparticip!AD24</f>
        <v>Janique : résidente au foyer Valais de Cœur
Nathalie : : mariée - 2 enfants . Maxime (1993) - Marie (1995)</v>
      </c>
      <c r="AF25" t="str">
        <f>gescon_infosparticip!AE24</f>
        <v/>
      </c>
      <c r="AG25" t="str">
        <f>gescon_infosparticip!AF24</f>
        <v>Passion : cirque et cirque Knie en particulier
promenades en ville - restaurants, voir et être en contact avec les gens
Travail : 50 % à Valais de Cœur - avec un ordinateur</v>
      </c>
      <c r="AH25" t="str">
        <f>gescon_infosparticip!AG24</f>
        <v>Discothèque</v>
      </c>
      <c r="AI25" t="str">
        <f>gescon_infosparticip!BN24</f>
        <v>oui sur demande Transfert avec l'élévateur. Laissez la sangle lorsqu'il est sur les WC.</v>
      </c>
      <c r="AJ25" t="str">
        <f>gescon_infosparticip!BO24</f>
        <v>la nuit</v>
      </c>
    </row>
    <row r="26" spans="2:36" x14ac:dyDescent="0.25">
      <c r="B26">
        <f>gescon_infosparticip!A25</f>
        <v>-414006540</v>
      </c>
      <c r="C26">
        <f>gescon_infosparticip!B25</f>
        <v>42557</v>
      </c>
      <c r="D26">
        <f>gescon_infosparticip!C25</f>
        <v>2092442015</v>
      </c>
      <c r="E26">
        <f>gescon_infosparticip!D25</f>
        <v>0</v>
      </c>
      <c r="F26">
        <f>gescon_infosparticip!E25</f>
        <v>0</v>
      </c>
      <c r="G26">
        <f>gescon_infosparticip!F25</f>
        <v>0</v>
      </c>
      <c r="H26">
        <f>gescon_infosparticip!G25</f>
        <v>0</v>
      </c>
      <c r="I26" t="str">
        <f>gescon_infosparticip!H25</f>
        <v/>
      </c>
      <c r="J26">
        <f>IF(gescon_infosparticip!I25=FALSE,0,1)</f>
        <v>0</v>
      </c>
      <c r="K26">
        <f>IF(gescon_infosparticip!J25=FALSE,0,1)</f>
        <v>0</v>
      </c>
      <c r="L26">
        <f>IF(gescon_infosparticip!K25=FALSE,0,1)</f>
        <v>0</v>
      </c>
      <c r="M26">
        <f>IF(gescon_infosparticip!L25=FALSE,0,1)</f>
        <v>1</v>
      </c>
      <c r="N26">
        <f>IF(gescon_infosparticip!M25=FALSE,0,1)</f>
        <v>1</v>
      </c>
      <c r="O26">
        <f>IF(gescon_infosparticip!N25=FALSE,0,1)</f>
        <v>0</v>
      </c>
      <c r="P26">
        <f>IF(gescon_infosparticip!O25=FALSE,0,1)</f>
        <v>0</v>
      </c>
      <c r="Q26">
        <f>IF(gescon_infosparticip!P25=FALSE,0,1)</f>
        <v>0</v>
      </c>
      <c r="R26">
        <f>IF(gescon_infosparticip!Q25=FALSE,0,1)</f>
        <v>0</v>
      </c>
      <c r="S26" t="str">
        <f>gescon_infosparticip!R25</f>
        <v>Il supporte les trajet en bus. Il porte une atelle à la jambe gauche. ATTENTION aux passages piétons, il traverse toujours sans regarder.</v>
      </c>
      <c r="T26" t="str">
        <f>gescon_infosparticip!V25</f>
        <v>Il se débrouille bien pour l'habillage et le déshabillage. A besoin d'aide pour finaliser mais demande de l'aide.</v>
      </c>
      <c r="U26" t="str">
        <f>gescon_infosparticip!S25</f>
        <v>Il adore la piscine. Il faut rester avec lui, il n'a pas de manchons. S'il n'a pas le fond, il coule.</v>
      </c>
      <c r="V26">
        <f>IF(gescon_infosparticip!U25=FALSE,0,1)</f>
        <v>1</v>
      </c>
      <c r="W26">
        <f>IF(gescon_infosparticip!T25=FALSE,0,1)</f>
        <v>0</v>
      </c>
      <c r="X26" t="str">
        <f>gescon_infosparticip!W25</f>
        <v>Il va au lit vers les 20h00 et dors jusque vers les 7h00. En principe, il ne fait pas la sieste l’après-midi.
Le soir, lui raconter une histoire avant de dormir ou une chanson. Il dort avec son doudou.</v>
      </c>
      <c r="Y26">
        <f>IF(gescon_infosparticip!X25=FALSE,0,1)</f>
        <v>0</v>
      </c>
      <c r="Z26">
        <f>IF(gescon_infosparticip!Y25=FALSE,0,1)</f>
        <v>0</v>
      </c>
      <c r="AA26">
        <f>IF(gescon_infosparticip!Z25=FALSE,0,1)</f>
        <v>0</v>
      </c>
      <c r="AB26">
        <f>IF(gescon_infosparticip!AA25=FALSE,0,1)</f>
        <v>0</v>
      </c>
      <c r="AC26" t="str">
        <f>gescon_infosparticip!AB25</f>
        <v>Il parle distinctement avec un vocabulaire varié. Il ne tient pas toujours un discours très "à propos". Il faut parfois s'armer de patientes questions afin de réellement comprendre le fond de sa pensée.</v>
      </c>
      <c r="AD26" t="str">
        <f>gescon_infosparticip!AC25</f>
        <v>Il vit avec sa maman et son compagnon Manu. Son papi s'appelle Alain. Son papa habite à Pont-de-la-Morge avec son amie Laurence. Il a de très bon contact familial : Tonton Jean, Tata Marina, Isa, Pépé Raoul et grand-maman Marie françoise.</v>
      </c>
      <c r="AE26" t="str">
        <f>gescon_infosparticip!AD25</f>
        <v/>
      </c>
      <c r="AF26" t="str">
        <f>gescon_infosparticip!AE25</f>
        <v/>
      </c>
      <c r="AG26" t="str">
        <f>gescon_infosparticip!AF25</f>
        <v>Il aime les trains, les télécabines, les moyens de transport en général. Il aime aussi la musique et gentiment la lecture. Il aime la cuisine grâce à 1 chaîne Youtube. Il aime fabriquer ses propres doudous.</v>
      </c>
      <c r="AH26" t="str">
        <f>gescon_infosparticip!AG25</f>
        <v>Il n’apprécie guère la télévision et n’aime pas se salir les mains (ex : peinture à doigt)</v>
      </c>
      <c r="AI26" t="str">
        <f>gescon_infosparticip!BN25</f>
        <v/>
      </c>
      <c r="AJ26" t="str">
        <f>gescon_infosparticip!BO25</f>
        <v/>
      </c>
    </row>
    <row r="27" spans="2:36" x14ac:dyDescent="0.25">
      <c r="B27">
        <f>gescon_infosparticip!A26</f>
        <v>-362773667</v>
      </c>
      <c r="C27">
        <f>gescon_infosparticip!B26</f>
        <v>41597</v>
      </c>
      <c r="D27">
        <f>gescon_infosparticip!C26</f>
        <v>0</v>
      </c>
      <c r="E27">
        <f>gescon_infosparticip!D26</f>
        <v>0</v>
      </c>
      <c r="F27">
        <f>gescon_infosparticip!E26</f>
        <v>0</v>
      </c>
      <c r="G27">
        <f>gescon_infosparticip!F26</f>
        <v>0</v>
      </c>
      <c r="H27">
        <f>gescon_infosparticip!G26</f>
        <v>0</v>
      </c>
      <c r="I27" t="str">
        <f>gescon_infosparticip!H26</f>
        <v/>
      </c>
      <c r="J27">
        <f>IF(gescon_infosparticip!I26=FALSE,0,1)</f>
        <v>0</v>
      </c>
      <c r="K27">
        <f>IF(gescon_infosparticip!J26=FALSE,0,1)</f>
        <v>0</v>
      </c>
      <c r="L27">
        <f>IF(gescon_infosparticip!K26=FALSE,0,1)</f>
        <v>0</v>
      </c>
      <c r="M27">
        <f>IF(gescon_infosparticip!L26=FALSE,0,1)</f>
        <v>0</v>
      </c>
      <c r="N27">
        <f>IF(gescon_infosparticip!M26=FALSE,0,1)</f>
        <v>1</v>
      </c>
      <c r="O27">
        <f>IF(gescon_infosparticip!N26=FALSE,0,1)</f>
        <v>0</v>
      </c>
      <c r="P27">
        <f>IF(gescon_infosparticip!O26=FALSE,0,1)</f>
        <v>0</v>
      </c>
      <c r="Q27">
        <f>IF(gescon_infosparticip!P26=FALSE,0,1)</f>
        <v>1</v>
      </c>
      <c r="R27">
        <f>IF(gescon_infosparticip!Q26=FALSE,0,1)</f>
        <v>0</v>
      </c>
      <c r="S27" t="str">
        <f>gescon_infosparticip!R26</f>
        <v/>
      </c>
      <c r="T27" t="str">
        <f>gescon_infosparticip!V26</f>
        <v/>
      </c>
      <c r="U27" t="str">
        <f>gescon_infosparticip!S26</f>
        <v/>
      </c>
      <c r="V27">
        <f>IF(gescon_infosparticip!U26=FALSE,0,1)</f>
        <v>0</v>
      </c>
      <c r="W27">
        <f>IF(gescon_infosparticip!T26=FALSE,0,1)</f>
        <v>0</v>
      </c>
      <c r="X27" t="str">
        <f>gescon_infosparticip!W26</f>
        <v/>
      </c>
      <c r="Y27">
        <f>IF(gescon_infosparticip!X26=FALSE,0,1)</f>
        <v>0</v>
      </c>
      <c r="Z27">
        <f>IF(gescon_infosparticip!Y26=FALSE,0,1)</f>
        <v>0</v>
      </c>
      <c r="AA27">
        <f>IF(gescon_infosparticip!Z26=FALSE,0,1)</f>
        <v>0</v>
      </c>
      <c r="AB27">
        <f>IF(gescon_infosparticip!AA26=FALSE,0,1)</f>
        <v>0</v>
      </c>
      <c r="AC27" t="str">
        <f>gescon_infosparticip!AB26</f>
        <v/>
      </c>
      <c r="AD27" t="str">
        <f>gescon_infosparticip!AC26</f>
        <v/>
      </c>
      <c r="AE27" t="str">
        <f>gescon_infosparticip!AD26</f>
        <v/>
      </c>
      <c r="AF27" t="str">
        <f>gescon_infosparticip!AE26</f>
        <v/>
      </c>
      <c r="AG27" t="str">
        <f>gescon_infosparticip!AF26</f>
        <v/>
      </c>
      <c r="AH27" t="str">
        <f>gescon_infosparticip!AG26</f>
        <v/>
      </c>
      <c r="AI27" t="str">
        <f>gescon_infosparticip!BN26</f>
        <v/>
      </c>
      <c r="AJ27" t="str">
        <f>gescon_infosparticip!BO26</f>
        <v/>
      </c>
    </row>
    <row r="28" spans="2:36" x14ac:dyDescent="0.25">
      <c r="B28">
        <f>gescon_infosparticip!A27</f>
        <v>-22390883</v>
      </c>
      <c r="C28">
        <f>gescon_infosparticip!B27</f>
        <v>42886</v>
      </c>
      <c r="D28">
        <f>gescon_infosparticip!C27</f>
        <v>1201536087</v>
      </c>
      <c r="E28">
        <f>gescon_infosparticip!D27</f>
        <v>0</v>
      </c>
      <c r="F28">
        <f>gescon_infosparticip!E27</f>
        <v>1201536087</v>
      </c>
      <c r="G28">
        <f>gescon_infosparticip!F27</f>
        <v>2146189132</v>
      </c>
      <c r="H28">
        <f>gescon_infosparticip!G27</f>
        <v>2146189132</v>
      </c>
      <c r="I28" t="str">
        <f>gescon_infosparticip!H27</f>
        <v/>
      </c>
      <c r="J28">
        <f>IF(gescon_infosparticip!I27=FALSE,0,1)</f>
        <v>0</v>
      </c>
      <c r="K28">
        <f>IF(gescon_infosparticip!J27=FALSE,0,1)</f>
        <v>0</v>
      </c>
      <c r="L28">
        <f>IF(gescon_infosparticip!K27=FALSE,0,1)</f>
        <v>0</v>
      </c>
      <c r="M28">
        <f>IF(gescon_infosparticip!L27=FALSE,0,1)</f>
        <v>1</v>
      </c>
      <c r="N28">
        <f>IF(gescon_infosparticip!M27=FALSE,0,1)</f>
        <v>0</v>
      </c>
      <c r="O28">
        <f>IF(gescon_infosparticip!N27=FALSE,0,1)</f>
        <v>0</v>
      </c>
      <c r="P28">
        <f>IF(gescon_infosparticip!O27=FALSE,0,1)</f>
        <v>0</v>
      </c>
      <c r="Q28">
        <f>IF(gescon_infosparticip!P27=FALSE,0,1)</f>
        <v>1</v>
      </c>
      <c r="R28">
        <f>IF(gescon_infosparticip!Q27=FALSE,0,1)</f>
        <v>0</v>
      </c>
      <c r="S28" t="str">
        <f>gescon_infosparticip!R27</f>
        <v>Supporte les longs trajets en bus - Changement de position en déplacement : basculer sa chaise. Laisser de l'espace (10cm) entre le dossier et la poignée, incliner la chaise pour éviter que le pose-pieds se coince avec les roues.</v>
      </c>
      <c r="T28" t="str">
        <f>gescon_infosparticip!V27</f>
        <v>Aide totale : bouge beaucoup - lui demander de se calmer</v>
      </c>
      <c r="U28" t="str">
        <f>gescon_infosparticip!S27</f>
        <v>Aide totale : ne flotte pas, manchons et autres moyens auxiliaires - Gesticule beaucoup</v>
      </c>
      <c r="V28">
        <f>IF(gescon_infosparticip!U27=FALSE,0,1)</f>
        <v>1</v>
      </c>
      <c r="W28">
        <f>IF(gescon_infosparticip!T27=FALSE,0,1)</f>
        <v>0</v>
      </c>
      <c r="X28" t="str">
        <f>gescon_infosparticip!W27</f>
        <v>Sur le dos à l'intérieur d'un drap "Zewi" - en haut de pyjama, langé et en slip. Lit avec barrières en bois car il bouge beaucoup ses bras
Se fatigue vite et va tôt au lit (22h00)</v>
      </c>
      <c r="Y28">
        <f>IF(gescon_infosparticip!X27=FALSE,0,1)</f>
        <v>0</v>
      </c>
      <c r="Z28">
        <f>IF(gescon_infosparticip!Y27=FALSE,0,1)</f>
        <v>1</v>
      </c>
      <c r="AA28">
        <f>IF(gescon_infosparticip!Z27=FALSE,0,1)</f>
        <v>0</v>
      </c>
      <c r="AB28">
        <f>IF(gescon_infosparticip!AA27=FALSE,0,1)</f>
        <v>1</v>
      </c>
      <c r="AC28" t="str">
        <f>gescon_infosparticip!AB27</f>
        <v>Pas d'expression verbale : Communication par ipad fixé sur sa table. Bouge la tête à droite pour dire "oui" à gauche pour dire "non" - Agenda pour noter les faits marquants de la journée - Comprend le français et le portugais
Quand il tire la langue cela veut dire qu'il a soif</v>
      </c>
      <c r="AD28" t="str">
        <f>gescon_infosparticip!AC27</f>
        <v>Maman : Ana Cristina Amaral - Papa : Adelino Gonçalves - séparés. (1 week-end de garde chacun)</v>
      </c>
      <c r="AE28" t="str">
        <f>gescon_infosparticip!AD27</f>
        <v>Tania (1994) - Demi-frère Tiago (2006)</v>
      </c>
      <c r="AF28" t="str">
        <f>gescon_infosparticip!AE27</f>
        <v/>
      </c>
      <c r="AG28" t="str">
        <f>gescon_infosparticip!AF27</f>
        <v>Piscine, musique, mécanique et voitures, télé.</v>
      </c>
      <c r="AH28" t="str">
        <f>gescon_infosparticip!AG27</f>
        <v/>
      </c>
      <c r="AI28" t="str">
        <f>gescon_infosparticip!BN27</f>
        <v>En déplacement on peut basculer sa chaise.</v>
      </c>
      <c r="AJ28" t="str">
        <f>gescon_infosparticip!BO27</f>
        <v>env. Chaque 4 heures</v>
      </c>
    </row>
    <row r="29" spans="2:36" x14ac:dyDescent="0.25">
      <c r="B29">
        <f>gescon_infosparticip!A28</f>
        <v>0</v>
      </c>
      <c r="C29">
        <f>gescon_infosparticip!B28</f>
        <v>0</v>
      </c>
      <c r="D29">
        <f>gescon_infosparticip!C28</f>
        <v>0</v>
      </c>
      <c r="E29">
        <f>gescon_infosparticip!D28</f>
        <v>0</v>
      </c>
      <c r="F29">
        <f>gescon_infosparticip!E28</f>
        <v>0</v>
      </c>
      <c r="G29">
        <f>gescon_infosparticip!F28</f>
        <v>0</v>
      </c>
      <c r="H29">
        <f>gescon_infosparticip!G28</f>
        <v>0</v>
      </c>
      <c r="I29" t="str">
        <f>gescon_infosparticip!H28</f>
        <v/>
      </c>
      <c r="J29">
        <f>IF(gescon_infosparticip!I28=FALSE,0,1)</f>
        <v>0</v>
      </c>
      <c r="K29">
        <f>IF(gescon_infosparticip!J28=FALSE,0,1)</f>
        <v>0</v>
      </c>
      <c r="L29">
        <f>IF(gescon_infosparticip!K28=FALSE,0,1)</f>
        <v>0</v>
      </c>
      <c r="M29">
        <f>IF(gescon_infosparticip!L28=FALSE,0,1)</f>
        <v>0</v>
      </c>
      <c r="N29">
        <f>IF(gescon_infosparticip!M28=FALSE,0,1)</f>
        <v>0</v>
      </c>
      <c r="O29">
        <f>IF(gescon_infosparticip!N28=FALSE,0,1)</f>
        <v>0</v>
      </c>
      <c r="P29">
        <f>IF(gescon_infosparticip!O28=FALSE,0,1)</f>
        <v>0</v>
      </c>
      <c r="Q29">
        <f>IF(gescon_infosparticip!P28=FALSE,0,1)</f>
        <v>0</v>
      </c>
      <c r="R29">
        <f>IF(gescon_infosparticip!Q28=FALSE,0,1)</f>
        <v>0</v>
      </c>
      <c r="S29" t="str">
        <f>gescon_infosparticip!R28</f>
        <v/>
      </c>
      <c r="T29" t="str">
        <f>gescon_infosparticip!V28</f>
        <v/>
      </c>
      <c r="U29" t="str">
        <f>gescon_infosparticip!S28</f>
        <v/>
      </c>
      <c r="V29">
        <f>IF(gescon_infosparticip!U28=FALSE,0,1)</f>
        <v>1</v>
      </c>
      <c r="W29">
        <f>IF(gescon_infosparticip!T28=FALSE,0,1)</f>
        <v>0</v>
      </c>
      <c r="X29" t="str">
        <f>gescon_infosparticip!W28</f>
        <v/>
      </c>
      <c r="Y29">
        <f>IF(gescon_infosparticip!X28=FALSE,0,1)</f>
        <v>0</v>
      </c>
      <c r="Z29">
        <f>IF(gescon_infosparticip!Y28=FALSE,0,1)</f>
        <v>0</v>
      </c>
      <c r="AA29">
        <f>IF(gescon_infosparticip!Z28=FALSE,0,1)</f>
        <v>0</v>
      </c>
      <c r="AB29">
        <f>IF(gescon_infosparticip!AA28=FALSE,0,1)</f>
        <v>0</v>
      </c>
      <c r="AC29" t="str">
        <f>gescon_infosparticip!AB28</f>
        <v/>
      </c>
      <c r="AD29" t="str">
        <f>gescon_infosparticip!AC28</f>
        <v/>
      </c>
      <c r="AE29" t="str">
        <f>gescon_infosparticip!AD28</f>
        <v/>
      </c>
      <c r="AF29" t="str">
        <f>gescon_infosparticip!AE28</f>
        <v/>
      </c>
      <c r="AG29" t="str">
        <f>gescon_infosparticip!AF28</f>
        <v/>
      </c>
      <c r="AH29" t="str">
        <f>gescon_infosparticip!AG28</f>
        <v/>
      </c>
      <c r="AI29" t="str">
        <f>gescon_infosparticip!BN28</f>
        <v/>
      </c>
      <c r="AJ29" t="str">
        <f>gescon_infosparticip!BO28</f>
        <v/>
      </c>
    </row>
    <row r="30" spans="2:36" x14ac:dyDescent="0.25">
      <c r="B30">
        <f>gescon_infosparticip!A29</f>
        <v>107</v>
      </c>
      <c r="C30">
        <f>gescon_infosparticip!B29</f>
        <v>40980</v>
      </c>
      <c r="D30">
        <f>gescon_infosparticip!C29</f>
        <v>0</v>
      </c>
      <c r="E30">
        <f>gescon_infosparticip!D29</f>
        <v>0</v>
      </c>
      <c r="F30">
        <f>gescon_infosparticip!E29</f>
        <v>0</v>
      </c>
      <c r="G30">
        <f>gescon_infosparticip!F29</f>
        <v>0</v>
      </c>
      <c r="H30">
        <f>gescon_infosparticip!G29</f>
        <v>0</v>
      </c>
      <c r="I30" t="str">
        <f>gescon_infosparticip!H29</f>
        <v/>
      </c>
      <c r="J30">
        <f>IF(gescon_infosparticip!I29=FALSE,0,1)</f>
        <v>0</v>
      </c>
      <c r="K30">
        <f>IF(gescon_infosparticip!J29=FALSE,0,1)</f>
        <v>0</v>
      </c>
      <c r="L30">
        <f>IF(gescon_infosparticip!K29=FALSE,0,1)</f>
        <v>0</v>
      </c>
      <c r="M30">
        <f>IF(gescon_infosparticip!L29=FALSE,0,1)</f>
        <v>0</v>
      </c>
      <c r="N30">
        <f>IF(gescon_infosparticip!M29=FALSE,0,1)</f>
        <v>0</v>
      </c>
      <c r="O30">
        <f>IF(gescon_infosparticip!N29=FALSE,0,1)</f>
        <v>0</v>
      </c>
      <c r="P30">
        <f>IF(gescon_infosparticip!O29=FALSE,0,1)</f>
        <v>0</v>
      </c>
      <c r="Q30">
        <f>IF(gescon_infosparticip!P29=FALSE,0,1)</f>
        <v>0</v>
      </c>
      <c r="R30">
        <f>IF(gescon_infosparticip!Q29=FALSE,0,1)</f>
        <v>0</v>
      </c>
      <c r="S30" t="str">
        <f>gescon_infosparticip!R29</f>
        <v/>
      </c>
      <c r="T30" t="str">
        <f>gescon_infosparticip!V29</f>
        <v/>
      </c>
      <c r="U30" t="str">
        <f>gescon_infosparticip!S29</f>
        <v/>
      </c>
      <c r="V30">
        <f>IF(gescon_infosparticip!U29=FALSE,0,1)</f>
        <v>0</v>
      </c>
      <c r="W30">
        <f>IF(gescon_infosparticip!T29=FALSE,0,1)</f>
        <v>0</v>
      </c>
      <c r="X30" t="str">
        <f>gescon_infosparticip!W29</f>
        <v/>
      </c>
      <c r="Y30">
        <f>IF(gescon_infosparticip!X29=FALSE,0,1)</f>
        <v>0</v>
      </c>
      <c r="Z30">
        <f>IF(gescon_infosparticip!Y29=FALSE,0,1)</f>
        <v>0</v>
      </c>
      <c r="AA30">
        <f>IF(gescon_infosparticip!Z29=FALSE,0,1)</f>
        <v>0</v>
      </c>
      <c r="AB30">
        <f>IF(gescon_infosparticip!AA29=FALSE,0,1)</f>
        <v>0</v>
      </c>
      <c r="AC30" t="str">
        <f>gescon_infosparticip!AB29</f>
        <v/>
      </c>
      <c r="AD30" t="str">
        <f>gescon_infosparticip!AC29</f>
        <v/>
      </c>
      <c r="AE30" t="str">
        <f>gescon_infosparticip!AD29</f>
        <v/>
      </c>
      <c r="AF30" t="str">
        <f>gescon_infosparticip!AE29</f>
        <v/>
      </c>
      <c r="AG30" t="str">
        <f>gescon_infosparticip!AF29</f>
        <v/>
      </c>
      <c r="AH30" t="str">
        <f>gescon_infosparticip!AG29</f>
        <v/>
      </c>
      <c r="AI30" t="str">
        <f>gescon_infosparticip!BN29</f>
        <v/>
      </c>
      <c r="AJ30" t="str">
        <f>gescon_infosparticip!BO29</f>
        <v/>
      </c>
    </row>
    <row r="31" spans="2:36" x14ac:dyDescent="0.25">
      <c r="B31">
        <f>gescon_infosparticip!A30</f>
        <v>111</v>
      </c>
      <c r="C31">
        <f>gescon_infosparticip!B30</f>
        <v>41642</v>
      </c>
      <c r="D31">
        <f>gescon_infosparticip!C30</f>
        <v>0</v>
      </c>
      <c r="E31">
        <f>gescon_infosparticip!D30</f>
        <v>0</v>
      </c>
      <c r="F31">
        <f>gescon_infosparticip!E30</f>
        <v>0</v>
      </c>
      <c r="G31">
        <f>gescon_infosparticip!F30</f>
        <v>0</v>
      </c>
      <c r="H31">
        <f>gescon_infosparticip!G30</f>
        <v>0</v>
      </c>
      <c r="I31" t="str">
        <f>gescon_infosparticip!H30</f>
        <v/>
      </c>
      <c r="J31">
        <f>IF(gescon_infosparticip!I30=FALSE,0,1)</f>
        <v>0</v>
      </c>
      <c r="K31">
        <f>IF(gescon_infosparticip!J30=FALSE,0,1)</f>
        <v>0</v>
      </c>
      <c r="L31">
        <f>IF(gescon_infosparticip!K30=FALSE,0,1)</f>
        <v>0</v>
      </c>
      <c r="M31">
        <f>IF(gescon_infosparticip!L30=FALSE,0,1)</f>
        <v>0</v>
      </c>
      <c r="N31">
        <f>IF(gescon_infosparticip!M30=FALSE,0,1)</f>
        <v>0</v>
      </c>
      <c r="O31">
        <f>IF(gescon_infosparticip!N30=FALSE,0,1)</f>
        <v>0</v>
      </c>
      <c r="P31">
        <f>IF(gescon_infosparticip!O30=FALSE,0,1)</f>
        <v>0</v>
      </c>
      <c r="Q31">
        <f>IF(gescon_infosparticip!P30=FALSE,0,1)</f>
        <v>0</v>
      </c>
      <c r="R31">
        <f>IF(gescon_infosparticip!Q30=FALSE,0,1)</f>
        <v>0</v>
      </c>
      <c r="S31" t="str">
        <f>gescon_infosparticip!R30</f>
        <v/>
      </c>
      <c r="T31" t="str">
        <f>gescon_infosparticip!V30</f>
        <v/>
      </c>
      <c r="U31" t="str">
        <f>gescon_infosparticip!S30</f>
        <v/>
      </c>
      <c r="V31">
        <f>IF(gescon_infosparticip!U30=FALSE,0,1)</f>
        <v>0</v>
      </c>
      <c r="W31">
        <f>IF(gescon_infosparticip!T30=FALSE,0,1)</f>
        <v>0</v>
      </c>
      <c r="X31" t="str">
        <f>gescon_infosparticip!W30</f>
        <v/>
      </c>
      <c r="Y31">
        <f>IF(gescon_infosparticip!X30=FALSE,0,1)</f>
        <v>0</v>
      </c>
      <c r="Z31">
        <f>IF(gescon_infosparticip!Y30=FALSE,0,1)</f>
        <v>0</v>
      </c>
      <c r="AA31">
        <f>IF(gescon_infosparticip!Z30=FALSE,0,1)</f>
        <v>0</v>
      </c>
      <c r="AB31">
        <f>IF(gescon_infosparticip!AA30=FALSE,0,1)</f>
        <v>0</v>
      </c>
      <c r="AC31" t="str">
        <f>gescon_infosparticip!AB30</f>
        <v/>
      </c>
      <c r="AD31" t="str">
        <f>gescon_infosparticip!AC30</f>
        <v/>
      </c>
      <c r="AE31" t="str">
        <f>gescon_infosparticip!AD30</f>
        <v/>
      </c>
      <c r="AF31" t="str">
        <f>gescon_infosparticip!AE30</f>
        <v/>
      </c>
      <c r="AG31" t="str">
        <f>gescon_infosparticip!AF30</f>
        <v/>
      </c>
      <c r="AH31" t="str">
        <f>gescon_infosparticip!AG30</f>
        <v/>
      </c>
      <c r="AI31" t="str">
        <f>gescon_infosparticip!BN30</f>
        <v/>
      </c>
      <c r="AJ31" t="str">
        <f>gescon_infosparticip!BO30</f>
        <v/>
      </c>
    </row>
    <row r="32" spans="2:36" x14ac:dyDescent="0.25">
      <c r="B32">
        <f>gescon_infosparticip!A31</f>
        <v>118</v>
      </c>
      <c r="C32">
        <f>gescon_infosparticip!B31</f>
        <v>37833.434074074103</v>
      </c>
      <c r="D32">
        <f>gescon_infosparticip!C31</f>
        <v>352</v>
      </c>
      <c r="E32">
        <f>gescon_infosparticip!D31</f>
        <v>1924</v>
      </c>
      <c r="F32">
        <f>gescon_infosparticip!E31</f>
        <v>0</v>
      </c>
      <c r="G32">
        <f>gescon_infosparticip!F31</f>
        <v>1040296365</v>
      </c>
      <c r="H32">
        <f>gescon_infosparticip!G31</f>
        <v>1040296841</v>
      </c>
      <c r="I32" t="str">
        <f>gescon_infosparticip!H31</f>
        <v/>
      </c>
      <c r="J32">
        <f>IF(gescon_infosparticip!I31=FALSE,0,1)</f>
        <v>0</v>
      </c>
      <c r="K32">
        <f>IF(gescon_infosparticip!J31=FALSE,0,1)</f>
        <v>0</v>
      </c>
      <c r="L32">
        <f>IF(gescon_infosparticip!K31=FALSE,0,1)</f>
        <v>0</v>
      </c>
      <c r="M32">
        <f>IF(gescon_infosparticip!L31=FALSE,0,1)</f>
        <v>0</v>
      </c>
      <c r="N32">
        <f>IF(gescon_infosparticip!M31=FALSE,0,1)</f>
        <v>0</v>
      </c>
      <c r="O32">
        <f>IF(gescon_infosparticip!N31=FALSE,0,1)</f>
        <v>0</v>
      </c>
      <c r="P32">
        <f>IF(gescon_infosparticip!O31=FALSE,0,1)</f>
        <v>0</v>
      </c>
      <c r="Q32">
        <f>IF(gescon_infosparticip!P31=FALSE,0,1)</f>
        <v>0</v>
      </c>
      <c r="R32">
        <f>IF(gescon_infosparticip!Q31=FALSE,0,1)</f>
        <v>0</v>
      </c>
      <c r="S32" t="str">
        <f>gescon_infosparticip!R31</f>
        <v/>
      </c>
      <c r="T32" t="str">
        <f>gescon_infosparticip!V31</f>
        <v/>
      </c>
      <c r="U32" t="str">
        <f>gescon_infosparticip!S31</f>
        <v>Marie-Noëlle ne sait pas nager. Il faut toujours rester près d’elle ; possibilité de faire quelques exercices (planche…). Elle aime beaucoup aller à la piscine et y va régulièrement, mais elle n’aime pas trop l’eau froide.</v>
      </c>
      <c r="V32">
        <f>IF(gescon_infosparticip!U31=FALSE,0,1)</f>
        <v>1</v>
      </c>
      <c r="W32">
        <f>IF(gescon_infosparticip!T31=FALSE,0,1)</f>
        <v>0</v>
      </c>
      <c r="X32" t="str">
        <f>gescon_infosparticip!W31</f>
        <v/>
      </c>
      <c r="Y32">
        <f>IF(gescon_infosparticip!X31=FALSE,0,1)</f>
        <v>0</v>
      </c>
      <c r="Z32">
        <f>IF(gescon_infosparticip!Y31=FALSE,0,1)</f>
        <v>0</v>
      </c>
      <c r="AA32">
        <f>IF(gescon_infosparticip!Z31=FALSE,0,1)</f>
        <v>0</v>
      </c>
      <c r="AB32">
        <f>IF(gescon_infosparticip!AA31=FALSE,0,1)</f>
        <v>0</v>
      </c>
      <c r="AC32" t="str">
        <f>gescon_infosparticip!AB31</f>
        <v>Oral. Parle très bien.</v>
      </c>
      <c r="AD32" t="str">
        <f>gescon_infosparticip!AC31</f>
        <v>Marie-Noëlle aime aller à la piscine, les jeux de société, la peinture, la musique française (Garou, Goldmann…) et discuter (attention : la stopper tout de suite si elle aborde des sujet tels que sa famille, le sexe et la médisance envers les autres.</v>
      </c>
      <c r="AE32" t="str">
        <f>gescon_infosparticip!AD31</f>
        <v/>
      </c>
      <c r="AF32" t="str">
        <f>gescon_infosparticip!AE31</f>
        <v/>
      </c>
      <c r="AG32" t="str">
        <f>gescon_infosparticip!AF31</f>
        <v>Marie-Noëlle aime aller à la piscine, les jeux de société, la peinture, la musique et discuter (attention : la stopper tout de suite si elle aborde des sujet tels que sa famille, le sexe et la médisance envers les autres.</v>
      </c>
      <c r="AH32" t="str">
        <f>gescon_infosparticip!AG31</f>
        <v/>
      </c>
      <c r="AI32" t="str">
        <f>gescon_infosparticip!BN31</f>
        <v/>
      </c>
      <c r="AJ32" t="str">
        <f>gescon_infosparticip!BO31</f>
        <v/>
      </c>
    </row>
    <row r="33" spans="2:36" x14ac:dyDescent="0.25">
      <c r="B33">
        <f>gescon_infosparticip!A32</f>
        <v>119</v>
      </c>
      <c r="C33">
        <f>gescon_infosparticip!B32</f>
        <v>37833.472743055601</v>
      </c>
      <c r="D33">
        <f>gescon_infosparticip!C32</f>
        <v>138</v>
      </c>
      <c r="E33">
        <f>gescon_infosparticip!D32</f>
        <v>2210</v>
      </c>
      <c r="F33">
        <f>gescon_infosparticip!E32</f>
        <v>0</v>
      </c>
      <c r="G33">
        <f>gescon_infosparticip!F32</f>
        <v>0</v>
      </c>
      <c r="H33">
        <f>gescon_infosparticip!G32</f>
        <v>0</v>
      </c>
      <c r="I33" t="str">
        <f>gescon_infosparticip!H32</f>
        <v/>
      </c>
      <c r="J33">
        <f>IF(gescon_infosparticip!I32=FALSE,0,1)</f>
        <v>0</v>
      </c>
      <c r="K33">
        <f>IF(gescon_infosparticip!J32=FALSE,0,1)</f>
        <v>0</v>
      </c>
      <c r="L33">
        <f>IF(gescon_infosparticip!K32=FALSE,0,1)</f>
        <v>0</v>
      </c>
      <c r="M33">
        <f>IF(gescon_infosparticip!L32=FALSE,0,1)</f>
        <v>0</v>
      </c>
      <c r="N33">
        <f>IF(gescon_infosparticip!M32=FALSE,0,1)</f>
        <v>0</v>
      </c>
      <c r="O33">
        <f>IF(gescon_infosparticip!N32=FALSE,0,1)</f>
        <v>0</v>
      </c>
      <c r="P33">
        <f>IF(gescon_infosparticip!O32=FALSE,0,1)</f>
        <v>0</v>
      </c>
      <c r="Q33">
        <f>IF(gescon_infosparticip!P32=FALSE,0,1)</f>
        <v>0</v>
      </c>
      <c r="R33">
        <f>IF(gescon_infosparticip!Q32=FALSE,0,1)</f>
        <v>0</v>
      </c>
      <c r="S33" t="str">
        <f>gescon_infosparticip!R32</f>
        <v/>
      </c>
      <c r="T33" t="str">
        <f>gescon_infosparticip!V32</f>
        <v/>
      </c>
      <c r="U33" t="str">
        <f>gescon_infosparticip!S32</f>
        <v>Danielo n’a pas de problèmes pour aller à la piscine.</v>
      </c>
      <c r="V33">
        <f>IF(gescon_infosparticip!U32=FALSE,0,1)</f>
        <v>1</v>
      </c>
      <c r="W33">
        <f>IF(gescon_infosparticip!T32=FALSE,0,1)</f>
        <v>0</v>
      </c>
      <c r="X33" t="str">
        <f>gescon_infosparticip!W32</f>
        <v/>
      </c>
      <c r="Y33">
        <f>IF(gescon_infosparticip!X32=FALSE,0,1)</f>
        <v>0</v>
      </c>
      <c r="Z33">
        <f>IF(gescon_infosparticip!Y32=FALSE,0,1)</f>
        <v>0</v>
      </c>
      <c r="AA33">
        <f>IF(gescon_infosparticip!Z32=FALSE,0,1)</f>
        <v>0</v>
      </c>
      <c r="AB33">
        <f>IF(gescon_infosparticip!AA32=FALSE,0,1)</f>
        <v>0</v>
      </c>
      <c r="AC33" t="str">
        <f>gescon_infosparticip!AB32</f>
        <v>langage oral</v>
      </c>
      <c r="AD33" t="str">
        <f>gescon_infosparticip!AC32</f>
        <v>Danielo aime bien aller à la piscine, au cinéma et faire des promenades.</v>
      </c>
      <c r="AE33" t="str">
        <f>gescon_infosparticip!AD32</f>
        <v/>
      </c>
      <c r="AF33" t="str">
        <f>gescon_infosparticip!AE32</f>
        <v/>
      </c>
      <c r="AG33" t="str">
        <f>gescon_infosparticip!AF32</f>
        <v/>
      </c>
      <c r="AH33" t="str">
        <f>gescon_infosparticip!AG32</f>
        <v/>
      </c>
      <c r="AI33" t="str">
        <f>gescon_infosparticip!BN32</f>
        <v/>
      </c>
      <c r="AJ33" t="str">
        <f>gescon_infosparticip!BO32</f>
        <v/>
      </c>
    </row>
    <row r="34" spans="2:36" x14ac:dyDescent="0.25">
      <c r="B34">
        <f>gescon_infosparticip!A33</f>
        <v>129</v>
      </c>
      <c r="C34">
        <f>gescon_infosparticip!B33</f>
        <v>37846.6477662037</v>
      </c>
      <c r="D34">
        <f>gescon_infosparticip!C33</f>
        <v>0</v>
      </c>
      <c r="E34">
        <f>gescon_infosparticip!D33</f>
        <v>0</v>
      </c>
      <c r="F34">
        <f>gescon_infosparticip!E33</f>
        <v>0</v>
      </c>
      <c r="G34">
        <f>gescon_infosparticip!F33</f>
        <v>269</v>
      </c>
      <c r="H34">
        <f>gescon_infosparticip!G33</f>
        <v>269</v>
      </c>
      <c r="I34" t="str">
        <f>gescon_infosparticip!H33</f>
        <v/>
      </c>
      <c r="J34">
        <f>IF(gescon_infosparticip!I33=FALSE,0,1)</f>
        <v>0</v>
      </c>
      <c r="K34">
        <f>IF(gescon_infosparticip!J33=FALSE,0,1)</f>
        <v>0</v>
      </c>
      <c r="L34">
        <f>IF(gescon_infosparticip!K33=FALSE,0,1)</f>
        <v>0</v>
      </c>
      <c r="M34">
        <f>IF(gescon_infosparticip!L33=FALSE,0,1)</f>
        <v>0</v>
      </c>
      <c r="N34">
        <f>IF(gescon_infosparticip!M33=FALSE,0,1)</f>
        <v>0</v>
      </c>
      <c r="O34">
        <f>IF(gescon_infosparticip!N33=FALSE,0,1)</f>
        <v>0</v>
      </c>
      <c r="P34">
        <f>IF(gescon_infosparticip!O33=FALSE,0,1)</f>
        <v>0</v>
      </c>
      <c r="Q34">
        <f>IF(gescon_infosparticip!P33=FALSE,0,1)</f>
        <v>0</v>
      </c>
      <c r="R34">
        <f>IF(gescon_infosparticip!Q33=FALSE,0,1)</f>
        <v>0</v>
      </c>
      <c r="S34" t="str">
        <f>gescon_infosparticip!R33</f>
        <v/>
      </c>
      <c r="T34" t="str">
        <f>gescon_infosparticip!V33</f>
        <v/>
      </c>
      <c r="U34" t="str">
        <f>gescon_infosparticip!S33</f>
        <v>Elle se débrouille, mais une présence à ses côtés est préférable.</v>
      </c>
      <c r="V34">
        <f>IF(gescon_infosparticip!U33=FALSE,0,1)</f>
        <v>0</v>
      </c>
      <c r="W34">
        <f>IF(gescon_infosparticip!T33=FALSE,0,1)</f>
        <v>0</v>
      </c>
      <c r="X34" t="str">
        <f>gescon_infosparticip!W33</f>
        <v/>
      </c>
      <c r="Y34">
        <f>IF(gescon_infosparticip!X33=FALSE,0,1)</f>
        <v>0</v>
      </c>
      <c r="Z34">
        <f>IF(gescon_infosparticip!Y33=FALSE,0,1)</f>
        <v>0</v>
      </c>
      <c r="AA34">
        <f>IF(gescon_infosparticip!Z33=FALSE,0,1)</f>
        <v>0</v>
      </c>
      <c r="AB34">
        <f>IF(gescon_infosparticip!AA33=FALSE,0,1)</f>
        <v>0</v>
      </c>
      <c r="AC34" t="str">
        <f>gescon_infosparticip!AB33</f>
        <v>Langage oral</v>
      </c>
      <c r="AD34" t="str">
        <f>gescon_infosparticip!AC33</f>
        <v>Anne-Claude apprécie le cinéma, la piscine, etc. Elle se montre intéressée par les différentes activités proposées.</v>
      </c>
      <c r="AE34" t="str">
        <f>gescon_infosparticip!AD33</f>
        <v/>
      </c>
      <c r="AF34" t="str">
        <f>gescon_infosparticip!AE33</f>
        <v/>
      </c>
      <c r="AG34" t="str">
        <f>gescon_infosparticip!AF33</f>
        <v/>
      </c>
      <c r="AH34" t="str">
        <f>gescon_infosparticip!AG33</f>
        <v/>
      </c>
      <c r="AI34" t="str">
        <f>gescon_infosparticip!BN33</f>
        <v/>
      </c>
      <c r="AJ34" t="str">
        <f>gescon_infosparticip!BO33</f>
        <v/>
      </c>
    </row>
    <row r="35" spans="2:36" x14ac:dyDescent="0.25">
      <c r="B35">
        <f>gescon_infosparticip!A34</f>
        <v>138</v>
      </c>
      <c r="C35">
        <f>gescon_infosparticip!B34</f>
        <v>42858</v>
      </c>
      <c r="D35">
        <f>gescon_infosparticip!C34</f>
        <v>-2099377383</v>
      </c>
      <c r="E35">
        <f>gescon_infosparticip!D34</f>
        <v>0</v>
      </c>
      <c r="F35">
        <f>gescon_infosparticip!E34</f>
        <v>0</v>
      </c>
      <c r="G35">
        <f>gescon_infosparticip!F34</f>
        <v>0</v>
      </c>
      <c r="H35">
        <f>gescon_infosparticip!G34</f>
        <v>0</v>
      </c>
      <c r="I35" t="str">
        <f>gescon_infosparticip!H34</f>
        <v/>
      </c>
      <c r="J35">
        <f>IF(gescon_infosparticip!I34=FALSE,0,1)</f>
        <v>0</v>
      </c>
      <c r="K35">
        <f>IF(gescon_infosparticip!J34=FALSE,0,1)</f>
        <v>0</v>
      </c>
      <c r="L35">
        <f>IF(gescon_infosparticip!K34=FALSE,0,1)</f>
        <v>0</v>
      </c>
      <c r="M35">
        <f>IF(gescon_infosparticip!L34=FALSE,0,1)</f>
        <v>1</v>
      </c>
      <c r="N35">
        <f>IF(gescon_infosparticip!M34=FALSE,0,1)</f>
        <v>1</v>
      </c>
      <c r="O35">
        <f>IF(gescon_infosparticip!N34=FALSE,0,1)</f>
        <v>0</v>
      </c>
      <c r="P35">
        <f>IF(gescon_infosparticip!O34=FALSE,0,1)</f>
        <v>0</v>
      </c>
      <c r="Q35">
        <f>IF(gescon_infosparticip!P34=FALSE,0,1)</f>
        <v>1</v>
      </c>
      <c r="R35">
        <f>IF(gescon_infosparticip!Q34=FALSE,0,1)</f>
        <v>0</v>
      </c>
      <c r="S35" t="str">
        <f>gescon_infosparticip!R34</f>
        <v>Il supporte bien les longs trajets. Daniélo marche avec des cannes. Et pour les sorties plus longues il a un fauteil manuel.</v>
      </c>
      <c r="T35" t="str">
        <f>gescon_infosparticip!V34</f>
        <v>Il s'habille seul, mais il a besoin de temps</v>
      </c>
      <c r="U35" t="str">
        <f>gescon_infosparticip!S34</f>
        <v>Rester attentif et l'aider en cas de besoin</v>
      </c>
      <c r="V35">
        <f>IF(gescon_infosparticip!U34=FALSE,0,1)</f>
        <v>0</v>
      </c>
      <c r="W35">
        <f>IF(gescon_infosparticip!T34=FALSE,0,1)</f>
        <v>1</v>
      </c>
      <c r="X35" t="str">
        <f>gescon_infosparticip!W34</f>
        <v>-</v>
      </c>
      <c r="Y35">
        <f>IF(gescon_infosparticip!X34=FALSE,0,1)</f>
        <v>0</v>
      </c>
      <c r="Z35">
        <f>IF(gescon_infosparticip!Y34=FALSE,0,1)</f>
        <v>0</v>
      </c>
      <c r="AA35">
        <f>IF(gescon_infosparticip!Z34=FALSE,0,1)</f>
        <v>0</v>
      </c>
      <c r="AB35">
        <f>IF(gescon_infosparticip!AA34=FALSE,0,1)</f>
        <v>0</v>
      </c>
      <c r="AC35" t="str">
        <f>gescon_infosparticip!AB34</f>
        <v>Il s'exprime oralement.</v>
      </c>
      <c r="AD35" t="str">
        <f>gescon_infosparticip!AC34</f>
        <v>Les parents sont mariés
Danièlo est au Foyer St-Hubert à Martigny</v>
      </c>
      <c r="AE35" t="str">
        <f>gescon_infosparticip!AD34</f>
        <v>Il a un frère (Fabrice)</v>
      </c>
      <c r="AF35" t="str">
        <f>gescon_infosparticip!AE34</f>
        <v>-</v>
      </c>
      <c r="AG35" t="str">
        <f>gescon_infosparticip!AF34</f>
        <v>Daniélo aime la piscine, le cinéma et les promenades.</v>
      </c>
      <c r="AH35" t="str">
        <f>gescon_infosparticip!AG34</f>
        <v>-</v>
      </c>
      <c r="AI35" t="str">
        <f>gescon_infosparticip!BN34</f>
        <v>pas nécessaire</v>
      </c>
      <c r="AJ35" t="str">
        <f>gescon_infosparticip!BO34</f>
        <v>0</v>
      </c>
    </row>
    <row r="36" spans="2:36" x14ac:dyDescent="0.25">
      <c r="B36">
        <f>gescon_infosparticip!A35</f>
        <v>160</v>
      </c>
      <c r="C36">
        <f>gescon_infosparticip!B35</f>
        <v>37847.639641203699</v>
      </c>
      <c r="D36">
        <f>gescon_infosparticip!C35</f>
        <v>2210</v>
      </c>
      <c r="E36">
        <f>gescon_infosparticip!D35</f>
        <v>2210</v>
      </c>
      <c r="F36">
        <f>gescon_infosparticip!E35</f>
        <v>0</v>
      </c>
      <c r="G36">
        <f>gescon_infosparticip!F35</f>
        <v>0</v>
      </c>
      <c r="H36">
        <f>gescon_infosparticip!G35</f>
        <v>0</v>
      </c>
      <c r="I36" t="str">
        <f>gescon_infosparticip!H35</f>
        <v/>
      </c>
      <c r="J36">
        <f>IF(gescon_infosparticip!I35=FALSE,0,1)</f>
        <v>0</v>
      </c>
      <c r="K36">
        <f>IF(gescon_infosparticip!J35=FALSE,0,1)</f>
        <v>0</v>
      </c>
      <c r="L36">
        <f>IF(gescon_infosparticip!K35=FALSE,0,1)</f>
        <v>0</v>
      </c>
      <c r="M36">
        <f>IF(gescon_infosparticip!L35=FALSE,0,1)</f>
        <v>0</v>
      </c>
      <c r="N36">
        <f>IF(gescon_infosparticip!M35=FALSE,0,1)</f>
        <v>0</v>
      </c>
      <c r="O36">
        <f>IF(gescon_infosparticip!N35=FALSE,0,1)</f>
        <v>0</v>
      </c>
      <c r="P36">
        <f>IF(gescon_infosparticip!O35=FALSE,0,1)</f>
        <v>0</v>
      </c>
      <c r="Q36">
        <f>IF(gescon_infosparticip!P35=FALSE,0,1)</f>
        <v>0</v>
      </c>
      <c r="R36">
        <f>IF(gescon_infosparticip!Q35=FALSE,0,1)</f>
        <v>0</v>
      </c>
      <c r="S36" t="str">
        <f>gescon_infosparticip!R35</f>
        <v/>
      </c>
      <c r="T36" t="str">
        <f>gescon_infosparticip!V35</f>
        <v/>
      </c>
      <c r="U36" t="str">
        <f>gescon_infosparticip!S35</f>
        <v>Il nage avec un gilet de sauvetage</v>
      </c>
      <c r="V36">
        <f>IF(gescon_infosparticip!U35=FALSE,0,1)</f>
        <v>0</v>
      </c>
      <c r="W36">
        <f>IF(gescon_infosparticip!T35=FALSE,0,1)</f>
        <v>1</v>
      </c>
      <c r="X36" t="str">
        <f>gescon_infosparticip!W35</f>
        <v/>
      </c>
      <c r="Y36">
        <f>IF(gescon_infosparticip!X35=FALSE,0,1)</f>
        <v>0</v>
      </c>
      <c r="Z36">
        <f>IF(gescon_infosparticip!Y35=FALSE,0,1)</f>
        <v>0</v>
      </c>
      <c r="AA36">
        <f>IF(gescon_infosparticip!Z35=FALSE,0,1)</f>
        <v>0</v>
      </c>
      <c r="AB36">
        <f>IF(gescon_infosparticip!AA35=FALSE,0,1)</f>
        <v>0</v>
      </c>
      <c r="AC36" t="str">
        <f>gescon_infosparticip!AB35</f>
        <v>Il parle</v>
      </c>
      <c r="AD36" t="str">
        <f>gescon_infosparticip!AC35</f>
        <v>Ce qu'il préfère c'est aller au cinéma.</v>
      </c>
      <c r="AE36" t="str">
        <f>gescon_infosparticip!AD35</f>
        <v/>
      </c>
      <c r="AF36" t="str">
        <f>gescon_infosparticip!AE35</f>
        <v/>
      </c>
      <c r="AG36" t="str">
        <f>gescon_infosparticip!AF35</f>
        <v/>
      </c>
      <c r="AH36" t="str">
        <f>gescon_infosparticip!AG35</f>
        <v/>
      </c>
      <c r="AI36" t="str">
        <f>gescon_infosparticip!BN35</f>
        <v/>
      </c>
      <c r="AJ36" t="str">
        <f>gescon_infosparticip!BO35</f>
        <v/>
      </c>
    </row>
    <row r="37" spans="2:36" x14ac:dyDescent="0.25">
      <c r="B37">
        <f>gescon_infosparticip!A36</f>
        <v>166</v>
      </c>
      <c r="C37">
        <f>gescon_infosparticip!B36</f>
        <v>41927</v>
      </c>
      <c r="D37">
        <f>gescon_infosparticip!C36</f>
        <v>0</v>
      </c>
      <c r="E37">
        <f>gescon_infosparticip!D36</f>
        <v>0</v>
      </c>
      <c r="F37">
        <f>gescon_infosparticip!E36</f>
        <v>0</v>
      </c>
      <c r="G37">
        <f>gescon_infosparticip!F36</f>
        <v>0</v>
      </c>
      <c r="H37">
        <f>gescon_infosparticip!G36</f>
        <v>0</v>
      </c>
      <c r="I37" t="str">
        <f>gescon_infosparticip!H36</f>
        <v/>
      </c>
      <c r="J37">
        <f>IF(gescon_infosparticip!I36=FALSE,0,1)</f>
        <v>0</v>
      </c>
      <c r="K37">
        <f>IF(gescon_infosparticip!J36=FALSE,0,1)</f>
        <v>0</v>
      </c>
      <c r="L37">
        <f>IF(gescon_infosparticip!K36=FALSE,0,1)</f>
        <v>0</v>
      </c>
      <c r="M37">
        <f>IF(gescon_infosparticip!L36=FALSE,0,1)</f>
        <v>0</v>
      </c>
      <c r="N37">
        <f>IF(gescon_infosparticip!M36=FALSE,0,1)</f>
        <v>0</v>
      </c>
      <c r="O37">
        <f>IF(gescon_infosparticip!N36=FALSE,0,1)</f>
        <v>0</v>
      </c>
      <c r="P37">
        <f>IF(gescon_infosparticip!O36=FALSE,0,1)</f>
        <v>0</v>
      </c>
      <c r="Q37">
        <f>IF(gescon_infosparticip!P36=FALSE,0,1)</f>
        <v>0</v>
      </c>
      <c r="R37">
        <f>IF(gescon_infosparticip!Q36=FALSE,0,1)</f>
        <v>0</v>
      </c>
      <c r="S37" t="str">
        <f>gescon_infosparticip!R36</f>
        <v/>
      </c>
      <c r="T37" t="str">
        <f>gescon_infosparticip!V36</f>
        <v/>
      </c>
      <c r="U37" t="str">
        <f>gescon_infosparticip!S36</f>
        <v/>
      </c>
      <c r="V37">
        <f>IF(gescon_infosparticip!U36=FALSE,0,1)</f>
        <v>0</v>
      </c>
      <c r="W37">
        <f>IF(gescon_infosparticip!T36=FALSE,0,1)</f>
        <v>0</v>
      </c>
      <c r="X37" t="str">
        <f>gescon_infosparticip!W36</f>
        <v/>
      </c>
      <c r="Y37">
        <f>IF(gescon_infosparticip!X36=FALSE,0,1)</f>
        <v>0</v>
      </c>
      <c r="Z37">
        <f>IF(gescon_infosparticip!Y36=FALSE,0,1)</f>
        <v>0</v>
      </c>
      <c r="AA37">
        <f>IF(gescon_infosparticip!Z36=FALSE,0,1)</f>
        <v>0</v>
      </c>
      <c r="AB37">
        <f>IF(gescon_infosparticip!AA36=FALSE,0,1)</f>
        <v>0</v>
      </c>
      <c r="AC37" t="str">
        <f>gescon_infosparticip!AB36</f>
        <v/>
      </c>
      <c r="AD37" t="str">
        <f>gescon_infosparticip!AC36</f>
        <v/>
      </c>
      <c r="AE37" t="str">
        <f>gescon_infosparticip!AD36</f>
        <v/>
      </c>
      <c r="AF37" t="str">
        <f>gescon_infosparticip!AE36</f>
        <v/>
      </c>
      <c r="AG37" t="str">
        <f>gescon_infosparticip!AF36</f>
        <v/>
      </c>
      <c r="AH37" t="str">
        <f>gescon_infosparticip!AG36</f>
        <v/>
      </c>
      <c r="AI37" t="str">
        <f>gescon_infosparticip!BN36</f>
        <v/>
      </c>
      <c r="AJ37" t="str">
        <f>gescon_infosparticip!BO36</f>
        <v/>
      </c>
    </row>
    <row r="38" spans="2:36" x14ac:dyDescent="0.25">
      <c r="B38">
        <f>gescon_infosparticip!A37</f>
        <v>167</v>
      </c>
      <c r="C38">
        <f>gescon_infosparticip!B37</f>
        <v>37858.510231481501</v>
      </c>
      <c r="D38">
        <f>gescon_infosparticip!C37</f>
        <v>2210</v>
      </c>
      <c r="E38">
        <f>gescon_infosparticip!D37</f>
        <v>166</v>
      </c>
      <c r="F38">
        <f>gescon_infosparticip!E37</f>
        <v>0</v>
      </c>
      <c r="G38">
        <f>gescon_infosparticip!F37</f>
        <v>0</v>
      </c>
      <c r="H38">
        <f>gescon_infosparticip!G37</f>
        <v>269</v>
      </c>
      <c r="I38" t="str">
        <f>gescon_infosparticip!H37</f>
        <v/>
      </c>
      <c r="J38">
        <f>IF(gescon_infosparticip!I37=FALSE,0,1)</f>
        <v>0</v>
      </c>
      <c r="K38">
        <f>IF(gescon_infosparticip!J37=FALSE,0,1)</f>
        <v>0</v>
      </c>
      <c r="L38">
        <f>IF(gescon_infosparticip!K37=FALSE,0,1)</f>
        <v>0</v>
      </c>
      <c r="M38">
        <f>IF(gescon_infosparticip!L37=FALSE,0,1)</f>
        <v>0</v>
      </c>
      <c r="N38">
        <f>IF(gescon_infosparticip!M37=FALSE,0,1)</f>
        <v>0</v>
      </c>
      <c r="O38">
        <f>IF(gescon_infosparticip!N37=FALSE,0,1)</f>
        <v>0</v>
      </c>
      <c r="P38">
        <f>IF(gescon_infosparticip!O37=FALSE,0,1)</f>
        <v>0</v>
      </c>
      <c r="Q38">
        <f>IF(gescon_infosparticip!P37=FALSE,0,1)</f>
        <v>0</v>
      </c>
      <c r="R38">
        <f>IF(gescon_infosparticip!Q37=FALSE,0,1)</f>
        <v>0</v>
      </c>
      <c r="S38" t="str">
        <f>gescon_infosparticip!R37</f>
        <v/>
      </c>
      <c r="T38" t="str">
        <f>gescon_infosparticip!V37</f>
        <v/>
      </c>
      <c r="U38" t="str">
        <f>gescon_infosparticip!S37</f>
        <v>Faire attention à sa sonde et soutenir Janique selon son besoin.</v>
      </c>
      <c r="V38">
        <f>IF(gescon_infosparticip!U37=FALSE,0,1)</f>
        <v>1</v>
      </c>
      <c r="W38">
        <f>IF(gescon_infosparticip!T37=FALSE,0,1)</f>
        <v>0</v>
      </c>
      <c r="X38" t="str">
        <f>gescon_infosparticip!W37</f>
        <v/>
      </c>
      <c r="Y38">
        <f>IF(gescon_infosparticip!X37=FALSE,0,1)</f>
        <v>0</v>
      </c>
      <c r="Z38">
        <f>IF(gescon_infosparticip!Y37=FALSE,0,1)</f>
        <v>0</v>
      </c>
      <c r="AA38">
        <f>IF(gescon_infosparticip!Z37=FALSE,0,1)</f>
        <v>0</v>
      </c>
      <c r="AB38">
        <f>IF(gescon_infosparticip!AA37=FALSE,0,1)</f>
        <v>0</v>
      </c>
      <c r="AC38" t="str">
        <f>gescon_infosparticip!AB37</f>
        <v>oral</v>
      </c>
      <c r="AD38" t="str">
        <f>gescon_infosparticip!AC37</f>
        <v>Elle s’exprime elle-même à se sujet.</v>
      </c>
      <c r="AE38" t="str">
        <f>gescon_infosparticip!AD37</f>
        <v/>
      </c>
      <c r="AF38" t="str">
        <f>gescon_infosparticip!AE37</f>
        <v/>
      </c>
      <c r="AG38" t="str">
        <f>gescon_infosparticip!AF37</f>
        <v/>
      </c>
      <c r="AH38" t="str">
        <f>gescon_infosparticip!AG37</f>
        <v>cartes, jeux de société (Hâte-toi lentement...)</v>
      </c>
      <c r="AI38" t="str">
        <f>gescon_infosparticip!BN37</f>
        <v/>
      </c>
      <c r="AJ38" t="str">
        <f>gescon_infosparticip!BO37</f>
        <v/>
      </c>
    </row>
    <row r="39" spans="2:36" x14ac:dyDescent="0.25">
      <c r="B39">
        <f>gescon_infosparticip!A38</f>
        <v>175</v>
      </c>
      <c r="C39">
        <f>gescon_infosparticip!B38</f>
        <v>37858.709664351903</v>
      </c>
      <c r="D39">
        <f>gescon_infosparticip!C38</f>
        <v>0</v>
      </c>
      <c r="E39">
        <f>gescon_infosparticip!D38</f>
        <v>174</v>
      </c>
      <c r="F39">
        <f>gescon_infosparticip!E38</f>
        <v>0</v>
      </c>
      <c r="G39">
        <f>gescon_infosparticip!F38</f>
        <v>269</v>
      </c>
      <c r="H39">
        <f>gescon_infosparticip!G38</f>
        <v>269</v>
      </c>
      <c r="I39" t="str">
        <f>gescon_infosparticip!H38</f>
        <v/>
      </c>
      <c r="J39">
        <f>IF(gescon_infosparticip!I38=FALSE,0,1)</f>
        <v>0</v>
      </c>
      <c r="K39">
        <f>IF(gescon_infosparticip!J38=FALSE,0,1)</f>
        <v>0</v>
      </c>
      <c r="L39">
        <f>IF(gescon_infosparticip!K38=FALSE,0,1)</f>
        <v>0</v>
      </c>
      <c r="M39">
        <f>IF(gescon_infosparticip!L38=FALSE,0,1)</f>
        <v>0</v>
      </c>
      <c r="N39">
        <f>IF(gescon_infosparticip!M38=FALSE,0,1)</f>
        <v>0</v>
      </c>
      <c r="O39">
        <f>IF(gescon_infosparticip!N38=FALSE,0,1)</f>
        <v>0</v>
      </c>
      <c r="P39">
        <f>IF(gescon_infosparticip!O38=FALSE,0,1)</f>
        <v>0</v>
      </c>
      <c r="Q39">
        <f>IF(gescon_infosparticip!P38=FALSE,0,1)</f>
        <v>0</v>
      </c>
      <c r="R39">
        <f>IF(gescon_infosparticip!Q38=FALSE,0,1)</f>
        <v>0</v>
      </c>
      <c r="S39" t="str">
        <f>gescon_infosparticip!R38</f>
        <v/>
      </c>
      <c r="T39" t="str">
        <f>gescon_infosparticip!V38</f>
        <v/>
      </c>
      <c r="U39" t="str">
        <f>gescon_infosparticip!S38</f>
        <v>Christophe a besoin d’une bouée adaptée et d’être soutenu.</v>
      </c>
      <c r="V39">
        <f>IF(gescon_infosparticip!U38=FALSE,0,1)</f>
        <v>1</v>
      </c>
      <c r="W39">
        <f>IF(gescon_infosparticip!T38=FALSE,0,1)</f>
        <v>0</v>
      </c>
      <c r="X39" t="str">
        <f>gescon_infosparticip!W38</f>
        <v/>
      </c>
      <c r="Y39">
        <f>IF(gescon_infosparticip!X38=FALSE,0,1)</f>
        <v>0</v>
      </c>
      <c r="Z39">
        <f>IF(gescon_infosparticip!Y38=FALSE,0,1)</f>
        <v>0</v>
      </c>
      <c r="AA39">
        <f>IF(gescon_infosparticip!Z38=FALSE,0,1)</f>
        <v>0</v>
      </c>
      <c r="AB39">
        <f>IF(gescon_infosparticip!AA38=FALSE,0,1)</f>
        <v>0</v>
      </c>
      <c r="AC39" t="str">
        <f>gescon_infosparticip!AB38</f>
        <v>Christophe s’exprime à l’aide d’un tableau « Bliss ».</v>
      </c>
      <c r="AD39" t="str">
        <f>gescon_infosparticip!AC38</f>
        <v>Christophe aime bien le football, le hockey et le tennis. Il aime bien discuter avec les acompagnant(e)s.</v>
      </c>
      <c r="AE39" t="str">
        <f>gescon_infosparticip!AD38</f>
        <v/>
      </c>
      <c r="AF39" t="str">
        <f>gescon_infosparticip!AE38</f>
        <v/>
      </c>
      <c r="AG39" t="str">
        <f>gescon_infosparticip!AF38</f>
        <v/>
      </c>
      <c r="AH39" t="str">
        <f>gescon_infosparticip!AG38</f>
        <v>Les expositions de peinture etc.</v>
      </c>
      <c r="AI39" t="str">
        <f>gescon_infosparticip!BN38</f>
        <v/>
      </c>
      <c r="AJ39" t="str">
        <f>gescon_infosparticip!BO38</f>
        <v/>
      </c>
    </row>
    <row r="40" spans="2:36" x14ac:dyDescent="0.25">
      <c r="B40">
        <f>gescon_infosparticip!A39</f>
        <v>177</v>
      </c>
      <c r="C40">
        <f>gescon_infosparticip!B39</f>
        <v>42888</v>
      </c>
      <c r="D40">
        <f>gescon_infosparticip!C39</f>
        <v>0</v>
      </c>
      <c r="E40">
        <f>gescon_infosparticip!D39</f>
        <v>2210</v>
      </c>
      <c r="F40">
        <f>gescon_infosparticip!E39</f>
        <v>-1226171744</v>
      </c>
      <c r="G40">
        <f>gescon_infosparticip!F39</f>
        <v>2146189103</v>
      </c>
      <c r="H40">
        <f>gescon_infosparticip!G39</f>
        <v>-1226171744</v>
      </c>
      <c r="I40" t="str">
        <f>gescon_infosparticip!H39</f>
        <v>Steve Quarroz 024 473 52 30</v>
      </c>
      <c r="J40">
        <f>IF(gescon_infosparticip!I39=FALSE,0,1)</f>
        <v>0</v>
      </c>
      <c r="K40">
        <f>IF(gescon_infosparticip!J39=FALSE,0,1)</f>
        <v>1</v>
      </c>
      <c r="L40">
        <f>IF(gescon_infosparticip!K39=FALSE,0,1)</f>
        <v>0</v>
      </c>
      <c r="M40">
        <f>IF(gescon_infosparticip!L39=FALSE,0,1)</f>
        <v>1</v>
      </c>
      <c r="N40">
        <f>IF(gescon_infosparticip!M39=FALSE,0,1)</f>
        <v>0</v>
      </c>
      <c r="O40">
        <f>IF(gescon_infosparticip!N39=FALSE,0,1)</f>
        <v>0</v>
      </c>
      <c r="P40">
        <f>IF(gescon_infosparticip!O39=FALSE,0,1)</f>
        <v>0</v>
      </c>
      <c r="Q40">
        <f>IF(gescon_infosparticip!P39=FALSE,0,1)</f>
        <v>1</v>
      </c>
      <c r="R40">
        <f>IF(gescon_infosparticip!Q39=FALSE,0,1)</f>
        <v>1</v>
      </c>
      <c r="S40" t="str">
        <f>gescon_infosparticip!R39</f>
        <v>Supporte les longs trajets en bus.
Se déplace quelquefois à 4 pattes.</v>
      </c>
      <c r="T40" t="str">
        <f>gescon_infosparticip!V39</f>
        <v>Aide totale pour s'habiller - Arrive à se déshabiller</v>
      </c>
      <c r="U40" t="str">
        <f>gescon_infosparticip!S39</f>
        <v>Vlada a besoin d'être soutenue.</v>
      </c>
      <c r="V40">
        <f>IF(gescon_infosparticip!U39=FALSE,0,1)</f>
        <v>1</v>
      </c>
      <c r="W40">
        <f>IF(gescon_infosparticip!T39=FALSE,0,1)</f>
        <v>0</v>
      </c>
      <c r="X40" t="str">
        <f>gescon_infosparticip!W39</f>
        <v>Position:  plutôt sur le ventre et sans coussin.
ETRE ATTENTIF DURANT LA VEILLE (fait des crises d'épilepsie durant le nuit)</v>
      </c>
      <c r="Y40">
        <f>IF(gescon_infosparticip!X39=FALSE,0,1)</f>
        <v>0</v>
      </c>
      <c r="Z40">
        <f>IF(gescon_infosparticip!Y39=FALSE,0,1)</f>
        <v>0</v>
      </c>
      <c r="AA40">
        <f>IF(gescon_infosparticip!Z39=FALSE,0,1)</f>
        <v>0</v>
      </c>
      <c r="AB40">
        <f>IF(gescon_infosparticip!AA39=FALSE,0,1)</f>
        <v>1</v>
      </c>
      <c r="AC40" t="str">
        <f>gescon_infosparticip!AB39</f>
        <v>Langage oral</v>
      </c>
      <c r="AD40" t="str">
        <f>gescon_infosparticip!AC39</f>
        <v>Parents mariés</v>
      </c>
      <c r="AE40" t="str">
        <f>gescon_infosparticip!AD39</f>
        <v>Vlada a une sœur (Malina de 1984 qui est mariée à Davide). 3 neveux (Avril née en 2007, Maorie née en 2010, Siloé né en 2015)</v>
      </c>
      <c r="AF40" t="str">
        <f>gescon_infosparticip!AE39</f>
        <v/>
      </c>
      <c r="AG40" t="str">
        <f>gescon_infosparticip!AF39</f>
        <v>Elle aime bien écouter de la musique et des histoires d’enfants. Elle aime danser. Elle cherche le contact avec les adultes. Elle aime aussi les poupées, les chiens et les chats (mais de loin). Elle aime aussi les motos.</v>
      </c>
      <c r="AH40" t="str">
        <f>gescon_infosparticip!AG39</f>
        <v/>
      </c>
      <c r="AI40" t="str">
        <f>gescon_infosparticip!BN39</f>
        <v>soit assise par terre avec les jambes devant, soit dans le lit. En lui tenant les 2 main, elle arrive à marcher sur des courtts trajets (WC-Pour aller au lit)</v>
      </c>
      <c r="AJ40" t="str">
        <f>gescon_infosparticip!BO39</f>
        <v>min. 1 fois par jour</v>
      </c>
    </row>
    <row r="41" spans="2:36" x14ac:dyDescent="0.25">
      <c r="B41">
        <f>gescon_infosparticip!A40</f>
        <v>179</v>
      </c>
      <c r="C41">
        <f>gescon_infosparticip!B40</f>
        <v>38104.5675694444</v>
      </c>
      <c r="D41">
        <f>gescon_infosparticip!C40</f>
        <v>0</v>
      </c>
      <c r="E41">
        <f>gescon_infosparticip!D40</f>
        <v>0</v>
      </c>
      <c r="F41">
        <f>gescon_infosparticip!E40</f>
        <v>0</v>
      </c>
      <c r="G41">
        <f>gescon_infosparticip!F40</f>
        <v>0</v>
      </c>
      <c r="H41">
        <f>gescon_infosparticip!G40</f>
        <v>0</v>
      </c>
      <c r="I41" t="str">
        <f>gescon_infosparticip!H40</f>
        <v/>
      </c>
      <c r="J41">
        <f>IF(gescon_infosparticip!I40=FALSE,0,1)</f>
        <v>0</v>
      </c>
      <c r="K41">
        <f>IF(gescon_infosparticip!J40=FALSE,0,1)</f>
        <v>0</v>
      </c>
      <c r="L41">
        <f>IF(gescon_infosparticip!K40=FALSE,0,1)</f>
        <v>0</v>
      </c>
      <c r="M41">
        <f>IF(gescon_infosparticip!L40=FALSE,0,1)</f>
        <v>0</v>
      </c>
      <c r="N41">
        <f>IF(gescon_infosparticip!M40=FALSE,0,1)</f>
        <v>0</v>
      </c>
      <c r="O41">
        <f>IF(gescon_infosparticip!N40=FALSE,0,1)</f>
        <v>0</v>
      </c>
      <c r="P41">
        <f>IF(gescon_infosparticip!O40=FALSE,0,1)</f>
        <v>0</v>
      </c>
      <c r="Q41">
        <f>IF(gescon_infosparticip!P40=FALSE,0,1)</f>
        <v>0</v>
      </c>
      <c r="R41">
        <f>IF(gescon_infosparticip!Q40=FALSE,0,1)</f>
        <v>0</v>
      </c>
      <c r="S41" t="str">
        <f>gescon_infosparticip!R40</f>
        <v/>
      </c>
      <c r="T41" t="str">
        <f>gescon_infosparticip!V40</f>
        <v/>
      </c>
      <c r="U41" t="str">
        <f>gescon_infosparticip!S40</f>
        <v>Surveiller Kathia à cause des crises d'épilepsie</v>
      </c>
      <c r="V41">
        <f>IF(gescon_infosparticip!U40=FALSE,0,1)</f>
        <v>1</v>
      </c>
      <c r="W41">
        <f>IF(gescon_infosparticip!T40=FALSE,0,1)</f>
        <v>0</v>
      </c>
      <c r="X41" t="str">
        <f>gescon_infosparticip!W40</f>
        <v/>
      </c>
      <c r="Y41">
        <f>IF(gescon_infosparticip!X40=FALSE,0,1)</f>
        <v>0</v>
      </c>
      <c r="Z41">
        <f>IF(gescon_infosparticip!Y40=FALSE,0,1)</f>
        <v>0</v>
      </c>
      <c r="AA41">
        <f>IF(gescon_infosparticip!Z40=FALSE,0,1)</f>
        <v>0</v>
      </c>
      <c r="AB41">
        <f>IF(gescon_infosparticip!AA40=FALSE,0,1)</f>
        <v>0</v>
      </c>
      <c r="AC41" t="str">
        <f>gescon_infosparticip!AB40</f>
        <v>Oral</v>
      </c>
      <c r="AD41" t="str">
        <f>gescon_infosparticip!AC40</f>
        <v>Kathia a un frère qui s'appelle Gabriel (1979) et qui a une copine (Chimène). Elle aime bien Roch Voisine. Elle travaille aux ateliers de la FOVHAM à Sion.</v>
      </c>
      <c r="AE41" t="str">
        <f>gescon_infosparticip!AD40</f>
        <v/>
      </c>
      <c r="AF41" t="str">
        <f>gescon_infosparticip!AE40</f>
        <v/>
      </c>
      <c r="AG41" t="str">
        <f>gescon_infosparticip!AF40</f>
        <v/>
      </c>
      <c r="AH41" t="str">
        <f>gescon_infosparticip!AG40</f>
        <v/>
      </c>
      <c r="AI41" t="str">
        <f>gescon_infosparticip!BN40</f>
        <v/>
      </c>
      <c r="AJ41" t="str">
        <f>gescon_infosparticip!BO40</f>
        <v/>
      </c>
    </row>
    <row r="42" spans="2:36" x14ac:dyDescent="0.25">
      <c r="B42">
        <f>gescon_infosparticip!A41</f>
        <v>182</v>
      </c>
      <c r="C42">
        <f>gescon_infosparticip!B41</f>
        <v>42632</v>
      </c>
      <c r="D42">
        <f>gescon_infosparticip!C41</f>
        <v>131</v>
      </c>
      <c r="E42">
        <f>gescon_infosparticip!D41</f>
        <v>0</v>
      </c>
      <c r="F42">
        <f>gescon_infosparticip!E41</f>
        <v>0</v>
      </c>
      <c r="G42">
        <f>gescon_infosparticip!F41</f>
        <v>269</v>
      </c>
      <c r="H42">
        <f>gescon_infosparticip!G41</f>
        <v>0</v>
      </c>
      <c r="I42" t="str">
        <f>gescon_infosparticip!H41</f>
        <v/>
      </c>
      <c r="J42">
        <f>IF(gescon_infosparticip!I41=FALSE,0,1)</f>
        <v>0</v>
      </c>
      <c r="K42">
        <f>IF(gescon_infosparticip!J41=FALSE,0,1)</f>
        <v>1</v>
      </c>
      <c r="L42">
        <f>IF(gescon_infosparticip!K41=FALSE,0,1)</f>
        <v>1</v>
      </c>
      <c r="M42">
        <f>IF(gescon_infosparticip!L41=FALSE,0,1)</f>
        <v>0</v>
      </c>
      <c r="N42">
        <f>IF(gescon_infosparticip!M41=FALSE,0,1)</f>
        <v>0</v>
      </c>
      <c r="O42">
        <f>IF(gescon_infosparticip!N41=FALSE,0,1)</f>
        <v>1</v>
      </c>
      <c r="P42">
        <f>IF(gescon_infosparticip!O41=FALSE,0,1)</f>
        <v>0</v>
      </c>
      <c r="Q42">
        <f>IF(gescon_infosparticip!P41=FALSE,0,1)</f>
        <v>1</v>
      </c>
      <c r="R42">
        <f>IF(gescon_infosparticip!Q41=FALSE,0,1)</f>
        <v>1</v>
      </c>
      <c r="S42" t="str">
        <f>gescon_infosparticip!R41</f>
        <v>Elle ne sait pas calculer le retour de la monnaie.
Elle supporte les long trajets.</v>
      </c>
      <c r="T42" t="str">
        <f>gescon_infosparticip!V41</f>
        <v>Elle a besoin d'aide pour mettre ses chaussettes, ses souliers, son pantalon.</v>
      </c>
      <c r="U42" t="str">
        <f>gescon_infosparticip!S41</f>
        <v>Elle n'aime pas aller à la piscine.</v>
      </c>
      <c r="V42">
        <f>IF(gescon_infosparticip!U41=FALSE,0,1)</f>
        <v>1</v>
      </c>
      <c r="W42">
        <f>IF(gescon_infosparticip!T41=FALSE,0,1)</f>
        <v>0</v>
      </c>
      <c r="X42" t="str">
        <f>gescon_infosparticip!W41</f>
        <v/>
      </c>
      <c r="Y42">
        <f>IF(gescon_infosparticip!X41=FALSE,0,1)</f>
        <v>0</v>
      </c>
      <c r="Z42">
        <f>IF(gescon_infosparticip!Y41=FALSE,0,1)</f>
        <v>0</v>
      </c>
      <c r="AA42">
        <f>IF(gescon_infosparticip!Z41=FALSE,0,1)</f>
        <v>0</v>
      </c>
      <c r="AB42">
        <f>IF(gescon_infosparticip!AA41=FALSE,0,1)</f>
        <v>0</v>
      </c>
      <c r="AC42" t="str">
        <f>gescon_infosparticip!AB41</f>
        <v>oral, elle a tendance à se faire appeler Catherine.</v>
      </c>
      <c r="AD42" t="str">
        <f>gescon_infosparticip!AC41</f>
        <v/>
      </c>
      <c r="AE42" t="str">
        <f>gescon_infosparticip!AD41</f>
        <v/>
      </c>
      <c r="AF42" t="str">
        <f>gescon_infosparticip!AE41</f>
        <v/>
      </c>
      <c r="AG42" t="str">
        <f>gescon_infosparticip!AF41</f>
        <v/>
      </c>
      <c r="AH42" t="str">
        <f>gescon_infosparticip!AG41</f>
        <v>La piscine et la bateau</v>
      </c>
      <c r="AI42" t="str">
        <f>gescon_infosparticip!BN41</f>
        <v>----</v>
      </c>
      <c r="AJ42" t="str">
        <f>gescon_infosparticip!BO41</f>
        <v/>
      </c>
    </row>
    <row r="43" spans="2:36" x14ac:dyDescent="0.25">
      <c r="B43">
        <f>gescon_infosparticip!A42</f>
        <v>184</v>
      </c>
      <c r="C43">
        <f>gescon_infosparticip!B42</f>
        <v>37833.450798611098</v>
      </c>
      <c r="D43">
        <f>gescon_infosparticip!C42</f>
        <v>2210</v>
      </c>
      <c r="E43">
        <f>gescon_infosparticip!D42</f>
        <v>418487882</v>
      </c>
      <c r="F43">
        <f>gescon_infosparticip!E42</f>
        <v>0</v>
      </c>
      <c r="G43">
        <f>gescon_infosparticip!F42</f>
        <v>269</v>
      </c>
      <c r="H43">
        <f>gescon_infosparticip!G42</f>
        <v>269</v>
      </c>
      <c r="I43" t="str">
        <f>gescon_infosparticip!H42</f>
        <v/>
      </c>
      <c r="J43">
        <f>IF(gescon_infosparticip!I42=FALSE,0,1)</f>
        <v>0</v>
      </c>
      <c r="K43">
        <f>IF(gescon_infosparticip!J42=FALSE,0,1)</f>
        <v>0</v>
      </c>
      <c r="L43">
        <f>IF(gescon_infosparticip!K42=FALSE,0,1)</f>
        <v>0</v>
      </c>
      <c r="M43">
        <f>IF(gescon_infosparticip!L42=FALSE,0,1)</f>
        <v>0</v>
      </c>
      <c r="N43">
        <f>IF(gescon_infosparticip!M42=FALSE,0,1)</f>
        <v>0</v>
      </c>
      <c r="O43">
        <f>IF(gescon_infosparticip!N42=FALSE,0,1)</f>
        <v>0</v>
      </c>
      <c r="P43">
        <f>IF(gescon_infosparticip!O42=FALSE,0,1)</f>
        <v>0</v>
      </c>
      <c r="Q43">
        <f>IF(gescon_infosparticip!P42=FALSE,0,1)</f>
        <v>0</v>
      </c>
      <c r="R43">
        <f>IF(gescon_infosparticip!Q42=FALSE,0,1)</f>
        <v>0</v>
      </c>
      <c r="S43" t="str">
        <f>gescon_infosparticip!R42</f>
        <v/>
      </c>
      <c r="T43" t="str">
        <f>gescon_infosparticip!V42</f>
        <v/>
      </c>
      <c r="U43" t="str">
        <f>gescon_infosparticip!S42</f>
        <v>présence d’une personne obligatoire pour le tenir, de préférence un gilet, Fabian n’aime pas l’eau froide.</v>
      </c>
      <c r="V43">
        <f>IF(gescon_infosparticip!U42=FALSE,0,1)</f>
        <v>1</v>
      </c>
      <c r="W43">
        <f>IF(gescon_infosparticip!T42=FALSE,0,1)</f>
        <v>1</v>
      </c>
      <c r="X43" t="str">
        <f>gescon_infosparticip!W42</f>
        <v/>
      </c>
      <c r="Y43">
        <f>IF(gescon_infosparticip!X42=FALSE,0,1)</f>
        <v>0</v>
      </c>
      <c r="Z43">
        <f>IF(gescon_infosparticip!Y42=FALSE,0,1)</f>
        <v>0</v>
      </c>
      <c r="AA43">
        <f>IF(gescon_infosparticip!Z42=FALSE,0,1)</f>
        <v>0</v>
      </c>
      <c r="AB43">
        <f>IF(gescon_infosparticip!AA42=FALSE,0,1)</f>
        <v>0</v>
      </c>
      <c r="AC43" t="str">
        <f>gescon_infosparticip!AB42</f>
        <v>Fabian parle et comprend tout. Il faut lui parler lentement et il a besoin de temps pour répondre. Il apprécie les questions aux réponses : oui ou non</v>
      </c>
      <c r="AD43" t="str">
        <f>gescon_infosparticip!AC42</f>
        <v>Fabian est passionné de cirque et il a de nombreux contact avec le cirque Knie. Il apprécie également se promener en ville, aller au restaurant, voire du monde et être en contact avec des gens. Il va régulièrement chez sa mère avec sa sœur Janique qui est</v>
      </c>
      <c r="AE43" t="str">
        <f>gescon_infosparticip!AD42</f>
        <v>Fabian a 2 sœurs: Janique et Nathalie</v>
      </c>
      <c r="AF43" t="str">
        <f>gescon_infosparticip!AE42</f>
        <v/>
      </c>
      <c r="AG43" t="str">
        <f>gescon_infosparticip!AF42</f>
        <v>Fabian est passionné de cirque et il a de nombreux contact avec le cirque Knie. Il apprécie également se promener en ville, aller au restaurant, voire du monde et être en contact avec des gens. Il va régulièrement chez sa mère avec sa sœur Janique qui est également résidente à Valais de Cœur.</v>
      </c>
      <c r="AH43" t="str">
        <f>gescon_infosparticip!AG42</f>
        <v>la discothèque car il y a trop de brui.</v>
      </c>
      <c r="AI43" t="str">
        <f>gescon_infosparticip!BN42</f>
        <v/>
      </c>
      <c r="AJ43" t="str">
        <f>gescon_infosparticip!BO42</f>
        <v/>
      </c>
    </row>
    <row r="44" spans="2:36" x14ac:dyDescent="0.25">
      <c r="B44">
        <f>gescon_infosparticip!A43</f>
        <v>252</v>
      </c>
      <c r="C44">
        <f>gescon_infosparticip!B43</f>
        <v>42327</v>
      </c>
      <c r="D44">
        <f>gescon_infosparticip!C43</f>
        <v>0</v>
      </c>
      <c r="E44">
        <f>gescon_infosparticip!D43</f>
        <v>0</v>
      </c>
      <c r="F44">
        <f>gescon_infosparticip!E43</f>
        <v>0</v>
      </c>
      <c r="G44">
        <f>gescon_infosparticip!F43</f>
        <v>0</v>
      </c>
      <c r="H44">
        <f>gescon_infosparticip!G43</f>
        <v>0</v>
      </c>
      <c r="I44" t="str">
        <f>gescon_infosparticip!H43</f>
        <v/>
      </c>
      <c r="J44">
        <f>IF(gescon_infosparticip!I43=FALSE,0,1)</f>
        <v>0</v>
      </c>
      <c r="K44">
        <f>IF(gescon_infosparticip!J43=FALSE,0,1)</f>
        <v>0</v>
      </c>
      <c r="L44">
        <f>IF(gescon_infosparticip!K43=FALSE,0,1)</f>
        <v>0</v>
      </c>
      <c r="M44">
        <f>IF(gescon_infosparticip!L43=FALSE,0,1)</f>
        <v>0</v>
      </c>
      <c r="N44">
        <f>IF(gescon_infosparticip!M43=FALSE,0,1)</f>
        <v>0</v>
      </c>
      <c r="O44">
        <f>IF(gescon_infosparticip!N43=FALSE,0,1)</f>
        <v>0</v>
      </c>
      <c r="P44">
        <f>IF(gescon_infosparticip!O43=FALSE,0,1)</f>
        <v>0</v>
      </c>
      <c r="Q44">
        <f>IF(gescon_infosparticip!P43=FALSE,0,1)</f>
        <v>0</v>
      </c>
      <c r="R44">
        <f>IF(gescon_infosparticip!Q43=FALSE,0,1)</f>
        <v>0</v>
      </c>
      <c r="S44" t="str">
        <f>gescon_infosparticip!R43</f>
        <v/>
      </c>
      <c r="T44" t="str">
        <f>gescon_infosparticip!V43</f>
        <v/>
      </c>
      <c r="U44" t="str">
        <f>gescon_infosparticip!S43</f>
        <v/>
      </c>
      <c r="V44">
        <f>IF(gescon_infosparticip!U43=FALSE,0,1)</f>
        <v>0</v>
      </c>
      <c r="W44">
        <f>IF(gescon_infosparticip!T43=FALSE,0,1)</f>
        <v>0</v>
      </c>
      <c r="X44" t="str">
        <f>gescon_infosparticip!W43</f>
        <v/>
      </c>
      <c r="Y44">
        <f>IF(gescon_infosparticip!X43=FALSE,0,1)</f>
        <v>0</v>
      </c>
      <c r="Z44">
        <f>IF(gescon_infosparticip!Y43=FALSE,0,1)</f>
        <v>0</v>
      </c>
      <c r="AA44">
        <f>IF(gescon_infosparticip!Z43=FALSE,0,1)</f>
        <v>0</v>
      </c>
      <c r="AB44">
        <f>IF(gescon_infosparticip!AA43=FALSE,0,1)</f>
        <v>0</v>
      </c>
      <c r="AC44" t="str">
        <f>gescon_infosparticip!AB43</f>
        <v/>
      </c>
      <c r="AD44" t="str">
        <f>gescon_infosparticip!AC43</f>
        <v/>
      </c>
      <c r="AE44" t="str">
        <f>gescon_infosparticip!AD43</f>
        <v/>
      </c>
      <c r="AF44" t="str">
        <f>gescon_infosparticip!AE43</f>
        <v/>
      </c>
      <c r="AG44" t="str">
        <f>gescon_infosparticip!AF43</f>
        <v/>
      </c>
      <c r="AH44" t="str">
        <f>gescon_infosparticip!AG43</f>
        <v/>
      </c>
      <c r="AI44" t="str">
        <f>gescon_infosparticip!BN43</f>
        <v/>
      </c>
      <c r="AJ44" t="str">
        <f>gescon_infosparticip!BO43</f>
        <v/>
      </c>
    </row>
    <row r="45" spans="2:36" x14ac:dyDescent="0.25">
      <c r="B45">
        <f>gescon_infosparticip!A44</f>
        <v>279</v>
      </c>
      <c r="C45">
        <f>gescon_infosparticip!B44</f>
        <v>37916.590381944399</v>
      </c>
      <c r="D45">
        <f>gescon_infosparticip!C44</f>
        <v>0</v>
      </c>
      <c r="E45">
        <f>gescon_infosparticip!D44</f>
        <v>0</v>
      </c>
      <c r="F45">
        <f>gescon_infosparticip!E44</f>
        <v>0</v>
      </c>
      <c r="G45">
        <f>gescon_infosparticip!F44</f>
        <v>0</v>
      </c>
      <c r="H45">
        <f>gescon_infosparticip!G44</f>
        <v>0</v>
      </c>
      <c r="I45" t="str">
        <f>gescon_infosparticip!H44</f>
        <v/>
      </c>
      <c r="J45">
        <f>IF(gescon_infosparticip!I44=FALSE,0,1)</f>
        <v>0</v>
      </c>
      <c r="K45">
        <f>IF(gescon_infosparticip!J44=FALSE,0,1)</f>
        <v>0</v>
      </c>
      <c r="L45">
        <f>IF(gescon_infosparticip!K44=FALSE,0,1)</f>
        <v>0</v>
      </c>
      <c r="M45">
        <f>IF(gescon_infosparticip!L44=FALSE,0,1)</f>
        <v>0</v>
      </c>
      <c r="N45">
        <f>IF(gescon_infosparticip!M44=FALSE,0,1)</f>
        <v>0</v>
      </c>
      <c r="O45">
        <f>IF(gescon_infosparticip!N44=FALSE,0,1)</f>
        <v>0</v>
      </c>
      <c r="P45">
        <f>IF(gescon_infosparticip!O44=FALSE,0,1)</f>
        <v>0</v>
      </c>
      <c r="Q45">
        <f>IF(gescon_infosparticip!P44=FALSE,0,1)</f>
        <v>0</v>
      </c>
      <c r="R45">
        <f>IF(gescon_infosparticip!Q44=FALSE,0,1)</f>
        <v>0</v>
      </c>
      <c r="S45" t="str">
        <f>gescon_infosparticip!R44</f>
        <v/>
      </c>
      <c r="T45" t="str">
        <f>gescon_infosparticip!V44</f>
        <v/>
      </c>
      <c r="U45" t="str">
        <f>gescon_infosparticip!S44</f>
        <v>Elle aime bien la piscine</v>
      </c>
      <c r="V45">
        <f>IF(gescon_infosparticip!U44=FALSE,0,1)</f>
        <v>0</v>
      </c>
      <c r="W45">
        <f>IF(gescon_infosparticip!T44=FALSE,0,1)</f>
        <v>0</v>
      </c>
      <c r="X45" t="str">
        <f>gescon_infosparticip!W44</f>
        <v/>
      </c>
      <c r="Y45">
        <f>IF(gescon_infosparticip!X44=FALSE,0,1)</f>
        <v>0</v>
      </c>
      <c r="Z45">
        <f>IF(gescon_infosparticip!Y44=FALSE,0,1)</f>
        <v>0</v>
      </c>
      <c r="AA45">
        <f>IF(gescon_infosparticip!Z44=FALSE,0,1)</f>
        <v>0</v>
      </c>
      <c r="AB45">
        <f>IF(gescon_infosparticip!AA44=FALSE,0,1)</f>
        <v>0</v>
      </c>
      <c r="AC45" t="str">
        <f>gescon_infosparticip!AB44</f>
        <v>oral</v>
      </c>
      <c r="AD45" t="str">
        <f>gescon_infosparticip!AC44</f>
        <v>Vaishali aime jouer du piano. Elle adore bricoler, faire du dessin, jouer à des jeux de société. Elle apprécie la piscine et aller au cinéma. Elle aime aussi faire la vaisselle et aider les autres enfants.
Remarques: Vaishali est grande copine avec M</v>
      </c>
      <c r="AE45" t="str">
        <f>gescon_infosparticip!AD44</f>
        <v/>
      </c>
      <c r="AF45" t="str">
        <f>gescon_infosparticip!AE44</f>
        <v/>
      </c>
      <c r="AG45" t="str">
        <f>gescon_infosparticip!AF44</f>
        <v/>
      </c>
      <c r="AH45" t="str">
        <f>gescon_infosparticip!AG44</f>
        <v/>
      </c>
      <c r="AI45" t="str">
        <f>gescon_infosparticip!BN44</f>
        <v/>
      </c>
      <c r="AJ45" t="str">
        <f>gescon_infosparticip!BO44</f>
        <v/>
      </c>
    </row>
    <row r="46" spans="2:36" x14ac:dyDescent="0.25">
      <c r="B46">
        <f>gescon_infosparticip!A45</f>
        <v>280</v>
      </c>
      <c r="C46">
        <f>gescon_infosparticip!B45</f>
        <v>37846.614930555603</v>
      </c>
      <c r="D46">
        <f>gescon_infosparticip!C45</f>
        <v>2210</v>
      </c>
      <c r="E46">
        <f>gescon_infosparticip!D45</f>
        <v>1103</v>
      </c>
      <c r="F46">
        <f>gescon_infosparticip!E45</f>
        <v>0</v>
      </c>
      <c r="G46">
        <f>gescon_infosparticip!F45</f>
        <v>0</v>
      </c>
      <c r="H46">
        <f>gescon_infosparticip!G45</f>
        <v>0</v>
      </c>
      <c r="I46" t="str">
        <f>gescon_infosparticip!H45</f>
        <v/>
      </c>
      <c r="J46">
        <f>IF(gescon_infosparticip!I45=FALSE,0,1)</f>
        <v>0</v>
      </c>
      <c r="K46">
        <f>IF(gescon_infosparticip!J45=FALSE,0,1)</f>
        <v>0</v>
      </c>
      <c r="L46">
        <f>IF(gescon_infosparticip!K45=FALSE,0,1)</f>
        <v>0</v>
      </c>
      <c r="M46">
        <f>IF(gescon_infosparticip!L45=FALSE,0,1)</f>
        <v>0</v>
      </c>
      <c r="N46">
        <f>IF(gescon_infosparticip!M45=FALSE,0,1)</f>
        <v>0</v>
      </c>
      <c r="O46">
        <f>IF(gescon_infosparticip!N45=FALSE,0,1)</f>
        <v>0</v>
      </c>
      <c r="P46">
        <f>IF(gescon_infosparticip!O45=FALSE,0,1)</f>
        <v>0</v>
      </c>
      <c r="Q46">
        <f>IF(gescon_infosparticip!P45=FALSE,0,1)</f>
        <v>0</v>
      </c>
      <c r="R46">
        <f>IF(gescon_infosparticip!Q45=FALSE,0,1)</f>
        <v>0</v>
      </c>
      <c r="S46" t="str">
        <f>gescon_infosparticip!R45</f>
        <v/>
      </c>
      <c r="T46" t="str">
        <f>gescon_infosparticip!V45</f>
        <v/>
      </c>
      <c r="U46" t="str">
        <f>gescon_infosparticip!S45</f>
        <v>Fabien nage seul.</v>
      </c>
      <c r="V46">
        <f>IF(gescon_infosparticip!U45=FALSE,0,1)</f>
        <v>0</v>
      </c>
      <c r="W46">
        <f>IF(gescon_infosparticip!T45=FALSE,0,1)</f>
        <v>0</v>
      </c>
      <c r="X46" t="str">
        <f>gescon_infosparticip!W45</f>
        <v/>
      </c>
      <c r="Y46">
        <f>IF(gescon_infosparticip!X45=FALSE,0,1)</f>
        <v>0</v>
      </c>
      <c r="Z46">
        <f>IF(gescon_infosparticip!Y45=FALSE,0,1)</f>
        <v>0</v>
      </c>
      <c r="AA46">
        <f>IF(gescon_infosparticip!Z45=FALSE,0,1)</f>
        <v>0</v>
      </c>
      <c r="AB46">
        <f>IF(gescon_infosparticip!AA45=FALSE,0,1)</f>
        <v>0</v>
      </c>
      <c r="AC46" t="str">
        <f>gescon_infosparticip!AB45</f>
        <v>Fabien cherche par tous les moyens de se faire comprendre, mais il n’est pas toujours facile de le comprendre.</v>
      </c>
      <c r="AD46" t="str">
        <f>gescon_infosparticip!AC45</f>
        <v>Fabien a un grand frère qui s’appelle Léonard et qui a le même handicap que lui.</v>
      </c>
      <c r="AE46" t="str">
        <f>gescon_infosparticip!AD45</f>
        <v/>
      </c>
      <c r="AF46" t="str">
        <f>gescon_infosparticip!AE45</f>
        <v/>
      </c>
      <c r="AG46" t="str">
        <f>gescon_infosparticip!AF45</f>
        <v/>
      </c>
      <c r="AH46" t="str">
        <f>gescon_infosparticip!AG45</f>
        <v/>
      </c>
      <c r="AI46" t="str">
        <f>gescon_infosparticip!BN45</f>
        <v/>
      </c>
      <c r="AJ46" t="str">
        <f>gescon_infosparticip!BO45</f>
        <v/>
      </c>
    </row>
    <row r="47" spans="2:36" x14ac:dyDescent="0.25">
      <c r="B47">
        <f>gescon_infosparticip!A46</f>
        <v>281</v>
      </c>
      <c r="C47">
        <f>gescon_infosparticip!B46</f>
        <v>42482</v>
      </c>
      <c r="D47">
        <f>gescon_infosparticip!C46</f>
        <v>280</v>
      </c>
      <c r="E47">
        <f>gescon_infosparticip!D46</f>
        <v>1103</v>
      </c>
      <c r="F47">
        <f>gescon_infosparticip!E46</f>
        <v>1192527076</v>
      </c>
      <c r="G47">
        <f>gescon_infosparticip!F46</f>
        <v>1465</v>
      </c>
      <c r="H47">
        <f>gescon_infosparticip!G46</f>
        <v>0</v>
      </c>
      <c r="I47" t="str">
        <f>gescon_infosparticip!H46</f>
        <v/>
      </c>
      <c r="J47">
        <f>IF(gescon_infosparticip!I46=FALSE,0,1)</f>
        <v>0</v>
      </c>
      <c r="K47">
        <f>IF(gescon_infosparticip!J46=FALSE,0,1)</f>
        <v>1</v>
      </c>
      <c r="L47">
        <f>IF(gescon_infosparticip!K46=FALSE,0,1)</f>
        <v>0</v>
      </c>
      <c r="M47">
        <f>IF(gescon_infosparticip!L46=FALSE,0,1)</f>
        <v>0</v>
      </c>
      <c r="N47">
        <f>IF(gescon_infosparticip!M46=FALSE,0,1)</f>
        <v>1</v>
      </c>
      <c r="O47">
        <f>IF(gescon_infosparticip!N46=FALSE,0,1)</f>
        <v>0</v>
      </c>
      <c r="P47">
        <f>IF(gescon_infosparticip!O46=FALSE,0,1)</f>
        <v>0</v>
      </c>
      <c r="Q47">
        <f>IF(gescon_infosparticip!P46=FALSE,0,1)</f>
        <v>0</v>
      </c>
      <c r="R47">
        <f>IF(gescon_infosparticip!Q46=FALSE,0,1)</f>
        <v>0</v>
      </c>
      <c r="S47" t="str">
        <f>gescon_infosparticip!R46</f>
        <v/>
      </c>
      <c r="T47" t="str">
        <f>gescon_infosparticip!V46</f>
        <v/>
      </c>
      <c r="U47" t="str">
        <f>gescon_infosparticip!S46</f>
        <v>Léonard nage seul.</v>
      </c>
      <c r="V47">
        <f>IF(gescon_infosparticip!U46=FALSE,0,1)</f>
        <v>1</v>
      </c>
      <c r="W47">
        <f>IF(gescon_infosparticip!T46=FALSE,0,1)</f>
        <v>0</v>
      </c>
      <c r="X47" t="str">
        <f>gescon_infosparticip!W46</f>
        <v/>
      </c>
      <c r="Y47">
        <f>IF(gescon_infosparticip!X46=FALSE,0,1)</f>
        <v>0</v>
      </c>
      <c r="Z47">
        <f>IF(gescon_infosparticip!Y46=FALSE,0,1)</f>
        <v>0</v>
      </c>
      <c r="AA47">
        <f>IF(gescon_infosparticip!Z46=FALSE,0,1)</f>
        <v>0</v>
      </c>
      <c r="AB47">
        <f>IF(gescon_infosparticip!AA46=FALSE,0,1)</f>
        <v>0</v>
      </c>
      <c r="AC47" t="str">
        <f>gescon_infosparticip!AB46</f>
        <v>Léonard cherche par tous les moyens à se faire comprendre. Il n'est pas toujours facile de la comprendre.</v>
      </c>
      <c r="AD47" t="str">
        <f>gescon_infosparticip!AC46</f>
        <v>Léonard a un petit frère qui s'appelle fabien et qui a le même handicap que lui.</v>
      </c>
      <c r="AE47" t="str">
        <f>gescon_infosparticip!AD46</f>
        <v/>
      </c>
      <c r="AF47" t="str">
        <f>gescon_infosparticip!AE46</f>
        <v/>
      </c>
      <c r="AG47" t="str">
        <f>gescon_infosparticip!AF46</f>
        <v/>
      </c>
      <c r="AH47" t="str">
        <f>gescon_infosparticip!AG46</f>
        <v/>
      </c>
      <c r="AI47" t="str">
        <f>gescon_infosparticip!BN46</f>
        <v/>
      </c>
      <c r="AJ47" t="str">
        <f>gescon_infosparticip!BO46</f>
        <v/>
      </c>
    </row>
    <row r="48" spans="2:36" x14ac:dyDescent="0.25">
      <c r="B48">
        <f>gescon_infosparticip!A47</f>
        <v>283</v>
      </c>
      <c r="C48">
        <f>gescon_infosparticip!B47</f>
        <v>37847.462986111103</v>
      </c>
      <c r="D48">
        <f>gescon_infosparticip!C47</f>
        <v>0</v>
      </c>
      <c r="E48">
        <f>gescon_infosparticip!D47</f>
        <v>0</v>
      </c>
      <c r="F48">
        <f>gescon_infosparticip!E47</f>
        <v>0</v>
      </c>
      <c r="G48">
        <f>gescon_infosparticip!F47</f>
        <v>0</v>
      </c>
      <c r="H48">
        <f>gescon_infosparticip!G47</f>
        <v>0</v>
      </c>
      <c r="I48" t="str">
        <f>gescon_infosparticip!H47</f>
        <v/>
      </c>
      <c r="J48">
        <f>IF(gescon_infosparticip!I47=FALSE,0,1)</f>
        <v>0</v>
      </c>
      <c r="K48">
        <f>IF(gescon_infosparticip!J47=FALSE,0,1)</f>
        <v>0</v>
      </c>
      <c r="L48">
        <f>IF(gescon_infosparticip!K47=FALSE,0,1)</f>
        <v>0</v>
      </c>
      <c r="M48">
        <f>IF(gescon_infosparticip!L47=FALSE,0,1)</f>
        <v>0</v>
      </c>
      <c r="N48">
        <f>IF(gescon_infosparticip!M47=FALSE,0,1)</f>
        <v>0</v>
      </c>
      <c r="O48">
        <f>IF(gescon_infosparticip!N47=FALSE,0,1)</f>
        <v>0</v>
      </c>
      <c r="P48">
        <f>IF(gescon_infosparticip!O47=FALSE,0,1)</f>
        <v>0</v>
      </c>
      <c r="Q48">
        <f>IF(gescon_infosparticip!P47=FALSE,0,1)</f>
        <v>0</v>
      </c>
      <c r="R48">
        <f>IF(gescon_infosparticip!Q47=FALSE,0,1)</f>
        <v>0</v>
      </c>
      <c r="S48" t="str">
        <f>gescon_infosparticip!R47</f>
        <v/>
      </c>
      <c r="T48" t="str">
        <f>gescon_infosparticip!V47</f>
        <v/>
      </c>
      <c r="U48" t="str">
        <f>gescon_infosparticip!S47</f>
        <v>Avec des manchons et une surveillance total. Il aime beaucoup l'eau.</v>
      </c>
      <c r="V48">
        <f>IF(gescon_infosparticip!U47=FALSE,0,1)</f>
        <v>1</v>
      </c>
      <c r="W48">
        <f>IF(gescon_infosparticip!T47=FALSE,0,1)</f>
        <v>0</v>
      </c>
      <c r="X48" t="str">
        <f>gescon_infosparticip!W47</f>
        <v/>
      </c>
      <c r="Y48">
        <f>IF(gescon_infosparticip!X47=FALSE,0,1)</f>
        <v>0</v>
      </c>
      <c r="Z48">
        <f>IF(gescon_infosparticip!Y47=FALSE,0,1)</f>
        <v>0</v>
      </c>
      <c r="AA48">
        <f>IF(gescon_infosparticip!Z47=FALSE,0,1)</f>
        <v>0</v>
      </c>
      <c r="AB48">
        <f>IF(gescon_infosparticip!AA47=FALSE,0,1)</f>
        <v>0</v>
      </c>
      <c r="AC48" t="str">
        <f>gescon_infosparticip!AB47</f>
        <v>Philippe ne parle pas, mais essaye de se faire comprendre par exemple en prenant la main</v>
      </c>
      <c r="AD48" t="str">
        <f>gescon_infosparticip!AC47</f>
        <v>Il aime jouer aux Duplo: démonter des constructions. Il apprécie tous les jeux de la 1ère enfance, du 1er âge. Il aime écouter de la musique prendre la douche et aller à la piscine.</v>
      </c>
      <c r="AE48" t="str">
        <f>gescon_infosparticip!AD47</f>
        <v/>
      </c>
      <c r="AF48" t="str">
        <f>gescon_infosparticip!AE47</f>
        <v/>
      </c>
      <c r="AG48" t="str">
        <f>gescon_infosparticip!AF47</f>
        <v/>
      </c>
      <c r="AH48" t="str">
        <f>gescon_infosparticip!AG47</f>
        <v>il n'aime pas la foule.</v>
      </c>
      <c r="AI48" t="str">
        <f>gescon_infosparticip!BN47</f>
        <v/>
      </c>
      <c r="AJ48" t="str">
        <f>gescon_infosparticip!BO47</f>
        <v/>
      </c>
    </row>
    <row r="49" spans="2:36" x14ac:dyDescent="0.25">
      <c r="B49">
        <f>gescon_infosparticip!A48</f>
        <v>286</v>
      </c>
      <c r="C49">
        <f>gescon_infosparticip!B48</f>
        <v>37847.417013888902</v>
      </c>
      <c r="D49">
        <f>gescon_infosparticip!C48</f>
        <v>145</v>
      </c>
      <c r="E49">
        <f>gescon_infosparticip!D48</f>
        <v>2210</v>
      </c>
      <c r="F49">
        <f>gescon_infosparticip!E48</f>
        <v>0</v>
      </c>
      <c r="G49">
        <f>gescon_infosparticip!F48</f>
        <v>0</v>
      </c>
      <c r="H49">
        <f>gescon_infosparticip!G48</f>
        <v>0</v>
      </c>
      <c r="I49" t="str">
        <f>gescon_infosparticip!H48</f>
        <v/>
      </c>
      <c r="J49">
        <f>IF(gescon_infosparticip!I48=FALSE,0,1)</f>
        <v>0</v>
      </c>
      <c r="K49">
        <f>IF(gescon_infosparticip!J48=FALSE,0,1)</f>
        <v>0</v>
      </c>
      <c r="L49">
        <f>IF(gescon_infosparticip!K48=FALSE,0,1)</f>
        <v>0</v>
      </c>
      <c r="M49">
        <f>IF(gescon_infosparticip!L48=FALSE,0,1)</f>
        <v>0</v>
      </c>
      <c r="N49">
        <f>IF(gescon_infosparticip!M48=FALSE,0,1)</f>
        <v>0</v>
      </c>
      <c r="O49">
        <f>IF(gescon_infosparticip!N48=FALSE,0,1)</f>
        <v>0</v>
      </c>
      <c r="P49">
        <f>IF(gescon_infosparticip!O48=FALSE,0,1)</f>
        <v>0</v>
      </c>
      <c r="Q49">
        <f>IF(gescon_infosparticip!P48=FALSE,0,1)</f>
        <v>0</v>
      </c>
      <c r="R49">
        <f>IF(gescon_infosparticip!Q48=FALSE,0,1)</f>
        <v>0</v>
      </c>
      <c r="S49" t="str">
        <f>gescon_infosparticip!R48</f>
        <v/>
      </c>
      <c r="T49" t="str">
        <f>gescon_infosparticip!V48</f>
        <v/>
      </c>
      <c r="U49" t="str">
        <f>gescon_infosparticip!S48</f>
        <v>Lionel a besoin d’aide pour rentrer dans la piscine.</v>
      </c>
      <c r="V49">
        <f>IF(gescon_infosparticip!U48=FALSE,0,1)</f>
        <v>1</v>
      </c>
      <c r="W49">
        <f>IF(gescon_infosparticip!T48=FALSE,0,1)</f>
        <v>0</v>
      </c>
      <c r="X49" t="str">
        <f>gescon_infosparticip!W48</f>
        <v/>
      </c>
      <c r="Y49">
        <f>IF(gescon_infosparticip!X48=FALSE,0,1)</f>
        <v>0</v>
      </c>
      <c r="Z49">
        <f>IF(gescon_infosparticip!Y48=FALSE,0,1)</f>
        <v>0</v>
      </c>
      <c r="AA49">
        <f>IF(gescon_infosparticip!Z48=FALSE,0,1)</f>
        <v>0</v>
      </c>
      <c r="AB49">
        <f>IF(gescon_infosparticip!AA48=FALSE,0,1)</f>
        <v>0</v>
      </c>
      <c r="AC49" t="str">
        <f>gescon_infosparticip!AB48</f>
        <v>Oral</v>
      </c>
      <c r="AD49" t="str">
        <f>gescon_infosparticip!AC48</f>
        <v>Lionel aime bien participer aux activités de Sport-Handicap, regarder des match de football et aller au cinéma. Il a un petit frère que s'appelle Jonas.</v>
      </c>
      <c r="AE49" t="str">
        <f>gescon_infosparticip!AD48</f>
        <v/>
      </c>
      <c r="AF49" t="str">
        <f>gescon_infosparticip!AE48</f>
        <v/>
      </c>
      <c r="AG49" t="str">
        <f>gescon_infosparticip!AF48</f>
        <v/>
      </c>
      <c r="AH49" t="str">
        <f>gescon_infosparticip!AG48</f>
        <v/>
      </c>
      <c r="AI49" t="str">
        <f>gescon_infosparticip!BN48</f>
        <v/>
      </c>
      <c r="AJ49" t="str">
        <f>gescon_infosparticip!BO48</f>
        <v/>
      </c>
    </row>
    <row r="50" spans="2:36" x14ac:dyDescent="0.25">
      <c r="B50">
        <f>gescon_infosparticip!A49</f>
        <v>287</v>
      </c>
      <c r="C50">
        <f>gescon_infosparticip!B49</f>
        <v>42886</v>
      </c>
      <c r="D50">
        <f>gescon_infosparticip!C49</f>
        <v>144</v>
      </c>
      <c r="E50">
        <f>gescon_infosparticip!D49</f>
        <v>0</v>
      </c>
      <c r="F50">
        <f>gescon_infosparticip!E49</f>
        <v>0</v>
      </c>
      <c r="G50">
        <f>gescon_infosparticip!F49</f>
        <v>1424</v>
      </c>
      <c r="H50">
        <f>gescon_infosparticip!G49</f>
        <v>2146189446</v>
      </c>
      <c r="I50" t="str">
        <f>gescon_infosparticip!H49</f>
        <v>B4  Maria 024 473 51 48</v>
      </c>
      <c r="J50">
        <f>IF(gescon_infosparticip!I49=FALSE,0,1)</f>
        <v>0</v>
      </c>
      <c r="K50">
        <f>IF(gescon_infosparticip!J49=FALSE,0,1)</f>
        <v>1</v>
      </c>
      <c r="L50">
        <f>IF(gescon_infosparticip!K49=FALSE,0,1)</f>
        <v>1</v>
      </c>
      <c r="M50">
        <f>IF(gescon_infosparticip!L49=FALSE,0,1)</f>
        <v>0</v>
      </c>
      <c r="N50">
        <f>IF(gescon_infosparticip!M49=FALSE,0,1)</f>
        <v>0</v>
      </c>
      <c r="O50">
        <f>IF(gescon_infosparticip!N49=FALSE,0,1)</f>
        <v>0</v>
      </c>
      <c r="P50">
        <f>IF(gescon_infosparticip!O49=FALSE,0,1)</f>
        <v>0</v>
      </c>
      <c r="Q50">
        <f>IF(gescon_infosparticip!P49=FALSE,0,1)</f>
        <v>1</v>
      </c>
      <c r="R50">
        <f>IF(gescon_infosparticip!Q49=FALSE,0,1)</f>
        <v>0</v>
      </c>
      <c r="S50" t="str">
        <f>gescon_infosparticip!R49</f>
        <v>Alain supporte difficilement les longs trajets en bus. De préférence, le placer à l'avant du véhicule.</v>
      </c>
      <c r="T50" t="str">
        <f>gescon_infosparticip!V49</f>
        <v>aide totale</v>
      </c>
      <c r="U50" t="str">
        <f>gescon_infosparticip!S49</f>
        <v>avec de manchons et une bouée fournie par ses parents. Alain n'apprécie plus beaucoup la piscine.</v>
      </c>
      <c r="V50">
        <f>IF(gescon_infosparticip!U49=FALSE,0,1)</f>
        <v>1</v>
      </c>
      <c r="W50">
        <f>IF(gescon_infosparticip!T49=FALSE,0,1)</f>
        <v>0</v>
      </c>
      <c r="X50" t="str">
        <f>gescon_infosparticip!W49</f>
        <v>horaire normal</v>
      </c>
      <c r="Y50">
        <f>IF(gescon_infosparticip!X49=FALSE,0,1)</f>
        <v>0</v>
      </c>
      <c r="Z50">
        <f>IF(gescon_infosparticip!Y49=FALSE,0,1)</f>
        <v>0</v>
      </c>
      <c r="AA50">
        <f>IF(gescon_infosparticip!Z49=FALSE,0,1)</f>
        <v>0</v>
      </c>
      <c r="AB50">
        <f>IF(gescon_infosparticip!AA49=FALSE,0,1)</f>
        <v>1</v>
      </c>
      <c r="AC50" t="str">
        <f>gescon_infosparticip!AB49</f>
        <v>Alain s’exprime à l’aide d’un tableau.</v>
      </c>
      <c r="AD50" t="str">
        <f>gescon_infosparticip!AC49</f>
        <v>Alain a deux sœurs Nathalie qui est mariée à Olivier et qui ont cinq filles (Clémence, Mathilde, Véronique, Delphine et Rachel) et Christelle qui est mariée à Thierry et ont trois enfants (Benjamin, Mathias et Sarah).</v>
      </c>
      <c r="AE50" t="str">
        <f>gescon_infosparticip!AD49</f>
        <v/>
      </c>
      <c r="AF50" t="str">
        <f>gescon_infosparticip!AE49</f>
        <v/>
      </c>
      <c r="AG50" t="str">
        <f>gescon_infosparticip!AF49</f>
        <v>le football, les sorties au restaurant, le cinéma et les concerts. Savoir le programme du jour.</v>
      </c>
      <c r="AH50" t="str">
        <f>gescon_infosparticip!AG49</f>
        <v>Carnaval</v>
      </c>
      <c r="AI50" t="str">
        <f>gescon_infosparticip!BN49</f>
        <v>Légèrement incliné pour faciliter la déglutition.</v>
      </c>
      <c r="AJ50" t="str">
        <f>gescon_infosparticip!BO49</f>
        <v>chaque 5 heures</v>
      </c>
    </row>
    <row r="51" spans="2:36" x14ac:dyDescent="0.25">
      <c r="B51">
        <f>gescon_infosparticip!A50</f>
        <v>290</v>
      </c>
      <c r="C51">
        <f>gescon_infosparticip!B50</f>
        <v>37847.564965277801</v>
      </c>
      <c r="D51">
        <f>gescon_infosparticip!C50</f>
        <v>150</v>
      </c>
      <c r="E51">
        <f>gescon_infosparticip!D50</f>
        <v>0</v>
      </c>
      <c r="F51">
        <f>gescon_infosparticip!E50</f>
        <v>0</v>
      </c>
      <c r="G51">
        <f>gescon_infosparticip!F50</f>
        <v>0</v>
      </c>
      <c r="H51">
        <f>gescon_infosparticip!G50</f>
        <v>0</v>
      </c>
      <c r="I51" t="str">
        <f>gescon_infosparticip!H50</f>
        <v/>
      </c>
      <c r="J51">
        <f>IF(gescon_infosparticip!I50=FALSE,0,1)</f>
        <v>0</v>
      </c>
      <c r="K51">
        <f>IF(gescon_infosparticip!J50=FALSE,0,1)</f>
        <v>0</v>
      </c>
      <c r="L51">
        <f>IF(gescon_infosparticip!K50=FALSE,0,1)</f>
        <v>0</v>
      </c>
      <c r="M51">
        <f>IF(gescon_infosparticip!L50=FALSE,0,1)</f>
        <v>0</v>
      </c>
      <c r="N51">
        <f>IF(gescon_infosparticip!M50=FALSE,0,1)</f>
        <v>0</v>
      </c>
      <c r="O51">
        <f>IF(gescon_infosparticip!N50=FALSE,0,1)</f>
        <v>0</v>
      </c>
      <c r="P51">
        <f>IF(gescon_infosparticip!O50=FALSE,0,1)</f>
        <v>0</v>
      </c>
      <c r="Q51">
        <f>IF(gescon_infosparticip!P50=FALSE,0,1)</f>
        <v>0</v>
      </c>
      <c r="R51">
        <f>IF(gescon_infosparticip!Q50=FALSE,0,1)</f>
        <v>0</v>
      </c>
      <c r="S51" t="str">
        <f>gescon_infosparticip!R50</f>
        <v/>
      </c>
      <c r="T51" t="str">
        <f>gescon_infosparticip!V50</f>
        <v/>
      </c>
      <c r="U51" t="str">
        <f>gescon_infosparticip!S50</f>
        <v>Elle sait nager sur le dos, sans manchons. Mais il faut quand même être près d’elle pour lui indiquer la direction.</v>
      </c>
      <c r="V51">
        <f>IF(gescon_infosparticip!U50=FALSE,0,1)</f>
        <v>1</v>
      </c>
      <c r="W51">
        <f>IF(gescon_infosparticip!T50=FALSE,0,1)</f>
        <v>0</v>
      </c>
      <c r="X51" t="str">
        <f>gescon_infosparticip!W50</f>
        <v/>
      </c>
      <c r="Y51">
        <f>IF(gescon_infosparticip!X50=FALSE,0,1)</f>
        <v>0</v>
      </c>
      <c r="Z51">
        <f>IF(gescon_infosparticip!Y50=FALSE,0,1)</f>
        <v>0</v>
      </c>
      <c r="AA51">
        <f>IF(gescon_infosparticip!Z50=FALSE,0,1)</f>
        <v>0</v>
      </c>
      <c r="AB51">
        <f>IF(gescon_infosparticip!AA50=FALSE,0,1)</f>
        <v>0</v>
      </c>
      <c r="AC51" t="str">
        <f>gescon_infosparticip!AB50</f>
        <v>Oral</v>
      </c>
      <c r="AD51" t="str">
        <f>gescon_infosparticip!AC50</f>
        <v>Tatjana aime bien faire du bricolage, écouter de la musique et être avec des amis. Elle aime aussi les animaux (zoo, ferme), aller à cheval et lire.</v>
      </c>
      <c r="AE51" t="str">
        <f>gescon_infosparticip!AD50</f>
        <v/>
      </c>
      <c r="AF51" t="str">
        <f>gescon_infosparticip!AE50</f>
        <v/>
      </c>
      <c r="AG51" t="str">
        <f>gescon_infosparticip!AF50</f>
        <v/>
      </c>
      <c r="AH51" t="str">
        <f>gescon_infosparticip!AG50</f>
        <v>Les bruits forts, vite effrayée: pétards, tambours</v>
      </c>
      <c r="AI51" t="str">
        <f>gescon_infosparticip!BN50</f>
        <v/>
      </c>
      <c r="AJ51" t="str">
        <f>gescon_infosparticip!BO50</f>
        <v/>
      </c>
    </row>
    <row r="52" spans="2:36" x14ac:dyDescent="0.25">
      <c r="B52">
        <f>gescon_infosparticip!A51</f>
        <v>292</v>
      </c>
      <c r="C52">
        <f>gescon_infosparticip!B51</f>
        <v>42920</v>
      </c>
      <c r="D52">
        <f>gescon_infosparticip!C51</f>
        <v>0</v>
      </c>
      <c r="E52">
        <f>gescon_infosparticip!D51</f>
        <v>188</v>
      </c>
      <c r="F52">
        <f>gescon_infosparticip!E51</f>
        <v>0</v>
      </c>
      <c r="G52">
        <f>gescon_infosparticip!F51</f>
        <v>1424</v>
      </c>
      <c r="H52">
        <f>gescon_infosparticip!G51</f>
        <v>188</v>
      </c>
      <c r="I52" t="str">
        <f>gescon_infosparticip!H51</f>
        <v>Groupe C2 - Rossi Marisa - 024 473 51 52</v>
      </c>
      <c r="J52">
        <f>IF(gescon_infosparticip!I51=FALSE,0,1)</f>
        <v>0</v>
      </c>
      <c r="K52">
        <f>IF(gescon_infosparticip!J51=FALSE,0,1)</f>
        <v>0</v>
      </c>
      <c r="L52">
        <f>IF(gescon_infosparticip!K51=FALSE,0,1)</f>
        <v>0</v>
      </c>
      <c r="M52">
        <f>IF(gescon_infosparticip!L51=FALSE,0,1)</f>
        <v>1</v>
      </c>
      <c r="N52">
        <f>IF(gescon_infosparticip!M51=FALSE,0,1)</f>
        <v>0</v>
      </c>
      <c r="O52">
        <f>IF(gescon_infosparticip!N51=FALSE,0,1)</f>
        <v>0</v>
      </c>
      <c r="P52">
        <f>IF(gescon_infosparticip!O51=FALSE,0,1)</f>
        <v>0</v>
      </c>
      <c r="Q52">
        <f>IF(gescon_infosparticip!P51=FALSE,0,1)</f>
        <v>1</v>
      </c>
      <c r="R52">
        <f>IF(gescon_infosparticip!Q51=FALSE,0,1)</f>
        <v>0</v>
      </c>
      <c r="S52" t="str">
        <f>gescon_infosparticip!R51</f>
        <v>fauteuil manuel : il doit être assis bien droit, il doit être assis bien droit, mettre toujours les sangles (il faut le faire à sa place) - +boissoin rafraîchissante</v>
      </c>
      <c r="T52" t="str">
        <f>gescon_infosparticip!V51</f>
        <v>Aide totale. A la mise en place des chaussures veiller à rentrer correctement les orteils à plat car il risque des lésions.</v>
      </c>
      <c r="U52" t="str">
        <f>gescon_infosparticip!S51</f>
        <v>Il flotte très naturellement.</v>
      </c>
      <c r="V52">
        <f>IF(gescon_infosparticip!U51=FALSE,0,1)</f>
        <v>1</v>
      </c>
      <c r="W52">
        <f>IF(gescon_infosparticip!T51=FALSE,0,1)</f>
        <v>1</v>
      </c>
      <c r="X52" t="str">
        <f>gescon_infosparticip!W51</f>
        <v>Lui donner sa musiquette et des peluches(de préférence, sinon il part gentiment de son matelas)</v>
      </c>
      <c r="Y52">
        <f>IF(gescon_infosparticip!X51=FALSE,0,1)</f>
        <v>0</v>
      </c>
      <c r="Z52">
        <f>IF(gescon_infosparticip!Y51=FALSE,0,1)</f>
        <v>0</v>
      </c>
      <c r="AA52">
        <f>IF(gescon_infosparticip!Z51=FALSE,0,1)</f>
        <v>0</v>
      </c>
      <c r="AB52">
        <f>IF(gescon_infosparticip!AA51=FALSE,0,1)</f>
        <v>1</v>
      </c>
      <c r="AC52" t="str">
        <f>gescon_infosparticip!AB51</f>
        <v>Avec son regard.Lionel est sourd. Faire attention à ce qu’il y a sur la table, il prend tout dans la main.</v>
      </c>
      <c r="AD52" t="str">
        <f>gescon_infosparticip!AC51</f>
        <v>Aime Coralie sa nièce de 11 ans.</v>
      </c>
      <c r="AE52" t="str">
        <f>gescon_infosparticip!AD51</f>
        <v>1 frère
1 nièce</v>
      </c>
      <c r="AF52" t="str">
        <f>gescon_infosparticip!AE51</f>
        <v/>
      </c>
      <c r="AG52" t="str">
        <f>gescon_infosparticip!AF51</f>
        <v>Lionel aime bien les câlins, les promenades. Aime la télévision, spectacle</v>
      </c>
      <c r="AH52" t="str">
        <f>gescon_infosparticip!AG51</f>
        <v>se mouvoir pour se déplacer.</v>
      </c>
      <c r="AI52" t="str">
        <f>gescon_infosparticip!BN51</f>
        <v>Oui. Changement de position: l'assoir dans un hamac ou foteuil relax</v>
      </c>
      <c r="AJ52" t="str">
        <f>gescon_infosparticip!BO51</f>
        <v>2 fois par jour minimum</v>
      </c>
    </row>
    <row r="53" spans="2:36" x14ac:dyDescent="0.25">
      <c r="B53">
        <f>gescon_infosparticip!A52</f>
        <v>296</v>
      </c>
      <c r="C53">
        <f>gescon_infosparticip!B52</f>
        <v>37859.534537036998</v>
      </c>
      <c r="D53">
        <f>gescon_infosparticip!C52</f>
        <v>0</v>
      </c>
      <c r="E53">
        <f>gescon_infosparticip!D52</f>
        <v>0</v>
      </c>
      <c r="F53">
        <f>gescon_infosparticip!E52</f>
        <v>0</v>
      </c>
      <c r="G53">
        <f>gescon_infosparticip!F52</f>
        <v>0</v>
      </c>
      <c r="H53">
        <f>gescon_infosparticip!G52</f>
        <v>0</v>
      </c>
      <c r="I53" t="str">
        <f>gescon_infosparticip!H52</f>
        <v/>
      </c>
      <c r="J53">
        <f>IF(gescon_infosparticip!I52=FALSE,0,1)</f>
        <v>0</v>
      </c>
      <c r="K53">
        <f>IF(gescon_infosparticip!J52=FALSE,0,1)</f>
        <v>0</v>
      </c>
      <c r="L53">
        <f>IF(gescon_infosparticip!K52=FALSE,0,1)</f>
        <v>0</v>
      </c>
      <c r="M53">
        <f>IF(gescon_infosparticip!L52=FALSE,0,1)</f>
        <v>0</v>
      </c>
      <c r="N53">
        <f>IF(gescon_infosparticip!M52=FALSE,0,1)</f>
        <v>0</v>
      </c>
      <c r="O53">
        <f>IF(gescon_infosparticip!N52=FALSE,0,1)</f>
        <v>0</v>
      </c>
      <c r="P53">
        <f>IF(gescon_infosparticip!O52=FALSE,0,1)</f>
        <v>0</v>
      </c>
      <c r="Q53">
        <f>IF(gescon_infosparticip!P52=FALSE,0,1)</f>
        <v>0</v>
      </c>
      <c r="R53">
        <f>IF(gescon_infosparticip!Q52=FALSE,0,1)</f>
        <v>0</v>
      </c>
      <c r="S53" t="str">
        <f>gescon_infosparticip!R52</f>
        <v/>
      </c>
      <c r="T53" t="str">
        <f>gescon_infosparticip!V52</f>
        <v/>
      </c>
      <c r="U53" t="str">
        <f>gescon_infosparticip!S52</f>
        <v>Il sait nager, il apprécie la piscine</v>
      </c>
      <c r="V53">
        <f>IF(gescon_infosparticip!U52=FALSE,0,1)</f>
        <v>0</v>
      </c>
      <c r="W53">
        <f>IF(gescon_infosparticip!T52=FALSE,0,1)</f>
        <v>0</v>
      </c>
      <c r="X53" t="str">
        <f>gescon_infosparticip!W52</f>
        <v/>
      </c>
      <c r="Y53">
        <f>IF(gescon_infosparticip!X52=FALSE,0,1)</f>
        <v>0</v>
      </c>
      <c r="Z53">
        <f>IF(gescon_infosparticip!Y52=FALSE,0,1)</f>
        <v>0</v>
      </c>
      <c r="AA53">
        <f>IF(gescon_infosparticip!Z52=FALSE,0,1)</f>
        <v>0</v>
      </c>
      <c r="AB53">
        <f>IF(gescon_infosparticip!AA52=FALSE,0,1)</f>
        <v>0</v>
      </c>
      <c r="AC53" t="str">
        <f>gescon_infosparticip!AB52</f>
        <v>oral</v>
      </c>
      <c r="AD53" t="str">
        <f>gescon_infosparticip!AC52</f>
        <v/>
      </c>
      <c r="AE53" t="str">
        <f>gescon_infosparticip!AD52</f>
        <v/>
      </c>
      <c r="AF53" t="str">
        <f>gescon_infosparticip!AE52</f>
        <v/>
      </c>
      <c r="AG53" t="str">
        <f>gescon_infosparticip!AF52</f>
        <v/>
      </c>
      <c r="AH53" t="str">
        <f>gescon_infosparticip!AG52</f>
        <v/>
      </c>
      <c r="AI53" t="str">
        <f>gescon_infosparticip!BN52</f>
        <v/>
      </c>
      <c r="AJ53" t="str">
        <f>gescon_infosparticip!BO52</f>
        <v/>
      </c>
    </row>
    <row r="54" spans="2:36" x14ac:dyDescent="0.25">
      <c r="B54">
        <f>gescon_infosparticip!A53</f>
        <v>297</v>
      </c>
      <c r="C54">
        <f>gescon_infosparticip!B53</f>
        <v>42972</v>
      </c>
      <c r="D54">
        <f>gescon_infosparticip!C53</f>
        <v>1137414434</v>
      </c>
      <c r="E54">
        <f>gescon_infosparticip!D53</f>
        <v>163</v>
      </c>
      <c r="F54">
        <f>gescon_infosparticip!E53</f>
        <v>0</v>
      </c>
      <c r="G54">
        <f>gescon_infosparticip!F53</f>
        <v>1424</v>
      </c>
      <c r="H54">
        <f>gescon_infosparticip!G53</f>
        <v>1424</v>
      </c>
      <c r="I54" t="str">
        <f>gescon_infosparticip!H53</f>
        <v>A3 024/473.51.23 ou la reception 024/473.51.41</v>
      </c>
      <c r="J54">
        <f>IF(gescon_infosparticip!I53=FALSE,0,1)</f>
        <v>0</v>
      </c>
      <c r="K54">
        <f>IF(gescon_infosparticip!J53=FALSE,0,1)</f>
        <v>1</v>
      </c>
      <c r="L54">
        <f>IF(gescon_infosparticip!K53=FALSE,0,1)</f>
        <v>1</v>
      </c>
      <c r="M54">
        <f>IF(gescon_infosparticip!L53=FALSE,0,1)</f>
        <v>1</v>
      </c>
      <c r="N54">
        <f>IF(gescon_infosparticip!M53=FALSE,0,1)</f>
        <v>0</v>
      </c>
      <c r="O54">
        <f>IF(gescon_infosparticip!N53=FALSE,0,1)</f>
        <v>0</v>
      </c>
      <c r="P54">
        <f>IF(gescon_infosparticip!O53=FALSE,0,1)</f>
        <v>0</v>
      </c>
      <c r="Q54">
        <f>IF(gescon_infosparticip!P53=FALSE,0,1)</f>
        <v>0</v>
      </c>
      <c r="R54">
        <f>IF(gescon_infosparticip!Q53=FALSE,0,1)</f>
        <v>1</v>
      </c>
      <c r="S54" t="str">
        <f>gescon_infosparticip!R53</f>
        <v>Supporte les longs trajets en bus - Inclinaison dans le fauteuil si une longue période assise.</v>
      </c>
      <c r="T54" t="str">
        <f>gescon_infosparticip!V53</f>
        <v>Aide totale pour l’habillement et le déshabillement. Habillage du haut : d’abord bras gauche, tête, bras droit, et le contraire pour déshabiller. Steeve  peut nous aider pour se tourner sur le côté, se soulever le bassin, etc.</v>
      </c>
      <c r="U54" t="str">
        <f>gescon_infosparticip!S53</f>
        <v>Ne peut pas nager, le soutenir en permanence de préférence avec un gilet.</v>
      </c>
      <c r="V54">
        <f>IF(gescon_infosparticip!U53=FALSE,0,1)</f>
        <v>1</v>
      </c>
      <c r="W54">
        <f>IF(gescon_infosparticip!T53=FALSE,0,1)</f>
        <v>1</v>
      </c>
      <c r="X54" t="str">
        <f>gescon_infosparticip!W53</f>
        <v>Steeve a besoin de repos, il s’endort sur le dos sans oreiller mais en levant légèrement le dossier du lit. Coussin de sable sur le côté gauche et peau de mouton sous les pieds. Vu qu’il est long, il faut être attentif que ses pieds ne frottent pas le fond du lit. La nuit, il n’y a pas de changement de position à faire.</v>
      </c>
      <c r="Y54">
        <f>IF(gescon_infosparticip!X53=FALSE,0,1)</f>
        <v>0</v>
      </c>
      <c r="Z54">
        <f>IF(gescon_infosparticip!Y53=FALSE,0,1)</f>
        <v>0</v>
      </c>
      <c r="AA54">
        <f>IF(gescon_infosparticip!Z53=FALSE,0,1)</f>
        <v>0</v>
      </c>
      <c r="AB54">
        <f>IF(gescon_infosparticip!AA53=FALSE,0,1)</f>
        <v>1</v>
      </c>
      <c r="AC54" t="str">
        <f>gescon_infosparticip!AB53</f>
        <v>langage oral
Steeve est une personne très sociale qui sait très bien s’exprimer s’il désire quelque chose. Il est INDISPENSABLE d’avoir un homme comme accompagnant car il a tendance à vite tomber amoureux et il se construit des scénarios qui ne correspondent pas à la réalité. Il est important d’être clair dans les consignes et bien fixer les limites.
Possibilité de déplacement : fauteuil électrique, sa batterie ne doit pas être déchargée complètement. La charger tous les soirs.
Pour incliner la chaise, appuyer 2x bouton "mode" avec joystick, allumer 2 boutons rouges : siège/dossier, puis on peut basculer la chaise. C’est un moyen pour changer de position en cas de déplacement.</v>
      </c>
      <c r="AD54" t="str">
        <f>gescon_infosparticip!AC53</f>
        <v>Les parents sont divorcés mais c’est la maman et le papa qui assurent le suivi de Steeve.</v>
      </c>
      <c r="AE54" t="str">
        <f>gescon_infosparticip!AD53</f>
        <v>Aurélia / nièce : Alya 
Benjamin</v>
      </c>
      <c r="AF54" t="str">
        <f>gescon_infosparticip!AE53</f>
        <v>camarade de chambre à la Castalie : Thierry</v>
      </c>
      <c r="AG54" t="str">
        <f>gescon_infosparticip!AF53</f>
        <v>Steeve aime la musique en général, chanter, le foot à la télé, les promenades en ville, le cinéma, les spectacles, etc. Il apprécie son travail à l’atelier tricotin chez Véronika et il cherche tout ce qui renforce le côté masculin afin de s’identifier. Il a besoin d’être reconnu et valorisé dans les activités qu’il entreprend.</v>
      </c>
      <c r="AH54" t="str">
        <f>gescon_infosparticip!AG53</f>
        <v>Il n'aime pas être seul.</v>
      </c>
      <c r="AI54" t="str">
        <f>gescon_infosparticip!BN53</f>
        <v>oui</v>
      </c>
      <c r="AJ54" t="str">
        <f>gescon_infosparticip!BO53</f>
        <v>après-dîner et après souper env. 30  min</v>
      </c>
    </row>
    <row r="55" spans="2:36" x14ac:dyDescent="0.25">
      <c r="B55">
        <f>gescon_infosparticip!A54</f>
        <v>301</v>
      </c>
      <c r="C55">
        <f>gescon_infosparticip!B54</f>
        <v>42327</v>
      </c>
      <c r="D55">
        <f>gescon_infosparticip!C54</f>
        <v>0</v>
      </c>
      <c r="E55">
        <f>gescon_infosparticip!D54</f>
        <v>155</v>
      </c>
      <c r="F55">
        <f>gescon_infosparticip!E54</f>
        <v>0</v>
      </c>
      <c r="G55">
        <f>gescon_infosparticip!F54</f>
        <v>0</v>
      </c>
      <c r="H55">
        <f>gescon_infosparticip!G54</f>
        <v>0</v>
      </c>
      <c r="I55" t="str">
        <f>gescon_infosparticip!H54</f>
        <v/>
      </c>
      <c r="J55">
        <f>IF(gescon_infosparticip!I54=FALSE,0,1)</f>
        <v>0</v>
      </c>
      <c r="K55">
        <f>IF(gescon_infosparticip!J54=FALSE,0,1)</f>
        <v>0</v>
      </c>
      <c r="L55">
        <f>IF(gescon_infosparticip!K54=FALSE,0,1)</f>
        <v>0</v>
      </c>
      <c r="M55">
        <f>IF(gescon_infosparticip!L54=FALSE,0,1)</f>
        <v>0</v>
      </c>
      <c r="N55">
        <f>IF(gescon_infosparticip!M54=FALSE,0,1)</f>
        <v>1</v>
      </c>
      <c r="O55">
        <f>IF(gescon_infosparticip!N54=FALSE,0,1)</f>
        <v>0</v>
      </c>
      <c r="P55">
        <f>IF(gescon_infosparticip!O54=FALSE,0,1)</f>
        <v>0</v>
      </c>
      <c r="Q55">
        <f>IF(gescon_infosparticip!P54=FALSE,0,1)</f>
        <v>0</v>
      </c>
      <c r="R55">
        <f>IF(gescon_infosparticip!Q54=FALSE,0,1)</f>
        <v>0</v>
      </c>
      <c r="S55" t="str">
        <f>gescon_infosparticip!R54</f>
        <v/>
      </c>
      <c r="T55" t="str">
        <f>gescon_infosparticip!V54</f>
        <v/>
      </c>
      <c r="U55" t="str">
        <f>gescon_infosparticip!S54</f>
        <v>Il nage tout seul</v>
      </c>
      <c r="V55">
        <f>IF(gescon_infosparticip!U54=FALSE,0,1)</f>
        <v>1</v>
      </c>
      <c r="W55">
        <f>IF(gescon_infosparticip!T54=FALSE,0,1)</f>
        <v>0</v>
      </c>
      <c r="X55" t="str">
        <f>gescon_infosparticip!W54</f>
        <v/>
      </c>
      <c r="Y55">
        <f>IF(gescon_infosparticip!X54=FALSE,0,1)</f>
        <v>0</v>
      </c>
      <c r="Z55">
        <f>IF(gescon_infosparticip!Y54=FALSE,0,1)</f>
        <v>0</v>
      </c>
      <c r="AA55">
        <f>IF(gescon_infosparticip!Z54=FALSE,0,1)</f>
        <v>0</v>
      </c>
      <c r="AB55">
        <f>IF(gescon_infosparticip!AA54=FALSE,0,1)</f>
        <v>0</v>
      </c>
      <c r="AC55" t="str">
        <f>gescon_infosparticip!AB54</f>
        <v>oral
Il travail a la Coop à Sion.</v>
      </c>
      <c r="AD55" t="str">
        <f>gescon_infosparticip!AC54</f>
        <v>Patrick aime le football, le tennis, le ski, le vélo. Il aime bien aller visiter des musées, faire des ballades en bateau, sortir en disco.</v>
      </c>
      <c r="AE55" t="str">
        <f>gescon_infosparticip!AD54</f>
        <v/>
      </c>
      <c r="AF55" t="str">
        <f>gescon_infosparticip!AE54</f>
        <v/>
      </c>
      <c r="AG55" t="str">
        <f>gescon_infosparticip!AF54</f>
        <v/>
      </c>
      <c r="AH55" t="str">
        <f>gescon_infosparticip!AG54</f>
        <v/>
      </c>
      <c r="AI55" t="str">
        <f>gescon_infosparticip!BN54</f>
        <v/>
      </c>
      <c r="AJ55" t="str">
        <f>gescon_infosparticip!BO54</f>
        <v/>
      </c>
    </row>
    <row r="56" spans="2:36" x14ac:dyDescent="0.25">
      <c r="B56">
        <f>gescon_infosparticip!A55</f>
        <v>302</v>
      </c>
      <c r="C56">
        <f>gescon_infosparticip!B55</f>
        <v>42852</v>
      </c>
      <c r="D56">
        <f>gescon_infosparticip!C55</f>
        <v>1298966339</v>
      </c>
      <c r="E56">
        <f>gescon_infosparticip!D55</f>
        <v>173</v>
      </c>
      <c r="F56">
        <f>gescon_infosparticip!E55</f>
        <v>1298966339</v>
      </c>
      <c r="G56">
        <f>gescon_infosparticip!F55</f>
        <v>1424</v>
      </c>
      <c r="H56">
        <f>gescon_infosparticip!G55</f>
        <v>2146189128</v>
      </c>
      <c r="I56" t="str">
        <f>gescon_infosparticip!H55</f>
        <v>C1 - Léonardo Pamelli - 024 473 51 51</v>
      </c>
      <c r="J56">
        <f>IF(gescon_infosparticip!I55=FALSE,0,1)</f>
        <v>0</v>
      </c>
      <c r="K56">
        <f>IF(gescon_infosparticip!J55=FALSE,0,1)</f>
        <v>1</v>
      </c>
      <c r="L56">
        <f>IF(gescon_infosparticip!K55=FALSE,0,1)</f>
        <v>0</v>
      </c>
      <c r="M56">
        <f>IF(gescon_infosparticip!L55=FALSE,0,1)</f>
        <v>1</v>
      </c>
      <c r="N56">
        <f>IF(gescon_infosparticip!M55=FALSE,0,1)</f>
        <v>0</v>
      </c>
      <c r="O56">
        <f>IF(gescon_infosparticip!N55=FALSE,0,1)</f>
        <v>0</v>
      </c>
      <c r="P56">
        <f>IF(gescon_infosparticip!O55=FALSE,0,1)</f>
        <v>0</v>
      </c>
      <c r="Q56">
        <f>IF(gescon_infosparticip!P55=FALSE,0,1)</f>
        <v>1</v>
      </c>
      <c r="R56">
        <f>IF(gescon_infosparticip!Q55=FALSE,0,1)</f>
        <v>0</v>
      </c>
      <c r="S56" t="str">
        <f>gescon_infosparticip!R55</f>
        <v>Supporte les longs trajets en bus.
Position dans le fauteuil : bien au fond, bien droite (remarque générale)</v>
      </c>
      <c r="T56" t="str">
        <f>gescon_infosparticip!V55</f>
        <v>Aide totale</v>
      </c>
      <c r="U56" t="str">
        <f>gescon_infosparticip!S55</f>
        <v>Aide et dépendance totale</v>
      </c>
      <c r="V56">
        <f>IF(gescon_infosparticip!U55=FALSE,0,1)</f>
        <v>1</v>
      </c>
      <c r="W56">
        <f>IF(gescon_infosparticip!T55=FALSE,0,1)</f>
        <v>1</v>
      </c>
      <c r="X56" t="str">
        <f>gescon_infosparticip!W55</f>
        <v>Dort sur le dos  ou en latéral gauche avec barrières des deux côtés</v>
      </c>
      <c r="Y56">
        <f>IF(gescon_infosparticip!X55=FALSE,0,1)</f>
        <v>0</v>
      </c>
      <c r="Z56">
        <f>IF(gescon_infosparticip!Y55=FALSE,0,1)</f>
        <v>0</v>
      </c>
      <c r="AA56">
        <f>IF(gescon_infosparticip!Z55=FALSE,0,1)</f>
        <v>0</v>
      </c>
      <c r="AB56">
        <f>IF(gescon_infosparticip!AA55=FALSE,0,1)</f>
        <v>1</v>
      </c>
      <c r="AC56" t="str">
        <f>gescon_infosparticip!AB55</f>
        <v>Langage oral : petits cris répétitifs : signes de mauvaise humeur. Se secoue et se balance dans sa sa chaise. Rigole bien quand on est seul avec elle</v>
      </c>
      <c r="AD56" t="str">
        <f>gescon_infosparticip!AC55</f>
        <v>Mère : Gabrielle - fait des veilles donc n'est pas toujours disponible la journée
Père :  Jean-Luc - divorcé</v>
      </c>
      <c r="AE56" t="str">
        <f>gescon_infosparticip!AD55</f>
        <v/>
      </c>
      <c r="AF56" t="str">
        <f>gescon_infosparticip!AE55</f>
        <v/>
      </c>
      <c r="AG56" t="str">
        <f>gescon_infosparticip!AF55</f>
        <v>Musique (Pierre Bachelet, Céline Dion, Joe Dassin)
Ecouter de la muique et danser, se promener, faire la fête, feuilleter son livre</v>
      </c>
      <c r="AH56" t="str">
        <f>gescon_infosparticip!AG55</f>
        <v>Activités avec trop de bruits subits (ex. pétard)</v>
      </c>
      <c r="AI56" t="str">
        <f>gescon_infosparticip!BN55</f>
        <v>couchée sur le dos</v>
      </c>
      <c r="AJ56" t="str">
        <f>gescon_infosparticip!BO55</f>
        <v>à la demi-journée</v>
      </c>
    </row>
    <row r="57" spans="2:36" x14ac:dyDescent="0.25">
      <c r="B57">
        <f>gescon_infosparticip!A56</f>
        <v>303</v>
      </c>
      <c r="C57">
        <f>gescon_infosparticip!B56</f>
        <v>42502</v>
      </c>
      <c r="D57">
        <f>gescon_infosparticip!C56</f>
        <v>176</v>
      </c>
      <c r="E57">
        <f>gescon_infosparticip!D56</f>
        <v>0</v>
      </c>
      <c r="F57">
        <f>gescon_infosparticip!E56</f>
        <v>0</v>
      </c>
      <c r="G57">
        <f>gescon_infosparticip!F56</f>
        <v>0</v>
      </c>
      <c r="H57">
        <f>gescon_infosparticip!G56</f>
        <v>0</v>
      </c>
      <c r="I57" t="str">
        <f>gescon_infosparticip!H56</f>
        <v/>
      </c>
      <c r="J57">
        <f>IF(gescon_infosparticip!I56=FALSE,0,1)</f>
        <v>0</v>
      </c>
      <c r="K57">
        <f>IF(gescon_infosparticip!J56=FALSE,0,1)</f>
        <v>1</v>
      </c>
      <c r="L57">
        <f>IF(gescon_infosparticip!K56=FALSE,0,1)</f>
        <v>1</v>
      </c>
      <c r="M57">
        <f>IF(gescon_infosparticip!L56=FALSE,0,1)</f>
        <v>1</v>
      </c>
      <c r="N57">
        <f>IF(gescon_infosparticip!M56=FALSE,0,1)</f>
        <v>0</v>
      </c>
      <c r="O57">
        <f>IF(gescon_infosparticip!N56=FALSE,0,1)</f>
        <v>0</v>
      </c>
      <c r="P57">
        <f>IF(gescon_infosparticip!O56=FALSE,0,1)</f>
        <v>0</v>
      </c>
      <c r="Q57">
        <f>IF(gescon_infosparticip!P56=FALSE,0,1)</f>
        <v>1</v>
      </c>
      <c r="R57">
        <f>IF(gescon_infosparticip!Q56=FALSE,0,1)</f>
        <v>0</v>
      </c>
      <c r="S57" t="str">
        <f>gescon_infosparticip!R56</f>
        <v>Oui mais changement de position après 2 heures de route.</v>
      </c>
      <c r="T57" t="str">
        <f>gescon_infosparticip!V56</f>
        <v>Oui, aide totale.</v>
      </c>
      <c r="U57" t="str">
        <f>gescon_infosparticip!S56</f>
        <v>ne sait pas nager, il a besoin d’une bouée et d’une personne pour le soutenir. Il déteste avoir la tête sous l’eau. Après 20 min, il en a marre. Faire attention qu'il ne boive pas la tasse.</v>
      </c>
      <c r="V57">
        <f>IF(gescon_infosparticip!U56=FALSE,0,1)</f>
        <v>1</v>
      </c>
      <c r="W57">
        <f>IF(gescon_infosparticip!T56=FALSE,0,1)</f>
        <v>0</v>
      </c>
      <c r="X57" t="str">
        <f>gescon_infosparticip!W56</f>
        <v>En principe, elle se couche vers 20h45 (à voir avec son comportement). Elle se lève vers 8h00. Elle dort sur le coté ou à plat ventre. Lui donner un petit bout de gaze dans le coin de la bouche pour s’endormir. Le soir, lui mettre un lange et mettre deux alaises pour éviter qu'elle mouille son lit. Il lui arrive, parfois, de faire des crises d’épilepsie durant son sommeil. Samuel se couche environ 1h, 1h30 pour détendre son dos après diner.</v>
      </c>
      <c r="Y57">
        <f>IF(gescon_infosparticip!X56=FALSE,0,1)</f>
        <v>0</v>
      </c>
      <c r="Z57">
        <f>IF(gescon_infosparticip!Y56=FALSE,0,1)</f>
        <v>0</v>
      </c>
      <c r="AA57">
        <f>IF(gescon_infosparticip!Z56=FALSE,0,1)</f>
        <v>0</v>
      </c>
      <c r="AB57">
        <f>IF(gescon_infosparticip!AA56=FALSE,0,1)</f>
        <v>1</v>
      </c>
      <c r="AC57" t="str">
        <f>gescon_infosparticip!AB56</f>
        <v>Il communique à l’aide de cris et de sourires lorsqu’il est content. Il crie et pleure quand il ne l’est pas. Lorsqu'il n'aime pas quelque chose, il fait des grimaces.</v>
      </c>
      <c r="AD57" t="str">
        <f>gescon_infosparticip!AC56</f>
        <v>Nicolas a 3 frères; un s'appelle Gabriel et travaille à la bijouterie.Il a 2 enfants et la fille a aussi 2 enfants. Un autre de ses frères s'appelle Emannuel et a le magasin d'optique à Sion. Il a 3 filles. le 3ème frère haite au Tessin</v>
      </c>
      <c r="AE57" t="str">
        <f>gescon_infosparticip!AD56</f>
        <v/>
      </c>
      <c r="AF57" t="str">
        <f>gescon_infosparticip!AE56</f>
        <v/>
      </c>
      <c r="AG57" t="str">
        <f>gescon_infosparticip!AF56</f>
        <v>les promenades et la musique plus tôt douce. Lorsqu'il est à l'extérieur bien freiner sa chaise pour pas qu'il ne parte.</v>
      </c>
      <c r="AH57" t="str">
        <f>gescon_infosparticip!AG56</f>
        <v>Il n’a pas d’activité peu appréciée. Il n'aime pas trop être touché et toucher les objets de lui-même car il a une hypersensibilité au niveau des mains</v>
      </c>
      <c r="AI57" t="str">
        <f>gescon_infosparticip!BN56</f>
        <v/>
      </c>
      <c r="AJ57" t="str">
        <f>gescon_infosparticip!BO56</f>
        <v>chaque 2 heures</v>
      </c>
    </row>
    <row r="58" spans="2:36" x14ac:dyDescent="0.25">
      <c r="B58">
        <f>gescon_infosparticip!A57</f>
        <v>429</v>
      </c>
      <c r="C58">
        <f>gescon_infosparticip!B57</f>
        <v>42248</v>
      </c>
      <c r="D58">
        <f>gescon_infosparticip!C57</f>
        <v>0</v>
      </c>
      <c r="E58">
        <f>gescon_infosparticip!D57</f>
        <v>0</v>
      </c>
      <c r="F58">
        <f>gescon_infosparticip!E57</f>
        <v>0</v>
      </c>
      <c r="G58">
        <f>gescon_infosparticip!F57</f>
        <v>0</v>
      </c>
      <c r="H58">
        <f>gescon_infosparticip!G57</f>
        <v>0</v>
      </c>
      <c r="I58" t="str">
        <f>gescon_infosparticip!H57</f>
        <v/>
      </c>
      <c r="J58">
        <f>IF(gescon_infosparticip!I57=FALSE,0,1)</f>
        <v>0</v>
      </c>
      <c r="K58">
        <f>IF(gescon_infosparticip!J57=FALSE,0,1)</f>
        <v>0</v>
      </c>
      <c r="L58">
        <f>IF(gescon_infosparticip!K57=FALSE,0,1)</f>
        <v>0</v>
      </c>
      <c r="M58">
        <f>IF(gescon_infosparticip!L57=FALSE,0,1)</f>
        <v>0</v>
      </c>
      <c r="N58">
        <f>IF(gescon_infosparticip!M57=FALSE,0,1)</f>
        <v>0</v>
      </c>
      <c r="O58">
        <f>IF(gescon_infosparticip!N57=FALSE,0,1)</f>
        <v>0</v>
      </c>
      <c r="P58">
        <f>IF(gescon_infosparticip!O57=FALSE,0,1)</f>
        <v>0</v>
      </c>
      <c r="Q58">
        <f>IF(gescon_infosparticip!P57=FALSE,0,1)</f>
        <v>0</v>
      </c>
      <c r="R58">
        <f>IF(gescon_infosparticip!Q57=FALSE,0,1)</f>
        <v>0</v>
      </c>
      <c r="S58" t="str">
        <f>gescon_infosparticip!R57</f>
        <v/>
      </c>
      <c r="T58" t="str">
        <f>gescon_infosparticip!V57</f>
        <v/>
      </c>
      <c r="U58" t="str">
        <f>gescon_infosparticip!S57</f>
        <v/>
      </c>
      <c r="V58">
        <f>IF(gescon_infosparticip!U57=FALSE,0,1)</f>
        <v>0</v>
      </c>
      <c r="W58">
        <f>IF(gescon_infosparticip!T57=FALSE,0,1)</f>
        <v>0</v>
      </c>
      <c r="X58" t="str">
        <f>gescon_infosparticip!W57</f>
        <v/>
      </c>
      <c r="Y58">
        <f>IF(gescon_infosparticip!X57=FALSE,0,1)</f>
        <v>0</v>
      </c>
      <c r="Z58">
        <f>IF(gescon_infosparticip!Y57=FALSE,0,1)</f>
        <v>0</v>
      </c>
      <c r="AA58">
        <f>IF(gescon_infosparticip!Z57=FALSE,0,1)</f>
        <v>0</v>
      </c>
      <c r="AB58">
        <f>IF(gescon_infosparticip!AA57=FALSE,0,1)</f>
        <v>0</v>
      </c>
      <c r="AC58" t="str">
        <f>gescon_infosparticip!AB57</f>
        <v/>
      </c>
      <c r="AD58" t="str">
        <f>gescon_infosparticip!AC57</f>
        <v/>
      </c>
      <c r="AE58" t="str">
        <f>gescon_infosparticip!AD57</f>
        <v/>
      </c>
      <c r="AF58" t="str">
        <f>gescon_infosparticip!AE57</f>
        <v/>
      </c>
      <c r="AG58" t="str">
        <f>gescon_infosparticip!AF57</f>
        <v/>
      </c>
      <c r="AH58" t="str">
        <f>gescon_infosparticip!AG57</f>
        <v/>
      </c>
      <c r="AI58" t="str">
        <f>gescon_infosparticip!BN57</f>
        <v/>
      </c>
      <c r="AJ58" t="str">
        <f>gescon_infosparticip!BO57</f>
        <v/>
      </c>
    </row>
    <row r="59" spans="2:36" x14ac:dyDescent="0.25">
      <c r="B59">
        <f>gescon_infosparticip!A58</f>
        <v>450</v>
      </c>
      <c r="C59">
        <f>gescon_infosparticip!B58</f>
        <v>37860.686412037001</v>
      </c>
      <c r="D59">
        <f>gescon_infosparticip!C58</f>
        <v>0</v>
      </c>
      <c r="E59">
        <f>gescon_infosparticip!D58</f>
        <v>0</v>
      </c>
      <c r="F59">
        <f>gescon_infosparticip!E58</f>
        <v>0</v>
      </c>
      <c r="G59">
        <f>gescon_infosparticip!F58</f>
        <v>0</v>
      </c>
      <c r="H59">
        <f>gescon_infosparticip!G58</f>
        <v>0</v>
      </c>
      <c r="I59" t="str">
        <f>gescon_infosparticip!H58</f>
        <v/>
      </c>
      <c r="J59">
        <f>IF(gescon_infosparticip!I58=FALSE,0,1)</f>
        <v>0</v>
      </c>
      <c r="K59">
        <f>IF(gescon_infosparticip!J58=FALSE,0,1)</f>
        <v>0</v>
      </c>
      <c r="L59">
        <f>IF(gescon_infosparticip!K58=FALSE,0,1)</f>
        <v>0</v>
      </c>
      <c r="M59">
        <f>IF(gescon_infosparticip!L58=FALSE,0,1)</f>
        <v>0</v>
      </c>
      <c r="N59">
        <f>IF(gescon_infosparticip!M58=FALSE,0,1)</f>
        <v>0</v>
      </c>
      <c r="O59">
        <f>IF(gescon_infosparticip!N58=FALSE,0,1)</f>
        <v>0</v>
      </c>
      <c r="P59">
        <f>IF(gescon_infosparticip!O58=FALSE,0,1)</f>
        <v>0</v>
      </c>
      <c r="Q59">
        <f>IF(gescon_infosparticip!P58=FALSE,0,1)</f>
        <v>0</v>
      </c>
      <c r="R59">
        <f>IF(gescon_infosparticip!Q58=FALSE,0,1)</f>
        <v>0</v>
      </c>
      <c r="S59" t="str">
        <f>gescon_infosparticip!R58</f>
        <v/>
      </c>
      <c r="T59" t="str">
        <f>gescon_infosparticip!V58</f>
        <v/>
      </c>
      <c r="U59" t="str">
        <f>gescon_infosparticip!S58</f>
        <v/>
      </c>
      <c r="V59">
        <f>IF(gescon_infosparticip!U58=FALSE,0,1)</f>
        <v>0</v>
      </c>
      <c r="W59">
        <f>IF(gescon_infosparticip!T58=FALSE,0,1)</f>
        <v>0</v>
      </c>
      <c r="X59" t="str">
        <f>gescon_infosparticip!W58</f>
        <v/>
      </c>
      <c r="Y59">
        <f>IF(gescon_infosparticip!X58=FALSE,0,1)</f>
        <v>0</v>
      </c>
      <c r="Z59">
        <f>IF(gescon_infosparticip!Y58=FALSE,0,1)</f>
        <v>0</v>
      </c>
      <c r="AA59">
        <f>IF(gescon_infosparticip!Z58=FALSE,0,1)</f>
        <v>0</v>
      </c>
      <c r="AB59">
        <f>IF(gescon_infosparticip!AA58=FALSE,0,1)</f>
        <v>0</v>
      </c>
      <c r="AC59" t="str">
        <f>gescon_infosparticip!AB58</f>
        <v/>
      </c>
      <c r="AD59" t="str">
        <f>gescon_infosparticip!AC58</f>
        <v/>
      </c>
      <c r="AE59" t="str">
        <f>gescon_infosparticip!AD58</f>
        <v/>
      </c>
      <c r="AF59" t="str">
        <f>gescon_infosparticip!AE58</f>
        <v/>
      </c>
      <c r="AG59" t="str">
        <f>gescon_infosparticip!AF58</f>
        <v/>
      </c>
      <c r="AH59" t="str">
        <f>gescon_infosparticip!AG58</f>
        <v/>
      </c>
      <c r="AI59" t="str">
        <f>gescon_infosparticip!BN58</f>
        <v/>
      </c>
      <c r="AJ59" t="str">
        <f>gescon_infosparticip!BO58</f>
        <v/>
      </c>
    </row>
    <row r="60" spans="2:36" x14ac:dyDescent="0.25">
      <c r="B60">
        <f>gescon_infosparticip!A59</f>
        <v>455</v>
      </c>
      <c r="C60">
        <f>gescon_infosparticip!B59</f>
        <v>40933</v>
      </c>
      <c r="D60">
        <f>gescon_infosparticip!C59</f>
        <v>0</v>
      </c>
      <c r="E60">
        <f>gescon_infosparticip!D59</f>
        <v>0</v>
      </c>
      <c r="F60">
        <f>gescon_infosparticip!E59</f>
        <v>0</v>
      </c>
      <c r="G60">
        <f>gescon_infosparticip!F59</f>
        <v>0</v>
      </c>
      <c r="H60">
        <f>gescon_infosparticip!G59</f>
        <v>0</v>
      </c>
      <c r="I60" t="str">
        <f>gescon_infosparticip!H59</f>
        <v/>
      </c>
      <c r="J60">
        <f>IF(gescon_infosparticip!I59=FALSE,0,1)</f>
        <v>0</v>
      </c>
      <c r="K60">
        <f>IF(gescon_infosparticip!J59=FALSE,0,1)</f>
        <v>0</v>
      </c>
      <c r="L60">
        <f>IF(gescon_infosparticip!K59=FALSE,0,1)</f>
        <v>0</v>
      </c>
      <c r="M60">
        <f>IF(gescon_infosparticip!L59=FALSE,0,1)</f>
        <v>0</v>
      </c>
      <c r="N60">
        <f>IF(gescon_infosparticip!M59=FALSE,0,1)</f>
        <v>0</v>
      </c>
      <c r="O60">
        <f>IF(gescon_infosparticip!N59=FALSE,0,1)</f>
        <v>0</v>
      </c>
      <c r="P60">
        <f>IF(gescon_infosparticip!O59=FALSE,0,1)</f>
        <v>0</v>
      </c>
      <c r="Q60">
        <f>IF(gescon_infosparticip!P59=FALSE,0,1)</f>
        <v>0</v>
      </c>
      <c r="R60">
        <f>IF(gescon_infosparticip!Q59=FALSE,0,1)</f>
        <v>0</v>
      </c>
      <c r="S60" t="str">
        <f>gescon_infosparticip!R59</f>
        <v/>
      </c>
      <c r="T60" t="str">
        <f>gescon_infosparticip!V59</f>
        <v/>
      </c>
      <c r="U60" t="str">
        <f>gescon_infosparticip!S59</f>
        <v/>
      </c>
      <c r="V60">
        <f>IF(gescon_infosparticip!U59=FALSE,0,1)</f>
        <v>0</v>
      </c>
      <c r="W60">
        <f>IF(gescon_infosparticip!T59=FALSE,0,1)</f>
        <v>0</v>
      </c>
      <c r="X60" t="str">
        <f>gescon_infosparticip!W59</f>
        <v/>
      </c>
      <c r="Y60">
        <f>IF(gescon_infosparticip!X59=FALSE,0,1)</f>
        <v>0</v>
      </c>
      <c r="Z60">
        <f>IF(gescon_infosparticip!Y59=FALSE,0,1)</f>
        <v>0</v>
      </c>
      <c r="AA60">
        <f>IF(gescon_infosparticip!Z59=FALSE,0,1)</f>
        <v>0</v>
      </c>
      <c r="AB60">
        <f>IF(gescon_infosparticip!AA59=FALSE,0,1)</f>
        <v>0</v>
      </c>
      <c r="AC60" t="str">
        <f>gescon_infosparticip!AB59</f>
        <v/>
      </c>
      <c r="AD60" t="str">
        <f>gescon_infosparticip!AC59</f>
        <v/>
      </c>
      <c r="AE60" t="str">
        <f>gescon_infosparticip!AD59</f>
        <v/>
      </c>
      <c r="AF60" t="str">
        <f>gescon_infosparticip!AE59</f>
        <v/>
      </c>
      <c r="AG60" t="str">
        <f>gescon_infosparticip!AF59</f>
        <v/>
      </c>
      <c r="AH60" t="str">
        <f>gescon_infosparticip!AG59</f>
        <v/>
      </c>
      <c r="AI60" t="str">
        <f>gescon_infosparticip!BN59</f>
        <v/>
      </c>
      <c r="AJ60" t="str">
        <f>gescon_infosparticip!BO59</f>
        <v/>
      </c>
    </row>
    <row r="61" spans="2:36" x14ac:dyDescent="0.25">
      <c r="B61">
        <f>gescon_infosparticip!A60</f>
        <v>857</v>
      </c>
      <c r="C61">
        <f>gescon_infosparticip!B60</f>
        <v>40933</v>
      </c>
      <c r="D61">
        <f>gescon_infosparticip!C60</f>
        <v>0</v>
      </c>
      <c r="E61">
        <f>gescon_infosparticip!D60</f>
        <v>0</v>
      </c>
      <c r="F61">
        <f>gescon_infosparticip!E60</f>
        <v>0</v>
      </c>
      <c r="G61">
        <f>gescon_infosparticip!F60</f>
        <v>0</v>
      </c>
      <c r="H61">
        <f>gescon_infosparticip!G60</f>
        <v>0</v>
      </c>
      <c r="I61" t="str">
        <f>gescon_infosparticip!H60</f>
        <v/>
      </c>
      <c r="J61">
        <f>IF(gescon_infosparticip!I60=FALSE,0,1)</f>
        <v>0</v>
      </c>
      <c r="K61">
        <f>IF(gescon_infosparticip!J60=FALSE,0,1)</f>
        <v>0</v>
      </c>
      <c r="L61">
        <f>IF(gescon_infosparticip!K60=FALSE,0,1)</f>
        <v>0</v>
      </c>
      <c r="M61">
        <f>IF(gescon_infosparticip!L60=FALSE,0,1)</f>
        <v>0</v>
      </c>
      <c r="N61">
        <f>IF(gescon_infosparticip!M60=FALSE,0,1)</f>
        <v>0</v>
      </c>
      <c r="O61">
        <f>IF(gescon_infosparticip!N60=FALSE,0,1)</f>
        <v>0</v>
      </c>
      <c r="P61">
        <f>IF(gescon_infosparticip!O60=FALSE,0,1)</f>
        <v>0</v>
      </c>
      <c r="Q61">
        <f>IF(gescon_infosparticip!P60=FALSE,0,1)</f>
        <v>0</v>
      </c>
      <c r="R61">
        <f>IF(gescon_infosparticip!Q60=FALSE,0,1)</f>
        <v>0</v>
      </c>
      <c r="S61" t="str">
        <f>gescon_infosparticip!R60</f>
        <v/>
      </c>
      <c r="T61" t="str">
        <f>gescon_infosparticip!V60</f>
        <v/>
      </c>
      <c r="U61" t="str">
        <f>gescon_infosparticip!S60</f>
        <v/>
      </c>
      <c r="V61">
        <f>IF(gescon_infosparticip!U60=FALSE,0,1)</f>
        <v>0</v>
      </c>
      <c r="W61">
        <f>IF(gescon_infosparticip!T60=FALSE,0,1)</f>
        <v>0</v>
      </c>
      <c r="X61" t="str">
        <f>gescon_infosparticip!W60</f>
        <v/>
      </c>
      <c r="Y61">
        <f>IF(gescon_infosparticip!X60=FALSE,0,1)</f>
        <v>0</v>
      </c>
      <c r="Z61">
        <f>IF(gescon_infosparticip!Y60=FALSE,0,1)</f>
        <v>0</v>
      </c>
      <c r="AA61">
        <f>IF(gescon_infosparticip!Z60=FALSE,0,1)</f>
        <v>0</v>
      </c>
      <c r="AB61">
        <f>IF(gescon_infosparticip!AA60=FALSE,0,1)</f>
        <v>0</v>
      </c>
      <c r="AC61" t="str">
        <f>gescon_infosparticip!AB60</f>
        <v/>
      </c>
      <c r="AD61" t="str">
        <f>gescon_infosparticip!AC60</f>
        <v/>
      </c>
      <c r="AE61" t="str">
        <f>gescon_infosparticip!AD60</f>
        <v/>
      </c>
      <c r="AF61" t="str">
        <f>gescon_infosparticip!AE60</f>
        <v/>
      </c>
      <c r="AG61" t="str">
        <f>gescon_infosparticip!AF60</f>
        <v/>
      </c>
      <c r="AH61" t="str">
        <f>gescon_infosparticip!AG60</f>
        <v/>
      </c>
      <c r="AI61" t="str">
        <f>gescon_infosparticip!BN60</f>
        <v/>
      </c>
      <c r="AJ61" t="str">
        <f>gescon_infosparticip!BO60</f>
        <v/>
      </c>
    </row>
    <row r="62" spans="2:36" x14ac:dyDescent="0.25">
      <c r="B62">
        <f>gescon_infosparticip!A61</f>
        <v>1414</v>
      </c>
      <c r="C62">
        <f>gescon_infosparticip!B61</f>
        <v>42289</v>
      </c>
      <c r="D62">
        <f>gescon_infosparticip!C61</f>
        <v>0</v>
      </c>
      <c r="E62">
        <f>gescon_infosparticip!D61</f>
        <v>0</v>
      </c>
      <c r="F62">
        <f>gescon_infosparticip!E61</f>
        <v>0</v>
      </c>
      <c r="G62">
        <f>gescon_infosparticip!F61</f>
        <v>0</v>
      </c>
      <c r="H62">
        <f>gescon_infosparticip!G61</f>
        <v>0</v>
      </c>
      <c r="I62" t="str">
        <f>gescon_infosparticip!H61</f>
        <v/>
      </c>
      <c r="J62">
        <f>IF(gescon_infosparticip!I61=FALSE,0,1)</f>
        <v>0</v>
      </c>
      <c r="K62">
        <f>IF(gescon_infosparticip!J61=FALSE,0,1)</f>
        <v>0</v>
      </c>
      <c r="L62">
        <f>IF(gescon_infosparticip!K61=FALSE,0,1)</f>
        <v>0</v>
      </c>
      <c r="M62">
        <f>IF(gescon_infosparticip!L61=FALSE,0,1)</f>
        <v>0</v>
      </c>
      <c r="N62">
        <f>IF(gescon_infosparticip!M61=FALSE,0,1)</f>
        <v>0</v>
      </c>
      <c r="O62">
        <f>IF(gescon_infosparticip!N61=FALSE,0,1)</f>
        <v>0</v>
      </c>
      <c r="P62">
        <f>IF(gescon_infosparticip!O61=FALSE,0,1)</f>
        <v>0</v>
      </c>
      <c r="Q62">
        <f>IF(gescon_infosparticip!P61=FALSE,0,1)</f>
        <v>0</v>
      </c>
      <c r="R62">
        <f>IF(gescon_infosparticip!Q61=FALSE,0,1)</f>
        <v>0</v>
      </c>
      <c r="S62" t="str">
        <f>gescon_infosparticip!R61</f>
        <v/>
      </c>
      <c r="T62" t="str">
        <f>gescon_infosparticip!V61</f>
        <v/>
      </c>
      <c r="U62" t="str">
        <f>gescon_infosparticip!S61</f>
        <v/>
      </c>
      <c r="V62">
        <f>IF(gescon_infosparticip!U61=FALSE,0,1)</f>
        <v>0</v>
      </c>
      <c r="W62">
        <f>IF(gescon_infosparticip!T61=FALSE,0,1)</f>
        <v>0</v>
      </c>
      <c r="X62" t="str">
        <f>gescon_infosparticip!W61</f>
        <v/>
      </c>
      <c r="Y62">
        <f>IF(gescon_infosparticip!X61=FALSE,0,1)</f>
        <v>0</v>
      </c>
      <c r="Z62">
        <f>IF(gescon_infosparticip!Y61=FALSE,0,1)</f>
        <v>0</v>
      </c>
      <c r="AA62">
        <f>IF(gescon_infosparticip!Z61=FALSE,0,1)</f>
        <v>0</v>
      </c>
      <c r="AB62">
        <f>IF(gescon_infosparticip!AA61=FALSE,0,1)</f>
        <v>0</v>
      </c>
      <c r="AC62" t="str">
        <f>gescon_infosparticip!AB61</f>
        <v/>
      </c>
      <c r="AD62" t="str">
        <f>gescon_infosparticip!AC61</f>
        <v/>
      </c>
      <c r="AE62" t="str">
        <f>gescon_infosparticip!AD61</f>
        <v/>
      </c>
      <c r="AF62" t="str">
        <f>gescon_infosparticip!AE61</f>
        <v/>
      </c>
      <c r="AG62" t="str">
        <f>gescon_infosparticip!AF61</f>
        <v/>
      </c>
      <c r="AH62" t="str">
        <f>gescon_infosparticip!AG61</f>
        <v/>
      </c>
      <c r="AI62" t="str">
        <f>gescon_infosparticip!BN61</f>
        <v/>
      </c>
      <c r="AJ62" t="str">
        <f>gescon_infosparticip!BO61</f>
        <v/>
      </c>
    </row>
    <row r="63" spans="2:36" x14ac:dyDescent="0.25">
      <c r="B63">
        <f>gescon_infosparticip!A62</f>
        <v>1447</v>
      </c>
      <c r="C63">
        <f>gescon_infosparticip!B62</f>
        <v>42145</v>
      </c>
      <c r="D63">
        <f>gescon_infosparticip!C62</f>
        <v>-1771355288</v>
      </c>
      <c r="E63">
        <f>gescon_infosparticip!D62</f>
        <v>1231699724</v>
      </c>
      <c r="F63">
        <f>gescon_infosparticip!E62</f>
        <v>0</v>
      </c>
      <c r="G63">
        <f>gescon_infosparticip!F62</f>
        <v>1424</v>
      </c>
      <c r="H63">
        <f>gescon_infosparticip!G62</f>
        <v>0</v>
      </c>
      <c r="I63" t="str">
        <f>gescon_infosparticip!H62</f>
        <v/>
      </c>
      <c r="J63">
        <f>IF(gescon_infosparticip!I62=FALSE,0,1)</f>
        <v>0</v>
      </c>
      <c r="K63">
        <f>IF(gescon_infosparticip!J62=FALSE,0,1)</f>
        <v>0</v>
      </c>
      <c r="L63">
        <f>IF(gescon_infosparticip!K62=FALSE,0,1)</f>
        <v>1</v>
      </c>
      <c r="M63">
        <f>IF(gescon_infosparticip!L62=FALSE,0,1)</f>
        <v>0</v>
      </c>
      <c r="N63">
        <f>IF(gescon_infosparticip!M62=FALSE,0,1)</f>
        <v>1</v>
      </c>
      <c r="O63">
        <f>IF(gescon_infosparticip!N62=FALSE,0,1)</f>
        <v>0</v>
      </c>
      <c r="P63">
        <f>IF(gescon_infosparticip!O62=FALSE,0,1)</f>
        <v>0</v>
      </c>
      <c r="Q63">
        <f>IF(gescon_infosparticip!P62=FALSE,0,1)</f>
        <v>0</v>
      </c>
      <c r="R63">
        <f>IF(gescon_infosparticip!Q62=FALSE,0,1)</f>
        <v>0</v>
      </c>
      <c r="S63" t="str">
        <f>gescon_infosparticip!R62</f>
        <v>supporte les longs trajets</v>
      </c>
      <c r="T63" t="str">
        <f>gescon_infosparticip!V62</f>
        <v>se débroille seul</v>
      </c>
      <c r="U63" t="str">
        <f>gescon_infosparticip!S62</f>
        <v>Elle peut aller dans la piscine mais toujours avec une aide. Elle  ne nage pas.</v>
      </c>
      <c r="V63">
        <f>IF(gescon_infosparticip!U62=FALSE,0,1)</f>
        <v>1</v>
      </c>
      <c r="W63">
        <f>IF(gescon_infosparticip!T62=FALSE,0,1)</f>
        <v>0</v>
      </c>
      <c r="X63" t="str">
        <f>gescon_infosparticip!W62</f>
        <v/>
      </c>
      <c r="Y63">
        <f>IF(gescon_infosparticip!X62=FALSE,0,1)</f>
        <v>0</v>
      </c>
      <c r="Z63">
        <f>IF(gescon_infosparticip!Y62=FALSE,0,1)</f>
        <v>0</v>
      </c>
      <c r="AA63">
        <f>IF(gescon_infosparticip!Z62=FALSE,0,1)</f>
        <v>0</v>
      </c>
      <c r="AB63">
        <f>IF(gescon_infosparticip!AA62=FALSE,0,1)</f>
        <v>0</v>
      </c>
      <c r="AC63" t="str">
        <f>gescon_infosparticip!AB62</f>
        <v>verbale</v>
      </c>
      <c r="AD63" t="str">
        <f>gescon_infosparticip!AC62</f>
        <v>Elle aime jouer avec les jeux de société, écouter de la musique, dessiner et aime être assise.
éviter la surprotection. Elle a de la difficulté à être dans un rythme</v>
      </c>
      <c r="AE63" t="str">
        <f>gescon_infosparticip!AD62</f>
        <v/>
      </c>
      <c r="AF63" t="str">
        <f>gescon_infosparticip!AE62</f>
        <v/>
      </c>
      <c r="AG63" t="str">
        <f>gescon_infosparticip!AF62</f>
        <v/>
      </c>
      <c r="AH63" t="str">
        <f>gescon_infosparticip!AG62</f>
        <v>Elle n'aime pas se mouvoir, elle aime être passive</v>
      </c>
      <c r="AI63" t="str">
        <f>gescon_infosparticip!BN62</f>
        <v/>
      </c>
      <c r="AJ63" t="str">
        <f>gescon_infosparticip!BO62</f>
        <v/>
      </c>
    </row>
    <row r="64" spans="2:36" x14ac:dyDescent="0.25">
      <c r="B64">
        <f>gescon_infosparticip!A63</f>
        <v>1452</v>
      </c>
      <c r="C64">
        <f>gescon_infosparticip!B63</f>
        <v>37858.369212963</v>
      </c>
      <c r="D64">
        <f>gescon_infosparticip!C63</f>
        <v>132</v>
      </c>
      <c r="E64">
        <f>gescon_infosparticip!D63</f>
        <v>-936114117</v>
      </c>
      <c r="F64">
        <f>gescon_infosparticip!E63</f>
        <v>0</v>
      </c>
      <c r="G64">
        <f>gescon_infosparticip!F63</f>
        <v>269</v>
      </c>
      <c r="H64">
        <f>gescon_infosparticip!G63</f>
        <v>269</v>
      </c>
      <c r="I64" t="str">
        <f>gescon_infosparticip!H63</f>
        <v/>
      </c>
      <c r="J64">
        <f>IF(gescon_infosparticip!I63=FALSE,0,1)</f>
        <v>0</v>
      </c>
      <c r="K64">
        <f>IF(gescon_infosparticip!J63=FALSE,0,1)</f>
        <v>0</v>
      </c>
      <c r="L64">
        <f>IF(gescon_infosparticip!K63=FALSE,0,1)</f>
        <v>0</v>
      </c>
      <c r="M64">
        <f>IF(gescon_infosparticip!L63=FALSE,0,1)</f>
        <v>0</v>
      </c>
      <c r="N64">
        <f>IF(gescon_infosparticip!M63=FALSE,0,1)</f>
        <v>0</v>
      </c>
      <c r="O64">
        <f>IF(gescon_infosparticip!N63=FALSE,0,1)</f>
        <v>0</v>
      </c>
      <c r="P64">
        <f>IF(gescon_infosparticip!O63=FALSE,0,1)</f>
        <v>0</v>
      </c>
      <c r="Q64">
        <f>IF(gescon_infosparticip!P63=FALSE,0,1)</f>
        <v>0</v>
      </c>
      <c r="R64">
        <f>IF(gescon_infosparticip!Q63=FALSE,0,1)</f>
        <v>0</v>
      </c>
      <c r="S64" t="str">
        <f>gescon_infosparticip!R63</f>
        <v/>
      </c>
      <c r="T64" t="str">
        <f>gescon_infosparticip!V63</f>
        <v/>
      </c>
      <c r="U64" t="str">
        <f>gescon_infosparticip!S63</f>
        <v>Sandrine a besoin de l’aide d’une personne.</v>
      </c>
      <c r="V64">
        <f>IF(gescon_infosparticip!U63=FALSE,0,1)</f>
        <v>0</v>
      </c>
      <c r="W64">
        <f>IF(gescon_infosparticip!T63=FALSE,0,1)</f>
        <v>0</v>
      </c>
      <c r="X64" t="str">
        <f>gescon_infosparticip!W63</f>
        <v/>
      </c>
      <c r="Y64">
        <f>IF(gescon_infosparticip!X63=FALSE,0,1)</f>
        <v>0</v>
      </c>
      <c r="Z64">
        <f>IF(gescon_infosparticip!Y63=FALSE,0,1)</f>
        <v>0</v>
      </c>
      <c r="AA64">
        <f>IF(gescon_infosparticip!Z63=FALSE,0,1)</f>
        <v>0</v>
      </c>
      <c r="AB64">
        <f>IF(gescon_infosparticip!AA63=FALSE,0,1)</f>
        <v>0</v>
      </c>
      <c r="AC64" t="str">
        <f>gescon_infosparticip!AB63</f>
        <v>oral</v>
      </c>
      <c r="AD64" t="str">
        <f>gescon_infosparticip!AC63</f>
        <v>Sandrine parle de tout. Elle aime sortir, rencontrer des gens.</v>
      </c>
      <c r="AE64" t="str">
        <f>gescon_infosparticip!AD63</f>
        <v/>
      </c>
      <c r="AF64" t="str">
        <f>gescon_infosparticip!AE63</f>
        <v/>
      </c>
      <c r="AG64" t="str">
        <f>gescon_infosparticip!AF63</f>
        <v/>
      </c>
      <c r="AH64" t="str">
        <f>gescon_infosparticip!AG63</f>
        <v/>
      </c>
      <c r="AI64" t="str">
        <f>gescon_infosparticip!BN63</f>
        <v/>
      </c>
      <c r="AJ64" t="str">
        <f>gescon_infosparticip!BO63</f>
        <v/>
      </c>
    </row>
    <row r="65" spans="2:36" x14ac:dyDescent="0.25">
      <c r="B65">
        <f>gescon_infosparticip!A64</f>
        <v>1507</v>
      </c>
      <c r="C65">
        <f>gescon_infosparticip!B64</f>
        <v>37847.366562499999</v>
      </c>
      <c r="D65">
        <f>gescon_infosparticip!C64</f>
        <v>125</v>
      </c>
      <c r="E65">
        <f>gescon_infosparticip!D64</f>
        <v>0</v>
      </c>
      <c r="F65">
        <f>gescon_infosparticip!E64</f>
        <v>0</v>
      </c>
      <c r="G65">
        <f>gescon_infosparticip!F64</f>
        <v>0</v>
      </c>
      <c r="H65">
        <f>gescon_infosparticip!G64</f>
        <v>0</v>
      </c>
      <c r="I65" t="str">
        <f>gescon_infosparticip!H64</f>
        <v/>
      </c>
      <c r="J65">
        <f>IF(gescon_infosparticip!I64=FALSE,0,1)</f>
        <v>0</v>
      </c>
      <c r="K65">
        <f>IF(gescon_infosparticip!J64=FALSE,0,1)</f>
        <v>0</v>
      </c>
      <c r="L65">
        <f>IF(gescon_infosparticip!K64=FALSE,0,1)</f>
        <v>0</v>
      </c>
      <c r="M65">
        <f>IF(gescon_infosparticip!L64=FALSE,0,1)</f>
        <v>0</v>
      </c>
      <c r="N65">
        <f>IF(gescon_infosparticip!M64=FALSE,0,1)</f>
        <v>0</v>
      </c>
      <c r="O65">
        <f>IF(gescon_infosparticip!N64=FALSE,0,1)</f>
        <v>0</v>
      </c>
      <c r="P65">
        <f>IF(gescon_infosparticip!O64=FALSE,0,1)</f>
        <v>0</v>
      </c>
      <c r="Q65">
        <f>IF(gescon_infosparticip!P64=FALSE,0,1)</f>
        <v>0</v>
      </c>
      <c r="R65">
        <f>IF(gescon_infosparticip!Q64=FALSE,0,1)</f>
        <v>0</v>
      </c>
      <c r="S65" t="str">
        <f>gescon_infosparticip!R64</f>
        <v/>
      </c>
      <c r="T65" t="str">
        <f>gescon_infosparticip!V64</f>
        <v/>
      </c>
      <c r="U65" t="str">
        <f>gescon_infosparticip!S64</f>
        <v>Sapna sait nager. Elle apprécie la piscine.</v>
      </c>
      <c r="V65">
        <f>IF(gescon_infosparticip!U64=FALSE,0,1)</f>
        <v>1</v>
      </c>
      <c r="W65">
        <f>IF(gescon_infosparticip!T64=FALSE,0,1)</f>
        <v>0</v>
      </c>
      <c r="X65" t="str">
        <f>gescon_infosparticip!W64</f>
        <v/>
      </c>
      <c r="Y65">
        <f>IF(gescon_infosparticip!X64=FALSE,0,1)</f>
        <v>0</v>
      </c>
      <c r="Z65">
        <f>IF(gescon_infosparticip!Y64=FALSE,0,1)</f>
        <v>0</v>
      </c>
      <c r="AA65">
        <f>IF(gescon_infosparticip!Z64=FALSE,0,1)</f>
        <v>0</v>
      </c>
      <c r="AB65">
        <f>IF(gescon_infosparticip!AA64=FALSE,0,1)</f>
        <v>0</v>
      </c>
      <c r="AC65" t="str">
        <f>gescon_infosparticip!AB64</f>
        <v>oral</v>
      </c>
      <c r="AD65" t="str">
        <f>gescon_infosparticip!AC64</f>
        <v>Sapna aime bien faire les magasins, écouter de la musique et aller en discothèque.</v>
      </c>
      <c r="AE65" t="str">
        <f>gescon_infosparticip!AD64</f>
        <v/>
      </c>
      <c r="AF65" t="str">
        <f>gescon_infosparticip!AE64</f>
        <v/>
      </c>
      <c r="AG65" t="str">
        <f>gescon_infosparticip!AF64</f>
        <v/>
      </c>
      <c r="AH65" t="str">
        <f>gescon_infosparticip!AG64</f>
        <v>Sapna n'aime pas les promenades.</v>
      </c>
      <c r="AI65" t="str">
        <f>gescon_infosparticip!BN64</f>
        <v/>
      </c>
      <c r="AJ65" t="str">
        <f>gescon_infosparticip!BO64</f>
        <v/>
      </c>
    </row>
    <row r="66" spans="2:36" x14ac:dyDescent="0.25">
      <c r="B66">
        <f>gescon_infosparticip!A65</f>
        <v>1508</v>
      </c>
      <c r="C66">
        <f>gescon_infosparticip!B65</f>
        <v>37847.3843402778</v>
      </c>
      <c r="D66">
        <f>gescon_infosparticip!C65</f>
        <v>125</v>
      </c>
      <c r="E66">
        <f>gescon_infosparticip!D65</f>
        <v>0</v>
      </c>
      <c r="F66">
        <f>gescon_infosparticip!E65</f>
        <v>0</v>
      </c>
      <c r="G66">
        <f>gescon_infosparticip!F65</f>
        <v>0</v>
      </c>
      <c r="H66">
        <f>gescon_infosparticip!G65</f>
        <v>0</v>
      </c>
      <c r="I66" t="str">
        <f>gescon_infosparticip!H65</f>
        <v/>
      </c>
      <c r="J66">
        <f>IF(gescon_infosparticip!I65=FALSE,0,1)</f>
        <v>0</v>
      </c>
      <c r="K66">
        <f>IF(gescon_infosparticip!J65=FALSE,0,1)</f>
        <v>0</v>
      </c>
      <c r="L66">
        <f>IF(gescon_infosparticip!K65=FALSE,0,1)</f>
        <v>0</v>
      </c>
      <c r="M66">
        <f>IF(gescon_infosparticip!L65=FALSE,0,1)</f>
        <v>0</v>
      </c>
      <c r="N66">
        <f>IF(gescon_infosparticip!M65=FALSE,0,1)</f>
        <v>0</v>
      </c>
      <c r="O66">
        <f>IF(gescon_infosparticip!N65=FALSE,0,1)</f>
        <v>0</v>
      </c>
      <c r="P66">
        <f>IF(gescon_infosparticip!O65=FALSE,0,1)</f>
        <v>0</v>
      </c>
      <c r="Q66">
        <f>IF(gescon_infosparticip!P65=FALSE,0,1)</f>
        <v>0</v>
      </c>
      <c r="R66">
        <f>IF(gescon_infosparticip!Q65=FALSE,0,1)</f>
        <v>0</v>
      </c>
      <c r="S66" t="str">
        <f>gescon_infosparticip!R65</f>
        <v/>
      </c>
      <c r="T66" t="str">
        <f>gescon_infosparticip!V65</f>
        <v/>
      </c>
      <c r="U66" t="str">
        <f>gescon_infosparticip!S65</f>
        <v>Prince ne sait pas nager et il n'aime pas aller à la piscine.</v>
      </c>
      <c r="V66">
        <f>IF(gescon_infosparticip!U65=FALSE,0,1)</f>
        <v>1</v>
      </c>
      <c r="W66">
        <f>IF(gescon_infosparticip!T65=FALSE,0,1)</f>
        <v>1</v>
      </c>
      <c r="X66" t="str">
        <f>gescon_infosparticip!W65</f>
        <v/>
      </c>
      <c r="Y66">
        <f>IF(gescon_infosparticip!X65=FALSE,0,1)</f>
        <v>0</v>
      </c>
      <c r="Z66">
        <f>IF(gescon_infosparticip!Y65=FALSE,0,1)</f>
        <v>0</v>
      </c>
      <c r="AA66">
        <f>IF(gescon_infosparticip!Z65=FALSE,0,1)</f>
        <v>0</v>
      </c>
      <c r="AB66">
        <f>IF(gescon_infosparticip!AA65=FALSE,0,1)</f>
        <v>0</v>
      </c>
      <c r="AC66" t="str">
        <f>gescon_infosparticip!AB65</f>
        <v>oral</v>
      </c>
      <c r="AD66" t="str">
        <f>gescon_infosparticip!AC65</f>
        <v>Prince aime bien le sport, le foot, le rafroball, aller boire une verre et la bonne ambiance. Il est ouvert à tous les sujets de discussion.</v>
      </c>
      <c r="AE66" t="str">
        <f>gescon_infosparticip!AD65</f>
        <v/>
      </c>
      <c r="AF66" t="str">
        <f>gescon_infosparticip!AE65</f>
        <v/>
      </c>
      <c r="AG66" t="str">
        <f>gescon_infosparticip!AF65</f>
        <v/>
      </c>
      <c r="AH66" t="str">
        <f>gescon_infosparticip!AG65</f>
        <v>la piscine, la natation, la plage.</v>
      </c>
      <c r="AI66" t="str">
        <f>gescon_infosparticip!BN65</f>
        <v/>
      </c>
      <c r="AJ66" t="str">
        <f>gescon_infosparticip!BO65</f>
        <v/>
      </c>
    </row>
    <row r="67" spans="2:36" x14ac:dyDescent="0.25">
      <c r="B67">
        <f>gescon_infosparticip!A66</f>
        <v>1511</v>
      </c>
      <c r="C67">
        <f>gescon_infosparticip!B66</f>
        <v>42131</v>
      </c>
      <c r="D67">
        <f>gescon_infosparticip!C66</f>
        <v>2210</v>
      </c>
      <c r="E67">
        <f>gescon_infosparticip!D66</f>
        <v>2210</v>
      </c>
      <c r="F67">
        <f>gescon_infosparticip!E66</f>
        <v>0</v>
      </c>
      <c r="G67">
        <f>gescon_infosparticip!F66</f>
        <v>0</v>
      </c>
      <c r="H67">
        <f>gescon_infosparticip!G66</f>
        <v>0</v>
      </c>
      <c r="I67" t="str">
        <f>gescon_infosparticip!H66</f>
        <v/>
      </c>
      <c r="J67">
        <f>IF(gescon_infosparticip!I66=FALSE,0,1)</f>
        <v>0</v>
      </c>
      <c r="K67">
        <f>IF(gescon_infosparticip!J66=FALSE,0,1)</f>
        <v>0</v>
      </c>
      <c r="L67">
        <f>IF(gescon_infosparticip!K66=FALSE,0,1)</f>
        <v>0</v>
      </c>
      <c r="M67">
        <f>IF(gescon_infosparticip!L66=FALSE,0,1)</f>
        <v>0</v>
      </c>
      <c r="N67">
        <f>IF(gescon_infosparticip!M66=FALSE,0,1)</f>
        <v>0</v>
      </c>
      <c r="O67">
        <f>IF(gescon_infosparticip!N66=FALSE,0,1)</f>
        <v>0</v>
      </c>
      <c r="P67">
        <f>IF(gescon_infosparticip!O66=FALSE,0,1)</f>
        <v>0</v>
      </c>
      <c r="Q67">
        <f>IF(gescon_infosparticip!P66=FALSE,0,1)</f>
        <v>0</v>
      </c>
      <c r="R67">
        <f>IF(gescon_infosparticip!Q66=FALSE,0,1)</f>
        <v>0</v>
      </c>
      <c r="S67" t="str">
        <f>gescon_infosparticip!R66</f>
        <v/>
      </c>
      <c r="T67" t="str">
        <f>gescon_infosparticip!V66</f>
        <v/>
      </c>
      <c r="U67" t="str">
        <f>gescon_infosparticip!S66</f>
        <v>Maud sait nager et se débrouille seule.</v>
      </c>
      <c r="V67">
        <f>IF(gescon_infosparticip!U66=FALSE,0,1)</f>
        <v>1</v>
      </c>
      <c r="W67">
        <f>IF(gescon_infosparticip!T66=FALSE,0,1)</f>
        <v>0</v>
      </c>
      <c r="X67" t="str">
        <f>gescon_infosparticip!W66</f>
        <v/>
      </c>
      <c r="Y67">
        <f>IF(gescon_infosparticip!X66=FALSE,0,1)</f>
        <v>0</v>
      </c>
      <c r="Z67">
        <f>IF(gescon_infosparticip!Y66=FALSE,0,1)</f>
        <v>0</v>
      </c>
      <c r="AA67">
        <f>IF(gescon_infosparticip!Z66=FALSE,0,1)</f>
        <v>0</v>
      </c>
      <c r="AB67">
        <f>IF(gescon_infosparticip!AA66=FALSE,0,1)</f>
        <v>0</v>
      </c>
      <c r="AC67" t="str">
        <f>gescon_infosparticip!AB66</f>
        <v>expression orale</v>
      </c>
      <c r="AD67" t="str">
        <f>gescon_infosparticip!AC66</f>
        <v>Le sport en général, le tennis.</v>
      </c>
      <c r="AE67" t="str">
        <f>gescon_infosparticip!AD66</f>
        <v/>
      </c>
      <c r="AF67" t="str">
        <f>gescon_infosparticip!AE66</f>
        <v/>
      </c>
      <c r="AG67" t="str">
        <f>gescon_infosparticip!AF66</f>
        <v/>
      </c>
      <c r="AH67" t="str">
        <f>gescon_infosparticip!AG66</f>
        <v/>
      </c>
      <c r="AI67" t="str">
        <f>gescon_infosparticip!BN66</f>
        <v/>
      </c>
      <c r="AJ67" t="str">
        <f>gescon_infosparticip!BO66</f>
        <v/>
      </c>
    </row>
    <row r="68" spans="2:36" x14ac:dyDescent="0.25">
      <c r="B68">
        <f>gescon_infosparticip!A67</f>
        <v>1512</v>
      </c>
      <c r="C68">
        <f>gescon_infosparticip!B67</f>
        <v>42852</v>
      </c>
      <c r="D68">
        <f>gescon_infosparticip!C67</f>
        <v>2146189236</v>
      </c>
      <c r="E68">
        <f>gescon_infosparticip!D67</f>
        <v>1542885674</v>
      </c>
      <c r="F68">
        <f>gescon_infosparticip!E67</f>
        <v>0</v>
      </c>
      <c r="G68">
        <f>gescon_infosparticip!F67</f>
        <v>0</v>
      </c>
      <c r="H68">
        <f>gescon_infosparticip!G67</f>
        <v>1542885674</v>
      </c>
      <c r="I68" t="str">
        <f>gescon_infosparticip!H67</f>
        <v/>
      </c>
      <c r="J68">
        <f>IF(gescon_infosparticip!I67=FALSE,0,1)</f>
        <v>0</v>
      </c>
      <c r="K68">
        <f>IF(gescon_infosparticip!J67=FALSE,0,1)</f>
        <v>0</v>
      </c>
      <c r="L68">
        <f>IF(gescon_infosparticip!K67=FALSE,0,1)</f>
        <v>0</v>
      </c>
      <c r="M68">
        <f>IF(gescon_infosparticip!L67=FALSE,0,1)</f>
        <v>1</v>
      </c>
      <c r="N68">
        <f>IF(gescon_infosparticip!M67=FALSE,0,1)</f>
        <v>0</v>
      </c>
      <c r="O68">
        <f>IF(gescon_infosparticip!N67=FALSE,0,1)</f>
        <v>1</v>
      </c>
      <c r="P68">
        <f>IF(gescon_infosparticip!O67=FALSE,0,1)</f>
        <v>0</v>
      </c>
      <c r="Q68">
        <f>IF(gescon_infosparticip!P67=FALSE,0,1)</f>
        <v>0</v>
      </c>
      <c r="R68">
        <f>IF(gescon_infosparticip!Q67=FALSE,0,1)</f>
        <v>0</v>
      </c>
      <c r="S68" t="str">
        <f>gescon_infosparticip!R67</f>
        <v>Supporte les longs trajets en bus il les apprécient beaucoup. Samuel marche avec de l’aide pour le guider. Il nous tiens par l'épaule pour marcher, ne pas le laisser trop s’appuyer sur soi.</v>
      </c>
      <c r="T68" t="str">
        <f>gescon_infosparticip!V67</f>
        <v>Samuel, avec une stimulation verbale, arrive à ôter ses habits (en phases d’apprentissage). Pour l’habillement, il a besoin de l’aide.</v>
      </c>
      <c r="U68" t="str">
        <f>gescon_infosparticip!S67</f>
        <v>Samuel apprécie l’eau et les « bulles et massages d’eau » dans les bains thermaux. Une personne doit le tenir continuellement car, il ne nage pas. Il apprécie les jeux dans l’eau : sauter, se faire tirer ou pousser dans l’eau. Il n’aime pas les piscines avec de l’eau « froide ».</v>
      </c>
      <c r="V68">
        <f>IF(gescon_infosparticip!U67=FALSE,0,1)</f>
        <v>1</v>
      </c>
      <c r="W68">
        <f>IF(gescon_infosparticip!T67=FALSE,0,1)</f>
        <v>0</v>
      </c>
      <c r="X68" t="str">
        <f>gescon_infosparticip!W67</f>
        <v>Au coucher, il n’a pas d’habitudes particulières. Il apprécie les massages et les petites histoires, les vacances et les week-ends pas d’horaires. Contrôler env. toutes les 2h sa poche et vider les gaz si nécessaire.
•	Maintenant il apprécie une sieste si on se couche avec lui, surtout si la journée et les soirées sont bien chargées. Seul, lui passer de la musique.</v>
      </c>
      <c r="Y68">
        <f>IF(gescon_infosparticip!X67=FALSE,0,1)</f>
        <v>0</v>
      </c>
      <c r="Z68">
        <f>IF(gescon_infosparticip!Y67=FALSE,0,1)</f>
        <v>0</v>
      </c>
      <c r="AA68">
        <f>IF(gescon_infosparticip!Z67=FALSE,0,1)</f>
        <v>0</v>
      </c>
      <c r="AB68">
        <f>IF(gescon_infosparticip!AA67=FALSE,0,1)</f>
        <v>0</v>
      </c>
      <c r="AC68" t="str">
        <f>gescon_infosparticip!AB67</f>
        <v>Il parle et commence à s’affirmer avec le oui et le non. Il a besoin qu’on lui verbalise les activités que l’on fait sur le moment. Cela le rassure et l’aide à se situer.</v>
      </c>
      <c r="AD68" t="str">
        <f>gescon_infosparticip!AC67</f>
        <v>Ses grands-parents maternels Benjamin et Eliane. Sa marraine Karine.</v>
      </c>
      <c r="AE68" t="str">
        <f>gescon_infosparticip!AD67</f>
        <v>1 sœur : Catherine de 1989 et 1 frère : Florent de 1986.Il est tonton de Melvin et Gabriel (fils de Catherine et Simon) né en 2011, Théo (fils de Florent et Adriana) né en 2014 et Océane né en 2015</v>
      </c>
      <c r="AF68" t="str">
        <f>gescon_infosparticip!AE67</f>
        <v/>
      </c>
      <c r="AG68" t="str">
        <f>gescon_infosparticip!AF67</f>
        <v>Samuel aime les balades à cheval, les bains thermaux, les balades à vélo, les balades et le karaoké (chanter et danser). Il apprécie le contact physique et être contenu dans les bras.</v>
      </c>
      <c r="AH68" t="str">
        <f>gescon_infosparticip!AG67</f>
        <v/>
      </c>
      <c r="AI68" t="str">
        <f>gescon_infosparticip!BN67</f>
        <v/>
      </c>
      <c r="AJ68" t="str">
        <f>gescon_infosparticip!BO67</f>
        <v/>
      </c>
    </row>
    <row r="69" spans="2:36" x14ac:dyDescent="0.25">
      <c r="B69">
        <f>gescon_infosparticip!A68</f>
        <v>1513</v>
      </c>
      <c r="C69">
        <f>gescon_infosparticip!B68</f>
        <v>37847.4518634259</v>
      </c>
      <c r="D69">
        <f>gescon_infosparticip!C68</f>
        <v>0</v>
      </c>
      <c r="E69">
        <f>gescon_infosparticip!D68</f>
        <v>0</v>
      </c>
      <c r="F69">
        <f>gescon_infosparticip!E68</f>
        <v>0</v>
      </c>
      <c r="G69">
        <f>gescon_infosparticip!F68</f>
        <v>0</v>
      </c>
      <c r="H69">
        <f>gescon_infosparticip!G68</f>
        <v>0</v>
      </c>
      <c r="I69" t="str">
        <f>gescon_infosparticip!H68</f>
        <v/>
      </c>
      <c r="J69">
        <f>IF(gescon_infosparticip!I68=FALSE,0,1)</f>
        <v>0</v>
      </c>
      <c r="K69">
        <f>IF(gescon_infosparticip!J68=FALSE,0,1)</f>
        <v>0</v>
      </c>
      <c r="L69">
        <f>IF(gescon_infosparticip!K68=FALSE,0,1)</f>
        <v>0</v>
      </c>
      <c r="M69">
        <f>IF(gescon_infosparticip!L68=FALSE,0,1)</f>
        <v>0</v>
      </c>
      <c r="N69">
        <f>IF(gescon_infosparticip!M68=FALSE,0,1)</f>
        <v>0</v>
      </c>
      <c r="O69">
        <f>IF(gescon_infosparticip!N68=FALSE,0,1)</f>
        <v>0</v>
      </c>
      <c r="P69">
        <f>IF(gescon_infosparticip!O68=FALSE,0,1)</f>
        <v>0</v>
      </c>
      <c r="Q69">
        <f>IF(gescon_infosparticip!P68=FALSE,0,1)</f>
        <v>0</v>
      </c>
      <c r="R69">
        <f>IF(gescon_infosparticip!Q68=FALSE,0,1)</f>
        <v>0</v>
      </c>
      <c r="S69" t="str">
        <f>gescon_infosparticip!R68</f>
        <v/>
      </c>
      <c r="T69" t="str">
        <f>gescon_infosparticip!V68</f>
        <v/>
      </c>
      <c r="U69" t="str">
        <f>gescon_infosparticip!S68</f>
        <v>Il aime les piscines avec l'esu chaude. Il faut le soutenir (manchons ou bouée), bien lui soutenir la tête.</v>
      </c>
      <c r="V69">
        <f>IF(gescon_infosparticip!U68=FALSE,0,1)</f>
        <v>0</v>
      </c>
      <c r="W69">
        <f>IF(gescon_infosparticip!T68=FALSE,0,1)</f>
        <v>0</v>
      </c>
      <c r="X69" t="str">
        <f>gescon_infosparticip!W68</f>
        <v/>
      </c>
      <c r="Y69">
        <f>IF(gescon_infosparticip!X68=FALSE,0,1)</f>
        <v>0</v>
      </c>
      <c r="Z69">
        <f>IF(gescon_infosparticip!Y68=FALSE,0,1)</f>
        <v>0</v>
      </c>
      <c r="AA69">
        <f>IF(gescon_infosparticip!Z68=FALSE,0,1)</f>
        <v>0</v>
      </c>
      <c r="AB69">
        <f>IF(gescon_infosparticip!AA68=FALSE,0,1)</f>
        <v>0</v>
      </c>
      <c r="AC69" t="str">
        <f>gescon_infosparticip!AB68</f>
        <v>Langage oral.</v>
      </c>
      <c r="AD69" t="str">
        <f>gescon_infosparticip!AC68</f>
        <v>Andreï aime écouter de la musique. Il est interéssé par tout ce qui est technique. Il apprécie de discuter et d'être entouré.</v>
      </c>
      <c r="AE69" t="str">
        <f>gescon_infosparticip!AD68</f>
        <v/>
      </c>
      <c r="AF69" t="str">
        <f>gescon_infosparticip!AE68</f>
        <v/>
      </c>
      <c r="AG69" t="str">
        <f>gescon_infosparticip!AF68</f>
        <v/>
      </c>
      <c r="AH69" t="str">
        <f>gescon_infosparticip!AG68</f>
        <v/>
      </c>
      <c r="AI69" t="str">
        <f>gescon_infosparticip!BN68</f>
        <v/>
      </c>
      <c r="AJ69" t="str">
        <f>gescon_infosparticip!BO68</f>
        <v/>
      </c>
    </row>
    <row r="70" spans="2:36" x14ac:dyDescent="0.25">
      <c r="B70">
        <f>gescon_infosparticip!A69</f>
        <v>1578</v>
      </c>
      <c r="C70">
        <f>gescon_infosparticip!B69</f>
        <v>41092</v>
      </c>
      <c r="D70">
        <f>gescon_infosparticip!C69</f>
        <v>2621</v>
      </c>
      <c r="E70">
        <f>gescon_infosparticip!D69</f>
        <v>1456</v>
      </c>
      <c r="F70">
        <f>gescon_infosparticip!E69</f>
        <v>2621</v>
      </c>
      <c r="G70">
        <f>gescon_infosparticip!F69</f>
        <v>1058535655</v>
      </c>
      <c r="H70">
        <f>gescon_infosparticip!G69</f>
        <v>2621</v>
      </c>
      <c r="I70" t="str">
        <f>gescon_infosparticip!H69</f>
        <v/>
      </c>
      <c r="J70">
        <f>IF(gescon_infosparticip!I69=FALSE,0,1)</f>
        <v>0</v>
      </c>
      <c r="K70">
        <f>IF(gescon_infosparticip!J69=FALSE,0,1)</f>
        <v>0</v>
      </c>
      <c r="L70">
        <f>IF(gescon_infosparticip!K69=FALSE,0,1)</f>
        <v>0</v>
      </c>
      <c r="M70">
        <f>IF(gescon_infosparticip!L69=FALSE,0,1)</f>
        <v>0</v>
      </c>
      <c r="N70">
        <f>IF(gescon_infosparticip!M69=FALSE,0,1)</f>
        <v>0</v>
      </c>
      <c r="O70">
        <f>IF(gescon_infosparticip!N69=FALSE,0,1)</f>
        <v>0</v>
      </c>
      <c r="P70">
        <f>IF(gescon_infosparticip!O69=FALSE,0,1)</f>
        <v>0</v>
      </c>
      <c r="Q70">
        <f>IF(gescon_infosparticip!P69=FALSE,0,1)</f>
        <v>0</v>
      </c>
      <c r="R70">
        <f>IF(gescon_infosparticip!Q69=FALSE,0,1)</f>
        <v>0</v>
      </c>
      <c r="S70" t="str">
        <f>gescon_infosparticip!R69</f>
        <v/>
      </c>
      <c r="T70" t="str">
        <f>gescon_infosparticip!V69</f>
        <v/>
      </c>
      <c r="U70" t="str">
        <f>gescon_infosparticip!S69</f>
        <v>incontinance à gérer + manipulations spéciales</v>
      </c>
      <c r="V70">
        <f>IF(gescon_infosparticip!U69=FALSE,0,1)</f>
        <v>1</v>
      </c>
      <c r="W70">
        <f>IF(gescon_infosparticip!T69=FALSE,0,1)</f>
        <v>1</v>
      </c>
      <c r="X70" t="str">
        <f>gescon_infosparticip!W69</f>
        <v/>
      </c>
      <c r="Y70">
        <f>IF(gescon_infosparticip!X69=FALSE,0,1)</f>
        <v>0</v>
      </c>
      <c r="Z70">
        <f>IF(gescon_infosparticip!Y69=FALSE,0,1)</f>
        <v>0</v>
      </c>
      <c r="AA70">
        <f>IF(gescon_infosparticip!Z69=FALSE,0,1)</f>
        <v>0</v>
      </c>
      <c r="AB70">
        <f>IF(gescon_infosparticip!AA69=FALSE,0,1)</f>
        <v>0</v>
      </c>
      <c r="AC70" t="str">
        <f>gescon_infosparticip!AB69</f>
        <v>Normal</v>
      </c>
      <c r="AD70" t="str">
        <f>gescon_infosparticip!AC69</f>
        <v>Parents divorcés. La Maman est remariée avec le frêre du père avec lequel elle a eu 2 enfants. Excellents contacts avec les grands-parents de Neuchâtel (Papy et Mamy).</v>
      </c>
      <c r="AE70" t="str">
        <f>gescon_infosparticip!AD69</f>
        <v>Un frêre directe, Mathieu (1986)
Deux 1/2 frêres Yann (et Jérémie</v>
      </c>
      <c r="AF70" t="str">
        <f>gescon_infosparticip!AE69</f>
        <v>Excellents contacts avec son Parrain et sa Maraine (Stéphane et Véronique Délétroz).
Entretien des relations avec plusieurs amis</v>
      </c>
      <c r="AG70" t="str">
        <f>gescon_infosparticip!AF69</f>
        <v>Voyages en train
Il aime la pêche et faire des gâteaux, un peu de cuisine.</v>
      </c>
      <c r="AH70" t="str">
        <f>gescon_infosparticip!AG69</f>
        <v>Piscine</v>
      </c>
      <c r="AI70" t="str">
        <f>gescon_infosparticip!BN69</f>
        <v>Si il est fatigué faire une sieste</v>
      </c>
      <c r="AJ70" t="str">
        <f>gescon_infosparticip!BO69</f>
        <v>Selon fatigue</v>
      </c>
    </row>
    <row r="71" spans="2:36" x14ac:dyDescent="0.25">
      <c r="B71">
        <f>gescon_infosparticip!A70</f>
        <v>1630</v>
      </c>
      <c r="C71">
        <f>gescon_infosparticip!B70</f>
        <v>37809.760717592602</v>
      </c>
      <c r="D71">
        <f>gescon_infosparticip!C70</f>
        <v>2210</v>
      </c>
      <c r="E71">
        <f>gescon_infosparticip!D70</f>
        <v>2034</v>
      </c>
      <c r="F71">
        <f>gescon_infosparticip!E70</f>
        <v>0</v>
      </c>
      <c r="G71">
        <f>gescon_infosparticip!F70</f>
        <v>0</v>
      </c>
      <c r="H71">
        <f>gescon_infosparticip!G70</f>
        <v>2677</v>
      </c>
      <c r="I71" t="str">
        <f>gescon_infosparticip!H70</f>
        <v/>
      </c>
      <c r="J71">
        <f>IF(gescon_infosparticip!I70=FALSE,0,1)</f>
        <v>0</v>
      </c>
      <c r="K71">
        <f>IF(gescon_infosparticip!J70=FALSE,0,1)</f>
        <v>0</v>
      </c>
      <c r="L71">
        <f>IF(gescon_infosparticip!K70=FALSE,0,1)</f>
        <v>0</v>
      </c>
      <c r="M71">
        <f>IF(gescon_infosparticip!L70=FALSE,0,1)</f>
        <v>0</v>
      </c>
      <c r="N71">
        <f>IF(gescon_infosparticip!M70=FALSE,0,1)</f>
        <v>0</v>
      </c>
      <c r="O71">
        <f>IF(gescon_infosparticip!N70=FALSE,0,1)</f>
        <v>0</v>
      </c>
      <c r="P71">
        <f>IF(gescon_infosparticip!O70=FALSE,0,1)</f>
        <v>0</v>
      </c>
      <c r="Q71">
        <f>IF(gescon_infosparticip!P70=FALSE,0,1)</f>
        <v>0</v>
      </c>
      <c r="R71">
        <f>IF(gescon_infosparticip!Q70=FALSE,0,1)</f>
        <v>0</v>
      </c>
      <c r="S71" t="str">
        <f>gescon_infosparticip!R70</f>
        <v/>
      </c>
      <c r="T71" t="str">
        <f>gescon_infosparticip!V70</f>
        <v/>
      </c>
      <c r="U71" t="str">
        <f>gescon_infosparticip!S70</f>
        <v>Sortir Julien de sa chaise et le mettre au bord de la piscine. Il faut être à ses côtés lorsqu’il nage. Il nage sur le dos.</v>
      </c>
      <c r="V71">
        <f>IF(gescon_infosparticip!U70=FALSE,0,1)</f>
        <v>1</v>
      </c>
      <c r="W71">
        <f>IF(gescon_infosparticip!T70=FALSE,0,1)</f>
        <v>1</v>
      </c>
      <c r="X71" t="str">
        <f>gescon_infosparticip!W70</f>
        <v/>
      </c>
      <c r="Y71">
        <f>IF(gescon_infosparticip!X70=FALSE,0,1)</f>
        <v>0</v>
      </c>
      <c r="Z71">
        <f>IF(gescon_infosparticip!Y70=FALSE,0,1)</f>
        <v>0</v>
      </c>
      <c r="AA71">
        <f>IF(gescon_infosparticip!Z70=FALSE,0,1)</f>
        <v>0</v>
      </c>
      <c r="AB71">
        <f>IF(gescon_infosparticip!AA70=FALSE,0,1)</f>
        <v>0</v>
      </c>
      <c r="AC71" t="str">
        <f>gescon_infosparticip!AB70</f>
        <v>Oral: Julien s’exprime bien pour tout ce qui concerne le courant (ses besoins, ses envies, ses joies, ses tristesses).</v>
      </c>
      <c r="AD71" t="str">
        <f>gescon_infosparticip!AC70</f>
        <v>Julien est très attaché à sa famille. Il a une sœur qui s’appelle Céline, ainsi que des oncles et des tantes à Genève, à Zürich et à Neuchâtel. Il a une grand-maman qui s’appelle Ida et qui est dans un home. Julien aime la musique, la nature, la fête, les</v>
      </c>
      <c r="AE71" t="str">
        <f>gescon_infosparticip!AD70</f>
        <v/>
      </c>
      <c r="AF71" t="str">
        <f>gescon_infosparticip!AE70</f>
        <v/>
      </c>
      <c r="AG71" t="str">
        <f>gescon_infosparticip!AF70</f>
        <v/>
      </c>
      <c r="AH71" t="str">
        <f>gescon_infosparticip!AG70</f>
        <v/>
      </c>
      <c r="AI71" t="str">
        <f>gescon_infosparticip!BN70</f>
        <v/>
      </c>
      <c r="AJ71" t="str">
        <f>gescon_infosparticip!BO70</f>
        <v/>
      </c>
    </row>
    <row r="72" spans="2:36" x14ac:dyDescent="0.25">
      <c r="B72">
        <f>gescon_infosparticip!A71</f>
        <v>1691</v>
      </c>
      <c r="C72">
        <f>gescon_infosparticip!B71</f>
        <v>42299.457013888903</v>
      </c>
      <c r="D72">
        <f>gescon_infosparticip!C71</f>
        <v>0</v>
      </c>
      <c r="E72">
        <f>gescon_infosparticip!D71</f>
        <v>0</v>
      </c>
      <c r="F72">
        <f>gescon_infosparticip!E71</f>
        <v>0</v>
      </c>
      <c r="G72">
        <f>gescon_infosparticip!F71</f>
        <v>0</v>
      </c>
      <c r="H72">
        <f>gescon_infosparticip!G71</f>
        <v>2542</v>
      </c>
      <c r="I72" t="str">
        <f>gescon_infosparticip!H71</f>
        <v>Roxanne Monnet (éducatrice)</v>
      </c>
      <c r="J72">
        <f>IF(gescon_infosparticip!I71=FALSE,0,1)</f>
        <v>0</v>
      </c>
      <c r="K72">
        <f>IF(gescon_infosparticip!J71=FALSE,0,1)</f>
        <v>1</v>
      </c>
      <c r="L72">
        <f>IF(gescon_infosparticip!K71=FALSE,0,1)</f>
        <v>1</v>
      </c>
      <c r="M72">
        <f>IF(gescon_infosparticip!L71=FALSE,0,1)</f>
        <v>0</v>
      </c>
      <c r="N72">
        <f>IF(gescon_infosparticip!M71=FALSE,0,1)</f>
        <v>0</v>
      </c>
      <c r="O72">
        <f>IF(gescon_infosparticip!N71=FALSE,0,1)</f>
        <v>1</v>
      </c>
      <c r="P72">
        <f>IF(gescon_infosparticip!O71=FALSE,0,1)</f>
        <v>0</v>
      </c>
      <c r="Q72">
        <f>IF(gescon_infosparticip!P71=FALSE,0,1)</f>
        <v>0</v>
      </c>
      <c r="R72">
        <f>IF(gescon_infosparticip!Q71=FALSE,0,1)</f>
        <v>0</v>
      </c>
      <c r="S72" t="str">
        <f>gescon_infosparticip!R71</f>
        <v>En fauteuil roulant. Mais sur de courte distance, James marche avec ses deux cannes anglaises.</v>
      </c>
      <c r="T72" t="str">
        <f>gescon_infosparticip!V71</f>
        <v>Les cheveux mi-longs , habillement style rock.</v>
      </c>
      <c r="U72" t="str">
        <f>gescon_infosparticip!S71</f>
        <v/>
      </c>
      <c r="V72">
        <f>IF(gescon_infosparticip!U71=FALSE,0,1)</f>
        <v>0</v>
      </c>
      <c r="W72">
        <f>IF(gescon_infosparticip!T71=FALSE,0,1)</f>
        <v>0</v>
      </c>
      <c r="X72" t="str">
        <f>gescon_infosparticip!W71</f>
        <v>Stimuler James à aller au Wc 1 * pendant la nuit , car il y a risque d'énuresie.</v>
      </c>
      <c r="Y72">
        <f>IF(gescon_infosparticip!X71=FALSE,0,1)</f>
        <v>0</v>
      </c>
      <c r="Z72">
        <f>IF(gescon_infosparticip!Y71=FALSE,0,1)</f>
        <v>0</v>
      </c>
      <c r="AA72">
        <f>IF(gescon_infosparticip!Z71=FALSE,0,1)</f>
        <v>0</v>
      </c>
      <c r="AB72">
        <f>IF(gescon_infosparticip!AA71=FALSE,0,1)</f>
        <v>0</v>
      </c>
      <c r="AC72" t="str">
        <f>gescon_infosparticip!AB71</f>
        <v>James s'exprime bien. Il dis parfois qu'il entend des voix ,mais elle sont gentilles.</v>
      </c>
      <c r="AD72" t="str">
        <f>gescon_infosparticip!AC71</f>
        <v/>
      </c>
      <c r="AE72" t="str">
        <f>gescon_infosparticip!AD71</f>
        <v/>
      </c>
      <c r="AF72" t="str">
        <f>gescon_infosparticip!AE71</f>
        <v/>
      </c>
      <c r="AG72" t="str">
        <f>gescon_infosparticip!AF71</f>
        <v>La guitare, la musique rock. Il aime bien parler de son voyage en Inde et de ses expériences de vie.Il aime écouter de la musique et lire des revues sur la musique.</v>
      </c>
      <c r="AH72" t="str">
        <f>gescon_infosparticip!AG71</f>
        <v/>
      </c>
      <c r="AI72" t="str">
        <f>gescon_infosparticip!BN71</f>
        <v/>
      </c>
      <c r="AJ72" t="str">
        <f>gescon_infosparticip!BO71</f>
        <v/>
      </c>
    </row>
    <row r="73" spans="2:36" x14ac:dyDescent="0.25">
      <c r="B73">
        <f>gescon_infosparticip!A72</f>
        <v>1828</v>
      </c>
      <c r="C73">
        <f>gescon_infosparticip!B72</f>
        <v>42556.555648148104</v>
      </c>
      <c r="D73">
        <f>gescon_infosparticip!C72</f>
        <v>2146189922</v>
      </c>
      <c r="E73">
        <f>gescon_infosparticip!D72</f>
        <v>0</v>
      </c>
      <c r="F73">
        <f>gescon_infosparticip!E72</f>
        <v>0</v>
      </c>
      <c r="G73">
        <f>gescon_infosparticip!F72</f>
        <v>0</v>
      </c>
      <c r="H73">
        <f>gescon_infosparticip!G72</f>
        <v>2146189922</v>
      </c>
      <c r="I73" t="str">
        <f>gescon_infosparticip!H72</f>
        <v/>
      </c>
      <c r="J73">
        <f>IF(gescon_infosparticip!I72=FALSE,0,1)</f>
        <v>0</v>
      </c>
      <c r="K73">
        <f>IF(gescon_infosparticip!J72=FALSE,0,1)</f>
        <v>0</v>
      </c>
      <c r="L73">
        <f>IF(gescon_infosparticip!K72=FALSE,0,1)</f>
        <v>0</v>
      </c>
      <c r="M73">
        <f>IF(gescon_infosparticip!L72=FALSE,0,1)</f>
        <v>1</v>
      </c>
      <c r="N73">
        <f>IF(gescon_infosparticip!M72=FALSE,0,1)</f>
        <v>1</v>
      </c>
      <c r="O73">
        <f>IF(gescon_infosparticip!N72=FALSE,0,1)</f>
        <v>0</v>
      </c>
      <c r="P73">
        <f>IF(gescon_infosparticip!O72=FALSE,0,1)</f>
        <v>0</v>
      </c>
      <c r="Q73">
        <f>IF(gescon_infosparticip!P72=FALSE,0,1)</f>
        <v>0</v>
      </c>
      <c r="R73">
        <f>IF(gescon_infosparticip!Q72=FALSE,0,1)</f>
        <v>0</v>
      </c>
      <c r="S73" t="str">
        <f>gescon_infosparticip!R72</f>
        <v/>
      </c>
      <c r="T73" t="str">
        <f>gescon_infosparticip!V72</f>
        <v>aide complet pour l'habillement</v>
      </c>
      <c r="U73" t="str">
        <f>gescon_infosparticip!S72</f>
        <v>Ne sait pas nager sans flotteurs</v>
      </c>
      <c r="V73">
        <f>IF(gescon_infosparticip!U72=FALSE,0,1)</f>
        <v>0</v>
      </c>
      <c r="W73">
        <f>IF(gescon_infosparticip!T72=FALSE,0,1)</f>
        <v>1</v>
      </c>
      <c r="X73" t="str">
        <f>gescon_infosparticip!W72</f>
        <v>Pour qu'il s'endorme, il doit toujours dormir avec quelqu'un à ses côtés</v>
      </c>
      <c r="Y73">
        <f>IF(gescon_infosparticip!X72=FALSE,0,1)</f>
        <v>0</v>
      </c>
      <c r="Z73">
        <f>IF(gescon_infosparticip!Y72=FALSE,0,1)</f>
        <v>0</v>
      </c>
      <c r="AA73">
        <f>IF(gescon_infosparticip!Z72=FALSE,0,1)</f>
        <v>0</v>
      </c>
      <c r="AB73">
        <f>IF(gescon_infosparticip!AA72=FALSE,0,1)</f>
        <v>1</v>
      </c>
      <c r="AC73" t="str">
        <f>gescon_infosparticip!AB72</f>
        <v>Ne s'exprime pas verbalement, avec des gestes.</v>
      </c>
      <c r="AD73" t="str">
        <f>gescon_infosparticip!AC72</f>
        <v>ses parents, ses grands-parents maternel et paternel</v>
      </c>
      <c r="AE73" t="str">
        <f>gescon_infosparticip!AD72</f>
        <v>son grand-frère Antoine, né en 2011.
sa petite sœur Myriam, née en 2014</v>
      </c>
      <c r="AF73" t="str">
        <f>gescon_infosparticip!AE72</f>
        <v>ses camarades de la crèche</v>
      </c>
      <c r="AG73" t="str">
        <f>gescon_infosparticip!AF72</f>
        <v>balades, trampoline, jeux au parc, bob, pâte à modeler</v>
      </c>
      <c r="AH73" t="str">
        <f>gescon_infosparticip!AG72</f>
        <v>apprécie moins les activités à l'intérieur.</v>
      </c>
      <c r="AI73" t="str">
        <f>gescon_infosparticip!BN72</f>
        <v/>
      </c>
      <c r="AJ73" t="str">
        <f>gescon_infosparticip!BO72</f>
        <v/>
      </c>
    </row>
    <row r="74" spans="2:36" x14ac:dyDescent="0.25">
      <c r="B74">
        <f>gescon_infosparticip!A73</f>
        <v>2045</v>
      </c>
      <c r="C74">
        <f>gescon_infosparticip!B73</f>
        <v>37847.571250000001</v>
      </c>
      <c r="D74">
        <f>gescon_infosparticip!C73</f>
        <v>0</v>
      </c>
      <c r="E74">
        <f>gescon_infosparticip!D73</f>
        <v>0</v>
      </c>
      <c r="F74">
        <f>gescon_infosparticip!E73</f>
        <v>0</v>
      </c>
      <c r="G74">
        <f>gescon_infosparticip!F73</f>
        <v>67</v>
      </c>
      <c r="H74">
        <f>gescon_infosparticip!G73</f>
        <v>0</v>
      </c>
      <c r="I74" t="str">
        <f>gescon_infosparticip!H73</f>
        <v/>
      </c>
      <c r="J74">
        <f>IF(gescon_infosparticip!I73=FALSE,0,1)</f>
        <v>0</v>
      </c>
      <c r="K74">
        <f>IF(gescon_infosparticip!J73=FALSE,0,1)</f>
        <v>0</v>
      </c>
      <c r="L74">
        <f>IF(gescon_infosparticip!K73=FALSE,0,1)</f>
        <v>0</v>
      </c>
      <c r="M74">
        <f>IF(gescon_infosparticip!L73=FALSE,0,1)</f>
        <v>0</v>
      </c>
      <c r="N74">
        <f>IF(gescon_infosparticip!M73=FALSE,0,1)</f>
        <v>0</v>
      </c>
      <c r="O74">
        <f>IF(gescon_infosparticip!N73=FALSE,0,1)</f>
        <v>0</v>
      </c>
      <c r="P74">
        <f>IF(gescon_infosparticip!O73=FALSE,0,1)</f>
        <v>0</v>
      </c>
      <c r="Q74">
        <f>IF(gescon_infosparticip!P73=FALSE,0,1)</f>
        <v>0</v>
      </c>
      <c r="R74">
        <f>IF(gescon_infosparticip!Q73=FALSE,0,1)</f>
        <v>0</v>
      </c>
      <c r="S74" t="str">
        <f>gescon_infosparticip!R73</f>
        <v/>
      </c>
      <c r="T74" t="str">
        <f>gescon_infosparticip!V73</f>
        <v/>
      </c>
      <c r="U74" t="str">
        <f>gescon_infosparticip!S73</f>
        <v>Il sait nager, mais se mettre à deux pour l'aider car il vient d'avoir une longue période d'arrêt.</v>
      </c>
      <c r="V74">
        <f>IF(gescon_infosparticip!U73=FALSE,0,1)</f>
        <v>1</v>
      </c>
      <c r="W74">
        <f>IF(gescon_infosparticip!T73=FALSE,0,1)</f>
        <v>0</v>
      </c>
      <c r="X74" t="str">
        <f>gescon_infosparticip!W73</f>
        <v/>
      </c>
      <c r="Y74">
        <f>IF(gescon_infosparticip!X73=FALSE,0,1)</f>
        <v>0</v>
      </c>
      <c r="Z74">
        <f>IF(gescon_infosparticip!Y73=FALSE,0,1)</f>
        <v>0</v>
      </c>
      <c r="AA74">
        <f>IF(gescon_infosparticip!Z73=FALSE,0,1)</f>
        <v>0</v>
      </c>
      <c r="AB74">
        <f>IF(gescon_infosparticip!AA73=FALSE,0,1)</f>
        <v>0</v>
      </c>
      <c r="AC74" t="str">
        <f>gescon_infosparticip!AB73</f>
        <v>Langage oral</v>
      </c>
      <c r="AD74" t="str">
        <f>gescon_infosparticip!AC73</f>
        <v>Laza aime beaucoup le basket, le cinéma. Il aime jouer aux échecs, écouter de la musique mais surtout aller voir des concerts.</v>
      </c>
      <c r="AE74" t="str">
        <f>gescon_infosparticip!AD73</f>
        <v/>
      </c>
      <c r="AF74" t="str">
        <f>gescon_infosparticip!AE73</f>
        <v/>
      </c>
      <c r="AG74" t="str">
        <f>gescon_infosparticip!AF73</f>
        <v/>
      </c>
      <c r="AH74" t="str">
        <f>gescon_infosparticip!AG73</f>
        <v/>
      </c>
      <c r="AI74" t="str">
        <f>gescon_infosparticip!BN73</f>
        <v/>
      </c>
      <c r="AJ74" t="str">
        <f>gescon_infosparticip!BO73</f>
        <v/>
      </c>
    </row>
    <row r="75" spans="2:36" x14ac:dyDescent="0.25">
      <c r="B75">
        <f>gescon_infosparticip!A74</f>
        <v>2204</v>
      </c>
      <c r="C75">
        <f>gescon_infosparticip!B74</f>
        <v>37833.374988425901</v>
      </c>
      <c r="D75">
        <f>gescon_infosparticip!C74</f>
        <v>0</v>
      </c>
      <c r="E75">
        <f>gescon_infosparticip!D74</f>
        <v>2210</v>
      </c>
      <c r="F75">
        <f>gescon_infosparticip!E74</f>
        <v>0</v>
      </c>
      <c r="G75">
        <f>gescon_infosparticip!F74</f>
        <v>1040296841</v>
      </c>
      <c r="H75">
        <f>gescon_infosparticip!G74</f>
        <v>1040296841</v>
      </c>
      <c r="I75" t="str">
        <f>gescon_infosparticip!H74</f>
        <v/>
      </c>
      <c r="J75">
        <f>IF(gescon_infosparticip!I74=FALSE,0,1)</f>
        <v>0</v>
      </c>
      <c r="K75">
        <f>IF(gescon_infosparticip!J74=FALSE,0,1)</f>
        <v>0</v>
      </c>
      <c r="L75">
        <f>IF(gescon_infosparticip!K74=FALSE,0,1)</f>
        <v>0</v>
      </c>
      <c r="M75">
        <f>IF(gescon_infosparticip!L74=FALSE,0,1)</f>
        <v>0</v>
      </c>
      <c r="N75">
        <f>IF(gescon_infosparticip!M74=FALSE,0,1)</f>
        <v>0</v>
      </c>
      <c r="O75">
        <f>IF(gescon_infosparticip!N74=FALSE,0,1)</f>
        <v>0</v>
      </c>
      <c r="P75">
        <f>IF(gescon_infosparticip!O74=FALSE,0,1)</f>
        <v>0</v>
      </c>
      <c r="Q75">
        <f>IF(gescon_infosparticip!P74=FALSE,0,1)</f>
        <v>0</v>
      </c>
      <c r="R75">
        <f>IF(gescon_infosparticip!Q74=FALSE,0,1)</f>
        <v>0</v>
      </c>
      <c r="S75" t="str">
        <f>gescon_infosparticip!R74</f>
        <v/>
      </c>
      <c r="T75" t="str">
        <f>gescon_infosparticip!V74</f>
        <v/>
      </c>
      <c r="U75" t="str">
        <f>gescon_infosparticip!S74</f>
        <v>Ne peux pas nager, 2 personnes la soutiennent</v>
      </c>
      <c r="V75">
        <f>IF(gescon_infosparticip!U74=FALSE,0,1)</f>
        <v>1</v>
      </c>
      <c r="W75">
        <f>IF(gescon_infosparticip!T74=FALSE,0,1)</f>
        <v>0</v>
      </c>
      <c r="X75" t="str">
        <f>gescon_infosparticip!W74</f>
        <v/>
      </c>
      <c r="Y75">
        <f>IF(gescon_infosparticip!X74=FALSE,0,1)</f>
        <v>0</v>
      </c>
      <c r="Z75">
        <f>IF(gescon_infosparticip!Y74=FALSE,0,1)</f>
        <v>0</v>
      </c>
      <c r="AA75">
        <f>IF(gescon_infosparticip!Z74=FALSE,0,1)</f>
        <v>0</v>
      </c>
      <c r="AB75">
        <f>IF(gescon_infosparticip!AA74=FALSE,0,1)</f>
        <v>0</v>
      </c>
      <c r="AC75" t="str">
        <f>gescon_infosparticip!AB74</f>
        <v>Elle parle doucement, elle bégaie un peu, parfois c’est difficile à la comprendre.</v>
      </c>
      <c r="AD75" t="str">
        <f>gescon_infosparticip!AC74</f>
        <v>Sophie aime la musique, les promenades en ville, l’ambiance de fête et elle aime bien que l’on s’occupe d’elle. Elle ne fume plus.</v>
      </c>
      <c r="AE75" t="str">
        <f>gescon_infosparticip!AD74</f>
        <v/>
      </c>
      <c r="AF75" t="str">
        <f>gescon_infosparticip!AE74</f>
        <v/>
      </c>
      <c r="AG75" t="str">
        <f>gescon_infosparticip!AF74</f>
        <v>Sophie aime la musique, les promenades en ville, l’ambiance de fête et elle aime bien que l’on s’occupe d’elle. De tant en tant, elle fume une cigarette.</v>
      </c>
      <c r="AH75" t="str">
        <f>gescon_infosparticip!AG74</f>
        <v>La piscine</v>
      </c>
      <c r="AI75" t="str">
        <f>gescon_infosparticip!BN74</f>
        <v/>
      </c>
      <c r="AJ75" t="str">
        <f>gescon_infosparticip!BO74</f>
        <v/>
      </c>
    </row>
    <row r="76" spans="2:36" x14ac:dyDescent="0.25">
      <c r="B76">
        <f>gescon_infosparticip!A75</f>
        <v>2210</v>
      </c>
      <c r="C76">
        <f>gescon_infosparticip!B75</f>
        <v>42475</v>
      </c>
      <c r="D76">
        <f>gescon_infosparticip!C75</f>
        <v>1038843490</v>
      </c>
      <c r="E76">
        <f>gescon_infosparticip!D75</f>
        <v>-1919064405</v>
      </c>
      <c r="F76">
        <f>gescon_infosparticip!E75</f>
        <v>1042036191</v>
      </c>
      <c r="G76">
        <f>gescon_infosparticip!F75</f>
        <v>1424</v>
      </c>
      <c r="H76">
        <f>gescon_infosparticip!G75</f>
        <v>0</v>
      </c>
      <c r="I76" t="str">
        <f>gescon_infosparticip!H75</f>
        <v>Hendrix Kouamé 024 473 51 42</v>
      </c>
      <c r="J76">
        <f>IF(gescon_infosparticip!I75=FALSE,0,1)</f>
        <v>0</v>
      </c>
      <c r="K76">
        <f>IF(gescon_infosparticip!J75=FALSE,0,1)</f>
        <v>1</v>
      </c>
      <c r="L76">
        <f>IF(gescon_infosparticip!K75=FALSE,0,1)</f>
        <v>0</v>
      </c>
      <c r="M76">
        <f>IF(gescon_infosparticip!L75=FALSE,0,1)</f>
        <v>0</v>
      </c>
      <c r="N76">
        <f>IF(gescon_infosparticip!M75=FALSE,0,1)</f>
        <v>0</v>
      </c>
      <c r="O76">
        <f>IF(gescon_infosparticip!N75=FALSE,0,1)</f>
        <v>0</v>
      </c>
      <c r="P76">
        <f>IF(gescon_infosparticip!O75=FALSE,0,1)</f>
        <v>0</v>
      </c>
      <c r="Q76">
        <f>IF(gescon_infosparticip!P75=FALSE,0,1)</f>
        <v>1</v>
      </c>
      <c r="R76">
        <f>IF(gescon_infosparticip!Q75=FALSE,0,1)</f>
        <v>0</v>
      </c>
      <c r="S76" t="str">
        <f>gescon_infosparticip!R75</f>
        <v>Supporte les longs trajets.</v>
      </c>
      <c r="T76" t="str">
        <f>gescon_infosparticip!V75</f>
        <v>Aide nécessaire pour l'habillement.</v>
      </c>
      <c r="U76" t="str">
        <f>gescon_infosparticip!S75</f>
        <v/>
      </c>
      <c r="V76">
        <f>IF(gescon_infosparticip!U75=FALSE,0,1)</f>
        <v>1</v>
      </c>
      <c r="W76">
        <f>IF(gescon_infosparticip!T75=FALSE,0,1)</f>
        <v>1</v>
      </c>
      <c r="X76" t="str">
        <f>gescon_infosparticip!W75</f>
        <v>Sieste après dîner si possible.</v>
      </c>
      <c r="Y76">
        <f>IF(gescon_infosparticip!X75=FALSE,0,1)</f>
        <v>0</v>
      </c>
      <c r="Z76">
        <f>IF(gescon_infosparticip!Y75=FALSE,0,1)</f>
        <v>0</v>
      </c>
      <c r="AA76">
        <f>IF(gescon_infosparticip!Z75=FALSE,0,1)</f>
        <v>0</v>
      </c>
      <c r="AB76">
        <f>IF(gescon_infosparticip!AA75=FALSE,0,1)</f>
        <v>1</v>
      </c>
      <c r="AC76" t="str">
        <f>gescon_infosparticip!AB75</f>
        <v>verbale mais faible. Il articule difficilement les mots : adieu, maman, allo, encore, content, nen=manger, kéké=télé, non=signe de la tête, oui=un baiser, malade</v>
      </c>
      <c r="AD76" t="str">
        <f>gescon_infosparticip!AC75</f>
        <v>Il a sa maman, son frère Olivier, sa belle-sœur Tess, son oncle Abel, sa nièce Julie, Hélène une amie de sa maman. Il aime la musique, la téié, faire de la peinture, se promener, mager</v>
      </c>
      <c r="AE76" t="str">
        <f>gescon_infosparticip!AD75</f>
        <v/>
      </c>
      <c r="AF76" t="str">
        <f>gescon_infosparticip!AE75</f>
        <v/>
      </c>
      <c r="AG76" t="str">
        <f>gescon_infosparticip!AF75</f>
        <v>Sa maman, son papa (décédé), son frère Olivier, sa belle-sœur Tess, son oncle Abel, Hélène une amie de la maman, sa nièce Julie. Il aime la musique, la télé, faire de la peinture, se promener, nager.</v>
      </c>
      <c r="AH76" t="str">
        <f>gescon_infosparticip!AG75</f>
        <v>Stéphane angoisse facilement, il est nécessaire de bien lui expliqer à l'avance nos gestes et les différentes situations pour qu'il puisse s'y préparer et ne pas angoisser.</v>
      </c>
      <c r="AI76" t="str">
        <f>gescon_infosparticip!BN75</f>
        <v>Position dans le lit : Avec un oreiller. Sur le dos au couché. Sur le côté gauche au changement de position de la nuit. Sur le côté droit au changement de position l'après-midi.</v>
      </c>
      <c r="AJ76" t="str">
        <f>gescon_infosparticip!BO75</f>
        <v/>
      </c>
    </row>
    <row r="77" spans="2:36" x14ac:dyDescent="0.25">
      <c r="B77">
        <f>gescon_infosparticip!A76</f>
        <v>2215</v>
      </c>
      <c r="C77">
        <f>gescon_infosparticip!B76</f>
        <v>42858</v>
      </c>
      <c r="D77">
        <f>gescon_infosparticip!C76</f>
        <v>1176210416</v>
      </c>
      <c r="E77">
        <f>gescon_infosparticip!D76</f>
        <v>0</v>
      </c>
      <c r="F77">
        <f>gescon_infosparticip!E76</f>
        <v>1176210416</v>
      </c>
      <c r="G77">
        <f>gescon_infosparticip!F76</f>
        <v>0</v>
      </c>
      <c r="H77">
        <f>gescon_infosparticip!G76</f>
        <v>0</v>
      </c>
      <c r="I77" t="str">
        <f>gescon_infosparticip!H76</f>
        <v/>
      </c>
      <c r="J77">
        <f>IF(gescon_infosparticip!I76=FALSE,0,1)</f>
        <v>0</v>
      </c>
      <c r="K77">
        <f>IF(gescon_infosparticip!J76=FALSE,0,1)</f>
        <v>0</v>
      </c>
      <c r="L77">
        <f>IF(gescon_infosparticip!K76=FALSE,0,1)</f>
        <v>0</v>
      </c>
      <c r="M77">
        <f>IF(gescon_infosparticip!L76=FALSE,0,1)</f>
        <v>1</v>
      </c>
      <c r="N77">
        <f>IF(gescon_infosparticip!M76=FALSE,0,1)</f>
        <v>0</v>
      </c>
      <c r="O77">
        <f>IF(gescon_infosparticip!N76=FALSE,0,1)</f>
        <v>1</v>
      </c>
      <c r="P77">
        <f>IF(gescon_infosparticip!O76=FALSE,0,1)</f>
        <v>1</v>
      </c>
      <c r="Q77">
        <f>IF(gescon_infosparticip!P76=FALSE,0,1)</f>
        <v>1</v>
      </c>
      <c r="R77">
        <f>IF(gescon_infosparticip!Q76=FALSE,0,1)</f>
        <v>0</v>
      </c>
      <c r="S77" t="str">
        <f>gescon_infosparticip!R76</f>
        <v>Supporte les longs trajets en bus. Maniement autonome de sa chaise - aide pour descendre du fauteuil et cale entre les jambes.
Marche : avec attelle aux pieds - déambulateur et porte une attelle complète jambe gauche</v>
      </c>
      <c r="T77" t="str">
        <f>gescon_infosparticip!V76</f>
        <v>Aide complète pour être lavée et la toilette (laver les dents, coiffer, etc)</v>
      </c>
      <c r="U77" t="str">
        <f>gescon_infosparticip!S76</f>
        <v>Aide totale : la tenir et mettre les manchons et une culotte plastique sous le caleçon de bain. Flotte sur le dos sans manchon</v>
      </c>
      <c r="V77">
        <f>IF(gescon_infosparticip!U76=FALSE,0,1)</f>
        <v>1</v>
      </c>
      <c r="W77">
        <f>IF(gescon_infosparticip!T76=FALSE,0,1)</f>
        <v>0</v>
      </c>
      <c r="X77" t="str">
        <f>gescon_infosparticip!W76</f>
        <v>Coucher : peluche "Guggus" et prière en allemand</v>
      </c>
      <c r="Y77">
        <f>IF(gescon_infosparticip!X76=FALSE,0,1)</f>
        <v>0</v>
      </c>
      <c r="Z77">
        <f>IF(gescon_infosparticip!Y76=FALSE,0,1)</f>
        <v>0</v>
      </c>
      <c r="AA77">
        <f>IF(gescon_infosparticip!Z76=FALSE,0,1)</f>
        <v>0</v>
      </c>
      <c r="AB77">
        <f>IF(gescon_infosparticip!AA76=FALSE,0,1)</f>
        <v>0</v>
      </c>
      <c r="AC77" t="str">
        <f>gescon_infosparticip!AB76</f>
        <v>Langage oral</v>
      </c>
      <c r="AD77" t="str">
        <f>gescon_infosparticip!AC76</f>
        <v>Jean-Louis, son grand-père, vient lui dire bonjour tous les deux jours 2 matins
Cousins: Loïc, Axel, Noa, Camille, Emilie, Anais et Maël
Apprécie ses cousin-es : Loïc, Axel, Noa, Camille, Emilie,  Anais et Maël</v>
      </c>
      <c r="AE77" t="str">
        <f>gescon_infosparticip!AD76</f>
        <v>Fabrice (1989)</v>
      </c>
      <c r="AF77" t="str">
        <f>gescon_infosparticip!AE76</f>
        <v/>
      </c>
      <c r="AG77" t="str">
        <f>gescon_infosparticip!AF76</f>
        <v>Discussions préférées : informations sur la famille, leurs métiers, leurs passions
Activités préférées : regarder des livers avec des petites histoires, musique, chant, jeux (manque vite d'attention)</v>
      </c>
      <c r="AH77" t="str">
        <f>gescon_infosparticip!AG76</f>
        <v>Besoin d'être stimulée face à la nouveauté</v>
      </c>
      <c r="AI77" t="str">
        <f>gescon_infosparticip!BN76</f>
        <v>après le dîner</v>
      </c>
      <c r="AJ77" t="str">
        <f>gescon_infosparticip!BO76</f>
        <v>20 minutes à 1/2 heures</v>
      </c>
    </row>
    <row r="78" spans="2:36" x14ac:dyDescent="0.25">
      <c r="B78">
        <f>gescon_infosparticip!A77</f>
        <v>2219</v>
      </c>
      <c r="C78">
        <f>gescon_infosparticip!B77</f>
        <v>37859.5407291667</v>
      </c>
      <c r="D78">
        <f>gescon_infosparticip!C77</f>
        <v>0</v>
      </c>
      <c r="E78">
        <f>gescon_infosparticip!D77</f>
        <v>0</v>
      </c>
      <c r="F78">
        <f>gescon_infosparticip!E77</f>
        <v>0</v>
      </c>
      <c r="G78">
        <f>gescon_infosparticip!F77</f>
        <v>0</v>
      </c>
      <c r="H78">
        <f>gescon_infosparticip!G77</f>
        <v>0</v>
      </c>
      <c r="I78" t="str">
        <f>gescon_infosparticip!H77</f>
        <v/>
      </c>
      <c r="J78">
        <f>IF(gescon_infosparticip!I77=FALSE,0,1)</f>
        <v>0</v>
      </c>
      <c r="K78">
        <f>IF(gescon_infosparticip!J77=FALSE,0,1)</f>
        <v>0</v>
      </c>
      <c r="L78">
        <f>IF(gescon_infosparticip!K77=FALSE,0,1)</f>
        <v>0</v>
      </c>
      <c r="M78">
        <f>IF(gescon_infosparticip!L77=FALSE,0,1)</f>
        <v>0</v>
      </c>
      <c r="N78">
        <f>IF(gescon_infosparticip!M77=FALSE,0,1)</f>
        <v>0</v>
      </c>
      <c r="O78">
        <f>IF(gescon_infosparticip!N77=FALSE,0,1)</f>
        <v>0</v>
      </c>
      <c r="P78">
        <f>IF(gescon_infosparticip!O77=FALSE,0,1)</f>
        <v>0</v>
      </c>
      <c r="Q78">
        <f>IF(gescon_infosparticip!P77=FALSE,0,1)</f>
        <v>0</v>
      </c>
      <c r="R78">
        <f>IF(gescon_infosparticip!Q77=FALSE,0,1)</f>
        <v>0</v>
      </c>
      <c r="S78" t="str">
        <f>gescon_infosparticip!R77</f>
        <v/>
      </c>
      <c r="T78" t="str">
        <f>gescon_infosparticip!V77</f>
        <v/>
      </c>
      <c r="U78" t="str">
        <f>gescon_infosparticip!S77</f>
        <v>elle aime beaucoup la piscine. Il faut toujours être avec elle.</v>
      </c>
      <c r="V78">
        <f>IF(gescon_infosparticip!U77=FALSE,0,1)</f>
        <v>0</v>
      </c>
      <c r="W78">
        <f>IF(gescon_infosparticip!T77=FALSE,0,1)</f>
        <v>0</v>
      </c>
      <c r="X78" t="str">
        <f>gescon_infosparticip!W77</f>
        <v/>
      </c>
      <c r="Y78">
        <f>IF(gescon_infosparticip!X77=FALSE,0,1)</f>
        <v>0</v>
      </c>
      <c r="Z78">
        <f>IF(gescon_infosparticip!Y77=FALSE,0,1)</f>
        <v>0</v>
      </c>
      <c r="AA78">
        <f>IF(gescon_infosparticip!Z77=FALSE,0,1)</f>
        <v>0</v>
      </c>
      <c r="AB78">
        <f>IF(gescon_infosparticip!AA77=FALSE,0,1)</f>
        <v>0</v>
      </c>
      <c r="AC78" t="str">
        <f>gescon_infosparticip!AB77</f>
        <v>Elle a un cahier de communication</v>
      </c>
      <c r="AD78" t="str">
        <f>gescon_infosparticip!AC77</f>
        <v>Elle grimpe partout, sort de partout. Il faut mettre des limites dès le début. Elle aime les balançoires, les toboggans. Elle aime le chant et la musique. Elle peut marcher environ 15 minutes.</v>
      </c>
      <c r="AE78" t="str">
        <f>gescon_infosparticip!AD77</f>
        <v/>
      </c>
      <c r="AF78" t="str">
        <f>gescon_infosparticip!AE77</f>
        <v/>
      </c>
      <c r="AG78" t="str">
        <f>gescon_infosparticip!AF77</f>
        <v/>
      </c>
      <c r="AH78" t="str">
        <f>gescon_infosparticip!AG77</f>
        <v/>
      </c>
      <c r="AI78" t="str">
        <f>gescon_infosparticip!BN77</f>
        <v/>
      </c>
      <c r="AJ78" t="str">
        <f>gescon_infosparticip!BO77</f>
        <v/>
      </c>
    </row>
    <row r="79" spans="2:36" x14ac:dyDescent="0.25">
      <c r="B79">
        <f>gescon_infosparticip!A78</f>
        <v>2291</v>
      </c>
      <c r="C79">
        <f>gescon_infosparticip!B78</f>
        <v>42489</v>
      </c>
      <c r="D79">
        <f>gescon_infosparticip!C78</f>
        <v>2146189403</v>
      </c>
      <c r="E79">
        <f>gescon_infosparticip!D78</f>
        <v>2290</v>
      </c>
      <c r="F79">
        <f>gescon_infosparticip!E78</f>
        <v>2146189403</v>
      </c>
      <c r="G79">
        <f>gescon_infosparticip!F78</f>
        <v>1559</v>
      </c>
      <c r="H79">
        <f>gescon_infosparticip!G78</f>
        <v>2146189403</v>
      </c>
      <c r="I79" t="str">
        <f>gescon_infosparticip!H78</f>
        <v>M. Gilles Aymon</v>
      </c>
      <c r="J79">
        <f>IF(gescon_infosparticip!I78=FALSE,0,1)</f>
        <v>0</v>
      </c>
      <c r="K79">
        <f>IF(gescon_infosparticip!J78=FALSE,0,1)</f>
        <v>1</v>
      </c>
      <c r="L79">
        <f>IF(gescon_infosparticip!K78=FALSE,0,1)</f>
        <v>1</v>
      </c>
      <c r="M79">
        <f>IF(gescon_infosparticip!L78=FALSE,0,1)</f>
        <v>1</v>
      </c>
      <c r="N79">
        <f>IF(gescon_infosparticip!M78=FALSE,0,1)</f>
        <v>1</v>
      </c>
      <c r="O79">
        <f>IF(gescon_infosparticip!N78=FALSE,0,1)</f>
        <v>0</v>
      </c>
      <c r="P79">
        <f>IF(gescon_infosparticip!O78=FALSE,0,1)</f>
        <v>0</v>
      </c>
      <c r="Q79">
        <f>IF(gescon_infosparticip!P78=FALSE,0,1)</f>
        <v>0</v>
      </c>
      <c r="R79">
        <f>IF(gescon_infosparticip!Q78=FALSE,0,1)</f>
        <v>0</v>
      </c>
      <c r="S79" t="str">
        <f>gescon_infosparticip!R78</f>
        <v>oui, il apprécie énormément, il préfère être à l’avant</v>
      </c>
      <c r="T79" t="str">
        <f>gescon_infosparticip!V78</f>
        <v>Aide nécessaire : l’encourager à s’habiller et se déshabiller seul, il ne sait pas boutonner et déboutonner, ni attacher les souliers</v>
      </c>
      <c r="U79" t="str">
        <f>gescon_infosparticip!S78</f>
        <v>Bernard apprécie l’eau, mais ne sait pas nager. Vu sa longue taille, il a facilement le fond. Cependant la présence d’une personne est obligatoire pour le surveiller.</v>
      </c>
      <c r="V79">
        <f>IF(gescon_infosparticip!U78=FALSE,0,1)</f>
        <v>1</v>
      </c>
      <c r="W79">
        <f>IF(gescon_infosparticip!T78=FALSE,0,1)</f>
        <v>0</v>
      </c>
      <c r="X79" t="str">
        <f>gescon_infosparticip!W78</f>
        <v>Il dort env. 9h  par nuit. Il n’a pas besoin de rituel particulier, mais il s’endort avec une peluche et une gourde pour boire durant la nuit (avec de l’eau). Faire attention que le dos ne soit pas découvert.</v>
      </c>
      <c r="Y79">
        <f>IF(gescon_infosparticip!X78=FALSE,0,1)</f>
        <v>0</v>
      </c>
      <c r="Z79">
        <f>IF(gescon_infosparticip!Y78=FALSE,0,1)</f>
        <v>0</v>
      </c>
      <c r="AA79">
        <f>IF(gescon_infosparticip!Z78=FALSE,0,1)</f>
        <v>0</v>
      </c>
      <c r="AB79">
        <f>IF(gescon_infosparticip!AA78=FALSE,0,1)</f>
        <v>0</v>
      </c>
      <c r="AC79" t="str">
        <f>gescon_infosparticip!AB78</f>
        <v>orale, il utilise plutôt des mots qui résument une phrase. Il a une gestuelle très expressive.
A surveiller constamment, car Bernard n’a pas encore acquis la notion du danger. Il sait mettre en marche des véhicules et les défreiner. Essayer de la recadrer, de la ramener dans la réalité quand il parle tout seul. L'appeler par son vrai prénom : Bernard et non Bernie !</v>
      </c>
      <c r="AD79" t="str">
        <f>gescon_infosparticip!AC78</f>
        <v>Il apprecie Claudy l'ami de maman.</v>
      </c>
      <c r="AE79" t="str">
        <f>gescon_infosparticip!AD78</f>
        <v>Il a une grande sœur qui s’appelle Valérie de 1984. Le mari de Valérie est  Yoan. Ils sont à Cousset</v>
      </c>
      <c r="AF79" t="str">
        <f>gescon_infosparticip!AE78</f>
        <v/>
      </c>
      <c r="AG79" t="str">
        <f>gescon_infosparticip!AF78</f>
        <v>Bernard apprécie la musique de fanfare, faire de la musique (le tambour), manipuler une bouteille de pet, faire du cheval, participer à des concerts et spectacles, regarder les vidéos réalistes (Fifi brin d’acier, Maison dans la prairie, Mr. Bean.Il aime tout ce qui concerne les machines, la mécanique les véhicules (attention de ne pas laisser les clefs sur un véhicule et bien tirer le frein à main). Faire des Puzzles(niveau 5-6 ans)</v>
      </c>
      <c r="AH79" t="str">
        <f>gescon_infosparticip!AG78</f>
        <v>visiter des musées</v>
      </c>
      <c r="AI79" t="str">
        <f>gescon_infosparticip!BN78</f>
        <v/>
      </c>
      <c r="AJ79" t="str">
        <f>gescon_infosparticip!BO78</f>
        <v/>
      </c>
    </row>
    <row r="80" spans="2:36" x14ac:dyDescent="0.25">
      <c r="B80">
        <f>gescon_infosparticip!A79</f>
        <v>2309</v>
      </c>
      <c r="C80">
        <f>gescon_infosparticip!B79</f>
        <v>37846.623449074097</v>
      </c>
      <c r="D80">
        <f>gescon_infosparticip!C79</f>
        <v>2210</v>
      </c>
      <c r="E80">
        <f>gescon_infosparticip!D79</f>
        <v>219</v>
      </c>
      <c r="F80">
        <f>gescon_infosparticip!E79</f>
        <v>0</v>
      </c>
      <c r="G80">
        <f>gescon_infosparticip!F79</f>
        <v>1040296365</v>
      </c>
      <c r="H80">
        <f>gescon_infosparticip!G79</f>
        <v>0</v>
      </c>
      <c r="I80" t="str">
        <f>gescon_infosparticip!H79</f>
        <v/>
      </c>
      <c r="J80">
        <f>IF(gescon_infosparticip!I79=FALSE,0,1)</f>
        <v>0</v>
      </c>
      <c r="K80">
        <f>IF(gescon_infosparticip!J79=FALSE,0,1)</f>
        <v>0</v>
      </c>
      <c r="L80">
        <f>IF(gescon_infosparticip!K79=FALSE,0,1)</f>
        <v>0</v>
      </c>
      <c r="M80">
        <f>IF(gescon_infosparticip!L79=FALSE,0,1)</f>
        <v>0</v>
      </c>
      <c r="N80">
        <f>IF(gescon_infosparticip!M79=FALSE,0,1)</f>
        <v>0</v>
      </c>
      <c r="O80">
        <f>IF(gescon_infosparticip!N79=FALSE,0,1)</f>
        <v>0</v>
      </c>
      <c r="P80">
        <f>IF(gescon_infosparticip!O79=FALSE,0,1)</f>
        <v>0</v>
      </c>
      <c r="Q80">
        <f>IF(gescon_infosparticip!P79=FALSE,0,1)</f>
        <v>0</v>
      </c>
      <c r="R80">
        <f>IF(gescon_infosparticip!Q79=FALSE,0,1)</f>
        <v>0</v>
      </c>
      <c r="S80" t="str">
        <f>gescon_infosparticip!R79</f>
        <v/>
      </c>
      <c r="T80" t="str">
        <f>gescon_infosparticip!V79</f>
        <v/>
      </c>
      <c r="U80" t="str">
        <f>gescon_infosparticip!S79</f>
        <v>Gil a besoin d’un gilet pour aller à la piscine.</v>
      </c>
      <c r="V80">
        <f>IF(gescon_infosparticip!U79=FALSE,0,1)</f>
        <v>1</v>
      </c>
      <c r="W80">
        <f>IF(gescon_infosparticip!T79=FALSE,0,1)</f>
        <v>1</v>
      </c>
      <c r="X80" t="str">
        <f>gescon_infosparticip!W79</f>
        <v/>
      </c>
      <c r="Y80">
        <f>IF(gescon_infosparticip!X79=FALSE,0,1)</f>
        <v>0</v>
      </c>
      <c r="Z80">
        <f>IF(gescon_infosparticip!Y79=FALSE,0,1)</f>
        <v>0</v>
      </c>
      <c r="AA80">
        <f>IF(gescon_infosparticip!Z79=FALSE,0,1)</f>
        <v>0</v>
      </c>
      <c r="AB80">
        <f>IF(gescon_infosparticip!AA79=FALSE,0,1)</f>
        <v>0</v>
      </c>
      <c r="AC80" t="str">
        <f>gescon_infosparticip!AB79</f>
        <v>Oui et non et avec le regard et avec son panneau de pictos.</v>
      </c>
      <c r="AD80" t="str">
        <f>gescon_infosparticip!AC79</f>
        <v>Gil a deux oncle Roger et Jean-Bernard et leurs enfants. Lorsque Gil parle de ses oncles, il dit « meuh » car ils ont des vaches. Il aime bien feuilleter des catalogues.</v>
      </c>
      <c r="AE80" t="str">
        <f>gescon_infosparticip!AD79</f>
        <v/>
      </c>
      <c r="AF80" t="str">
        <f>gescon_infosparticip!AE79</f>
        <v/>
      </c>
      <c r="AG80" t="str">
        <f>gescon_infosparticip!AF79</f>
        <v/>
      </c>
      <c r="AH80" t="str">
        <f>gescon_infosparticip!AG79</f>
        <v>Rien faire.</v>
      </c>
      <c r="AI80" t="str">
        <f>gescon_infosparticip!BN79</f>
        <v/>
      </c>
      <c r="AJ80" t="str">
        <f>gescon_infosparticip!BO79</f>
        <v/>
      </c>
    </row>
    <row r="81" spans="2:36" x14ac:dyDescent="0.25">
      <c r="B81">
        <f>gescon_infosparticip!A80</f>
        <v>2347</v>
      </c>
      <c r="C81">
        <f>gescon_infosparticip!B80</f>
        <v>42888</v>
      </c>
      <c r="D81">
        <f>gescon_infosparticip!C80</f>
        <v>1049183490</v>
      </c>
      <c r="E81">
        <f>gescon_infosparticip!D80</f>
        <v>1428</v>
      </c>
      <c r="F81">
        <f>gescon_infosparticip!E80</f>
        <v>1428</v>
      </c>
      <c r="G81">
        <f>gescon_infosparticip!F80</f>
        <v>2146189103</v>
      </c>
      <c r="H81">
        <f>gescon_infosparticip!G80</f>
        <v>1428</v>
      </c>
      <c r="I81" t="str">
        <f>gescon_infosparticip!H80</f>
        <v>Steve Quarroz - 027 473 52 31</v>
      </c>
      <c r="J81">
        <f>IF(gescon_infosparticip!I80=FALSE,0,1)</f>
        <v>0</v>
      </c>
      <c r="K81">
        <f>IF(gescon_infosparticip!J80=FALSE,0,1)</f>
        <v>0</v>
      </c>
      <c r="L81">
        <f>IF(gescon_infosparticip!K80=FALSE,0,1)</f>
        <v>0</v>
      </c>
      <c r="M81">
        <f>IF(gescon_infosparticip!L80=FALSE,0,1)</f>
        <v>1</v>
      </c>
      <c r="N81">
        <f>IF(gescon_infosparticip!M80=FALSE,0,1)</f>
        <v>1</v>
      </c>
      <c r="O81">
        <f>IF(gescon_infosparticip!N80=FALSE,0,1)</f>
        <v>1</v>
      </c>
      <c r="P81">
        <f>IF(gescon_infosparticip!O80=FALSE,0,1)</f>
        <v>0</v>
      </c>
      <c r="Q81">
        <f>IF(gescon_infosparticip!P80=FALSE,0,1)</f>
        <v>0</v>
      </c>
      <c r="R81">
        <f>IF(gescon_infosparticip!Q80=FALSE,0,1)</f>
        <v>0</v>
      </c>
      <c r="S81" t="str">
        <f>gescon_infosparticip!R80</f>
        <v>Salima peut marcher en  donnant la main.  Eviter au maximum de la laisser s’appuyer sur soi.  Sur des chemins plats et larges Salima peut marcher seule avec une stimulation verbale. Il faut l’encourager à marcher seule quand c’est possible</v>
      </c>
      <c r="T81" t="str">
        <f>gescon_infosparticip!V80</f>
        <v>Salima, avec une stimulation verbale, arrive, selon les jours, à mettre ses habits (chausettes, pulls, pantalons,…) en partie et à les ôter. Ils doivent lui être présentés dans le bon sens.</v>
      </c>
      <c r="U81" t="str">
        <f>gescon_infosparticip!S80</f>
        <v>Salima adore l'eau, aime flotter sur le dos avec l'accompagnant à proximité et aime aussi les « bulles et massages d’eau » doux dans les bains thermaux. Une personne doit l’accompagner car, elle ne nage pas. La mettre sur les WC avant d'aller dans l'eau.</v>
      </c>
      <c r="V81">
        <f>IF(gescon_infosparticip!U80=FALSE,0,1)</f>
        <v>1</v>
      </c>
      <c r="W81">
        <f>IF(gescon_infosparticip!T80=FALSE,0,1)</f>
        <v>0</v>
      </c>
      <c r="X81" t="str">
        <f>gescon_infosparticip!W80</f>
        <v/>
      </c>
      <c r="Y81">
        <f>IF(gescon_infosparticip!X80=FALSE,0,1)</f>
        <v>0</v>
      </c>
      <c r="Z81">
        <f>IF(gescon_infosparticip!Y80=FALSE,0,1)</f>
        <v>1</v>
      </c>
      <c r="AA81">
        <f>IF(gescon_infosparticip!Z80=FALSE,0,1)</f>
        <v>0</v>
      </c>
      <c r="AB81">
        <f>IF(gescon_infosparticip!AA80=FALSE,0,1)</f>
        <v>0</v>
      </c>
      <c r="AC81" t="str">
        <f>gescon_infosparticip!AB80</f>
        <v>Salima ne parle pas, mais elle a des moyens pour demander : montrer, tourner la tête, tirer par le bras… Elle utilise le non-verbal, elle arrive à choisir des aliments lorsqu’on les lui présente.</v>
      </c>
      <c r="AD81" t="str">
        <f>gescon_infosparticip!AC80</f>
        <v/>
      </c>
      <c r="AE81" t="str">
        <f>gescon_infosparticip!AD80</f>
        <v/>
      </c>
      <c r="AF81" t="str">
        <f>gescon_infosparticip!AE80</f>
        <v/>
      </c>
      <c r="AG81" t="str">
        <f>gescon_infosparticip!AF80</f>
        <v>écouter de la musique, aime qu’on lui chante ; danser ; les jeux d’encastrement, de tri ; les jeux avec un contact avec les autres : roulade, massages.Elle apprécie sa sœur Sara et ses frères Julien et Matthieu. Elle apprécie les sources de chaleur, les balades au soleil, le vent, la marche et le vélo.</v>
      </c>
      <c r="AH81" t="str">
        <f>gescon_infosparticip!AG80</f>
        <v>apprécie moins: pâte à modeler, peinture, lieux trop bruyants ou foule excitée...cris</v>
      </c>
      <c r="AI81" t="str">
        <f>gescon_infosparticip!BN80</f>
        <v>La journée, elle ne fait pas de sieste</v>
      </c>
      <c r="AJ81" t="str">
        <f>gescon_infosparticip!BO80</f>
        <v/>
      </c>
    </row>
    <row r="82" spans="2:36" x14ac:dyDescent="0.25">
      <c r="B82">
        <f>gescon_infosparticip!A81</f>
        <v>2425</v>
      </c>
      <c r="C82">
        <f>gescon_infosparticip!B81</f>
        <v>37860.556469907402</v>
      </c>
      <c r="D82">
        <f>gescon_infosparticip!C81</f>
        <v>0</v>
      </c>
      <c r="E82">
        <f>gescon_infosparticip!D81</f>
        <v>0</v>
      </c>
      <c r="F82">
        <f>gescon_infosparticip!E81</f>
        <v>0</v>
      </c>
      <c r="G82">
        <f>gescon_infosparticip!F81</f>
        <v>0</v>
      </c>
      <c r="H82">
        <f>gescon_infosparticip!G81</f>
        <v>0</v>
      </c>
      <c r="I82" t="str">
        <f>gescon_infosparticip!H81</f>
        <v/>
      </c>
      <c r="J82">
        <f>IF(gescon_infosparticip!I81=FALSE,0,1)</f>
        <v>0</v>
      </c>
      <c r="K82">
        <f>IF(gescon_infosparticip!J81=FALSE,0,1)</f>
        <v>0</v>
      </c>
      <c r="L82">
        <f>IF(gescon_infosparticip!K81=FALSE,0,1)</f>
        <v>0</v>
      </c>
      <c r="M82">
        <f>IF(gescon_infosparticip!L81=FALSE,0,1)</f>
        <v>0</v>
      </c>
      <c r="N82">
        <f>IF(gescon_infosparticip!M81=FALSE,0,1)</f>
        <v>0</v>
      </c>
      <c r="O82">
        <f>IF(gescon_infosparticip!N81=FALSE,0,1)</f>
        <v>0</v>
      </c>
      <c r="P82">
        <f>IF(gescon_infosparticip!O81=FALSE,0,1)</f>
        <v>0</v>
      </c>
      <c r="Q82">
        <f>IF(gescon_infosparticip!P81=FALSE,0,1)</f>
        <v>0</v>
      </c>
      <c r="R82">
        <f>IF(gescon_infosparticip!Q81=FALSE,0,1)</f>
        <v>0</v>
      </c>
      <c r="S82" t="str">
        <f>gescon_infosparticip!R81</f>
        <v/>
      </c>
      <c r="T82" t="str">
        <f>gescon_infosparticip!V81</f>
        <v/>
      </c>
      <c r="U82" t="str">
        <f>gescon_infosparticip!S81</f>
        <v/>
      </c>
      <c r="V82">
        <f>IF(gescon_infosparticip!U81=FALSE,0,1)</f>
        <v>0</v>
      </c>
      <c r="W82">
        <f>IF(gescon_infosparticip!T81=FALSE,0,1)</f>
        <v>0</v>
      </c>
      <c r="X82" t="str">
        <f>gescon_infosparticip!W81</f>
        <v/>
      </c>
      <c r="Y82">
        <f>IF(gescon_infosparticip!X81=FALSE,0,1)</f>
        <v>0</v>
      </c>
      <c r="Z82">
        <f>IF(gescon_infosparticip!Y81=FALSE,0,1)</f>
        <v>0</v>
      </c>
      <c r="AA82">
        <f>IF(gescon_infosparticip!Z81=FALSE,0,1)</f>
        <v>0</v>
      </c>
      <c r="AB82">
        <f>IF(gescon_infosparticip!AA81=FALSE,0,1)</f>
        <v>0</v>
      </c>
      <c r="AC82" t="str">
        <f>gescon_infosparticip!AB81</f>
        <v/>
      </c>
      <c r="AD82" t="str">
        <f>gescon_infosparticip!AC81</f>
        <v/>
      </c>
      <c r="AE82" t="str">
        <f>gescon_infosparticip!AD81</f>
        <v/>
      </c>
      <c r="AF82" t="str">
        <f>gescon_infosparticip!AE81</f>
        <v/>
      </c>
      <c r="AG82" t="str">
        <f>gescon_infosparticip!AF81</f>
        <v/>
      </c>
      <c r="AH82" t="str">
        <f>gescon_infosparticip!AG81</f>
        <v/>
      </c>
      <c r="AI82" t="str">
        <f>gescon_infosparticip!BN81</f>
        <v/>
      </c>
      <c r="AJ82" t="str">
        <f>gescon_infosparticip!BO81</f>
        <v/>
      </c>
    </row>
    <row r="83" spans="2:36" x14ac:dyDescent="0.25">
      <c r="B83">
        <f>gescon_infosparticip!A82</f>
        <v>2541</v>
      </c>
      <c r="C83">
        <f>gescon_infosparticip!B82</f>
        <v>42888</v>
      </c>
      <c r="D83">
        <f>gescon_infosparticip!C82</f>
        <v>1586575665</v>
      </c>
      <c r="E83">
        <f>gescon_infosparticip!D82</f>
        <v>0</v>
      </c>
      <c r="F83">
        <f>gescon_infosparticip!E82</f>
        <v>0</v>
      </c>
      <c r="G83">
        <f>gescon_infosparticip!F82</f>
        <v>0</v>
      </c>
      <c r="H83">
        <f>gescon_infosparticip!G82</f>
        <v>1586575665</v>
      </c>
      <c r="I83" t="str">
        <f>gescon_infosparticip!H82</f>
        <v>Habite dans son appartement dixence 47C à Sion</v>
      </c>
      <c r="J83">
        <f>IF(gescon_infosparticip!I82=FALSE,0,1)</f>
        <v>0</v>
      </c>
      <c r="K83">
        <f>IF(gescon_infosparticip!J82=FALSE,0,1)</f>
        <v>1</v>
      </c>
      <c r="L83">
        <f>IF(gescon_infosparticip!K82=FALSE,0,1)</f>
        <v>1</v>
      </c>
      <c r="M83">
        <f>IF(gescon_infosparticip!L82=FALSE,0,1)</f>
        <v>0</v>
      </c>
      <c r="N83">
        <f>IF(gescon_infosparticip!M82=FALSE,0,1)</f>
        <v>0</v>
      </c>
      <c r="O83">
        <f>IF(gescon_infosparticip!N82=FALSE,0,1)</f>
        <v>0</v>
      </c>
      <c r="P83">
        <f>IF(gescon_infosparticip!O82=FALSE,0,1)</f>
        <v>0</v>
      </c>
      <c r="Q83">
        <f>IF(gescon_infosparticip!P82=FALSE,0,1)</f>
        <v>1</v>
      </c>
      <c r="R83">
        <f>IF(gescon_infosparticip!Q82=FALSE,0,1)</f>
        <v>0</v>
      </c>
      <c r="S83" t="str">
        <f>gescon_infosparticip!R82</f>
        <v>Lavette humide sur la visage et le corps pour la rafraîchir. Sensible aux changements de température (chaud ET froid). Si elle a froid, la couvrir avec une couverture. La chaise de Caroline s'incline pour un meilleur confort lors des longs trajets.</v>
      </c>
      <c r="T83" t="str">
        <f>gescon_infosparticip!V82</f>
        <v>Elle a besoin d'aide. Lorsqu'on lui enfile un pull, il est mieux de commencer par le bras gauche.</v>
      </c>
      <c r="U83" t="str">
        <f>gescon_infosparticip!S82</f>
        <v>Caroline a besoin d’une personne en permanence. La tenir dans les bras. Rentrer doucement dans l'eau. Elle n'aime pas avoir froid.</v>
      </c>
      <c r="V83">
        <f>IF(gescon_infosparticip!U82=FALSE,0,1)</f>
        <v>1</v>
      </c>
      <c r="W83">
        <f>IF(gescon_infosparticip!T82=FALSE,0,1)</f>
        <v>0</v>
      </c>
      <c r="X83" t="str">
        <f>gescon_infosparticip!W82</f>
        <v>Caroline dort généralement sur le dos avec un coussin banane sous les jambes avec un peu de lecture et une petite prière avant le couché. Elle a un peu de peine à s'endormir mais après elle dort facilement 8 à 9 heures. Surveiller la température de ses pieds est une bonne indication pour vérifier son confort. Si elle a froid, mettre des chaussettes, voire une bouillotte.</v>
      </c>
      <c r="Y83">
        <f>IF(gescon_infosparticip!X82=FALSE,0,1)</f>
        <v>0</v>
      </c>
      <c r="Z83">
        <f>IF(gescon_infosparticip!Y82=FALSE,0,1)</f>
        <v>0</v>
      </c>
      <c r="AA83">
        <f>IF(gescon_infosparticip!Z82=FALSE,0,1)</f>
        <v>0</v>
      </c>
      <c r="AB83">
        <f>IF(gescon_infosparticip!AA82=FALSE,0,1)</f>
        <v>1</v>
      </c>
      <c r="AC83" t="str">
        <f>gescon_infosparticip!AB82</f>
        <v>Fais des "bulles" avec la bouche quand elle est satisfaite. Mouvement de bisous avec la bouche. Par ses attitudes, la communication facilitée, le pointage du oui ou du non en soutenant la main, le regard vers ce qu'elle veut.
Caroline a dans son sac un classeur bleu destiné à ses accompagnants. Prenez le temps de le lire.</v>
      </c>
      <c r="AD83" t="str">
        <f>gescon_infosparticip!AC82</f>
        <v>Était très attachée à son grand-père Albert (qui est décédé) et à sa grand-mère Yvette (qui vit au home)</v>
      </c>
      <c r="AE83" t="str">
        <f>gescon_infosparticip!AD82</f>
        <v>petite sœur : Rebecca (1994)</v>
      </c>
      <c r="AF83" t="str">
        <f>gescon_infosparticip!AE82</f>
        <v/>
      </c>
      <c r="AG83" t="str">
        <f>gescon_infosparticip!AF82</f>
        <v>Caroline aime bien regarder la télévision, écouter de la musique et aller au cinéma. Elle aime écouter Yannick Noah, Linda Lemay, Yussuf, Julien Clerc, Grand Corp Malade et Stress. Elle apprécie la musique douce le soir pour s'endormir: Grégory Lemarchal et pleins d'autres. Elle aime le contact et les discussions.</v>
      </c>
      <c r="AH83" t="str">
        <f>gescon_infosparticip!AG82</f>
        <v>Elle crie ou sert les dents quand elle n'aime pas une activité.</v>
      </c>
      <c r="AI83" t="str">
        <f>gescon_infosparticip!BN82</f>
        <v/>
      </c>
      <c r="AJ83" t="str">
        <f>gescon_infosparticip!BO82</f>
        <v/>
      </c>
    </row>
    <row r="84" spans="2:36" x14ac:dyDescent="0.25">
      <c r="B84">
        <f>gescon_infosparticip!A83</f>
        <v>2542</v>
      </c>
      <c r="C84">
        <f>gescon_infosparticip!B83</f>
        <v>41962</v>
      </c>
      <c r="D84">
        <f>gescon_infosparticip!C83</f>
        <v>0</v>
      </c>
      <c r="E84">
        <f>gescon_infosparticip!D83</f>
        <v>0</v>
      </c>
      <c r="F84">
        <f>gescon_infosparticip!E83</f>
        <v>0</v>
      </c>
      <c r="G84">
        <f>gescon_infosparticip!F83</f>
        <v>0</v>
      </c>
      <c r="H84">
        <f>gescon_infosparticip!G83</f>
        <v>0</v>
      </c>
      <c r="I84" t="str">
        <f>gescon_infosparticip!H83</f>
        <v/>
      </c>
      <c r="J84">
        <f>IF(gescon_infosparticip!I83=FALSE,0,1)</f>
        <v>0</v>
      </c>
      <c r="K84">
        <f>IF(gescon_infosparticip!J83=FALSE,0,1)</f>
        <v>0</v>
      </c>
      <c r="L84">
        <f>IF(gescon_infosparticip!K83=FALSE,0,1)</f>
        <v>0</v>
      </c>
      <c r="M84">
        <f>IF(gescon_infosparticip!L83=FALSE,0,1)</f>
        <v>0</v>
      </c>
      <c r="N84">
        <f>IF(gescon_infosparticip!M83=FALSE,0,1)</f>
        <v>0</v>
      </c>
      <c r="O84">
        <f>IF(gescon_infosparticip!N83=FALSE,0,1)</f>
        <v>0</v>
      </c>
      <c r="P84">
        <f>IF(gescon_infosparticip!O83=FALSE,0,1)</f>
        <v>0</v>
      </c>
      <c r="Q84">
        <f>IF(gescon_infosparticip!P83=FALSE,0,1)</f>
        <v>0</v>
      </c>
      <c r="R84">
        <f>IF(gescon_infosparticip!Q83=FALSE,0,1)</f>
        <v>0</v>
      </c>
      <c r="S84" t="str">
        <f>gescon_infosparticip!R83</f>
        <v/>
      </c>
      <c r="T84" t="str">
        <f>gescon_infosparticip!V83</f>
        <v/>
      </c>
      <c r="U84" t="str">
        <f>gescon_infosparticip!S83</f>
        <v/>
      </c>
      <c r="V84">
        <f>IF(gescon_infosparticip!U83=FALSE,0,1)</f>
        <v>0</v>
      </c>
      <c r="W84">
        <f>IF(gescon_infosparticip!T83=FALSE,0,1)</f>
        <v>0</v>
      </c>
      <c r="X84" t="str">
        <f>gescon_infosparticip!W83</f>
        <v/>
      </c>
      <c r="Y84">
        <f>IF(gescon_infosparticip!X83=FALSE,0,1)</f>
        <v>0</v>
      </c>
      <c r="Z84">
        <f>IF(gescon_infosparticip!Y83=FALSE,0,1)</f>
        <v>0</v>
      </c>
      <c r="AA84">
        <f>IF(gescon_infosparticip!Z83=FALSE,0,1)</f>
        <v>0</v>
      </c>
      <c r="AB84">
        <f>IF(gescon_infosparticip!AA83=FALSE,0,1)</f>
        <v>0</v>
      </c>
      <c r="AC84" t="str">
        <f>gescon_infosparticip!AB83</f>
        <v/>
      </c>
      <c r="AD84" t="str">
        <f>gescon_infosparticip!AC83</f>
        <v/>
      </c>
      <c r="AE84" t="str">
        <f>gescon_infosparticip!AD83</f>
        <v/>
      </c>
      <c r="AF84" t="str">
        <f>gescon_infosparticip!AE83</f>
        <v/>
      </c>
      <c r="AG84" t="str">
        <f>gescon_infosparticip!AF83</f>
        <v/>
      </c>
      <c r="AH84" t="str">
        <f>gescon_infosparticip!AG83</f>
        <v/>
      </c>
      <c r="AI84" t="str">
        <f>gescon_infosparticip!BN83</f>
        <v/>
      </c>
      <c r="AJ84" t="str">
        <f>gescon_infosparticip!BO83</f>
        <v/>
      </c>
    </row>
    <row r="85" spans="2:36" x14ac:dyDescent="0.25">
      <c r="B85">
        <f>gescon_infosparticip!A84</f>
        <v>2548</v>
      </c>
      <c r="C85">
        <f>gescon_infosparticip!B84</f>
        <v>43070</v>
      </c>
      <c r="D85">
        <f>gescon_infosparticip!C84</f>
        <v>252</v>
      </c>
      <c r="E85">
        <f>gescon_infosparticip!D84</f>
        <v>0</v>
      </c>
      <c r="F85">
        <f>gescon_infosparticip!E84</f>
        <v>0</v>
      </c>
      <c r="G85">
        <f>gescon_infosparticip!F84</f>
        <v>2146189160</v>
      </c>
      <c r="H85">
        <f>gescon_infosparticip!G84</f>
        <v>252</v>
      </c>
      <c r="I85" t="str">
        <f>gescon_infosparticip!H84</f>
        <v>B2 - 024 473 51 42 Sophia Eddadoui</v>
      </c>
      <c r="J85">
        <f>IF(gescon_infosparticip!I84=FALSE,0,1)</f>
        <v>0</v>
      </c>
      <c r="K85">
        <f>IF(gescon_infosparticip!J84=FALSE,0,1)</f>
        <v>0</v>
      </c>
      <c r="L85">
        <f>IF(gescon_infosparticip!K84=FALSE,0,1)</f>
        <v>0</v>
      </c>
      <c r="M85">
        <f>IF(gescon_infosparticip!L84=FALSE,0,1)</f>
        <v>1</v>
      </c>
      <c r="N85">
        <f>IF(gescon_infosparticip!M84=FALSE,0,1)</f>
        <v>0</v>
      </c>
      <c r="O85">
        <f>IF(gescon_infosparticip!N84=FALSE,0,1)</f>
        <v>1</v>
      </c>
      <c r="P85">
        <f>IF(gescon_infosparticip!O84=FALSE,0,1)</f>
        <v>1</v>
      </c>
      <c r="Q85">
        <f>IF(gescon_infosparticip!P84=FALSE,0,1)</f>
        <v>0</v>
      </c>
      <c r="R85">
        <f>IF(gescon_infosparticip!Q84=FALSE,0,1)</f>
        <v>0</v>
      </c>
      <c r="S85" t="str">
        <f>gescon_infosparticip!R84</f>
        <v>Supporte les longs trajets en bus.
Elle peut aussi marcher avec le Rollator.</v>
      </c>
      <c r="T85" t="str">
        <f>gescon_infosparticip!V84</f>
        <v>Aide totale 
L’habillement lui demander pour le choix des vêtements et l’aider avec guidance</v>
      </c>
      <c r="U85" t="str">
        <f>gescon_infosparticip!S84</f>
        <v>Elle apprécie beaucoup la piscine. Pas besoin de manchon mais la tenir. Aime les bulles, marcher dans l'eau.</v>
      </c>
      <c r="V85">
        <f>IF(gescon_infosparticip!U84=FALSE,0,1)</f>
        <v>1</v>
      </c>
      <c r="W85">
        <f>IF(gescon_infosparticip!T84=FALSE,0,1)</f>
        <v>0</v>
      </c>
      <c r="X85" t="str">
        <f>gescon_infosparticip!W84</f>
        <v>Elle dort très bien et avec un coussin, chaussetes aux mains pour la nuit. Lui mettre le pyjama avec la fermeture dasn le dos. Ne rien laisser à sa portée car elle prend tout à la bouche et déchire. La mettre au wc avant d’aller au lit et la langer. A l’habitude d'une  prière le soir. Le matin si elle dort, la réveiller au plus tard à 9h30. Lui donner ses médics à 8h00</v>
      </c>
      <c r="Y85">
        <f>IF(gescon_infosparticip!X84=FALSE,0,1)</f>
        <v>0</v>
      </c>
      <c r="Z85">
        <f>IF(gescon_infosparticip!Y84=FALSE,0,1)</f>
        <v>0</v>
      </c>
      <c r="AA85">
        <f>IF(gescon_infosparticip!Z84=FALSE,0,1)</f>
        <v>0</v>
      </c>
      <c r="AB85">
        <f>IF(gescon_infosparticip!AA84=FALSE,0,1)</f>
        <v>0</v>
      </c>
      <c r="AC85" t="str">
        <f>gescon_infosparticip!AB84</f>
        <v>Langage non-verbal, elle arrive à se faire comprendre par l’expression du visage et la direction de ses yeux. Elle tend les bras en direction de ce qu’elle veut.marche avec aide. Bien la faire marcher et ne pas trop la soutenir, il faut bien lacer ses chaussures pour tenir ses chevilles et qu’elle se tienne bien droite. Elle marche pour fortifier ses muscles, jamais la lâcher, toujours la tenir par la main ou le poignet</v>
      </c>
      <c r="AD85" t="str">
        <f>gescon_infosparticip!AC84</f>
        <v/>
      </c>
      <c r="AE85" t="str">
        <f>gescon_infosparticip!AD84</f>
        <v>Elle a un frère Raphaël de 1975 qui souffre d’un retard mental</v>
      </c>
      <c r="AF85" t="str">
        <f>gescon_infosparticip!AE84</f>
        <v/>
      </c>
      <c r="AG85" t="str">
        <f>gescon_infosparticip!AF84</f>
        <v>Vélo, spectacles, contes, bricolage, chants
 Promenade, musique, elle aime les animaux : chiens, chevaux.</v>
      </c>
      <c r="AH85" t="str">
        <f>gescon_infosparticip!AG84</f>
        <v>Elle met tout en bouche ne pas la laisser faire. Concentration limitée dans le temps. 	Ne pas la laisser sans surveillance. 	Faire les choses avec elle et non pour elle. Tjs lui expliquer ce que l’on fait et pourquoi. 	Faire très attention avec les ballons gonflables, Emilie les suce et les avale! Elle s’angoisse et ça peut provoquer des crises. Il est important de bcp lui parler. A la messe dominicale, Emilie communie tjs.</v>
      </c>
      <c r="AI85" t="str">
        <f>gescon_infosparticip!BN84</f>
        <v>Bien la faire marcher. Emilie peut marcher durant 1h et plus</v>
      </c>
      <c r="AJ85" t="str">
        <f>gescon_infosparticip!BO84</f>
        <v/>
      </c>
    </row>
    <row r="86" spans="2:36" x14ac:dyDescent="0.25">
      <c r="B86">
        <f>gescon_infosparticip!A85</f>
        <v>2554</v>
      </c>
      <c r="C86">
        <f>gescon_infosparticip!B85</f>
        <v>42909</v>
      </c>
      <c r="D86">
        <f>gescon_infosparticip!C85</f>
        <v>2012547768</v>
      </c>
      <c r="E86">
        <f>gescon_infosparticip!D85</f>
        <v>0</v>
      </c>
      <c r="F86">
        <f>gescon_infosparticip!E85</f>
        <v>0</v>
      </c>
      <c r="G86">
        <f>gescon_infosparticip!F85</f>
        <v>0</v>
      </c>
      <c r="H86">
        <f>gescon_infosparticip!G85</f>
        <v>0</v>
      </c>
      <c r="I86" t="str">
        <f>gescon_infosparticip!H85</f>
        <v>Urgence: Rosendo Marta 078 802 46 57-027 398 16 26</v>
      </c>
      <c r="J86">
        <f>IF(gescon_infosparticip!I85=FALSE,0,1)</f>
        <v>0</v>
      </c>
      <c r="K86">
        <f>IF(gescon_infosparticip!J85=FALSE,0,1)</f>
        <v>1</v>
      </c>
      <c r="L86">
        <f>IF(gescon_infosparticip!K85=FALSE,0,1)</f>
        <v>0</v>
      </c>
      <c r="M86">
        <f>IF(gescon_infosparticip!L85=FALSE,0,1)</f>
        <v>1</v>
      </c>
      <c r="N86">
        <f>IF(gescon_infosparticip!M85=FALSE,0,1)</f>
        <v>0</v>
      </c>
      <c r="O86">
        <f>IF(gescon_infosparticip!N85=FALSE,0,1)</f>
        <v>0</v>
      </c>
      <c r="P86">
        <f>IF(gescon_infosparticip!O85=FALSE,0,1)</f>
        <v>0</v>
      </c>
      <c r="Q86">
        <f>IF(gescon_infosparticip!P85=FALSE,0,1)</f>
        <v>1</v>
      </c>
      <c r="R86">
        <f>IF(gescon_infosparticip!Q85=FALSE,0,1)</f>
        <v>0</v>
      </c>
      <c r="S86" t="str">
        <f>gescon_infosparticip!R85</f>
        <v>Supporte les longs trajets en bus : mettre le harnais de sécurité</v>
      </c>
      <c r="T86" t="str">
        <f>gescon_infosparticip!V85</f>
        <v>Aide complète</v>
      </c>
      <c r="U86" t="str">
        <f>gescon_infosparticip!S85</f>
        <v>Gilet et manchons, il a besoin d'une aide constante</v>
      </c>
      <c r="V86">
        <f>IF(gescon_infosparticip!U85=FALSE,0,1)</f>
        <v>1</v>
      </c>
      <c r="W86">
        <f>IF(gescon_infosparticip!T85=FALSE,0,1)</f>
        <v>1</v>
      </c>
      <c r="X86" t="str">
        <f>gescon_infosparticip!W85</f>
        <v>Dort 10 à 11h/nuit - sur le dos ou sur le côté -  à la demande de Juan-Luis, le changer de position durant la nuit</v>
      </c>
      <c r="Y86">
        <f>IF(gescon_infosparticip!X85=FALSE,0,1)</f>
        <v>0</v>
      </c>
      <c r="Z86">
        <f>IF(gescon_infosparticip!Y85=FALSE,0,1)</f>
        <v>0</v>
      </c>
      <c r="AA86">
        <f>IF(gescon_infosparticip!Z85=FALSE,0,1)</f>
        <v>0</v>
      </c>
      <c r="AB86">
        <f>IF(gescon_infosparticip!AA85=FALSE,0,1)</f>
        <v>1</v>
      </c>
      <c r="AC86" t="str">
        <f>gescon_infosparticip!AB85</f>
        <v>Propre langage oral. Il se fait comprendre surtout avec le oui et le non. Il comprend le français et l’espagnol. Voir feuille annexe (langage de Juan-Luis).</v>
      </c>
      <c r="AD86" t="str">
        <f>gescon_infosparticip!AC85</f>
        <v>Vit avec ses parents.</v>
      </c>
      <c r="AE86" t="str">
        <f>gescon_infosparticip!AD85</f>
        <v>Frères : Guillermo et Rosendo (appelés "aka" par JL)
Neveu : David fils de Rosendo et Marta et Yana</v>
      </c>
      <c r="AF86" t="str">
        <f>gescon_infosparticip!AE85</f>
        <v/>
      </c>
      <c r="AG86" t="str">
        <f>gescon_infosparticip!AF85</f>
        <v>Promenades - discussions - musique - piscine
Attention! Soyez attentif aux bras de Jean-Louis. Lorsqu'il se promène, lorsqu'il est près d'un mur, d'une voiture ou autre, il a tendance à lancer le bras contre ceux-ci.</v>
      </c>
      <c r="AH86" t="str">
        <f>gescon_infosparticip!AG85</f>
        <v>Il n'aime pas rester seul</v>
      </c>
      <c r="AI86" t="str">
        <f>gescon_infosparticip!BN85</f>
        <v>l'allonger sur le lit (il dit "afou afou" pour s'allonger)</v>
      </c>
      <c r="AJ86" t="str">
        <f>gescon_infosparticip!BO85</f>
        <v>après le dîner - durant la nuit s'il demande</v>
      </c>
    </row>
    <row r="87" spans="2:36" x14ac:dyDescent="0.25">
      <c r="B87">
        <f>gescon_infosparticip!A86</f>
        <v>2578</v>
      </c>
      <c r="C87">
        <f>gescon_infosparticip!B86</f>
        <v>37858.704629629603</v>
      </c>
      <c r="D87">
        <f>gescon_infosparticip!C86</f>
        <v>2520</v>
      </c>
      <c r="E87">
        <f>gescon_infosparticip!D86</f>
        <v>0</v>
      </c>
      <c r="F87">
        <f>gescon_infosparticip!E86</f>
        <v>0</v>
      </c>
      <c r="G87">
        <f>gescon_infosparticip!F86</f>
        <v>0</v>
      </c>
      <c r="H87">
        <f>gescon_infosparticip!G86</f>
        <v>0</v>
      </c>
      <c r="I87" t="str">
        <f>gescon_infosparticip!H86</f>
        <v/>
      </c>
      <c r="J87">
        <f>IF(gescon_infosparticip!I86=FALSE,0,1)</f>
        <v>0</v>
      </c>
      <c r="K87">
        <f>IF(gescon_infosparticip!J86=FALSE,0,1)</f>
        <v>0</v>
      </c>
      <c r="L87">
        <f>IF(gescon_infosparticip!K86=FALSE,0,1)</f>
        <v>0</v>
      </c>
      <c r="M87">
        <f>IF(gescon_infosparticip!L86=FALSE,0,1)</f>
        <v>0</v>
      </c>
      <c r="N87">
        <f>IF(gescon_infosparticip!M86=FALSE,0,1)</f>
        <v>0</v>
      </c>
      <c r="O87">
        <f>IF(gescon_infosparticip!N86=FALSE,0,1)</f>
        <v>0</v>
      </c>
      <c r="P87">
        <f>IF(gescon_infosparticip!O86=FALSE,0,1)</f>
        <v>0</v>
      </c>
      <c r="Q87">
        <f>IF(gescon_infosparticip!P86=FALSE,0,1)</f>
        <v>0</v>
      </c>
      <c r="R87">
        <f>IF(gescon_infosparticip!Q86=FALSE,0,1)</f>
        <v>0</v>
      </c>
      <c r="S87" t="str">
        <f>gescon_infosparticip!R86</f>
        <v/>
      </c>
      <c r="T87" t="str">
        <f>gescon_infosparticip!V86</f>
        <v/>
      </c>
      <c r="U87" t="str">
        <f>gescon_infosparticip!S86</f>
        <v>Avec un accompagnant. Les manchons ne sont pas nécessaire.</v>
      </c>
      <c r="V87">
        <f>IF(gescon_infosparticip!U86=FALSE,0,1)</f>
        <v>1</v>
      </c>
      <c r="W87">
        <f>IF(gescon_infosparticip!T86=FALSE,0,1)</f>
        <v>0</v>
      </c>
      <c r="X87" t="str">
        <f>gescon_infosparticip!W86</f>
        <v/>
      </c>
      <c r="Y87">
        <f>IF(gescon_infosparticip!X86=FALSE,0,1)</f>
        <v>0</v>
      </c>
      <c r="Z87">
        <f>IF(gescon_infosparticip!Y86=FALSE,0,1)</f>
        <v>0</v>
      </c>
      <c r="AA87">
        <f>IF(gescon_infosparticip!Z86=FALSE,0,1)</f>
        <v>0</v>
      </c>
      <c r="AB87">
        <f>IF(gescon_infosparticip!AA86=FALSE,0,1)</f>
        <v>0</v>
      </c>
      <c r="AC87" t="str">
        <f>gescon_infosparticip!AB86</f>
        <v>oral</v>
      </c>
      <c r="AD87" t="str">
        <f>gescon_infosparticip!AC86</f>
        <v>Raphaël aime la play station et le sport. Il s’intéresse au football (FC Sion, FC Marseille), au hockey (HC Sierre). Il aime les animaux, les poneys, les chats, les chiens, les rongeurs. Il a deux sœurs : Sylvie (1984) et Martine (1986).</v>
      </c>
      <c r="AE87" t="str">
        <f>gescon_infosparticip!AD86</f>
        <v/>
      </c>
      <c r="AF87" t="str">
        <f>gescon_infosparticip!AE86</f>
        <v/>
      </c>
      <c r="AG87" t="str">
        <f>gescon_infosparticip!AF86</f>
        <v/>
      </c>
      <c r="AH87" t="str">
        <f>gescon_infosparticip!AG86</f>
        <v/>
      </c>
      <c r="AI87" t="str">
        <f>gescon_infosparticip!BN86</f>
        <v/>
      </c>
      <c r="AJ87" t="str">
        <f>gescon_infosparticip!BO86</f>
        <v/>
      </c>
    </row>
    <row r="88" spans="2:36" x14ac:dyDescent="0.25">
      <c r="B88">
        <f>gescon_infosparticip!A87</f>
        <v>2584</v>
      </c>
      <c r="C88">
        <f>gescon_infosparticip!B87</f>
        <v>42517</v>
      </c>
      <c r="D88">
        <f>gescon_infosparticip!C87</f>
        <v>-1984616081</v>
      </c>
      <c r="E88">
        <f>gescon_infosparticip!D87</f>
        <v>194</v>
      </c>
      <c r="F88">
        <f>gescon_infosparticip!E87</f>
        <v>0</v>
      </c>
      <c r="G88">
        <f>gescon_infosparticip!F87</f>
        <v>2580</v>
      </c>
      <c r="H88">
        <f>gescon_infosparticip!G87</f>
        <v>0</v>
      </c>
      <c r="I88" t="str">
        <f>gescon_infosparticip!H87</f>
        <v/>
      </c>
      <c r="J88">
        <f>IF(gescon_infosparticip!I87=FALSE,0,1)</f>
        <v>0</v>
      </c>
      <c r="K88">
        <f>IF(gescon_infosparticip!J87=FALSE,0,1)</f>
        <v>1</v>
      </c>
      <c r="L88">
        <f>IF(gescon_infosparticip!K87=FALSE,0,1)</f>
        <v>1</v>
      </c>
      <c r="M88">
        <f>IF(gescon_infosparticip!L87=FALSE,0,1)</f>
        <v>0</v>
      </c>
      <c r="N88">
        <f>IF(gescon_infosparticip!M87=FALSE,0,1)</f>
        <v>0</v>
      </c>
      <c r="O88">
        <f>IF(gescon_infosparticip!N87=FALSE,0,1)</f>
        <v>0</v>
      </c>
      <c r="P88">
        <f>IF(gescon_infosparticip!O87=FALSE,0,1)</f>
        <v>0</v>
      </c>
      <c r="Q88">
        <f>IF(gescon_infosparticip!P87=FALSE,0,1)</f>
        <v>0</v>
      </c>
      <c r="R88">
        <f>IF(gescon_infosparticip!Q87=FALSE,0,1)</f>
        <v>1</v>
      </c>
      <c r="S88" t="str">
        <f>gescon_infosparticip!R87</f>
        <v>Peut se mettre debout pour un transfert.</v>
      </c>
      <c r="T88" t="str">
        <f>gescon_infosparticip!V87</f>
        <v/>
      </c>
      <c r="U88" t="str">
        <f>gescon_infosparticip!S87</f>
        <v>Il aime la piscine mais il faut être à côté</v>
      </c>
      <c r="V88">
        <f>IF(gescon_infosparticip!U87=FALSE,0,1)</f>
        <v>1</v>
      </c>
      <c r="W88">
        <f>IF(gescon_infosparticip!T87=FALSE,0,1)</f>
        <v>0</v>
      </c>
      <c r="X88" t="str">
        <f>gescon_infosparticip!W87</f>
        <v/>
      </c>
      <c r="Y88">
        <f>IF(gescon_infosparticip!X87=FALSE,0,1)</f>
        <v>0</v>
      </c>
      <c r="Z88">
        <f>IF(gescon_infosparticip!Y87=FALSE,0,1)</f>
        <v>0</v>
      </c>
      <c r="AA88">
        <f>IF(gescon_infosparticip!Z87=FALSE,0,1)</f>
        <v>0</v>
      </c>
      <c r="AB88">
        <f>IF(gescon_infosparticip!AA87=FALSE,0,1)</f>
        <v>0</v>
      </c>
      <c r="AC88" t="str">
        <f>gescon_infosparticip!AB87</f>
        <v>oral</v>
      </c>
      <c r="AD88" t="str">
        <f>gescon_infosparticip!AC87</f>
        <v/>
      </c>
      <c r="AE88" t="str">
        <f>gescon_infosparticip!AD87</f>
        <v/>
      </c>
      <c r="AF88" t="str">
        <f>gescon_infosparticip!AE87</f>
        <v/>
      </c>
      <c r="AG88" t="str">
        <f>gescon_infosparticip!AF87</f>
        <v/>
      </c>
      <c r="AH88" t="str">
        <f>gescon_infosparticip!AG87</f>
        <v/>
      </c>
      <c r="AI88" t="str">
        <f>gescon_infosparticip!BN87</f>
        <v/>
      </c>
      <c r="AJ88" t="str">
        <f>gescon_infosparticip!BO87</f>
        <v/>
      </c>
    </row>
    <row r="89" spans="2:36" x14ac:dyDescent="0.25">
      <c r="B89">
        <f>gescon_infosparticip!A88</f>
        <v>2589</v>
      </c>
      <c r="C89">
        <f>gescon_infosparticip!B88</f>
        <v>41816</v>
      </c>
      <c r="D89">
        <f>gescon_infosparticip!C88</f>
        <v>0</v>
      </c>
      <c r="E89">
        <f>gescon_infosparticip!D88</f>
        <v>0</v>
      </c>
      <c r="F89">
        <f>gescon_infosparticip!E88</f>
        <v>0</v>
      </c>
      <c r="G89">
        <f>gescon_infosparticip!F88</f>
        <v>0</v>
      </c>
      <c r="H89">
        <f>gescon_infosparticip!G88</f>
        <v>0</v>
      </c>
      <c r="I89" t="str">
        <f>gescon_infosparticip!H88</f>
        <v/>
      </c>
      <c r="J89">
        <f>IF(gescon_infosparticip!I88=FALSE,0,1)</f>
        <v>0</v>
      </c>
      <c r="K89">
        <f>IF(gescon_infosparticip!J88=FALSE,0,1)</f>
        <v>0</v>
      </c>
      <c r="L89">
        <f>IF(gescon_infosparticip!K88=FALSE,0,1)</f>
        <v>0</v>
      </c>
      <c r="M89">
        <f>IF(gescon_infosparticip!L88=FALSE,0,1)</f>
        <v>0</v>
      </c>
      <c r="N89">
        <f>IF(gescon_infosparticip!M88=FALSE,0,1)</f>
        <v>0</v>
      </c>
      <c r="O89">
        <f>IF(gescon_infosparticip!N88=FALSE,0,1)</f>
        <v>0</v>
      </c>
      <c r="P89">
        <f>IF(gescon_infosparticip!O88=FALSE,0,1)</f>
        <v>0</v>
      </c>
      <c r="Q89">
        <f>IF(gescon_infosparticip!P88=FALSE,0,1)</f>
        <v>0</v>
      </c>
      <c r="R89">
        <f>IF(gescon_infosparticip!Q88=FALSE,0,1)</f>
        <v>0</v>
      </c>
      <c r="S89" t="str">
        <f>gescon_infosparticip!R88</f>
        <v/>
      </c>
      <c r="T89" t="str">
        <f>gescon_infosparticip!V88</f>
        <v/>
      </c>
      <c r="U89" t="str">
        <f>gescon_infosparticip!S88</f>
        <v/>
      </c>
      <c r="V89">
        <f>IF(gescon_infosparticip!U88=FALSE,0,1)</f>
        <v>0</v>
      </c>
      <c r="W89">
        <f>IF(gescon_infosparticip!T88=FALSE,0,1)</f>
        <v>0</v>
      </c>
      <c r="X89" t="str">
        <f>gescon_infosparticip!W88</f>
        <v/>
      </c>
      <c r="Y89">
        <f>IF(gescon_infosparticip!X88=FALSE,0,1)</f>
        <v>0</v>
      </c>
      <c r="Z89">
        <f>IF(gescon_infosparticip!Y88=FALSE,0,1)</f>
        <v>0</v>
      </c>
      <c r="AA89">
        <f>IF(gescon_infosparticip!Z88=FALSE,0,1)</f>
        <v>0</v>
      </c>
      <c r="AB89">
        <f>IF(gescon_infosparticip!AA88=FALSE,0,1)</f>
        <v>0</v>
      </c>
      <c r="AC89" t="str">
        <f>gescon_infosparticip!AB88</f>
        <v/>
      </c>
      <c r="AD89" t="str">
        <f>gescon_infosparticip!AC88</f>
        <v/>
      </c>
      <c r="AE89" t="str">
        <f>gescon_infosparticip!AD88</f>
        <v/>
      </c>
      <c r="AF89" t="str">
        <f>gescon_infosparticip!AE88</f>
        <v/>
      </c>
      <c r="AG89" t="str">
        <f>gescon_infosparticip!AF88</f>
        <v/>
      </c>
      <c r="AH89" t="str">
        <f>gescon_infosparticip!AG88</f>
        <v/>
      </c>
      <c r="AI89" t="str">
        <f>gescon_infosparticip!BN88</f>
        <v/>
      </c>
      <c r="AJ89" t="str">
        <f>gescon_infosparticip!BO88</f>
        <v/>
      </c>
    </row>
    <row r="90" spans="2:36" x14ac:dyDescent="0.25">
      <c r="B90">
        <f>gescon_infosparticip!A89</f>
        <v>2604</v>
      </c>
      <c r="C90">
        <f>gescon_infosparticip!B89</f>
        <v>42866</v>
      </c>
      <c r="D90">
        <f>gescon_infosparticip!C89</f>
        <v>-1336383801</v>
      </c>
      <c r="E90">
        <f>gescon_infosparticip!D89</f>
        <v>2603</v>
      </c>
      <c r="F90">
        <f>gescon_infosparticip!E89</f>
        <v>-1336383801</v>
      </c>
      <c r="G90">
        <f>gescon_infosparticip!F89</f>
        <v>1424</v>
      </c>
      <c r="H90">
        <f>gescon_infosparticip!G89</f>
        <v>-562642022</v>
      </c>
      <c r="I90" t="str">
        <f>gescon_infosparticip!H89</f>
        <v>Groupe - B3</v>
      </c>
      <c r="J90">
        <f>IF(gescon_infosparticip!I89=FALSE,0,1)</f>
        <v>0</v>
      </c>
      <c r="K90">
        <f>IF(gescon_infosparticip!J89=FALSE,0,1)</f>
        <v>1</v>
      </c>
      <c r="L90">
        <f>IF(gescon_infosparticip!K89=FALSE,0,1)</f>
        <v>0</v>
      </c>
      <c r="M90">
        <f>IF(gescon_infosparticip!L89=FALSE,0,1)</f>
        <v>1</v>
      </c>
      <c r="N90">
        <f>IF(gescon_infosparticip!M89=FALSE,0,1)</f>
        <v>0</v>
      </c>
      <c r="O90">
        <f>IF(gescon_infosparticip!N89=FALSE,0,1)</f>
        <v>0</v>
      </c>
      <c r="P90">
        <f>IF(gescon_infosparticip!O89=FALSE,0,1)</f>
        <v>1</v>
      </c>
      <c r="Q90">
        <f>IF(gescon_infosparticip!P89=FALSE,0,1)</f>
        <v>1</v>
      </c>
      <c r="R90">
        <f>IF(gescon_infosparticip!Q89=FALSE,0,1)</f>
        <v>0</v>
      </c>
      <c r="S90" t="str">
        <f>gescon_infosparticip!R89</f>
        <v>Il supporte les longs trajets en bus.</v>
      </c>
      <c r="T90" t="str">
        <f>gescon_infosparticip!V89</f>
        <v>Aide complète pour l'habillement et le déshabillement. Il peut donner un coup de main pour ôter les habits.</v>
      </c>
      <c r="U90" t="str">
        <f>gescon_infosparticip!S89</f>
        <v>présence d’une personne obligatoire pour le tenir, de préférence un gilet.</v>
      </c>
      <c r="V90">
        <f>IF(gescon_infosparticip!U89=FALSE,0,1)</f>
        <v>1</v>
      </c>
      <c r="W90">
        <f>IF(gescon_infosparticip!T89=FALSE,0,1)</f>
        <v>1</v>
      </c>
      <c r="X90" t="str">
        <f>gescon_infosparticip!W89</f>
        <v>Il dort env. 10h à 11h par nuit. Il n’a pas besoin de rituel particulier. Depuis son opération, il dort sur le dos avec le coussin pour les jambes.</v>
      </c>
      <c r="Y90">
        <f>IF(gescon_infosparticip!X89=FALSE,0,1)</f>
        <v>0</v>
      </c>
      <c r="Z90">
        <f>IF(gescon_infosparticip!Y89=FALSE,0,1)</f>
        <v>0</v>
      </c>
      <c r="AA90">
        <f>IF(gescon_infosparticip!Z89=FALSE,0,1)</f>
        <v>0</v>
      </c>
      <c r="AB90">
        <f>IF(gescon_infosparticip!AA89=FALSE,0,1)</f>
        <v>1</v>
      </c>
      <c r="AC90" t="str">
        <f>gescon_infosparticip!AB89</f>
        <v>Ludovic parle lentement et il a besoin de temps pour répondre.</v>
      </c>
      <c r="AD90" t="str">
        <f>gescon_infosparticip!AC89</f>
        <v>Ludovic est souvent avec sa cousine Myriam qui a env. 54 ans</v>
      </c>
      <c r="AE90" t="str">
        <f>gescon_infosparticip!AD89</f>
        <v/>
      </c>
      <c r="AF90" t="str">
        <f>gescon_infosparticip!AE89</f>
        <v/>
      </c>
      <c r="AG90" t="str">
        <f>gescon_infosparticip!AF89</f>
        <v>Il aime les animaux de la ferme, jouer aux puzzles, regarder les livres, la natation, la gym, le vélo rollefit, le foot et les courses de F1, en particulier les Ferrari. Ludovic aime le contact et se montre sociable.</v>
      </c>
      <c r="AH90" t="str">
        <f>gescon_infosparticip!AG89</f>
        <v/>
      </c>
      <c r="AI90" t="str">
        <f>gescon_infosparticip!BN89</f>
        <v>de temps en temps le sortir de la chaise</v>
      </c>
      <c r="AJ90" t="str">
        <f>gescon_infosparticip!BO89</f>
        <v>Après le dîner et avant le souper</v>
      </c>
    </row>
    <row r="91" spans="2:36" x14ac:dyDescent="0.25">
      <c r="B91">
        <f>gescon_infosparticip!A90</f>
        <v>2611</v>
      </c>
      <c r="C91">
        <f>gescon_infosparticip!B90</f>
        <v>42888</v>
      </c>
      <c r="D91">
        <f>gescon_infosparticip!C90</f>
        <v>2146189795</v>
      </c>
      <c r="E91">
        <f>gescon_infosparticip!D90</f>
        <v>0</v>
      </c>
      <c r="F91">
        <f>gescon_infosparticip!E90</f>
        <v>2146189796</v>
      </c>
      <c r="G91">
        <f>gescon_infosparticip!F90</f>
        <v>1424</v>
      </c>
      <c r="H91">
        <f>gescon_infosparticip!G90</f>
        <v>2146189796</v>
      </c>
      <c r="I91" t="str">
        <f>gescon_infosparticip!H90</f>
        <v>Groupe - C2 - Marina Silva - 024 473 51 52</v>
      </c>
      <c r="J91">
        <f>IF(gescon_infosparticip!I90=FALSE,0,1)</f>
        <v>0</v>
      </c>
      <c r="K91">
        <f>IF(gescon_infosparticip!J90=FALSE,0,1)</f>
        <v>0</v>
      </c>
      <c r="L91">
        <f>IF(gescon_infosparticip!K90=FALSE,0,1)</f>
        <v>0</v>
      </c>
      <c r="M91">
        <f>IF(gescon_infosparticip!L90=FALSE,0,1)</f>
        <v>1</v>
      </c>
      <c r="N91">
        <f>IF(gescon_infosparticip!M90=FALSE,0,1)</f>
        <v>0</v>
      </c>
      <c r="O91">
        <f>IF(gescon_infosparticip!N90=FALSE,0,1)</f>
        <v>0</v>
      </c>
      <c r="P91">
        <f>IF(gescon_infosparticip!O90=FALSE,0,1)</f>
        <v>0</v>
      </c>
      <c r="Q91">
        <f>IF(gescon_infosparticip!P90=FALSE,0,1)</f>
        <v>1</v>
      </c>
      <c r="R91">
        <f>IF(gescon_infosparticip!Q90=FALSE,0,1)</f>
        <v>0</v>
      </c>
      <c r="S91" t="str">
        <f>gescon_infosparticip!R90</f>
        <v>Il supporte les longs trajets en bus.</v>
      </c>
      <c r="T91" t="str">
        <f>gescon_infosparticip!V90</f>
        <v/>
      </c>
      <c r="U91" t="str">
        <f>gescon_infosparticip!S90</f>
        <v>Il apprécie beaucoup la piscine. L'institution demande le port d'un gilet pour toutes les personnes éliptiques.</v>
      </c>
      <c r="V91">
        <f>IF(gescon_infosparticip!U90=FALSE,0,1)</f>
        <v>1</v>
      </c>
      <c r="W91">
        <f>IF(gescon_infosparticip!T90=FALSE,0,1)</f>
        <v>1</v>
      </c>
      <c r="X91" t="str">
        <f>gescon_infosparticip!W90</f>
        <v>Il dort bien. Il écoute du Pierre Bachelet avant de s'endormir.(un Cd se trouve dans son sac)</v>
      </c>
      <c r="Y91">
        <f>IF(gescon_infosparticip!X90=FALSE,0,1)</f>
        <v>0</v>
      </c>
      <c r="Z91">
        <f>IF(gescon_infosparticip!Y90=FALSE,0,1)</f>
        <v>0</v>
      </c>
      <c r="AA91">
        <f>IF(gescon_infosparticip!Z90=FALSE,0,1)</f>
        <v>0</v>
      </c>
      <c r="AB91">
        <f>IF(gescon_infosparticip!AA90=FALSE,0,1)</f>
        <v>1</v>
      </c>
      <c r="AC91" t="str">
        <f>gescon_infosparticip!AB90</f>
        <v>non verbale. Il montre son contentement en riant, en envoyant des baisers et en "disant" bonjour. Il montre son mécontentement en criant et en tapant de la main sur la table. Il exagère parfois surtout avec des nouvelles personnes. Dans ce cas il faut s'isoler un moment avec lui et lui expliquer que son comportement n'est pas adéquat.</v>
      </c>
      <c r="AD91" t="str">
        <f>gescon_infosparticip!AC90</f>
        <v/>
      </c>
      <c r="AE91" t="str">
        <f>gescon_infosparticip!AD90</f>
        <v/>
      </c>
      <c r="AF91" t="str">
        <f>gescon_infosparticip!AE90</f>
        <v/>
      </c>
      <c r="AG91" t="str">
        <f>gescon_infosparticip!AF90</f>
        <v>Il aime surtout les promenades, les sorties en ville ou dans les magasins, boire un café sur une terrasse. Il apprécie les activités en rapport avec l'eau et la cuisine. Il aime regarder un film, mais seulement sur grand écran. Il apprécie la musique (Henri Dès, Pierre Bachelet)</v>
      </c>
      <c r="AH91" t="str">
        <f>gescon_infosparticip!AG90</f>
        <v>Ne montre pas d'intérêt pour la télévision et les activités de bricolage. Ne joue pas avec des objets sauf s'ils sont en mousse ou en éponge.</v>
      </c>
      <c r="AI91" t="str">
        <f>gescon_infosparticip!BN90</f>
        <v>Il a l'habitude de faire une sieste après le dîner.</v>
      </c>
      <c r="AJ91" t="str">
        <f>gescon_infosparticip!BO90</f>
        <v/>
      </c>
    </row>
    <row r="92" spans="2:36" x14ac:dyDescent="0.25">
      <c r="B92">
        <f>gescon_infosparticip!A91</f>
        <v>2619</v>
      </c>
      <c r="C92">
        <f>gescon_infosparticip!B91</f>
        <v>42503</v>
      </c>
      <c r="D92">
        <f>gescon_infosparticip!C91</f>
        <v>0</v>
      </c>
      <c r="E92">
        <f>gescon_infosparticip!D91</f>
        <v>0</v>
      </c>
      <c r="F92">
        <f>gescon_infosparticip!E91</f>
        <v>0</v>
      </c>
      <c r="G92">
        <f>gescon_infosparticip!F91</f>
        <v>0</v>
      </c>
      <c r="H92">
        <f>gescon_infosparticip!G91</f>
        <v>0</v>
      </c>
      <c r="I92" t="str">
        <f>gescon_infosparticip!H91</f>
        <v/>
      </c>
      <c r="J92">
        <f>IF(gescon_infosparticip!I91=FALSE,0,1)</f>
        <v>0</v>
      </c>
      <c r="K92">
        <f>IF(gescon_infosparticip!J91=FALSE,0,1)</f>
        <v>0</v>
      </c>
      <c r="L92">
        <f>IF(gescon_infosparticip!K91=FALSE,0,1)</f>
        <v>0</v>
      </c>
      <c r="M92">
        <f>IF(gescon_infosparticip!L91=FALSE,0,1)</f>
        <v>0</v>
      </c>
      <c r="N92">
        <f>IF(gescon_infosparticip!M91=FALSE,0,1)</f>
        <v>0</v>
      </c>
      <c r="O92">
        <f>IF(gescon_infosparticip!N91=FALSE,0,1)</f>
        <v>0</v>
      </c>
      <c r="P92">
        <f>IF(gescon_infosparticip!O91=FALSE,0,1)</f>
        <v>0</v>
      </c>
      <c r="Q92">
        <f>IF(gescon_infosparticip!P91=FALSE,0,1)</f>
        <v>0</v>
      </c>
      <c r="R92">
        <f>IF(gescon_infosparticip!Q91=FALSE,0,1)</f>
        <v>0</v>
      </c>
      <c r="S92" t="str">
        <f>gescon_infosparticip!R91</f>
        <v/>
      </c>
      <c r="T92" t="str">
        <f>gescon_infosparticip!V91</f>
        <v/>
      </c>
      <c r="U92" t="str">
        <f>gescon_infosparticip!S91</f>
        <v/>
      </c>
      <c r="V92">
        <f>IF(gescon_infosparticip!U91=FALSE,0,1)</f>
        <v>0</v>
      </c>
      <c r="W92">
        <f>IF(gescon_infosparticip!T91=FALSE,0,1)</f>
        <v>0</v>
      </c>
      <c r="X92" t="str">
        <f>gescon_infosparticip!W91</f>
        <v/>
      </c>
      <c r="Y92">
        <f>IF(gescon_infosparticip!X91=FALSE,0,1)</f>
        <v>0</v>
      </c>
      <c r="Z92">
        <f>IF(gescon_infosparticip!Y91=FALSE,0,1)</f>
        <v>0</v>
      </c>
      <c r="AA92">
        <f>IF(gescon_infosparticip!Z91=FALSE,0,1)</f>
        <v>0</v>
      </c>
      <c r="AB92">
        <f>IF(gescon_infosparticip!AA91=FALSE,0,1)</f>
        <v>0</v>
      </c>
      <c r="AC92" t="str">
        <f>gescon_infosparticip!AB91</f>
        <v/>
      </c>
      <c r="AD92" t="str">
        <f>gescon_infosparticip!AC91</f>
        <v/>
      </c>
      <c r="AE92" t="str">
        <f>gescon_infosparticip!AD91</f>
        <v/>
      </c>
      <c r="AF92" t="str">
        <f>gescon_infosparticip!AE91</f>
        <v/>
      </c>
      <c r="AG92" t="str">
        <f>gescon_infosparticip!AF91</f>
        <v/>
      </c>
      <c r="AH92" t="str">
        <f>gescon_infosparticip!AG91</f>
        <v/>
      </c>
      <c r="AI92" t="str">
        <f>gescon_infosparticip!BN91</f>
        <v/>
      </c>
      <c r="AJ92" t="str">
        <f>gescon_infosparticip!BO91</f>
        <v/>
      </c>
    </row>
    <row r="93" spans="2:36" x14ac:dyDescent="0.25">
      <c r="B93">
        <f>gescon_infosparticip!A92</f>
        <v>2625</v>
      </c>
      <c r="C93">
        <f>gescon_infosparticip!B92</f>
        <v>43039</v>
      </c>
      <c r="D93">
        <f>gescon_infosparticip!C92</f>
        <v>252</v>
      </c>
      <c r="E93">
        <f>gescon_infosparticip!D92</f>
        <v>0</v>
      </c>
      <c r="F93">
        <f>gescon_infosparticip!E92</f>
        <v>0</v>
      </c>
      <c r="G93">
        <f>gescon_infosparticip!F92</f>
        <v>2677</v>
      </c>
      <c r="H93">
        <f>gescon_infosparticip!G92</f>
        <v>252</v>
      </c>
      <c r="I93" t="str">
        <f>gescon_infosparticip!H92</f>
        <v/>
      </c>
      <c r="J93">
        <f>IF(gescon_infosparticip!I92=FALSE,0,1)</f>
        <v>0</v>
      </c>
      <c r="K93">
        <f>IF(gescon_infosparticip!J92=FALSE,0,1)</f>
        <v>0</v>
      </c>
      <c r="L93">
        <f>IF(gescon_infosparticip!K92=FALSE,0,1)</f>
        <v>1</v>
      </c>
      <c r="M93">
        <f>IF(gescon_infosparticip!L92=FALSE,0,1)</f>
        <v>1</v>
      </c>
      <c r="N93">
        <f>IF(gescon_infosparticip!M92=FALSE,0,1)</f>
        <v>1</v>
      </c>
      <c r="O93">
        <f>IF(gescon_infosparticip!N92=FALSE,0,1)</f>
        <v>0</v>
      </c>
      <c r="P93">
        <f>IF(gescon_infosparticip!O92=FALSE,0,1)</f>
        <v>0</v>
      </c>
      <c r="Q93">
        <f>IF(gescon_infosparticip!P92=FALSE,0,1)</f>
        <v>0</v>
      </c>
      <c r="R93">
        <f>IF(gescon_infosparticip!Q92=FALSE,0,1)</f>
        <v>0</v>
      </c>
      <c r="S93" t="str">
        <f>gescon_infosparticip!R92</f>
        <v>Supporte les longs trajets en bus</v>
      </c>
      <c r="T93" t="str">
        <f>gescon_infosparticip!V92</f>
        <v>lui préparer les habits</v>
      </c>
      <c r="U93" t="str">
        <f>gescon_infosparticip!S92</f>
        <v>Raphaël nage un peu dans eau peu profonde, pas de manchon, avec surveillance.</v>
      </c>
      <c r="V93">
        <f>IF(gescon_infosparticip!U92=FALSE,0,1)</f>
        <v>1</v>
      </c>
      <c r="W93">
        <f>IF(gescon_infosparticip!T92=FALSE,0,1)</f>
        <v>0</v>
      </c>
      <c r="X93" t="str">
        <f>gescon_infosparticip!W92</f>
        <v/>
      </c>
      <c r="Y93">
        <f>IF(gescon_infosparticip!X92=FALSE,0,1)</f>
        <v>0</v>
      </c>
      <c r="Z93">
        <f>IF(gescon_infosparticip!Y92=FALSE,0,1)</f>
        <v>0</v>
      </c>
      <c r="AA93">
        <f>IF(gescon_infosparticip!Z92=FALSE,0,1)</f>
        <v>0</v>
      </c>
      <c r="AB93">
        <f>IF(gescon_infosparticip!AA92=FALSE,0,1)</f>
        <v>0</v>
      </c>
      <c r="AC93" t="str">
        <f>gescon_infosparticip!AB92</f>
        <v>Raphaël articule mal, faire répéter lentement
 Le faire participer le plus possible à la vie de groupe, car il a tendance à être solitaire. Lorsque vous participez à la messe dominicale, Raphaël communie toujours.</v>
      </c>
      <c r="AD93" t="str">
        <f>gescon_infosparticip!AC92</f>
        <v/>
      </c>
      <c r="AE93" t="str">
        <f>gescon_infosparticip!AD92</f>
        <v>Une sœur : Emilie</v>
      </c>
      <c r="AF93" t="str">
        <f>gescon_infosparticip!AE92</f>
        <v/>
      </c>
      <c r="AG93" t="str">
        <f>gescon_infosparticip!AF92</f>
        <v>Apprécie beaucoup la météo, les nuages et leurs noms. Il aime tout, il suffit de le motiver. Aimes les heures, montres et jours de la semaine</v>
      </c>
      <c r="AH93" t="str">
        <f>gescon_infosparticip!AG92</f>
        <v/>
      </c>
      <c r="AI93" t="str">
        <f>gescon_infosparticip!BN92</f>
        <v>Durant la journée, il doit prendre du temps pour se reposer. Pour éviter de fatiguer son cœur</v>
      </c>
      <c r="AJ93" t="str">
        <f>gescon_infosparticip!BO92</f>
        <v/>
      </c>
    </row>
    <row r="94" spans="2:36" x14ac:dyDescent="0.25">
      <c r="B94">
        <f>gescon_infosparticip!A93</f>
        <v>2642</v>
      </c>
      <c r="C94">
        <f>gescon_infosparticip!B93</f>
        <v>41039</v>
      </c>
      <c r="D94">
        <f>gescon_infosparticip!C93</f>
        <v>0</v>
      </c>
      <c r="E94">
        <f>gescon_infosparticip!D93</f>
        <v>0</v>
      </c>
      <c r="F94">
        <f>gescon_infosparticip!E93</f>
        <v>0</v>
      </c>
      <c r="G94">
        <f>gescon_infosparticip!F93</f>
        <v>0</v>
      </c>
      <c r="H94">
        <f>gescon_infosparticip!G93</f>
        <v>0</v>
      </c>
      <c r="I94" t="str">
        <f>gescon_infosparticip!H93</f>
        <v/>
      </c>
      <c r="J94">
        <f>IF(gescon_infosparticip!I93=FALSE,0,1)</f>
        <v>0</v>
      </c>
      <c r="K94">
        <f>IF(gescon_infosparticip!J93=FALSE,0,1)</f>
        <v>0</v>
      </c>
      <c r="L94">
        <f>IF(gescon_infosparticip!K93=FALSE,0,1)</f>
        <v>0</v>
      </c>
      <c r="M94">
        <f>IF(gescon_infosparticip!L93=FALSE,0,1)</f>
        <v>0</v>
      </c>
      <c r="N94">
        <f>IF(gescon_infosparticip!M93=FALSE,0,1)</f>
        <v>0</v>
      </c>
      <c r="O94">
        <f>IF(gescon_infosparticip!N93=FALSE,0,1)</f>
        <v>0</v>
      </c>
      <c r="P94">
        <f>IF(gescon_infosparticip!O93=FALSE,0,1)</f>
        <v>0</v>
      </c>
      <c r="Q94">
        <f>IF(gescon_infosparticip!P93=FALSE,0,1)</f>
        <v>0</v>
      </c>
      <c r="R94">
        <f>IF(gescon_infosparticip!Q93=FALSE,0,1)</f>
        <v>0</v>
      </c>
      <c r="S94" t="str">
        <f>gescon_infosparticip!R93</f>
        <v/>
      </c>
      <c r="T94" t="str">
        <f>gescon_infosparticip!V93</f>
        <v/>
      </c>
      <c r="U94" t="str">
        <f>gescon_infosparticip!S93</f>
        <v/>
      </c>
      <c r="V94">
        <f>IF(gescon_infosparticip!U93=FALSE,0,1)</f>
        <v>0</v>
      </c>
      <c r="W94">
        <f>IF(gescon_infosparticip!T93=FALSE,0,1)</f>
        <v>0</v>
      </c>
      <c r="X94" t="str">
        <f>gescon_infosparticip!W93</f>
        <v/>
      </c>
      <c r="Y94">
        <f>IF(gescon_infosparticip!X93=FALSE,0,1)</f>
        <v>0</v>
      </c>
      <c r="Z94">
        <f>IF(gescon_infosparticip!Y93=FALSE,0,1)</f>
        <v>0</v>
      </c>
      <c r="AA94">
        <f>IF(gescon_infosparticip!Z93=FALSE,0,1)</f>
        <v>0</v>
      </c>
      <c r="AB94">
        <f>IF(gescon_infosparticip!AA93=FALSE,0,1)</f>
        <v>0</v>
      </c>
      <c r="AC94" t="str">
        <f>gescon_infosparticip!AB93</f>
        <v/>
      </c>
      <c r="AD94" t="str">
        <f>gescon_infosparticip!AC93</f>
        <v/>
      </c>
      <c r="AE94" t="str">
        <f>gescon_infosparticip!AD93</f>
        <v/>
      </c>
      <c r="AF94" t="str">
        <f>gescon_infosparticip!AE93</f>
        <v/>
      </c>
      <c r="AG94" t="str">
        <f>gescon_infosparticip!AF93</f>
        <v/>
      </c>
      <c r="AH94" t="str">
        <f>gescon_infosparticip!AG93</f>
        <v/>
      </c>
      <c r="AI94" t="str">
        <f>gescon_infosparticip!BN93</f>
        <v/>
      </c>
      <c r="AJ94" t="str">
        <f>gescon_infosparticip!BO93</f>
        <v/>
      </c>
    </row>
    <row r="95" spans="2:36" x14ac:dyDescent="0.25">
      <c r="B95">
        <f>gescon_infosparticip!A94</f>
        <v>2643</v>
      </c>
      <c r="C95">
        <f>gescon_infosparticip!B94</f>
        <v>40996</v>
      </c>
      <c r="D95">
        <f>gescon_infosparticip!C94</f>
        <v>0</v>
      </c>
      <c r="E95">
        <f>gescon_infosparticip!D94</f>
        <v>0</v>
      </c>
      <c r="F95">
        <f>gescon_infosparticip!E94</f>
        <v>0</v>
      </c>
      <c r="G95">
        <f>gescon_infosparticip!F94</f>
        <v>0</v>
      </c>
      <c r="H95">
        <f>gescon_infosparticip!G94</f>
        <v>0</v>
      </c>
      <c r="I95" t="str">
        <f>gescon_infosparticip!H94</f>
        <v/>
      </c>
      <c r="J95">
        <f>IF(gescon_infosparticip!I94=FALSE,0,1)</f>
        <v>0</v>
      </c>
      <c r="K95">
        <f>IF(gescon_infosparticip!J94=FALSE,0,1)</f>
        <v>0</v>
      </c>
      <c r="L95">
        <f>IF(gescon_infosparticip!K94=FALSE,0,1)</f>
        <v>0</v>
      </c>
      <c r="M95">
        <f>IF(gescon_infosparticip!L94=FALSE,0,1)</f>
        <v>0</v>
      </c>
      <c r="N95">
        <f>IF(gescon_infosparticip!M94=FALSE,0,1)</f>
        <v>0</v>
      </c>
      <c r="O95">
        <f>IF(gescon_infosparticip!N94=FALSE,0,1)</f>
        <v>0</v>
      </c>
      <c r="P95">
        <f>IF(gescon_infosparticip!O94=FALSE,0,1)</f>
        <v>0</v>
      </c>
      <c r="Q95">
        <f>IF(gescon_infosparticip!P94=FALSE,0,1)</f>
        <v>0</v>
      </c>
      <c r="R95">
        <f>IF(gescon_infosparticip!Q94=FALSE,0,1)</f>
        <v>0</v>
      </c>
      <c r="S95" t="str">
        <f>gescon_infosparticip!R94</f>
        <v/>
      </c>
      <c r="T95" t="str">
        <f>gescon_infosparticip!V94</f>
        <v/>
      </c>
      <c r="U95" t="str">
        <f>gescon_infosparticip!S94</f>
        <v/>
      </c>
      <c r="V95">
        <f>IF(gescon_infosparticip!U94=FALSE,0,1)</f>
        <v>0</v>
      </c>
      <c r="W95">
        <f>IF(gescon_infosparticip!T94=FALSE,0,1)</f>
        <v>0</v>
      </c>
      <c r="X95" t="str">
        <f>gescon_infosparticip!W94</f>
        <v/>
      </c>
      <c r="Y95">
        <f>IF(gescon_infosparticip!X94=FALSE,0,1)</f>
        <v>0</v>
      </c>
      <c r="Z95">
        <f>IF(gescon_infosparticip!Y94=FALSE,0,1)</f>
        <v>0</v>
      </c>
      <c r="AA95">
        <f>IF(gescon_infosparticip!Z94=FALSE,0,1)</f>
        <v>0</v>
      </c>
      <c r="AB95">
        <f>IF(gescon_infosparticip!AA94=FALSE,0,1)</f>
        <v>0</v>
      </c>
      <c r="AC95" t="str">
        <f>gescon_infosparticip!AB94</f>
        <v/>
      </c>
      <c r="AD95" t="str">
        <f>gescon_infosparticip!AC94</f>
        <v/>
      </c>
      <c r="AE95" t="str">
        <f>gescon_infosparticip!AD94</f>
        <v/>
      </c>
      <c r="AF95" t="str">
        <f>gescon_infosparticip!AE94</f>
        <v/>
      </c>
      <c r="AG95" t="str">
        <f>gescon_infosparticip!AF94</f>
        <v/>
      </c>
      <c r="AH95" t="str">
        <f>gescon_infosparticip!AG94</f>
        <v/>
      </c>
      <c r="AI95" t="str">
        <f>gescon_infosparticip!BN94</f>
        <v/>
      </c>
      <c r="AJ95" t="str">
        <f>gescon_infosparticip!BO94</f>
        <v/>
      </c>
    </row>
    <row r="96" spans="2:36" x14ac:dyDescent="0.25">
      <c r="B96">
        <f>gescon_infosparticip!A95</f>
        <v>2653</v>
      </c>
      <c r="C96">
        <f>gescon_infosparticip!B95</f>
        <v>42972</v>
      </c>
      <c r="D96">
        <f>gescon_infosparticip!C95</f>
        <v>81</v>
      </c>
      <c r="E96">
        <f>gescon_infosparticip!D95</f>
        <v>0</v>
      </c>
      <c r="F96">
        <f>gescon_infosparticip!E95</f>
        <v>0</v>
      </c>
      <c r="G96">
        <f>gescon_infosparticip!F95</f>
        <v>2146189483</v>
      </c>
      <c r="H96">
        <f>gescon_infosparticip!G95</f>
        <v>2146189103</v>
      </c>
      <c r="I96" t="str">
        <f>gescon_infosparticip!H95</f>
        <v>B4 . Maude Lang</v>
      </c>
      <c r="J96">
        <f>IF(gescon_infosparticip!I95=FALSE,0,1)</f>
        <v>0</v>
      </c>
      <c r="K96">
        <f>IF(gescon_infosparticip!J95=FALSE,0,1)</f>
        <v>0</v>
      </c>
      <c r="L96">
        <f>IF(gescon_infosparticip!K95=FALSE,0,1)</f>
        <v>0</v>
      </c>
      <c r="M96">
        <f>IF(gescon_infosparticip!L95=FALSE,0,1)</f>
        <v>1</v>
      </c>
      <c r="N96">
        <f>IF(gescon_infosparticip!M95=FALSE,0,1)</f>
        <v>0</v>
      </c>
      <c r="O96">
        <f>IF(gescon_infosparticip!N95=FALSE,0,1)</f>
        <v>0</v>
      </c>
      <c r="P96">
        <f>IF(gescon_infosparticip!O95=FALSE,0,1)</f>
        <v>0</v>
      </c>
      <c r="Q96">
        <f>IF(gescon_infosparticip!P95=FALSE,0,1)</f>
        <v>1</v>
      </c>
      <c r="R96">
        <f>IF(gescon_infosparticip!Q95=FALSE,0,1)</f>
        <v>1</v>
      </c>
      <c r="S96" t="str">
        <f>gescon_infosparticip!R95</f>
        <v>Supporte les longs trajets en bus 
Attention si Nicole est excitée ou si il y a beaucoup de monde autour d’elle, ne pas la laisser conduire,</v>
      </c>
      <c r="T96" t="str">
        <f>gescon_infosparticip!V95</f>
        <v>Aide totale</v>
      </c>
      <c r="U96" t="str">
        <f>gescon_infosparticip!S95</f>
        <v>Présence obligatoire d’une personne pour la tenir, de préférence, un gilet</v>
      </c>
      <c r="V96">
        <f>IF(gescon_infosparticip!U95=FALSE,0,1)</f>
        <v>1</v>
      </c>
      <c r="W96">
        <f>IF(gescon_infosparticip!T95=FALSE,0,1)</f>
        <v>0</v>
      </c>
      <c r="X96" t="str">
        <f>gescon_infosparticip!W95</f>
        <v>Pour dormir, la mettre sur le coté droit jusqu'à la première veille avec un cousin entre les genoux.  A gauche 1 ère position    - A droite position dès 2h le matin ( idem pour la sieste)
la mettre ensuite sur le dos lors de la première veille avec un coussin banane sous les genoux et un petit coussin vertical pour séparer les genoux. Elle fait la sieste environ 1 heure après le repas de midi.</v>
      </c>
      <c r="Y96">
        <f>IF(gescon_infosparticip!X95=FALSE,0,1)</f>
        <v>0</v>
      </c>
      <c r="Z96">
        <f>IF(gescon_infosparticip!Y95=FALSE,0,1)</f>
        <v>0</v>
      </c>
      <c r="AA96">
        <f>IF(gescon_infosparticip!Z95=FALSE,0,1)</f>
        <v>0</v>
      </c>
      <c r="AB96">
        <f>IF(gescon_infosparticip!AA95=FALSE,0,1)</f>
        <v>1</v>
      </c>
      <c r="AC96" t="str">
        <f>gescon_infosparticip!AB95</f>
        <v>oral (elle dit oui et non), mimiques et gestes
Remarques générales : Lorsqu’elle s’excite, elle se met en appui sur ses pose-pieds, ceci lui provoque des blessures aux genoux et aux pieds. Lui dire des mots Calme ou Doucement. Ces mots aideront à la stabiliser et à reprendre sa position normale sur son fauteuil.</v>
      </c>
      <c r="AD96" t="str">
        <f>gescon_infosparticip!AC95</f>
        <v/>
      </c>
      <c r="AE96" t="str">
        <f>gescon_infosparticip!AD95</f>
        <v/>
      </c>
      <c r="AF96" t="str">
        <f>gescon_infosparticip!AE95</f>
        <v/>
      </c>
      <c r="AG96" t="str">
        <f>gescon_infosparticip!AF95</f>
        <v>Nicole aime sortir, faire la fête, les concerts et voyager en voiture. Elle s’intéresse à tous les sujets.</v>
      </c>
      <c r="AH96" t="str">
        <f>gescon_infosparticip!AG95</f>
        <v>aucune, elle est toujours partante</v>
      </c>
      <c r="AI96" t="str">
        <f>gescon_infosparticip!BN95</f>
        <v>Au lit, sur le dos avec un coussin sous genoux L’asseoir bien au fond de sa chaise, doit tenir sa poignée. Elle sait se mettre au fond en ayant les pieds sanglés</v>
      </c>
      <c r="AJ96" t="str">
        <f>gescon_infosparticip!BO95</f>
        <v>Ne plus lui mettre la sangle au pied gauche car cela lui provoque un cor au petit orteil</v>
      </c>
    </row>
    <row r="97" spans="2:36" x14ac:dyDescent="0.25">
      <c r="B97">
        <f>gescon_infosparticip!A96</f>
        <v>2654</v>
      </c>
      <c r="C97">
        <f>gescon_infosparticip!B96</f>
        <v>42405</v>
      </c>
      <c r="D97">
        <f>gescon_infosparticip!C96</f>
        <v>0</v>
      </c>
      <c r="E97">
        <f>gescon_infosparticip!D96</f>
        <v>0</v>
      </c>
      <c r="F97">
        <f>gescon_infosparticip!E96</f>
        <v>0</v>
      </c>
      <c r="G97">
        <f>gescon_infosparticip!F96</f>
        <v>0</v>
      </c>
      <c r="H97">
        <f>gescon_infosparticip!G96</f>
        <v>0</v>
      </c>
      <c r="I97" t="str">
        <f>gescon_infosparticip!H96</f>
        <v/>
      </c>
      <c r="J97">
        <f>IF(gescon_infosparticip!I96=FALSE,0,1)</f>
        <v>0</v>
      </c>
      <c r="K97">
        <f>IF(gescon_infosparticip!J96=FALSE,0,1)</f>
        <v>0</v>
      </c>
      <c r="L97">
        <f>IF(gescon_infosparticip!K96=FALSE,0,1)</f>
        <v>0</v>
      </c>
      <c r="M97">
        <f>IF(gescon_infosparticip!L96=FALSE,0,1)</f>
        <v>0</v>
      </c>
      <c r="N97">
        <f>IF(gescon_infosparticip!M96=FALSE,0,1)</f>
        <v>0</v>
      </c>
      <c r="O97">
        <f>IF(gescon_infosparticip!N96=FALSE,0,1)</f>
        <v>0</v>
      </c>
      <c r="P97">
        <f>IF(gescon_infosparticip!O96=FALSE,0,1)</f>
        <v>0</v>
      </c>
      <c r="Q97">
        <f>IF(gescon_infosparticip!P96=FALSE,0,1)</f>
        <v>0</v>
      </c>
      <c r="R97">
        <f>IF(gescon_infosparticip!Q96=FALSE,0,1)</f>
        <v>0</v>
      </c>
      <c r="S97" t="str">
        <f>gescon_infosparticip!R96</f>
        <v/>
      </c>
      <c r="T97" t="str">
        <f>gescon_infosparticip!V96</f>
        <v/>
      </c>
      <c r="U97" t="str">
        <f>gescon_infosparticip!S96</f>
        <v/>
      </c>
      <c r="V97">
        <f>IF(gescon_infosparticip!U96=FALSE,0,1)</f>
        <v>0</v>
      </c>
      <c r="W97">
        <f>IF(gescon_infosparticip!T96=FALSE,0,1)</f>
        <v>0</v>
      </c>
      <c r="X97" t="str">
        <f>gescon_infosparticip!W96</f>
        <v/>
      </c>
      <c r="Y97">
        <f>IF(gescon_infosparticip!X96=FALSE,0,1)</f>
        <v>0</v>
      </c>
      <c r="Z97">
        <f>IF(gescon_infosparticip!Y96=FALSE,0,1)</f>
        <v>0</v>
      </c>
      <c r="AA97">
        <f>IF(gescon_infosparticip!Z96=FALSE,0,1)</f>
        <v>0</v>
      </c>
      <c r="AB97">
        <f>IF(gescon_infosparticip!AA96=FALSE,0,1)</f>
        <v>0</v>
      </c>
      <c r="AC97" t="str">
        <f>gescon_infosparticip!AB96</f>
        <v/>
      </c>
      <c r="AD97" t="str">
        <f>gescon_infosparticip!AC96</f>
        <v/>
      </c>
      <c r="AE97" t="str">
        <f>gescon_infosparticip!AD96</f>
        <v/>
      </c>
      <c r="AF97" t="str">
        <f>gescon_infosparticip!AE96</f>
        <v/>
      </c>
      <c r="AG97" t="str">
        <f>gescon_infosparticip!AF96</f>
        <v/>
      </c>
      <c r="AH97" t="str">
        <f>gescon_infosparticip!AG96</f>
        <v/>
      </c>
      <c r="AI97" t="str">
        <f>gescon_infosparticip!BN96</f>
        <v/>
      </c>
      <c r="AJ97" t="str">
        <f>gescon_infosparticip!BO96</f>
        <v/>
      </c>
    </row>
    <row r="98" spans="2:36" x14ac:dyDescent="0.25">
      <c r="B98">
        <f>gescon_infosparticip!A97</f>
        <v>2655</v>
      </c>
      <c r="C98">
        <f>gescon_infosparticip!B97</f>
        <v>42426</v>
      </c>
      <c r="D98">
        <f>gescon_infosparticip!C97</f>
        <v>-367246467</v>
      </c>
      <c r="E98">
        <f>gescon_infosparticip!D97</f>
        <v>2027</v>
      </c>
      <c r="F98">
        <f>gescon_infosparticip!E97</f>
        <v>0</v>
      </c>
      <c r="G98">
        <f>gescon_infosparticip!F97</f>
        <v>1424</v>
      </c>
      <c r="H98">
        <f>gescon_infosparticip!G97</f>
        <v>1424</v>
      </c>
      <c r="I98" t="str">
        <f>gescon_infosparticip!H97</f>
        <v/>
      </c>
      <c r="J98">
        <f>IF(gescon_infosparticip!I97=FALSE,0,1)</f>
        <v>0</v>
      </c>
      <c r="K98">
        <f>IF(gescon_infosparticip!J97=FALSE,0,1)</f>
        <v>0</v>
      </c>
      <c r="L98">
        <f>IF(gescon_infosparticip!K97=FALSE,0,1)</f>
        <v>0</v>
      </c>
      <c r="M98">
        <f>IF(gescon_infosparticip!L97=FALSE,0,1)</f>
        <v>1</v>
      </c>
      <c r="N98">
        <f>IF(gescon_infosparticip!M97=FALSE,0,1)</f>
        <v>0</v>
      </c>
      <c r="O98">
        <f>IF(gescon_infosparticip!N97=FALSE,0,1)</f>
        <v>1</v>
      </c>
      <c r="P98">
        <f>IF(gescon_infosparticip!O97=FALSE,0,1)</f>
        <v>0</v>
      </c>
      <c r="Q98">
        <f>IF(gescon_infosparticip!P97=FALSE,0,1)</f>
        <v>1</v>
      </c>
      <c r="R98">
        <f>IF(gescon_infosparticip!Q97=FALSE,0,1)</f>
        <v>0</v>
      </c>
      <c r="S98" t="str">
        <f>gescon_infosparticip!R97</f>
        <v>Marche avec de l'aide et des chausettes anti-glisse</v>
      </c>
      <c r="T98" t="str">
        <f>gescon_infosparticip!V97</f>
        <v/>
      </c>
      <c r="U98" t="str">
        <f>gescon_infosparticip!S97</f>
        <v>La ceinture ou une bouée, le surveiller et le tenir.</v>
      </c>
      <c r="V98">
        <f>IF(gescon_infosparticip!U97=FALSE,0,1)</f>
        <v>1</v>
      </c>
      <c r="W98">
        <f>IF(gescon_infosparticip!T97=FALSE,0,1)</f>
        <v>0</v>
      </c>
      <c r="X98" t="str">
        <f>gescon_infosparticip!W97</f>
        <v>La nuit, il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Samuel dort sur le ventre.</v>
      </c>
      <c r="Y98">
        <f>IF(gescon_infosparticip!X97=FALSE,0,1)</f>
        <v>0</v>
      </c>
      <c r="Z98">
        <f>IF(gescon_infosparticip!Y97=FALSE,0,1)</f>
        <v>0</v>
      </c>
      <c r="AA98">
        <f>IF(gescon_infosparticip!Z97=FALSE,0,1)</f>
        <v>0</v>
      </c>
      <c r="AB98">
        <f>IF(gescon_infosparticip!AA97=FALSE,0,1)</f>
        <v>1</v>
      </c>
      <c r="AC98" t="str">
        <f>gescon_infosparticip!AB97</f>
        <v>Il ne communique pas de manière verbale. Il s'exprime par des cris, rire, grognements. Il pleure quand il est mal ou malade.</v>
      </c>
      <c r="AD98" t="str">
        <f>gescon_infosparticip!AC97</f>
        <v>Il a quatre frères et sœur : Stéphane (1974), Christiane (1977), Patricia (1981) Frédéric (1986).</v>
      </c>
      <c r="AE98" t="str">
        <f>gescon_infosparticip!AD97</f>
        <v/>
      </c>
      <c r="AF98" t="str">
        <f>gescon_infosparticip!AE97</f>
        <v/>
      </c>
      <c r="AG98" t="str">
        <f>gescon_infosparticip!AF97</f>
        <v>Il aime bien serrer les autres. Il aime tout ce qui est en plastique, la musique et principalement la musique de fanfare, les promenades et la piscine.</v>
      </c>
      <c r="AH98" t="str">
        <f>gescon_infosparticip!AG97</f>
        <v>Il n'aime pas être peigner, laver les dents, se laver le visage ainsi que l'eau froide. ATTENTION :  Ne pas le laisser jouer avec des sacs en plastique car il attrape des boutons au visage et de l'herpès. Il peut en plus les avaler. Ne rien le laisser mettre en bouche pour cause d'inflammation.</v>
      </c>
      <c r="AI98" t="str">
        <f>gescon_infosparticip!BN97</f>
        <v/>
      </c>
      <c r="AJ98" t="str">
        <f>gescon_infosparticip!BO97</f>
        <v/>
      </c>
    </row>
    <row r="99" spans="2:36" x14ac:dyDescent="0.25">
      <c r="B99">
        <f>gescon_infosparticip!A98</f>
        <v>2657</v>
      </c>
      <c r="C99">
        <f>gescon_infosparticip!B98</f>
        <v>37833.489710648202</v>
      </c>
      <c r="D99">
        <f>gescon_infosparticip!C98</f>
        <v>700</v>
      </c>
      <c r="E99">
        <f>gescon_infosparticip!D98</f>
        <v>0</v>
      </c>
      <c r="F99">
        <f>gescon_infosparticip!E98</f>
        <v>0</v>
      </c>
      <c r="G99">
        <f>gescon_infosparticip!F98</f>
        <v>-199496155</v>
      </c>
      <c r="H99">
        <f>gescon_infosparticip!G98</f>
        <v>-199496155</v>
      </c>
      <c r="I99" t="str">
        <f>gescon_infosparticip!H98</f>
        <v/>
      </c>
      <c r="J99">
        <f>IF(gescon_infosparticip!I98=FALSE,0,1)</f>
        <v>0</v>
      </c>
      <c r="K99">
        <f>IF(gescon_infosparticip!J98=FALSE,0,1)</f>
        <v>0</v>
      </c>
      <c r="L99">
        <f>IF(gescon_infosparticip!K98=FALSE,0,1)</f>
        <v>0</v>
      </c>
      <c r="M99">
        <f>IF(gescon_infosparticip!L98=FALSE,0,1)</f>
        <v>0</v>
      </c>
      <c r="N99">
        <f>IF(gescon_infosparticip!M98=FALSE,0,1)</f>
        <v>0</v>
      </c>
      <c r="O99">
        <f>IF(gescon_infosparticip!N98=FALSE,0,1)</f>
        <v>0</v>
      </c>
      <c r="P99">
        <f>IF(gescon_infosparticip!O98=FALSE,0,1)</f>
        <v>0</v>
      </c>
      <c r="Q99">
        <f>IF(gescon_infosparticip!P98=FALSE,0,1)</f>
        <v>0</v>
      </c>
      <c r="R99">
        <f>IF(gescon_infosparticip!Q98=FALSE,0,1)</f>
        <v>0</v>
      </c>
      <c r="S99" t="str">
        <f>gescon_infosparticip!R98</f>
        <v/>
      </c>
      <c r="T99" t="str">
        <f>gescon_infosparticip!V98</f>
        <v/>
      </c>
      <c r="U99" t="str">
        <f>gescon_infosparticip!S98</f>
        <v>présence d’une personne obligatoire pour le tenir, de préférence un gilet.</v>
      </c>
      <c r="V99">
        <f>IF(gescon_infosparticip!U98=FALSE,0,1)</f>
        <v>1</v>
      </c>
      <c r="W99">
        <f>IF(gescon_infosparticip!T98=FALSE,0,1)</f>
        <v>1</v>
      </c>
      <c r="X99" t="str">
        <f>gescon_infosparticip!W98</f>
        <v/>
      </c>
      <c r="Y99">
        <f>IF(gescon_infosparticip!X98=FALSE,0,1)</f>
        <v>0</v>
      </c>
      <c r="Z99">
        <f>IF(gescon_infosparticip!Y98=FALSE,0,1)</f>
        <v>0</v>
      </c>
      <c r="AA99">
        <f>IF(gescon_infosparticip!Z98=FALSE,0,1)</f>
        <v>0</v>
      </c>
      <c r="AB99">
        <f>IF(gescon_infosparticip!AA98=FALSE,0,1)</f>
        <v>0</v>
      </c>
      <c r="AC99" t="str">
        <f>gescon_infosparticip!AB98</f>
        <v>Jean-Claude parle et comprend le français et l’allemand. Il faut lui parler lentement. Il a besoin de temps pour répondre. Il apprécie les questions aux réponses : oui ou non.</v>
      </c>
      <c r="AD99" t="str">
        <f>gescon_infosparticip!AC98</f>
        <v>Son papa habite la Souste et sa maman est décédée en 2002. Jean-Claude en parle régulièrement. Il a deux frères : Réné également à la Castalie B2 et Hubert qui est marié avec 2 enfants Malik et Cyril. Il est fier d’être tonton.
Jean-Claude apprécie écout</v>
      </c>
      <c r="AE99" t="str">
        <f>gescon_infosparticip!AD98</f>
        <v>Il a deux frères : Réné également à la Castalie B2 et Hubert qui est marié avec 2 enfants Malik et Cyril. Il est fier d’être tonton.</v>
      </c>
      <c r="AF99" t="str">
        <f>gescon_infosparticip!AE98</f>
        <v/>
      </c>
      <c r="AG99" t="str">
        <f>gescon_infosparticip!AF98</f>
        <v>Jean-Claude apprécie écouter de la musique folklorique et la radio, jouer au jeu du moulin et être en contact avec les autres. Il travail à l’atelier bois chez Victor.</v>
      </c>
      <c r="AH99" t="str">
        <f>gescon_infosparticip!AG98</f>
        <v/>
      </c>
      <c r="AI99" t="str">
        <f>gescon_infosparticip!BN98</f>
        <v/>
      </c>
      <c r="AJ99" t="str">
        <f>gescon_infosparticip!BO98</f>
        <v/>
      </c>
    </row>
    <row r="100" spans="2:36" x14ac:dyDescent="0.25">
      <c r="B100">
        <f>gescon_infosparticip!A99</f>
        <v>2659</v>
      </c>
      <c r="C100">
        <f>gescon_infosparticip!B99</f>
        <v>37847.488437499997</v>
      </c>
      <c r="D100">
        <f>gescon_infosparticip!C99</f>
        <v>1018357734</v>
      </c>
      <c r="E100">
        <f>gescon_infosparticip!D99</f>
        <v>2210</v>
      </c>
      <c r="F100">
        <f>gescon_infosparticip!E99</f>
        <v>0</v>
      </c>
      <c r="G100">
        <f>gescon_infosparticip!F99</f>
        <v>0</v>
      </c>
      <c r="H100">
        <f>gescon_infosparticip!G99</f>
        <v>0</v>
      </c>
      <c r="I100" t="str">
        <f>gescon_infosparticip!H99</f>
        <v/>
      </c>
      <c r="J100">
        <f>IF(gescon_infosparticip!I99=FALSE,0,1)</f>
        <v>0</v>
      </c>
      <c r="K100">
        <f>IF(gescon_infosparticip!J99=FALSE,0,1)</f>
        <v>0</v>
      </c>
      <c r="L100">
        <f>IF(gescon_infosparticip!K99=FALSE,0,1)</f>
        <v>0</v>
      </c>
      <c r="M100">
        <f>IF(gescon_infosparticip!L99=FALSE,0,1)</f>
        <v>0</v>
      </c>
      <c r="N100">
        <f>IF(gescon_infosparticip!M99=FALSE,0,1)</f>
        <v>0</v>
      </c>
      <c r="O100">
        <f>IF(gescon_infosparticip!N99=FALSE,0,1)</f>
        <v>0</v>
      </c>
      <c r="P100">
        <f>IF(gescon_infosparticip!O99=FALSE,0,1)</f>
        <v>0</v>
      </c>
      <c r="Q100">
        <f>IF(gescon_infosparticip!P99=FALSE,0,1)</f>
        <v>0</v>
      </c>
      <c r="R100">
        <f>IF(gescon_infosparticip!Q99=FALSE,0,1)</f>
        <v>0</v>
      </c>
      <c r="S100" t="str">
        <f>gescon_infosparticip!R99</f>
        <v/>
      </c>
      <c r="T100" t="str">
        <f>gescon_infosparticip!V99</f>
        <v/>
      </c>
      <c r="U100" t="str">
        <f>gescon_infosparticip!S99</f>
        <v>Alexandre sait nager.</v>
      </c>
      <c r="V100">
        <f>IF(gescon_infosparticip!U99=FALSE,0,1)</f>
        <v>0</v>
      </c>
      <c r="W100">
        <f>IF(gescon_infosparticip!T99=FALSE,0,1)</f>
        <v>0</v>
      </c>
      <c r="X100" t="str">
        <f>gescon_infosparticip!W99</f>
        <v/>
      </c>
      <c r="Y100">
        <f>IF(gescon_infosparticip!X99=FALSE,0,1)</f>
        <v>0</v>
      </c>
      <c r="Z100">
        <f>IF(gescon_infosparticip!Y99=FALSE,0,1)</f>
        <v>0</v>
      </c>
      <c r="AA100">
        <f>IF(gescon_infosparticip!Z99=FALSE,0,1)</f>
        <v>0</v>
      </c>
      <c r="AB100">
        <f>IF(gescon_infosparticip!AA99=FALSE,0,1)</f>
        <v>0</v>
      </c>
      <c r="AC100" t="str">
        <f>gescon_infosparticip!AB99</f>
        <v>Langage oral</v>
      </c>
      <c r="AD100" t="str">
        <f>gescon_infosparticip!AC99</f>
        <v>Alexandre aime la natation, le vélo. Il regarde volontiers à la télé des films. Il aime les jeux électroniques et les jeux de socété. Il a un caractère bien trempé, boude volontiers.</v>
      </c>
      <c r="AE100" t="str">
        <f>gescon_infosparticip!AD99</f>
        <v/>
      </c>
      <c r="AF100" t="str">
        <f>gescon_infosparticip!AE99</f>
        <v/>
      </c>
      <c r="AG100" t="str">
        <f>gescon_infosparticip!AF99</f>
        <v/>
      </c>
      <c r="AH100" t="str">
        <f>gescon_infosparticip!AG99</f>
        <v/>
      </c>
      <c r="AI100" t="str">
        <f>gescon_infosparticip!BN99</f>
        <v/>
      </c>
      <c r="AJ100" t="str">
        <f>gescon_infosparticip!BO99</f>
        <v/>
      </c>
    </row>
    <row r="101" spans="2:36" x14ac:dyDescent="0.25">
      <c r="B101">
        <f>gescon_infosparticip!A100</f>
        <v>2734</v>
      </c>
      <c r="C101">
        <f>gescon_infosparticip!B100</f>
        <v>37847.633518518502</v>
      </c>
      <c r="D101">
        <f>gescon_infosparticip!C100</f>
        <v>2210</v>
      </c>
      <c r="E101">
        <f>gescon_infosparticip!D100</f>
        <v>1429</v>
      </c>
      <c r="F101">
        <f>gescon_infosparticip!E100</f>
        <v>0</v>
      </c>
      <c r="G101">
        <f>gescon_infosparticip!F100</f>
        <v>0</v>
      </c>
      <c r="H101">
        <f>gescon_infosparticip!G100</f>
        <v>0</v>
      </c>
      <c r="I101" t="str">
        <f>gescon_infosparticip!H100</f>
        <v/>
      </c>
      <c r="J101">
        <f>IF(gescon_infosparticip!I100=FALSE,0,1)</f>
        <v>0</v>
      </c>
      <c r="K101">
        <f>IF(gescon_infosparticip!J100=FALSE,0,1)</f>
        <v>0</v>
      </c>
      <c r="L101">
        <f>IF(gescon_infosparticip!K100=FALSE,0,1)</f>
        <v>0</v>
      </c>
      <c r="M101">
        <f>IF(gescon_infosparticip!L100=FALSE,0,1)</f>
        <v>0</v>
      </c>
      <c r="N101">
        <f>IF(gescon_infosparticip!M100=FALSE,0,1)</f>
        <v>0</v>
      </c>
      <c r="O101">
        <f>IF(gescon_infosparticip!N100=FALSE,0,1)</f>
        <v>0</v>
      </c>
      <c r="P101">
        <f>IF(gescon_infosparticip!O100=FALSE,0,1)</f>
        <v>0</v>
      </c>
      <c r="Q101">
        <f>IF(gescon_infosparticip!P100=FALSE,0,1)</f>
        <v>0</v>
      </c>
      <c r="R101">
        <f>IF(gescon_infosparticip!Q100=FALSE,0,1)</f>
        <v>0</v>
      </c>
      <c r="S101" t="str">
        <f>gescon_infosparticip!R100</f>
        <v/>
      </c>
      <c r="T101" t="str">
        <f>gescon_infosparticip!V100</f>
        <v/>
      </c>
      <c r="U101" t="str">
        <f>gescon_infosparticip!S100</f>
        <v>Kim sait nager.</v>
      </c>
      <c r="V101">
        <f>IF(gescon_infosparticip!U100=FALSE,0,1)</f>
        <v>1</v>
      </c>
      <c r="W101">
        <f>IF(gescon_infosparticip!T100=FALSE,0,1)</f>
        <v>0</v>
      </c>
      <c r="X101" t="str">
        <f>gescon_infosparticip!W100</f>
        <v/>
      </c>
      <c r="Y101">
        <f>IF(gescon_infosparticip!X100=FALSE,0,1)</f>
        <v>0</v>
      </c>
      <c r="Z101">
        <f>IF(gescon_infosparticip!Y100=FALSE,0,1)</f>
        <v>0</v>
      </c>
      <c r="AA101">
        <f>IF(gescon_infosparticip!Z100=FALSE,0,1)</f>
        <v>0</v>
      </c>
      <c r="AB101">
        <f>IF(gescon_infosparticip!AA100=FALSE,0,1)</f>
        <v>0</v>
      </c>
      <c r="AC101" t="str">
        <f>gescon_infosparticip!AB100</f>
        <v>: Kim s’exprime à l’aide d’un classeur de communication et d’un ordinateur de communication.</v>
      </c>
      <c r="AD101" t="str">
        <f>gescon_infosparticip!AC100</f>
        <v>Kim a un frère aîné qui est né en 1986 et qui fait du basket ainsi qu’un petit frère qui est né en 1991 et qui fait du golf et du badminton. Sa famille maternelle habite en Belgique.</v>
      </c>
      <c r="AE101" t="str">
        <f>gescon_infosparticip!AD100</f>
        <v/>
      </c>
      <c r="AF101" t="str">
        <f>gescon_infosparticip!AE100</f>
        <v/>
      </c>
      <c r="AG101" t="str">
        <f>gescon_infosparticip!AF100</f>
        <v/>
      </c>
      <c r="AH101" t="str">
        <f>gescon_infosparticip!AG100</f>
        <v/>
      </c>
      <c r="AI101" t="str">
        <f>gescon_infosparticip!BN100</f>
        <v/>
      </c>
      <c r="AJ101" t="str">
        <f>gescon_infosparticip!BO100</f>
        <v/>
      </c>
    </row>
    <row r="102" spans="2:36" x14ac:dyDescent="0.25">
      <c r="B102">
        <f>gescon_infosparticip!A101</f>
        <v>2746</v>
      </c>
      <c r="C102">
        <f>gescon_infosparticip!B101</f>
        <v>37832.664259259298</v>
      </c>
      <c r="D102">
        <f>gescon_infosparticip!C101</f>
        <v>1473</v>
      </c>
      <c r="E102">
        <f>gescon_infosparticip!D101</f>
        <v>0</v>
      </c>
      <c r="F102">
        <f>gescon_infosparticip!E101</f>
        <v>0</v>
      </c>
      <c r="G102">
        <f>gescon_infosparticip!F101</f>
        <v>1052395336</v>
      </c>
      <c r="H102">
        <f>gescon_infosparticip!G101</f>
        <v>1052395336</v>
      </c>
      <c r="I102" t="str">
        <f>gescon_infosparticip!H101</f>
        <v/>
      </c>
      <c r="J102">
        <f>IF(gescon_infosparticip!I101=FALSE,0,1)</f>
        <v>0</v>
      </c>
      <c r="K102">
        <f>IF(gescon_infosparticip!J101=FALSE,0,1)</f>
        <v>0</v>
      </c>
      <c r="L102">
        <f>IF(gescon_infosparticip!K101=FALSE,0,1)</f>
        <v>0</v>
      </c>
      <c r="M102">
        <f>IF(gescon_infosparticip!L101=FALSE,0,1)</f>
        <v>0</v>
      </c>
      <c r="N102">
        <f>IF(gescon_infosparticip!M101=FALSE,0,1)</f>
        <v>0</v>
      </c>
      <c r="O102">
        <f>IF(gescon_infosparticip!N101=FALSE,0,1)</f>
        <v>0</v>
      </c>
      <c r="P102">
        <f>IF(gescon_infosparticip!O101=FALSE,0,1)</f>
        <v>0</v>
      </c>
      <c r="Q102">
        <f>IF(gescon_infosparticip!P101=FALSE,0,1)</f>
        <v>0</v>
      </c>
      <c r="R102">
        <f>IF(gescon_infosparticip!Q101=FALSE,0,1)</f>
        <v>0</v>
      </c>
      <c r="S102" t="str">
        <f>gescon_infosparticip!R101</f>
        <v/>
      </c>
      <c r="T102" t="str">
        <f>gescon_infosparticip!V101</f>
        <v/>
      </c>
      <c r="U102" t="str">
        <f>gescon_infosparticip!S101</f>
        <v>Présence d'une personne obligatoire pour la tenir. Maya apprécie beaucoup la piscine</v>
      </c>
      <c r="V102">
        <f>IF(gescon_infosparticip!U101=FALSE,0,1)</f>
        <v>1</v>
      </c>
      <c r="W102">
        <f>IF(gescon_infosparticip!T101=FALSE,0,1)</f>
        <v>1</v>
      </c>
      <c r="X102" t="str">
        <f>gescon_infosparticip!W101</f>
        <v/>
      </c>
      <c r="Y102">
        <f>IF(gescon_infosparticip!X101=FALSE,0,1)</f>
        <v>0</v>
      </c>
      <c r="Z102">
        <f>IF(gescon_infosparticip!Y101=FALSE,0,1)</f>
        <v>0</v>
      </c>
      <c r="AA102">
        <f>IF(gescon_infosparticip!Z101=FALSE,0,1)</f>
        <v>0</v>
      </c>
      <c r="AB102">
        <f>IF(gescon_infosparticip!AA101=FALSE,0,1)</f>
        <v>0</v>
      </c>
      <c r="AC102" t="str">
        <f>gescon_infosparticip!AB101</f>
        <v>Maya utilise les pictogrammes pour se faire comprendre, elle arrive à montrer avec des signes de tête le « oui et le non » mais pas forcément à bon escient. Elle manifeste pour aller aux toilettes. Elle comprend bien l’allemand et le français.</v>
      </c>
      <c r="AD102" t="str">
        <f>gescon_infosparticip!AC101</f>
        <v>Maya aime la musique folklorique, les promenades, le sport à la télé, faire les magasins car elle est assez curieuse. Elle va à l’atelier chez Dieter et chez Cathy . Elle apprécie beaucoup son éducateur Christophe Girod. Maya manifeste beaucoup de joie qu</v>
      </c>
      <c r="AE102" t="str">
        <f>gescon_infosparticip!AD101</f>
        <v/>
      </c>
      <c r="AF102" t="str">
        <f>gescon_infosparticip!AE101</f>
        <v>Elle apprécie beaucoup son éducateur Christophe Giroud.</v>
      </c>
      <c r="AG102" t="str">
        <f>gescon_infosparticip!AF101</f>
        <v>Maya aime la musique folklorique, les promenades, le sport à la télé, faire les magasins car elle est assez curieuse. Elle va à l’atelier chez Dieter et chez Cathy pour faire du « tricotin ».</v>
      </c>
      <c r="AH102" t="str">
        <f>gescon_infosparticip!AG101</f>
        <v>Le bruit en général, la disco, le carnaval.</v>
      </c>
      <c r="AI102" t="str">
        <f>gescon_infosparticip!BN101</f>
        <v/>
      </c>
      <c r="AJ102" t="str">
        <f>gescon_infosparticip!BO101</f>
        <v/>
      </c>
    </row>
    <row r="103" spans="2:36" x14ac:dyDescent="0.25">
      <c r="B103">
        <f>gescon_infosparticip!A102</f>
        <v>2762</v>
      </c>
      <c r="C103">
        <f>gescon_infosparticip!B102</f>
        <v>37847.5000462963</v>
      </c>
      <c r="D103">
        <f>gescon_infosparticip!C102</f>
        <v>-83359897</v>
      </c>
      <c r="E103">
        <f>gescon_infosparticip!D102</f>
        <v>2210</v>
      </c>
      <c r="F103">
        <f>gescon_infosparticip!E102</f>
        <v>0</v>
      </c>
      <c r="G103">
        <f>gescon_infosparticip!F102</f>
        <v>0</v>
      </c>
      <c r="H103">
        <f>gescon_infosparticip!G102</f>
        <v>0</v>
      </c>
      <c r="I103" t="str">
        <f>gescon_infosparticip!H102</f>
        <v/>
      </c>
      <c r="J103">
        <f>IF(gescon_infosparticip!I102=FALSE,0,1)</f>
        <v>0</v>
      </c>
      <c r="K103">
        <f>IF(gescon_infosparticip!J102=FALSE,0,1)</f>
        <v>0</v>
      </c>
      <c r="L103">
        <f>IF(gescon_infosparticip!K102=FALSE,0,1)</f>
        <v>0</v>
      </c>
      <c r="M103">
        <f>IF(gescon_infosparticip!L102=FALSE,0,1)</f>
        <v>0</v>
      </c>
      <c r="N103">
        <f>IF(gescon_infosparticip!M102=FALSE,0,1)</f>
        <v>0</v>
      </c>
      <c r="O103">
        <f>IF(gescon_infosparticip!N102=FALSE,0,1)</f>
        <v>0</v>
      </c>
      <c r="P103">
        <f>IF(gescon_infosparticip!O102=FALSE,0,1)</f>
        <v>0</v>
      </c>
      <c r="Q103">
        <f>IF(gescon_infosparticip!P102=FALSE,0,1)</f>
        <v>0</v>
      </c>
      <c r="R103">
        <f>IF(gescon_infosparticip!Q102=FALSE,0,1)</f>
        <v>0</v>
      </c>
      <c r="S103" t="str">
        <f>gescon_infosparticip!R102</f>
        <v/>
      </c>
      <c r="T103" t="str">
        <f>gescon_infosparticip!V102</f>
        <v/>
      </c>
      <c r="U103" t="str">
        <f>gescon_infosparticip!S102</f>
        <v>Il faut le prendre dans les bras, il porte des manchons</v>
      </c>
      <c r="V103">
        <f>IF(gescon_infosparticip!U102=FALSE,0,1)</f>
        <v>1</v>
      </c>
      <c r="W103">
        <f>IF(gescon_infosparticip!T102=FALSE,0,1)</f>
        <v>0</v>
      </c>
      <c r="X103" t="str">
        <f>gescon_infosparticip!W102</f>
        <v/>
      </c>
      <c r="Y103">
        <f>IF(gescon_infosparticip!X102=FALSE,0,1)</f>
        <v>0</v>
      </c>
      <c r="Z103">
        <f>IF(gescon_infosparticip!Y102=FALSE,0,1)</f>
        <v>0</v>
      </c>
      <c r="AA103">
        <f>IF(gescon_infosparticip!Z102=FALSE,0,1)</f>
        <v>0</v>
      </c>
      <c r="AB103">
        <f>IF(gescon_infosparticip!AA102=FALSE,0,1)</f>
        <v>0</v>
      </c>
      <c r="AC103" t="str">
        <f>gescon_infosparticip!AB102</f>
        <v>Quand sa jambe gauche se crispe c'est que qqch ne va pas: prendre au sérieux ses manifestations.</v>
      </c>
      <c r="AD103" t="str">
        <f>gescon_infosparticip!AC102</f>
        <v>Yoan aime être dehors, écouter de la musique, jouer avec ses jouets en plastique. Il aime être couché et se tourner.</v>
      </c>
      <c r="AE103" t="str">
        <f>gescon_infosparticip!AD102</f>
        <v/>
      </c>
      <c r="AF103" t="str">
        <f>gescon_infosparticip!AE102</f>
        <v/>
      </c>
      <c r="AG103" t="str">
        <f>gescon_infosparticip!AF102</f>
        <v/>
      </c>
      <c r="AH103" t="str">
        <f>gescon_infosparticip!AG102</f>
        <v/>
      </c>
      <c r="AI103" t="str">
        <f>gescon_infosparticip!BN102</f>
        <v/>
      </c>
      <c r="AJ103" t="str">
        <f>gescon_infosparticip!BO102</f>
        <v/>
      </c>
    </row>
    <row r="104" spans="2:36" x14ac:dyDescent="0.25">
      <c r="B104">
        <f>gescon_infosparticip!A103</f>
        <v>2811</v>
      </c>
      <c r="C104">
        <f>gescon_infosparticip!B103</f>
        <v>37847.400960648098</v>
      </c>
      <c r="D104">
        <f>gescon_infosparticip!C103</f>
        <v>2810</v>
      </c>
      <c r="E104">
        <f>gescon_infosparticip!D103</f>
        <v>0</v>
      </c>
      <c r="F104">
        <f>gescon_infosparticip!E103</f>
        <v>0</v>
      </c>
      <c r="G104">
        <f>gescon_infosparticip!F103</f>
        <v>0</v>
      </c>
      <c r="H104">
        <f>gescon_infosparticip!G103</f>
        <v>0</v>
      </c>
      <c r="I104" t="str">
        <f>gescon_infosparticip!H103</f>
        <v/>
      </c>
      <c r="J104">
        <f>IF(gescon_infosparticip!I103=FALSE,0,1)</f>
        <v>0</v>
      </c>
      <c r="K104">
        <f>IF(gescon_infosparticip!J103=FALSE,0,1)</f>
        <v>0</v>
      </c>
      <c r="L104">
        <f>IF(gescon_infosparticip!K103=FALSE,0,1)</f>
        <v>0</v>
      </c>
      <c r="M104">
        <f>IF(gescon_infosparticip!L103=FALSE,0,1)</f>
        <v>0</v>
      </c>
      <c r="N104">
        <f>IF(gescon_infosparticip!M103=FALSE,0,1)</f>
        <v>0</v>
      </c>
      <c r="O104">
        <f>IF(gescon_infosparticip!N103=FALSE,0,1)</f>
        <v>0</v>
      </c>
      <c r="P104">
        <f>IF(gescon_infosparticip!O103=FALSE,0,1)</f>
        <v>0</v>
      </c>
      <c r="Q104">
        <f>IF(gescon_infosparticip!P103=FALSE,0,1)</f>
        <v>0</v>
      </c>
      <c r="R104">
        <f>IF(gescon_infosparticip!Q103=FALSE,0,1)</f>
        <v>0</v>
      </c>
      <c r="S104" t="str">
        <f>gescon_infosparticip!R103</f>
        <v/>
      </c>
      <c r="T104" t="str">
        <f>gescon_infosparticip!V103</f>
        <v/>
      </c>
      <c r="U104" t="str">
        <f>gescon_infosparticip!S103</f>
        <v>Tiago emploie des manchons et a besoin d’un adulte accompagnateur.</v>
      </c>
      <c r="V104">
        <f>IF(gescon_infosparticip!U103=FALSE,0,1)</f>
        <v>1</v>
      </c>
      <c r="W104">
        <f>IF(gescon_infosparticip!T103=FALSE,0,1)</f>
        <v>0</v>
      </c>
      <c r="X104" t="str">
        <f>gescon_infosparticip!W103</f>
        <v/>
      </c>
      <c r="Y104">
        <f>IF(gescon_infosparticip!X103=FALSE,0,1)</f>
        <v>0</v>
      </c>
      <c r="Z104">
        <f>IF(gescon_infosparticip!Y103=FALSE,0,1)</f>
        <v>0</v>
      </c>
      <c r="AA104">
        <f>IF(gescon_infosparticip!Z103=FALSE,0,1)</f>
        <v>0</v>
      </c>
      <c r="AB104">
        <f>IF(gescon_infosparticip!AA103=FALSE,0,1)</f>
        <v>0</v>
      </c>
      <c r="AC104" t="str">
        <f>gescon_infosparticip!AB103</f>
        <v>Tiago s’exprime peu (traits autistiques).</v>
      </c>
      <c r="AD104" t="str">
        <f>gescon_infosparticip!AC103</f>
        <v>Tiago a une sœur qui s’appelle Daniella et qui est au cycle d’orientation.</v>
      </c>
      <c r="AE104" t="str">
        <f>gescon_infosparticip!AD103</f>
        <v/>
      </c>
      <c r="AF104" t="str">
        <f>gescon_infosparticip!AE103</f>
        <v/>
      </c>
      <c r="AG104" t="str">
        <f>gescon_infosparticip!AF103</f>
        <v/>
      </c>
      <c r="AH104" t="str">
        <f>gescon_infosparticip!AG103</f>
        <v>Les activités physiques trop longues.</v>
      </c>
      <c r="AI104" t="str">
        <f>gescon_infosparticip!BN103</f>
        <v/>
      </c>
      <c r="AJ104" t="str">
        <f>gescon_infosparticip!BO103</f>
        <v/>
      </c>
    </row>
    <row r="105" spans="2:36" x14ac:dyDescent="0.25">
      <c r="B105">
        <f>gescon_infosparticip!A104</f>
        <v>2846</v>
      </c>
      <c r="C105">
        <f>gescon_infosparticip!B104</f>
        <v>37847.616134259297</v>
      </c>
      <c r="D105">
        <f>gescon_infosparticip!C104</f>
        <v>0</v>
      </c>
      <c r="E105">
        <f>gescon_infosparticip!D104</f>
        <v>0</v>
      </c>
      <c r="F105">
        <f>gescon_infosparticip!E104</f>
        <v>0</v>
      </c>
      <c r="G105">
        <f>gescon_infosparticip!F104</f>
        <v>0</v>
      </c>
      <c r="H105">
        <f>gescon_infosparticip!G104</f>
        <v>0</v>
      </c>
      <c r="I105" t="str">
        <f>gescon_infosparticip!H104</f>
        <v/>
      </c>
      <c r="J105">
        <f>IF(gescon_infosparticip!I104=FALSE,0,1)</f>
        <v>0</v>
      </c>
      <c r="K105">
        <f>IF(gescon_infosparticip!J104=FALSE,0,1)</f>
        <v>0</v>
      </c>
      <c r="L105">
        <f>IF(gescon_infosparticip!K104=FALSE,0,1)</f>
        <v>0</v>
      </c>
      <c r="M105">
        <f>IF(gescon_infosparticip!L104=FALSE,0,1)</f>
        <v>0</v>
      </c>
      <c r="N105">
        <f>IF(gescon_infosparticip!M104=FALSE,0,1)</f>
        <v>0</v>
      </c>
      <c r="O105">
        <f>IF(gescon_infosparticip!N104=FALSE,0,1)</f>
        <v>0</v>
      </c>
      <c r="P105">
        <f>IF(gescon_infosparticip!O104=FALSE,0,1)</f>
        <v>0</v>
      </c>
      <c r="Q105">
        <f>IF(gescon_infosparticip!P104=FALSE,0,1)</f>
        <v>0</v>
      </c>
      <c r="R105">
        <f>IF(gescon_infosparticip!Q104=FALSE,0,1)</f>
        <v>0</v>
      </c>
      <c r="S105" t="str">
        <f>gescon_infosparticip!R104</f>
        <v/>
      </c>
      <c r="T105" t="str">
        <f>gescon_infosparticip!V104</f>
        <v/>
      </c>
      <c r="U105" t="str">
        <f>gescon_infosparticip!S104</f>
        <v>Il aime l'eau et la piscine. Il sait nager.</v>
      </c>
      <c r="V105">
        <f>IF(gescon_infosparticip!U104=FALSE,0,1)</f>
        <v>0</v>
      </c>
      <c r="W105">
        <f>IF(gescon_infosparticip!T104=FALSE,0,1)</f>
        <v>0</v>
      </c>
      <c r="X105" t="str">
        <f>gescon_infosparticip!W104</f>
        <v/>
      </c>
      <c r="Y105">
        <f>IF(gescon_infosparticip!X104=FALSE,0,1)</f>
        <v>0</v>
      </c>
      <c r="Z105">
        <f>IF(gescon_infosparticip!Y104=FALSE,0,1)</f>
        <v>0</v>
      </c>
      <c r="AA105">
        <f>IF(gescon_infosparticip!Z104=FALSE,0,1)</f>
        <v>0</v>
      </c>
      <c r="AB105">
        <f>IF(gescon_infosparticip!AA104=FALSE,0,1)</f>
        <v>0</v>
      </c>
      <c r="AC105" t="str">
        <f>gescon_infosparticip!AB104</f>
        <v>Oral</v>
      </c>
      <c r="AD105" t="str">
        <f>gescon_infosparticip!AC104</f>
        <v>Il aime beaucoup la musique, l'eau et regarder la télévision. Julien n'est pas toujours très motivé, il manque d'initiative. Il faut un peu le stimuler pour faire les choses.</v>
      </c>
      <c r="AE105" t="str">
        <f>gescon_infosparticip!AD104</f>
        <v/>
      </c>
      <c r="AF105" t="str">
        <f>gescon_infosparticip!AE104</f>
        <v/>
      </c>
      <c r="AG105" t="str">
        <f>gescon_infosparticip!AF104</f>
        <v/>
      </c>
      <c r="AH105" t="str">
        <f>gescon_infosparticip!AG104</f>
        <v/>
      </c>
      <c r="AI105" t="str">
        <f>gescon_infosparticip!BN104</f>
        <v/>
      </c>
      <c r="AJ105" t="str">
        <f>gescon_infosparticip!BO104</f>
        <v/>
      </c>
    </row>
    <row r="106" spans="2:36" x14ac:dyDescent="0.25">
      <c r="B106">
        <f>gescon_infosparticip!A105</f>
        <v>50038399</v>
      </c>
      <c r="C106">
        <f>gescon_infosparticip!B105</f>
        <v>37859.566724536999</v>
      </c>
      <c r="D106">
        <f>gescon_infosparticip!C105</f>
        <v>0</v>
      </c>
      <c r="E106">
        <f>gescon_infosparticip!D105</f>
        <v>2210</v>
      </c>
      <c r="F106">
        <f>gescon_infosparticip!E105</f>
        <v>0</v>
      </c>
      <c r="G106">
        <f>gescon_infosparticip!F105</f>
        <v>0</v>
      </c>
      <c r="H106">
        <f>gescon_infosparticip!G105</f>
        <v>0</v>
      </c>
      <c r="I106" t="str">
        <f>gescon_infosparticip!H105</f>
        <v/>
      </c>
      <c r="J106">
        <f>IF(gescon_infosparticip!I105=FALSE,0,1)</f>
        <v>0</v>
      </c>
      <c r="K106">
        <f>IF(gescon_infosparticip!J105=FALSE,0,1)</f>
        <v>0</v>
      </c>
      <c r="L106">
        <f>IF(gescon_infosparticip!K105=FALSE,0,1)</f>
        <v>0</v>
      </c>
      <c r="M106">
        <f>IF(gescon_infosparticip!L105=FALSE,0,1)</f>
        <v>0</v>
      </c>
      <c r="N106">
        <f>IF(gescon_infosparticip!M105=FALSE,0,1)</f>
        <v>0</v>
      </c>
      <c r="O106">
        <f>IF(gescon_infosparticip!N105=FALSE,0,1)</f>
        <v>0</v>
      </c>
      <c r="P106">
        <f>IF(gescon_infosparticip!O105=FALSE,0,1)</f>
        <v>0</v>
      </c>
      <c r="Q106">
        <f>IF(gescon_infosparticip!P105=FALSE,0,1)</f>
        <v>0</v>
      </c>
      <c r="R106">
        <f>IF(gescon_infosparticip!Q105=FALSE,0,1)</f>
        <v>0</v>
      </c>
      <c r="S106" t="str">
        <f>gescon_infosparticip!R105</f>
        <v/>
      </c>
      <c r="T106" t="str">
        <f>gescon_infosparticip!V105</f>
        <v/>
      </c>
      <c r="U106" t="str">
        <f>gescon_infosparticip!S105</f>
        <v/>
      </c>
      <c r="V106">
        <f>IF(gescon_infosparticip!U105=FALSE,0,1)</f>
        <v>0</v>
      </c>
      <c r="W106">
        <f>IF(gescon_infosparticip!T105=FALSE,0,1)</f>
        <v>0</v>
      </c>
      <c r="X106" t="str">
        <f>gescon_infosparticip!W105</f>
        <v/>
      </c>
      <c r="Y106">
        <f>IF(gescon_infosparticip!X105=FALSE,0,1)</f>
        <v>0</v>
      </c>
      <c r="Z106">
        <f>IF(gescon_infosparticip!Y105=FALSE,0,1)</f>
        <v>0</v>
      </c>
      <c r="AA106">
        <f>IF(gescon_infosparticip!Z105=FALSE,0,1)</f>
        <v>0</v>
      </c>
      <c r="AB106">
        <f>IF(gescon_infosparticip!AA105=FALSE,0,1)</f>
        <v>0</v>
      </c>
      <c r="AC106" t="str">
        <f>gescon_infosparticip!AB105</f>
        <v>oral</v>
      </c>
      <c r="AD106" t="str">
        <f>gescon_infosparticip!AC105</f>
        <v>Pour tout, elle a beaucoup besoin d'être rassurée.</v>
      </c>
      <c r="AE106" t="str">
        <f>gescon_infosparticip!AD105</f>
        <v/>
      </c>
      <c r="AF106" t="str">
        <f>gescon_infosparticip!AE105</f>
        <v/>
      </c>
      <c r="AG106" t="str">
        <f>gescon_infosparticip!AF105</f>
        <v/>
      </c>
      <c r="AH106" t="str">
        <f>gescon_infosparticip!AG105</f>
        <v/>
      </c>
      <c r="AI106" t="str">
        <f>gescon_infosparticip!BN105</f>
        <v/>
      </c>
      <c r="AJ106" t="str">
        <f>gescon_infosparticip!BO105</f>
        <v/>
      </c>
    </row>
    <row r="107" spans="2:36" x14ac:dyDescent="0.25">
      <c r="B107">
        <f>gescon_infosparticip!A106</f>
        <v>55168688</v>
      </c>
      <c r="C107">
        <f>gescon_infosparticip!B106</f>
        <v>41089.452743055597</v>
      </c>
      <c r="D107">
        <f>gescon_infosparticip!C106</f>
        <v>0</v>
      </c>
      <c r="E107">
        <f>gescon_infosparticip!D106</f>
        <v>0</v>
      </c>
      <c r="F107">
        <f>gescon_infosparticip!E106</f>
        <v>0</v>
      </c>
      <c r="G107">
        <f>gescon_infosparticip!F106</f>
        <v>0</v>
      </c>
      <c r="H107">
        <f>gescon_infosparticip!G106</f>
        <v>0</v>
      </c>
      <c r="I107" t="str">
        <f>gescon_infosparticip!H106</f>
        <v/>
      </c>
      <c r="J107">
        <f>IF(gescon_infosparticip!I106=FALSE,0,1)</f>
        <v>0</v>
      </c>
      <c r="K107">
        <f>IF(gescon_infosparticip!J106=FALSE,0,1)</f>
        <v>0</v>
      </c>
      <c r="L107">
        <f>IF(gescon_infosparticip!K106=FALSE,0,1)</f>
        <v>0</v>
      </c>
      <c r="M107">
        <f>IF(gescon_infosparticip!L106=FALSE,0,1)</f>
        <v>0</v>
      </c>
      <c r="N107">
        <f>IF(gescon_infosparticip!M106=FALSE,0,1)</f>
        <v>0</v>
      </c>
      <c r="O107">
        <f>IF(gescon_infosparticip!N106=FALSE,0,1)</f>
        <v>0</v>
      </c>
      <c r="P107">
        <f>IF(gescon_infosparticip!O106=FALSE,0,1)</f>
        <v>0</v>
      </c>
      <c r="Q107">
        <f>IF(gescon_infosparticip!P106=FALSE,0,1)</f>
        <v>0</v>
      </c>
      <c r="R107">
        <f>IF(gescon_infosparticip!Q106=FALSE,0,1)</f>
        <v>0</v>
      </c>
      <c r="S107" t="str">
        <f>gescon_infosparticip!R106</f>
        <v/>
      </c>
      <c r="T107" t="str">
        <f>gescon_infosparticip!V106</f>
        <v/>
      </c>
      <c r="U107" t="str">
        <f>gescon_infosparticip!S106</f>
        <v/>
      </c>
      <c r="V107">
        <f>IF(gescon_infosparticip!U106=FALSE,0,1)</f>
        <v>0</v>
      </c>
      <c r="W107">
        <f>IF(gescon_infosparticip!T106=FALSE,0,1)</f>
        <v>0</v>
      </c>
      <c r="X107" t="str">
        <f>gescon_infosparticip!W106</f>
        <v/>
      </c>
      <c r="Y107">
        <f>IF(gescon_infosparticip!X106=FALSE,0,1)</f>
        <v>0</v>
      </c>
      <c r="Z107">
        <f>IF(gescon_infosparticip!Y106=FALSE,0,1)</f>
        <v>0</v>
      </c>
      <c r="AA107">
        <f>IF(gescon_infosparticip!Z106=FALSE,0,1)</f>
        <v>0</v>
      </c>
      <c r="AB107">
        <f>IF(gescon_infosparticip!AA106=FALSE,0,1)</f>
        <v>0</v>
      </c>
      <c r="AC107" t="str">
        <f>gescon_infosparticip!AB106</f>
        <v/>
      </c>
      <c r="AD107" t="str">
        <f>gescon_infosparticip!AC106</f>
        <v/>
      </c>
      <c r="AE107" t="str">
        <f>gescon_infosparticip!AD106</f>
        <v/>
      </c>
      <c r="AF107" t="str">
        <f>gescon_infosparticip!AE106</f>
        <v/>
      </c>
      <c r="AG107" t="str">
        <f>gescon_infosparticip!AF106</f>
        <v/>
      </c>
      <c r="AH107" t="str">
        <f>gescon_infosparticip!AG106</f>
        <v/>
      </c>
      <c r="AI107" t="str">
        <f>gescon_infosparticip!BN106</f>
        <v/>
      </c>
      <c r="AJ107" t="str">
        <f>gescon_infosparticip!BO106</f>
        <v/>
      </c>
    </row>
    <row r="108" spans="2:36" x14ac:dyDescent="0.25">
      <c r="B108">
        <f>gescon_infosparticip!A107</f>
        <v>187714814</v>
      </c>
      <c r="C108">
        <f>gescon_infosparticip!B107</f>
        <v>37860.687847222202</v>
      </c>
      <c r="D108">
        <f>gescon_infosparticip!C107</f>
        <v>0</v>
      </c>
      <c r="E108">
        <f>gescon_infosparticip!D107</f>
        <v>0</v>
      </c>
      <c r="F108">
        <f>gescon_infosparticip!E107</f>
        <v>0</v>
      </c>
      <c r="G108">
        <f>gescon_infosparticip!F107</f>
        <v>0</v>
      </c>
      <c r="H108">
        <f>gescon_infosparticip!G107</f>
        <v>0</v>
      </c>
      <c r="I108" t="str">
        <f>gescon_infosparticip!H107</f>
        <v/>
      </c>
      <c r="J108">
        <f>IF(gescon_infosparticip!I107=FALSE,0,1)</f>
        <v>0</v>
      </c>
      <c r="K108">
        <f>IF(gescon_infosparticip!J107=FALSE,0,1)</f>
        <v>0</v>
      </c>
      <c r="L108">
        <f>IF(gescon_infosparticip!K107=FALSE,0,1)</f>
        <v>0</v>
      </c>
      <c r="M108">
        <f>IF(gescon_infosparticip!L107=FALSE,0,1)</f>
        <v>0</v>
      </c>
      <c r="N108">
        <f>IF(gescon_infosparticip!M107=FALSE,0,1)</f>
        <v>0</v>
      </c>
      <c r="O108">
        <f>IF(gescon_infosparticip!N107=FALSE,0,1)</f>
        <v>0</v>
      </c>
      <c r="P108">
        <f>IF(gescon_infosparticip!O107=FALSE,0,1)</f>
        <v>0</v>
      </c>
      <c r="Q108">
        <f>IF(gescon_infosparticip!P107=FALSE,0,1)</f>
        <v>0</v>
      </c>
      <c r="R108">
        <f>IF(gescon_infosparticip!Q107=FALSE,0,1)</f>
        <v>0</v>
      </c>
      <c r="S108" t="str">
        <f>gescon_infosparticip!R107</f>
        <v/>
      </c>
      <c r="T108" t="str">
        <f>gescon_infosparticip!V107</f>
        <v/>
      </c>
      <c r="U108" t="str">
        <f>gescon_infosparticip!S107</f>
        <v/>
      </c>
      <c r="V108">
        <f>IF(gescon_infosparticip!U107=FALSE,0,1)</f>
        <v>0</v>
      </c>
      <c r="W108">
        <f>IF(gescon_infosparticip!T107=FALSE,0,1)</f>
        <v>0</v>
      </c>
      <c r="X108" t="str">
        <f>gescon_infosparticip!W107</f>
        <v/>
      </c>
      <c r="Y108">
        <f>IF(gescon_infosparticip!X107=FALSE,0,1)</f>
        <v>0</v>
      </c>
      <c r="Z108">
        <f>IF(gescon_infosparticip!Y107=FALSE,0,1)</f>
        <v>0</v>
      </c>
      <c r="AA108">
        <f>IF(gescon_infosparticip!Z107=FALSE,0,1)</f>
        <v>0</v>
      </c>
      <c r="AB108">
        <f>IF(gescon_infosparticip!AA107=FALSE,0,1)</f>
        <v>0</v>
      </c>
      <c r="AC108" t="str">
        <f>gescon_infosparticip!AB107</f>
        <v/>
      </c>
      <c r="AD108" t="str">
        <f>gescon_infosparticip!AC107</f>
        <v/>
      </c>
      <c r="AE108" t="str">
        <f>gescon_infosparticip!AD107</f>
        <v/>
      </c>
      <c r="AF108" t="str">
        <f>gescon_infosparticip!AE107</f>
        <v/>
      </c>
      <c r="AG108" t="str">
        <f>gescon_infosparticip!AF107</f>
        <v/>
      </c>
      <c r="AH108" t="str">
        <f>gescon_infosparticip!AG107</f>
        <v/>
      </c>
      <c r="AI108" t="str">
        <f>gescon_infosparticip!BN107</f>
        <v/>
      </c>
      <c r="AJ108" t="str">
        <f>gescon_infosparticip!BO107</f>
        <v/>
      </c>
    </row>
    <row r="109" spans="2:36" x14ac:dyDescent="0.25">
      <c r="B109">
        <f>gescon_infosparticip!A108</f>
        <v>207468492</v>
      </c>
      <c r="C109">
        <f>gescon_infosparticip!B108</f>
        <v>42949</v>
      </c>
      <c r="D109">
        <f>gescon_infosparticip!C108</f>
        <v>1178011863</v>
      </c>
      <c r="E109">
        <f>gescon_infosparticip!D108</f>
        <v>0</v>
      </c>
      <c r="F109">
        <f>gescon_infosparticip!E108</f>
        <v>0</v>
      </c>
      <c r="G109">
        <f>gescon_infosparticip!F108</f>
        <v>1434</v>
      </c>
      <c r="H109">
        <f>gescon_infosparticip!G108</f>
        <v>1434</v>
      </c>
      <c r="I109" t="str">
        <f>gescon_infosparticip!H108</f>
        <v>Foyer Valais de cœur Danielle Savioz</v>
      </c>
      <c r="J109">
        <f>IF(gescon_infosparticip!I108=FALSE,0,1)</f>
        <v>1</v>
      </c>
      <c r="K109">
        <f>IF(gescon_infosparticip!J108=FALSE,0,1)</f>
        <v>1</v>
      </c>
      <c r="L109">
        <f>IF(gescon_infosparticip!K108=FALSE,0,1)</f>
        <v>0</v>
      </c>
      <c r="M109">
        <f>IF(gescon_infosparticip!L108=FALSE,0,1)</f>
        <v>0</v>
      </c>
      <c r="N109">
        <f>IF(gescon_infosparticip!M108=FALSE,0,1)</f>
        <v>0</v>
      </c>
      <c r="O109">
        <f>IF(gescon_infosparticip!N108=FALSE,0,1)</f>
        <v>0</v>
      </c>
      <c r="P109">
        <f>IF(gescon_infosparticip!O108=FALSE,0,1)</f>
        <v>0</v>
      </c>
      <c r="Q109">
        <f>IF(gescon_infosparticip!P108=FALSE,0,1)</f>
        <v>0</v>
      </c>
      <c r="R109">
        <f>IF(gescon_infosparticip!Q108=FALSE,0,1)</f>
        <v>1</v>
      </c>
      <c r="S109" t="str">
        <f>gescon_infosparticip!R108</f>
        <v>supporte les longs trajets en bus. Il arrive à se mettre par terre, à genoux et avance seul.</v>
      </c>
      <c r="T109" t="str">
        <f>gescon_infosparticip!V108</f>
        <v>Il prend une douche tous les jours. Nécessaire de changer ses vêtements tous les jours car il transpire beaucoup. Lorsqu’il a les chaussures, bien vérifier que les orteils soient à plat sinon il peut ressentir des douleurs. Lorsqu’on l’habille, toujours commencer par le bras gauche.</v>
      </c>
      <c r="U109" t="str">
        <f>gescon_infosparticip!S108</f>
        <v>Il aime beaucoup la piscine</v>
      </c>
      <c r="V109">
        <f>IF(gescon_infosparticip!U108=FALSE,0,1)</f>
        <v>1</v>
      </c>
      <c r="W109">
        <f>IF(gescon_infosparticip!T108=FALSE,0,1)</f>
        <v>0</v>
      </c>
      <c r="X109" t="str">
        <f>gescon_infosparticip!W108</f>
        <v>se découvre souvent durant la nuit, à contrôler le duvet. Pas de position spéciale.</v>
      </c>
      <c r="Y109">
        <f>IF(gescon_infosparticip!X108=FALSE,0,1)</f>
        <v>0</v>
      </c>
      <c r="Z109">
        <f>IF(gescon_infosparticip!Y108=FALSE,0,1)</f>
        <v>0</v>
      </c>
      <c r="AA109">
        <f>IF(gescon_infosparticip!Z108=FALSE,0,1)</f>
        <v>0</v>
      </c>
      <c r="AB109">
        <f>IF(gescon_infosparticip!AA108=FALSE,0,1)</f>
        <v>0</v>
      </c>
      <c r="AC109" t="str">
        <f>gescon_infosparticip!AB108</f>
        <v>Gaëtan saura vous aider. Il sait ce qu'il veut et ce qu'il ne veut pas. Il dit oui et non oralement. Il utilise un support de communication accent 1200. Attention de le protéger en cas de pluie et lorsqu'il mange.</v>
      </c>
      <c r="AD109" t="str">
        <f>gescon_infosparticip!AC108</f>
        <v/>
      </c>
      <c r="AE109" t="str">
        <f>gescon_infosparticip!AD108</f>
        <v>Gaëtan est fils unique.</v>
      </c>
      <c r="AF109" t="str">
        <f>gescon_infosparticip!AE108</f>
        <v/>
      </c>
      <c r="AG109" t="str">
        <f>gescon_infosparticip!AF108</f>
        <v>Il aime les têtes de mort. Il aime beaucoup les animaux, visiter les zoo et il avait un chien du copain &lt;&lt;Yoga&gt;&gt; et le cinéma.</v>
      </c>
      <c r="AH109" t="str">
        <f>gescon_infosparticip!AG108</f>
        <v>il a très peur des araignées.</v>
      </c>
      <c r="AI109" t="str">
        <f>gescon_infosparticip!BN108</f>
        <v>Il arrive à se mettre par terre, à genoux et avance seul.</v>
      </c>
      <c r="AJ109" t="str">
        <f>gescon_infosparticip!BO108</f>
        <v/>
      </c>
    </row>
    <row r="110" spans="2:36" x14ac:dyDescent="0.25">
      <c r="B110">
        <f>gescon_infosparticip!A109</f>
        <v>243437724</v>
      </c>
      <c r="C110">
        <f>gescon_infosparticip!B109</f>
        <v>42843</v>
      </c>
      <c r="D110">
        <f>gescon_infosparticip!C109</f>
        <v>2146189922</v>
      </c>
      <c r="E110">
        <f>gescon_infosparticip!D109</f>
        <v>0</v>
      </c>
      <c r="F110">
        <f>gescon_infosparticip!E109</f>
        <v>0</v>
      </c>
      <c r="G110">
        <f>gescon_infosparticip!F109</f>
        <v>0</v>
      </c>
      <c r="H110">
        <f>gescon_infosparticip!G109</f>
        <v>2146189922</v>
      </c>
      <c r="I110" t="str">
        <f>gescon_infosparticip!H109</f>
        <v/>
      </c>
      <c r="J110">
        <f>IF(gescon_infosparticip!I109=FALSE,0,1)</f>
        <v>0</v>
      </c>
      <c r="K110">
        <f>IF(gescon_infosparticip!J109=FALSE,0,1)</f>
        <v>0</v>
      </c>
      <c r="L110">
        <f>IF(gescon_infosparticip!K109=FALSE,0,1)</f>
        <v>0</v>
      </c>
      <c r="M110">
        <f>IF(gescon_infosparticip!L109=FALSE,0,1)</f>
        <v>1</v>
      </c>
      <c r="N110">
        <f>IF(gescon_infosparticip!M109=FALSE,0,1)</f>
        <v>1</v>
      </c>
      <c r="O110">
        <f>IF(gescon_infosparticip!N109=FALSE,0,1)</f>
        <v>0</v>
      </c>
      <c r="P110">
        <f>IF(gescon_infosparticip!O109=FALSE,0,1)</f>
        <v>0</v>
      </c>
      <c r="Q110">
        <f>IF(gescon_infosparticip!P109=FALSE,0,1)</f>
        <v>0</v>
      </c>
      <c r="R110">
        <f>IF(gescon_infosparticip!Q109=FALSE,0,1)</f>
        <v>0</v>
      </c>
      <c r="S110" t="str">
        <f>gescon_infosparticip!R109</f>
        <v/>
      </c>
      <c r="T110" t="str">
        <f>gescon_infosparticip!V109</f>
        <v>Besoin d'aide pour l'habiller et le déshabiller</v>
      </c>
      <c r="U110" t="str">
        <f>gescon_infosparticip!S109</f>
        <v>Ne sait pas nager sans flotteurs</v>
      </c>
      <c r="V110">
        <f>IF(gescon_infosparticip!U109=FALSE,0,1)</f>
        <v>0</v>
      </c>
      <c r="W110">
        <f>IF(gescon_infosparticip!T109=FALSE,0,1)</f>
        <v>1</v>
      </c>
      <c r="X110" t="str">
        <f>gescon_infosparticip!W109</f>
        <v>Pour qu'il s'endorme, il doit toujours dormir avec quelqu'un à ses côtés.</v>
      </c>
      <c r="Y110">
        <f>IF(gescon_infosparticip!X109=FALSE,0,1)</f>
        <v>0</v>
      </c>
      <c r="Z110">
        <f>IF(gescon_infosparticip!Y109=FALSE,0,1)</f>
        <v>0</v>
      </c>
      <c r="AA110">
        <f>IF(gescon_infosparticip!Z109=FALSE,0,1)</f>
        <v>0</v>
      </c>
      <c r="AB110">
        <f>IF(gescon_infosparticip!AA109=FALSE,0,1)</f>
        <v>1</v>
      </c>
      <c r="AC110" t="str">
        <f>gescon_infosparticip!AB109</f>
        <v/>
      </c>
      <c r="AD110" t="str">
        <f>gescon_infosparticip!AC109</f>
        <v/>
      </c>
      <c r="AE110" t="str">
        <f>gescon_infosparticip!AD109</f>
        <v/>
      </c>
      <c r="AF110" t="str">
        <f>gescon_infosparticip!AE109</f>
        <v/>
      </c>
      <c r="AG110" t="str">
        <f>gescon_infosparticip!AF109</f>
        <v/>
      </c>
      <c r="AH110" t="str">
        <f>gescon_infosparticip!AG109</f>
        <v/>
      </c>
      <c r="AI110" t="str">
        <f>gescon_infosparticip!BN109</f>
        <v/>
      </c>
      <c r="AJ110" t="str">
        <f>gescon_infosparticip!BO109</f>
        <v/>
      </c>
    </row>
    <row r="111" spans="2:36" x14ac:dyDescent="0.25">
      <c r="B111">
        <f>gescon_infosparticip!A110</f>
        <v>396742077</v>
      </c>
      <c r="C111">
        <f>gescon_infosparticip!B110</f>
        <v>42405</v>
      </c>
      <c r="D111">
        <f>gescon_infosparticip!C110</f>
        <v>0</v>
      </c>
      <c r="E111">
        <f>gescon_infosparticip!D110</f>
        <v>0</v>
      </c>
      <c r="F111">
        <f>gescon_infosparticip!E110</f>
        <v>0</v>
      </c>
      <c r="G111">
        <f>gescon_infosparticip!F110</f>
        <v>0</v>
      </c>
      <c r="H111">
        <f>gescon_infosparticip!G110</f>
        <v>0</v>
      </c>
      <c r="I111" t="str">
        <f>gescon_infosparticip!H110</f>
        <v/>
      </c>
      <c r="J111">
        <f>IF(gescon_infosparticip!I110=FALSE,0,1)</f>
        <v>0</v>
      </c>
      <c r="K111">
        <f>IF(gescon_infosparticip!J110=FALSE,0,1)</f>
        <v>0</v>
      </c>
      <c r="L111">
        <f>IF(gescon_infosparticip!K110=FALSE,0,1)</f>
        <v>0</v>
      </c>
      <c r="M111">
        <f>IF(gescon_infosparticip!L110=FALSE,0,1)</f>
        <v>0</v>
      </c>
      <c r="N111">
        <f>IF(gescon_infosparticip!M110=FALSE,0,1)</f>
        <v>0</v>
      </c>
      <c r="O111">
        <f>IF(gescon_infosparticip!N110=FALSE,0,1)</f>
        <v>0</v>
      </c>
      <c r="P111">
        <f>IF(gescon_infosparticip!O110=FALSE,0,1)</f>
        <v>0</v>
      </c>
      <c r="Q111">
        <f>IF(gescon_infosparticip!P110=FALSE,0,1)</f>
        <v>0</v>
      </c>
      <c r="R111">
        <f>IF(gescon_infosparticip!Q110=FALSE,0,1)</f>
        <v>0</v>
      </c>
      <c r="S111" t="str">
        <f>gescon_infosparticip!R110</f>
        <v/>
      </c>
      <c r="T111" t="str">
        <f>gescon_infosparticip!V110</f>
        <v/>
      </c>
      <c r="U111" t="str">
        <f>gescon_infosparticip!S110</f>
        <v/>
      </c>
      <c r="V111">
        <f>IF(gescon_infosparticip!U110=FALSE,0,1)</f>
        <v>0</v>
      </c>
      <c r="W111">
        <f>IF(gescon_infosparticip!T110=FALSE,0,1)</f>
        <v>0</v>
      </c>
      <c r="X111" t="str">
        <f>gescon_infosparticip!W110</f>
        <v/>
      </c>
      <c r="Y111">
        <f>IF(gescon_infosparticip!X110=FALSE,0,1)</f>
        <v>0</v>
      </c>
      <c r="Z111">
        <f>IF(gescon_infosparticip!Y110=FALSE,0,1)</f>
        <v>0</v>
      </c>
      <c r="AA111">
        <f>IF(gescon_infosparticip!Z110=FALSE,0,1)</f>
        <v>0</v>
      </c>
      <c r="AB111">
        <f>IF(gescon_infosparticip!AA110=FALSE,0,1)</f>
        <v>0</v>
      </c>
      <c r="AC111" t="str">
        <f>gescon_infosparticip!AB110</f>
        <v/>
      </c>
      <c r="AD111" t="str">
        <f>gescon_infosparticip!AC110</f>
        <v/>
      </c>
      <c r="AE111" t="str">
        <f>gescon_infosparticip!AD110</f>
        <v/>
      </c>
      <c r="AF111" t="str">
        <f>gescon_infosparticip!AE110</f>
        <v/>
      </c>
      <c r="AG111" t="str">
        <f>gescon_infosparticip!AF110</f>
        <v/>
      </c>
      <c r="AH111" t="str">
        <f>gescon_infosparticip!AG110</f>
        <v/>
      </c>
      <c r="AI111" t="str">
        <f>gescon_infosparticip!BN110</f>
        <v/>
      </c>
      <c r="AJ111" t="str">
        <f>gescon_infosparticip!BO110</f>
        <v/>
      </c>
    </row>
    <row r="112" spans="2:36" x14ac:dyDescent="0.25">
      <c r="B112">
        <f>gescon_infosparticip!A111</f>
        <v>644630123</v>
      </c>
      <c r="C112">
        <f>gescon_infosparticip!B111</f>
        <v>37862.378587963001</v>
      </c>
      <c r="D112">
        <f>gescon_infosparticip!C111</f>
        <v>0</v>
      </c>
      <c r="E112">
        <f>gescon_infosparticip!D111</f>
        <v>0</v>
      </c>
      <c r="F112">
        <f>gescon_infosparticip!E111</f>
        <v>0</v>
      </c>
      <c r="G112">
        <f>gescon_infosparticip!F111</f>
        <v>1962259043</v>
      </c>
      <c r="H112">
        <f>gescon_infosparticip!G111</f>
        <v>0</v>
      </c>
      <c r="I112" t="str">
        <f>gescon_infosparticip!H111</f>
        <v/>
      </c>
      <c r="J112">
        <f>IF(gescon_infosparticip!I111=FALSE,0,1)</f>
        <v>0</v>
      </c>
      <c r="K112">
        <f>IF(gescon_infosparticip!J111=FALSE,0,1)</f>
        <v>0</v>
      </c>
      <c r="L112">
        <f>IF(gescon_infosparticip!K111=FALSE,0,1)</f>
        <v>0</v>
      </c>
      <c r="M112">
        <f>IF(gescon_infosparticip!L111=FALSE,0,1)</f>
        <v>0</v>
      </c>
      <c r="N112">
        <f>IF(gescon_infosparticip!M111=FALSE,0,1)</f>
        <v>0</v>
      </c>
      <c r="O112">
        <f>IF(gescon_infosparticip!N111=FALSE,0,1)</f>
        <v>0</v>
      </c>
      <c r="P112">
        <f>IF(gescon_infosparticip!O111=FALSE,0,1)</f>
        <v>0</v>
      </c>
      <c r="Q112">
        <f>IF(gescon_infosparticip!P111=FALSE,0,1)</f>
        <v>0</v>
      </c>
      <c r="R112">
        <f>IF(gescon_infosparticip!Q111=FALSE,0,1)</f>
        <v>0</v>
      </c>
      <c r="S112" t="str">
        <f>gescon_infosparticip!R111</f>
        <v/>
      </c>
      <c r="T112" t="str">
        <f>gescon_infosparticip!V111</f>
        <v/>
      </c>
      <c r="U112" t="str">
        <f>gescon_infosparticip!S111</f>
        <v>elle sait nager et adore l'eau</v>
      </c>
      <c r="V112">
        <f>IF(gescon_infosparticip!U111=FALSE,0,1)</f>
        <v>0</v>
      </c>
      <c r="W112">
        <f>IF(gescon_infosparticip!T111=FALSE,0,1)</f>
        <v>0</v>
      </c>
      <c r="X112" t="str">
        <f>gescon_infosparticip!W111</f>
        <v/>
      </c>
      <c r="Y112">
        <f>IF(gescon_infosparticip!X111=FALSE,0,1)</f>
        <v>0</v>
      </c>
      <c r="Z112">
        <f>IF(gescon_infosparticip!Y111=FALSE,0,1)</f>
        <v>0</v>
      </c>
      <c r="AA112">
        <f>IF(gescon_infosparticip!Z111=FALSE,0,1)</f>
        <v>0</v>
      </c>
      <c r="AB112">
        <f>IF(gescon_infosparticip!AA111=FALSE,0,1)</f>
        <v>0</v>
      </c>
      <c r="AC112" t="str">
        <f>gescon_infosparticip!AB111</f>
        <v>oral</v>
      </c>
      <c r="AD112" t="str">
        <f>gescon_infosparticip!AC111</f>
        <v>Elle adore la natation, le vélo, la marche. Elle joue volontiers aux jeux de ballon. Elle aime beaucoup écouter de la musique..</v>
      </c>
      <c r="AE112" t="str">
        <f>gescon_infosparticip!AD111</f>
        <v/>
      </c>
      <c r="AF112" t="str">
        <f>gescon_infosparticip!AE111</f>
        <v/>
      </c>
      <c r="AG112" t="str">
        <f>gescon_infosparticip!AF111</f>
        <v/>
      </c>
      <c r="AH112" t="str">
        <f>gescon_infosparticip!AG111</f>
        <v/>
      </c>
      <c r="AI112" t="str">
        <f>gescon_infosparticip!BN111</f>
        <v/>
      </c>
      <c r="AJ112" t="str">
        <f>gescon_infosparticip!BO111</f>
        <v/>
      </c>
    </row>
    <row r="113" spans="2:36" x14ac:dyDescent="0.25">
      <c r="B113">
        <f>gescon_infosparticip!A112</f>
        <v>674040117</v>
      </c>
      <c r="C113">
        <f>gescon_infosparticip!B112</f>
        <v>42865</v>
      </c>
      <c r="D113">
        <f>gescon_infosparticip!C112</f>
        <v>-1972356014</v>
      </c>
      <c r="E113">
        <f>gescon_infosparticip!D112</f>
        <v>0</v>
      </c>
      <c r="F113">
        <f>gescon_infosparticip!E112</f>
        <v>-1972356014</v>
      </c>
      <c r="G113">
        <f>gescon_infosparticip!F112</f>
        <v>67</v>
      </c>
      <c r="H113">
        <f>gescon_infosparticip!G112</f>
        <v>-1972356014</v>
      </c>
      <c r="I113" t="str">
        <f>gescon_infosparticip!H112</f>
        <v/>
      </c>
      <c r="J113">
        <f>IF(gescon_infosparticip!I112=FALSE,0,1)</f>
        <v>1</v>
      </c>
      <c r="K113">
        <f>IF(gescon_infosparticip!J112=FALSE,0,1)</f>
        <v>0</v>
      </c>
      <c r="L113">
        <f>IF(gescon_infosparticip!K112=FALSE,0,1)</f>
        <v>1</v>
      </c>
      <c r="M113">
        <f>IF(gescon_infosparticip!L112=FALSE,0,1)</f>
        <v>0</v>
      </c>
      <c r="N113">
        <f>IF(gescon_infosparticip!M112=FALSE,0,1)</f>
        <v>0</v>
      </c>
      <c r="O113">
        <f>IF(gescon_infosparticip!N112=FALSE,0,1)</f>
        <v>1</v>
      </c>
      <c r="P113">
        <f>IF(gescon_infosparticip!O112=FALSE,0,1)</f>
        <v>0</v>
      </c>
      <c r="Q113">
        <f>IF(gescon_infosparticip!P112=FALSE,0,1)</f>
        <v>1</v>
      </c>
      <c r="R113">
        <f>IF(gescon_infosparticip!Q112=FALSE,0,1)</f>
        <v>0</v>
      </c>
      <c r="S113" t="str">
        <f>gescon_infosparticip!R112</f>
        <v>Le fauteuil roulant est utilisé si on fait des long trajet.</v>
      </c>
      <c r="T113" t="str">
        <f>gescon_infosparticip!V112</f>
        <v>s'habille seule, autonome</v>
      </c>
      <c r="U113" t="str">
        <f>gescon_infosparticip!S112</f>
        <v>Elle beaucoup l'eau, elle a besoin de menchons. Rester à ses côtés.</v>
      </c>
      <c r="V113">
        <f>IF(gescon_infosparticip!U112=FALSE,0,1)</f>
        <v>0</v>
      </c>
      <c r="W113">
        <f>IF(gescon_infosparticip!T112=FALSE,0,1)</f>
        <v>1</v>
      </c>
      <c r="X113" t="str">
        <f>gescon_infosparticip!W112</f>
        <v>Ne pas oublier de lui donner le Valverde.</v>
      </c>
      <c r="Y113">
        <f>IF(gescon_infosparticip!X112=FALSE,0,1)</f>
        <v>0</v>
      </c>
      <c r="Z113">
        <f>IF(gescon_infosparticip!Y112=FALSE,0,1)</f>
        <v>0</v>
      </c>
      <c r="AA113">
        <f>IF(gescon_infosparticip!Z112=FALSE,0,1)</f>
        <v>0</v>
      </c>
      <c r="AB113">
        <f>IF(gescon_infosparticip!AA112=FALSE,0,1)</f>
        <v>0</v>
      </c>
      <c r="AC113" t="str">
        <f>gescon_infosparticip!AB112</f>
        <v>oral, très sociable.</v>
      </c>
      <c r="AD113" t="str">
        <f>gescon_infosparticip!AC112</f>
        <v/>
      </c>
      <c r="AE113" t="str">
        <f>gescon_infosparticip!AD112</f>
        <v>elle a un frère qui se prénomme Fabien</v>
      </c>
      <c r="AF113" t="str">
        <f>gescon_infosparticip!AE112</f>
        <v>Ses amis se prénomment Esthelle, Sophie, Lidivina, etc.</v>
      </c>
      <c r="AG113" t="str">
        <f>gescon_infosparticip!AF112</f>
        <v>Chanter, film, bricolage, un peu de tout</v>
      </c>
      <c r="AH113" t="str">
        <f>gescon_infosparticip!AG112</f>
        <v/>
      </c>
      <c r="AI113" t="str">
        <f>gescon_infosparticip!BN112</f>
        <v/>
      </c>
      <c r="AJ113" t="str">
        <f>gescon_infosparticip!BO112</f>
        <v/>
      </c>
    </row>
    <row r="114" spans="2:36" x14ac:dyDescent="0.25">
      <c r="B114">
        <f>gescon_infosparticip!A113</f>
        <v>674820052</v>
      </c>
      <c r="C114">
        <f>gescon_infosparticip!B113</f>
        <v>42249</v>
      </c>
      <c r="D114">
        <f>gescon_infosparticip!C113</f>
        <v>0</v>
      </c>
      <c r="E114">
        <f>gescon_infosparticip!D113</f>
        <v>0</v>
      </c>
      <c r="F114">
        <f>gescon_infosparticip!E113</f>
        <v>0</v>
      </c>
      <c r="G114">
        <f>gescon_infosparticip!F113</f>
        <v>0</v>
      </c>
      <c r="H114">
        <f>gescon_infosparticip!G113</f>
        <v>0</v>
      </c>
      <c r="I114" t="str">
        <f>gescon_infosparticip!H113</f>
        <v/>
      </c>
      <c r="J114">
        <f>IF(gescon_infosparticip!I113=FALSE,0,1)</f>
        <v>0</v>
      </c>
      <c r="K114">
        <f>IF(gescon_infosparticip!J113=FALSE,0,1)</f>
        <v>0</v>
      </c>
      <c r="L114">
        <f>IF(gescon_infosparticip!K113=FALSE,0,1)</f>
        <v>0</v>
      </c>
      <c r="M114">
        <f>IF(gescon_infosparticip!L113=FALSE,0,1)</f>
        <v>0</v>
      </c>
      <c r="N114">
        <f>IF(gescon_infosparticip!M113=FALSE,0,1)</f>
        <v>0</v>
      </c>
      <c r="O114">
        <f>IF(gescon_infosparticip!N113=FALSE,0,1)</f>
        <v>0</v>
      </c>
      <c r="P114">
        <f>IF(gescon_infosparticip!O113=FALSE,0,1)</f>
        <v>0</v>
      </c>
      <c r="Q114">
        <f>IF(gescon_infosparticip!P113=FALSE,0,1)</f>
        <v>0</v>
      </c>
      <c r="R114">
        <f>IF(gescon_infosparticip!Q113=FALSE,0,1)</f>
        <v>0</v>
      </c>
      <c r="S114" t="str">
        <f>gescon_infosparticip!R113</f>
        <v/>
      </c>
      <c r="T114" t="str">
        <f>gescon_infosparticip!V113</f>
        <v/>
      </c>
      <c r="U114" t="str">
        <f>gescon_infosparticip!S113</f>
        <v/>
      </c>
      <c r="V114">
        <f>IF(gescon_infosparticip!U113=FALSE,0,1)</f>
        <v>0</v>
      </c>
      <c r="W114">
        <f>IF(gescon_infosparticip!T113=FALSE,0,1)</f>
        <v>0</v>
      </c>
      <c r="X114" t="str">
        <f>gescon_infosparticip!W113</f>
        <v/>
      </c>
      <c r="Y114">
        <f>IF(gescon_infosparticip!X113=FALSE,0,1)</f>
        <v>0</v>
      </c>
      <c r="Z114">
        <f>IF(gescon_infosparticip!Y113=FALSE,0,1)</f>
        <v>0</v>
      </c>
      <c r="AA114">
        <f>IF(gescon_infosparticip!Z113=FALSE,0,1)</f>
        <v>0</v>
      </c>
      <c r="AB114">
        <f>IF(gescon_infosparticip!AA113=FALSE,0,1)</f>
        <v>0</v>
      </c>
      <c r="AC114" t="str">
        <f>gescon_infosparticip!AB113</f>
        <v/>
      </c>
      <c r="AD114" t="str">
        <f>gescon_infosparticip!AC113</f>
        <v/>
      </c>
      <c r="AE114" t="str">
        <f>gescon_infosparticip!AD113</f>
        <v/>
      </c>
      <c r="AF114" t="str">
        <f>gescon_infosparticip!AE113</f>
        <v/>
      </c>
      <c r="AG114" t="str">
        <f>gescon_infosparticip!AF113</f>
        <v/>
      </c>
      <c r="AH114" t="str">
        <f>gescon_infosparticip!AG113</f>
        <v/>
      </c>
      <c r="AI114" t="str">
        <f>gescon_infosparticip!BN113</f>
        <v/>
      </c>
      <c r="AJ114" t="str">
        <f>gescon_infosparticip!BO113</f>
        <v/>
      </c>
    </row>
    <row r="115" spans="2:36" x14ac:dyDescent="0.25">
      <c r="B115">
        <f>gescon_infosparticip!A114</f>
        <v>788283754</v>
      </c>
      <c r="C115">
        <f>gescon_infosparticip!B114</f>
        <v>37833.396064814799</v>
      </c>
      <c r="D115">
        <f>gescon_infosparticip!C114</f>
        <v>0</v>
      </c>
      <c r="E115">
        <f>gescon_infosparticip!D114</f>
        <v>2210</v>
      </c>
      <c r="F115">
        <f>gescon_infosparticip!E114</f>
        <v>0</v>
      </c>
      <c r="G115">
        <f>gescon_infosparticip!F114</f>
        <v>1040296841</v>
      </c>
      <c r="H115">
        <f>gescon_infosparticip!G114</f>
        <v>1040296841</v>
      </c>
      <c r="I115" t="str">
        <f>gescon_infosparticip!H114</f>
        <v/>
      </c>
      <c r="J115">
        <f>IF(gescon_infosparticip!I114=FALSE,0,1)</f>
        <v>0</v>
      </c>
      <c r="K115">
        <f>IF(gescon_infosparticip!J114=FALSE,0,1)</f>
        <v>0</v>
      </c>
      <c r="L115">
        <f>IF(gescon_infosparticip!K114=FALSE,0,1)</f>
        <v>0</v>
      </c>
      <c r="M115">
        <f>IF(gescon_infosparticip!L114=FALSE,0,1)</f>
        <v>0</v>
      </c>
      <c r="N115">
        <f>IF(gescon_infosparticip!M114=FALSE,0,1)</f>
        <v>0</v>
      </c>
      <c r="O115">
        <f>IF(gescon_infosparticip!N114=FALSE,0,1)</f>
        <v>0</v>
      </c>
      <c r="P115">
        <f>IF(gescon_infosparticip!O114=FALSE,0,1)</f>
        <v>0</v>
      </c>
      <c r="Q115">
        <f>IF(gescon_infosparticip!P114=FALSE,0,1)</f>
        <v>0</v>
      </c>
      <c r="R115">
        <f>IF(gescon_infosparticip!Q114=FALSE,0,1)</f>
        <v>0</v>
      </c>
      <c r="S115" t="str">
        <f>gescon_infosparticip!R114</f>
        <v/>
      </c>
      <c r="T115" t="str">
        <f>gescon_infosparticip!V114</f>
        <v/>
      </c>
      <c r="U115" t="str">
        <f>gescon_infosparticip!S114</f>
        <v>Ne peut pas nager, le soutenir. Il n’apprécie pas beaucoup la piscine.</v>
      </c>
      <c r="V115">
        <f>IF(gescon_infosparticip!U114=FALSE,0,1)</f>
        <v>1</v>
      </c>
      <c r="W115">
        <f>IF(gescon_infosparticip!T114=FALSE,0,1)</f>
        <v>0</v>
      </c>
      <c r="X115" t="str">
        <f>gescon_infosparticip!W114</f>
        <v/>
      </c>
      <c r="Y115">
        <f>IF(gescon_infosparticip!X114=FALSE,0,1)</f>
        <v>0</v>
      </c>
      <c r="Z115">
        <f>IF(gescon_infosparticip!Y114=FALSE,0,1)</f>
        <v>0</v>
      </c>
      <c r="AA115">
        <f>IF(gescon_infosparticip!Z114=FALSE,0,1)</f>
        <v>0</v>
      </c>
      <c r="AB115">
        <f>IF(gescon_infosparticip!AA114=FALSE,0,1)</f>
        <v>0</v>
      </c>
      <c r="AC115" t="str">
        <f>gescon_infosparticip!AB114</f>
        <v>Avec l’aide de pictogramme sur son tableau et l’expression de ses yeux.</v>
      </c>
      <c r="AD115" t="str">
        <f>gescon_infosparticip!AC114</f>
        <v>Nicolas aime la musique (CD des jeunes de Lourdes), les promenades en ville, la famille, les pèlerinages, la lecture d’articles de journeaux. Il a  une sœur (Emanuelle) et 3 frères: Jérome, Joël, Félix. Son papa est décédé en 2003.</v>
      </c>
      <c r="AE115" t="str">
        <f>gescon_infosparticip!AD114</f>
        <v>Il a  une sœur (Emanuelle) et 3 frères.</v>
      </c>
      <c r="AF115" t="str">
        <f>gescon_infosparticip!AE114</f>
        <v/>
      </c>
      <c r="AG115" t="str">
        <f>gescon_infosparticip!AF114</f>
        <v>Nicolas aime la musique (CD des jeunes de Lourdes), les promenades en ville, la famille, les pèlerinages, la lecture d’articles de journeaux.</v>
      </c>
      <c r="AH115" t="str">
        <f>gescon_infosparticip!AG114</f>
        <v/>
      </c>
      <c r="AI115" t="str">
        <f>gescon_infosparticip!BN114</f>
        <v/>
      </c>
      <c r="AJ115" t="str">
        <f>gescon_infosparticip!BO114</f>
        <v/>
      </c>
    </row>
    <row r="116" spans="2:36" x14ac:dyDescent="0.25">
      <c r="B116">
        <f>gescon_infosparticip!A115</f>
        <v>982284145</v>
      </c>
      <c r="C116">
        <f>gescon_infosparticip!B115</f>
        <v>42685</v>
      </c>
      <c r="D116">
        <f>gescon_infosparticip!C115</f>
        <v>0</v>
      </c>
      <c r="E116">
        <f>gescon_infosparticip!D115</f>
        <v>0</v>
      </c>
      <c r="F116">
        <f>gescon_infosparticip!E115</f>
        <v>288223704</v>
      </c>
      <c r="G116">
        <f>gescon_infosparticip!F115</f>
        <v>1424</v>
      </c>
      <c r="H116">
        <f>gescon_infosparticip!G115</f>
        <v>2146189130</v>
      </c>
      <c r="I116" t="str">
        <f>gescon_infosparticip!H115</f>
        <v>Groupe B1 - Dzeva - 024 473 51 41</v>
      </c>
      <c r="J116">
        <f>IF(gescon_infosparticip!I115=FALSE,0,1)</f>
        <v>0</v>
      </c>
      <c r="K116">
        <f>IF(gescon_infosparticip!J115=FALSE,0,1)</f>
        <v>1</v>
      </c>
      <c r="L116">
        <f>IF(gescon_infosparticip!K115=FALSE,0,1)</f>
        <v>1</v>
      </c>
      <c r="M116">
        <f>IF(gescon_infosparticip!L115=FALSE,0,1)</f>
        <v>0</v>
      </c>
      <c r="N116">
        <f>IF(gescon_infosparticip!M115=FALSE,0,1)</f>
        <v>0</v>
      </c>
      <c r="O116">
        <f>IF(gescon_infosparticip!N115=FALSE,0,1)</f>
        <v>0</v>
      </c>
      <c r="P116">
        <f>IF(gescon_infosparticip!O115=FALSE,0,1)</f>
        <v>0</v>
      </c>
      <c r="Q116">
        <f>IF(gescon_infosparticip!P115=FALSE,0,1)</f>
        <v>1</v>
      </c>
      <c r="R116">
        <f>IF(gescon_infosparticip!Q115=FALSE,0,1)</f>
        <v>0</v>
      </c>
      <c r="S116" t="str">
        <f>gescon_infosparticip!R115</f>
        <v>Dès qui'il est dehors, bien lui freiner la chaise pour éviter qu'il parte. Il supporte les longs trajets. Il se lève avec aide de sa chaise en le tenant bien par les bras. Éviter de la faire marcher, juste faire le déplacement de la chaise au lit.</v>
      </c>
      <c r="T116" t="str">
        <f>gescon_infosparticip!V115</f>
        <v>Besoin d'une aide totale.</v>
      </c>
      <c r="U116" t="str">
        <f>gescon_infosparticip!S115</f>
        <v>Il ne va pas à la piscine, Il n'aime pas la piscine</v>
      </c>
      <c r="V116">
        <f>IF(gescon_infosparticip!U115=FALSE,0,1)</f>
        <v>1</v>
      </c>
      <c r="W116">
        <f>IF(gescon_infosparticip!T115=FALSE,0,1)</f>
        <v>1</v>
      </c>
      <c r="X116" t="str">
        <f>gescon_infosparticip!W115</f>
        <v>Il dort bien, il va au lit vers 20:00 et se lève vers 07:30. Il a besoin d'env. 12 heures de sommeil. Il prend le pouce et dort sans coussin.</v>
      </c>
      <c r="Y116">
        <f>IF(gescon_infosparticip!X115=FALSE,0,1)</f>
        <v>0</v>
      </c>
      <c r="Z116">
        <f>IF(gescon_infosparticip!Y115=FALSE,0,1)</f>
        <v>0</v>
      </c>
      <c r="AA116">
        <f>IF(gescon_infosparticip!Z115=FALSE,0,1)</f>
        <v>0</v>
      </c>
      <c r="AB116">
        <f>IF(gescon_infosparticip!AA115=FALSE,0,1)</f>
        <v>1</v>
      </c>
      <c r="AC116" t="str">
        <f>gescon_infosparticip!AB115</f>
        <v>Pas de verbalisation. Il n'arrive pas à dire oui ou non. Il s'exprime par ses attitudes. Quand il est content, il pousse des petits cris, il rigole. Il pleure rarement (si il est malade)</v>
      </c>
      <c r="AD116" t="str">
        <f>gescon_infosparticip!AC115</f>
        <v/>
      </c>
      <c r="AE116" t="str">
        <f>gescon_infosparticip!AD115</f>
        <v>Il a 2 frères.</v>
      </c>
      <c r="AF116" t="str">
        <f>gescon_infosparticip!AE115</f>
        <v/>
      </c>
      <c r="AG116" t="str">
        <f>gescon_infosparticip!AF115</f>
        <v>Il aime écouter les discussions et s'impreigner de l'ambiance. Il a trois frères, l'un s'appelle Gabriel et travaille à la bijouterie. Il a deux enfants, le fils et la fille sont tout deux mariés et ont chacun deux enfants. Un autre frère s'appelle Emmanuel et a le magasin d'optique à Sion. Il a trois filles qui sont de 1994, 96 et 98.
Nicolas aime sortir, il a parfois la tête posée sur la table de la chaise, mais il est attentif à ce qui se passe. Il aime la percussion et les musiques plutôt douces.</v>
      </c>
      <c r="AH116" t="str">
        <f>gescon_infosparticip!AG115</f>
        <v>Il a une hypersensibilité au niveau des mains, en principe il n'aime pas trop être touché.</v>
      </c>
      <c r="AI116" t="str">
        <f>gescon_infosparticip!BN115</f>
        <v>Il faut incliner sa chaise roulante tout le temps sauf pour les repas et les activités</v>
      </c>
      <c r="AJ116" t="str">
        <f>gescon_infosparticip!BO115</f>
        <v/>
      </c>
    </row>
    <row r="117" spans="2:36" x14ac:dyDescent="0.25">
      <c r="B117">
        <f>gescon_infosparticip!A116</f>
        <v>1005056097</v>
      </c>
      <c r="C117">
        <f>gescon_infosparticip!B116</f>
        <v>37847.644965277803</v>
      </c>
      <c r="D117">
        <f>gescon_infosparticip!C116</f>
        <v>2210</v>
      </c>
      <c r="E117">
        <f>gescon_infosparticip!D116</f>
        <v>0</v>
      </c>
      <c r="F117">
        <f>gescon_infosparticip!E116</f>
        <v>0</v>
      </c>
      <c r="G117">
        <f>gescon_infosparticip!F116</f>
        <v>0</v>
      </c>
      <c r="H117">
        <f>gescon_infosparticip!G116</f>
        <v>0</v>
      </c>
      <c r="I117" t="str">
        <f>gescon_infosparticip!H116</f>
        <v/>
      </c>
      <c r="J117">
        <f>IF(gescon_infosparticip!I116=FALSE,0,1)</f>
        <v>0</v>
      </c>
      <c r="K117">
        <f>IF(gescon_infosparticip!J116=FALSE,0,1)</f>
        <v>0</v>
      </c>
      <c r="L117">
        <f>IF(gescon_infosparticip!K116=FALSE,0,1)</f>
        <v>0</v>
      </c>
      <c r="M117">
        <f>IF(gescon_infosparticip!L116=FALSE,0,1)</f>
        <v>0</v>
      </c>
      <c r="N117">
        <f>IF(gescon_infosparticip!M116=FALSE,0,1)</f>
        <v>0</v>
      </c>
      <c r="O117">
        <f>IF(gescon_infosparticip!N116=FALSE,0,1)</f>
        <v>0</v>
      </c>
      <c r="P117">
        <f>IF(gescon_infosparticip!O116=FALSE,0,1)</f>
        <v>0</v>
      </c>
      <c r="Q117">
        <f>IF(gescon_infosparticip!P116=FALSE,0,1)</f>
        <v>0</v>
      </c>
      <c r="R117">
        <f>IF(gescon_infosparticip!Q116=FALSE,0,1)</f>
        <v>0</v>
      </c>
      <c r="S117" t="str">
        <f>gescon_infosparticip!R116</f>
        <v/>
      </c>
      <c r="T117" t="str">
        <f>gescon_infosparticip!V116</f>
        <v/>
      </c>
      <c r="U117" t="str">
        <f>gescon_infosparticip!S116</f>
        <v>Bernard arrive à nager seul, mais il faut le surveiller.</v>
      </c>
      <c r="V117">
        <f>IF(gescon_infosparticip!U116=FALSE,0,1)</f>
        <v>0</v>
      </c>
      <c r="W117">
        <f>IF(gescon_infosparticip!T116=FALSE,0,1)</f>
        <v>0</v>
      </c>
      <c r="X117" t="str">
        <f>gescon_infosparticip!W116</f>
        <v/>
      </c>
      <c r="Y117">
        <f>IF(gescon_infosparticip!X116=FALSE,0,1)</f>
        <v>0</v>
      </c>
      <c r="Z117">
        <f>IF(gescon_infosparticip!Y116=FALSE,0,1)</f>
        <v>0</v>
      </c>
      <c r="AA117">
        <f>IF(gescon_infosparticip!Z116=FALSE,0,1)</f>
        <v>0</v>
      </c>
      <c r="AB117">
        <f>IF(gescon_infosparticip!AA116=FALSE,0,1)</f>
        <v>0</v>
      </c>
      <c r="AC117" t="str">
        <f>gescon_infosparticip!AB116</f>
        <v>Oral</v>
      </c>
      <c r="AD117" t="str">
        <f>gescon_infosparticip!AC116</f>
        <v>Bernard à une sœur qui s’appelle Vlora (1973) et qui habite à Massongex, un frère qui s’appelle Besim (1970) ainsi que 3 neveux ou nièce (Edouard, Raimonda, Enes qui habite à Massongex ). Il aime faire des farces, raconter des histoires, jouer aux cartes</v>
      </c>
      <c r="AE117" t="str">
        <f>gescon_infosparticip!AD116</f>
        <v/>
      </c>
      <c r="AF117" t="str">
        <f>gescon_infosparticip!AE116</f>
        <v/>
      </c>
      <c r="AG117" t="str">
        <f>gescon_infosparticip!AF116</f>
        <v/>
      </c>
      <c r="AH117" t="str">
        <f>gescon_infosparticip!AG116</f>
        <v>rien faire ou toujours faire la même chose.</v>
      </c>
      <c r="AI117" t="str">
        <f>gescon_infosparticip!BN116</f>
        <v/>
      </c>
      <c r="AJ117" t="str">
        <f>gescon_infosparticip!BO116</f>
        <v/>
      </c>
    </row>
    <row r="118" spans="2:36" x14ac:dyDescent="0.25">
      <c r="B118">
        <f>gescon_infosparticip!A117</f>
        <v>1014636521</v>
      </c>
      <c r="C118">
        <f>gescon_infosparticip!B117</f>
        <v>42426</v>
      </c>
      <c r="D118">
        <f>gescon_infosparticip!C117</f>
        <v>-2023558666</v>
      </c>
      <c r="E118">
        <f>gescon_infosparticip!D117</f>
        <v>-2023558666</v>
      </c>
      <c r="F118">
        <f>gescon_infosparticip!E117</f>
        <v>0</v>
      </c>
      <c r="G118">
        <f>gescon_infosparticip!F117</f>
        <v>0</v>
      </c>
      <c r="H118">
        <f>gescon_infosparticip!G117</f>
        <v>-2023558666</v>
      </c>
      <c r="I118" t="str">
        <f>gescon_infosparticip!H117</f>
        <v>Claudia 079 473 91 61 et Joao 079 919 45 14</v>
      </c>
      <c r="J118">
        <f>IF(gescon_infosparticip!I117=FALSE,0,1)</f>
        <v>0</v>
      </c>
      <c r="K118">
        <f>IF(gescon_infosparticip!J117=FALSE,0,1)</f>
        <v>1</v>
      </c>
      <c r="L118">
        <f>IF(gescon_infosparticip!K117=FALSE,0,1)</f>
        <v>1</v>
      </c>
      <c r="M118">
        <f>IF(gescon_infosparticip!L117=FALSE,0,1)</f>
        <v>0</v>
      </c>
      <c r="N118">
        <f>IF(gescon_infosparticip!M117=FALSE,0,1)</f>
        <v>0</v>
      </c>
      <c r="O118">
        <f>IF(gescon_infosparticip!N117=FALSE,0,1)</f>
        <v>0</v>
      </c>
      <c r="P118">
        <f>IF(gescon_infosparticip!O117=FALSE,0,1)</f>
        <v>0</v>
      </c>
      <c r="Q118">
        <f>IF(gescon_infosparticip!P117=FALSE,0,1)</f>
        <v>1</v>
      </c>
      <c r="R118">
        <f>IF(gescon_infosparticip!Q117=FALSE,0,1)</f>
        <v>0</v>
      </c>
      <c r="S118" t="str">
        <f>gescon_infosparticip!R117</f>
        <v>supporte les longs trajets en bus.</v>
      </c>
      <c r="T118" t="str">
        <f>gescon_infosparticip!V117</f>
        <v>il faut l'aider à s'habiller mais il nous aide.</v>
      </c>
      <c r="U118" t="str">
        <f>gescon_infosparticip!S117</f>
        <v>Antonio a besoin d’un accompagnant pour le tenir dans l'eau. Il apprécie la piscine avec les manchons.</v>
      </c>
      <c r="V118">
        <f>IF(gescon_infosparticip!U117=FALSE,0,1)</f>
        <v>1</v>
      </c>
      <c r="W118">
        <f>IF(gescon_infosparticip!T117=FALSE,0,1)</f>
        <v>1</v>
      </c>
      <c r="X118" t="str">
        <f>gescon_infosparticip!W117</f>
        <v>Il se couche en général vers 20h00 - 20h30</v>
      </c>
      <c r="Y118">
        <f>IF(gescon_infosparticip!X117=FALSE,0,1)</f>
        <v>0</v>
      </c>
      <c r="Z118">
        <f>IF(gescon_infosparticip!Y117=FALSE,0,1)</f>
        <v>0</v>
      </c>
      <c r="AA118">
        <f>IF(gescon_infosparticip!Z117=FALSE,0,1)</f>
        <v>0</v>
      </c>
      <c r="AB118">
        <f>IF(gescon_infosparticip!AA117=FALSE,0,1)</f>
        <v>0</v>
      </c>
      <c r="AC118" t="str">
        <f>gescon_infosparticip!AB117</f>
        <v>ordinateur pour communiquer. Il se fait bien comprendre, très expressif.</v>
      </c>
      <c r="AD118" t="str">
        <f>gescon_infosparticip!AC117</f>
        <v/>
      </c>
      <c r="AE118" t="str">
        <f>gescon_infosparticip!AD117</f>
        <v/>
      </c>
      <c r="AF118" t="str">
        <f>gescon_infosparticip!AE117</f>
        <v/>
      </c>
      <c r="AG118" t="str">
        <f>gescon_infosparticip!AF117</f>
        <v>Regarder des livres, faire des dessins, jouer à la pâte à modeler, écouter de la musique.
Il risque de tomber facilement, il est très vif, très sociable.
Il aime la piscine.</v>
      </c>
      <c r="AH118" t="str">
        <f>gescon_infosparticip!AG117</f>
        <v/>
      </c>
      <c r="AI118" t="str">
        <f>gescon_infosparticip!BN117</f>
        <v/>
      </c>
      <c r="AJ118" t="str">
        <f>gescon_infosparticip!BO117</f>
        <v/>
      </c>
    </row>
    <row r="119" spans="2:36" x14ac:dyDescent="0.25">
      <c r="B119">
        <f>gescon_infosparticip!A118</f>
        <v>1026306511</v>
      </c>
      <c r="C119">
        <f>gescon_infosparticip!B118</f>
        <v>40878</v>
      </c>
      <c r="D119">
        <f>gescon_infosparticip!C118</f>
        <v>0</v>
      </c>
      <c r="E119">
        <f>gescon_infosparticip!D118</f>
        <v>0</v>
      </c>
      <c r="F119">
        <f>gescon_infosparticip!E118</f>
        <v>0</v>
      </c>
      <c r="G119">
        <f>gescon_infosparticip!F118</f>
        <v>0</v>
      </c>
      <c r="H119">
        <f>gescon_infosparticip!G118</f>
        <v>0</v>
      </c>
      <c r="I119" t="str">
        <f>gescon_infosparticip!H118</f>
        <v/>
      </c>
      <c r="J119">
        <f>IF(gescon_infosparticip!I118=FALSE,0,1)</f>
        <v>0</v>
      </c>
      <c r="K119">
        <f>IF(gescon_infosparticip!J118=FALSE,0,1)</f>
        <v>0</v>
      </c>
      <c r="L119">
        <f>IF(gescon_infosparticip!K118=FALSE,0,1)</f>
        <v>0</v>
      </c>
      <c r="M119">
        <f>IF(gescon_infosparticip!L118=FALSE,0,1)</f>
        <v>0</v>
      </c>
      <c r="N119">
        <f>IF(gescon_infosparticip!M118=FALSE,0,1)</f>
        <v>0</v>
      </c>
      <c r="O119">
        <f>IF(gescon_infosparticip!N118=FALSE,0,1)</f>
        <v>0</v>
      </c>
      <c r="P119">
        <f>IF(gescon_infosparticip!O118=FALSE,0,1)</f>
        <v>0</v>
      </c>
      <c r="Q119">
        <f>IF(gescon_infosparticip!P118=FALSE,0,1)</f>
        <v>0</v>
      </c>
      <c r="R119">
        <f>IF(gescon_infosparticip!Q118=FALSE,0,1)</f>
        <v>0</v>
      </c>
      <c r="S119" t="str">
        <f>gescon_infosparticip!R118</f>
        <v/>
      </c>
      <c r="T119" t="str">
        <f>gescon_infosparticip!V118</f>
        <v/>
      </c>
      <c r="U119" t="str">
        <f>gescon_infosparticip!S118</f>
        <v/>
      </c>
      <c r="V119">
        <f>IF(gescon_infosparticip!U118=FALSE,0,1)</f>
        <v>0</v>
      </c>
      <c r="W119">
        <f>IF(gescon_infosparticip!T118=FALSE,0,1)</f>
        <v>0</v>
      </c>
      <c r="X119" t="str">
        <f>gescon_infosparticip!W118</f>
        <v/>
      </c>
      <c r="Y119">
        <f>IF(gescon_infosparticip!X118=FALSE,0,1)</f>
        <v>0</v>
      </c>
      <c r="Z119">
        <f>IF(gescon_infosparticip!Y118=FALSE,0,1)</f>
        <v>0</v>
      </c>
      <c r="AA119">
        <f>IF(gescon_infosparticip!Z118=FALSE,0,1)</f>
        <v>0</v>
      </c>
      <c r="AB119">
        <f>IF(gescon_infosparticip!AA118=FALSE,0,1)</f>
        <v>0</v>
      </c>
      <c r="AC119" t="str">
        <f>gescon_infosparticip!AB118</f>
        <v/>
      </c>
      <c r="AD119" t="str">
        <f>gescon_infosparticip!AC118</f>
        <v/>
      </c>
      <c r="AE119" t="str">
        <f>gescon_infosparticip!AD118</f>
        <v/>
      </c>
      <c r="AF119" t="str">
        <f>gescon_infosparticip!AE118</f>
        <v/>
      </c>
      <c r="AG119" t="str">
        <f>gescon_infosparticip!AF118</f>
        <v/>
      </c>
      <c r="AH119" t="str">
        <f>gescon_infosparticip!AG118</f>
        <v/>
      </c>
      <c r="AI119" t="str">
        <f>gescon_infosparticip!BN118</f>
        <v/>
      </c>
      <c r="AJ119" t="str">
        <f>gescon_infosparticip!BO118</f>
        <v/>
      </c>
    </row>
    <row r="120" spans="2:36" x14ac:dyDescent="0.25">
      <c r="B120">
        <f>gescon_infosparticip!A119</f>
        <v>1031232110</v>
      </c>
      <c r="C120">
        <f>gescon_infosparticip!B119</f>
        <v>40933</v>
      </c>
      <c r="D120">
        <f>gescon_infosparticip!C119</f>
        <v>0</v>
      </c>
      <c r="E120">
        <f>gescon_infosparticip!D119</f>
        <v>0</v>
      </c>
      <c r="F120">
        <f>gescon_infosparticip!E119</f>
        <v>0</v>
      </c>
      <c r="G120">
        <f>gescon_infosparticip!F119</f>
        <v>0</v>
      </c>
      <c r="H120">
        <f>gescon_infosparticip!G119</f>
        <v>0</v>
      </c>
      <c r="I120" t="str">
        <f>gescon_infosparticip!H119</f>
        <v/>
      </c>
      <c r="J120">
        <f>IF(gescon_infosparticip!I119=FALSE,0,1)</f>
        <v>0</v>
      </c>
      <c r="K120">
        <f>IF(gescon_infosparticip!J119=FALSE,0,1)</f>
        <v>0</v>
      </c>
      <c r="L120">
        <f>IF(gescon_infosparticip!K119=FALSE,0,1)</f>
        <v>0</v>
      </c>
      <c r="M120">
        <f>IF(gescon_infosparticip!L119=FALSE,0,1)</f>
        <v>0</v>
      </c>
      <c r="N120">
        <f>IF(gescon_infosparticip!M119=FALSE,0,1)</f>
        <v>0</v>
      </c>
      <c r="O120">
        <f>IF(gescon_infosparticip!N119=FALSE,0,1)</f>
        <v>0</v>
      </c>
      <c r="P120">
        <f>IF(gescon_infosparticip!O119=FALSE,0,1)</f>
        <v>0</v>
      </c>
      <c r="Q120">
        <f>IF(gescon_infosparticip!P119=FALSE,0,1)</f>
        <v>0</v>
      </c>
      <c r="R120">
        <f>IF(gescon_infosparticip!Q119=FALSE,0,1)</f>
        <v>0</v>
      </c>
      <c r="S120" t="str">
        <f>gescon_infosparticip!R119</f>
        <v/>
      </c>
      <c r="T120" t="str">
        <f>gescon_infosparticip!V119</f>
        <v/>
      </c>
      <c r="U120" t="str">
        <f>gescon_infosparticip!S119</f>
        <v/>
      </c>
      <c r="V120">
        <f>IF(gescon_infosparticip!U119=FALSE,0,1)</f>
        <v>0</v>
      </c>
      <c r="W120">
        <f>IF(gescon_infosparticip!T119=FALSE,0,1)</f>
        <v>0</v>
      </c>
      <c r="X120" t="str">
        <f>gescon_infosparticip!W119</f>
        <v/>
      </c>
      <c r="Y120">
        <f>IF(gescon_infosparticip!X119=FALSE,0,1)</f>
        <v>0</v>
      </c>
      <c r="Z120">
        <f>IF(gescon_infosparticip!Y119=FALSE,0,1)</f>
        <v>0</v>
      </c>
      <c r="AA120">
        <f>IF(gescon_infosparticip!Z119=FALSE,0,1)</f>
        <v>0</v>
      </c>
      <c r="AB120">
        <f>IF(gescon_infosparticip!AA119=FALSE,0,1)</f>
        <v>0</v>
      </c>
      <c r="AC120" t="str">
        <f>gescon_infosparticip!AB119</f>
        <v/>
      </c>
      <c r="AD120" t="str">
        <f>gescon_infosparticip!AC119</f>
        <v/>
      </c>
      <c r="AE120" t="str">
        <f>gescon_infosparticip!AD119</f>
        <v/>
      </c>
      <c r="AF120" t="str">
        <f>gescon_infosparticip!AE119</f>
        <v/>
      </c>
      <c r="AG120" t="str">
        <f>gescon_infosparticip!AF119</f>
        <v/>
      </c>
      <c r="AH120" t="str">
        <f>gescon_infosparticip!AG119</f>
        <v/>
      </c>
      <c r="AI120" t="str">
        <f>gescon_infosparticip!BN119</f>
        <v/>
      </c>
      <c r="AJ120" t="str">
        <f>gescon_infosparticip!BO119</f>
        <v/>
      </c>
    </row>
    <row r="121" spans="2:36" x14ac:dyDescent="0.25">
      <c r="B121">
        <f>gescon_infosparticip!A120</f>
        <v>1034322144</v>
      </c>
      <c r="C121">
        <f>gescon_infosparticip!B120</f>
        <v>37916.569652777798</v>
      </c>
      <c r="D121">
        <f>gescon_infosparticip!C120</f>
        <v>0</v>
      </c>
      <c r="E121">
        <f>gescon_infosparticip!D120</f>
        <v>0</v>
      </c>
      <c r="F121">
        <f>gescon_infosparticip!E120</f>
        <v>0</v>
      </c>
      <c r="G121">
        <f>gescon_infosparticip!F120</f>
        <v>0</v>
      </c>
      <c r="H121">
        <f>gescon_infosparticip!G120</f>
        <v>0</v>
      </c>
      <c r="I121" t="str">
        <f>gescon_infosparticip!H120</f>
        <v/>
      </c>
      <c r="J121">
        <f>IF(gescon_infosparticip!I120=FALSE,0,1)</f>
        <v>0</v>
      </c>
      <c r="K121">
        <f>IF(gescon_infosparticip!J120=FALSE,0,1)</f>
        <v>0</v>
      </c>
      <c r="L121">
        <f>IF(gescon_infosparticip!K120=FALSE,0,1)</f>
        <v>0</v>
      </c>
      <c r="M121">
        <f>IF(gescon_infosparticip!L120=FALSE,0,1)</f>
        <v>0</v>
      </c>
      <c r="N121">
        <f>IF(gescon_infosparticip!M120=FALSE,0,1)</f>
        <v>0</v>
      </c>
      <c r="O121">
        <f>IF(gescon_infosparticip!N120=FALSE,0,1)</f>
        <v>0</v>
      </c>
      <c r="P121">
        <f>IF(gescon_infosparticip!O120=FALSE,0,1)</f>
        <v>0</v>
      </c>
      <c r="Q121">
        <f>IF(gescon_infosparticip!P120=FALSE,0,1)</f>
        <v>0</v>
      </c>
      <c r="R121">
        <f>IF(gescon_infosparticip!Q120=FALSE,0,1)</f>
        <v>0</v>
      </c>
      <c r="S121" t="str">
        <f>gescon_infosparticip!R120</f>
        <v/>
      </c>
      <c r="T121" t="str">
        <f>gescon_infosparticip!V120</f>
        <v/>
      </c>
      <c r="U121" t="str">
        <f>gescon_infosparticip!S120</f>
        <v/>
      </c>
      <c r="V121">
        <f>IF(gescon_infosparticip!U120=FALSE,0,1)</f>
        <v>0</v>
      </c>
      <c r="W121">
        <f>IF(gescon_infosparticip!T120=FALSE,0,1)</f>
        <v>0</v>
      </c>
      <c r="X121" t="str">
        <f>gescon_infosparticip!W120</f>
        <v/>
      </c>
      <c r="Y121">
        <f>IF(gescon_infosparticip!X120=FALSE,0,1)</f>
        <v>0</v>
      </c>
      <c r="Z121">
        <f>IF(gescon_infosparticip!Y120=FALSE,0,1)</f>
        <v>0</v>
      </c>
      <c r="AA121">
        <f>IF(gescon_infosparticip!Z120=FALSE,0,1)</f>
        <v>0</v>
      </c>
      <c r="AB121">
        <f>IF(gescon_infosparticip!AA120=FALSE,0,1)</f>
        <v>0</v>
      </c>
      <c r="AC121" t="str">
        <f>gescon_infosparticip!AB120</f>
        <v/>
      </c>
      <c r="AD121" t="str">
        <f>gescon_infosparticip!AC120</f>
        <v/>
      </c>
      <c r="AE121" t="str">
        <f>gescon_infosparticip!AD120</f>
        <v/>
      </c>
      <c r="AF121" t="str">
        <f>gescon_infosparticip!AE120</f>
        <v/>
      </c>
      <c r="AG121" t="str">
        <f>gescon_infosparticip!AF120</f>
        <v/>
      </c>
      <c r="AH121" t="str">
        <f>gescon_infosparticip!AG120</f>
        <v/>
      </c>
      <c r="AI121" t="str">
        <f>gescon_infosparticip!BN120</f>
        <v/>
      </c>
      <c r="AJ121" t="str">
        <f>gescon_infosparticip!BO120</f>
        <v/>
      </c>
    </row>
    <row r="122" spans="2:36" x14ac:dyDescent="0.25">
      <c r="B122">
        <f>gescon_infosparticip!A121</f>
        <v>1035988716</v>
      </c>
      <c r="C122">
        <f>gescon_infosparticip!B121</f>
        <v>42858</v>
      </c>
      <c r="D122">
        <f>gescon_infosparticip!C121</f>
        <v>1785005949</v>
      </c>
      <c r="E122">
        <f>gescon_infosparticip!D121</f>
        <v>0</v>
      </c>
      <c r="F122">
        <f>gescon_infosparticip!E121</f>
        <v>0</v>
      </c>
      <c r="G122">
        <f>gescon_infosparticip!F121</f>
        <v>1424</v>
      </c>
      <c r="H122">
        <f>gescon_infosparticip!G121</f>
        <v>1785005949</v>
      </c>
      <c r="I122" t="str">
        <f>gescon_infosparticip!H121</f>
        <v>urgence: ou son frère Raymond au 024 485 13 15</v>
      </c>
      <c r="J122">
        <f>IF(gescon_infosparticip!I121=FALSE,0,1)</f>
        <v>0</v>
      </c>
      <c r="K122">
        <f>IF(gescon_infosparticip!J121=FALSE,0,1)</f>
        <v>0</v>
      </c>
      <c r="L122">
        <f>IF(gescon_infosparticip!K121=FALSE,0,1)</f>
        <v>0</v>
      </c>
      <c r="M122">
        <f>IF(gescon_infosparticip!L121=FALSE,0,1)</f>
        <v>1</v>
      </c>
      <c r="N122">
        <f>IF(gescon_infosparticip!M121=FALSE,0,1)</f>
        <v>0</v>
      </c>
      <c r="O122">
        <f>IF(gescon_infosparticip!N121=FALSE,0,1)</f>
        <v>0</v>
      </c>
      <c r="P122">
        <f>IF(gescon_infosparticip!O121=FALSE,0,1)</f>
        <v>0</v>
      </c>
      <c r="Q122">
        <f>IF(gescon_infosparticip!P121=FALSE,0,1)</f>
        <v>0</v>
      </c>
      <c r="R122">
        <f>IF(gescon_infosparticip!Q121=FALSE,0,1)</f>
        <v>1</v>
      </c>
      <c r="S122" t="str">
        <f>gescon_infosparticip!R121</f>
        <v>Supporte les longs trajets.</v>
      </c>
      <c r="T122" t="str">
        <f>gescon_infosparticip!V121</f>
        <v>Alain a besoin d'une aide totale</v>
      </c>
      <c r="U122" t="str">
        <f>gescon_infosparticip!S121</f>
        <v>Avec un ou deux adultes, il fait la planche sur le dos.</v>
      </c>
      <c r="V122">
        <f>IF(gescon_infosparticip!U121=FALSE,0,1)</f>
        <v>1</v>
      </c>
      <c r="W122">
        <f>IF(gescon_infosparticip!T121=FALSE,0,1)</f>
        <v>0</v>
      </c>
      <c r="X122" t="str">
        <f>gescon_infosparticip!W121</f>
        <v/>
      </c>
      <c r="Y122">
        <f>IF(gescon_infosparticip!X121=FALSE,0,1)</f>
        <v>0</v>
      </c>
      <c r="Z122">
        <f>IF(gescon_infosparticip!Y121=FALSE,0,1)</f>
        <v>0</v>
      </c>
      <c r="AA122">
        <f>IF(gescon_infosparticip!Z121=FALSE,0,1)</f>
        <v>0</v>
      </c>
      <c r="AB122">
        <f>IF(gescon_infosparticip!AA121=FALSE,0,1)</f>
        <v>1</v>
      </c>
      <c r="AC122" t="str">
        <f>gescon_infosparticip!AB121</f>
        <v>oral (difficultés d’élocution, mais il dit clairement oui ou non et quelques mots. Le reste est à décoder selon le sujet de discussion).</v>
      </c>
      <c r="AD122" t="str">
        <f>gescon_infosparticip!AC121</f>
        <v/>
      </c>
      <c r="AE122" t="str">
        <f>gescon_infosparticip!AD121</f>
        <v/>
      </c>
      <c r="AF122" t="str">
        <f>gescon_infosparticip!AE121</f>
        <v/>
      </c>
      <c r="AG122" t="str">
        <f>gescon_infosparticip!AF121</f>
        <v>Piscine, cinéma, promenades et regarder le journal.
Alain se montre très jovial.
Face à la nouveauté, Alain se montre réticent. Il faut insister pour qu'il découvre d'autres activités.</v>
      </c>
      <c r="AH122" t="str">
        <f>gescon_infosparticip!AG121</f>
        <v>Il n'aime pas dormir hors de la maison.</v>
      </c>
      <c r="AI122" t="str">
        <f>gescon_infosparticip!BN121</f>
        <v>A sa demande ou sur sa chaise. Attention il faut éviter d'avoir quelqu'un trop porche sur son côté droite car il ne contrôle pas tou le temps sa main droite.</v>
      </c>
      <c r="AJ122" t="str">
        <f>gescon_infosparticip!BO121</f>
        <v/>
      </c>
    </row>
    <row r="123" spans="2:36" x14ac:dyDescent="0.25">
      <c r="B123">
        <f>gescon_infosparticip!A122</f>
        <v>1041958732</v>
      </c>
      <c r="C123">
        <f>gescon_infosparticip!B122</f>
        <v>37858.420439814799</v>
      </c>
      <c r="D123">
        <f>gescon_infosparticip!C122</f>
        <v>-1549982252</v>
      </c>
      <c r="E123">
        <f>gescon_infosparticip!D122</f>
        <v>0</v>
      </c>
      <c r="F123">
        <f>gescon_infosparticip!E122</f>
        <v>0</v>
      </c>
      <c r="G123">
        <f>gescon_infosparticip!F122</f>
        <v>0</v>
      </c>
      <c r="H123">
        <f>gescon_infosparticip!G122</f>
        <v>0</v>
      </c>
      <c r="I123" t="str">
        <f>gescon_infosparticip!H122</f>
        <v/>
      </c>
      <c r="J123">
        <f>IF(gescon_infosparticip!I122=FALSE,0,1)</f>
        <v>0</v>
      </c>
      <c r="K123">
        <f>IF(gescon_infosparticip!J122=FALSE,0,1)</f>
        <v>0</v>
      </c>
      <c r="L123">
        <f>IF(gescon_infosparticip!K122=FALSE,0,1)</f>
        <v>0</v>
      </c>
      <c r="M123">
        <f>IF(gescon_infosparticip!L122=FALSE,0,1)</f>
        <v>0</v>
      </c>
      <c r="N123">
        <f>IF(gescon_infosparticip!M122=FALSE,0,1)</f>
        <v>0</v>
      </c>
      <c r="O123">
        <f>IF(gescon_infosparticip!N122=FALSE,0,1)</f>
        <v>0</v>
      </c>
      <c r="P123">
        <f>IF(gescon_infosparticip!O122=FALSE,0,1)</f>
        <v>0</v>
      </c>
      <c r="Q123">
        <f>IF(gescon_infosparticip!P122=FALSE,0,1)</f>
        <v>0</v>
      </c>
      <c r="R123">
        <f>IF(gescon_infosparticip!Q122=FALSE,0,1)</f>
        <v>0</v>
      </c>
      <c r="S123" t="str">
        <f>gescon_infosparticip!R122</f>
        <v/>
      </c>
      <c r="T123" t="str">
        <f>gescon_infosparticip!V122</f>
        <v/>
      </c>
      <c r="U123" t="str">
        <f>gescon_infosparticip!S122</f>
        <v>avec de l’aide et sous surveillance car elle ne sait pas nager.</v>
      </c>
      <c r="V123">
        <f>IF(gescon_infosparticip!U122=FALSE,0,1)</f>
        <v>1</v>
      </c>
      <c r="W123">
        <f>IF(gescon_infosparticip!T122=FALSE,0,1)</f>
        <v>0</v>
      </c>
      <c r="X123" t="str">
        <f>gescon_infosparticip!W122</f>
        <v/>
      </c>
      <c r="Y123">
        <f>IF(gescon_infosparticip!X122=FALSE,0,1)</f>
        <v>0</v>
      </c>
      <c r="Z123">
        <f>IF(gescon_infosparticip!Y122=FALSE,0,1)</f>
        <v>0</v>
      </c>
      <c r="AA123">
        <f>IF(gescon_infosparticip!Z122=FALSE,0,1)</f>
        <v>0</v>
      </c>
      <c r="AB123">
        <f>IF(gescon_infosparticip!AA122=FALSE,0,1)</f>
        <v>0</v>
      </c>
      <c r="AC123" t="str">
        <f>gescon_infosparticip!AB122</f>
        <v>Langage oral</v>
      </c>
      <c r="AD123" t="str">
        <f>gescon_infosparticip!AC122</f>
        <v>Dessin, la lecture, écouter de la musique, la danse. 
Roupali a deux sœurs : Sindou, Prithy et deux frères : Santosh et Soujoy 
Elle apprécie beaucoup le chat « Roucky » et son petit copain David.</v>
      </c>
      <c r="AE123" t="str">
        <f>gescon_infosparticip!AD122</f>
        <v/>
      </c>
      <c r="AF123" t="str">
        <f>gescon_infosparticip!AE122</f>
        <v/>
      </c>
      <c r="AG123" t="str">
        <f>gescon_infosparticip!AF122</f>
        <v/>
      </c>
      <c r="AH123" t="str">
        <f>gescon_infosparticip!AG122</f>
        <v>longues marches, raquettes, jeux d'adresse, ballon</v>
      </c>
      <c r="AI123" t="str">
        <f>gescon_infosparticip!BN122</f>
        <v/>
      </c>
      <c r="AJ123" t="str">
        <f>gescon_infosparticip!BO122</f>
        <v/>
      </c>
    </row>
    <row r="124" spans="2:36" x14ac:dyDescent="0.25">
      <c r="B124">
        <f>gescon_infosparticip!A123</f>
        <v>1045738360</v>
      </c>
      <c r="C124">
        <f>gescon_infosparticip!B123</f>
        <v>37833.347453703696</v>
      </c>
      <c r="D124">
        <f>gescon_infosparticip!C123</f>
        <v>2210</v>
      </c>
      <c r="E124">
        <f>gescon_infosparticip!D123</f>
        <v>0</v>
      </c>
      <c r="F124">
        <f>gescon_infosparticip!E123</f>
        <v>0</v>
      </c>
      <c r="G124">
        <f>gescon_infosparticip!F123</f>
        <v>1537752342</v>
      </c>
      <c r="H124">
        <f>gescon_infosparticip!G123</f>
        <v>0</v>
      </c>
      <c r="I124" t="str">
        <f>gescon_infosparticip!H123</f>
        <v/>
      </c>
      <c r="J124">
        <f>IF(gescon_infosparticip!I123=FALSE,0,1)</f>
        <v>0</v>
      </c>
      <c r="K124">
        <f>IF(gescon_infosparticip!J123=FALSE,0,1)</f>
        <v>0</v>
      </c>
      <c r="L124">
        <f>IF(gescon_infosparticip!K123=FALSE,0,1)</f>
        <v>0</v>
      </c>
      <c r="M124">
        <f>IF(gescon_infosparticip!L123=FALSE,0,1)</f>
        <v>0</v>
      </c>
      <c r="N124">
        <f>IF(gescon_infosparticip!M123=FALSE,0,1)</f>
        <v>0</v>
      </c>
      <c r="O124">
        <f>IF(gescon_infosparticip!N123=FALSE,0,1)</f>
        <v>0</v>
      </c>
      <c r="P124">
        <f>IF(gescon_infosparticip!O123=FALSE,0,1)</f>
        <v>0</v>
      </c>
      <c r="Q124">
        <f>IF(gescon_infosparticip!P123=FALSE,0,1)</f>
        <v>0</v>
      </c>
      <c r="R124">
        <f>IF(gescon_infosparticip!Q123=FALSE,0,1)</f>
        <v>0</v>
      </c>
      <c r="S124" t="str">
        <f>gescon_infosparticip!R123</f>
        <v/>
      </c>
      <c r="T124" t="str">
        <f>gescon_infosparticip!V123</f>
        <v/>
      </c>
      <c r="U124" t="str">
        <f>gescon_infosparticip!S123</f>
        <v>présence d’une personne obligatoire pour la tenir, de préférence un gilet. Guisepina n’aime pas beaucoup la piscine.</v>
      </c>
      <c r="V124">
        <f>IF(gescon_infosparticip!U123=FALSE,0,1)</f>
        <v>1</v>
      </c>
      <c r="W124">
        <f>IF(gescon_infosparticip!T123=FALSE,0,1)</f>
        <v>1</v>
      </c>
      <c r="X124" t="str">
        <f>gescon_infosparticip!W123</f>
        <v/>
      </c>
      <c r="Y124">
        <f>IF(gescon_infosparticip!X123=FALSE,0,1)</f>
        <v>0</v>
      </c>
      <c r="Z124">
        <f>IF(gescon_infosparticip!Y123=FALSE,0,1)</f>
        <v>0</v>
      </c>
      <c r="AA124">
        <f>IF(gescon_infosparticip!Z123=FALSE,0,1)</f>
        <v>0</v>
      </c>
      <c r="AB124">
        <f>IF(gescon_infosparticip!AA123=FALSE,0,1)</f>
        <v>0</v>
      </c>
      <c r="AC124" t="str">
        <f>gescon_infosparticip!AB123</f>
        <v>Elle parle un tout petit peu, pas forcément à bon escient. Elle dit le oui et le non. Quand elle est contente, elle éclate de rire. Elle répète souvent les mêmes phrases.</v>
      </c>
      <c r="AD124" t="str">
        <f>gescon_infosparticip!AC123</f>
        <v>Guisepina aime la musique, les histoires, les promenades, l’ambiance de fête et elle aime bien que l’on s’occupe d’elle pour se faire belle. 
Elle a deux frères : Fabio et Johnny</v>
      </c>
      <c r="AE124" t="str">
        <f>gescon_infosparticip!AD123</f>
        <v>Elle a deux frères: Fabio et Johnny</v>
      </c>
      <c r="AF124" t="str">
        <f>gescon_infosparticip!AE123</f>
        <v/>
      </c>
      <c r="AG124" t="str">
        <f>gescon_infosparticip!AF123</f>
        <v>Guisepina aime la musique, les histoires, les promenades, l’ambiance de fête et elle aime bien que l’on s’occupe d’elle pour se faire belle.</v>
      </c>
      <c r="AH124" t="str">
        <f>gescon_infosparticip!AG123</f>
        <v>La piscine</v>
      </c>
      <c r="AI124" t="str">
        <f>gescon_infosparticip!BN123</f>
        <v/>
      </c>
      <c r="AJ124" t="str">
        <f>gescon_infosparticip!BO123</f>
        <v/>
      </c>
    </row>
    <row r="125" spans="2:36" x14ac:dyDescent="0.25">
      <c r="B125">
        <f>gescon_infosparticip!A124</f>
        <v>1061796863</v>
      </c>
      <c r="C125">
        <f>gescon_infosparticip!B124</f>
        <v>37858.405289351896</v>
      </c>
      <c r="D125">
        <f>gescon_infosparticip!C124</f>
        <v>-1549982252</v>
      </c>
      <c r="E125">
        <f>gescon_infosparticip!D124</f>
        <v>2210</v>
      </c>
      <c r="F125">
        <f>gescon_infosparticip!E124</f>
        <v>0</v>
      </c>
      <c r="G125">
        <f>gescon_infosparticip!F124</f>
        <v>0</v>
      </c>
      <c r="H125">
        <f>gescon_infosparticip!G124</f>
        <v>0</v>
      </c>
      <c r="I125" t="str">
        <f>gescon_infosparticip!H124</f>
        <v/>
      </c>
      <c r="J125">
        <f>IF(gescon_infosparticip!I124=FALSE,0,1)</f>
        <v>0</v>
      </c>
      <c r="K125">
        <f>IF(gescon_infosparticip!J124=FALSE,0,1)</f>
        <v>0</v>
      </c>
      <c r="L125">
        <f>IF(gescon_infosparticip!K124=FALSE,0,1)</f>
        <v>0</v>
      </c>
      <c r="M125">
        <f>IF(gescon_infosparticip!L124=FALSE,0,1)</f>
        <v>0</v>
      </c>
      <c r="N125">
        <f>IF(gescon_infosparticip!M124=FALSE,0,1)</f>
        <v>0</v>
      </c>
      <c r="O125">
        <f>IF(gescon_infosparticip!N124=FALSE,0,1)</f>
        <v>0</v>
      </c>
      <c r="P125">
        <f>IF(gescon_infosparticip!O124=FALSE,0,1)</f>
        <v>0</v>
      </c>
      <c r="Q125">
        <f>IF(gescon_infosparticip!P124=FALSE,0,1)</f>
        <v>0</v>
      </c>
      <c r="R125">
        <f>IF(gescon_infosparticip!Q124=FALSE,0,1)</f>
        <v>0</v>
      </c>
      <c r="S125" t="str">
        <f>gescon_infosparticip!R124</f>
        <v/>
      </c>
      <c r="T125" t="str">
        <f>gescon_infosparticip!V124</f>
        <v/>
      </c>
      <c r="U125" t="str">
        <f>gescon_infosparticip!S124</f>
        <v>avec de l’aide et sous surveillance car elle ne sait pas nager</v>
      </c>
      <c r="V125">
        <f>IF(gescon_infosparticip!U124=FALSE,0,1)</f>
        <v>1</v>
      </c>
      <c r="W125">
        <f>IF(gescon_infosparticip!T124=FALSE,0,1)</f>
        <v>0</v>
      </c>
      <c r="X125" t="str">
        <f>gescon_infosparticip!W124</f>
        <v/>
      </c>
      <c r="Y125">
        <f>IF(gescon_infosparticip!X124=FALSE,0,1)</f>
        <v>0</v>
      </c>
      <c r="Z125">
        <f>IF(gescon_infosparticip!Y124=FALSE,0,1)</f>
        <v>0</v>
      </c>
      <c r="AA125">
        <f>IF(gescon_infosparticip!Z124=FALSE,0,1)</f>
        <v>0</v>
      </c>
      <c r="AB125">
        <f>IF(gescon_infosparticip!AA124=FALSE,0,1)</f>
        <v>0</v>
      </c>
      <c r="AC125" t="str">
        <f>gescon_infosparticip!AB124</f>
        <v>Langage oral</v>
      </c>
      <c r="AD125" t="str">
        <f>gescon_infosparticip!AC124</f>
        <v>la lecture, écouter de la musique, les jeux de sociétés 
Prithy a deux sœurs : Sindou, Roupali et deux frères : Santosh et Soujoy 
Elle apprécie beaucoup le chat « Filou » et son parrain Jacky et  sa marraine Patricia.</v>
      </c>
      <c r="AE125" t="str">
        <f>gescon_infosparticip!AD124</f>
        <v/>
      </c>
      <c r="AF125" t="str">
        <f>gescon_infosparticip!AE124</f>
        <v/>
      </c>
      <c r="AG125" t="str">
        <f>gescon_infosparticip!AF124</f>
        <v/>
      </c>
      <c r="AH125" t="str">
        <f>gescon_infosparticip!AG124</f>
        <v>Les longues marches</v>
      </c>
      <c r="AI125" t="str">
        <f>gescon_infosparticip!BN124</f>
        <v/>
      </c>
      <c r="AJ125" t="str">
        <f>gescon_infosparticip!BO124</f>
        <v/>
      </c>
    </row>
    <row r="126" spans="2:36" x14ac:dyDescent="0.25">
      <c r="B126">
        <f>gescon_infosparticip!A125</f>
        <v>1061896702</v>
      </c>
      <c r="C126">
        <f>gescon_infosparticip!B125</f>
        <v>37859.555740740703</v>
      </c>
      <c r="D126">
        <f>gescon_infosparticip!C125</f>
        <v>0</v>
      </c>
      <c r="E126">
        <f>gescon_infosparticip!D125</f>
        <v>0</v>
      </c>
      <c r="F126">
        <f>gescon_infosparticip!E125</f>
        <v>0</v>
      </c>
      <c r="G126">
        <f>gescon_infosparticip!F125</f>
        <v>0</v>
      </c>
      <c r="H126">
        <f>gescon_infosparticip!G125</f>
        <v>0</v>
      </c>
      <c r="I126" t="str">
        <f>gescon_infosparticip!H125</f>
        <v/>
      </c>
      <c r="J126">
        <f>IF(gescon_infosparticip!I125=FALSE,0,1)</f>
        <v>0</v>
      </c>
      <c r="K126">
        <f>IF(gescon_infosparticip!J125=FALSE,0,1)</f>
        <v>0</v>
      </c>
      <c r="L126">
        <f>IF(gescon_infosparticip!K125=FALSE,0,1)</f>
        <v>0</v>
      </c>
      <c r="M126">
        <f>IF(gescon_infosparticip!L125=FALSE,0,1)</f>
        <v>0</v>
      </c>
      <c r="N126">
        <f>IF(gescon_infosparticip!M125=FALSE,0,1)</f>
        <v>0</v>
      </c>
      <c r="O126">
        <f>IF(gescon_infosparticip!N125=FALSE,0,1)</f>
        <v>0</v>
      </c>
      <c r="P126">
        <f>IF(gescon_infosparticip!O125=FALSE,0,1)</f>
        <v>0</v>
      </c>
      <c r="Q126">
        <f>IF(gescon_infosparticip!P125=FALSE,0,1)</f>
        <v>0</v>
      </c>
      <c r="R126">
        <f>IF(gescon_infosparticip!Q125=FALSE,0,1)</f>
        <v>0</v>
      </c>
      <c r="S126" t="str">
        <f>gescon_infosparticip!R125</f>
        <v/>
      </c>
      <c r="T126" t="str">
        <f>gescon_infosparticip!V125</f>
        <v/>
      </c>
      <c r="U126" t="str">
        <f>gescon_infosparticip!S125</f>
        <v>Il demande qu'il y ait une personne avec lui, il ne sait pas nager.</v>
      </c>
      <c r="V126">
        <f>IF(gescon_infosparticip!U125=FALSE,0,1)</f>
        <v>0</v>
      </c>
      <c r="W126">
        <f>IF(gescon_infosparticip!T125=FALSE,0,1)</f>
        <v>0</v>
      </c>
      <c r="X126" t="str">
        <f>gescon_infosparticip!W125</f>
        <v/>
      </c>
      <c r="Y126">
        <f>IF(gescon_infosparticip!X125=FALSE,0,1)</f>
        <v>0</v>
      </c>
      <c r="Z126">
        <f>IF(gescon_infosparticip!Y125=FALSE,0,1)</f>
        <v>0</v>
      </c>
      <c r="AA126">
        <f>IF(gescon_infosparticip!Z125=FALSE,0,1)</f>
        <v>0</v>
      </c>
      <c r="AB126">
        <f>IF(gescon_infosparticip!AA125=FALSE,0,1)</f>
        <v>0</v>
      </c>
      <c r="AC126" t="str">
        <f>gescon_infosparticip!AB125</f>
        <v/>
      </c>
      <c r="AD126" t="str">
        <f>gescon_infosparticip!AC125</f>
        <v>Il aime les toboggans, les balançoires(avec surveillance). Il s'amuse avec ses petites voitures.</v>
      </c>
      <c r="AE126" t="str">
        <f>gescon_infosparticip!AD125</f>
        <v/>
      </c>
      <c r="AF126" t="str">
        <f>gescon_infosparticip!AE125</f>
        <v/>
      </c>
      <c r="AG126" t="str">
        <f>gescon_infosparticip!AF125</f>
        <v/>
      </c>
      <c r="AH126" t="str">
        <f>gescon_infosparticip!AG125</f>
        <v>a peur des grands bruits s'il ne les connaît pas</v>
      </c>
      <c r="AI126" t="str">
        <f>gescon_infosparticip!BN125</f>
        <v/>
      </c>
      <c r="AJ126" t="str">
        <f>gescon_infosparticip!BO125</f>
        <v/>
      </c>
    </row>
    <row r="127" spans="2:36" x14ac:dyDescent="0.25">
      <c r="B127">
        <f>gescon_infosparticip!A126</f>
        <v>1061977115</v>
      </c>
      <c r="C127">
        <f>gescon_infosparticip!B126</f>
        <v>38103.477175925902</v>
      </c>
      <c r="D127">
        <f>gescon_infosparticip!C126</f>
        <v>305</v>
      </c>
      <c r="E127">
        <f>gescon_infosparticip!D126</f>
        <v>0</v>
      </c>
      <c r="F127">
        <f>gescon_infosparticip!E126</f>
        <v>0</v>
      </c>
      <c r="G127">
        <f>gescon_infosparticip!F126</f>
        <v>0</v>
      </c>
      <c r="H127">
        <f>gescon_infosparticip!G126</f>
        <v>0</v>
      </c>
      <c r="I127" t="str">
        <f>gescon_infosparticip!H126</f>
        <v/>
      </c>
      <c r="J127">
        <f>IF(gescon_infosparticip!I126=FALSE,0,1)</f>
        <v>0</v>
      </c>
      <c r="K127">
        <f>IF(gescon_infosparticip!J126=FALSE,0,1)</f>
        <v>0</v>
      </c>
      <c r="L127">
        <f>IF(gescon_infosparticip!K126=FALSE,0,1)</f>
        <v>0</v>
      </c>
      <c r="M127">
        <f>IF(gescon_infosparticip!L126=FALSE,0,1)</f>
        <v>0</v>
      </c>
      <c r="N127">
        <f>IF(gescon_infosparticip!M126=FALSE,0,1)</f>
        <v>0</v>
      </c>
      <c r="O127">
        <f>IF(gescon_infosparticip!N126=FALSE,0,1)</f>
        <v>0</v>
      </c>
      <c r="P127">
        <f>IF(gescon_infosparticip!O126=FALSE,0,1)</f>
        <v>0</v>
      </c>
      <c r="Q127">
        <f>IF(gescon_infosparticip!P126=FALSE,0,1)</f>
        <v>0</v>
      </c>
      <c r="R127">
        <f>IF(gescon_infosparticip!Q126=FALSE,0,1)</f>
        <v>0</v>
      </c>
      <c r="S127" t="str">
        <f>gescon_infosparticip!R126</f>
        <v/>
      </c>
      <c r="T127" t="str">
        <f>gescon_infosparticip!V126</f>
        <v/>
      </c>
      <c r="U127" t="str">
        <f>gescon_infosparticip!S126</f>
        <v>Attention au sol glissant à la piscine</v>
      </c>
      <c r="V127">
        <f>IF(gescon_infosparticip!U126=FALSE,0,1)</f>
        <v>1</v>
      </c>
      <c r="W127">
        <f>IF(gescon_infosparticip!T126=FALSE,0,1)</f>
        <v>0</v>
      </c>
      <c r="X127" t="str">
        <f>gescon_infosparticip!W126</f>
        <v/>
      </c>
      <c r="Y127">
        <f>IF(gescon_infosparticip!X126=FALSE,0,1)</f>
        <v>0</v>
      </c>
      <c r="Z127">
        <f>IF(gescon_infosparticip!Y126=FALSE,0,1)</f>
        <v>0</v>
      </c>
      <c r="AA127">
        <f>IF(gescon_infosparticip!Z126=FALSE,0,1)</f>
        <v>0</v>
      </c>
      <c r="AB127">
        <f>IF(gescon_infosparticip!AA126=FALSE,0,1)</f>
        <v>0</v>
      </c>
      <c r="AC127" t="str">
        <f>gescon_infosparticip!AB126</f>
        <v>Langage oral</v>
      </c>
      <c r="AD127" t="str">
        <f>gescon_infosparticip!AC126</f>
        <v>Rahel a 3 frères (Sébastien 1988, Michaël 1989 et Lukas 1993). Elle aime nager et paresser.</v>
      </c>
      <c r="AE127" t="str">
        <f>gescon_infosparticip!AD126</f>
        <v/>
      </c>
      <c r="AF127" t="str">
        <f>gescon_infosparticip!AE126</f>
        <v/>
      </c>
      <c r="AG127" t="str">
        <f>gescon_infosparticip!AF126</f>
        <v/>
      </c>
      <c r="AH127" t="str">
        <f>gescon_infosparticip!AG126</f>
        <v>Elle n'aime pas courir.</v>
      </c>
      <c r="AI127" t="str">
        <f>gescon_infosparticip!BN126</f>
        <v/>
      </c>
      <c r="AJ127" t="str">
        <f>gescon_infosparticip!BO126</f>
        <v/>
      </c>
    </row>
    <row r="128" spans="2:36" x14ac:dyDescent="0.25">
      <c r="B128">
        <f>gescon_infosparticip!A127</f>
        <v>1074518627</v>
      </c>
      <c r="C128">
        <f>gescon_infosparticip!B127</f>
        <v>38030.6251388889</v>
      </c>
      <c r="D128">
        <f>gescon_infosparticip!C127</f>
        <v>0</v>
      </c>
      <c r="E128">
        <f>gescon_infosparticip!D127</f>
        <v>0</v>
      </c>
      <c r="F128">
        <f>gescon_infosparticip!E127</f>
        <v>0</v>
      </c>
      <c r="G128">
        <f>gescon_infosparticip!F127</f>
        <v>269</v>
      </c>
      <c r="H128">
        <f>gescon_infosparticip!G127</f>
        <v>0</v>
      </c>
      <c r="I128" t="str">
        <f>gescon_infosparticip!H127</f>
        <v/>
      </c>
      <c r="J128">
        <f>IF(gescon_infosparticip!I127=FALSE,0,1)</f>
        <v>0</v>
      </c>
      <c r="K128">
        <f>IF(gescon_infosparticip!J127=FALSE,0,1)</f>
        <v>0</v>
      </c>
      <c r="L128">
        <f>IF(gescon_infosparticip!K127=FALSE,0,1)</f>
        <v>0</v>
      </c>
      <c r="M128">
        <f>IF(gescon_infosparticip!L127=FALSE,0,1)</f>
        <v>0</v>
      </c>
      <c r="N128">
        <f>IF(gescon_infosparticip!M127=FALSE,0,1)</f>
        <v>0</v>
      </c>
      <c r="O128">
        <f>IF(gescon_infosparticip!N127=FALSE,0,1)</f>
        <v>0</v>
      </c>
      <c r="P128">
        <f>IF(gescon_infosparticip!O127=FALSE,0,1)</f>
        <v>0</v>
      </c>
      <c r="Q128">
        <f>IF(gescon_infosparticip!P127=FALSE,0,1)</f>
        <v>0</v>
      </c>
      <c r="R128">
        <f>IF(gescon_infosparticip!Q127=FALSE,0,1)</f>
        <v>0</v>
      </c>
      <c r="S128" t="str">
        <f>gescon_infosparticip!R127</f>
        <v/>
      </c>
      <c r="T128" t="str">
        <f>gescon_infosparticip!V127</f>
        <v/>
      </c>
      <c r="U128" t="str">
        <f>gescon_infosparticip!S127</f>
        <v>N'aime pas trop. A besoin d'aide. Pas de gilet.</v>
      </c>
      <c r="V128">
        <f>IF(gescon_infosparticip!U127=FALSE,0,1)</f>
        <v>1</v>
      </c>
      <c r="W128">
        <f>IF(gescon_infosparticip!T127=FALSE,0,1)</f>
        <v>0</v>
      </c>
      <c r="X128" t="str">
        <f>gescon_infosparticip!W127</f>
        <v/>
      </c>
      <c r="Y128">
        <f>IF(gescon_infosparticip!X127=FALSE,0,1)</f>
        <v>0</v>
      </c>
      <c r="Z128">
        <f>IF(gescon_infosparticip!Y127=FALSE,0,1)</f>
        <v>0</v>
      </c>
      <c r="AA128">
        <f>IF(gescon_infosparticip!Z127=FALSE,0,1)</f>
        <v>0</v>
      </c>
      <c r="AB128">
        <f>IF(gescon_infosparticip!AA127=FALSE,0,1)</f>
        <v>0</v>
      </c>
      <c r="AC128" t="str">
        <f>gescon_infosparticip!AB127</f>
        <v>Parle. A un appareil pour entendre.</v>
      </c>
      <c r="AD128" t="str">
        <f>gescon_infosparticip!AC127</f>
        <v>René aime l'ordinateur, se promener en ville. Fait les mots croisés. Aime l'astrologie.Discuter.
René a deux sœurs et deux nièces.</v>
      </c>
      <c r="AE128" t="str">
        <f>gescon_infosparticip!AD127</f>
        <v/>
      </c>
      <c r="AF128" t="str">
        <f>gescon_infosparticip!AE127</f>
        <v/>
      </c>
      <c r="AG128" t="str">
        <f>gescon_infosparticip!AF127</f>
        <v/>
      </c>
      <c r="AH128" t="str">
        <f>gescon_infosparticip!AG127</f>
        <v/>
      </c>
      <c r="AI128" t="str">
        <f>gescon_infosparticip!BN127</f>
        <v/>
      </c>
      <c r="AJ128" t="str">
        <f>gescon_infosparticip!BO127</f>
        <v/>
      </c>
    </row>
    <row r="129" spans="2:36" x14ac:dyDescent="0.25">
      <c r="B129">
        <f>gescon_infosparticip!A128</f>
        <v>1083240723</v>
      </c>
      <c r="C129">
        <f>gescon_infosparticip!B128</f>
        <v>38198.520671296297</v>
      </c>
      <c r="D129">
        <f>gescon_infosparticip!C128</f>
        <v>0</v>
      </c>
      <c r="E129">
        <f>gescon_infosparticip!D128</f>
        <v>0</v>
      </c>
      <c r="F129">
        <f>gescon_infosparticip!E128</f>
        <v>0</v>
      </c>
      <c r="G129">
        <f>gescon_infosparticip!F128</f>
        <v>0</v>
      </c>
      <c r="H129">
        <f>gescon_infosparticip!G128</f>
        <v>0</v>
      </c>
      <c r="I129" t="str">
        <f>gescon_infosparticip!H128</f>
        <v/>
      </c>
      <c r="J129">
        <f>IF(gescon_infosparticip!I128=FALSE,0,1)</f>
        <v>0</v>
      </c>
      <c r="K129">
        <f>IF(gescon_infosparticip!J128=FALSE,0,1)</f>
        <v>0</v>
      </c>
      <c r="L129">
        <f>IF(gescon_infosparticip!K128=FALSE,0,1)</f>
        <v>0</v>
      </c>
      <c r="M129">
        <f>IF(gescon_infosparticip!L128=FALSE,0,1)</f>
        <v>0</v>
      </c>
      <c r="N129">
        <f>IF(gescon_infosparticip!M128=FALSE,0,1)</f>
        <v>0</v>
      </c>
      <c r="O129">
        <f>IF(gescon_infosparticip!N128=FALSE,0,1)</f>
        <v>0</v>
      </c>
      <c r="P129">
        <f>IF(gescon_infosparticip!O128=FALSE,0,1)</f>
        <v>0</v>
      </c>
      <c r="Q129">
        <f>IF(gescon_infosparticip!P128=FALSE,0,1)</f>
        <v>0</v>
      </c>
      <c r="R129">
        <f>IF(gescon_infosparticip!Q128=FALSE,0,1)</f>
        <v>0</v>
      </c>
      <c r="S129" t="str">
        <f>gescon_infosparticip!R128</f>
        <v/>
      </c>
      <c r="T129" t="str">
        <f>gescon_infosparticip!V128</f>
        <v/>
      </c>
      <c r="U129" t="str">
        <f>gescon_infosparticip!S128</f>
        <v/>
      </c>
      <c r="V129">
        <f>IF(gescon_infosparticip!U128=FALSE,0,1)</f>
        <v>0</v>
      </c>
      <c r="W129">
        <f>IF(gescon_infosparticip!T128=FALSE,0,1)</f>
        <v>0</v>
      </c>
      <c r="X129" t="str">
        <f>gescon_infosparticip!W128</f>
        <v/>
      </c>
      <c r="Y129">
        <f>IF(gescon_infosparticip!X128=FALSE,0,1)</f>
        <v>0</v>
      </c>
      <c r="Z129">
        <f>IF(gescon_infosparticip!Y128=FALSE,0,1)</f>
        <v>0</v>
      </c>
      <c r="AA129">
        <f>IF(gescon_infosparticip!Z128=FALSE,0,1)</f>
        <v>0</v>
      </c>
      <c r="AB129">
        <f>IF(gescon_infosparticip!AA128=FALSE,0,1)</f>
        <v>0</v>
      </c>
      <c r="AC129" t="str">
        <f>gescon_infosparticip!AB128</f>
        <v/>
      </c>
      <c r="AD129" t="str">
        <f>gescon_infosparticip!AC128</f>
        <v/>
      </c>
      <c r="AE129" t="str">
        <f>gescon_infosparticip!AD128</f>
        <v/>
      </c>
      <c r="AF129" t="str">
        <f>gescon_infosparticip!AE128</f>
        <v/>
      </c>
      <c r="AG129" t="str">
        <f>gescon_infosparticip!AF128</f>
        <v/>
      </c>
      <c r="AH129" t="str">
        <f>gescon_infosparticip!AG128</f>
        <v/>
      </c>
      <c r="AI129" t="str">
        <f>gescon_infosparticip!BN128</f>
        <v/>
      </c>
      <c r="AJ129" t="str">
        <f>gescon_infosparticip!BO128</f>
        <v/>
      </c>
    </row>
    <row r="130" spans="2:36" x14ac:dyDescent="0.25">
      <c r="B130">
        <f>gescon_infosparticip!A129</f>
        <v>1087386639</v>
      </c>
      <c r="C130">
        <f>gescon_infosparticip!B129</f>
        <v>42888</v>
      </c>
      <c r="D130">
        <f>gescon_infosparticip!C129</f>
        <v>0</v>
      </c>
      <c r="E130">
        <f>gescon_infosparticip!D129</f>
        <v>0</v>
      </c>
      <c r="F130">
        <f>gescon_infosparticip!E129</f>
        <v>0</v>
      </c>
      <c r="G130">
        <f>gescon_infosparticip!F129</f>
        <v>2146189130</v>
      </c>
      <c r="H130">
        <f>gescon_infosparticip!G129</f>
        <v>1424</v>
      </c>
      <c r="I130" t="str">
        <f>gescon_infosparticip!H129</f>
        <v>B1 (rez) - 024 473 51 41 - Anne-Christine Vuigner</v>
      </c>
      <c r="J130">
        <f>IF(gescon_infosparticip!I129=FALSE,0,1)</f>
        <v>0</v>
      </c>
      <c r="K130">
        <f>IF(gescon_infosparticip!J129=FALSE,0,1)</f>
        <v>0</v>
      </c>
      <c r="L130">
        <f>IF(gescon_infosparticip!K129=FALSE,0,1)</f>
        <v>0</v>
      </c>
      <c r="M130">
        <f>IF(gescon_infosparticip!L129=FALSE,0,1)</f>
        <v>1</v>
      </c>
      <c r="N130">
        <f>IF(gescon_infosparticip!M129=FALSE,0,1)</f>
        <v>0</v>
      </c>
      <c r="O130">
        <f>IF(gescon_infosparticip!N129=FALSE,0,1)</f>
        <v>0</v>
      </c>
      <c r="P130">
        <f>IF(gescon_infosparticip!O129=FALSE,0,1)</f>
        <v>0</v>
      </c>
      <c r="Q130">
        <f>IF(gescon_infosparticip!P129=FALSE,0,1)</f>
        <v>1</v>
      </c>
      <c r="R130">
        <f>IF(gescon_infosparticip!Q129=FALSE,0,1)</f>
        <v>0</v>
      </c>
      <c r="S130" t="str">
        <f>gescon_infosparticip!R129</f>
        <v>Supporte les longs trajets en bus. Mais il peut rouspéter sans raisons apparentes- nous pouvons lui demander de se calmer.
Fauteuil manuel poussé par un accompagnant.</v>
      </c>
      <c r="T130" t="str">
        <f>gescon_infosparticip!V129</f>
        <v>dépendance totale</v>
      </c>
      <c r="U130" t="str">
        <f>gescon_infosparticip!S129</f>
        <v>Il est 100% dépendant</v>
      </c>
      <c r="V130">
        <f>IF(gescon_infosparticip!U129=FALSE,0,1)</f>
        <v>1</v>
      </c>
      <c r="W130">
        <f>IF(gescon_infosparticip!T129=FALSE,0,1)</f>
        <v>1</v>
      </c>
      <c r="X130" t="str">
        <f>gescon_infosparticip!W129</f>
        <v>lit à barrière : oui ou éventuellement matelas parterre.horaire : La nuit il dort bien. Veiller à ne pas mettre sa main droite trop près du mur il peut se blesser - Surélever ses genoux et le dossier</v>
      </c>
      <c r="Y130">
        <f>IF(gescon_infosparticip!X129=FALSE,0,1)</f>
        <v>0</v>
      </c>
      <c r="Z130">
        <f>IF(gescon_infosparticip!Y129=FALSE,0,1)</f>
        <v>0</v>
      </c>
      <c r="AA130">
        <f>IF(gescon_infosparticip!Z129=FALSE,0,1)</f>
        <v>0</v>
      </c>
      <c r="AB130">
        <f>IF(gescon_infosparticip!AA129=FALSE,0,1)</f>
        <v>1</v>
      </c>
      <c r="AC130" t="str">
        <f>gescon_infosparticip!AB129</f>
        <v>non-verbale : regard chaleureux, visage expressif</v>
      </c>
      <c r="AD130" t="str">
        <f>gescon_infosparticip!AC129</f>
        <v>Il n’a pas de famille</v>
      </c>
      <c r="AE130" t="str">
        <f>gescon_infosparticip!AD129</f>
        <v/>
      </c>
      <c r="AF130" t="str">
        <f>gescon_infosparticip!AE129</f>
        <v/>
      </c>
      <c r="AG130" t="str">
        <f>gescon_infosparticip!AF129</f>
        <v>Il aime les promenades. Il aime être manipulé, tourné. Il aime aussi les concerts, la piscine, les massages, mettre ses lunettes de soleil, la vie en groupe : il est très sensible à l'ambiance. Lorsqu’il revient d’un camp ou d’un week-end, un carnet de bord lui permet de nous raconter son séjour. De cette manière, il peut revivre et apprécier son camp quelques semaines plus tard.</v>
      </c>
      <c r="AH130" t="str">
        <f>gescon_infosparticip!AG129</f>
        <v>Quand une activité est prévue il se prépare et s’en réjouit, mais si cette activité est annulée, il peut se montrer très contrarié et énervé.Il aime la vie en groupe mais pas trop de bruit.
Dans les cas où il est trop bruyant et dérange, il peut être remis à l’ordre et isolé un moment.</v>
      </c>
      <c r="AI130" t="str">
        <f>gescon_infosparticip!BN129</f>
        <v>Le coucher au moins une fois dans la journée, avec un gros coussin sous les genoux et un petit coussin sous la tête. Incliner sa chaise une fois l’après-midi (presque couché). Inclinaison à 30° au repos.</v>
      </c>
      <c r="AJ130" t="str">
        <f>gescon_infosparticip!BO129</f>
        <v>Le mettre bien au fond de la chaise. La fixation au niveau de ses hanches. Il donne l'impression d'être serré afin d'éviter les mauvaises postures. Si jambes trop tendues, ne pas mettre lanières aux pieds. La chaise no doit jamais être inclinée tout en av</v>
      </c>
    </row>
    <row r="131" spans="2:36" x14ac:dyDescent="0.25">
      <c r="B131">
        <f>gescon_infosparticip!A130</f>
        <v>1087391122</v>
      </c>
      <c r="C131">
        <f>gescon_infosparticip!B130</f>
        <v>41093</v>
      </c>
      <c r="D131">
        <f>gescon_infosparticip!C130</f>
        <v>1087394735</v>
      </c>
      <c r="E131">
        <f>gescon_infosparticip!D130</f>
        <v>1087394735</v>
      </c>
      <c r="F131">
        <f>gescon_infosparticip!E130</f>
        <v>0</v>
      </c>
      <c r="G131">
        <f>gescon_infosparticip!F130</f>
        <v>1424</v>
      </c>
      <c r="H131">
        <f>gescon_infosparticip!G130</f>
        <v>1424</v>
      </c>
      <c r="I131" t="str">
        <f>gescon_infosparticip!H130</f>
        <v>B1 024 473 51 41</v>
      </c>
      <c r="J131">
        <f>IF(gescon_infosparticip!I130=FALSE,0,1)</f>
        <v>0</v>
      </c>
      <c r="K131">
        <f>IF(gescon_infosparticip!J130=FALSE,0,1)</f>
        <v>1</v>
      </c>
      <c r="L131">
        <f>IF(gescon_infosparticip!K130=FALSE,0,1)</f>
        <v>1</v>
      </c>
      <c r="M131">
        <f>IF(gescon_infosparticip!L130=FALSE,0,1)</f>
        <v>0</v>
      </c>
      <c r="N131">
        <f>IF(gescon_infosparticip!M130=FALSE,0,1)</f>
        <v>0</v>
      </c>
      <c r="O131">
        <f>IF(gescon_infosparticip!N130=FALSE,0,1)</f>
        <v>0</v>
      </c>
      <c r="P131">
        <f>IF(gescon_infosparticip!O130=FALSE,0,1)</f>
        <v>0</v>
      </c>
      <c r="Q131">
        <f>IF(gescon_infosparticip!P130=FALSE,0,1)</f>
        <v>1</v>
      </c>
      <c r="R131">
        <f>IF(gescon_infosparticip!Q130=FALSE,0,1)</f>
        <v>0</v>
      </c>
      <c r="S131" t="str">
        <f>gescon_infosparticip!R130</f>
        <v>Supporte les longs trajets en bus
Dans le fauteuil : toujours bien attaché avec sa table. Toujours laisser la barre des pieds sur la chaise à l'extérieur. Risque de blessure</v>
      </c>
      <c r="T131" t="str">
        <f>gescon_infosparticip!V130</f>
        <v>Aide totale</v>
      </c>
      <c r="U131" t="str">
        <f>gescon_infosparticip!S130</f>
        <v>100% dépendant avec un gilet de sauvetage</v>
      </c>
      <c r="V131">
        <f>IF(gescon_infosparticip!U130=FALSE,0,1)</f>
        <v>0</v>
      </c>
      <c r="W131">
        <f>IF(gescon_infosparticip!T130=FALSE,0,1)</f>
        <v>1</v>
      </c>
      <c r="X131" t="str">
        <f>gescon_infosparticip!W130</f>
        <v>Sieste ou changement de position après le dîner.
La nuit, il n'y a pas besoin de changer de position. Il dort avec une ceinture de soutien. Il doit avoir les jambes surélevées au coucher.
Parfois, il a de la peine à dormir (pleures et agitement). S'il a de la peine, lui donner sa réserve 0,25mg Halcion</v>
      </c>
      <c r="Y131">
        <f>IF(gescon_infosparticip!X130=FALSE,0,1)</f>
        <v>0</v>
      </c>
      <c r="Z131">
        <f>IF(gescon_infosparticip!Y130=FALSE,0,1)</f>
        <v>0</v>
      </c>
      <c r="AA131">
        <f>IF(gescon_infosparticip!Z130=FALSE,0,1)</f>
        <v>0</v>
      </c>
      <c r="AB131">
        <f>IF(gescon_infosparticip!AA130=FALSE,0,1)</f>
        <v>1</v>
      </c>
      <c r="AC131" t="str">
        <f>gescon_infosparticip!AB130</f>
        <v>Non-verbale : rires, sourires
Rire nerveux : le calmer - euphorie : le recadrer verbalement - passe vite d'un état émotinnel à l'autre (du rire aux larmes)</v>
      </c>
      <c r="AD131" t="str">
        <f>gescon_infosparticip!AC130</f>
        <v/>
      </c>
      <c r="AE131" t="str">
        <f>gescon_infosparticip!AD130</f>
        <v>Anté et Yvano (frères)</v>
      </c>
      <c r="AF131" t="str">
        <f>gescon_infosparticip!AE130</f>
        <v/>
      </c>
      <c r="AG131" t="str">
        <f>gescon_infosparticip!AF130</f>
        <v>Parler de ses parents de sa famille, boire un verre de coca, musique, se balader. Il a besoin d'attention, il faut tout faire pour lui.</v>
      </c>
      <c r="AH131" t="str">
        <f>gescon_infosparticip!AG130</f>
        <v>Activités bruyantes et agitées</v>
      </c>
      <c r="AI131" t="str">
        <f>gescon_infosparticip!BN130</f>
        <v>Le mettre parterre sur un tapis, sur le dos, élever les jambes - Possibilité d'incliner sa chaise.</v>
      </c>
      <c r="AJ131" t="str">
        <f>gescon_infosparticip!BO130</f>
        <v>pas la nuit</v>
      </c>
    </row>
    <row r="132" spans="2:36" x14ac:dyDescent="0.25">
      <c r="B132">
        <f>gescon_infosparticip!A131</f>
        <v>1088577847</v>
      </c>
      <c r="C132">
        <f>gescon_infosparticip!B131</f>
        <v>41089</v>
      </c>
      <c r="D132">
        <f>gescon_infosparticip!C131</f>
        <v>0</v>
      </c>
      <c r="E132">
        <f>gescon_infosparticip!D131</f>
        <v>0</v>
      </c>
      <c r="F132">
        <f>gescon_infosparticip!E131</f>
        <v>0</v>
      </c>
      <c r="G132">
        <f>gescon_infosparticip!F131</f>
        <v>0</v>
      </c>
      <c r="H132">
        <f>gescon_infosparticip!G131</f>
        <v>0</v>
      </c>
      <c r="I132" t="str">
        <f>gescon_infosparticip!H131</f>
        <v/>
      </c>
      <c r="J132">
        <f>IF(gescon_infosparticip!I131=FALSE,0,1)</f>
        <v>0</v>
      </c>
      <c r="K132">
        <f>IF(gescon_infosparticip!J131=FALSE,0,1)</f>
        <v>0</v>
      </c>
      <c r="L132">
        <f>IF(gescon_infosparticip!K131=FALSE,0,1)</f>
        <v>0</v>
      </c>
      <c r="M132">
        <f>IF(gescon_infosparticip!L131=FALSE,0,1)</f>
        <v>0</v>
      </c>
      <c r="N132">
        <f>IF(gescon_infosparticip!M131=FALSE,0,1)</f>
        <v>0</v>
      </c>
      <c r="O132">
        <f>IF(gescon_infosparticip!N131=FALSE,0,1)</f>
        <v>0</v>
      </c>
      <c r="P132">
        <f>IF(gescon_infosparticip!O131=FALSE,0,1)</f>
        <v>0</v>
      </c>
      <c r="Q132">
        <f>IF(gescon_infosparticip!P131=FALSE,0,1)</f>
        <v>0</v>
      </c>
      <c r="R132">
        <f>IF(gescon_infosparticip!Q131=FALSE,0,1)</f>
        <v>0</v>
      </c>
      <c r="S132" t="str">
        <f>gescon_infosparticip!R131</f>
        <v/>
      </c>
      <c r="T132" t="str">
        <f>gescon_infosparticip!V131</f>
        <v/>
      </c>
      <c r="U132" t="str">
        <f>gescon_infosparticip!S131</f>
        <v/>
      </c>
      <c r="V132">
        <f>IF(gescon_infosparticip!U131=FALSE,0,1)</f>
        <v>0</v>
      </c>
      <c r="W132">
        <f>IF(gescon_infosparticip!T131=FALSE,0,1)</f>
        <v>0</v>
      </c>
      <c r="X132" t="str">
        <f>gescon_infosparticip!W131</f>
        <v/>
      </c>
      <c r="Y132">
        <f>IF(gescon_infosparticip!X131=FALSE,0,1)</f>
        <v>0</v>
      </c>
      <c r="Z132">
        <f>IF(gescon_infosparticip!Y131=FALSE,0,1)</f>
        <v>0</v>
      </c>
      <c r="AA132">
        <f>IF(gescon_infosparticip!Z131=FALSE,0,1)</f>
        <v>0</v>
      </c>
      <c r="AB132">
        <f>IF(gescon_infosparticip!AA131=FALSE,0,1)</f>
        <v>0</v>
      </c>
      <c r="AC132" t="str">
        <f>gescon_infosparticip!AB131</f>
        <v/>
      </c>
      <c r="AD132" t="str">
        <f>gescon_infosparticip!AC131</f>
        <v/>
      </c>
      <c r="AE132" t="str">
        <f>gescon_infosparticip!AD131</f>
        <v/>
      </c>
      <c r="AF132" t="str">
        <f>gescon_infosparticip!AE131</f>
        <v/>
      </c>
      <c r="AG132" t="str">
        <f>gescon_infosparticip!AF131</f>
        <v/>
      </c>
      <c r="AH132" t="str">
        <f>gescon_infosparticip!AG131</f>
        <v/>
      </c>
      <c r="AI132" t="str">
        <f>gescon_infosparticip!BN131</f>
        <v/>
      </c>
      <c r="AJ132" t="str">
        <f>gescon_infosparticip!BO131</f>
        <v/>
      </c>
    </row>
    <row r="133" spans="2:36" x14ac:dyDescent="0.25">
      <c r="B133">
        <f>gescon_infosparticip!A132</f>
        <v>1100016670</v>
      </c>
      <c r="C133">
        <f>gescon_infosparticip!B132</f>
        <v>42886</v>
      </c>
      <c r="D133">
        <f>gescon_infosparticip!C132</f>
        <v>0</v>
      </c>
      <c r="E133">
        <f>gescon_infosparticip!D132</f>
        <v>0</v>
      </c>
      <c r="F133">
        <f>gescon_infosparticip!E132</f>
        <v>461</v>
      </c>
      <c r="G133">
        <f>gescon_infosparticip!F132</f>
        <v>0</v>
      </c>
      <c r="H133">
        <f>gescon_infosparticip!G132</f>
        <v>461</v>
      </c>
      <c r="I133" t="str">
        <f>gescon_infosparticip!H132</f>
        <v/>
      </c>
      <c r="J133">
        <f>IF(gescon_infosparticip!I132=FALSE,0,1)</f>
        <v>0</v>
      </c>
      <c r="K133">
        <f>IF(gescon_infosparticip!J132=FALSE,0,1)</f>
        <v>0</v>
      </c>
      <c r="L133">
        <f>IF(gescon_infosparticip!K132=FALSE,0,1)</f>
        <v>0</v>
      </c>
      <c r="M133">
        <f>IF(gescon_infosparticip!L132=FALSE,0,1)</f>
        <v>1</v>
      </c>
      <c r="N133">
        <f>IF(gescon_infosparticip!M132=FALSE,0,1)</f>
        <v>0</v>
      </c>
      <c r="O133">
        <f>IF(gescon_infosparticip!N132=FALSE,0,1)</f>
        <v>1</v>
      </c>
      <c r="P133">
        <f>IF(gescon_infosparticip!O132=FALSE,0,1)</f>
        <v>0</v>
      </c>
      <c r="Q133">
        <f>IF(gescon_infosparticip!P132=FALSE,0,1)</f>
        <v>1</v>
      </c>
      <c r="R133">
        <f>IF(gescon_infosparticip!Q132=FALSE,0,1)</f>
        <v>0</v>
      </c>
      <c r="S133" t="str">
        <f>gescon_infosparticip!R132</f>
        <v>Peu se déplacer debout pour de court trajet. Il supporte les longs trajets.</v>
      </c>
      <c r="T133" t="str">
        <f>gescon_infosparticip!V132</f>
        <v>Il a besoin d'une aide complète.</v>
      </c>
      <c r="U133" t="str">
        <f>gescon_infosparticip!S132</f>
        <v>Il aime la piscine mais il a constamment besoin d'avoir quelqu'un à côté de lui.</v>
      </c>
      <c r="V133">
        <f>IF(gescon_infosparticip!U132=FALSE,0,1)</f>
        <v>1</v>
      </c>
      <c r="W133">
        <f>IF(gescon_infosparticip!T132=FALSE,0,1)</f>
        <v>0</v>
      </c>
      <c r="X133" t="str">
        <f>gescon_infosparticip!W132</f>
        <v>Il a une couverture Zewi et va au lit vers les 21:00. Il dort env. 9h par nuit et est debout vers les 07:00.</v>
      </c>
      <c r="Y133">
        <f>IF(gescon_infosparticip!X132=FALSE,0,1)</f>
        <v>0</v>
      </c>
      <c r="Z133">
        <f>IF(gescon_infosparticip!Y132=FALSE,0,1)</f>
        <v>0</v>
      </c>
      <c r="AA133">
        <f>IF(gescon_infosparticip!Z132=FALSE,0,1)</f>
        <v>0</v>
      </c>
      <c r="AB133">
        <f>IF(gescon_infosparticip!AA132=FALSE,0,1)</f>
        <v>0</v>
      </c>
      <c r="AC133" t="str">
        <f>gescon_infosparticip!AB132</f>
        <v>Pour dire oui, il tape la main sur le thorax et pour dire non ou s'il n'est pas content, il se pince la joue. Il arrive à dire adieu, papa, au revoir, en chantant.</v>
      </c>
      <c r="AD133" t="str">
        <f>gescon_infosparticip!AC132</f>
        <v/>
      </c>
      <c r="AE133" t="str">
        <f>gescon_infosparticip!AD132</f>
        <v>Il a deux demi-frères, Samuel qui est de 2005 et François de 1987 avec qui il vit.</v>
      </c>
      <c r="AF133" t="str">
        <f>gescon_infosparticip!AE132</f>
        <v/>
      </c>
      <c r="AG133" t="str">
        <f>gescon_infosparticip!AF132</f>
        <v>Romain habite chez sa grand-mère, son papa passe régulièrement lui rendre visite. Romain aime la musique, taper sur des boîtes, jouer, chiffonner des journaux.</v>
      </c>
      <c r="AH133" t="str">
        <f>gescon_infosparticip!AG132</f>
        <v/>
      </c>
      <c r="AI133" t="str">
        <f>gescon_infosparticip!BN132</f>
        <v>non</v>
      </c>
      <c r="AJ133" t="str">
        <f>gescon_infosparticip!BO132</f>
        <v/>
      </c>
    </row>
    <row r="134" spans="2:36" x14ac:dyDescent="0.25">
      <c r="B134">
        <f>gescon_infosparticip!A133</f>
        <v>1100158231</v>
      </c>
      <c r="C134">
        <f>gescon_infosparticip!B133</f>
        <v>42859</v>
      </c>
      <c r="D134">
        <f>gescon_infosparticip!C133</f>
        <v>1194363996</v>
      </c>
      <c r="E134">
        <f>gescon_infosparticip!D133</f>
        <v>0</v>
      </c>
      <c r="F134">
        <f>gescon_infosparticip!E133</f>
        <v>0</v>
      </c>
      <c r="G134">
        <f>gescon_infosparticip!F133</f>
        <v>2677</v>
      </c>
      <c r="H134">
        <f>gescon_infosparticip!G133</f>
        <v>0</v>
      </c>
      <c r="I134" t="str">
        <f>gescon_infosparticip!H133</f>
        <v>Audrey Kreutzer - 027 322 62 03  079/428.23.32</v>
      </c>
      <c r="J134">
        <f>IF(gescon_infosparticip!I133=FALSE,0,1)</f>
        <v>0</v>
      </c>
      <c r="K134">
        <f>IF(gescon_infosparticip!J133=FALSE,0,1)</f>
        <v>0</v>
      </c>
      <c r="L134">
        <f>IF(gescon_infosparticip!K133=FALSE,0,1)</f>
        <v>0</v>
      </c>
      <c r="M134">
        <f>IF(gescon_infosparticip!L133=FALSE,0,1)</f>
        <v>1</v>
      </c>
      <c r="N134">
        <f>IF(gescon_infosparticip!M133=FALSE,0,1)</f>
        <v>1</v>
      </c>
      <c r="O134">
        <f>IF(gescon_infosparticip!N133=FALSE,0,1)</f>
        <v>1</v>
      </c>
      <c r="P134">
        <f>IF(gescon_infosparticip!O133=FALSE,0,1)</f>
        <v>0</v>
      </c>
      <c r="Q134">
        <f>IF(gescon_infosparticip!P133=FALSE,0,1)</f>
        <v>0</v>
      </c>
      <c r="R134">
        <f>IF(gescon_infosparticip!Q133=FALSE,0,1)</f>
        <v>0</v>
      </c>
      <c r="S134" t="str">
        <f>gescon_infosparticip!R133</f>
        <v>Il supporte les trajets mais il a régulièrement besoin d'aller aux toilettes afin qu'il ne souille pas son pantalon. Il a tendance à mouiller.</v>
      </c>
      <c r="T134" t="str">
        <f>gescon_infosparticip!V133</f>
        <v>Il s'habille seul sauf attacher le pantalon et nouer ses lacets. Mettre du talc pour enfilier ses chaussettes, car difficile pour lui. Patrick demande sil a besoin de l'aide.</v>
      </c>
      <c r="U134" t="str">
        <f>gescon_infosparticip!S133</f>
        <v>Ne sait pas nager. Besoin d'une aide permanente et individuelle. Manchons obligatoires.</v>
      </c>
      <c r="V134">
        <f>IF(gescon_infosparticip!U133=FALSE,0,1)</f>
        <v>1</v>
      </c>
      <c r="W134">
        <f>IF(gescon_infosparticip!T133=FALSE,0,1)</f>
        <v>1</v>
      </c>
      <c r="X134" t="str">
        <f>gescon_infosparticip!W133</f>
        <v>Il va se coucher quand il le désire, en général entre 19h30 - 21h00. Il se met seul en pyjama. Aucun rituel particulier, va se coucher de manière autonome.</v>
      </c>
      <c r="Y134">
        <f>IF(gescon_infosparticip!X133=FALSE,0,1)</f>
        <v>0</v>
      </c>
      <c r="Z134">
        <f>IF(gescon_infosparticip!Y133=FALSE,0,1)</f>
        <v>0</v>
      </c>
      <c r="AA134">
        <f>IF(gescon_infosparticip!Z133=FALSE,0,1)</f>
        <v>0</v>
      </c>
      <c r="AB134">
        <f>IF(gescon_infosparticip!AA133=FALSE,0,1)</f>
        <v>0</v>
      </c>
      <c r="AC134" t="str">
        <f>gescon_infosparticip!AB133</f>
        <v>Patrick n'a pas acquis le langage oral. Gestes basiques pour exprimer certaines choses. Possède un moyen auxiliaire de communication, B.A.BAR et un classeur de pictogramme qu'il ne veut plus utiliser</v>
      </c>
      <c r="AD134" t="str">
        <f>gescon_infosparticip!AC133</f>
        <v>sa maman est décédée le 4 mars 2003. Il lui reste son papa.</v>
      </c>
      <c r="AE134" t="str">
        <f>gescon_infosparticip!AD133</f>
        <v>Les rencontres avec son frère Philippe sont depuis quelques temps mensuelles.</v>
      </c>
      <c r="AF134" t="str">
        <f>gescon_infosparticip!AE133</f>
        <v/>
      </c>
      <c r="AG134" t="str">
        <f>gescon_infosparticip!AF133</f>
        <v>Aime les balades même s'il éprouve de la difficulté à marcher, boire un verre, écouter de la musique.
Il travail dans un centre de jour des ateliers de la manufacture où sa personne de référence s'appelle Romain Chenaux. Au home son éducateur s'appelle Audrey Kreutzer. Il apprécie énormement les bateaux, les lacs et les films.</v>
      </c>
      <c r="AH134" t="str">
        <f>gescon_infosparticip!AG133</f>
        <v>Pas d'activités particulières.</v>
      </c>
      <c r="AI134" t="str">
        <f>gescon_infosparticip!BN133</f>
        <v>S'asseoit et se lève seul, sans aide. Besoin d'aide pour rentrer dans une baignoire.</v>
      </c>
      <c r="AJ134" t="str">
        <f>gescon_infosparticip!BO133</f>
        <v/>
      </c>
    </row>
    <row r="135" spans="2:36" x14ac:dyDescent="0.25">
      <c r="B135">
        <f>gescon_infosparticip!A134</f>
        <v>1106056329</v>
      </c>
      <c r="C135">
        <f>gescon_infosparticip!B134</f>
        <v>42426</v>
      </c>
      <c r="D135">
        <f>gescon_infosparticip!C134</f>
        <v>0</v>
      </c>
      <c r="E135">
        <f>gescon_infosparticip!D134</f>
        <v>0</v>
      </c>
      <c r="F135">
        <f>gescon_infosparticip!E134</f>
        <v>0</v>
      </c>
      <c r="G135">
        <f>gescon_infosparticip!F134</f>
        <v>0</v>
      </c>
      <c r="H135">
        <f>gescon_infosparticip!G134</f>
        <v>0</v>
      </c>
      <c r="I135" t="str">
        <f>gescon_infosparticip!H134</f>
        <v/>
      </c>
      <c r="J135">
        <f>IF(gescon_infosparticip!I134=FALSE,0,1)</f>
        <v>0</v>
      </c>
      <c r="K135">
        <f>IF(gescon_infosparticip!J134=FALSE,0,1)</f>
        <v>0</v>
      </c>
      <c r="L135">
        <f>IF(gescon_infosparticip!K134=FALSE,0,1)</f>
        <v>0</v>
      </c>
      <c r="M135">
        <f>IF(gescon_infosparticip!L134=FALSE,0,1)</f>
        <v>0</v>
      </c>
      <c r="N135">
        <f>IF(gescon_infosparticip!M134=FALSE,0,1)</f>
        <v>0</v>
      </c>
      <c r="O135">
        <f>IF(gescon_infosparticip!N134=FALSE,0,1)</f>
        <v>0</v>
      </c>
      <c r="P135">
        <f>IF(gescon_infosparticip!O134=FALSE,0,1)</f>
        <v>0</v>
      </c>
      <c r="Q135">
        <f>IF(gescon_infosparticip!P134=FALSE,0,1)</f>
        <v>0</v>
      </c>
      <c r="R135">
        <f>IF(gescon_infosparticip!Q134=FALSE,0,1)</f>
        <v>0</v>
      </c>
      <c r="S135" t="str">
        <f>gescon_infosparticip!R134</f>
        <v/>
      </c>
      <c r="T135" t="str">
        <f>gescon_infosparticip!V134</f>
        <v/>
      </c>
      <c r="U135" t="str">
        <f>gescon_infosparticip!S134</f>
        <v/>
      </c>
      <c r="V135">
        <f>IF(gescon_infosparticip!U134=FALSE,0,1)</f>
        <v>0</v>
      </c>
      <c r="W135">
        <f>IF(gescon_infosparticip!T134=FALSE,0,1)</f>
        <v>0</v>
      </c>
      <c r="X135" t="str">
        <f>gescon_infosparticip!W134</f>
        <v/>
      </c>
      <c r="Y135">
        <f>IF(gescon_infosparticip!X134=FALSE,0,1)</f>
        <v>0</v>
      </c>
      <c r="Z135">
        <f>IF(gescon_infosparticip!Y134=FALSE,0,1)</f>
        <v>0</v>
      </c>
      <c r="AA135">
        <f>IF(gescon_infosparticip!Z134=FALSE,0,1)</f>
        <v>0</v>
      </c>
      <c r="AB135">
        <f>IF(gescon_infosparticip!AA134=FALSE,0,1)</f>
        <v>0</v>
      </c>
      <c r="AC135" t="str">
        <f>gescon_infosparticip!AB134</f>
        <v/>
      </c>
      <c r="AD135" t="str">
        <f>gescon_infosparticip!AC134</f>
        <v/>
      </c>
      <c r="AE135" t="str">
        <f>gescon_infosparticip!AD134</f>
        <v/>
      </c>
      <c r="AF135" t="str">
        <f>gescon_infosparticip!AE134</f>
        <v/>
      </c>
      <c r="AG135" t="str">
        <f>gescon_infosparticip!AF134</f>
        <v/>
      </c>
      <c r="AH135" t="str">
        <f>gescon_infosparticip!AG134</f>
        <v/>
      </c>
      <c r="AI135" t="str">
        <f>gescon_infosparticip!BN134</f>
        <v/>
      </c>
      <c r="AJ135" t="str">
        <f>gescon_infosparticip!BO134</f>
        <v/>
      </c>
    </row>
    <row r="136" spans="2:36" x14ac:dyDescent="0.25">
      <c r="B136">
        <f>gescon_infosparticip!A135</f>
        <v>1115645303</v>
      </c>
      <c r="C136">
        <f>gescon_infosparticip!B135</f>
        <v>42955</v>
      </c>
      <c r="D136">
        <f>gescon_infosparticip!C135</f>
        <v>0</v>
      </c>
      <c r="E136">
        <f>gescon_infosparticip!D135</f>
        <v>0</v>
      </c>
      <c r="F136">
        <f>gescon_infosparticip!E135</f>
        <v>1117457943</v>
      </c>
      <c r="G136">
        <f>gescon_infosparticip!F135</f>
        <v>1424</v>
      </c>
      <c r="H136">
        <f>gescon_infosparticip!G135</f>
        <v>2146189128</v>
      </c>
      <c r="I136" t="str">
        <f>gescon_infosparticip!H135</f>
        <v>C1 - G. Lomazzi - 024 473 51 51</v>
      </c>
      <c r="J136">
        <f>IF(gescon_infosparticip!I135=FALSE,0,1)</f>
        <v>0</v>
      </c>
      <c r="K136">
        <f>IF(gescon_infosparticip!J135=FALSE,0,1)</f>
        <v>1</v>
      </c>
      <c r="L136">
        <f>IF(gescon_infosparticip!K135=FALSE,0,1)</f>
        <v>0</v>
      </c>
      <c r="M136">
        <f>IF(gescon_infosparticip!L135=FALSE,0,1)</f>
        <v>1</v>
      </c>
      <c r="N136">
        <f>IF(gescon_infosparticip!M135=FALSE,0,1)</f>
        <v>0</v>
      </c>
      <c r="O136">
        <f>IF(gescon_infosparticip!N135=FALSE,0,1)</f>
        <v>1</v>
      </c>
      <c r="P136">
        <f>IF(gescon_infosparticip!O135=FALSE,0,1)</f>
        <v>0</v>
      </c>
      <c r="Q136">
        <f>IF(gescon_infosparticip!P135=FALSE,0,1)</f>
        <v>1</v>
      </c>
      <c r="R136">
        <f>IF(gescon_infosparticip!Q135=FALSE,0,1)</f>
        <v>0</v>
      </c>
      <c r="S136" t="str">
        <f>gescon_infosparticip!R135</f>
        <v>Supporte les longs trajets en bus : Il peut être assis sur un siège de bus
Il est capable de se déplacer en chaise pour obtenir quelque chose. Lorsqu'il est exité, la marche le détend</v>
      </c>
      <c r="T136" t="str">
        <f>gescon_infosparticip!V135</f>
        <v>Aide totale : Est toutefois capable d'enlever le haut avec de l’aide
Mettre toujours un foulard sur la veste pour éviter le surplus de lessive</v>
      </c>
      <c r="U136" t="str">
        <f>gescon_infosparticip!S135</f>
        <v>Aide totale</v>
      </c>
      <c r="V136">
        <f>IF(gescon_infosparticip!U135=FALSE,0,1)</f>
        <v>1</v>
      </c>
      <c r="W136">
        <f>IF(gescon_infosparticip!T135=FALSE,0,1)</f>
        <v>1</v>
      </c>
      <c r="X136" t="str">
        <f>gescon_infosparticip!W135</f>
        <v>Sur le dos - alèse plastifiée sous la tête car il bave - sans coussin.
Peut être agité et faire du bruit (voir médication)
Pyjama avec fermeture dans le dos
Coucher vers 20h00 mais supporte bien la fête.</v>
      </c>
      <c r="Y136">
        <f>IF(gescon_infosparticip!X135=FALSE,0,1)</f>
        <v>0</v>
      </c>
      <c r="Z136">
        <f>IF(gescon_infosparticip!Y135=FALSE,0,1)</f>
        <v>0</v>
      </c>
      <c r="AA136">
        <f>IF(gescon_infosparticip!Z135=FALSE,0,1)</f>
        <v>1</v>
      </c>
      <c r="AB136">
        <f>IF(gescon_infosparticip!AA135=FALSE,0,1)</f>
        <v>1</v>
      </c>
      <c r="AC136" t="str">
        <f>gescon_infosparticip!AB135</f>
        <v>Ne parle pas : il crie et agite les bras s'il est content. Il se mord s'il est fâché. Il pleure en cas de douleur
A être attentif car il a tendance à attraper les chaises des autres et les cheveux.</v>
      </c>
      <c r="AD136" t="str">
        <f>gescon_infosparticip!AC135</f>
        <v/>
      </c>
      <c r="AE136" t="str">
        <f>gescon_infosparticip!AD135</f>
        <v>Une sœur . N'a pas de contact</v>
      </c>
      <c r="AF136" t="str">
        <f>gescon_infosparticip!AE135</f>
        <v/>
      </c>
      <c r="AG136" t="str">
        <f>gescon_infosparticip!AF135</f>
        <v>Découvrir et toucher les choses
Musique (si on lui tient la guitare il arrive à en jouer)
Piscine, balade, être en interaction avec les autres</v>
      </c>
      <c r="AH136" t="str">
        <f>gescon_infosparticip!AG135</f>
        <v>N'aime pas rester sans rien faire</v>
      </c>
      <c r="AI136" t="str">
        <f>gescon_infosparticip!BN135</f>
        <v>le sortir de la chaise le faire marcher ou le coucher à sur le dos.</v>
      </c>
      <c r="AJ136" t="str">
        <f>gescon_infosparticip!BO135</f>
        <v>chaque 2h</v>
      </c>
    </row>
    <row r="137" spans="2:36" x14ac:dyDescent="0.25">
      <c r="B137">
        <f>gescon_infosparticip!A136</f>
        <v>1116339152</v>
      </c>
      <c r="C137">
        <f>gescon_infosparticip!B136</f>
        <v>42852</v>
      </c>
      <c r="D137">
        <f>gescon_infosparticip!C136</f>
        <v>1298966339</v>
      </c>
      <c r="E137">
        <f>gescon_infosparticip!D136</f>
        <v>173</v>
      </c>
      <c r="F137">
        <f>gescon_infosparticip!E136</f>
        <v>1298966339</v>
      </c>
      <c r="G137">
        <f>gescon_infosparticip!F136</f>
        <v>0</v>
      </c>
      <c r="H137">
        <f>gescon_infosparticip!G136</f>
        <v>2146189128</v>
      </c>
      <c r="I137" t="str">
        <f>gescon_infosparticip!H136</f>
        <v/>
      </c>
      <c r="J137">
        <f>IF(gescon_infosparticip!I136=FALSE,0,1)</f>
        <v>0</v>
      </c>
      <c r="K137">
        <f>IF(gescon_infosparticip!J136=FALSE,0,1)</f>
        <v>1</v>
      </c>
      <c r="L137">
        <f>IF(gescon_infosparticip!K136=FALSE,0,1)</f>
        <v>0</v>
      </c>
      <c r="M137">
        <f>IF(gescon_infosparticip!L136=FALSE,0,1)</f>
        <v>1</v>
      </c>
      <c r="N137">
        <f>IF(gescon_infosparticip!M136=FALSE,0,1)</f>
        <v>0</v>
      </c>
      <c r="O137">
        <f>IF(gescon_infosparticip!N136=FALSE,0,1)</f>
        <v>0</v>
      </c>
      <c r="P137">
        <f>IF(gescon_infosparticip!O136=FALSE,0,1)</f>
        <v>0</v>
      </c>
      <c r="Q137">
        <f>IF(gescon_infosparticip!P136=FALSE,0,1)</f>
        <v>1</v>
      </c>
      <c r="R137">
        <f>IF(gescon_infosparticip!Q136=FALSE,0,1)</f>
        <v>0</v>
      </c>
      <c r="S137" t="str">
        <f>gescon_infosparticip!R136</f>
        <v>Supporte les longs trajets en bus. Position fauteuil : bien au fond, bien droite</v>
      </c>
      <c r="T137" t="str">
        <f>gescon_infosparticip!V136</f>
        <v>Aide totale</v>
      </c>
      <c r="U137" t="str">
        <f>gescon_infosparticip!S136</f>
        <v>Aide et dépendance totale</v>
      </c>
      <c r="V137">
        <f>IF(gescon_infosparticip!U136=FALSE,0,1)</f>
        <v>0</v>
      </c>
      <c r="W137">
        <f>IF(gescon_infosparticip!T136=FALSE,0,1)</f>
        <v>1</v>
      </c>
      <c r="X137" t="str">
        <f>gescon_infosparticip!W136</f>
        <v>dort sur le dos ou en latéral gauche avec barrière des deux côtés</v>
      </c>
      <c r="Y137">
        <f>IF(gescon_infosparticip!X136=FALSE,0,1)</f>
        <v>0</v>
      </c>
      <c r="Z137">
        <f>IF(gescon_infosparticip!Y136=FALSE,0,1)</f>
        <v>0</v>
      </c>
      <c r="AA137">
        <f>IF(gescon_infosparticip!Z136=FALSE,0,1)</f>
        <v>0</v>
      </c>
      <c r="AB137">
        <f>IF(gescon_infosparticip!AA136=FALSE,0,1)</f>
        <v>0</v>
      </c>
      <c r="AC137" t="str">
        <f>gescon_infosparticip!AB136</f>
        <v>Langage oral : petits cris répétitifs : signes de mauvaises humeurs. Se secoue et se balance dans sa chaise. Rigole bien quand on est seul avec elle.</v>
      </c>
      <c r="AD137" t="str">
        <f>gescon_infosparticip!AC136</f>
        <v>Mère : Gabrielle 
Père : Jean-Luc divorcé</v>
      </c>
      <c r="AE137" t="str">
        <f>gescon_infosparticip!AD136</f>
        <v/>
      </c>
      <c r="AF137" t="str">
        <f>gescon_infosparticip!AE136</f>
        <v/>
      </c>
      <c r="AG137" t="str">
        <f>gescon_infosparticip!AF136</f>
        <v>Musique (Pierre Bachelet, Céline Dion, Joe Dassin) Ecouter de la musique et danser, se promener, faire la fëte, feuilleter son livre.</v>
      </c>
      <c r="AH137" t="str">
        <f>gescon_infosparticip!AG136</f>
        <v>Activités avec trop de bruits subits (ex. pétard)</v>
      </c>
      <c r="AI137" t="str">
        <f>gescon_infosparticip!BN136</f>
        <v>Couchée sur le dos</v>
      </c>
      <c r="AJ137" t="str">
        <f>gescon_infosparticip!BO136</f>
        <v>A la demi-journée</v>
      </c>
    </row>
    <row r="138" spans="2:36" x14ac:dyDescent="0.25">
      <c r="B138">
        <f>gescon_infosparticip!A137</f>
        <v>1119442659</v>
      </c>
      <c r="C138">
        <f>gescon_infosparticip!B137</f>
        <v>41073</v>
      </c>
      <c r="D138">
        <f>gescon_infosparticip!C137</f>
        <v>0</v>
      </c>
      <c r="E138">
        <f>gescon_infosparticip!D137</f>
        <v>0</v>
      </c>
      <c r="F138">
        <f>gescon_infosparticip!E137</f>
        <v>0</v>
      </c>
      <c r="G138">
        <f>gescon_infosparticip!F137</f>
        <v>0</v>
      </c>
      <c r="H138">
        <f>gescon_infosparticip!G137</f>
        <v>0</v>
      </c>
      <c r="I138" t="str">
        <f>gescon_infosparticip!H137</f>
        <v/>
      </c>
      <c r="J138">
        <f>IF(gescon_infosparticip!I137=FALSE,0,1)</f>
        <v>0</v>
      </c>
      <c r="K138">
        <f>IF(gescon_infosparticip!J137=FALSE,0,1)</f>
        <v>0</v>
      </c>
      <c r="L138">
        <f>IF(gescon_infosparticip!K137=FALSE,0,1)</f>
        <v>0</v>
      </c>
      <c r="M138">
        <f>IF(gescon_infosparticip!L137=FALSE,0,1)</f>
        <v>0</v>
      </c>
      <c r="N138">
        <f>IF(gescon_infosparticip!M137=FALSE,0,1)</f>
        <v>0</v>
      </c>
      <c r="O138">
        <f>IF(gescon_infosparticip!N137=FALSE,0,1)</f>
        <v>0</v>
      </c>
      <c r="P138">
        <f>IF(gescon_infosparticip!O137=FALSE,0,1)</f>
        <v>0</v>
      </c>
      <c r="Q138">
        <f>IF(gescon_infosparticip!P137=FALSE,0,1)</f>
        <v>0</v>
      </c>
      <c r="R138">
        <f>IF(gescon_infosparticip!Q137=FALSE,0,1)</f>
        <v>0</v>
      </c>
      <c r="S138" t="str">
        <f>gescon_infosparticip!R137</f>
        <v/>
      </c>
      <c r="T138" t="str">
        <f>gescon_infosparticip!V137</f>
        <v/>
      </c>
      <c r="U138" t="str">
        <f>gescon_infosparticip!S137</f>
        <v/>
      </c>
      <c r="V138">
        <f>IF(gescon_infosparticip!U137=FALSE,0,1)</f>
        <v>0</v>
      </c>
      <c r="W138">
        <f>IF(gescon_infosparticip!T137=FALSE,0,1)</f>
        <v>0</v>
      </c>
      <c r="X138" t="str">
        <f>gescon_infosparticip!W137</f>
        <v/>
      </c>
      <c r="Y138">
        <f>IF(gescon_infosparticip!X137=FALSE,0,1)</f>
        <v>0</v>
      </c>
      <c r="Z138">
        <f>IF(gescon_infosparticip!Y137=FALSE,0,1)</f>
        <v>0</v>
      </c>
      <c r="AA138">
        <f>IF(gescon_infosparticip!Z137=FALSE,0,1)</f>
        <v>0</v>
      </c>
      <c r="AB138">
        <f>IF(gescon_infosparticip!AA137=FALSE,0,1)</f>
        <v>0</v>
      </c>
      <c r="AC138" t="str">
        <f>gescon_infosparticip!AB137</f>
        <v/>
      </c>
      <c r="AD138" t="str">
        <f>gescon_infosparticip!AC137</f>
        <v/>
      </c>
      <c r="AE138" t="str">
        <f>gescon_infosparticip!AD137</f>
        <v/>
      </c>
      <c r="AF138" t="str">
        <f>gescon_infosparticip!AE137</f>
        <v/>
      </c>
      <c r="AG138" t="str">
        <f>gescon_infosparticip!AF137</f>
        <v/>
      </c>
      <c r="AH138" t="str">
        <f>gescon_infosparticip!AG137</f>
        <v/>
      </c>
      <c r="AI138" t="str">
        <f>gescon_infosparticip!BN137</f>
        <v/>
      </c>
      <c r="AJ138" t="str">
        <f>gescon_infosparticip!BO137</f>
        <v/>
      </c>
    </row>
    <row r="139" spans="2:36" x14ac:dyDescent="0.25">
      <c r="B139">
        <f>gescon_infosparticip!A138</f>
        <v>1119443187</v>
      </c>
      <c r="C139">
        <f>gescon_infosparticip!B138</f>
        <v>41766</v>
      </c>
      <c r="D139">
        <f>gescon_infosparticip!C138</f>
        <v>-367246467</v>
      </c>
      <c r="E139">
        <f>gescon_infosparticip!D138</f>
        <v>0</v>
      </c>
      <c r="F139">
        <f>gescon_infosparticip!E138</f>
        <v>0</v>
      </c>
      <c r="G139">
        <f>gescon_infosparticip!F138</f>
        <v>1424</v>
      </c>
      <c r="H139">
        <f>gescon_infosparticip!G138</f>
        <v>1424</v>
      </c>
      <c r="I139" t="str">
        <f>gescon_infosparticip!H138</f>
        <v>B1 - 024 473 51 41</v>
      </c>
      <c r="J139">
        <f>IF(gescon_infosparticip!I138=FALSE,0,1)</f>
        <v>0</v>
      </c>
      <c r="K139">
        <f>IF(gescon_infosparticip!J138=FALSE,0,1)</f>
        <v>0</v>
      </c>
      <c r="L139">
        <f>IF(gescon_infosparticip!K138=FALSE,0,1)</f>
        <v>0</v>
      </c>
      <c r="M139">
        <f>IF(gescon_infosparticip!L138=FALSE,0,1)</f>
        <v>1</v>
      </c>
      <c r="N139">
        <f>IF(gescon_infosparticip!M138=FALSE,0,1)</f>
        <v>0</v>
      </c>
      <c r="O139">
        <f>IF(gescon_infosparticip!N138=FALSE,0,1)</f>
        <v>1</v>
      </c>
      <c r="P139">
        <f>IF(gescon_infosparticip!O138=FALSE,0,1)</f>
        <v>0</v>
      </c>
      <c r="Q139">
        <f>IF(gescon_infosparticip!P138=FALSE,0,1)</f>
        <v>1</v>
      </c>
      <c r="R139">
        <f>IF(gescon_infosparticip!Q138=FALSE,0,1)</f>
        <v>0</v>
      </c>
      <c r="S139" t="str">
        <f>gescon_infosparticip!R138</f>
        <v>marche avec aide, environ 15 min. pas plus longtemps car Samuel a vite des cloques (s’il tombe, il ne sait pas se protéger avec les mains) fauteuil manuel ne s’en sert pratiquement plus (si nécessaire et bien l’attacher sur la chaise). Il peut marcher.</v>
      </c>
      <c r="T139" t="str">
        <f>gescon_infosparticip!V138</f>
        <v>Aide totale : Il porte toujours sur lui un cycliste une chemisette et une ceinture à son pantalon la journée.apprécie qu’on verbalise ce que l’on fait.</v>
      </c>
      <c r="U139" t="str">
        <f>gescon_infosparticip!S138</f>
        <v>La ceinture ou une bouée, le surveiller et le tenir</v>
      </c>
      <c r="V139">
        <f>IF(gescon_infosparticip!U138=FALSE,0,1)</f>
        <v>0</v>
      </c>
      <c r="W139">
        <f>IF(gescon_infosparticip!T138=FALSE,0,1)</f>
        <v>0</v>
      </c>
      <c r="X139" t="str">
        <f>gescon_infosparticip!W138</f>
        <v>La nuit, Samuel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Il est couché sur le dos et ensuite se met dans la position qu'il veut.</v>
      </c>
      <c r="Y139">
        <f>IF(gescon_infosparticip!X138=FALSE,0,1)</f>
        <v>0</v>
      </c>
      <c r="Z139">
        <f>IF(gescon_infosparticip!Y138=FALSE,0,1)</f>
        <v>1</v>
      </c>
      <c r="AA139">
        <f>IF(gescon_infosparticip!Z138=FALSE,0,1)</f>
        <v>1</v>
      </c>
      <c r="AB139">
        <f>IF(gescon_infosparticip!AA138=FALSE,0,1)</f>
        <v>1</v>
      </c>
      <c r="AC139" t="str">
        <f>gescon_infosparticip!AB138</f>
        <v>cris, rires, grognements
Il faut éviter de lui laisser jouer avec des cornets en plastiques car il attrape des boutons au visage et de l'herpès. Si possible, ne rien laisser mettre en bouche pour cause d’inflammation</v>
      </c>
      <c r="AD139" t="str">
        <f>gescon_infosparticip!AC138</f>
        <v/>
      </c>
      <c r="AE139" t="str">
        <f>gescon_infosparticip!AD138</f>
        <v>Il a quatre frères et sœur : Stéphane (1974), Christiane (1977), Patricia (1981) Frédéric (1986).</v>
      </c>
      <c r="AF139" t="str">
        <f>gescon_infosparticip!AE138</f>
        <v/>
      </c>
      <c r="AG139" t="str">
        <f>gescon_infosparticip!AF138</f>
        <v>Samuel aime bien serrer les autres. Il aime bien tout ce qui est en plastique, la musique et principalement la musique de fanfare.</v>
      </c>
      <c r="AH139" t="str">
        <f>gescon_infosparticip!AG138</f>
        <v>Il n’aime pas être peigné, se laver les dents et recevoir le coup de lavette ainsi que l’eau froide.</v>
      </c>
      <c r="AI139" t="str">
        <f>gescon_infosparticip!BN138</f>
        <v>aucun</v>
      </c>
      <c r="AJ139" t="str">
        <f>gescon_infosparticip!BO138</f>
        <v/>
      </c>
    </row>
    <row r="140" spans="2:36" x14ac:dyDescent="0.25">
      <c r="B140">
        <f>gescon_infosparticip!A139</f>
        <v>1119448530</v>
      </c>
      <c r="C140">
        <f>gescon_infosparticip!B139</f>
        <v>43055</v>
      </c>
      <c r="D140">
        <f>gescon_infosparticip!C139</f>
        <v>1007640806</v>
      </c>
      <c r="E140">
        <f>gescon_infosparticip!D139</f>
        <v>0</v>
      </c>
      <c r="F140">
        <f>gescon_infosparticip!E139</f>
        <v>0</v>
      </c>
      <c r="G140">
        <f>gescon_infosparticip!F139</f>
        <v>0</v>
      </c>
      <c r="H140">
        <f>gescon_infosparticip!G139</f>
        <v>1007640806</v>
      </c>
      <c r="I140" t="str">
        <f>gescon_infosparticip!H139</f>
        <v/>
      </c>
      <c r="J140">
        <f>IF(gescon_infosparticip!I139=FALSE,0,1)</f>
        <v>0</v>
      </c>
      <c r="K140">
        <f>IF(gescon_infosparticip!J139=FALSE,0,1)</f>
        <v>1</v>
      </c>
      <c r="L140">
        <f>IF(gescon_infosparticip!K139=FALSE,0,1)</f>
        <v>0</v>
      </c>
      <c r="M140">
        <f>IF(gescon_infosparticip!L139=FALSE,0,1)</f>
        <v>0</v>
      </c>
      <c r="N140">
        <f>IF(gescon_infosparticip!M139=FALSE,0,1)</f>
        <v>0</v>
      </c>
      <c r="O140">
        <f>IF(gescon_infosparticip!N139=FALSE,0,1)</f>
        <v>1</v>
      </c>
      <c r="P140">
        <f>IF(gescon_infosparticip!O139=FALSE,0,1)</f>
        <v>0</v>
      </c>
      <c r="Q140">
        <f>IF(gescon_infosparticip!P139=FALSE,0,1)</f>
        <v>1</v>
      </c>
      <c r="R140">
        <f>IF(gescon_infosparticip!Q139=FALSE,0,1)</f>
        <v>0</v>
      </c>
      <c r="S140" t="str">
        <f>gescon_infosparticip!R139</f>
        <v>Patrice ne supporte pas vraiment les longs trajets en bus, surtout en montagne.</v>
      </c>
      <c r="T140" t="str">
        <f>gescon_infosparticip!V139</f>
        <v>Patrice ne s'habille pas seul.</v>
      </c>
      <c r="U140" t="str">
        <f>gescon_infosparticip!S139</f>
        <v>Patrice a besoin de l’aide d’un adulte.</v>
      </c>
      <c r="V140">
        <f>IF(gescon_infosparticip!U139=FALSE,0,1)</f>
        <v>1</v>
      </c>
      <c r="W140">
        <f>IF(gescon_infosparticip!T139=FALSE,0,1)</f>
        <v>0</v>
      </c>
      <c r="X140" t="str">
        <f>gescon_infosparticip!W139</f>
        <v>Patrice n’a pas d’horaire particulier. Il veille volontiers le soir quand il a congé.</v>
      </c>
      <c r="Y140">
        <f>IF(gescon_infosparticip!X139=FALSE,0,1)</f>
        <v>0</v>
      </c>
      <c r="Z140">
        <f>IF(gescon_infosparticip!Y139=FALSE,0,1)</f>
        <v>0</v>
      </c>
      <c r="AA140">
        <f>IF(gescon_infosparticip!Z139=FALSE,0,1)</f>
        <v>0</v>
      </c>
      <c r="AB140">
        <f>IF(gescon_infosparticip!AA139=FALSE,0,1)</f>
        <v>0</v>
      </c>
      <c r="AC140" t="str">
        <f>gescon_infosparticip!AB139</f>
        <v>oral, mais avec difficulté. Il faut lui poser des questions pour qu’il participe à la conversation.</v>
      </c>
      <c r="AD140" t="str">
        <f>gescon_infosparticip!AC139</f>
        <v>Il a 3 neveux qu’il aime beaucoup et une nièce qui est née en 2011. Son papa est passionné de pétanque.I</v>
      </c>
      <c r="AE140" t="str">
        <f>gescon_infosparticip!AD139</f>
        <v>2 sœurs
3 neveux
1 nièce</v>
      </c>
      <c r="AF140" t="str">
        <f>gescon_infosparticip!AE139</f>
        <v/>
      </c>
      <c r="AG140" t="str">
        <f>gescon_infosparticip!AF139</f>
        <v>Patrice aime les animaux, la musique, les magazines et regarder la télévision Il aime sortir, les concerts, les spectacles, faire la fête…Il aime beaucoup les jeux à l’ordinateur. Il fait de la thérapie avec le cheval.</v>
      </c>
      <c r="AH140" t="str">
        <f>gescon_infosparticip!AG139</f>
        <v/>
      </c>
      <c r="AI140" t="str">
        <f>gescon_infosparticip!BN139</f>
        <v>Le faire marcher plusieurs fois par jour</v>
      </c>
      <c r="AJ140" t="str">
        <f>gescon_infosparticip!BO139</f>
        <v/>
      </c>
    </row>
    <row r="141" spans="2:36" x14ac:dyDescent="0.25">
      <c r="B141">
        <f>gescon_infosparticip!A140</f>
        <v>1125316835</v>
      </c>
      <c r="C141">
        <f>gescon_infosparticip!B140</f>
        <v>42503</v>
      </c>
      <c r="D141">
        <f>gescon_infosparticip!C140</f>
        <v>0</v>
      </c>
      <c r="E141">
        <f>gescon_infosparticip!D140</f>
        <v>0</v>
      </c>
      <c r="F141">
        <f>gescon_infosparticip!E140</f>
        <v>0</v>
      </c>
      <c r="G141">
        <f>gescon_infosparticip!F140</f>
        <v>0</v>
      </c>
      <c r="H141">
        <f>gescon_infosparticip!G140</f>
        <v>0</v>
      </c>
      <c r="I141" t="str">
        <f>gescon_infosparticip!H140</f>
        <v/>
      </c>
      <c r="J141">
        <f>IF(gescon_infosparticip!I140=FALSE,0,1)</f>
        <v>0</v>
      </c>
      <c r="K141">
        <f>IF(gescon_infosparticip!J140=FALSE,0,1)</f>
        <v>0</v>
      </c>
      <c r="L141">
        <f>IF(gescon_infosparticip!K140=FALSE,0,1)</f>
        <v>0</v>
      </c>
      <c r="M141">
        <f>IF(gescon_infosparticip!L140=FALSE,0,1)</f>
        <v>0</v>
      </c>
      <c r="N141">
        <f>IF(gescon_infosparticip!M140=FALSE,0,1)</f>
        <v>0</v>
      </c>
      <c r="O141">
        <f>IF(gescon_infosparticip!N140=FALSE,0,1)</f>
        <v>0</v>
      </c>
      <c r="P141">
        <f>IF(gescon_infosparticip!O140=FALSE,0,1)</f>
        <v>0</v>
      </c>
      <c r="Q141">
        <f>IF(gescon_infosparticip!P140=FALSE,0,1)</f>
        <v>0</v>
      </c>
      <c r="R141">
        <f>IF(gescon_infosparticip!Q140=FALSE,0,1)</f>
        <v>0</v>
      </c>
      <c r="S141" t="str">
        <f>gescon_infosparticip!R140</f>
        <v/>
      </c>
      <c r="T141" t="str">
        <f>gescon_infosparticip!V140</f>
        <v/>
      </c>
      <c r="U141" t="str">
        <f>gescon_infosparticip!S140</f>
        <v/>
      </c>
      <c r="V141">
        <f>IF(gescon_infosparticip!U140=FALSE,0,1)</f>
        <v>0</v>
      </c>
      <c r="W141">
        <f>IF(gescon_infosparticip!T140=FALSE,0,1)</f>
        <v>0</v>
      </c>
      <c r="X141" t="str">
        <f>gescon_infosparticip!W140</f>
        <v/>
      </c>
      <c r="Y141">
        <f>IF(gescon_infosparticip!X140=FALSE,0,1)</f>
        <v>0</v>
      </c>
      <c r="Z141">
        <f>IF(gescon_infosparticip!Y140=FALSE,0,1)</f>
        <v>0</v>
      </c>
      <c r="AA141">
        <f>IF(gescon_infosparticip!Z140=FALSE,0,1)</f>
        <v>0</v>
      </c>
      <c r="AB141">
        <f>IF(gescon_infosparticip!AA140=FALSE,0,1)</f>
        <v>0</v>
      </c>
      <c r="AC141" t="str">
        <f>gescon_infosparticip!AB140</f>
        <v/>
      </c>
      <c r="AD141" t="str">
        <f>gescon_infosparticip!AC140</f>
        <v/>
      </c>
      <c r="AE141" t="str">
        <f>gescon_infosparticip!AD140</f>
        <v/>
      </c>
      <c r="AF141" t="str">
        <f>gescon_infosparticip!AE140</f>
        <v/>
      </c>
      <c r="AG141" t="str">
        <f>gescon_infosparticip!AF140</f>
        <v/>
      </c>
      <c r="AH141" t="str">
        <f>gescon_infosparticip!AG140</f>
        <v/>
      </c>
      <c r="AI141" t="str">
        <f>gescon_infosparticip!BN140</f>
        <v/>
      </c>
      <c r="AJ141" t="str">
        <f>gescon_infosparticip!BO140</f>
        <v/>
      </c>
    </row>
    <row r="142" spans="2:36" x14ac:dyDescent="0.25">
      <c r="B142">
        <f>gescon_infosparticip!A141</f>
        <v>1127891338</v>
      </c>
      <c r="C142">
        <f>gescon_infosparticip!B141</f>
        <v>41309</v>
      </c>
      <c r="D142">
        <f>gescon_infosparticip!C141</f>
        <v>672994874</v>
      </c>
      <c r="E142">
        <f>gescon_infosparticip!D141</f>
        <v>0</v>
      </c>
      <c r="F142">
        <f>gescon_infosparticip!E141</f>
        <v>0</v>
      </c>
      <c r="G142">
        <f>gescon_infosparticip!F141</f>
        <v>0</v>
      </c>
      <c r="H142">
        <f>gescon_infosparticip!G141</f>
        <v>0</v>
      </c>
      <c r="I142" t="str">
        <f>gescon_infosparticip!H141</f>
        <v/>
      </c>
      <c r="J142">
        <f>IF(gescon_infosparticip!I141=FALSE,0,1)</f>
        <v>0</v>
      </c>
      <c r="K142">
        <f>IF(gescon_infosparticip!J141=FALSE,0,1)</f>
        <v>1</v>
      </c>
      <c r="L142">
        <f>IF(gescon_infosparticip!K141=FALSE,0,1)</f>
        <v>1</v>
      </c>
      <c r="M142">
        <f>IF(gescon_infosparticip!L141=FALSE,0,1)</f>
        <v>0</v>
      </c>
      <c r="N142">
        <f>IF(gescon_infosparticip!M141=FALSE,0,1)</f>
        <v>1</v>
      </c>
      <c r="O142">
        <f>IF(gescon_infosparticip!N141=FALSE,0,1)</f>
        <v>0</v>
      </c>
      <c r="P142">
        <f>IF(gescon_infosparticip!O141=FALSE,0,1)</f>
        <v>0</v>
      </c>
      <c r="Q142">
        <f>IF(gescon_infosparticip!P141=FALSE,0,1)</f>
        <v>0</v>
      </c>
      <c r="R142">
        <f>IF(gescon_infosparticip!Q141=FALSE,0,1)</f>
        <v>0</v>
      </c>
      <c r="S142" t="str">
        <f>gescon_infosparticip!R141</f>
        <v>Il a parfois besoin de moments de tranquillité. Il peut se fâcher rapidement lorsque son trop-plein émotionnel déborde. Il lui arrive de partir en courant, il faut alors le suivre, le rassurer, et l'isoler un petit moment.</v>
      </c>
      <c r="T142" t="str">
        <f>gescon_infosparticip!V141</f>
        <v/>
      </c>
      <c r="U142" t="str">
        <f>gescon_infosparticip!S141</f>
        <v>Autonome</v>
      </c>
      <c r="V142">
        <f>IF(gescon_infosparticip!U141=FALSE,0,1)</f>
        <v>1</v>
      </c>
      <c r="W142">
        <f>IF(gescon_infosparticip!T141=FALSE,0,1)</f>
        <v>0</v>
      </c>
      <c r="X142" t="str">
        <f>gescon_infosparticip!W141</f>
        <v/>
      </c>
      <c r="Y142">
        <f>IF(gescon_infosparticip!X141=FALSE,0,1)</f>
        <v>0</v>
      </c>
      <c r="Z142">
        <f>IF(gescon_infosparticip!Y141=FALSE,0,1)</f>
        <v>0</v>
      </c>
      <c r="AA142">
        <f>IF(gescon_infosparticip!Z141=FALSE,0,1)</f>
        <v>0</v>
      </c>
      <c r="AB142">
        <f>IF(gescon_infosparticip!AA141=FALSE,0,1)</f>
        <v>0</v>
      </c>
      <c r="AC142" t="str">
        <f>gescon_infosparticip!AB141</f>
        <v>Parole</v>
      </c>
      <c r="AD142" t="str">
        <f>gescon_infosparticip!AC141</f>
        <v/>
      </c>
      <c r="AE142" t="str">
        <f>gescon_infosparticip!AD141</f>
        <v>Il a un frère, Mathieu.</v>
      </c>
      <c r="AF142" t="str">
        <f>gescon_infosparticip!AE141</f>
        <v/>
      </c>
      <c r="AG142" t="str">
        <f>gescon_infosparticip!AF141</f>
        <v>Il discute volontiers de tous les sujets. Il aime la musique et il aime chanter, surtout lors de karaoké.</v>
      </c>
      <c r="AH142" t="str">
        <f>gescon_infosparticip!AG141</f>
        <v>Vélo et ski.</v>
      </c>
      <c r="AI142" t="str">
        <f>gescon_infosparticip!BN141</f>
        <v/>
      </c>
      <c r="AJ142" t="str">
        <f>gescon_infosparticip!BO141</f>
        <v/>
      </c>
    </row>
    <row r="143" spans="2:36" x14ac:dyDescent="0.25">
      <c r="B143">
        <f>gescon_infosparticip!A142</f>
        <v>1138806721</v>
      </c>
      <c r="C143">
        <f>gescon_infosparticip!B142</f>
        <v>43000</v>
      </c>
      <c r="D143">
        <f>gescon_infosparticip!C142</f>
        <v>2146189965</v>
      </c>
      <c r="E143">
        <f>gescon_infosparticip!D142</f>
        <v>2146189965</v>
      </c>
      <c r="F143">
        <f>gescon_infosparticip!E142</f>
        <v>0</v>
      </c>
      <c r="G143">
        <f>gescon_infosparticip!F142</f>
        <v>1424</v>
      </c>
      <c r="H143">
        <f>gescon_infosparticip!G142</f>
        <v>1424</v>
      </c>
      <c r="I143" t="str">
        <f>gescon_infosparticip!H142</f>
        <v>Groupe C4 -Jocelyne Grueninger</v>
      </c>
      <c r="J143">
        <f>IF(gescon_infosparticip!I142=FALSE,0,1)</f>
        <v>0</v>
      </c>
      <c r="K143">
        <f>IF(gescon_infosparticip!J142=FALSE,0,1)</f>
        <v>0</v>
      </c>
      <c r="L143">
        <f>IF(gescon_infosparticip!K142=FALSE,0,1)</f>
        <v>0</v>
      </c>
      <c r="M143">
        <f>IF(gescon_infosparticip!L142=FALSE,0,1)</f>
        <v>1</v>
      </c>
      <c r="N143">
        <f>IF(gescon_infosparticip!M142=FALSE,0,1)</f>
        <v>1</v>
      </c>
      <c r="O143">
        <f>IF(gescon_infosparticip!N142=FALSE,0,1)</f>
        <v>0</v>
      </c>
      <c r="P143">
        <f>IF(gescon_infosparticip!O142=FALSE,0,1)</f>
        <v>0</v>
      </c>
      <c r="Q143">
        <f>IF(gescon_infosparticip!P142=FALSE,0,1)</f>
        <v>0</v>
      </c>
      <c r="R143">
        <f>IF(gescon_infosparticip!Q142=FALSE,0,1)</f>
        <v>0</v>
      </c>
      <c r="S143" t="str">
        <f>gescon_infosparticip!R142</f>
        <v>Il supporte les longs trajets il s'endort souvent.
CASQUE OBLIGATOIRE
on peut lui donner la main surtout à l'exterieur</v>
      </c>
      <c r="T143" t="str">
        <f>gescon_infosparticip!V142</f>
        <v>Il s'habille seul avec aide (selon son humeur). Il faut lui dire de s'habiller et il faut le surveiller. L'aider à fermer les boutons et lasser les chaussures.</v>
      </c>
      <c r="U143" t="str">
        <f>gescon_infosparticip!S142</f>
        <v>Pas de piscine, il est épileptique.</v>
      </c>
      <c r="V143">
        <f>IF(gescon_infosparticip!U142=FALSE,0,1)</f>
        <v>1</v>
      </c>
      <c r="W143">
        <f>IF(gescon_infosparticip!T142=FALSE,0,1)</f>
        <v>0</v>
      </c>
      <c r="X143" t="str">
        <f>gescon_infosparticip!W142</f>
        <v>Il dort entre 10 et 12 heures par nuit.</v>
      </c>
      <c r="Y143">
        <f>IF(gescon_infosparticip!X142=FALSE,0,1)</f>
        <v>0</v>
      </c>
      <c r="Z143">
        <f>IF(gescon_infosparticip!Y142=FALSE,0,1)</f>
        <v>0</v>
      </c>
      <c r="AA143">
        <f>IF(gescon_infosparticip!Z142=FALSE,0,1)</f>
        <v>0</v>
      </c>
      <c r="AB143">
        <f>IF(gescon_infosparticip!AA142=FALSE,0,1)</f>
        <v>1</v>
      </c>
      <c r="AC143" t="str">
        <f>gescon_infosparticip!AB142</f>
        <v>Communication oral avec des sons et des gestes. Il communique assez bien. Il a un lexique avec des mots traduits en allemand et en français car il est de langue maternelle allemande. Il ne comprend pas le français, il comprend les intonations.</v>
      </c>
      <c r="AD143" t="str">
        <f>gescon_infosparticip!AC142</f>
        <v>Son père est décédé.</v>
      </c>
      <c r="AE143" t="str">
        <f>gescon_infosparticip!AD142</f>
        <v/>
      </c>
      <c r="AF143" t="str">
        <f>gescon_infosparticip!AE142</f>
        <v/>
      </c>
      <c r="AG143" t="str">
        <f>gescon_infosparticip!AF142</f>
        <v>Il aime la musique, les animaux, boire du café (avec schnaps, c'est une blague qui le fait beaucoup rire). Il aime plaisanter, danser, participer aux activités quotidiennes maman, et les rentrées 1 week-end sur 2. Prévenir à l'avance lorsqu'une activité est finie, pour une meilleure transition.</v>
      </c>
      <c r="AH143" t="str">
        <f>gescon_infosparticip!AG142</f>
        <v>Quand il est fatigué il faut le laisser tranquille pour qu'il se repose (si non risque de crise). Lorsqu'il s'énerve, couper la relation, le laisser seul, afin qu'il se calme.</v>
      </c>
      <c r="AI143" t="str">
        <f>gescon_infosparticip!BN142</f>
        <v/>
      </c>
      <c r="AJ143" t="str">
        <f>gescon_infosparticip!BO142</f>
        <v/>
      </c>
    </row>
    <row r="144" spans="2:36" x14ac:dyDescent="0.25">
      <c r="B144">
        <f>gescon_infosparticip!A143</f>
        <v>1144677323</v>
      </c>
      <c r="C144">
        <f>gescon_infosparticip!B143</f>
        <v>41339</v>
      </c>
      <c r="D144">
        <f>gescon_infosparticip!C143</f>
        <v>0</v>
      </c>
      <c r="E144">
        <f>gescon_infosparticip!D143</f>
        <v>0</v>
      </c>
      <c r="F144">
        <f>gescon_infosparticip!E143</f>
        <v>0</v>
      </c>
      <c r="G144">
        <f>gescon_infosparticip!F143</f>
        <v>0</v>
      </c>
      <c r="H144">
        <f>gescon_infosparticip!G143</f>
        <v>0</v>
      </c>
      <c r="I144" t="str">
        <f>gescon_infosparticip!H143</f>
        <v/>
      </c>
      <c r="J144">
        <f>IF(gescon_infosparticip!I143=FALSE,0,1)</f>
        <v>0</v>
      </c>
      <c r="K144">
        <f>IF(gescon_infosparticip!J143=FALSE,0,1)</f>
        <v>0</v>
      </c>
      <c r="L144">
        <f>IF(gescon_infosparticip!K143=FALSE,0,1)</f>
        <v>0</v>
      </c>
      <c r="M144">
        <f>IF(gescon_infosparticip!L143=FALSE,0,1)</f>
        <v>0</v>
      </c>
      <c r="N144">
        <f>IF(gescon_infosparticip!M143=FALSE,0,1)</f>
        <v>0</v>
      </c>
      <c r="O144">
        <f>IF(gescon_infosparticip!N143=FALSE,0,1)</f>
        <v>0</v>
      </c>
      <c r="P144">
        <f>IF(gescon_infosparticip!O143=FALSE,0,1)</f>
        <v>0</v>
      </c>
      <c r="Q144">
        <f>IF(gescon_infosparticip!P143=FALSE,0,1)</f>
        <v>0</v>
      </c>
      <c r="R144">
        <f>IF(gescon_infosparticip!Q143=FALSE,0,1)</f>
        <v>0</v>
      </c>
      <c r="S144" t="str">
        <f>gescon_infosparticip!R143</f>
        <v/>
      </c>
      <c r="T144" t="str">
        <f>gescon_infosparticip!V143</f>
        <v/>
      </c>
      <c r="U144" t="str">
        <f>gescon_infosparticip!S143</f>
        <v/>
      </c>
      <c r="V144">
        <f>IF(gescon_infosparticip!U143=FALSE,0,1)</f>
        <v>0</v>
      </c>
      <c r="W144">
        <f>IF(gescon_infosparticip!T143=FALSE,0,1)</f>
        <v>0</v>
      </c>
      <c r="X144" t="str">
        <f>gescon_infosparticip!W143</f>
        <v/>
      </c>
      <c r="Y144">
        <f>IF(gescon_infosparticip!X143=FALSE,0,1)</f>
        <v>0</v>
      </c>
      <c r="Z144">
        <f>IF(gescon_infosparticip!Y143=FALSE,0,1)</f>
        <v>0</v>
      </c>
      <c r="AA144">
        <f>IF(gescon_infosparticip!Z143=FALSE,0,1)</f>
        <v>0</v>
      </c>
      <c r="AB144">
        <f>IF(gescon_infosparticip!AA143=FALSE,0,1)</f>
        <v>0</v>
      </c>
      <c r="AC144" t="str">
        <f>gescon_infosparticip!AB143</f>
        <v/>
      </c>
      <c r="AD144" t="str">
        <f>gescon_infosparticip!AC143</f>
        <v/>
      </c>
      <c r="AE144" t="str">
        <f>gescon_infosparticip!AD143</f>
        <v/>
      </c>
      <c r="AF144" t="str">
        <f>gescon_infosparticip!AE143</f>
        <v/>
      </c>
      <c r="AG144" t="str">
        <f>gescon_infosparticip!AF143</f>
        <v/>
      </c>
      <c r="AH144" t="str">
        <f>gescon_infosparticip!AG143</f>
        <v/>
      </c>
      <c r="AI144" t="str">
        <f>gescon_infosparticip!BN143</f>
        <v/>
      </c>
      <c r="AJ144" t="str">
        <f>gescon_infosparticip!BO143</f>
        <v/>
      </c>
    </row>
    <row r="145" spans="2:36" x14ac:dyDescent="0.25">
      <c r="B145">
        <f>gescon_infosparticip!A144</f>
        <v>1148904896</v>
      </c>
      <c r="C145">
        <f>gescon_infosparticip!B144</f>
        <v>42327</v>
      </c>
      <c r="D145">
        <f>gescon_infosparticip!C144</f>
        <v>604299969</v>
      </c>
      <c r="E145">
        <f>gescon_infosparticip!D144</f>
        <v>0</v>
      </c>
      <c r="F145">
        <f>gescon_infosparticip!E144</f>
        <v>0</v>
      </c>
      <c r="G145">
        <f>gescon_infosparticip!F144</f>
        <v>67</v>
      </c>
      <c r="H145">
        <f>gescon_infosparticip!G144</f>
        <v>0</v>
      </c>
      <c r="I145" t="str">
        <f>gescon_infosparticip!H144</f>
        <v>Jocelyne</v>
      </c>
      <c r="J145">
        <f>IF(gescon_infosparticip!I144=FALSE,0,1)</f>
        <v>0</v>
      </c>
      <c r="K145">
        <f>IF(gescon_infosparticip!J144=FALSE,0,1)</f>
        <v>1</v>
      </c>
      <c r="L145">
        <f>IF(gescon_infosparticip!K144=FALSE,0,1)</f>
        <v>1</v>
      </c>
      <c r="M145">
        <f>IF(gescon_infosparticip!L144=FALSE,0,1)</f>
        <v>0</v>
      </c>
      <c r="N145">
        <f>IF(gescon_infosparticip!M144=FALSE,0,1)</f>
        <v>0</v>
      </c>
      <c r="O145">
        <f>IF(gescon_infosparticip!N144=FALSE,0,1)</f>
        <v>0</v>
      </c>
      <c r="P145">
        <f>IF(gescon_infosparticip!O144=FALSE,0,1)</f>
        <v>0</v>
      </c>
      <c r="Q145">
        <f>IF(gescon_infosparticip!P144=FALSE,0,1)</f>
        <v>1</v>
      </c>
      <c r="R145">
        <f>IF(gescon_infosparticip!Q144=FALSE,0,1)</f>
        <v>0</v>
      </c>
      <c r="S145" t="str">
        <f>gescon_infosparticip!R144</f>
        <v>Oui il supporte les longs trajets, de préférence l'asseoir sur un siège de bus et surveiller sa main gauche.
Il se déplace seul par terre.</v>
      </c>
      <c r="T145" t="str">
        <f>gescon_infosparticip!V144</f>
        <v>Il faut lui choisir les habits selon 2 groupes : 1 pour salir et 1 propre</v>
      </c>
      <c r="U145" t="str">
        <f>gescon_infosparticip!S144</f>
        <v>Il aime l'eau, mais il faut le tenir et le rassuré, il peut être réticent s'il y a beaucoup de bruits. Il a beaucoup progressé et fait beaucoup seul.</v>
      </c>
      <c r="V145">
        <f>IF(gescon_infosparticip!U144=FALSE,0,1)</f>
        <v>1</v>
      </c>
      <c r="W145">
        <f>IF(gescon_infosparticip!T144=FALSE,0,1)</f>
        <v>0</v>
      </c>
      <c r="X145" t="str">
        <f>gescon_infosparticip!W144</f>
        <v>Couverture Zewi, au besoin. Il dort facilement 12 heures. Le week-end il va au lit vers les 21-22:00. Il n'a pas de rituel particulier. Attention, il fait des crises d'épilepsie pendant la nuit dans son sommeil. Il est plus agité et fatigué le lendemain.</v>
      </c>
      <c r="Y145">
        <f>IF(gescon_infosparticip!X144=FALSE,0,1)</f>
        <v>0</v>
      </c>
      <c r="Z145">
        <f>IF(gescon_infosparticip!Y144=FALSE,0,1)</f>
        <v>1</v>
      </c>
      <c r="AA145">
        <f>IF(gescon_infosparticip!Z144=FALSE,0,1)</f>
        <v>0</v>
      </c>
      <c r="AB145">
        <f>IF(gescon_infosparticip!AA144=FALSE,0,1)</f>
        <v>1</v>
      </c>
      <c r="AC145" t="str">
        <f>gescon_infosparticip!AB144</f>
        <v>Il parle beaucoup et a tendance à "monter son film". Il est important de la canaliser et de le ramener à la réalité.</v>
      </c>
      <c r="AD145" t="str">
        <f>gescon_infosparticip!AC144</f>
        <v>Son papa est décédé quand il était bébé. Il aime bien sa grand-mère Marie-Thérèse.</v>
      </c>
      <c r="AE145" t="str">
        <f>gescon_infosparticip!AD144</f>
        <v/>
      </c>
      <c r="AF145" t="str">
        <f>gescon_infosparticip!AE144</f>
        <v>Il a un très bon contact avec ses voisons de palier, Dominique et Dominique.</v>
      </c>
      <c r="AG145" t="str">
        <f>gescon_infosparticip!AF144</f>
        <v>Il aime jouer aux voitures, aller aux balançoires, il aime faire des crêpes et les "dévorent". Il apprécie les dessins.  Il appréciant son chien Danouk mais il est mort.  Il se montre réticent au début d'une activité puis il s'ouvre au fur et à mesure. Parfois il aime rester seul pour se recadrer. Il faut le laisser un moment. Lors de changement d'activité, le prévenir 10 min avant, mais pas plusieurs heures.</v>
      </c>
      <c r="AH145" t="str">
        <f>gescon_infosparticip!AG144</f>
        <v>Tiago n'a jamais été au cinéma (à essayer si cela ne lui pose pas de problème de luminosité, bruits, espaces,…). Ne pas le laisser jouer avec les interupteurs. Il est important d'éviter les tourniquets d'enfants ou qu'il face la toupie car cela le perturbe.</v>
      </c>
      <c r="AI145" t="str">
        <f>gescon_infosparticip!BN144</f>
        <v>Il ne faut pas le laisser s'asseoir en "W"</v>
      </c>
      <c r="AJ145" t="str">
        <f>gescon_infosparticip!BO144</f>
        <v/>
      </c>
    </row>
    <row r="146" spans="2:36" x14ac:dyDescent="0.25">
      <c r="B146">
        <f>gescon_infosparticip!A145</f>
        <v>1172471980</v>
      </c>
      <c r="C146">
        <f>gescon_infosparticip!B145</f>
        <v>42440</v>
      </c>
      <c r="D146">
        <f>gescon_infosparticip!C145</f>
        <v>0</v>
      </c>
      <c r="E146">
        <f>gescon_infosparticip!D145</f>
        <v>0</v>
      </c>
      <c r="F146">
        <f>gescon_infosparticip!E145</f>
        <v>1087394322</v>
      </c>
      <c r="G146">
        <f>gescon_infosparticip!F145</f>
        <v>0</v>
      </c>
      <c r="H146">
        <f>gescon_infosparticip!G145</f>
        <v>0</v>
      </c>
      <c r="I146" t="str">
        <f>gescon_infosparticip!H145</f>
        <v/>
      </c>
      <c r="J146">
        <f>IF(gescon_infosparticip!I145=FALSE,0,1)</f>
        <v>1</v>
      </c>
      <c r="K146">
        <f>IF(gescon_infosparticip!J145=FALSE,0,1)</f>
        <v>0</v>
      </c>
      <c r="L146">
        <f>IF(gescon_infosparticip!K145=FALSE,0,1)</f>
        <v>0</v>
      </c>
      <c r="M146">
        <f>IF(gescon_infosparticip!L145=FALSE,0,1)</f>
        <v>0</v>
      </c>
      <c r="N146">
        <f>IF(gescon_infosparticip!M145=FALSE,0,1)</f>
        <v>0</v>
      </c>
      <c r="O146">
        <f>IF(gescon_infosparticip!N145=FALSE,0,1)</f>
        <v>0</v>
      </c>
      <c r="P146">
        <f>IF(gescon_infosparticip!O145=FALSE,0,1)</f>
        <v>0</v>
      </c>
      <c r="Q146">
        <f>IF(gescon_infosparticip!P145=FALSE,0,1)</f>
        <v>1</v>
      </c>
      <c r="R146">
        <f>IF(gescon_infosparticip!Q145=FALSE,0,1)</f>
        <v>0</v>
      </c>
      <c r="S146" t="str">
        <f>gescon_infosparticip!R145</f>
        <v/>
      </c>
      <c r="T146" t="str">
        <f>gescon_infosparticip!V145</f>
        <v/>
      </c>
      <c r="U146" t="str">
        <f>gescon_infosparticip!S145</f>
        <v>100% dépendant avec gilet de sauvetage</v>
      </c>
      <c r="V146">
        <f>IF(gescon_infosparticip!U145=FALSE,0,1)</f>
        <v>0</v>
      </c>
      <c r="W146">
        <f>IF(gescon_infosparticip!T145=FALSE,0,1)</f>
        <v>0</v>
      </c>
      <c r="X146" t="str">
        <f>gescon_infosparticip!W145</f>
        <v/>
      </c>
      <c r="Y146">
        <f>IF(gescon_infosparticip!X145=FALSE,0,1)</f>
        <v>0</v>
      </c>
      <c r="Z146">
        <f>IF(gescon_infosparticip!Y145=FALSE,0,1)</f>
        <v>0</v>
      </c>
      <c r="AA146">
        <f>IF(gescon_infosparticip!Z145=FALSE,0,1)</f>
        <v>0</v>
      </c>
      <c r="AB146">
        <f>IF(gescon_infosparticip!AA145=FALSE,0,1)</f>
        <v>0</v>
      </c>
      <c r="AC146" t="str">
        <f>gescon_infosparticip!AB145</f>
        <v>non-verbale: regard chaleureux, visage expressif</v>
      </c>
      <c r="AD146" t="str">
        <f>gescon_infosparticip!AC145</f>
        <v>Il n'a pas de famille</v>
      </c>
      <c r="AE146" t="str">
        <f>gescon_infosparticip!AD145</f>
        <v/>
      </c>
      <c r="AF146" t="str">
        <f>gescon_infosparticip!AE145</f>
        <v/>
      </c>
      <c r="AG146" t="str">
        <f>gescon_infosparticip!AF145</f>
        <v>Aime beaucoup les concerts de musique, la piscine, les massages, mettre ses lunettes de soleil. Est très sensible à l'ambiance. Il aime bcp les promenades. La vie en groupe</v>
      </c>
      <c r="AH146" t="str">
        <f>gescon_infosparticip!AG145</f>
        <v>Quand une activité est prévue, il se prépare et s'en réjouit, mais si cette activité est annulée, il peut se montrer très contrarié et énervé. Dans les cas où il est trop bruyant et dérange, il peut être remis à l'ordre et isolé un moment</v>
      </c>
      <c r="AI146" t="str">
        <f>gescon_infosparticip!BN145</f>
        <v/>
      </c>
      <c r="AJ146" t="str">
        <f>gescon_infosparticip!BO145</f>
        <v/>
      </c>
    </row>
    <row r="147" spans="2:36" x14ac:dyDescent="0.25">
      <c r="B147">
        <f>gescon_infosparticip!A146</f>
        <v>1172577274</v>
      </c>
      <c r="C147">
        <f>gescon_infosparticip!B146</f>
        <v>37861.330312500002</v>
      </c>
      <c r="D147">
        <f>gescon_infosparticip!C146</f>
        <v>0</v>
      </c>
      <c r="E147">
        <f>gescon_infosparticip!D146</f>
        <v>0</v>
      </c>
      <c r="F147">
        <f>gescon_infosparticip!E146</f>
        <v>0</v>
      </c>
      <c r="G147">
        <f>gescon_infosparticip!F146</f>
        <v>0</v>
      </c>
      <c r="H147">
        <f>gescon_infosparticip!G146</f>
        <v>0</v>
      </c>
      <c r="I147" t="str">
        <f>gescon_infosparticip!H146</f>
        <v/>
      </c>
      <c r="J147">
        <f>IF(gescon_infosparticip!I146=FALSE,0,1)</f>
        <v>0</v>
      </c>
      <c r="K147">
        <f>IF(gescon_infosparticip!J146=FALSE,0,1)</f>
        <v>0</v>
      </c>
      <c r="L147">
        <f>IF(gescon_infosparticip!K146=FALSE,0,1)</f>
        <v>0</v>
      </c>
      <c r="M147">
        <f>IF(gescon_infosparticip!L146=FALSE,0,1)</f>
        <v>0</v>
      </c>
      <c r="N147">
        <f>IF(gescon_infosparticip!M146=FALSE,0,1)</f>
        <v>0</v>
      </c>
      <c r="O147">
        <f>IF(gescon_infosparticip!N146=FALSE,0,1)</f>
        <v>0</v>
      </c>
      <c r="P147">
        <f>IF(gescon_infosparticip!O146=FALSE,0,1)</f>
        <v>0</v>
      </c>
      <c r="Q147">
        <f>IF(gescon_infosparticip!P146=FALSE,0,1)</f>
        <v>0</v>
      </c>
      <c r="R147">
        <f>IF(gescon_infosparticip!Q146=FALSE,0,1)</f>
        <v>0</v>
      </c>
      <c r="S147" t="str">
        <f>gescon_infosparticip!R146</f>
        <v/>
      </c>
      <c r="T147" t="str">
        <f>gescon_infosparticip!V146</f>
        <v/>
      </c>
      <c r="U147" t="str">
        <f>gescon_infosparticip!S146</f>
        <v/>
      </c>
      <c r="V147">
        <f>IF(gescon_infosparticip!U146=FALSE,0,1)</f>
        <v>0</v>
      </c>
      <c r="W147">
        <f>IF(gescon_infosparticip!T146=FALSE,0,1)</f>
        <v>0</v>
      </c>
      <c r="X147" t="str">
        <f>gescon_infosparticip!W146</f>
        <v/>
      </c>
      <c r="Y147">
        <f>IF(gescon_infosparticip!X146=FALSE,0,1)</f>
        <v>0</v>
      </c>
      <c r="Z147">
        <f>IF(gescon_infosparticip!Y146=FALSE,0,1)</f>
        <v>0</v>
      </c>
      <c r="AA147">
        <f>IF(gescon_infosparticip!Z146=FALSE,0,1)</f>
        <v>0</v>
      </c>
      <c r="AB147">
        <f>IF(gescon_infosparticip!AA146=FALSE,0,1)</f>
        <v>0</v>
      </c>
      <c r="AC147" t="str">
        <f>gescon_infosparticip!AB146</f>
        <v/>
      </c>
      <c r="AD147" t="str">
        <f>gescon_infosparticip!AC146</f>
        <v/>
      </c>
      <c r="AE147" t="str">
        <f>gescon_infosparticip!AD146</f>
        <v/>
      </c>
      <c r="AF147" t="str">
        <f>gescon_infosparticip!AE146</f>
        <v/>
      </c>
      <c r="AG147" t="str">
        <f>gescon_infosparticip!AF146</f>
        <v/>
      </c>
      <c r="AH147" t="str">
        <f>gescon_infosparticip!AG146</f>
        <v/>
      </c>
      <c r="AI147" t="str">
        <f>gescon_infosparticip!BN146</f>
        <v/>
      </c>
      <c r="AJ147" t="str">
        <f>gescon_infosparticip!BO146</f>
        <v/>
      </c>
    </row>
    <row r="148" spans="2:36" x14ac:dyDescent="0.25">
      <c r="B148">
        <f>gescon_infosparticip!A147</f>
        <v>1175782861</v>
      </c>
      <c r="C148">
        <f>gescon_infosparticip!B147</f>
        <v>42858</v>
      </c>
      <c r="D148">
        <f>gescon_infosparticip!C147</f>
        <v>1025868472</v>
      </c>
      <c r="E148">
        <f>gescon_infosparticip!D147</f>
        <v>0</v>
      </c>
      <c r="F148">
        <f>gescon_infosparticip!E147</f>
        <v>0</v>
      </c>
      <c r="G148">
        <f>gescon_infosparticip!F147</f>
        <v>0</v>
      </c>
      <c r="H148">
        <f>gescon_infosparticip!G147</f>
        <v>0</v>
      </c>
      <c r="I148" t="str">
        <f>gescon_infosparticip!H147</f>
        <v/>
      </c>
      <c r="J148">
        <f>IF(gescon_infosparticip!I147=FALSE,0,1)</f>
        <v>0</v>
      </c>
      <c r="K148">
        <f>IF(gescon_infosparticip!J147=FALSE,0,1)</f>
        <v>1</v>
      </c>
      <c r="L148">
        <f>IF(gescon_infosparticip!K147=FALSE,0,1)</f>
        <v>0</v>
      </c>
      <c r="M148">
        <f>IF(gescon_infosparticip!L147=FALSE,0,1)</f>
        <v>0</v>
      </c>
      <c r="N148">
        <f>IF(gescon_infosparticip!M147=FALSE,0,1)</f>
        <v>1</v>
      </c>
      <c r="O148">
        <f>IF(gescon_infosparticip!N147=FALSE,0,1)</f>
        <v>0</v>
      </c>
      <c r="P148">
        <f>IF(gescon_infosparticip!O147=FALSE,0,1)</f>
        <v>0</v>
      </c>
      <c r="Q148">
        <f>IF(gescon_infosparticip!P147=FALSE,0,1)</f>
        <v>0</v>
      </c>
      <c r="R148">
        <f>IF(gescon_infosparticip!Q147=FALSE,0,1)</f>
        <v>0</v>
      </c>
      <c r="S148" t="str">
        <f>gescon_infosparticip!R147</f>
        <v>Marche autonome mais besoin d'aide car problème de vue. (vision tubulaire) et sourde oreille gauche</v>
      </c>
      <c r="T148" t="str">
        <f>gescon_infosparticip!V147</f>
        <v>Besoin d'aide pour se coiffer, pour se laver les cheveux, et pour préparer ses vêtements.Attention Soleil</v>
      </c>
      <c r="U148" t="str">
        <f>gescon_infosparticip!S147</f>
        <v>Pas besoin de matériel auxiliaire. Il faut la surveiller car elle peut avoir des crises d'épilepsies.</v>
      </c>
      <c r="V148">
        <f>IF(gescon_infosparticip!U147=FALSE,0,1)</f>
        <v>1</v>
      </c>
      <c r="W148">
        <f>IF(gescon_infosparticip!T147=FALSE,0,1)</f>
        <v>0</v>
      </c>
      <c r="X148" t="str">
        <f>gescon_infosparticip!W147</f>
        <v>Kathia a besoin de 8 heures de sommeil au minimum.</v>
      </c>
      <c r="Y148">
        <f>IF(gescon_infosparticip!X147=FALSE,0,1)</f>
        <v>0</v>
      </c>
      <c r="Z148">
        <f>IF(gescon_infosparticip!Y147=FALSE,0,1)</f>
        <v>0</v>
      </c>
      <c r="AA148">
        <f>IF(gescon_infosparticip!Z147=FALSE,0,1)</f>
        <v>0</v>
      </c>
      <c r="AB148">
        <f>IF(gescon_infosparticip!AA147=FALSE,0,1)</f>
        <v>0</v>
      </c>
      <c r="AC148" t="str">
        <f>gescon_infosparticip!AB147</f>
        <v>Communication oral</v>
      </c>
      <c r="AD148" t="str">
        <f>gescon_infosparticip!AC147</f>
        <v>Elle vit seule avec sa mère</v>
      </c>
      <c r="AE148" t="str">
        <f>gescon_infosparticip!AD147</f>
        <v>Un frère Gabriel (1979)</v>
      </c>
      <c r="AF148" t="str">
        <f>gescon_infosparticip!AE147</f>
        <v/>
      </c>
      <c r="AG148" t="str">
        <f>gescon_infosparticip!AF147</f>
        <v>Fan de Roger Federer, Roch Voisine et de Top modèle. Elle est une fervente supporter du FC Sion. Elle travaille aux ateliers de la FOVHAM à Sion.</v>
      </c>
      <c r="AH148" t="str">
        <f>gescon_infosparticip!AG147</f>
        <v>Ne pas parler en mal de Roch Voisine, de Federer, du FC Sion, ni de Top modèle.</v>
      </c>
      <c r="AI148" t="str">
        <f>gescon_infosparticip!BN147</f>
        <v>Pas besoin</v>
      </c>
      <c r="AJ148" t="str">
        <f>gescon_infosparticip!BO147</f>
        <v>si fatigue elle fait une sieste</v>
      </c>
    </row>
    <row r="149" spans="2:36" x14ac:dyDescent="0.25">
      <c r="B149">
        <f>gescon_infosparticip!A148</f>
        <v>1175783172</v>
      </c>
      <c r="C149">
        <f>gescon_infosparticip!B148</f>
        <v>42873</v>
      </c>
      <c r="D149">
        <f>gescon_infosparticip!C148</f>
        <v>174</v>
      </c>
      <c r="E149">
        <f>gescon_infosparticip!D148</f>
        <v>0</v>
      </c>
      <c r="F149">
        <f>gescon_infosparticip!E148</f>
        <v>0</v>
      </c>
      <c r="G149">
        <f>gescon_infosparticip!F148</f>
        <v>0</v>
      </c>
      <c r="H149">
        <f>gescon_infosparticip!G148</f>
        <v>174</v>
      </c>
      <c r="I149" t="str">
        <f>gescon_infosparticip!H148</f>
        <v>Pia D'Urso  027 455 47 52 - 079 528 14 30</v>
      </c>
      <c r="J149">
        <f>IF(gescon_infosparticip!I148=FALSE,0,1)</f>
        <v>1</v>
      </c>
      <c r="K149">
        <f>IF(gescon_infosparticip!J148=FALSE,0,1)</f>
        <v>1</v>
      </c>
      <c r="L149">
        <f>IF(gescon_infosparticip!K148=FALSE,0,1)</f>
        <v>0</v>
      </c>
      <c r="M149">
        <f>IF(gescon_infosparticip!L148=FALSE,0,1)</f>
        <v>0</v>
      </c>
      <c r="N149">
        <f>IF(gescon_infosparticip!M148=FALSE,0,1)</f>
        <v>0</v>
      </c>
      <c r="O149">
        <f>IF(gescon_infosparticip!N148=FALSE,0,1)</f>
        <v>0</v>
      </c>
      <c r="P149">
        <f>IF(gescon_infosparticip!O148=FALSE,0,1)</f>
        <v>0</v>
      </c>
      <c r="Q149">
        <f>IF(gescon_infosparticip!P148=FALSE,0,1)</f>
        <v>0</v>
      </c>
      <c r="R149">
        <f>IF(gescon_infosparticip!Q148=FALSE,0,1)</f>
        <v>1</v>
      </c>
      <c r="S149" t="str">
        <f>gescon_infosparticip!R148</f>
        <v>Supporte les longs trajets en bus, Fonctionnement Chaise : accoudoir+tableau peuvent se lever, bande noire du tableau=sécurité. Si pluie protéger pédale, charger chaise le soir !!!</v>
      </c>
      <c r="T149" t="str">
        <f>gescon_infosparticip!V148</f>
        <v>Aide totale</v>
      </c>
      <c r="U149" t="str">
        <f>gescon_infosparticip!S148</f>
        <v>Aide totale : a besoin d'être soutenu + bouée adaptée. 
MARCHE A SUIVRE  : 
1) mettre le boudrier à Christophe sur sa chaise (il aide en faisant le pont)
2) mettre la bouée dans l'eau avec le bouchon sur la gauche
3) mettre Christophe dans la bouée (les 2 bras sur la bouée)
4) attacher les sangles noires et rouges aux anneaux à l'arrière du boudrier.</v>
      </c>
      <c r="V149">
        <f>IF(gescon_infosparticip!U148=FALSE,0,1)</f>
        <v>1</v>
      </c>
      <c r="W149">
        <f>IF(gescon_infosparticip!T148=FALSE,0,1)</f>
        <v>0</v>
      </c>
      <c r="X149" t="str">
        <f>gescon_infosparticip!W148</f>
        <v>Dort nu et sur le ventre 
Il n'urine jamais lorsqu'il est nu</v>
      </c>
      <c r="Y149">
        <f>IF(gescon_infosparticip!X148=FALSE,0,1)</f>
        <v>0</v>
      </c>
      <c r="Z149">
        <f>IF(gescon_infosparticip!Y148=FALSE,0,1)</f>
        <v>0</v>
      </c>
      <c r="AA149">
        <f>IF(gescon_infosparticip!Z148=FALSE,0,1)</f>
        <v>0</v>
      </c>
      <c r="AB149">
        <f>IF(gescon_infosparticip!AA148=FALSE,0,1)</f>
        <v>1</v>
      </c>
      <c r="AC149" t="str">
        <f>gescon_infosparticip!AB148</f>
        <v>Avec l'aide d'un tableau "BLISS"</v>
      </c>
      <c r="AD149" t="str">
        <f>gescon_infosparticip!AC148</f>
        <v/>
      </c>
      <c r="AE149" t="str">
        <f>gescon_infosparticip!AD148</f>
        <v/>
      </c>
      <c r="AF149" t="str">
        <f>gescon_infosparticip!AE148</f>
        <v/>
      </c>
      <c r="AG149" t="str">
        <f>gescon_infosparticip!AF148</f>
        <v>Le football, le hockey, le tennis
Discussions avec les accompagnant(e)s</v>
      </c>
      <c r="AH149" t="str">
        <f>gescon_infosparticip!AG148</f>
        <v>Expositions de peinture</v>
      </c>
      <c r="AI149" t="str">
        <f>gescon_infosparticip!BN148</f>
        <v>pour les transferts : il faut lui demander</v>
      </c>
      <c r="AJ149" t="str">
        <f>gescon_infosparticip!BO148</f>
        <v/>
      </c>
    </row>
    <row r="150" spans="2:36" x14ac:dyDescent="0.25">
      <c r="B150">
        <f>gescon_infosparticip!A149</f>
        <v>1176728538</v>
      </c>
      <c r="C150">
        <f>gescon_infosparticip!B149</f>
        <v>41826</v>
      </c>
      <c r="D150">
        <f>gescon_infosparticip!C149</f>
        <v>0</v>
      </c>
      <c r="E150">
        <f>gescon_infosparticip!D149</f>
        <v>0</v>
      </c>
      <c r="F150">
        <f>gescon_infosparticip!E149</f>
        <v>0</v>
      </c>
      <c r="G150">
        <f>gescon_infosparticip!F149</f>
        <v>0</v>
      </c>
      <c r="H150">
        <f>gescon_infosparticip!G149</f>
        <v>0</v>
      </c>
      <c r="I150" t="str">
        <f>gescon_infosparticip!H149</f>
        <v/>
      </c>
      <c r="J150">
        <f>IF(gescon_infosparticip!I149=FALSE,0,1)</f>
        <v>0</v>
      </c>
      <c r="K150">
        <f>IF(gescon_infosparticip!J149=FALSE,0,1)</f>
        <v>0</v>
      </c>
      <c r="L150">
        <f>IF(gescon_infosparticip!K149=FALSE,0,1)</f>
        <v>0</v>
      </c>
      <c r="M150">
        <f>IF(gescon_infosparticip!L149=FALSE,0,1)</f>
        <v>0</v>
      </c>
      <c r="N150">
        <f>IF(gescon_infosparticip!M149=FALSE,0,1)</f>
        <v>0</v>
      </c>
      <c r="O150">
        <f>IF(gescon_infosparticip!N149=FALSE,0,1)</f>
        <v>0</v>
      </c>
      <c r="P150">
        <f>IF(gescon_infosparticip!O149=FALSE,0,1)</f>
        <v>0</v>
      </c>
      <c r="Q150">
        <f>IF(gescon_infosparticip!P149=FALSE,0,1)</f>
        <v>0</v>
      </c>
      <c r="R150">
        <f>IF(gescon_infosparticip!Q149=FALSE,0,1)</f>
        <v>0</v>
      </c>
      <c r="S150" t="str">
        <f>gescon_infosparticip!R149</f>
        <v/>
      </c>
      <c r="T150" t="str">
        <f>gescon_infosparticip!V149</f>
        <v/>
      </c>
      <c r="U150" t="str">
        <f>gescon_infosparticip!S149</f>
        <v/>
      </c>
      <c r="V150">
        <f>IF(gescon_infosparticip!U149=FALSE,0,1)</f>
        <v>0</v>
      </c>
      <c r="W150">
        <f>IF(gescon_infosparticip!T149=FALSE,0,1)</f>
        <v>0</v>
      </c>
      <c r="X150" t="str">
        <f>gescon_infosparticip!W149</f>
        <v/>
      </c>
      <c r="Y150">
        <f>IF(gescon_infosparticip!X149=FALSE,0,1)</f>
        <v>0</v>
      </c>
      <c r="Z150">
        <f>IF(gescon_infosparticip!Y149=FALSE,0,1)</f>
        <v>0</v>
      </c>
      <c r="AA150">
        <f>IF(gescon_infosparticip!Z149=FALSE,0,1)</f>
        <v>0</v>
      </c>
      <c r="AB150">
        <f>IF(gescon_infosparticip!AA149=FALSE,0,1)</f>
        <v>0</v>
      </c>
      <c r="AC150" t="str">
        <f>gescon_infosparticip!AB149</f>
        <v/>
      </c>
      <c r="AD150" t="str">
        <f>gescon_infosparticip!AC149</f>
        <v/>
      </c>
      <c r="AE150" t="str">
        <f>gescon_infosparticip!AD149</f>
        <v/>
      </c>
      <c r="AF150" t="str">
        <f>gescon_infosparticip!AE149</f>
        <v/>
      </c>
      <c r="AG150" t="str">
        <f>gescon_infosparticip!AF149</f>
        <v/>
      </c>
      <c r="AH150" t="str">
        <f>gescon_infosparticip!AG149</f>
        <v/>
      </c>
      <c r="AI150" t="str">
        <f>gescon_infosparticip!BN149</f>
        <v/>
      </c>
      <c r="AJ150" t="str">
        <f>gescon_infosparticip!BO149</f>
        <v/>
      </c>
    </row>
    <row r="151" spans="2:36" x14ac:dyDescent="0.25">
      <c r="B151">
        <f>gescon_infosparticip!A150</f>
        <v>1184667370</v>
      </c>
      <c r="C151">
        <f>gescon_infosparticip!B150</f>
        <v>42482</v>
      </c>
      <c r="D151">
        <f>gescon_infosparticip!C150</f>
        <v>0</v>
      </c>
      <c r="E151">
        <f>gescon_infosparticip!D150</f>
        <v>0</v>
      </c>
      <c r="F151">
        <f>gescon_infosparticip!E150</f>
        <v>0</v>
      </c>
      <c r="G151">
        <f>gescon_infosparticip!F150</f>
        <v>0</v>
      </c>
      <c r="H151">
        <f>gescon_infosparticip!G150</f>
        <v>0</v>
      </c>
      <c r="I151" t="str">
        <f>gescon_infosparticip!H150</f>
        <v/>
      </c>
      <c r="J151">
        <f>IF(gescon_infosparticip!I150=FALSE,0,1)</f>
        <v>0</v>
      </c>
      <c r="K151">
        <f>IF(gescon_infosparticip!J150=FALSE,0,1)</f>
        <v>0</v>
      </c>
      <c r="L151">
        <f>IF(gescon_infosparticip!K150=FALSE,0,1)</f>
        <v>0</v>
      </c>
      <c r="M151">
        <f>IF(gescon_infosparticip!L150=FALSE,0,1)</f>
        <v>0</v>
      </c>
      <c r="N151">
        <f>IF(gescon_infosparticip!M150=FALSE,0,1)</f>
        <v>0</v>
      </c>
      <c r="O151">
        <f>IF(gescon_infosparticip!N150=FALSE,0,1)</f>
        <v>0</v>
      </c>
      <c r="P151">
        <f>IF(gescon_infosparticip!O150=FALSE,0,1)</f>
        <v>0</v>
      </c>
      <c r="Q151">
        <f>IF(gescon_infosparticip!P150=FALSE,0,1)</f>
        <v>0</v>
      </c>
      <c r="R151">
        <f>IF(gescon_infosparticip!Q150=FALSE,0,1)</f>
        <v>0</v>
      </c>
      <c r="S151" t="str">
        <f>gescon_infosparticip!R150</f>
        <v/>
      </c>
      <c r="T151" t="str">
        <f>gescon_infosparticip!V150</f>
        <v/>
      </c>
      <c r="U151" t="str">
        <f>gescon_infosparticip!S150</f>
        <v/>
      </c>
      <c r="V151">
        <f>IF(gescon_infosparticip!U150=FALSE,0,1)</f>
        <v>0</v>
      </c>
      <c r="W151">
        <f>IF(gescon_infosparticip!T150=FALSE,0,1)</f>
        <v>0</v>
      </c>
      <c r="X151" t="str">
        <f>gescon_infosparticip!W150</f>
        <v/>
      </c>
      <c r="Y151">
        <f>IF(gescon_infosparticip!X150=FALSE,0,1)</f>
        <v>0</v>
      </c>
      <c r="Z151">
        <f>IF(gescon_infosparticip!Y150=FALSE,0,1)</f>
        <v>0</v>
      </c>
      <c r="AA151">
        <f>IF(gescon_infosparticip!Z150=FALSE,0,1)</f>
        <v>0</v>
      </c>
      <c r="AB151">
        <f>IF(gescon_infosparticip!AA150=FALSE,0,1)</f>
        <v>0</v>
      </c>
      <c r="AC151" t="str">
        <f>gescon_infosparticip!AB150</f>
        <v/>
      </c>
      <c r="AD151" t="str">
        <f>gescon_infosparticip!AC150</f>
        <v/>
      </c>
      <c r="AE151" t="str">
        <f>gescon_infosparticip!AD150</f>
        <v/>
      </c>
      <c r="AF151" t="str">
        <f>gescon_infosparticip!AE150</f>
        <v/>
      </c>
      <c r="AG151" t="str">
        <f>gescon_infosparticip!AF150</f>
        <v/>
      </c>
      <c r="AH151" t="str">
        <f>gescon_infosparticip!AG150</f>
        <v/>
      </c>
      <c r="AI151" t="str">
        <f>gescon_infosparticip!BN150</f>
        <v/>
      </c>
      <c r="AJ151" t="str">
        <f>gescon_infosparticip!BO150</f>
        <v/>
      </c>
    </row>
    <row r="152" spans="2:36" x14ac:dyDescent="0.25">
      <c r="B152">
        <f>gescon_infosparticip!A151</f>
        <v>1191311576</v>
      </c>
      <c r="C152">
        <f>gescon_infosparticip!B151</f>
        <v>42815</v>
      </c>
      <c r="D152">
        <f>gescon_infosparticip!C151</f>
        <v>0</v>
      </c>
      <c r="E152">
        <f>gescon_infosparticip!D151</f>
        <v>0</v>
      </c>
      <c r="F152">
        <f>gescon_infosparticip!E151</f>
        <v>0</v>
      </c>
      <c r="G152">
        <f>gescon_infosparticip!F151</f>
        <v>1424</v>
      </c>
      <c r="H152">
        <f>gescon_infosparticip!G151</f>
        <v>0</v>
      </c>
      <c r="I152" t="str">
        <f>gescon_infosparticip!H151</f>
        <v/>
      </c>
      <c r="J152">
        <f>IF(gescon_infosparticip!I151=FALSE,0,1)</f>
        <v>0</v>
      </c>
      <c r="K152">
        <f>IF(gescon_infosparticip!J151=FALSE,0,1)</f>
        <v>0</v>
      </c>
      <c r="L152">
        <f>IF(gescon_infosparticip!K151=FALSE,0,1)</f>
        <v>0</v>
      </c>
      <c r="M152">
        <f>IF(gescon_infosparticip!L151=FALSE,0,1)</f>
        <v>1</v>
      </c>
      <c r="N152">
        <f>IF(gescon_infosparticip!M151=FALSE,0,1)</f>
        <v>0</v>
      </c>
      <c r="O152">
        <f>IF(gescon_infosparticip!N151=FALSE,0,1)</f>
        <v>0</v>
      </c>
      <c r="P152">
        <f>IF(gescon_infosparticip!O151=FALSE,0,1)</f>
        <v>0</v>
      </c>
      <c r="Q152">
        <f>IF(gescon_infosparticip!P151=FALSE,0,1)</f>
        <v>0</v>
      </c>
      <c r="R152">
        <f>IF(gescon_infosparticip!Q151=FALSE,0,1)</f>
        <v>1</v>
      </c>
      <c r="S152" t="str">
        <f>gescon_infosparticip!R151</f>
        <v>Supporte les longs trajets</v>
      </c>
      <c r="T152" t="str">
        <f>gescon_infosparticip!V151</f>
        <v>Aide complète. Maya aime choisir ses habits seule</v>
      </c>
      <c r="U152" t="str">
        <f>gescon_infosparticip!S151</f>
        <v>Présence d'une personne obligatoire pour la tenir. Maya apprécie beaucoup la piscine.</v>
      </c>
      <c r="V152">
        <f>IF(gescon_infosparticip!U151=FALSE,0,1)</f>
        <v>0</v>
      </c>
      <c r="W152">
        <f>IF(gescon_infosparticip!T151=FALSE,0,1)</f>
        <v>1</v>
      </c>
      <c r="X152" t="str">
        <f>gescon_infosparticip!W151</f>
        <v>Maya se couche vers 19h30, lui mettre coussin banane sous jambes + coussin sous talons, reste toute la nuit sur le dos. Aime bien restée éveillée un peu plus tard.</v>
      </c>
      <c r="Y152">
        <f>IF(gescon_infosparticip!X151=FALSE,0,1)</f>
        <v>0</v>
      </c>
      <c r="Z152">
        <f>IF(gescon_infosparticip!Y151=FALSE,0,1)</f>
        <v>0</v>
      </c>
      <c r="AA152">
        <f>IF(gescon_infosparticip!Z151=FALSE,0,1)</f>
        <v>0</v>
      </c>
      <c r="AB152">
        <f>IF(gescon_infosparticip!AA151=FALSE,0,1)</f>
        <v>1</v>
      </c>
      <c r="AC152" t="str">
        <f>gescon_infosparticip!AB151</f>
        <v>Maya utilise sa tablette pour se faire comprendre, lui rappeler d'utiliser sa tablette, à tendance à l'oublier. Elle comprend l'allemande et le français. Maya dis oui et non avec des signes de tête.</v>
      </c>
      <c r="AD152" t="str">
        <f>gescon_infosparticip!AC151</f>
        <v/>
      </c>
      <c r="AE152" t="str">
        <f>gescon_infosparticip!AD151</f>
        <v/>
      </c>
      <c r="AF152" t="str">
        <f>gescon_infosparticip!AE151</f>
        <v/>
      </c>
      <c r="AG152" t="str">
        <f>gescon_infosparticip!AF151</f>
        <v>Maya adore la musique de Grégory Lemarchal et les promenades.</v>
      </c>
      <c r="AH152" t="str">
        <f>gescon_infosparticip!AG151</f>
        <v>Lorsqu'il y a trop de bruits.</v>
      </c>
      <c r="AI152" t="str">
        <f>gescon_infosparticip!BN151</f>
        <v>Sieste vers 12h30. Dos coussin en U + coussin surélever talons</v>
      </c>
      <c r="AJ152" t="str">
        <f>gescon_infosparticip!BO151</f>
        <v/>
      </c>
    </row>
    <row r="153" spans="2:36" x14ac:dyDescent="0.25">
      <c r="B153">
        <f>gescon_infosparticip!A152</f>
        <v>1191915897</v>
      </c>
      <c r="C153">
        <f>gescon_infosparticip!B152</f>
        <v>42475</v>
      </c>
      <c r="D153">
        <f>gescon_infosparticip!C152</f>
        <v>187</v>
      </c>
      <c r="E153">
        <f>gescon_infosparticip!D152</f>
        <v>0</v>
      </c>
      <c r="F153">
        <f>gescon_infosparticip!E152</f>
        <v>187</v>
      </c>
      <c r="G153">
        <f>gescon_infosparticip!F152</f>
        <v>0</v>
      </c>
      <c r="H153">
        <f>gescon_infosparticip!G152</f>
        <v>0</v>
      </c>
      <c r="I153" t="str">
        <f>gescon_infosparticip!H152</f>
        <v/>
      </c>
      <c r="J153">
        <f>IF(gescon_infosparticip!I152=FALSE,0,1)</f>
        <v>0</v>
      </c>
      <c r="K153">
        <f>IF(gescon_infosparticip!J152=FALSE,0,1)</f>
        <v>1</v>
      </c>
      <c r="L153">
        <f>IF(gescon_infosparticip!K152=FALSE,0,1)</f>
        <v>0</v>
      </c>
      <c r="M153">
        <f>IF(gescon_infosparticip!L152=FALSE,0,1)</f>
        <v>1</v>
      </c>
      <c r="N153">
        <f>IF(gescon_infosparticip!M152=FALSE,0,1)</f>
        <v>0</v>
      </c>
      <c r="O153">
        <f>IF(gescon_infosparticip!N152=FALSE,0,1)</f>
        <v>0</v>
      </c>
      <c r="P153">
        <f>IF(gescon_infosparticip!O152=FALSE,0,1)</f>
        <v>0</v>
      </c>
      <c r="Q153">
        <f>IF(gescon_infosparticip!P152=FALSE,0,1)</f>
        <v>1</v>
      </c>
      <c r="R153">
        <f>IF(gescon_infosparticip!Q152=FALSE,0,1)</f>
        <v>0</v>
      </c>
      <c r="S153" t="str">
        <f>gescon_infosparticip!R152</f>
        <v>Fauteuil manuel. Pour recharger la chaise, mettre d'abord l'embout à la chaise puis la prise lorsque le rechargment est effectué enlever la prise, puis l'embout.</v>
      </c>
      <c r="T153" t="str">
        <f>gescon_infosparticip!V152</f>
        <v>aide pour l'habillement.</v>
      </c>
      <c r="U153" t="str">
        <f>gescon_infosparticip!S152</f>
        <v>Il aime l'eau chaude. Il ne tient pas sa tête, il faut le soutenir (mettre des manchons ou une bouée)</v>
      </c>
      <c r="V153">
        <f>IF(gescon_infosparticip!U152=FALSE,0,1)</f>
        <v>1</v>
      </c>
      <c r="W153">
        <f>IF(gescon_infosparticip!T152=FALSE,0,1)</f>
        <v>0</v>
      </c>
      <c r="X153" t="str">
        <f>gescon_infosparticip!W152</f>
        <v>ATTENTION: Impératif de prendre tous les moyens nécessaire de sécurité lors des soins (barrière, surveillance étroite pour éviter les chutes. En fév. 2010 il a eu un accident - chute de lit sur le sol en béton, avec comme effet une fracture du col du fémur gauche, très traumatisant pour lui-même et pour la famille. A EVITER A TOUT PRIX A L'AVENIR). Il dort sur le ventre
Il dort sur le côté droit avec un coussin derrière, un entre les genoux et un entre les pieds. Bien le couvrir ainsi que les oreilles (important). Ne pas le déranger pendant la nuit. Ne veut pas dormir avec des personnes qui se réveillent la nuit et font du bruit. Vérifier une fois pendant la nuit, si possible vers 4-5 heures s'il n'est pas découvert.</v>
      </c>
      <c r="Y153">
        <f>IF(gescon_infosparticip!X152=FALSE,0,1)</f>
        <v>0</v>
      </c>
      <c r="Z153">
        <f>IF(gescon_infosparticip!Y152=FALSE,0,1)</f>
        <v>0</v>
      </c>
      <c r="AA153">
        <f>IF(gescon_infosparticip!Z152=FALSE,0,1)</f>
        <v>0</v>
      </c>
      <c r="AB153">
        <f>IF(gescon_infosparticip!AA152=FALSE,0,1)</f>
        <v>1</v>
      </c>
      <c r="AC153" t="str">
        <f>gescon_infosparticip!AB152</f>
        <v>Oral</v>
      </c>
      <c r="AD153" t="str">
        <f>gescon_infosparticip!AC152</f>
        <v/>
      </c>
      <c r="AE153" t="str">
        <f>gescon_infosparticip!AD152</f>
        <v/>
      </c>
      <c r="AF153" t="str">
        <f>gescon_infosparticip!AE152</f>
        <v/>
      </c>
      <c r="AG153" t="str">
        <f>gescon_infosparticip!AF152</f>
        <v>Il aime la musique, tout ce qui est technique. Andreï aime aussi être très bien entouré et discuter. La TV, jeux télévisés (Questions pour un champion, Attention à la marche,..) et les séries (Les feux de l'amour), musique typique romaine</v>
      </c>
      <c r="AH153" t="str">
        <f>gescon_infosparticip!AG152</f>
        <v/>
      </c>
      <c r="AI153" t="str">
        <f>gescon_infosparticip!BN152</f>
        <v>à la mi-journée, il faut le soulever par les bras et l'aider à pousser avec ses jambes.</v>
      </c>
      <c r="AJ153" t="str">
        <f>gescon_infosparticip!BO152</f>
        <v>2x par jour</v>
      </c>
    </row>
    <row r="154" spans="2:36" x14ac:dyDescent="0.25">
      <c r="B154">
        <f>gescon_infosparticip!A153</f>
        <v>1194356555</v>
      </c>
      <c r="C154">
        <f>gescon_infosparticip!B153</f>
        <v>42284</v>
      </c>
      <c r="D154">
        <f>gescon_infosparticip!C153</f>
        <v>-1556024784</v>
      </c>
      <c r="E154">
        <f>gescon_infosparticip!D153</f>
        <v>0</v>
      </c>
      <c r="F154">
        <f>gescon_infosparticip!E153</f>
        <v>0</v>
      </c>
      <c r="G154">
        <f>gescon_infosparticip!F153</f>
        <v>0</v>
      </c>
      <c r="H154">
        <f>gescon_infosparticip!G153</f>
        <v>0</v>
      </c>
      <c r="I154" t="str">
        <f>gescon_infosparticip!H153</f>
        <v/>
      </c>
      <c r="J154">
        <f>IF(gescon_infosparticip!I153=FALSE,0,1)</f>
        <v>0</v>
      </c>
      <c r="K154">
        <f>IF(gescon_infosparticip!J153=FALSE,0,1)</f>
        <v>0</v>
      </c>
      <c r="L154">
        <f>IF(gescon_infosparticip!K153=FALSE,0,1)</f>
        <v>1</v>
      </c>
      <c r="M154">
        <f>IF(gescon_infosparticip!L153=FALSE,0,1)</f>
        <v>1</v>
      </c>
      <c r="N154">
        <f>IF(gescon_infosparticip!M153=FALSE,0,1)</f>
        <v>1</v>
      </c>
      <c r="O154">
        <f>IF(gescon_infosparticip!N153=FALSE,0,1)</f>
        <v>0</v>
      </c>
      <c r="P154">
        <f>IF(gescon_infosparticip!O153=FALSE,0,1)</f>
        <v>0</v>
      </c>
      <c r="Q154">
        <f>IF(gescon_infosparticip!P153=FALSE,0,1)</f>
        <v>0</v>
      </c>
      <c r="R154">
        <f>IF(gescon_infosparticip!Q153=FALSE,0,1)</f>
        <v>0</v>
      </c>
      <c r="S154" t="str">
        <f>gescon_infosparticip!R153</f>
        <v>elle supporte les trajets en bus avec siège auto et ceinture abdominale. Il faut bloquer les portières et les fenêtres.
Elle peut se déplacer un petit peu mais avec grande sécurité. Contrôler en cas de chute si elle n'est pas blessée.</v>
      </c>
      <c r="T154" t="str">
        <f>gescon_infosparticip!V153</f>
        <v>aide nécessaire. Lui mettre des vêtements qui lui couvre les genoux, même l'été, car elle se blesse souvent.</v>
      </c>
      <c r="U154" t="str">
        <f>gescon_infosparticip!S153</f>
        <v>Elle ne sait pas nager mais est très attirée par l'eau. Ne jamais la laisser seule près de bassins, baignoires,… Même en portant des manchons ! Elle n'a pas forcemment le reflèxe de sortir la tête de l'eau pour respirer.</v>
      </c>
      <c r="V154">
        <f>IF(gescon_infosparticip!U153=FALSE,0,1)</f>
        <v>1</v>
      </c>
      <c r="W154">
        <f>IF(gescon_infosparticip!T153=FALSE,0,1)</f>
        <v>0</v>
      </c>
      <c r="X154" t="str">
        <f>gescon_infosparticip!W153</f>
        <v>Impérativement installer son matelas par terre pour éviter le risque de chute la nuit. Bien fixer le duvet au fond du matelas pour éviter qu'elle se recouvre le visage.
Couverture ZEWI + épingle de sûreté au fond en travers de la fermeture éclaire et lui rajouter une camisole. La contenir par exemple en l'installant dans un petit coin ou en mettant des matelas de chaque côté.  Elle aime retrouver Rosy (poupée) dans le lit et que nous lui racontions des histoires. Elle se couche vers 20h et se réveille d'elle-même. Si elle est désoeuvrée dans son lit, elle peut s'arracher des mèches de cheveux qu'elle mange. Il lui arrive de retirer ses couches la nuit et de souiller la literie.</v>
      </c>
      <c r="Y154">
        <f>IF(gescon_infosparticip!X153=FALSE,0,1)</f>
        <v>0</v>
      </c>
      <c r="Z154">
        <f>IF(gescon_infosparticip!Y153=FALSE,0,1)</f>
        <v>1</v>
      </c>
      <c r="AA154">
        <f>IF(gescon_infosparticip!Z153=FALSE,0,1)</f>
        <v>0</v>
      </c>
      <c r="AB154">
        <f>IF(gescon_infosparticip!AA153=FALSE,0,1)</f>
        <v>1</v>
      </c>
      <c r="AC154" t="str">
        <f>gescon_infosparticip!AB153</f>
        <v>Elsa ne parle pas. Elle comprend le langage simple. Le soutien gestuel est utilisé à la maison et à NdL. Elle reproduit quelques gestes. Utilisez les photos en support au langage dans le but d'augmenter sa compréhension et surtout de lui permettre d'exprimer des demandes ou des choix. Verbaliser en montrant une photo. Elsa a encore de la peine à regarder les images et à les reconnaître. L'utilisation des photos dans le vie quotidienne, l'aide à acquérir les bases pour une communication par pictogramme. Lorsqu'elle est fâchée, elle se mord, ne collabore pas et se couche par terre. Faire attention qu'elle ne mange pas ses cheveux</v>
      </c>
      <c r="AD154" t="str">
        <f>gescon_infosparticip!AC153</f>
        <v/>
      </c>
      <c r="AE154" t="str">
        <f>gescon_infosparticip!AD153</f>
        <v>Elle a deux grandes sœurs, Loren et Marie.</v>
      </c>
      <c r="AF154" t="str">
        <f>gescon_infosparticip!AE153</f>
        <v/>
      </c>
      <c r="AG154" t="str">
        <f>gescon_infosparticip!AF153</f>
        <v>Elle aime les câlins et les chatouilles. Elle aime la musique, le xylophone et danser. Lors de la danse il y a un risque de chute car elle ne mesure pas les distances (hauteur, profondeur). Elle refuse souvent de donner la main lors de déplacements extérieurs, pourtant cela est impératif. Elle aime aussi les toboggans, feuilleter des livres, les jeux d'eaux, les jeux de ballons et les poupées. Elsa a besoin d'une SURVEILLANCE INTENSE car elle ne voit pas les dangers, elle est imprévisible et très rapide.</v>
      </c>
      <c r="AH154" t="str">
        <f>gescon_infosparticip!AG153</f>
        <v>Elle n'aime pas beaucoup dessiner et a parfois peur des bruits des voitures et de la foule.</v>
      </c>
      <c r="AI154" t="str">
        <f>gescon_infosparticip!BN153</f>
        <v>Pas besoin de sieste mais penser a bien la contenir la nuit.</v>
      </c>
      <c r="AJ154" t="str">
        <f>gescon_infosparticip!BO153</f>
        <v/>
      </c>
    </row>
    <row r="155" spans="2:36" x14ac:dyDescent="0.25">
      <c r="B155">
        <f>gescon_infosparticip!A154</f>
        <v>1194358603</v>
      </c>
      <c r="C155">
        <f>gescon_infosparticip!B154</f>
        <v>42405</v>
      </c>
      <c r="D155">
        <f>gescon_infosparticip!C154</f>
        <v>2619</v>
      </c>
      <c r="E155">
        <f>gescon_infosparticip!D154</f>
        <v>0</v>
      </c>
      <c r="F155">
        <f>gescon_infosparticip!E154</f>
        <v>0</v>
      </c>
      <c r="G155">
        <f>gescon_infosparticip!F154</f>
        <v>0</v>
      </c>
      <c r="H155">
        <f>gescon_infosparticip!G154</f>
        <v>0</v>
      </c>
      <c r="I155" t="str">
        <f>gescon_infosparticip!H154</f>
        <v/>
      </c>
      <c r="J155">
        <f>IF(gescon_infosparticip!I154=FALSE,0,1)</f>
        <v>0</v>
      </c>
      <c r="K155">
        <f>IF(gescon_infosparticip!J154=FALSE,0,1)</f>
        <v>0</v>
      </c>
      <c r="L155">
        <f>IF(gescon_infosparticip!K154=FALSE,0,1)</f>
        <v>1</v>
      </c>
      <c r="M155">
        <f>IF(gescon_infosparticip!L154=FALSE,0,1)</f>
        <v>0</v>
      </c>
      <c r="N155">
        <f>IF(gescon_infosparticip!M154=FALSE,0,1)</f>
        <v>0</v>
      </c>
      <c r="O155">
        <f>IF(gescon_infosparticip!N154=FALSE,0,1)</f>
        <v>0</v>
      </c>
      <c r="P155">
        <f>IF(gescon_infosparticip!O154=FALSE,0,1)</f>
        <v>0</v>
      </c>
      <c r="Q155">
        <f>IF(gescon_infosparticip!P154=FALSE,0,1)</f>
        <v>1</v>
      </c>
      <c r="R155">
        <f>IF(gescon_infosparticip!Q154=FALSE,0,1)</f>
        <v>0</v>
      </c>
      <c r="S155" t="str">
        <f>gescon_infosparticip!R154</f>
        <v>Oui</v>
      </c>
      <c r="T155" t="str">
        <f>gescon_infosparticip!V154</f>
        <v>Aide complète pour l'habillement et le déshabillement. Habillage du haut, d'abord bras droit, tête, bras gauche et le contraire pour déshabiller. Sophie est relativement frileuse, veiller à bien l'habiller.</v>
      </c>
      <c r="U155" t="str">
        <f>gescon_infosparticip!S154</f>
        <v>Ne va pas à la piscine, elle n'aime pas ça.</v>
      </c>
      <c r="V155">
        <f>IF(gescon_infosparticip!U154=FALSE,0,1)</f>
        <v>0</v>
      </c>
      <c r="W155">
        <f>IF(gescon_infosparticip!T154=FALSE,0,1)</f>
        <v>0</v>
      </c>
      <c r="X155" t="str">
        <f>gescon_infosparticip!W154</f>
        <v>Sophie dort sur le dos, veiller à ce que sa colonne soit le plus rectiligne possible. Mettre pour la nuit, coussin en U sous les genoux en gardant un écart entre les genoux et un coussin normal sous les pieds.</v>
      </c>
      <c r="Y155">
        <f>IF(gescon_infosparticip!X154=FALSE,0,1)</f>
        <v>0</v>
      </c>
      <c r="Z155">
        <f>IF(gescon_infosparticip!Y154=FALSE,0,1)</f>
        <v>0</v>
      </c>
      <c r="AA155">
        <f>IF(gescon_infosparticip!Z154=FALSE,0,1)</f>
        <v>0</v>
      </c>
      <c r="AB155">
        <f>IF(gescon_infosparticip!AA154=FALSE,0,1)</f>
        <v>1</v>
      </c>
      <c r="AC155" t="str">
        <f>gescon_infosparticip!AB154</f>
        <v>Elle parle doucement, elle bégaie un peu, parfois c'est difficile de la comprendre.</v>
      </c>
      <c r="AD155" t="str">
        <f>gescon_infosparticip!AC154</f>
        <v/>
      </c>
      <c r="AE155" t="str">
        <f>gescon_infosparticip!AD154</f>
        <v/>
      </c>
      <c r="AF155" t="str">
        <f>gescon_infosparticip!AE154</f>
        <v/>
      </c>
      <c r="AG155" t="str">
        <f>gescon_infosparticip!AF154</f>
        <v>Sophie aime la musique, les promenades en ville, l'ambiance de fête et elle aime bien que l'on s'occupe d'elle. Elle ne fume plus.</v>
      </c>
      <c r="AH155" t="str">
        <f>gescon_infosparticip!AG154</f>
        <v>La piscine.</v>
      </c>
      <c r="AI155" t="str">
        <f>gescon_infosparticip!BN154</f>
        <v>Oui, après-diner avec un coussin en U sous les genoux en gardant un écart entre les genoux. Le soir, incliner la chaise env. 45 min. avant si elle n'a pas eu de changement de position.</v>
      </c>
      <c r="AJ155" t="str">
        <f>gescon_infosparticip!BO154</f>
        <v/>
      </c>
    </row>
    <row r="156" spans="2:36" x14ac:dyDescent="0.25">
      <c r="B156">
        <f>gescon_infosparticip!A155</f>
        <v>1194881278</v>
      </c>
      <c r="C156">
        <f>gescon_infosparticip!B155</f>
        <v>42503</v>
      </c>
      <c r="D156">
        <f>gescon_infosparticip!C155</f>
        <v>0</v>
      </c>
      <c r="E156">
        <f>gescon_infosparticip!D155</f>
        <v>0</v>
      </c>
      <c r="F156">
        <f>gescon_infosparticip!E155</f>
        <v>0</v>
      </c>
      <c r="G156">
        <f>gescon_infosparticip!F155</f>
        <v>0</v>
      </c>
      <c r="H156">
        <f>gescon_infosparticip!G155</f>
        <v>0</v>
      </c>
      <c r="I156" t="str">
        <f>gescon_infosparticip!H155</f>
        <v/>
      </c>
      <c r="J156">
        <f>IF(gescon_infosparticip!I155=FALSE,0,1)</f>
        <v>0</v>
      </c>
      <c r="K156">
        <f>IF(gescon_infosparticip!J155=FALSE,0,1)</f>
        <v>0</v>
      </c>
      <c r="L156">
        <f>IF(gescon_infosparticip!K155=FALSE,0,1)</f>
        <v>0</v>
      </c>
      <c r="M156">
        <f>IF(gescon_infosparticip!L155=FALSE,0,1)</f>
        <v>0</v>
      </c>
      <c r="N156">
        <f>IF(gescon_infosparticip!M155=FALSE,0,1)</f>
        <v>0</v>
      </c>
      <c r="O156">
        <f>IF(gescon_infosparticip!N155=FALSE,0,1)</f>
        <v>0</v>
      </c>
      <c r="P156">
        <f>IF(gescon_infosparticip!O155=FALSE,0,1)</f>
        <v>0</v>
      </c>
      <c r="Q156">
        <f>IF(gescon_infosparticip!P155=FALSE,0,1)</f>
        <v>0</v>
      </c>
      <c r="R156">
        <f>IF(gescon_infosparticip!Q155=FALSE,0,1)</f>
        <v>0</v>
      </c>
      <c r="S156" t="str">
        <f>gescon_infosparticip!R155</f>
        <v/>
      </c>
      <c r="T156" t="str">
        <f>gescon_infosparticip!V155</f>
        <v/>
      </c>
      <c r="U156" t="str">
        <f>gescon_infosparticip!S155</f>
        <v/>
      </c>
      <c r="V156">
        <f>IF(gescon_infosparticip!U155=FALSE,0,1)</f>
        <v>0</v>
      </c>
      <c r="W156">
        <f>IF(gescon_infosparticip!T155=FALSE,0,1)</f>
        <v>0</v>
      </c>
      <c r="X156" t="str">
        <f>gescon_infosparticip!W155</f>
        <v/>
      </c>
      <c r="Y156">
        <f>IF(gescon_infosparticip!X155=FALSE,0,1)</f>
        <v>0</v>
      </c>
      <c r="Z156">
        <f>IF(gescon_infosparticip!Y155=FALSE,0,1)</f>
        <v>0</v>
      </c>
      <c r="AA156">
        <f>IF(gescon_infosparticip!Z155=FALSE,0,1)</f>
        <v>0</v>
      </c>
      <c r="AB156">
        <f>IF(gescon_infosparticip!AA155=FALSE,0,1)</f>
        <v>0</v>
      </c>
      <c r="AC156" t="str">
        <f>gescon_infosparticip!AB155</f>
        <v/>
      </c>
      <c r="AD156" t="str">
        <f>gescon_infosparticip!AC155</f>
        <v/>
      </c>
      <c r="AE156" t="str">
        <f>gescon_infosparticip!AD155</f>
        <v/>
      </c>
      <c r="AF156" t="str">
        <f>gescon_infosparticip!AE155</f>
        <v/>
      </c>
      <c r="AG156" t="str">
        <f>gescon_infosparticip!AF155</f>
        <v/>
      </c>
      <c r="AH156" t="str">
        <f>gescon_infosparticip!AG155</f>
        <v/>
      </c>
      <c r="AI156" t="str">
        <f>gescon_infosparticip!BN155</f>
        <v/>
      </c>
      <c r="AJ156" t="str">
        <f>gescon_infosparticip!BO155</f>
        <v/>
      </c>
    </row>
    <row r="157" spans="2:36" x14ac:dyDescent="0.25">
      <c r="B157">
        <f>gescon_infosparticip!A156</f>
        <v>1195664924</v>
      </c>
      <c r="C157">
        <f>gescon_infosparticip!B156</f>
        <v>42886</v>
      </c>
      <c r="D157">
        <f>gescon_infosparticip!C156</f>
        <v>0</v>
      </c>
      <c r="E157">
        <f>gescon_infosparticip!D156</f>
        <v>2146189984</v>
      </c>
      <c r="F157">
        <f>gescon_infosparticip!E156</f>
        <v>2146189289</v>
      </c>
      <c r="G157">
        <f>gescon_infosparticip!F156</f>
        <v>1424</v>
      </c>
      <c r="H157">
        <f>gescon_infosparticip!G156</f>
        <v>1424</v>
      </c>
      <c r="I157" t="str">
        <f>gescon_infosparticip!H156</f>
        <v>B3 -  024 473 51 43</v>
      </c>
      <c r="J157">
        <f>IF(gescon_infosparticip!I156=FALSE,0,1)</f>
        <v>0</v>
      </c>
      <c r="K157">
        <f>IF(gescon_infosparticip!J156=FALSE,0,1)</f>
        <v>0</v>
      </c>
      <c r="L157">
        <f>IF(gescon_infosparticip!K156=FALSE,0,1)</f>
        <v>0</v>
      </c>
      <c r="M157">
        <f>IF(gescon_infosparticip!L156=FALSE,0,1)</f>
        <v>1</v>
      </c>
      <c r="N157">
        <f>IF(gescon_infosparticip!M156=FALSE,0,1)</f>
        <v>0</v>
      </c>
      <c r="O157">
        <f>IF(gescon_infosparticip!N156=FALSE,0,1)</f>
        <v>0</v>
      </c>
      <c r="P157">
        <f>IF(gescon_infosparticip!O156=FALSE,0,1)</f>
        <v>0</v>
      </c>
      <c r="Q157">
        <f>IF(gescon_infosparticip!P156=FALSE,0,1)</f>
        <v>1</v>
      </c>
      <c r="R157">
        <f>IF(gescon_infosparticip!Q156=FALSE,0,1)</f>
        <v>0</v>
      </c>
      <c r="S157" t="str">
        <f>gescon_infosparticip!R156</f>
        <v>Supporte les longs trajets en bus 
Fauteuil manuel - inclinaison totale
Bien la caler au fond et bien serrer la ceinture</v>
      </c>
      <c r="T157" t="str">
        <f>gescon_infosparticip!V156</f>
        <v>Aide totale - coquette elle aime les habits et les bijoux</v>
      </c>
      <c r="U157" t="str">
        <f>gescon_infosparticip!S156</f>
        <v>Aide totale et présence  permanente 
N'aime pas l'eau froide et  peut très vite s'angoisser.</v>
      </c>
      <c r="V157">
        <f>IF(gescon_infosparticip!U156=FALSE,0,1)</f>
        <v>1</v>
      </c>
      <c r="W157">
        <f>IF(gescon_infosparticip!T156=FALSE,0,1)</f>
        <v>0</v>
      </c>
      <c r="X157" t="str">
        <f>gescon_infosparticip!W156</f>
        <v>Sur le dos - coussin banane sous les genoux</v>
      </c>
      <c r="Y157">
        <f>IF(gescon_infosparticip!X156=FALSE,0,1)</f>
        <v>0</v>
      </c>
      <c r="Z157">
        <f>IF(gescon_infosparticip!Y156=FALSE,0,1)</f>
        <v>0</v>
      </c>
      <c r="AA157">
        <f>IF(gescon_infosparticip!Z156=FALSE,0,1)</f>
        <v>0</v>
      </c>
      <c r="AB157">
        <f>IF(gescon_infosparticip!AA156=FALSE,0,1)</f>
        <v>1</v>
      </c>
      <c r="AC157" t="str">
        <f>gescon_infosparticip!AB156</f>
        <v>Langage oral : elle parle et demande si elle a besoin de quelque chose. Contrariée elle se ferme facilement (utiliser la plaisanterie) - en cas de crise de larmes : l'isoler et lui laisser exploser sa colère</v>
      </c>
      <c r="AD157" t="str">
        <f>gescon_infosparticip!AC156</f>
        <v>Croyante (catholique)</v>
      </c>
      <c r="AE157" t="str">
        <f>gescon_infosparticip!AD156</f>
        <v>Carole (1974)
Jérôme (1973)</v>
      </c>
      <c r="AF157" t="str">
        <f>gescon_infosparticip!AE156</f>
        <v/>
      </c>
      <c r="AG157" t="str">
        <f>gescon_infosparticip!AF156</f>
        <v>Aime travailler à l'atelier - sorties, shopping, restaurant, piscine, 
Apprécie tout - joyeuse et motive les autres (leader)</v>
      </c>
      <c r="AH157" t="str">
        <f>gescon_infosparticip!AG156</f>
        <v>Peur des animaux (la rassurer ou l'éloigner)</v>
      </c>
      <c r="AI157" t="str">
        <f>gescon_infosparticip!BN156</f>
        <v>sur le dos avec un coussin banane sous les genoux</v>
      </c>
      <c r="AJ157" t="str">
        <f>gescon_infosparticip!BO156</f>
        <v/>
      </c>
    </row>
    <row r="158" spans="2:36" x14ac:dyDescent="0.25">
      <c r="B158">
        <f>gescon_infosparticip!A157</f>
        <v>1196153139</v>
      </c>
      <c r="C158">
        <f>gescon_infosparticip!B157</f>
        <v>40994</v>
      </c>
      <c r="D158">
        <f>gescon_infosparticip!C157</f>
        <v>0</v>
      </c>
      <c r="E158">
        <f>gescon_infosparticip!D157</f>
        <v>0</v>
      </c>
      <c r="F158">
        <f>gescon_infosparticip!E157</f>
        <v>0</v>
      </c>
      <c r="G158">
        <f>gescon_infosparticip!F157</f>
        <v>1424</v>
      </c>
      <c r="H158">
        <f>gescon_infosparticip!G157</f>
        <v>0</v>
      </c>
      <c r="I158" t="str">
        <f>gescon_infosparticip!H157</f>
        <v>Groupe B2</v>
      </c>
      <c r="J158">
        <f>IF(gescon_infosparticip!I157=FALSE,0,1)</f>
        <v>0</v>
      </c>
      <c r="K158">
        <f>IF(gescon_infosparticip!J157=FALSE,0,1)</f>
        <v>0</v>
      </c>
      <c r="L158">
        <f>IF(gescon_infosparticip!K157=FALSE,0,1)</f>
        <v>0</v>
      </c>
      <c r="M158">
        <f>IF(gescon_infosparticip!L157=FALSE,0,1)</f>
        <v>1</v>
      </c>
      <c r="N158">
        <f>IF(gescon_infosparticip!M157=FALSE,0,1)</f>
        <v>0</v>
      </c>
      <c r="O158">
        <f>IF(gescon_infosparticip!N157=FALSE,0,1)</f>
        <v>0</v>
      </c>
      <c r="P158">
        <f>IF(gescon_infosparticip!O157=FALSE,0,1)</f>
        <v>0</v>
      </c>
      <c r="Q158">
        <f>IF(gescon_infosparticip!P157=FALSE,0,1)</f>
        <v>0</v>
      </c>
      <c r="R158">
        <f>IF(gescon_infosparticip!Q157=FALSE,0,1)</f>
        <v>0</v>
      </c>
      <c r="S158" t="str">
        <f>gescon_infosparticip!R157</f>
        <v>non, il est malade. Donnez 1/2h avant le départ 1cp(jaune) ITINEROL B6
EROL B6</v>
      </c>
      <c r="T158" t="str">
        <f>gescon_infosparticip!V157</f>
        <v/>
      </c>
      <c r="U158" t="str">
        <f>gescon_infosparticip!S157</f>
        <v>d’une personne obligatoire pour le tenir, de préférence un gilet.</v>
      </c>
      <c r="V158">
        <f>IF(gescon_infosparticip!U157=FALSE,0,1)</f>
        <v>1</v>
      </c>
      <c r="W158">
        <f>IF(gescon_infosparticip!T157=FALSE,0,1)</f>
        <v>1</v>
      </c>
      <c r="X158" t="str">
        <f>gescon_infosparticip!W157</f>
        <v>oui qu’il n’a pas de rougeur sur les fesses (si non lui appliquer une crème).
Il se fatigue assez vite le soir. Il dort env. 9h à 10h par nuit. Il n’a pas besoin de rituel particulier sauf le massage des pieds.</v>
      </c>
      <c r="Y158">
        <f>IF(gescon_infosparticip!X157=FALSE,0,1)</f>
        <v>0</v>
      </c>
      <c r="Z158">
        <f>IF(gescon_infosparticip!Y157=FALSE,0,1)</f>
        <v>0</v>
      </c>
      <c r="AA158">
        <f>IF(gescon_infosparticip!Z157=FALSE,0,1)</f>
        <v>0</v>
      </c>
      <c r="AB158">
        <f>IF(gescon_infosparticip!AA157=FALSE,0,1)</f>
        <v>1</v>
      </c>
      <c r="AC158" t="str">
        <f>gescon_infosparticip!AB157</f>
        <v>Jean-Claude parle et comprend le français et l’allemand. Il faut lui parler lentement. Il a besoin de temps pour répondre. Il apprécie les questions aux réponses : oui ou non
Jean-Claude apprécie être pris en charge autant par une femme que par un homme.
Jean-Claude a de plus en plus de mal à diriger sa chaise électrique. Surtout à l’intérieur, l’aider.</v>
      </c>
      <c r="AD158" t="str">
        <f>gescon_infosparticip!AC157</f>
        <v/>
      </c>
      <c r="AE158" t="str">
        <f>gescon_infosparticip!AD157</f>
        <v/>
      </c>
      <c r="AF158" t="str">
        <f>gescon_infosparticip!AE157</f>
        <v/>
      </c>
      <c r="AG158" t="str">
        <f>gescon_infosparticip!AF157</f>
        <v>Son papa habite la Souste et sa maman est décédée en 2002. Jean-Claude en parle régulièrement. Il a deux frères : Réné également à la Castalie B2 et Hubert qui est marié avec 2 enfants Malik et Cyril. Il est fier d’être tonton.
Jean-Claude apprécie écouter de la musique folklorique et la radio, jouer au jeu du moulin et être en contact avec les autres.
Il travail à l’atelier bois chez Victor.</v>
      </c>
      <c r="AH158" t="str">
        <f>gescon_infosparticip!AG157</f>
        <v/>
      </c>
      <c r="AI158" t="str">
        <f>gescon_infosparticip!BN157</f>
        <v/>
      </c>
      <c r="AJ158" t="str">
        <f>gescon_infosparticip!BO157</f>
        <v/>
      </c>
    </row>
    <row r="159" spans="2:36" x14ac:dyDescent="0.25">
      <c r="B159">
        <f>gescon_infosparticip!A158</f>
        <v>1197467512</v>
      </c>
      <c r="C159">
        <f>gescon_infosparticip!B158</f>
        <v>42419</v>
      </c>
      <c r="D159">
        <f>gescon_infosparticip!C158</f>
        <v>163</v>
      </c>
      <c r="E159">
        <f>gescon_infosparticip!D158</f>
        <v>1137414434</v>
      </c>
      <c r="F159">
        <f>gescon_infosparticip!E158</f>
        <v>0</v>
      </c>
      <c r="G159">
        <f>gescon_infosparticip!F158</f>
        <v>1424</v>
      </c>
      <c r="H159">
        <f>gescon_infosparticip!G158</f>
        <v>0</v>
      </c>
      <c r="I159" t="str">
        <f>gescon_infosparticip!H158</f>
        <v/>
      </c>
      <c r="J159">
        <f>IF(gescon_infosparticip!I158=FALSE,0,1)</f>
        <v>0</v>
      </c>
      <c r="K159">
        <f>IF(gescon_infosparticip!J158=FALSE,0,1)</f>
        <v>0</v>
      </c>
      <c r="L159">
        <f>IF(gescon_infosparticip!K158=FALSE,0,1)</f>
        <v>1</v>
      </c>
      <c r="M159">
        <f>IF(gescon_infosparticip!L158=FALSE,0,1)</f>
        <v>1</v>
      </c>
      <c r="N159">
        <f>IF(gescon_infosparticip!M158=FALSE,0,1)</f>
        <v>0</v>
      </c>
      <c r="O159">
        <f>IF(gescon_infosparticip!N158=FALSE,0,1)</f>
        <v>0</v>
      </c>
      <c r="P159">
        <f>IF(gescon_infosparticip!O158=FALSE,0,1)</f>
        <v>0</v>
      </c>
      <c r="Q159">
        <f>IF(gescon_infosparticip!P158=FALSE,0,1)</f>
        <v>0</v>
      </c>
      <c r="R159">
        <f>IF(gescon_infosparticip!Q158=FALSE,0,1)</f>
        <v>1</v>
      </c>
      <c r="S159" t="str">
        <f>gescon_infosparticip!R158</f>
        <v>supporte les longs trajets. Pour incliner la chaise lors de longs déplacements, mettre au niveau 5 apparaissent les signes ZZ en pointillés le 2ème.</v>
      </c>
      <c r="T159" t="str">
        <f>gescon_infosparticip!V158</f>
        <v>Aide totale. Pour le haut, d'abord le bras droit, la tête, bras gauche et le contraire pour le déshabiller. Steeve peut se tourner sur le côté et soulever le bassin pour nous aider.</v>
      </c>
      <c r="U159" t="str">
        <f>gescon_infosparticip!S158</f>
        <v>ne peut pas nager, le soutenir en permanence</v>
      </c>
      <c r="V159">
        <f>IF(gescon_infosparticip!U158=FALSE,0,1)</f>
        <v>1</v>
      </c>
      <c r="W159">
        <f>IF(gescon_infosparticip!T158=FALSE,0,1)</f>
        <v>1</v>
      </c>
      <c r="X159" t="str">
        <f>gescon_infosparticip!W158</f>
        <v>Steeve a besoin de repos. Il s'endort sur le dos sans oreiller mais en levant légèrement le dossier du lit. Vu qu'il est long, il faut être attentif à ce que ses pieds ne frottent pas le fond du lit. La nuit, il n'y a pas de changement de position à faire.</v>
      </c>
      <c r="Y159">
        <f>IF(gescon_infosparticip!X158=FALSE,0,1)</f>
        <v>0</v>
      </c>
      <c r="Z159">
        <f>IF(gescon_infosparticip!Y158=FALSE,0,1)</f>
        <v>0</v>
      </c>
      <c r="AA159">
        <f>IF(gescon_infosparticip!Z158=FALSE,0,1)</f>
        <v>0</v>
      </c>
      <c r="AB159">
        <f>IF(gescon_infosparticip!AA158=FALSE,0,1)</f>
        <v>1</v>
      </c>
      <c r="AC159" t="str">
        <f>gescon_infosparticip!AB158</f>
        <v>langage oral. Steeve est une personne très sociable qui sait très bien s'exprimer s'il désire qqch. Il est INDISPENSABLE d'avoir un homme comme accompagnant car il a tendance à vite tomber amoureux et il se construit des scénarios qui ne correspondent pas à la réalité. Il est important d'être clair dans les consignes et bien fixer des limites.</v>
      </c>
      <c r="AD159" t="str">
        <f>gescon_infosparticip!AC158</f>
        <v>Parents divorcés</v>
      </c>
      <c r="AE159" t="str">
        <f>gescon_infosparticip!AD158</f>
        <v/>
      </c>
      <c r="AF159" t="str">
        <f>gescon_infosparticip!AE158</f>
        <v/>
      </c>
      <c r="AG159" t="str">
        <f>gescon_infosparticip!AF158</f>
        <v>la musique, chanter, le foot à la télé, les promenades en ville, le cinéma, les spectacles. Il apprécie son travail à l'atelier de bois chez Victor et il chercher tout ce qui renforce le côté masculin afin de s'identifier. Besoin d'être reconnu et valorisé dans les activités qu'il entreprend</v>
      </c>
      <c r="AH159" t="str">
        <f>gescon_infosparticip!AG158</f>
        <v>Il n'aime pas être seul.</v>
      </c>
      <c r="AI159" t="str">
        <f>gescon_infosparticip!BN158</f>
        <v>oui</v>
      </c>
      <c r="AJ159" t="str">
        <f>gescon_infosparticip!BO158</f>
        <v>après le dîner et après le souper (30min). En cas de déplacement, incliner la chaise env. 45min</v>
      </c>
    </row>
    <row r="160" spans="2:36" x14ac:dyDescent="0.25">
      <c r="B160">
        <f>gescon_infosparticip!A159</f>
        <v>1201506572</v>
      </c>
      <c r="C160">
        <f>gescon_infosparticip!B159</f>
        <v>42391</v>
      </c>
      <c r="D160">
        <f>gescon_infosparticip!C159</f>
        <v>1201536087</v>
      </c>
      <c r="E160">
        <f>gescon_infosparticip!D159</f>
        <v>0</v>
      </c>
      <c r="F160">
        <f>gescon_infosparticip!E159</f>
        <v>0</v>
      </c>
      <c r="G160">
        <f>gescon_infosparticip!F159</f>
        <v>0</v>
      </c>
      <c r="H160">
        <f>gescon_infosparticip!G159</f>
        <v>0</v>
      </c>
      <c r="I160" t="str">
        <f>gescon_infosparticip!H159</f>
        <v/>
      </c>
      <c r="J160">
        <f>IF(gescon_infosparticip!I159=FALSE,0,1)</f>
        <v>0</v>
      </c>
      <c r="K160">
        <f>IF(gescon_infosparticip!J159=FALSE,0,1)</f>
        <v>0</v>
      </c>
      <c r="L160">
        <f>IF(gescon_infosparticip!K159=FALSE,0,1)</f>
        <v>0</v>
      </c>
      <c r="M160">
        <f>IF(gescon_infosparticip!L159=FALSE,0,1)</f>
        <v>0</v>
      </c>
      <c r="N160">
        <f>IF(gescon_infosparticip!M159=FALSE,0,1)</f>
        <v>0</v>
      </c>
      <c r="O160">
        <f>IF(gescon_infosparticip!N159=FALSE,0,1)</f>
        <v>0</v>
      </c>
      <c r="P160">
        <f>IF(gescon_infosparticip!O159=FALSE,0,1)</f>
        <v>0</v>
      </c>
      <c r="Q160">
        <f>IF(gescon_infosparticip!P159=FALSE,0,1)</f>
        <v>0</v>
      </c>
      <c r="R160">
        <f>IF(gescon_infosparticip!Q159=FALSE,0,1)</f>
        <v>0</v>
      </c>
      <c r="S160" t="str">
        <f>gescon_infosparticip!R159</f>
        <v/>
      </c>
      <c r="T160" t="str">
        <f>gescon_infosparticip!V159</f>
        <v/>
      </c>
      <c r="U160" t="str">
        <f>gescon_infosparticip!S159</f>
        <v/>
      </c>
      <c r="V160">
        <f>IF(gescon_infosparticip!U159=FALSE,0,1)</f>
        <v>0</v>
      </c>
      <c r="W160">
        <f>IF(gescon_infosparticip!T159=FALSE,0,1)</f>
        <v>0</v>
      </c>
      <c r="X160" t="str">
        <f>gescon_infosparticip!W159</f>
        <v/>
      </c>
      <c r="Y160">
        <f>IF(gescon_infosparticip!X159=FALSE,0,1)</f>
        <v>0</v>
      </c>
      <c r="Z160">
        <f>IF(gescon_infosparticip!Y159=FALSE,0,1)</f>
        <v>0</v>
      </c>
      <c r="AA160">
        <f>IF(gescon_infosparticip!Z159=FALSE,0,1)</f>
        <v>0</v>
      </c>
      <c r="AB160">
        <f>IF(gescon_infosparticip!AA159=FALSE,0,1)</f>
        <v>0</v>
      </c>
      <c r="AC160" t="str">
        <f>gescon_infosparticip!AB159</f>
        <v/>
      </c>
      <c r="AD160" t="str">
        <f>gescon_infosparticip!AC159</f>
        <v/>
      </c>
      <c r="AE160" t="str">
        <f>gescon_infosparticip!AD159</f>
        <v/>
      </c>
      <c r="AF160" t="str">
        <f>gescon_infosparticip!AE159</f>
        <v/>
      </c>
      <c r="AG160" t="str">
        <f>gescon_infosparticip!AF159</f>
        <v/>
      </c>
      <c r="AH160" t="str">
        <f>gescon_infosparticip!AG159</f>
        <v/>
      </c>
      <c r="AI160" t="str">
        <f>gescon_infosparticip!BN159</f>
        <v/>
      </c>
      <c r="AJ160" t="str">
        <f>gescon_infosparticip!BO159</f>
        <v/>
      </c>
    </row>
    <row r="161" spans="2:36" x14ac:dyDescent="0.25">
      <c r="B161">
        <f>gescon_infosparticip!A160</f>
        <v>1201536087</v>
      </c>
      <c r="C161">
        <f>gescon_infosparticip!B160</f>
        <v>41059</v>
      </c>
      <c r="D161">
        <f>gescon_infosparticip!C160</f>
        <v>0</v>
      </c>
      <c r="E161">
        <f>gescon_infosparticip!D160</f>
        <v>0</v>
      </c>
      <c r="F161">
        <f>gescon_infosparticip!E160</f>
        <v>0</v>
      </c>
      <c r="G161">
        <f>gescon_infosparticip!F160</f>
        <v>0</v>
      </c>
      <c r="H161">
        <f>gescon_infosparticip!G160</f>
        <v>0</v>
      </c>
      <c r="I161" t="str">
        <f>gescon_infosparticip!H160</f>
        <v/>
      </c>
      <c r="J161">
        <f>IF(gescon_infosparticip!I160=FALSE,0,1)</f>
        <v>0</v>
      </c>
      <c r="K161">
        <f>IF(gescon_infosparticip!J160=FALSE,0,1)</f>
        <v>0</v>
      </c>
      <c r="L161">
        <f>IF(gescon_infosparticip!K160=FALSE,0,1)</f>
        <v>0</v>
      </c>
      <c r="M161">
        <f>IF(gescon_infosparticip!L160=FALSE,0,1)</f>
        <v>0</v>
      </c>
      <c r="N161">
        <f>IF(gescon_infosparticip!M160=FALSE,0,1)</f>
        <v>0</v>
      </c>
      <c r="O161">
        <f>IF(gescon_infosparticip!N160=FALSE,0,1)</f>
        <v>0</v>
      </c>
      <c r="P161">
        <f>IF(gescon_infosparticip!O160=FALSE,0,1)</f>
        <v>0</v>
      </c>
      <c r="Q161">
        <f>IF(gescon_infosparticip!P160=FALSE,0,1)</f>
        <v>0</v>
      </c>
      <c r="R161">
        <f>IF(gescon_infosparticip!Q160=FALSE,0,1)</f>
        <v>0</v>
      </c>
      <c r="S161" t="str">
        <f>gescon_infosparticip!R160</f>
        <v/>
      </c>
      <c r="T161" t="str">
        <f>gescon_infosparticip!V160</f>
        <v/>
      </c>
      <c r="U161" t="str">
        <f>gescon_infosparticip!S160</f>
        <v/>
      </c>
      <c r="V161">
        <f>IF(gescon_infosparticip!U160=FALSE,0,1)</f>
        <v>0</v>
      </c>
      <c r="W161">
        <f>IF(gescon_infosparticip!T160=FALSE,0,1)</f>
        <v>0</v>
      </c>
      <c r="X161" t="str">
        <f>gescon_infosparticip!W160</f>
        <v/>
      </c>
      <c r="Y161">
        <f>IF(gescon_infosparticip!X160=FALSE,0,1)</f>
        <v>0</v>
      </c>
      <c r="Z161">
        <f>IF(gescon_infosparticip!Y160=FALSE,0,1)</f>
        <v>0</v>
      </c>
      <c r="AA161">
        <f>IF(gescon_infosparticip!Z160=FALSE,0,1)</f>
        <v>0</v>
      </c>
      <c r="AB161">
        <f>IF(gescon_infosparticip!AA160=FALSE,0,1)</f>
        <v>0</v>
      </c>
      <c r="AC161" t="str">
        <f>gescon_infosparticip!AB160</f>
        <v/>
      </c>
      <c r="AD161" t="str">
        <f>gescon_infosparticip!AC160</f>
        <v/>
      </c>
      <c r="AE161" t="str">
        <f>gescon_infosparticip!AD160</f>
        <v/>
      </c>
      <c r="AF161" t="str">
        <f>gescon_infosparticip!AE160</f>
        <v/>
      </c>
      <c r="AG161" t="str">
        <f>gescon_infosparticip!AF160</f>
        <v/>
      </c>
      <c r="AH161" t="str">
        <f>gescon_infosparticip!AG160</f>
        <v/>
      </c>
      <c r="AI161" t="str">
        <f>gescon_infosparticip!BN160</f>
        <v/>
      </c>
      <c r="AJ161" t="str">
        <f>gescon_infosparticip!BO160</f>
        <v/>
      </c>
    </row>
    <row r="162" spans="2:36" x14ac:dyDescent="0.25">
      <c r="B162">
        <f>gescon_infosparticip!A161</f>
        <v>1206538880</v>
      </c>
      <c r="C162">
        <f>gescon_infosparticip!B161</f>
        <v>41766</v>
      </c>
      <c r="D162">
        <f>gescon_infosparticip!C161</f>
        <v>1246724225</v>
      </c>
      <c r="E162">
        <f>gescon_infosparticip!D161</f>
        <v>0</v>
      </c>
      <c r="F162">
        <f>gescon_infosparticip!E161</f>
        <v>0</v>
      </c>
      <c r="G162">
        <f>gescon_infosparticip!F161</f>
        <v>1434</v>
      </c>
      <c r="H162">
        <f>gescon_infosparticip!G161</f>
        <v>0</v>
      </c>
      <c r="I162" t="str">
        <f>gescon_infosparticip!H161</f>
        <v/>
      </c>
      <c r="J162">
        <f>IF(gescon_infosparticip!I161=FALSE,0,1)</f>
        <v>0</v>
      </c>
      <c r="K162">
        <f>IF(gescon_infosparticip!J161=FALSE,0,1)</f>
        <v>0</v>
      </c>
      <c r="L162">
        <f>IF(gescon_infosparticip!K161=FALSE,0,1)</f>
        <v>1</v>
      </c>
      <c r="M162">
        <f>IF(gescon_infosparticip!L161=FALSE,0,1)</f>
        <v>0</v>
      </c>
      <c r="N162">
        <f>IF(gescon_infosparticip!M161=FALSE,0,1)</f>
        <v>0</v>
      </c>
      <c r="O162">
        <f>IF(gescon_infosparticip!N161=FALSE,0,1)</f>
        <v>0</v>
      </c>
      <c r="P162">
        <f>IF(gescon_infosparticip!O161=FALSE,0,1)</f>
        <v>0</v>
      </c>
      <c r="Q162">
        <f>IF(gescon_infosparticip!P161=FALSE,0,1)</f>
        <v>1</v>
      </c>
      <c r="R162">
        <f>IF(gescon_infosparticip!Q161=FALSE,0,1)</f>
        <v>1</v>
      </c>
      <c r="S162" t="str">
        <f>gescon_infosparticip!R161</f>
        <v>Il supporte les longs trajets en bus.</v>
      </c>
      <c r="T162" t="str">
        <f>gescon_infosparticip!V161</f>
        <v>Il a besoin d'une légère aide pour s'habiller. Il nous explique comment faire.</v>
      </c>
      <c r="U162" t="str">
        <f>gescon_infosparticip!S161</f>
        <v>Il aime la piscine mais a besoin de qqun à ses côtés.</v>
      </c>
      <c r="V162">
        <f>IF(gescon_infosparticip!U161=FALSE,0,1)</f>
        <v>1</v>
      </c>
      <c r="W162">
        <f>IF(gescon_infosparticip!T161=FALSE,0,1)</f>
        <v>0</v>
      </c>
      <c r="X162" t="str">
        <f>gescon_infosparticip!W161</f>
        <v>Il se couche selon son état de fatigue et aime bien aller tardivement au lit.</v>
      </c>
      <c r="Y162">
        <f>IF(gescon_infosparticip!X161=FALSE,0,1)</f>
        <v>0</v>
      </c>
      <c r="Z162">
        <f>IF(gescon_infosparticip!Y161=FALSE,0,1)</f>
        <v>0</v>
      </c>
      <c r="AA162">
        <f>IF(gescon_infosparticip!Z161=FALSE,0,1)</f>
        <v>0</v>
      </c>
      <c r="AB162">
        <f>IF(gescon_infosparticip!AA161=FALSE,0,1)</f>
        <v>0</v>
      </c>
      <c r="AC162" t="str">
        <f>gescon_infosparticip!AB161</f>
        <v>Verbale.</v>
      </c>
      <c r="AD162" t="str">
        <f>gescon_infosparticip!AC161</f>
        <v/>
      </c>
      <c r="AE162" t="str">
        <f>gescon_infosparticip!AD161</f>
        <v>Un frère Edis né en 1997 et une sœur Sarah née en 2005</v>
      </c>
      <c r="AF162" t="str">
        <f>gescon_infosparticip!AE161</f>
        <v/>
      </c>
      <c r="AG162" t="str">
        <f>gescon_infosparticip!AF161</f>
        <v>Il apprécie le sport en général et surtout le foot, le ski, le tennis et le rafroball et aussi les séries tv. Il aime apprendre, parler avec des adultes et aller à l'école.</v>
      </c>
      <c r="AH162" t="str">
        <f>gescon_infosparticip!AG161</f>
        <v>Il n'aime pas regarder les émissions avec des motos ainsi que celles avec des vélos. Il a peur des chiens et des chats quand ils s'approchent et n'aime pas les toucher.</v>
      </c>
      <c r="AI162" t="str">
        <f>gescon_infosparticip!BN161</f>
        <v>Il demande s'il en a besoin.</v>
      </c>
      <c r="AJ162" t="str">
        <f>gescon_infosparticip!BO161</f>
        <v/>
      </c>
    </row>
    <row r="163" spans="2:36" x14ac:dyDescent="0.25">
      <c r="B163">
        <f>gescon_infosparticip!A162</f>
        <v>1210064527</v>
      </c>
      <c r="C163">
        <f>gescon_infosparticip!B162</f>
        <v>42391</v>
      </c>
      <c r="D163">
        <f>gescon_infosparticip!C162</f>
        <v>280</v>
      </c>
      <c r="E163">
        <f>gescon_infosparticip!D162</f>
        <v>0</v>
      </c>
      <c r="F163">
        <f>gescon_infosparticip!E162</f>
        <v>1192527076</v>
      </c>
      <c r="G163">
        <f>gescon_infosparticip!F162</f>
        <v>0</v>
      </c>
      <c r="H163">
        <f>gescon_infosparticip!G162</f>
        <v>0</v>
      </c>
      <c r="I163" t="str">
        <f>gescon_infosparticip!H162</f>
        <v/>
      </c>
      <c r="J163">
        <f>IF(gescon_infosparticip!I162=FALSE,0,1)</f>
        <v>0</v>
      </c>
      <c r="K163">
        <f>IF(gescon_infosparticip!J162=FALSE,0,1)</f>
        <v>1</v>
      </c>
      <c r="L163">
        <f>IF(gescon_infosparticip!K162=FALSE,0,1)</f>
        <v>0</v>
      </c>
      <c r="M163">
        <f>IF(gescon_infosparticip!L162=FALSE,0,1)</f>
        <v>0</v>
      </c>
      <c r="N163">
        <f>IF(gescon_infosparticip!M162=FALSE,0,1)</f>
        <v>1</v>
      </c>
      <c r="O163">
        <f>IF(gescon_infosparticip!N162=FALSE,0,1)</f>
        <v>0</v>
      </c>
      <c r="P163">
        <f>IF(gescon_infosparticip!O162=FALSE,0,1)</f>
        <v>0</v>
      </c>
      <c r="Q163">
        <f>IF(gescon_infosparticip!P162=FALSE,0,1)</f>
        <v>0</v>
      </c>
      <c r="R163">
        <f>IF(gescon_infosparticip!Q162=FALSE,0,1)</f>
        <v>0</v>
      </c>
      <c r="S163" t="str">
        <f>gescon_infosparticip!R162</f>
        <v>Fabien supporte les longs trajets en bus.</v>
      </c>
      <c r="T163" t="str">
        <f>gescon_infosparticip!V162</f>
        <v>Aide nécéssaire oui, avoir un œil sur son habillement.</v>
      </c>
      <c r="U163" t="str">
        <f>gescon_infosparticip!S162</f>
        <v>Fabien nage seul.</v>
      </c>
      <c r="V163">
        <f>IF(gescon_infosparticip!U162=FALSE,0,1)</f>
        <v>1</v>
      </c>
      <c r="W163">
        <f>IF(gescon_infosparticip!T162=FALSE,0,1)</f>
        <v>0</v>
      </c>
      <c r="X163" t="str">
        <f>gescon_infosparticip!W162</f>
        <v>Rien de particulier</v>
      </c>
      <c r="Y163">
        <f>IF(gescon_infosparticip!X162=FALSE,0,1)</f>
        <v>0</v>
      </c>
      <c r="Z163">
        <f>IF(gescon_infosparticip!Y162=FALSE,0,1)</f>
        <v>0</v>
      </c>
      <c r="AA163">
        <f>IF(gescon_infosparticip!Z162=FALSE,0,1)</f>
        <v>0</v>
      </c>
      <c r="AB163">
        <f>IF(gescon_infosparticip!AA162=FALSE,0,1)</f>
        <v>0</v>
      </c>
      <c r="AC163" t="str">
        <f>gescon_infosparticip!AB162</f>
        <v>Fabien cherche par tous les moyens de se faire comprendre mais ce n'est pas toujours facile.</v>
      </c>
      <c r="AD163" t="str">
        <f>gescon_infosparticip!AC162</f>
        <v/>
      </c>
      <c r="AE163" t="str">
        <f>gescon_infosparticip!AD162</f>
        <v>Fabien a un grand frère, Léonard, qui a le même handicap que lui.</v>
      </c>
      <c r="AF163" t="str">
        <f>gescon_infosparticip!AE162</f>
        <v/>
      </c>
      <c r="AG163" t="str">
        <f>gescon_infosparticip!AF162</f>
        <v/>
      </c>
      <c r="AH163" t="str">
        <f>gescon_infosparticip!AG162</f>
        <v/>
      </c>
      <c r="AI163" t="str">
        <f>gescon_infosparticip!BN162</f>
        <v/>
      </c>
      <c r="AJ163" t="str">
        <f>gescon_infosparticip!BO162</f>
        <v/>
      </c>
    </row>
    <row r="164" spans="2:36" x14ac:dyDescent="0.25">
      <c r="B164">
        <f>gescon_infosparticip!A163</f>
        <v>1219752667</v>
      </c>
      <c r="C164">
        <f>gescon_infosparticip!B163</f>
        <v>43041</v>
      </c>
      <c r="D164">
        <f>gescon_infosparticip!C163</f>
        <v>1613241293</v>
      </c>
      <c r="E164">
        <f>gescon_infosparticip!D163</f>
        <v>2146190060</v>
      </c>
      <c r="F164">
        <f>gescon_infosparticip!E163</f>
        <v>0</v>
      </c>
      <c r="G164">
        <f>gescon_infosparticip!F163</f>
        <v>2146189103</v>
      </c>
      <c r="H164">
        <f>gescon_infosparticip!G163</f>
        <v>2146189103</v>
      </c>
      <c r="I164" t="str">
        <f>gescon_infosparticip!H163</f>
        <v>Chesaux Mara</v>
      </c>
      <c r="J164">
        <f>IF(gescon_infosparticip!I163=FALSE,0,1)</f>
        <v>0</v>
      </c>
      <c r="K164">
        <f>IF(gescon_infosparticip!J163=FALSE,0,1)</f>
        <v>0</v>
      </c>
      <c r="L164">
        <f>IF(gescon_infosparticip!K163=FALSE,0,1)</f>
        <v>0</v>
      </c>
      <c r="M164">
        <f>IF(gescon_infosparticip!L163=FALSE,0,1)</f>
        <v>1</v>
      </c>
      <c r="N164">
        <f>IF(gescon_infosparticip!M163=FALSE,0,1)</f>
        <v>1</v>
      </c>
      <c r="O164">
        <f>IF(gescon_infosparticip!N163=FALSE,0,1)</f>
        <v>0</v>
      </c>
      <c r="P164">
        <f>IF(gescon_infosparticip!O163=FALSE,0,1)</f>
        <v>0</v>
      </c>
      <c r="Q164">
        <f>IF(gescon_infosparticip!P163=FALSE,0,1)</f>
        <v>0</v>
      </c>
      <c r="R164">
        <f>IF(gescon_infosparticip!Q163=FALSE,0,1)</f>
        <v>0</v>
      </c>
      <c r="S164" t="str">
        <f>gescon_infosparticip!R163</f>
        <v>Lucie peut marcher de longs trajets mais elle a besoin de faire des pauses. Elle n'a pas beaucoup d'endurance. Il est important d'avoir une chaise roulante d'appoint au cas Lucie serai trop fatiguée.</v>
      </c>
      <c r="T164" t="str">
        <f>gescon_infosparticip!V163</f>
        <v>Lucie est dépendante de l'adulte pour tous les gestes de la vie quotidienne. Son style est moderne d'une fille de 14ans.</v>
      </c>
      <c r="U164" t="str">
        <f>gescon_infosparticip!S163</f>
        <v>Lucie apprécie aller à la piscine, mais elle ne sait pas nager.</v>
      </c>
      <c r="V164">
        <f>IF(gescon_infosparticip!U163=FALSE,0,1)</f>
        <v>1</v>
      </c>
      <c r="W164">
        <f>IF(gescon_infosparticip!T163=FALSE,0,1)</f>
        <v>1</v>
      </c>
      <c r="X164" t="str">
        <f>gescon_infosparticip!W163</f>
        <v>Lucie a un bon sommeil, cependant elle a besoin de porter une &lt;&lt; combinaison &gt;&gt; pour bien dormir, autrement si elle a des selles durant la nuit elle peut jouer avec.</v>
      </c>
      <c r="Y164">
        <f>IF(gescon_infosparticip!X163=FALSE,0,1)</f>
        <v>0</v>
      </c>
      <c r="Z164">
        <f>IF(gescon_infosparticip!Y163=FALSE,0,1)</f>
        <v>0</v>
      </c>
      <c r="AA164">
        <f>IF(gescon_infosparticip!Z163=FALSE,0,1)</f>
        <v>0</v>
      </c>
      <c r="AB164">
        <f>IF(gescon_infosparticip!AA163=FALSE,0,1)</f>
        <v>1</v>
      </c>
      <c r="AC164" t="str">
        <f>gescon_infosparticip!AB163</f>
        <v>Lucie ne parle pas, elle a peu d'altercation avec son environnement proche, difficile pour elle de dire si elle a mal, les seuls moyens sont les pleurs et les auto-agressions. Lucie comprend les consignes simples.</v>
      </c>
      <c r="AD164" t="str">
        <f>gescon_infosparticip!AC163</f>
        <v>Lucie rentre à la maison parentale chaque 15 jours. Lucie a de bons contacts avec sa famille élargie, grand-maman, tante, oncle, etc.</v>
      </c>
      <c r="AE164" t="str">
        <f>gescon_infosparticip!AD163</f>
        <v>Lucie a une sœur qui se prénomme Mélanie</v>
      </c>
      <c r="AF164" t="str">
        <f>gescon_infosparticip!AE163</f>
        <v>Info : Lucie est une jeune fille agréable, souriante, mais elle est angoissée. Lorsqu'elle est frustrée elle peut avoir des gestes d'auto-agression. Lucie peut également avoir des gestes envers son accompagnant, tirer les cheveux, pincer.</v>
      </c>
      <c r="AG164" t="str">
        <f>gescon_infosparticip!AF163</f>
        <v>Elle adore regarder des DVD de Barbapapa ou tenir des livres pour enfants, des jeux sonores. Elle apprécie la TV, la musique : Henri Dès</v>
      </c>
      <c r="AH164" t="str">
        <f>gescon_infosparticip!AG163</f>
        <v>Lucie n'aime pas quand il y a beaucoup de bruit auprès d'elle. Donc les concerts, cinéma, restaurants ne sont pas trop recommandés.</v>
      </c>
      <c r="AI164" t="str">
        <f>gescon_infosparticip!BN163</f>
        <v>Après le repas de midi, Lucie apprécie de faire environ 1h de sieste.</v>
      </c>
      <c r="AJ164" t="str">
        <f>gescon_infosparticip!BO163</f>
        <v/>
      </c>
    </row>
    <row r="165" spans="2:36" x14ac:dyDescent="0.25">
      <c r="B165">
        <f>gescon_infosparticip!A164</f>
        <v>1220344826</v>
      </c>
      <c r="C165">
        <f>gescon_infosparticip!B164</f>
        <v>42866</v>
      </c>
      <c r="D165">
        <f>gescon_infosparticip!C164</f>
        <v>2146189239</v>
      </c>
      <c r="E165">
        <f>gescon_infosparticip!D164</f>
        <v>0</v>
      </c>
      <c r="F165">
        <f>gescon_infosparticip!E164</f>
        <v>0</v>
      </c>
      <c r="G165">
        <f>gescon_infosparticip!F164</f>
        <v>2146189241</v>
      </c>
      <c r="H165">
        <f>gescon_infosparticip!G164</f>
        <v>2146189241</v>
      </c>
      <c r="I165" t="str">
        <f>gescon_infosparticip!H164</f>
        <v>Rosalie Andrade Hominal</v>
      </c>
      <c r="J165">
        <f>IF(gescon_infosparticip!I164=FALSE,0,1)</f>
        <v>0</v>
      </c>
      <c r="K165">
        <f>IF(gescon_infosparticip!J164=FALSE,0,1)</f>
        <v>0</v>
      </c>
      <c r="L165">
        <f>IF(gescon_infosparticip!K164=FALSE,0,1)</f>
        <v>1</v>
      </c>
      <c r="M165">
        <f>IF(gescon_infosparticip!L164=FALSE,0,1)</f>
        <v>1</v>
      </c>
      <c r="N165">
        <f>IF(gescon_infosparticip!M164=FALSE,0,1)</f>
        <v>0</v>
      </c>
      <c r="O165">
        <f>IF(gescon_infosparticip!N164=FALSE,0,1)</f>
        <v>0</v>
      </c>
      <c r="P165">
        <f>IF(gescon_infosparticip!O164=FALSE,0,1)</f>
        <v>1</v>
      </c>
      <c r="Q165">
        <f>IF(gescon_infosparticip!P164=FALSE,0,1)</f>
        <v>1</v>
      </c>
      <c r="R165">
        <f>IF(gescon_infosparticip!Q164=FALSE,0,1)</f>
        <v>0</v>
      </c>
      <c r="S165" t="str">
        <f>gescon_infosparticip!R164</f>
        <v>Elle possède une attelle à son pied gauche afin de maintenir une certaine mobilité (obligation pour marcher). Patrizia se déplace avec son fauteuil roulant.</v>
      </c>
      <c r="T165" t="str">
        <f>gescon_infosparticip!V164</f>
        <v>Patrizia s'habille seule. Besoind'aide pour installer l'attelle  au pied gauche et la chaussure orthopédique. Patrizia est autonome pour s'habiller le haut; le bas (chaussure, pantalon, slip) lui mettons nous-mêmes.</v>
      </c>
      <c r="U165" t="str">
        <f>gescon_infosparticip!S164</f>
        <v>Patrizia n'en a jamais fait</v>
      </c>
      <c r="V165">
        <f>IF(gescon_infosparticip!U164=FALSE,0,1)</f>
        <v>1</v>
      </c>
      <c r="W165">
        <f>IF(gescon_infosparticip!T164=FALSE,0,1)</f>
        <v>0</v>
      </c>
      <c r="X165" t="str">
        <f>gescon_infosparticip!W164</f>
        <v>Elle passe généralement de bonnes nuits. Elle aime aller au lit tôt. Changement de protection pendant la nuit. Elle se positionne ell-même dans le lit à sa convenance, généralement sur le coté avec la tête enfouie sous le duvet. Le lit doit être le plus bas possible afin d'éviter les chutes.</v>
      </c>
      <c r="Y165">
        <f>IF(gescon_infosparticip!X164=FALSE,0,1)</f>
        <v>0</v>
      </c>
      <c r="Z165">
        <f>IF(gescon_infosparticip!Y164=FALSE,0,1)</f>
        <v>0</v>
      </c>
      <c r="AA165">
        <f>IF(gescon_infosparticip!Z164=FALSE,0,1)</f>
        <v>0</v>
      </c>
      <c r="AB165">
        <f>IF(gescon_infosparticip!AA164=FALSE,0,1)</f>
        <v>1</v>
      </c>
      <c r="AC165" t="str">
        <f>gescon_infosparticip!AB164</f>
        <v>langage oral</v>
      </c>
      <c r="AD165" t="str">
        <f>gescon_infosparticip!AC164</f>
        <v>lle aime raconter ce qu'il se passe dans sa famille. Elle parle de ses parents, de se sœurs, ainsi que de ses neveux et nièces</v>
      </c>
      <c r="AE165" t="str">
        <f>gescon_infosparticip!AD164</f>
        <v/>
      </c>
      <c r="AF165" t="str">
        <f>gescon_infosparticip!AE164</f>
        <v>Steeve Rast</v>
      </c>
      <c r="AG165" t="str">
        <f>gescon_infosparticip!AF164</f>
        <v>Elle aime écouter la musique, chanter, se promener, regarder la télé. Elle parle beaucoup de la meunière ou elle a vécu et qui constitue une période idéalisée de sa vie. Il faut la stimuler à participer aux activités avec les bons arguments.</v>
      </c>
      <c r="AH165" t="str">
        <f>gescon_infosparticip!AG164</f>
        <v/>
      </c>
      <c r="AI165" t="str">
        <f>gescon_infosparticip!BN164</f>
        <v>une sieste dans le lit ou en inclinant la chaise en arrière</v>
      </c>
      <c r="AJ165" t="str">
        <f>gescon_infosparticip!BO164</f>
        <v/>
      </c>
    </row>
    <row r="166" spans="2:36" x14ac:dyDescent="0.25">
      <c r="B166">
        <f>gescon_infosparticip!A165</f>
        <v>1228834647</v>
      </c>
      <c r="C166">
        <f>gescon_infosparticip!B165</f>
        <v>42384</v>
      </c>
      <c r="D166">
        <f>gescon_infosparticip!C165</f>
        <v>0</v>
      </c>
      <c r="E166">
        <f>gescon_infosparticip!D165</f>
        <v>0</v>
      </c>
      <c r="F166">
        <f>gescon_infosparticip!E165</f>
        <v>0</v>
      </c>
      <c r="G166">
        <f>gescon_infosparticip!F165</f>
        <v>0</v>
      </c>
      <c r="H166">
        <f>gescon_infosparticip!G165</f>
        <v>0</v>
      </c>
      <c r="I166" t="str">
        <f>gescon_infosparticip!H165</f>
        <v/>
      </c>
      <c r="J166">
        <f>IF(gescon_infosparticip!I165=FALSE,0,1)</f>
        <v>0</v>
      </c>
      <c r="K166">
        <f>IF(gescon_infosparticip!J165=FALSE,0,1)</f>
        <v>0</v>
      </c>
      <c r="L166">
        <f>IF(gescon_infosparticip!K165=FALSE,0,1)</f>
        <v>0</v>
      </c>
      <c r="M166">
        <f>IF(gescon_infosparticip!L165=FALSE,0,1)</f>
        <v>0</v>
      </c>
      <c r="N166">
        <f>IF(gescon_infosparticip!M165=FALSE,0,1)</f>
        <v>0</v>
      </c>
      <c r="O166">
        <f>IF(gescon_infosparticip!N165=FALSE,0,1)</f>
        <v>0</v>
      </c>
      <c r="P166">
        <f>IF(gescon_infosparticip!O165=FALSE,0,1)</f>
        <v>0</v>
      </c>
      <c r="Q166">
        <f>IF(gescon_infosparticip!P165=FALSE,0,1)</f>
        <v>0</v>
      </c>
      <c r="R166">
        <f>IF(gescon_infosparticip!Q165=FALSE,0,1)</f>
        <v>0</v>
      </c>
      <c r="S166" t="str">
        <f>gescon_infosparticip!R165</f>
        <v/>
      </c>
      <c r="T166" t="str">
        <f>gescon_infosparticip!V165</f>
        <v/>
      </c>
      <c r="U166" t="str">
        <f>gescon_infosparticip!S165</f>
        <v/>
      </c>
      <c r="V166">
        <f>IF(gescon_infosparticip!U165=FALSE,0,1)</f>
        <v>0</v>
      </c>
      <c r="W166">
        <f>IF(gescon_infosparticip!T165=FALSE,0,1)</f>
        <v>0</v>
      </c>
      <c r="X166" t="str">
        <f>gescon_infosparticip!W165</f>
        <v/>
      </c>
      <c r="Y166">
        <f>IF(gescon_infosparticip!X165=FALSE,0,1)</f>
        <v>0</v>
      </c>
      <c r="Z166">
        <f>IF(gescon_infosparticip!Y165=FALSE,0,1)</f>
        <v>0</v>
      </c>
      <c r="AA166">
        <f>IF(gescon_infosparticip!Z165=FALSE,0,1)</f>
        <v>0</v>
      </c>
      <c r="AB166">
        <f>IF(gescon_infosparticip!AA165=FALSE,0,1)</f>
        <v>0</v>
      </c>
      <c r="AC166" t="str">
        <f>gescon_infosparticip!AB165</f>
        <v/>
      </c>
      <c r="AD166" t="str">
        <f>gescon_infosparticip!AC165</f>
        <v/>
      </c>
      <c r="AE166" t="str">
        <f>gescon_infosparticip!AD165</f>
        <v/>
      </c>
      <c r="AF166" t="str">
        <f>gescon_infosparticip!AE165</f>
        <v/>
      </c>
      <c r="AG166" t="str">
        <f>gescon_infosparticip!AF165</f>
        <v/>
      </c>
      <c r="AH166" t="str">
        <f>gescon_infosparticip!AG165</f>
        <v/>
      </c>
      <c r="AI166" t="str">
        <f>gescon_infosparticip!BN165</f>
        <v/>
      </c>
      <c r="AJ166" t="str">
        <f>gescon_infosparticip!BO165</f>
        <v/>
      </c>
    </row>
    <row r="167" spans="2:36" x14ac:dyDescent="0.25">
      <c r="B167">
        <f>gescon_infosparticip!A166</f>
        <v>1228835384</v>
      </c>
      <c r="C167">
        <f>gescon_infosparticip!B166</f>
        <v>42886</v>
      </c>
      <c r="D167">
        <f>gescon_infosparticip!C166</f>
        <v>2619</v>
      </c>
      <c r="E167">
        <f>gescon_infosparticip!D166</f>
        <v>0</v>
      </c>
      <c r="F167">
        <f>gescon_infosparticip!E166</f>
        <v>2619</v>
      </c>
      <c r="G167">
        <f>gescon_infosparticip!F166</f>
        <v>1424</v>
      </c>
      <c r="H167">
        <f>gescon_infosparticip!G166</f>
        <v>1424</v>
      </c>
      <c r="I167" t="str">
        <f>gescon_infosparticip!H166</f>
        <v>B3 - 024 473 51 43</v>
      </c>
      <c r="J167">
        <f>IF(gescon_infosparticip!I166=FALSE,0,1)</f>
        <v>0</v>
      </c>
      <c r="K167">
        <f>IF(gescon_infosparticip!J166=FALSE,0,1)</f>
        <v>1</v>
      </c>
      <c r="L167">
        <f>IF(gescon_infosparticip!K166=FALSE,0,1)</f>
        <v>1</v>
      </c>
      <c r="M167">
        <f>IF(gescon_infosparticip!L166=FALSE,0,1)</f>
        <v>0</v>
      </c>
      <c r="N167">
        <f>IF(gescon_infosparticip!M166=FALSE,0,1)</f>
        <v>0</v>
      </c>
      <c r="O167">
        <f>IF(gescon_infosparticip!N166=FALSE,0,1)</f>
        <v>0</v>
      </c>
      <c r="P167">
        <f>IF(gescon_infosparticip!O166=FALSE,0,1)</f>
        <v>0</v>
      </c>
      <c r="Q167">
        <f>IF(gescon_infosparticip!P166=FALSE,0,1)</f>
        <v>1</v>
      </c>
      <c r="R167">
        <f>IF(gescon_infosparticip!Q166=FALSE,0,1)</f>
        <v>0</v>
      </c>
      <c r="S167" t="str">
        <f>gescon_infosparticip!R166</f>
        <v>Supporte les longs trajets en bus : voir rubrique WC incontinence
Connaît la valeur de l'argent.</v>
      </c>
      <c r="T167" t="str">
        <f>gescon_infosparticip!V166</f>
        <v>Aide totale : habillage du haut : d'abord le bras droit, la tête, le bras gauche et le contraire pour le déshabillage.
Sophie est particulièrement frileuse veiller à bien l'habiller.</v>
      </c>
      <c r="U167" t="str">
        <f>gescon_infosparticip!S166</f>
        <v>N'aime pas du tout la piscine.</v>
      </c>
      <c r="V167">
        <f>IF(gescon_infosparticip!U166=FALSE,0,1)</f>
        <v>1</v>
      </c>
      <c r="W167">
        <f>IF(gescon_infosparticip!T166=FALSE,0,1)</f>
        <v>0</v>
      </c>
      <c r="X167" t="str">
        <f>gescon_infosparticip!W166</f>
        <v>Dort sur le dos : veiller à ce que la colonne soit le plus rectiligne possible.</v>
      </c>
      <c r="Y167">
        <f>IF(gescon_infosparticip!X166=FALSE,0,1)</f>
        <v>0</v>
      </c>
      <c r="Z167">
        <f>IF(gescon_infosparticip!Y166=FALSE,0,1)</f>
        <v>0</v>
      </c>
      <c r="AA167">
        <f>IF(gescon_infosparticip!Z166=FALSE,0,1)</f>
        <v>0</v>
      </c>
      <c r="AB167">
        <f>IF(gescon_infosparticip!AA166=FALSE,0,1)</f>
        <v>1</v>
      </c>
      <c r="AC167" t="str">
        <f>gescon_infosparticip!AB166</f>
        <v>Langage oral : parle doucement, bégaie un peu.
Langage parfois difficilement compréhensible. Répéte volontiers si on ne la comprend pas.</v>
      </c>
      <c r="AD167" t="str">
        <f>gescon_infosparticip!AC166</f>
        <v>Son papa est décédé</v>
      </c>
      <c r="AE167" t="str">
        <f>gescon_infosparticip!AD166</f>
        <v>1 sœur
3 frères</v>
      </c>
      <c r="AF167" t="str">
        <f>gescon_infosparticip!AE166</f>
        <v/>
      </c>
      <c r="AG167" t="str">
        <f>gescon_infosparticip!AF166</f>
        <v>Musique, promenades en ville, ambiances de fêtes. Aime que l'on s'occupe d'elle.</v>
      </c>
      <c r="AH167" t="str">
        <f>gescon_infosparticip!AG166</f>
        <v>Piscine, télé</v>
      </c>
      <c r="AI167" t="str">
        <f>gescon_infosparticip!BN166</f>
        <v>positionner les coussins sous les genoux. Coussin jaune: genou gauche, coussin orange: genou droit . Le soir : incliner la chaise env. 45 min. avant s'il n'y a pas eu de changement de position.</v>
      </c>
      <c r="AJ167" t="str">
        <f>gescon_infosparticip!BO166</f>
        <v>après-dîner et le soir</v>
      </c>
    </row>
    <row r="168" spans="2:36" x14ac:dyDescent="0.25">
      <c r="B168">
        <f>gescon_infosparticip!A167</f>
        <v>1228837894</v>
      </c>
      <c r="C168">
        <f>gescon_infosparticip!B167</f>
        <v>41096.488622685203</v>
      </c>
      <c r="D168">
        <f>gescon_infosparticip!C167</f>
        <v>0</v>
      </c>
      <c r="E168">
        <f>gescon_infosparticip!D167</f>
        <v>0</v>
      </c>
      <c r="F168">
        <f>gescon_infosparticip!E167</f>
        <v>0</v>
      </c>
      <c r="G168">
        <f>gescon_infosparticip!F167</f>
        <v>0</v>
      </c>
      <c r="H168">
        <f>gescon_infosparticip!G167</f>
        <v>0</v>
      </c>
      <c r="I168" t="str">
        <f>gescon_infosparticip!H167</f>
        <v/>
      </c>
      <c r="J168">
        <f>IF(gescon_infosparticip!I167=FALSE,0,1)</f>
        <v>0</v>
      </c>
      <c r="K168">
        <f>IF(gescon_infosparticip!J167=FALSE,0,1)</f>
        <v>0</v>
      </c>
      <c r="L168">
        <f>IF(gescon_infosparticip!K167=FALSE,0,1)</f>
        <v>0</v>
      </c>
      <c r="M168">
        <f>IF(gescon_infosparticip!L167=FALSE,0,1)</f>
        <v>0</v>
      </c>
      <c r="N168">
        <f>IF(gescon_infosparticip!M167=FALSE,0,1)</f>
        <v>0</v>
      </c>
      <c r="O168">
        <f>IF(gescon_infosparticip!N167=FALSE,0,1)</f>
        <v>0</v>
      </c>
      <c r="P168">
        <f>IF(gescon_infosparticip!O167=FALSE,0,1)</f>
        <v>0</v>
      </c>
      <c r="Q168">
        <f>IF(gescon_infosparticip!P167=FALSE,0,1)</f>
        <v>0</v>
      </c>
      <c r="R168">
        <f>IF(gescon_infosparticip!Q167=FALSE,0,1)</f>
        <v>0</v>
      </c>
      <c r="S168" t="str">
        <f>gescon_infosparticip!R167</f>
        <v/>
      </c>
      <c r="T168" t="str">
        <f>gescon_infosparticip!V167</f>
        <v/>
      </c>
      <c r="U168" t="str">
        <f>gescon_infosparticip!S167</f>
        <v/>
      </c>
      <c r="V168">
        <f>IF(gescon_infosparticip!U167=FALSE,0,1)</f>
        <v>0</v>
      </c>
      <c r="W168">
        <f>IF(gescon_infosparticip!T167=FALSE,0,1)</f>
        <v>0</v>
      </c>
      <c r="X168" t="str">
        <f>gescon_infosparticip!W167</f>
        <v/>
      </c>
      <c r="Y168">
        <f>IF(gescon_infosparticip!X167=FALSE,0,1)</f>
        <v>0</v>
      </c>
      <c r="Z168">
        <f>IF(gescon_infosparticip!Y167=FALSE,0,1)</f>
        <v>0</v>
      </c>
      <c r="AA168">
        <f>IF(gescon_infosparticip!Z167=FALSE,0,1)</f>
        <v>0</v>
      </c>
      <c r="AB168">
        <f>IF(gescon_infosparticip!AA167=FALSE,0,1)</f>
        <v>0</v>
      </c>
      <c r="AC168" t="str">
        <f>gescon_infosparticip!AB167</f>
        <v/>
      </c>
      <c r="AD168" t="str">
        <f>gescon_infosparticip!AC167</f>
        <v/>
      </c>
      <c r="AE168" t="str">
        <f>gescon_infosparticip!AD167</f>
        <v/>
      </c>
      <c r="AF168" t="str">
        <f>gescon_infosparticip!AE167</f>
        <v/>
      </c>
      <c r="AG168" t="str">
        <f>gescon_infosparticip!AF167</f>
        <v/>
      </c>
      <c r="AH168" t="str">
        <f>gescon_infosparticip!AG167</f>
        <v/>
      </c>
      <c r="AI168" t="str">
        <f>gescon_infosparticip!BN167</f>
        <v/>
      </c>
      <c r="AJ168" t="str">
        <f>gescon_infosparticip!BO167</f>
        <v/>
      </c>
    </row>
    <row r="169" spans="2:36" x14ac:dyDescent="0.25">
      <c r="B169">
        <f>gescon_infosparticip!A168</f>
        <v>1228923808</v>
      </c>
      <c r="C169">
        <f>gescon_infosparticip!B168</f>
        <v>42886</v>
      </c>
      <c r="D169">
        <f>gescon_infosparticip!C168</f>
        <v>148</v>
      </c>
      <c r="E169">
        <f>gescon_infosparticip!D168</f>
        <v>0</v>
      </c>
      <c r="F169">
        <f>gescon_infosparticip!E168</f>
        <v>0</v>
      </c>
      <c r="G169">
        <f>gescon_infosparticip!F168</f>
        <v>1424</v>
      </c>
      <c r="H169">
        <f>gescon_infosparticip!G168</f>
        <v>0</v>
      </c>
      <c r="I169" t="str">
        <f>gescon_infosparticip!H168</f>
        <v>Groupe - B3 la castalie 024/473.51.43</v>
      </c>
      <c r="J169">
        <f>IF(gescon_infosparticip!I168=FALSE,0,1)</f>
        <v>0</v>
      </c>
      <c r="K169">
        <f>IF(gescon_infosparticip!J168=FALSE,0,1)</f>
        <v>1</v>
      </c>
      <c r="L169">
        <f>IF(gescon_infosparticip!K168=FALSE,0,1)</f>
        <v>1</v>
      </c>
      <c r="M169">
        <f>IF(gescon_infosparticip!L168=FALSE,0,1)</f>
        <v>0</v>
      </c>
      <c r="N169">
        <f>IF(gescon_infosparticip!M168=FALSE,0,1)</f>
        <v>0</v>
      </c>
      <c r="O169">
        <f>IF(gescon_infosparticip!N168=FALSE,0,1)</f>
        <v>0</v>
      </c>
      <c r="P169">
        <f>IF(gescon_infosparticip!O168=FALSE,0,1)</f>
        <v>0</v>
      </c>
      <c r="Q169">
        <f>IF(gescon_infosparticip!P168=FALSE,0,1)</f>
        <v>1</v>
      </c>
      <c r="R169">
        <f>IF(gescon_infosparticip!Q168=FALSE,0,1)</f>
        <v>0</v>
      </c>
      <c r="S169" t="str">
        <f>gescon_infosparticip!R168</f>
        <v>Tansfert sur la chaise :1.mettre la chaise en position inclinée 2.mettre Nicolas debout légère pression sur la nuque et lui demander de regarder en bas, ce qui permet de plier les genoux et de l'asseoir aisément 3.attacher pieds sans forcer.</v>
      </c>
      <c r="T169" t="str">
        <f>gescon_infosparticip!V168</f>
        <v>aide complète habillement déshabillement. Habillage du haut: d'abord bras droit, tête, bras gauche et le contraire pour déshabiller. Bien l'habiller en hiver</v>
      </c>
      <c r="U169" t="str">
        <f>gescon_infosparticip!S168</f>
        <v>Ne peut pas nager, le soutenir. Il apprécie beaucoup la piscine.</v>
      </c>
      <c r="V169">
        <f>IF(gescon_infosparticip!U168=FALSE,0,1)</f>
        <v>1</v>
      </c>
      <c r="W169">
        <f>IF(gescon_infosparticip!T168=FALSE,0,1)</f>
        <v>0</v>
      </c>
      <c r="X169" t="str">
        <f>gescon_infosparticip!W168</f>
        <v>Nicolas s’endort sur le côté droit, avec un coussin banane dans le dos, un coussin entre les jambes et une bavette sur l’oreiller.Après env. 4h , le mettre sur le dos  un coussin sous les pieds avec les chevilles écartées.Comme il a pas mal de sécrétions il est préférable de surveiller la position de sa tête quand il est au lit.Sur le dos:faire en sorte (avec coussin ou sac de sable sous l'oreiller) que sa nuque soit un peu en flexion.Sur le côté: bien le caler contre La barrière  pour s'assurer qu'il ne roule pas en arrière et que sa tête reste un peu en avant(comme ça il peut cracher ses sécrétions)</v>
      </c>
      <c r="Y169">
        <f>IF(gescon_infosparticip!X168=FALSE,0,1)</f>
        <v>0</v>
      </c>
      <c r="Z169">
        <f>IF(gescon_infosparticip!Y168=FALSE,0,1)</f>
        <v>0</v>
      </c>
      <c r="AA169">
        <f>IF(gescon_infosparticip!Z168=FALSE,0,1)</f>
        <v>0</v>
      </c>
      <c r="AB169">
        <f>IF(gescon_infosparticip!AA168=FALSE,0,1)</f>
        <v>1</v>
      </c>
      <c r="AC169" t="str">
        <f>gescon_infosparticip!AB168</f>
        <v>Avec l'aide de mots sur son tableau et l'expression de ses yeux.</v>
      </c>
      <c r="AD169" t="str">
        <f>gescon_infosparticip!AC168</f>
        <v>Son papa est décédé en 2003.</v>
      </c>
      <c r="AE169" t="str">
        <f>gescon_infosparticip!AD168</f>
        <v>Il a une sœur Emmanuelle qui a trois enfants, Alexandre et Elisabeth et Adrienne. Il a également trois frères : Jérôme, Joël et Félix qui a eu un petit Victor.</v>
      </c>
      <c r="AF169" t="str">
        <f>gescon_infosparticip!AE168</f>
        <v/>
      </c>
      <c r="AG169" t="str">
        <f>gescon_infosparticip!AF168</f>
        <v>Nicolas aime la musique (CD des jeunes de Lourdes), les promenades en ville, les discussions, la famille, les pèlerinages, la lecture d'articles de journaux. Il aime les films comiques.</v>
      </c>
      <c r="AH169" t="str">
        <f>gescon_infosparticip!AG168</f>
        <v/>
      </c>
      <c r="AI169" t="str">
        <f>gescon_infosparticip!BN168</f>
        <v>Il faut l'incliner dans le fauteuil si longue période assise.</v>
      </c>
      <c r="AJ169" t="str">
        <f>gescon_infosparticip!BO168</f>
        <v>après le dîner</v>
      </c>
    </row>
    <row r="170" spans="2:36" x14ac:dyDescent="0.25">
      <c r="B170">
        <f>gescon_infosparticip!A169</f>
        <v>1228924280</v>
      </c>
      <c r="C170">
        <f>gescon_infosparticip!B169</f>
        <v>41827</v>
      </c>
      <c r="D170">
        <f>gescon_infosparticip!C169</f>
        <v>0</v>
      </c>
      <c r="E170">
        <f>gescon_infosparticip!D169</f>
        <v>0</v>
      </c>
      <c r="F170">
        <f>gescon_infosparticip!E169</f>
        <v>0</v>
      </c>
      <c r="G170">
        <f>gescon_infosparticip!F169</f>
        <v>1424</v>
      </c>
      <c r="H170">
        <f>gescon_infosparticip!G169</f>
        <v>0</v>
      </c>
      <c r="I170" t="str">
        <f>gescon_infosparticip!H169</f>
        <v>Groupe C4</v>
      </c>
      <c r="J170">
        <f>IF(gescon_infosparticip!I169=FALSE,0,1)</f>
        <v>0</v>
      </c>
      <c r="K170">
        <f>IF(gescon_infosparticip!J169=FALSE,0,1)</f>
        <v>1</v>
      </c>
      <c r="L170">
        <f>IF(gescon_infosparticip!K169=FALSE,0,1)</f>
        <v>0</v>
      </c>
      <c r="M170">
        <f>IF(gescon_infosparticip!L169=FALSE,0,1)</f>
        <v>1</v>
      </c>
      <c r="N170">
        <f>IF(gescon_infosparticip!M169=FALSE,0,1)</f>
        <v>0</v>
      </c>
      <c r="O170">
        <f>IF(gescon_infosparticip!N169=FALSE,0,1)</f>
        <v>0</v>
      </c>
      <c r="P170">
        <f>IF(gescon_infosparticip!O169=FALSE,0,1)</f>
        <v>0</v>
      </c>
      <c r="Q170">
        <f>IF(gescon_infosparticip!P169=FALSE,0,1)</f>
        <v>1</v>
      </c>
      <c r="R170">
        <f>IF(gescon_infosparticip!Q169=FALSE,0,1)</f>
        <v>1</v>
      </c>
      <c r="S170" t="str">
        <f>gescon_infosparticip!R169</f>
        <v>supporte les longs trajets</v>
      </c>
      <c r="T170" t="str">
        <f>gescon_infosparticip!V169</f>
        <v>aide complète pour l'habillement et de déshabillement - plus facile de le faire sur le lit.</v>
      </c>
      <c r="U170" t="str">
        <f>gescon_infosparticip!S169</f>
        <v>Présence d'une personne obligatoire pour la tenir, de préférence un gilet. Maya apprécie beaucoup la piscine.</v>
      </c>
      <c r="V170">
        <f>IF(gescon_infosparticip!U169=FALSE,0,1)</f>
        <v>1</v>
      </c>
      <c r="W170">
        <f>IF(gescon_infosparticip!T169=FALSE,0,1)</f>
        <v>1</v>
      </c>
      <c r="X170" t="str">
        <f>gescon_infosparticip!W169</f>
        <v>Maya devient plus sensible quand elle est fatiguée  - &gt; pleurniche, s’énerve, crie, etc… Aussi, il est préférable de la coucher et  lui demander si elle désire un peu de musique ou rester simplement en silence.  Si Maya n’est pas changée durant la nuit, prévoir une languette supplémentaire. Au coucher, la mettre sur le côté, bien la calée pour éviter qu’elle tombe sur le ventre, après 1 à 2 heures dans cette position, (vers les 23h) la mettre sur le dos avec un coussin sous la tête, un coussin en U sous les jambes et un sous les pieds. Elle restera comme cela durant la nuit. Elle dort entre 8 et 9h par nuit. Parfois, elle a des ronflements, elle apprécie avoir quelqu’un avec elle en chambre. Elle aime se lever rapidement si elle est réveillée.</v>
      </c>
      <c r="Y170">
        <f>IF(gescon_infosparticip!X169=FALSE,0,1)</f>
        <v>0</v>
      </c>
      <c r="Z170">
        <f>IF(gescon_infosparticip!Y169=FALSE,0,1)</f>
        <v>0</v>
      </c>
      <c r="AA170">
        <f>IF(gescon_infosparticip!Z169=FALSE,0,1)</f>
        <v>0</v>
      </c>
      <c r="AB170">
        <f>IF(gescon_infosparticip!AA169=FALSE,0,1)</f>
        <v>1</v>
      </c>
      <c r="AC170" t="str">
        <f>gescon_infosparticip!AB169</f>
        <v>Elle utilise des pictogrammes pour se faire comprendre, elle arrive à montrer avec des signes de la tête le "oui" et le "non" mais pas forcémment à bon escient. Elle comprend bien l'allemand et le français. Elle dispose également d'un klaxon.</v>
      </c>
      <c r="AD170" t="str">
        <f>gescon_infosparticip!AC169</f>
        <v/>
      </c>
      <c r="AE170" t="str">
        <f>gescon_infosparticip!AD169</f>
        <v/>
      </c>
      <c r="AF170" t="str">
        <f>gescon_infosparticip!AE169</f>
        <v/>
      </c>
      <c r="AG170" t="str">
        <f>gescon_infosparticip!AF169</f>
        <v>Maya aime la musique folklorique, les promenades, le sport et aussi les séries à la télé, "La Schlagerparade" (séries avec personnel hospitalier, romantique,…), faire les magasins car elle est très curieuse. Elle va à l'atelier chez Jocelyne et chez Gérald. Elle apprécie beaucoup son éducateur, Christophe Girod. Maya manifeste beaucoup de joie lorsque sa maman lui parle au téléphone ou quand elle voit des bébés.</v>
      </c>
      <c r="AH170" t="str">
        <f>gescon_infosparticip!AG169</f>
        <v>Le bruit en général, la disco lorsque la musique est trop forte, le carnaval (éviter qu'elle reçoive des confettis dans la bouche, danger d'étouffement). Mais Maya s'adapte pour autant qu'elle y soit préparée. Les visites inopportunes sont pour elle source de grande agitation.</v>
      </c>
      <c r="AI170" t="str">
        <f>gescon_infosparticip!BN169</f>
        <v>Après le repas. Dans le lit mettre sur le côté puis après 1-2 heures, coucher sur le dos. Coussin derrière la tête et coussin en U sous les pieds.</v>
      </c>
      <c r="AJ170" t="str">
        <f>gescon_infosparticip!BO169</f>
        <v>2X par jour (après-dîner et la nuit)</v>
      </c>
    </row>
    <row r="171" spans="2:36" x14ac:dyDescent="0.25">
      <c r="B171">
        <f>gescon_infosparticip!A170</f>
        <v>1228924570</v>
      </c>
      <c r="C171">
        <f>gescon_infosparticip!B170</f>
        <v>42711</v>
      </c>
      <c r="D171">
        <f>gescon_infosparticip!C170</f>
        <v>-464138546</v>
      </c>
      <c r="E171">
        <f>gescon_infosparticip!D170</f>
        <v>0</v>
      </c>
      <c r="F171">
        <f>gescon_infosparticip!E170</f>
        <v>-464138546</v>
      </c>
      <c r="G171">
        <f>gescon_infosparticip!F170</f>
        <v>1424</v>
      </c>
      <c r="H171">
        <f>gescon_infosparticip!G170</f>
        <v>0</v>
      </c>
      <c r="I171" t="str">
        <f>gescon_infosparticip!H170</f>
        <v>B3 - 024 473 51 43</v>
      </c>
      <c r="J171">
        <f>IF(gescon_infosparticip!I170=FALSE,0,1)</f>
        <v>0</v>
      </c>
      <c r="K171">
        <f>IF(gescon_infosparticip!J170=FALSE,0,1)</f>
        <v>0</v>
      </c>
      <c r="L171">
        <f>IF(gescon_infosparticip!K170=FALSE,0,1)</f>
        <v>0</v>
      </c>
      <c r="M171">
        <f>IF(gescon_infosparticip!L170=FALSE,0,1)</f>
        <v>1</v>
      </c>
      <c r="N171">
        <f>IF(gescon_infosparticip!M170=FALSE,0,1)</f>
        <v>0</v>
      </c>
      <c r="O171">
        <f>IF(gescon_infosparticip!N170=FALSE,0,1)</f>
        <v>0</v>
      </c>
      <c r="P171">
        <f>IF(gescon_infosparticip!O170=FALSE,0,1)</f>
        <v>0</v>
      </c>
      <c r="Q171">
        <f>IF(gescon_infosparticip!P170=FALSE,0,1)</f>
        <v>1</v>
      </c>
      <c r="R171">
        <f>IF(gescon_infosparticip!Q170=FALSE,0,1)</f>
        <v>0</v>
      </c>
      <c r="S171" t="str">
        <f>gescon_infosparticip!R170</f>
        <v>Supporte les longs trajets en bus - voir remarques sous wc incontinence
Autonome avec son fauteuil électrique</v>
      </c>
      <c r="T171" t="str">
        <f>gescon_infosparticip!V170</f>
        <v>Aide totale</v>
      </c>
      <c r="U171" t="str">
        <f>gescon_infosparticip!S170</f>
        <v>Aide totale</v>
      </c>
      <c r="V171">
        <f>IF(gescon_infosparticip!U170=FALSE,0,1)</f>
        <v>1</v>
      </c>
      <c r="W171">
        <f>IF(gescon_infosparticip!T170=FALSE,0,1)</f>
        <v>1</v>
      </c>
      <c r="X171" t="str">
        <f>gescon_infosparticip!W170</f>
        <v>Tendance à aller au lit tôt. Il se fatigue vite</v>
      </c>
      <c r="Y171">
        <f>IF(gescon_infosparticip!X170=FALSE,0,1)</f>
        <v>0</v>
      </c>
      <c r="Z171">
        <f>IF(gescon_infosparticip!Y170=FALSE,0,1)</f>
        <v>0</v>
      </c>
      <c r="AA171">
        <f>IF(gescon_infosparticip!Z170=FALSE,0,1)</f>
        <v>0</v>
      </c>
      <c r="AB171">
        <f>IF(gescon_infosparticip!AA170=FALSE,0,1)</f>
        <v>1</v>
      </c>
      <c r="AC171" t="str">
        <f>gescon_infosparticip!AB170</f>
        <v>Classeur de communication et gestuelle expressive. Il montre avec la tête quelle option il choisit. Caractère jovial souvent de bonne humeur. En cas de mauvase humeur Il peut pincer ou donner des coups de pieds.</v>
      </c>
      <c r="AD171" t="str">
        <f>gescon_infosparticip!AC170</f>
        <v/>
      </c>
      <c r="AE171" t="str">
        <f>gescon_infosparticip!AD170</f>
        <v/>
      </c>
      <c r="AF171" t="str">
        <f>gescon_infosparticip!AE170</f>
        <v/>
      </c>
      <c r="AG171" t="str">
        <f>gescon_infosparticip!AF170</f>
        <v>Musique et jeux en général, films sentimentaux, Emisssion tv ("n'oubliez pas les paroles"  France 2) regarder jouer au bowling,cinéma et spectacles
parler de foot</v>
      </c>
      <c r="AH171" t="str">
        <f>gescon_infosparticip!AG170</f>
        <v>Piscine</v>
      </c>
      <c r="AI171" t="str">
        <f>gescon_infosparticip!BN170</f>
        <v>couché</v>
      </c>
      <c r="AJ171" t="str">
        <f>gescon_infosparticip!BO170</f>
        <v>après le dîner</v>
      </c>
    </row>
    <row r="172" spans="2:36" x14ac:dyDescent="0.25">
      <c r="B172">
        <f>gescon_infosparticip!A171</f>
        <v>1228928441</v>
      </c>
      <c r="C172">
        <f>gescon_infosparticip!B171</f>
        <v>41732</v>
      </c>
      <c r="D172">
        <f>gescon_infosparticip!C171</f>
        <v>2643</v>
      </c>
      <c r="E172">
        <f>gescon_infosparticip!D171</f>
        <v>0</v>
      </c>
      <c r="F172">
        <f>gescon_infosparticip!E171</f>
        <v>0</v>
      </c>
      <c r="G172">
        <f>gescon_infosparticip!F171</f>
        <v>1424</v>
      </c>
      <c r="H172">
        <f>gescon_infosparticip!G171</f>
        <v>1424</v>
      </c>
      <c r="I172" t="str">
        <f>gescon_infosparticip!H171</f>
        <v>B4 - 024 473 51 11</v>
      </c>
      <c r="J172">
        <f>IF(gescon_infosparticip!I171=FALSE,0,1)</f>
        <v>0</v>
      </c>
      <c r="K172">
        <f>IF(gescon_infosparticip!J171=FALSE,0,1)</f>
        <v>1</v>
      </c>
      <c r="L172">
        <f>IF(gescon_infosparticip!K171=FALSE,0,1)</f>
        <v>1</v>
      </c>
      <c r="M172">
        <f>IF(gescon_infosparticip!L171=FALSE,0,1)</f>
        <v>1</v>
      </c>
      <c r="N172">
        <f>IF(gescon_infosparticip!M171=FALSE,0,1)</f>
        <v>0</v>
      </c>
      <c r="O172">
        <f>IF(gescon_infosparticip!N171=FALSE,0,1)</f>
        <v>0</v>
      </c>
      <c r="P172">
        <f>IF(gescon_infosparticip!O171=FALSE,0,1)</f>
        <v>0</v>
      </c>
      <c r="Q172">
        <f>IF(gescon_infosparticip!P171=FALSE,0,1)</f>
        <v>1</v>
      </c>
      <c r="R172">
        <f>IF(gescon_infosparticip!Q171=FALSE,0,1)</f>
        <v>0</v>
      </c>
      <c r="S172" t="str">
        <f>gescon_infosparticip!R171</f>
        <v>Supporte les longs trajets en bus. Arrive à se tenir debout.</v>
      </c>
      <c r="T172" t="str">
        <f>gescon_infosparticip!V171</f>
        <v>Il faut l’aider à s’habiller. Il enfile seul son pull.</v>
      </c>
      <c r="U172" t="str">
        <f>gescon_infosparticip!S171</f>
        <v>Aucun matériel. Yves doit être accompagné durant toute la séance de piscine.</v>
      </c>
      <c r="V172">
        <f>IF(gescon_infosparticip!U171=FALSE,0,1)</f>
        <v>1</v>
      </c>
      <c r="W172">
        <f>IF(gescon_infosparticip!T171=FALSE,0,1)</f>
        <v>0</v>
      </c>
      <c r="X172" t="str">
        <f>gescon_infosparticip!W171</f>
        <v/>
      </c>
      <c r="Y172">
        <f>IF(gescon_infosparticip!X171=FALSE,0,1)</f>
        <v>0</v>
      </c>
      <c r="Z172">
        <f>IF(gescon_infosparticip!Y171=FALSE,0,1)</f>
        <v>0</v>
      </c>
      <c r="AA172">
        <f>IF(gescon_infosparticip!Z171=FALSE,0,1)</f>
        <v>0</v>
      </c>
      <c r="AB172">
        <f>IF(gescon_infosparticip!AA171=FALSE,0,1)</f>
        <v>0</v>
      </c>
      <c r="AC172" t="str">
        <f>gescon_infosparticip!AB171</f>
        <v>Il et important de bien expliquer a Yves les activités, les tâches avant de les faire. Il peut s’énerver en cas de changement brusque. Moyens d'expression : verbale – mimiques – oui – non.</v>
      </c>
      <c r="AD172" t="str">
        <f>gescon_infosparticip!AC171</f>
        <v>Ses parents ont un chien.</v>
      </c>
      <c r="AE172" t="str">
        <f>gescon_infosparticip!AD171</f>
        <v>un frère : Olivier
Une sœur : Dominique</v>
      </c>
      <c r="AF172" t="str">
        <f>gescon_infosparticip!AE171</f>
        <v/>
      </c>
      <c r="AG172" t="str">
        <f>gescon_infosparticip!AF171</f>
        <v>Yves aime chanter. Il s’exprime peu spontanément.</v>
      </c>
      <c r="AH172" t="str">
        <f>gescon_infosparticip!AG171</f>
        <v>est déstabilisé par la foule Yves a besoin d’être sécurisé dans les activités nouvelles pour lui.</v>
      </c>
      <c r="AI172" t="str">
        <f>gescon_infosparticip!BN171</f>
        <v>S’il est en pique-nique, Yves apprécie de se coucher dans l’herbe. Autrement le laisser faire un choix.</v>
      </c>
      <c r="AJ172" t="str">
        <f>gescon_infosparticip!BO171</f>
        <v/>
      </c>
    </row>
    <row r="173" spans="2:36" x14ac:dyDescent="0.25">
      <c r="B173">
        <f>gescon_infosparticip!A172</f>
        <v>1228928949</v>
      </c>
      <c r="C173">
        <f>gescon_infosparticip!B172</f>
        <v>42397</v>
      </c>
      <c r="D173">
        <f>gescon_infosparticip!C172</f>
        <v>0</v>
      </c>
      <c r="E173">
        <f>gescon_infosparticip!D172</f>
        <v>0</v>
      </c>
      <c r="F173">
        <f>gescon_infosparticip!E172</f>
        <v>0</v>
      </c>
      <c r="G173">
        <f>gescon_infosparticip!F172</f>
        <v>0</v>
      </c>
      <c r="H173">
        <f>gescon_infosparticip!G172</f>
        <v>0</v>
      </c>
      <c r="I173" t="str">
        <f>gescon_infosparticip!H172</f>
        <v/>
      </c>
      <c r="J173">
        <f>IF(gescon_infosparticip!I172=FALSE,0,1)</f>
        <v>0</v>
      </c>
      <c r="K173">
        <f>IF(gescon_infosparticip!J172=FALSE,0,1)</f>
        <v>0</v>
      </c>
      <c r="L173">
        <f>IF(gescon_infosparticip!K172=FALSE,0,1)</f>
        <v>0</v>
      </c>
      <c r="M173">
        <f>IF(gescon_infosparticip!L172=FALSE,0,1)</f>
        <v>0</v>
      </c>
      <c r="N173">
        <f>IF(gescon_infosparticip!M172=FALSE,0,1)</f>
        <v>0</v>
      </c>
      <c r="O173">
        <f>IF(gescon_infosparticip!N172=FALSE,0,1)</f>
        <v>0</v>
      </c>
      <c r="P173">
        <f>IF(gescon_infosparticip!O172=FALSE,0,1)</f>
        <v>0</v>
      </c>
      <c r="Q173">
        <f>IF(gescon_infosparticip!P172=FALSE,0,1)</f>
        <v>0</v>
      </c>
      <c r="R173">
        <f>IF(gescon_infosparticip!Q172=FALSE,0,1)</f>
        <v>0</v>
      </c>
      <c r="S173" t="str">
        <f>gescon_infosparticip!R172</f>
        <v/>
      </c>
      <c r="T173" t="str">
        <f>gescon_infosparticip!V172</f>
        <v/>
      </c>
      <c r="U173" t="str">
        <f>gescon_infosparticip!S172</f>
        <v/>
      </c>
      <c r="V173">
        <f>IF(gescon_infosparticip!U172=FALSE,0,1)</f>
        <v>0</v>
      </c>
      <c r="W173">
        <f>IF(gescon_infosparticip!T172=FALSE,0,1)</f>
        <v>0</v>
      </c>
      <c r="X173" t="str">
        <f>gescon_infosparticip!W172</f>
        <v/>
      </c>
      <c r="Y173">
        <f>IF(gescon_infosparticip!X172=FALSE,0,1)</f>
        <v>0</v>
      </c>
      <c r="Z173">
        <f>IF(gescon_infosparticip!Y172=FALSE,0,1)</f>
        <v>0</v>
      </c>
      <c r="AA173">
        <f>IF(gescon_infosparticip!Z172=FALSE,0,1)</f>
        <v>0</v>
      </c>
      <c r="AB173">
        <f>IF(gescon_infosparticip!AA172=FALSE,0,1)</f>
        <v>0</v>
      </c>
      <c r="AC173" t="str">
        <f>gescon_infosparticip!AB172</f>
        <v/>
      </c>
      <c r="AD173" t="str">
        <f>gescon_infosparticip!AC172</f>
        <v/>
      </c>
      <c r="AE173" t="str">
        <f>gescon_infosparticip!AD172</f>
        <v/>
      </c>
      <c r="AF173" t="str">
        <f>gescon_infosparticip!AE172</f>
        <v/>
      </c>
      <c r="AG173" t="str">
        <f>gescon_infosparticip!AF172</f>
        <v/>
      </c>
      <c r="AH173" t="str">
        <f>gescon_infosparticip!AG172</f>
        <v/>
      </c>
      <c r="AI173" t="str">
        <f>gescon_infosparticip!BN172</f>
        <v/>
      </c>
      <c r="AJ173" t="str">
        <f>gescon_infosparticip!BO172</f>
        <v/>
      </c>
    </row>
    <row r="174" spans="2:36" x14ac:dyDescent="0.25">
      <c r="B174">
        <f>gescon_infosparticip!A173</f>
        <v>1241531093</v>
      </c>
      <c r="C174">
        <f>gescon_infosparticip!B173</f>
        <v>42590</v>
      </c>
      <c r="D174">
        <f>gescon_infosparticip!C173</f>
        <v>0</v>
      </c>
      <c r="E174">
        <f>gescon_infosparticip!D173</f>
        <v>0</v>
      </c>
      <c r="F174">
        <f>gescon_infosparticip!E173</f>
        <v>0</v>
      </c>
      <c r="G174">
        <f>gescon_infosparticip!F173</f>
        <v>0</v>
      </c>
      <c r="H174">
        <f>gescon_infosparticip!G173</f>
        <v>0</v>
      </c>
      <c r="I174" t="str">
        <f>gescon_infosparticip!H173</f>
        <v/>
      </c>
      <c r="J174">
        <f>IF(gescon_infosparticip!I173=FALSE,0,1)</f>
        <v>0</v>
      </c>
      <c r="K174">
        <f>IF(gescon_infosparticip!J173=FALSE,0,1)</f>
        <v>0</v>
      </c>
      <c r="L174">
        <f>IF(gescon_infosparticip!K173=FALSE,0,1)</f>
        <v>0</v>
      </c>
      <c r="M174">
        <f>IF(gescon_infosparticip!L173=FALSE,0,1)</f>
        <v>0</v>
      </c>
      <c r="N174">
        <f>IF(gescon_infosparticip!M173=FALSE,0,1)</f>
        <v>0</v>
      </c>
      <c r="O174">
        <f>IF(gescon_infosparticip!N173=FALSE,0,1)</f>
        <v>0</v>
      </c>
      <c r="P174">
        <f>IF(gescon_infosparticip!O173=FALSE,0,1)</f>
        <v>0</v>
      </c>
      <c r="Q174">
        <f>IF(gescon_infosparticip!P173=FALSE,0,1)</f>
        <v>0</v>
      </c>
      <c r="R174">
        <f>IF(gescon_infosparticip!Q173=FALSE,0,1)</f>
        <v>0</v>
      </c>
      <c r="S174" t="str">
        <f>gescon_infosparticip!R173</f>
        <v/>
      </c>
      <c r="T174" t="str">
        <f>gescon_infosparticip!V173</f>
        <v/>
      </c>
      <c r="U174" t="str">
        <f>gescon_infosparticip!S173</f>
        <v/>
      </c>
      <c r="V174">
        <f>IF(gescon_infosparticip!U173=FALSE,0,1)</f>
        <v>0</v>
      </c>
      <c r="W174">
        <f>IF(gescon_infosparticip!T173=FALSE,0,1)</f>
        <v>0</v>
      </c>
      <c r="X174" t="str">
        <f>gescon_infosparticip!W173</f>
        <v/>
      </c>
      <c r="Y174">
        <f>IF(gescon_infosparticip!X173=FALSE,0,1)</f>
        <v>0</v>
      </c>
      <c r="Z174">
        <f>IF(gescon_infosparticip!Y173=FALSE,0,1)</f>
        <v>0</v>
      </c>
      <c r="AA174">
        <f>IF(gescon_infosparticip!Z173=FALSE,0,1)</f>
        <v>0</v>
      </c>
      <c r="AB174">
        <f>IF(gescon_infosparticip!AA173=FALSE,0,1)</f>
        <v>0</v>
      </c>
      <c r="AC174" t="str">
        <f>gescon_infosparticip!AB173</f>
        <v/>
      </c>
      <c r="AD174" t="str">
        <f>gescon_infosparticip!AC173</f>
        <v/>
      </c>
      <c r="AE174" t="str">
        <f>gescon_infosparticip!AD173</f>
        <v/>
      </c>
      <c r="AF174" t="str">
        <f>gescon_infosparticip!AE173</f>
        <v/>
      </c>
      <c r="AG174" t="str">
        <f>gescon_infosparticip!AF173</f>
        <v/>
      </c>
      <c r="AH174" t="str">
        <f>gescon_infosparticip!AG173</f>
        <v/>
      </c>
      <c r="AI174" t="str">
        <f>gescon_infosparticip!BN173</f>
        <v/>
      </c>
      <c r="AJ174" t="str">
        <f>gescon_infosparticip!BO173</f>
        <v/>
      </c>
    </row>
    <row r="175" spans="2:36" x14ac:dyDescent="0.25">
      <c r="B175">
        <f>gescon_infosparticip!A174</f>
        <v>1264433332</v>
      </c>
      <c r="C175">
        <f>gescon_infosparticip!B174</f>
        <v>42503</v>
      </c>
      <c r="D175">
        <f>gescon_infosparticip!C174</f>
        <v>2281</v>
      </c>
      <c r="E175">
        <f>gescon_infosparticip!D174</f>
        <v>0</v>
      </c>
      <c r="F175">
        <f>gescon_infosparticip!E174</f>
        <v>0</v>
      </c>
      <c r="G175">
        <f>gescon_infosparticip!F174</f>
        <v>1424</v>
      </c>
      <c r="H175">
        <f>gescon_infosparticip!G174</f>
        <v>1424</v>
      </c>
      <c r="I175" t="str">
        <f>gescon_infosparticip!H174</f>
        <v>Groupe - C4 024 473 51 54 Beate Friedberger</v>
      </c>
      <c r="J175">
        <f>IF(gescon_infosparticip!I174=FALSE,0,1)</f>
        <v>0</v>
      </c>
      <c r="K175">
        <f>IF(gescon_infosparticip!J174=FALSE,0,1)</f>
        <v>0</v>
      </c>
      <c r="L175">
        <f>IF(gescon_infosparticip!K174=FALSE,0,1)</f>
        <v>0</v>
      </c>
      <c r="M175">
        <f>IF(gescon_infosparticip!L174=FALSE,0,1)</f>
        <v>1</v>
      </c>
      <c r="N175">
        <f>IF(gescon_infosparticip!M174=FALSE,0,1)</f>
        <v>0</v>
      </c>
      <c r="O175">
        <f>IF(gescon_infosparticip!N174=FALSE,0,1)</f>
        <v>0</v>
      </c>
      <c r="P175">
        <f>IF(gescon_infosparticip!O174=FALSE,0,1)</f>
        <v>0</v>
      </c>
      <c r="Q175">
        <f>IF(gescon_infosparticip!P174=FALSE,0,1)</f>
        <v>1</v>
      </c>
      <c r="R175">
        <f>IF(gescon_infosparticip!Q174=FALSE,0,1)</f>
        <v>1</v>
      </c>
      <c r="S175" t="str">
        <f>gescon_infosparticip!R174</f>
        <v>Il supporte les longs trajets.</v>
      </c>
      <c r="T175" t="str">
        <f>gescon_infosparticip!V174</f>
        <v>Aide totale</v>
      </c>
      <c r="U175" t="str">
        <f>gescon_infosparticip!S174</f>
        <v>Oui avec l'aide d'un accompagnant</v>
      </c>
      <c r="V175">
        <f>IF(gescon_infosparticip!U174=FALSE,0,1)</f>
        <v>1</v>
      </c>
      <c r="W175">
        <f>IF(gescon_infosparticip!T174=FALSE,0,1)</f>
        <v>1</v>
      </c>
      <c r="X175" t="str">
        <f>gescon_infosparticip!W174</f>
        <v>Pas d’horaire ni de rite particulier. Avant d’aller au lit, lui proposer la bouteille pour soulager sa vessie et le matin au lever</v>
      </c>
      <c r="Y175">
        <f>IF(gescon_infosparticip!X174=FALSE,0,1)</f>
        <v>0</v>
      </c>
      <c r="Z175">
        <f>IF(gescon_infosparticip!Y174=FALSE,0,1)</f>
        <v>0</v>
      </c>
      <c r="AA175">
        <f>IF(gescon_infosparticip!Z174=FALSE,0,1)</f>
        <v>0</v>
      </c>
      <c r="AB175">
        <f>IF(gescon_infosparticip!AA174=FALSE,0,1)</f>
        <v>1</v>
      </c>
      <c r="AC175" t="str">
        <f>gescon_infosparticip!AB174</f>
        <v>Communique avec les pictogrammes, il arrive à montrer avec la tête le « oui » et le « non ». A également un ordinateur parlant.</v>
      </c>
      <c r="AD175" t="str">
        <f>gescon_infosparticip!AC174</f>
        <v>Son père est décédé, sa mère habite dans le Haut Valais.</v>
      </c>
      <c r="AE175" t="str">
        <f>gescon_infosparticip!AD174</f>
        <v/>
      </c>
      <c r="AF175" t="str">
        <f>gescon_infosparticip!AE174</f>
        <v/>
      </c>
      <c r="AG175" t="str">
        <f>gescon_infosparticip!AF174</f>
        <v>il aime les discussions avec les accompagnants, faire de la musique et écouter de la musique folklorique ainsi que les balades en plein air. Il apprécie regarder la télévision en particulier les courses de voiture et les matchs de boxe.</v>
      </c>
      <c r="AH175" t="str">
        <f>gescon_infosparticip!AG174</f>
        <v>Walter est ouvert à toutes sortes d’activités</v>
      </c>
      <c r="AI175" t="str">
        <f>gescon_infosparticip!BN174</f>
        <v>le mettre sur le dos et lui surélever les jambes avec un coussin ou lit électrique (même chose pour la nuit)</v>
      </c>
      <c r="AJ175" t="str">
        <f>gescon_infosparticip!BO174</f>
        <v>Chaque 4 heure</v>
      </c>
    </row>
    <row r="176" spans="2:36" x14ac:dyDescent="0.25">
      <c r="B176">
        <f>gescon_infosparticip!A175</f>
        <v>1264491950</v>
      </c>
      <c r="C176">
        <f>gescon_infosparticip!B175</f>
        <v>42419</v>
      </c>
      <c r="D176">
        <f>gescon_infosparticip!C175</f>
        <v>0</v>
      </c>
      <c r="E176">
        <f>gescon_infosparticip!D175</f>
        <v>0</v>
      </c>
      <c r="F176">
        <f>gescon_infosparticip!E175</f>
        <v>0</v>
      </c>
      <c r="G176">
        <f>gescon_infosparticip!F175</f>
        <v>0</v>
      </c>
      <c r="H176">
        <f>gescon_infosparticip!G175</f>
        <v>0</v>
      </c>
      <c r="I176" t="str">
        <f>gescon_infosparticip!H175</f>
        <v/>
      </c>
      <c r="J176">
        <f>IF(gescon_infosparticip!I175=FALSE,0,1)</f>
        <v>0</v>
      </c>
      <c r="K176">
        <f>IF(gescon_infosparticip!J175=FALSE,0,1)</f>
        <v>0</v>
      </c>
      <c r="L176">
        <f>IF(gescon_infosparticip!K175=FALSE,0,1)</f>
        <v>0</v>
      </c>
      <c r="M176">
        <f>IF(gescon_infosparticip!L175=FALSE,0,1)</f>
        <v>0</v>
      </c>
      <c r="N176">
        <f>IF(gescon_infosparticip!M175=FALSE,0,1)</f>
        <v>0</v>
      </c>
      <c r="O176">
        <f>IF(gescon_infosparticip!N175=FALSE,0,1)</f>
        <v>0</v>
      </c>
      <c r="P176">
        <f>IF(gescon_infosparticip!O175=FALSE,0,1)</f>
        <v>0</v>
      </c>
      <c r="Q176">
        <f>IF(gescon_infosparticip!P175=FALSE,0,1)</f>
        <v>0</v>
      </c>
      <c r="R176">
        <f>IF(gescon_infosparticip!Q175=FALSE,0,1)</f>
        <v>0</v>
      </c>
      <c r="S176" t="str">
        <f>gescon_infosparticip!R175</f>
        <v/>
      </c>
      <c r="T176" t="str">
        <f>gescon_infosparticip!V175</f>
        <v/>
      </c>
      <c r="U176" t="str">
        <f>gescon_infosparticip!S175</f>
        <v/>
      </c>
      <c r="V176">
        <f>IF(gescon_infosparticip!U175=FALSE,0,1)</f>
        <v>0</v>
      </c>
      <c r="W176">
        <f>IF(gescon_infosparticip!T175=FALSE,0,1)</f>
        <v>0</v>
      </c>
      <c r="X176" t="str">
        <f>gescon_infosparticip!W175</f>
        <v/>
      </c>
      <c r="Y176">
        <f>IF(gescon_infosparticip!X175=FALSE,0,1)</f>
        <v>0</v>
      </c>
      <c r="Z176">
        <f>IF(gescon_infosparticip!Y175=FALSE,0,1)</f>
        <v>0</v>
      </c>
      <c r="AA176">
        <f>IF(gescon_infosparticip!Z175=FALSE,0,1)</f>
        <v>0</v>
      </c>
      <c r="AB176">
        <f>IF(gescon_infosparticip!AA175=FALSE,0,1)</f>
        <v>0</v>
      </c>
      <c r="AC176" t="str">
        <f>gescon_infosparticip!AB175</f>
        <v/>
      </c>
      <c r="AD176" t="str">
        <f>gescon_infosparticip!AC175</f>
        <v/>
      </c>
      <c r="AE176" t="str">
        <f>gescon_infosparticip!AD175</f>
        <v/>
      </c>
      <c r="AF176" t="str">
        <f>gescon_infosparticip!AE175</f>
        <v/>
      </c>
      <c r="AG176" t="str">
        <f>gescon_infosparticip!AF175</f>
        <v/>
      </c>
      <c r="AH176" t="str">
        <f>gescon_infosparticip!AG175</f>
        <v/>
      </c>
      <c r="AI176" t="str">
        <f>gescon_infosparticip!BN175</f>
        <v/>
      </c>
      <c r="AJ176" t="str">
        <f>gescon_infosparticip!BO175</f>
        <v/>
      </c>
    </row>
    <row r="177" spans="2:36" x14ac:dyDescent="0.25">
      <c r="B177">
        <f>gescon_infosparticip!A176</f>
        <v>1270805862</v>
      </c>
      <c r="C177">
        <f>gescon_infosparticip!B176</f>
        <v>42611</v>
      </c>
      <c r="D177">
        <f>gescon_infosparticip!C176</f>
        <v>-1131755793</v>
      </c>
      <c r="E177">
        <f>gescon_infosparticip!D176</f>
        <v>2146189774</v>
      </c>
      <c r="F177">
        <f>gescon_infosparticip!E176</f>
        <v>0</v>
      </c>
      <c r="G177">
        <f>gescon_infosparticip!F176</f>
        <v>0</v>
      </c>
      <c r="H177">
        <f>gescon_infosparticip!G176</f>
        <v>-1131755793</v>
      </c>
      <c r="I177" t="str">
        <f>gescon_infosparticip!H176</f>
        <v>en cas d'urgence prévenir la maman</v>
      </c>
      <c r="J177">
        <f>IF(gescon_infosparticip!I176=FALSE,0,1)</f>
        <v>0</v>
      </c>
      <c r="K177">
        <f>IF(gescon_infosparticip!J176=FALSE,0,1)</f>
        <v>0</v>
      </c>
      <c r="L177">
        <f>IF(gescon_infosparticip!K176=FALSE,0,1)</f>
        <v>0</v>
      </c>
      <c r="M177">
        <f>IF(gescon_infosparticip!L176=FALSE,0,1)</f>
        <v>1</v>
      </c>
      <c r="N177">
        <f>IF(gescon_infosparticip!M176=FALSE,0,1)</f>
        <v>0</v>
      </c>
      <c r="O177">
        <f>IF(gescon_infosparticip!N176=FALSE,0,1)</f>
        <v>0</v>
      </c>
      <c r="P177">
        <f>IF(gescon_infosparticip!O176=FALSE,0,1)</f>
        <v>0</v>
      </c>
      <c r="Q177">
        <f>IF(gescon_infosparticip!P176=FALSE,0,1)</f>
        <v>1</v>
      </c>
      <c r="R177">
        <f>IF(gescon_infosparticip!Q176=FALSE,0,1)</f>
        <v>0</v>
      </c>
      <c r="S177" t="str">
        <f>gescon_infosparticip!R176</f>
        <v>supporte les longs trajets.</v>
      </c>
      <c r="T177" t="str">
        <f>gescon_infosparticip!V176</f>
        <v>aide nécessaire</v>
      </c>
      <c r="U177" t="str">
        <f>gescon_infosparticip!S176</f>
        <v>Accompagné.</v>
      </c>
      <c r="V177">
        <f>IF(gescon_infosparticip!U176=FALSE,0,1)</f>
        <v>1</v>
      </c>
      <c r="W177">
        <f>IF(gescon_infosparticip!T176=FALSE,0,1)</f>
        <v>0</v>
      </c>
      <c r="X177" t="str">
        <f>gescon_infosparticip!W176</f>
        <v>Souvent la nuit, il a des saignements de nez. Il aime les histoires, les câlins et les doudous.</v>
      </c>
      <c r="Y177">
        <f>IF(gescon_infosparticip!X176=FALSE,0,1)</f>
        <v>0</v>
      </c>
      <c r="Z177">
        <f>IF(gescon_infosparticip!Y176=FALSE,0,1)</f>
        <v>0</v>
      </c>
      <c r="AA177">
        <f>IF(gescon_infosparticip!Z176=FALSE,0,1)</f>
        <v>0</v>
      </c>
      <c r="AB177">
        <f>IF(gescon_infosparticip!AA176=FALSE,0,1)</f>
        <v>0</v>
      </c>
      <c r="AC177" t="str">
        <f>gescon_infosparticip!AB176</f>
        <v>orale</v>
      </c>
      <c r="AD177" t="str">
        <f>gescon_infosparticip!AC176</f>
        <v/>
      </c>
      <c r="AE177" t="str">
        <f>gescon_infosparticip!AD176</f>
        <v>Il a une sœur Laora qui est née en 1998.</v>
      </c>
      <c r="AF177" t="str">
        <f>gescon_infosparticip!AE176</f>
        <v/>
      </c>
      <c r="AG177" t="str">
        <f>gescon_infosparticip!AF176</f>
        <v>Jouer à l’ordinateur, à l’orgue, avec les voitures, et regarder les machines à laver. Les ascenseurs.</v>
      </c>
      <c r="AH177" t="str">
        <f>gescon_infosparticip!AG176</f>
        <v/>
      </c>
      <c r="AI177" t="str">
        <f>gescon_infosparticip!BN176</f>
        <v/>
      </c>
      <c r="AJ177" t="str">
        <f>gescon_infosparticip!BO176</f>
        <v/>
      </c>
    </row>
    <row r="178" spans="2:36" x14ac:dyDescent="0.25">
      <c r="B178">
        <f>gescon_infosparticip!A177</f>
        <v>1298294561</v>
      </c>
      <c r="C178">
        <f>gescon_infosparticip!B177</f>
        <v>42965</v>
      </c>
      <c r="D178">
        <f>gescon_infosparticip!C177</f>
        <v>0</v>
      </c>
      <c r="E178">
        <f>gescon_infosparticip!D177</f>
        <v>0</v>
      </c>
      <c r="F178">
        <f>gescon_infosparticip!E177</f>
        <v>0</v>
      </c>
      <c r="G178">
        <f>gescon_infosparticip!F177</f>
        <v>1434</v>
      </c>
      <c r="H178">
        <f>gescon_infosparticip!G177</f>
        <v>0</v>
      </c>
      <c r="I178" t="str">
        <f>gescon_infosparticip!H177</f>
        <v>Pia D'Urso -027/451.21.82</v>
      </c>
      <c r="J178">
        <f>IF(gescon_infosparticip!I177=FALSE,0,1)</f>
        <v>1</v>
      </c>
      <c r="K178">
        <f>IF(gescon_infosparticip!J177=FALSE,0,1)</f>
        <v>0</v>
      </c>
      <c r="L178">
        <f>IF(gescon_infosparticip!K177=FALSE,0,1)</f>
        <v>0</v>
      </c>
      <c r="M178">
        <f>IF(gescon_infosparticip!L177=FALSE,0,1)</f>
        <v>0</v>
      </c>
      <c r="N178">
        <f>IF(gescon_infosparticip!M177=FALSE,0,1)</f>
        <v>0</v>
      </c>
      <c r="O178">
        <f>IF(gescon_infosparticip!N177=FALSE,0,1)</f>
        <v>0</v>
      </c>
      <c r="P178">
        <f>IF(gescon_infosparticip!O177=FALSE,0,1)</f>
        <v>0</v>
      </c>
      <c r="Q178">
        <f>IF(gescon_infosparticip!P177=FALSE,0,1)</f>
        <v>0</v>
      </c>
      <c r="R178">
        <f>IF(gescon_infosparticip!Q177=FALSE,0,1)</f>
        <v>1</v>
      </c>
      <c r="S178" t="str">
        <f>gescon_infosparticip!R177</f>
        <v>Il supporte les longs trajets.</v>
      </c>
      <c r="T178" t="str">
        <f>gescon_infosparticip!V177</f>
        <v>Aide totale.</v>
      </c>
      <c r="U178" t="str">
        <f>gescon_infosparticip!S177</f>
        <v>Avec une aide complète</v>
      </c>
      <c r="V178">
        <f>IF(gescon_infosparticip!U177=FALSE,0,1)</f>
        <v>1</v>
      </c>
      <c r="W178">
        <f>IF(gescon_infosparticip!T177=FALSE,0,1)</f>
        <v>1</v>
      </c>
      <c r="X178" t="str">
        <f>gescon_infosparticip!W177</f>
        <v>Il dort sur le côté gauche.</v>
      </c>
      <c r="Y178">
        <f>IF(gescon_infosparticip!X177=FALSE,0,1)</f>
        <v>0</v>
      </c>
      <c r="Z178">
        <f>IF(gescon_infosparticip!Y177=FALSE,0,1)</f>
        <v>0</v>
      </c>
      <c r="AA178">
        <f>IF(gescon_infosparticip!Z177=FALSE,0,1)</f>
        <v>0</v>
      </c>
      <c r="AB178">
        <f>IF(gescon_infosparticip!AA177=FALSE,0,1)</f>
        <v>1</v>
      </c>
      <c r="AC178" t="str">
        <f>gescon_infosparticip!AB177</f>
        <v>Il s'exprime à l'aide de la parole.</v>
      </c>
      <c r="AD178" t="str">
        <f>gescon_infosparticip!AC177</f>
        <v>Parents décédés</v>
      </c>
      <c r="AE178" t="str">
        <f>gescon_infosparticip!AD177</f>
        <v/>
      </c>
      <c r="AF178" t="str">
        <f>gescon_infosparticip!AE177</f>
        <v/>
      </c>
      <c r="AG178" t="str">
        <f>gescon_infosparticip!AF177</f>
        <v>Simon aime beaucoup la musique, jouer au Jass, aux échecs et au scrabble. Il aime regarder les documentaires à la télévision.</v>
      </c>
      <c r="AH178" t="str">
        <f>gescon_infosparticip!AG177</f>
        <v>Le ski et la piscine.</v>
      </c>
      <c r="AI178" t="str">
        <f>gescon_infosparticip!BN177</f>
        <v>Non</v>
      </c>
      <c r="AJ178" t="str">
        <f>gescon_infosparticip!BO177</f>
        <v/>
      </c>
    </row>
    <row r="179" spans="2:36" x14ac:dyDescent="0.25">
      <c r="B179">
        <f>gescon_infosparticip!A178</f>
        <v>1299487111</v>
      </c>
      <c r="C179">
        <f>gescon_infosparticip!B178</f>
        <v>42557</v>
      </c>
      <c r="D179">
        <f>gescon_infosparticip!C178</f>
        <v>0</v>
      </c>
      <c r="E179">
        <f>gescon_infosparticip!D178</f>
        <v>0</v>
      </c>
      <c r="F179">
        <f>gescon_infosparticip!E178</f>
        <v>2146189129</v>
      </c>
      <c r="G179">
        <f>gescon_infosparticip!F178</f>
        <v>0</v>
      </c>
      <c r="H179">
        <f>gescon_infosparticip!G178</f>
        <v>2146189129</v>
      </c>
      <c r="I179" t="str">
        <f>gescon_infosparticip!H178</f>
        <v>Ligia DA SILVA (Maman) 076 733 90 07</v>
      </c>
      <c r="J179">
        <f>IF(gescon_infosparticip!I178=FALSE,0,1)</f>
        <v>1</v>
      </c>
      <c r="K179">
        <f>IF(gescon_infosparticip!J178=FALSE,0,1)</f>
        <v>0</v>
      </c>
      <c r="L179">
        <f>IF(gescon_infosparticip!K178=FALSE,0,1)</f>
        <v>0</v>
      </c>
      <c r="M179">
        <f>IF(gescon_infosparticip!L178=FALSE,0,1)</f>
        <v>0</v>
      </c>
      <c r="N179">
        <f>IF(gescon_infosparticip!M178=FALSE,0,1)</f>
        <v>0</v>
      </c>
      <c r="O179">
        <f>IF(gescon_infosparticip!N178=FALSE,0,1)</f>
        <v>0</v>
      </c>
      <c r="P179">
        <f>IF(gescon_infosparticip!O178=FALSE,0,1)</f>
        <v>0</v>
      </c>
      <c r="Q179">
        <f>IF(gescon_infosparticip!P178=FALSE,0,1)</f>
        <v>1</v>
      </c>
      <c r="R179">
        <f>IF(gescon_infosparticip!Q178=FALSE,0,1)</f>
        <v>0</v>
      </c>
      <c r="S179" t="str">
        <f>gescon_infosparticip!R178</f>
        <v>Elle supporte de longs trajets.</v>
      </c>
      <c r="T179" t="str">
        <f>gescon_infosparticip!V178</f>
        <v>A surveiller ou accompagner selon son désir.</v>
      </c>
      <c r="U179" t="str">
        <f>gescon_infosparticip!S178</f>
        <v>Oui</v>
      </c>
      <c r="V179">
        <f>IF(gescon_infosparticip!U178=FALSE,0,1)</f>
        <v>1</v>
      </c>
      <c r="W179">
        <f>IF(gescon_infosparticip!T178=FALSE,0,1)</f>
        <v>0</v>
      </c>
      <c r="X179" t="str">
        <f>gescon_infosparticip!W178</f>
        <v>rien de particulier.</v>
      </c>
      <c r="Y179">
        <f>IF(gescon_infosparticip!X178=FALSE,0,1)</f>
        <v>0</v>
      </c>
      <c r="Z179">
        <f>IF(gescon_infosparticip!Y178=FALSE,0,1)</f>
        <v>0</v>
      </c>
      <c r="AA179">
        <f>IF(gescon_infosparticip!Z178=FALSE,0,1)</f>
        <v>0</v>
      </c>
      <c r="AB179">
        <f>IF(gescon_infosparticip!AA178=FALSE,0,1)</f>
        <v>1</v>
      </c>
      <c r="AC179" t="str">
        <f>gescon_infosparticip!AB178</f>
        <v>Elle s'exprime très bien.</v>
      </c>
      <c r="AD179" t="str">
        <f>gescon_infosparticip!AC178</f>
        <v/>
      </c>
      <c r="AE179" t="str">
        <f>gescon_infosparticip!AD178</f>
        <v>1 sœur Ligia et un frère Sergio</v>
      </c>
      <c r="AF179" t="str">
        <f>gescon_infosparticip!AE178</f>
        <v/>
      </c>
      <c r="AG179" t="str">
        <f>gescon_infosparticip!AF178</f>
        <v>Piscine, musique, parler, cinéma, théâtre, discothèque, karaoké, sport, promenade.</v>
      </c>
      <c r="AH179" t="str">
        <f>gescon_infosparticip!AG178</f>
        <v/>
      </c>
      <c r="AI179" t="str">
        <f>gescon_infosparticip!BN178</f>
        <v>elle le fait elle-même</v>
      </c>
      <c r="AJ179" t="str">
        <f>gescon_infosparticip!BO178</f>
        <v/>
      </c>
    </row>
    <row r="180" spans="2:36" x14ac:dyDescent="0.25">
      <c r="B180">
        <f>gescon_infosparticip!A179</f>
        <v>1306135154</v>
      </c>
      <c r="C180">
        <f>gescon_infosparticip!B179</f>
        <v>42641</v>
      </c>
      <c r="D180">
        <f>gescon_infosparticip!C179</f>
        <v>1299162980</v>
      </c>
      <c r="E180">
        <f>gescon_infosparticip!D179</f>
        <v>0</v>
      </c>
      <c r="F180">
        <f>gescon_infosparticip!E179</f>
        <v>0</v>
      </c>
      <c r="G180">
        <f>gescon_infosparticip!F179</f>
        <v>0</v>
      </c>
      <c r="H180">
        <f>gescon_infosparticip!G179</f>
        <v>0</v>
      </c>
      <c r="I180" t="str">
        <f>gescon_infosparticip!H179</f>
        <v/>
      </c>
      <c r="J180">
        <f>IF(gescon_infosparticip!I179=FALSE,0,1)</f>
        <v>0</v>
      </c>
      <c r="K180">
        <f>IF(gescon_infosparticip!J179=FALSE,0,1)</f>
        <v>0</v>
      </c>
      <c r="L180">
        <f>IF(gescon_infosparticip!K179=FALSE,0,1)</f>
        <v>0</v>
      </c>
      <c r="M180">
        <f>IF(gescon_infosparticip!L179=FALSE,0,1)</f>
        <v>1</v>
      </c>
      <c r="N180">
        <f>IF(gescon_infosparticip!M179=FALSE,0,1)</f>
        <v>0</v>
      </c>
      <c r="O180">
        <f>IF(gescon_infosparticip!N179=FALSE,0,1)</f>
        <v>0</v>
      </c>
      <c r="P180">
        <f>IF(gescon_infosparticip!O179=FALSE,0,1)</f>
        <v>0</v>
      </c>
      <c r="Q180">
        <f>IF(gescon_infosparticip!P179=FALSE,0,1)</f>
        <v>1</v>
      </c>
      <c r="R180">
        <f>IF(gescon_infosparticip!Q179=FALSE,0,1)</f>
        <v>0</v>
      </c>
      <c r="S180" t="str">
        <f>gescon_infosparticip!R179</f>
        <v>Supporte les longs trajets en bus Chaise manuelle poussée par l’accompagnant.</v>
      </c>
      <c r="T180" t="str">
        <f>gescon_infosparticip!V179</f>
        <v>aide complète</v>
      </c>
      <c r="U180" t="str">
        <f>gescon_infosparticip!S179</f>
        <v>Yasmine adore l’eau mais elle n’a pas d’autonomie. Elle fait des essais avec  l’anneau flottant, les poids autour des chevilles, et les chaussures de surf.</v>
      </c>
      <c r="V180">
        <f>IF(gescon_infosparticip!U179=FALSE,0,1)</f>
        <v>1</v>
      </c>
      <c r="W180">
        <f>IF(gescon_infosparticip!T179=FALSE,0,1)</f>
        <v>0</v>
      </c>
      <c r="X180" t="str">
        <f>gescon_infosparticip!W179</f>
        <v>Yasmine se couche entre 20h30 et 22h00 selon son état de fatigue. Elle fait une prière avant de s’endormir et écoute souvent de la musique. Elle se réveille généralement entre 6h00 et 7h00.Yasmine dort sur le dos et souvent elle se tourne sur les cotés. Elle dort avec un oreiller paillettes (oreiller rempli avec des graines d’avoine ou d’épeautre) et il faut mettre des coussins à l’intérieur de la barrière et le long du mur pour éviter qu'elle se blesse.</v>
      </c>
      <c r="Y180">
        <f>IF(gescon_infosparticip!X179=FALSE,0,1)</f>
        <v>0</v>
      </c>
      <c r="Z180">
        <f>IF(gescon_infosparticip!Y179=FALSE,0,1)</f>
        <v>0</v>
      </c>
      <c r="AA180">
        <f>IF(gescon_infosparticip!Z179=FALSE,0,1)</f>
        <v>0</v>
      </c>
      <c r="AB180">
        <f>IF(gescon_infosparticip!AA179=FALSE,0,1)</f>
        <v>1</v>
      </c>
      <c r="AC180" t="str">
        <f>gescon_infosparticip!AB179</f>
        <v>Elle s’exprime à l’aide de l’ordinateur, de mimiques et de gestes. Elle dit « ja »pour dire oui et secoue la tête pour dire non. Elle  peut faire un choix en montrant avec sa main 2 ou 3 possibilités offertes. Elle porte aussi des lunettes pendant la journée</v>
      </c>
      <c r="AD180" t="str">
        <f>gescon_infosparticip!AC179</f>
        <v/>
      </c>
      <c r="AE180" t="str">
        <f>gescon_infosparticip!AD179</f>
        <v>Frère : Yannic</v>
      </c>
      <c r="AF180" t="str">
        <f>gescon_infosparticip!AE179</f>
        <v/>
      </c>
      <c r="AG180" t="str">
        <f>gescon_infosparticip!AF179</f>
        <v>Yasmine adore monter à cheval, aller à la piscine, écouter de la musique et regarder la télé. Elle aime lire des livres, faire des jeux avec sa poupée préférée (Thuya) et les marionettes. Elle adore faire des voyages en bus et en train. Yasmine aime faire le lavage à la main.</v>
      </c>
      <c r="AH180" t="str">
        <f>gescon_infosparticip!AG179</f>
        <v/>
      </c>
      <c r="AI180" t="str">
        <f>gescon_infosparticip!BN179</f>
        <v>Un minimum de changement de position selon les disponibilités est très important. On ne peut pas incliner sa chaise.</v>
      </c>
      <c r="AJ180" t="str">
        <f>gescon_infosparticip!BO179</f>
        <v/>
      </c>
    </row>
    <row r="181" spans="2:36" x14ac:dyDescent="0.25">
      <c r="B181">
        <f>gescon_infosparticip!A180</f>
        <v>1306411305</v>
      </c>
      <c r="C181">
        <f>gescon_infosparticip!B180</f>
        <v>42867</v>
      </c>
      <c r="D181">
        <f>gescon_infosparticip!C180</f>
        <v>1231421477</v>
      </c>
      <c r="E181">
        <f>gescon_infosparticip!D180</f>
        <v>0</v>
      </c>
      <c r="F181">
        <f>gescon_infosparticip!E180</f>
        <v>0</v>
      </c>
      <c r="G181">
        <f>gescon_infosparticip!F180</f>
        <v>2146189000</v>
      </c>
      <c r="H181">
        <f>gescon_infosparticip!G180</f>
        <v>1231421477</v>
      </c>
      <c r="I181" t="str">
        <f>gescon_infosparticip!H180</f>
        <v>Géraldine Chapatte (acc) Natacha Terretaz (inf)</v>
      </c>
      <c r="J181">
        <f>IF(gescon_infosparticip!I180=FALSE,0,1)</f>
        <v>1</v>
      </c>
      <c r="K181">
        <f>IF(gescon_infosparticip!J180=FALSE,0,1)</f>
        <v>0</v>
      </c>
      <c r="L181">
        <f>IF(gescon_infosparticip!K180=FALSE,0,1)</f>
        <v>0</v>
      </c>
      <c r="M181">
        <f>IF(gescon_infosparticip!L180=FALSE,0,1)</f>
        <v>0</v>
      </c>
      <c r="N181">
        <f>IF(gescon_infosparticip!M180=FALSE,0,1)</f>
        <v>0</v>
      </c>
      <c r="O181">
        <f>IF(gescon_infosparticip!N180=FALSE,0,1)</f>
        <v>0</v>
      </c>
      <c r="P181">
        <f>IF(gescon_infosparticip!O180=FALSE,0,1)</f>
        <v>0</v>
      </c>
      <c r="Q181">
        <f>IF(gescon_infosparticip!P180=FALSE,0,1)</f>
        <v>0</v>
      </c>
      <c r="R181">
        <f>IF(gescon_infosparticip!Q180=FALSE,0,1)</f>
        <v>1</v>
      </c>
      <c r="S181" t="str">
        <f>gescon_infosparticip!R180</f>
        <v>Peut marcher avec assistance. Elle peut conduire sa chaise,mais dois toujours être accompagnée, mais être attentif au spasmes qui peuvent déclencher des accidents. L'accompagner.</v>
      </c>
      <c r="T181" t="str">
        <f>gescon_infosparticip!V180</f>
        <v>Alexandrine a besoin d'aide pour les vêtements du bas. Bas de contention, chausettes, culotte et protection. Elle est autonome pour le haut.</v>
      </c>
      <c r="U181" t="str">
        <f>gescon_infosparticip!S180</f>
        <v>Ok</v>
      </c>
      <c r="V181">
        <f>IF(gescon_infosparticip!U180=FALSE,0,1)</f>
        <v>0</v>
      </c>
      <c r="W181">
        <f>IF(gescon_infosparticip!T180=FALSE,0,1)</f>
        <v>0</v>
      </c>
      <c r="X181" t="str">
        <f>gescon_infosparticip!W180</f>
        <v>Elle dort sur le dos. Elle a parfois besoin d'une sieste, elle se lève vers 08:00. Autonome pour se tourner dans le lit.</v>
      </c>
      <c r="Y181">
        <f>IF(gescon_infosparticip!X180=FALSE,0,1)</f>
        <v>0</v>
      </c>
      <c r="Z181">
        <f>IF(gescon_infosparticip!Y180=FALSE,0,1)</f>
        <v>0</v>
      </c>
      <c r="AA181">
        <f>IF(gescon_infosparticip!Z180=FALSE,0,1)</f>
        <v>0</v>
      </c>
      <c r="AB181">
        <f>IF(gescon_infosparticip!AA180=FALSE,0,1)</f>
        <v>1</v>
      </c>
      <c r="AC181" t="str">
        <f>gescon_infosparticip!AB180</f>
        <v>Elle parle bien. Alexandrine a tendance à vite s'attacher aux gens. Elle peut être autoritaire, la recardrer si besoin. Elle est autonome pour beaucoup de choses mais il faut la stimuler.</v>
      </c>
      <c r="AD181" t="str">
        <f>gescon_infosparticip!AC180</f>
        <v/>
      </c>
      <c r="AE181" t="str">
        <f>gescon_infosparticip!AD180</f>
        <v>Un frère jumeau Guillaume (laborantin pharmaceutique) et une sœur Pauline.</v>
      </c>
      <c r="AF181" t="str">
        <f>gescon_infosparticip!AE180</f>
        <v/>
      </c>
      <c r="AG181" t="str">
        <f>gescon_infosparticip!AF180</f>
        <v>Elle aime la piscine, la cuisine, les animaux (lui laisser le temps de faire les choses)</v>
      </c>
      <c r="AH181" t="str">
        <f>gescon_infosparticip!AG180</f>
        <v>le Théâtre. Elle n'aime pas les engueulades</v>
      </c>
      <c r="AI181" t="str">
        <f>gescon_infosparticip!BN180</f>
        <v>Elle demande a marcher. Toujours être à 2 pour l'aider</v>
      </c>
      <c r="AJ181" t="str">
        <f>gescon_infosparticip!BO180</f>
        <v>L'encourager à marcher plusieurs fois par jour (environ 3X)</v>
      </c>
    </row>
    <row r="182" spans="2:36" x14ac:dyDescent="0.25">
      <c r="B182">
        <f>gescon_infosparticip!A181</f>
        <v>1306825490</v>
      </c>
      <c r="C182">
        <f>gescon_infosparticip!B181</f>
        <v>42368</v>
      </c>
      <c r="D182">
        <f>gescon_infosparticip!C181</f>
        <v>0</v>
      </c>
      <c r="E182">
        <f>gescon_infosparticip!D181</f>
        <v>0</v>
      </c>
      <c r="F182">
        <f>gescon_infosparticip!E181</f>
        <v>0</v>
      </c>
      <c r="G182">
        <f>gescon_infosparticip!F181</f>
        <v>0</v>
      </c>
      <c r="H182">
        <f>gescon_infosparticip!G181</f>
        <v>0</v>
      </c>
      <c r="I182" t="str">
        <f>gescon_infosparticip!H181</f>
        <v>Test caractères</v>
      </c>
      <c r="J182">
        <f>IF(gescon_infosparticip!I181=FALSE,0,1)</f>
        <v>0</v>
      </c>
      <c r="K182">
        <f>IF(gescon_infosparticip!J181=FALSE,0,1)</f>
        <v>0</v>
      </c>
      <c r="L182">
        <f>IF(gescon_infosparticip!K181=FALSE,0,1)</f>
        <v>0</v>
      </c>
      <c r="M182">
        <f>IF(gescon_infosparticip!L181=FALSE,0,1)</f>
        <v>0</v>
      </c>
      <c r="N182">
        <f>IF(gescon_infosparticip!M181=FALSE,0,1)</f>
        <v>0</v>
      </c>
      <c r="O182">
        <f>IF(gescon_infosparticip!N181=FALSE,0,1)</f>
        <v>0</v>
      </c>
      <c r="P182">
        <f>IF(gescon_infosparticip!O181=FALSE,0,1)</f>
        <v>0</v>
      </c>
      <c r="Q182">
        <f>IF(gescon_infosparticip!P181=FALSE,0,1)</f>
        <v>0</v>
      </c>
      <c r="R182">
        <f>IF(gescon_infosparticip!Q181=FALSE,0,1)</f>
        <v>0</v>
      </c>
      <c r="S182" t="str">
        <f>gescon_infosparticip!R181</f>
        <v>A150wwwwwwwwwwwwwwwwwwwwwwwwwwwwwwwwwwwwwwwwwwwwwwwwwwwwwwwwwwwwwwwwwwwwwwwwwwwwwwwwwwwwwwwwwwwwwwwwwwwwwwwwwwwwwwwwwwwwwwwwwwwwwwwwwwwwwwwwwwwwwwwwwZ</v>
      </c>
      <c r="T182" t="str">
        <f>gescon_infosparticip!V181</f>
        <v>A270wwwwwwwwwwwwwwwwwwwwwwwwwwwwwwwwwwwwwwwwwwwwwwwwwwwwwwwwwwwwwwwwwwwwwwwwwwwwwwwwwwwwwwwwwwwwwwwwwwwwwwwwwwwwwwwwwwwwwwwwwwwwwwwwwwwwwwwwwwwwwwwwwwwwwwwwwwwwwwwwwwwwwwwwwwwwwwwwwwwwwwwwwwwwwwwwwwwwwwwwwwwwwwwwwwwwwwwwwwwwwwwwwwwwwwwwwwwwwwwwwwwwwwwwwwwwwwwwwwwwwwwwwZ</v>
      </c>
      <c r="U182" t="str">
        <f>gescon_infosparticip!S181</f>
        <v>A350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v>
      </c>
      <c r="V182">
        <f>IF(gescon_infosparticip!U181=FALSE,0,1)</f>
        <v>0</v>
      </c>
      <c r="W182">
        <f>IF(gescon_infosparticip!T181=FALSE,0,1)</f>
        <v>1</v>
      </c>
      <c r="X182" t="str">
        <f>gescon_infosparticip!W181</f>
        <v>A740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v>
      </c>
      <c r="Y182">
        <f>IF(gescon_infosparticip!X181=FALSE,0,1)</f>
        <v>0</v>
      </c>
      <c r="Z182">
        <f>IF(gescon_infosparticip!Y181=FALSE,0,1)</f>
        <v>0</v>
      </c>
      <c r="AA182">
        <f>IF(gescon_infosparticip!Z181=FALSE,0,1)</f>
        <v>0</v>
      </c>
      <c r="AB182">
        <f>IF(gescon_infosparticip!AA181=FALSE,0,1)</f>
        <v>0</v>
      </c>
      <c r="AC182" t="str">
        <f>gescon_infosparticip!AB181</f>
        <v>A350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v>
      </c>
      <c r="AD182" t="str">
        <f>gescon_infosparticip!AC181</f>
        <v>A200wwwwwwwwwwwwwwwwwwwwwwwwwwwwwwwwwwwwwwwwwwwwwwwwwwwwwwwwwwwwwwwwwwwwwwwwwwwwwwwwwwwwwwwwwwwwwwwwwwwwwwwwwwwwwwwwwwwwwwwwwwwwwwwwwwwwwwwwwwwwwwwwwwwwwwwwwwwwwwwwwwwwwwwwwwwwwwwwwwwwwwwwwwwwwwwwwwwZ</v>
      </c>
      <c r="AE182" t="str">
        <f>gescon_infosparticip!AD181</f>
        <v>A200wwwwwwwwwwwwwwwwwwwwwwwwwwwwwwwwwwwwwwwwwwwwwwwwwwwwwwwwwwwwwwwwwwwwwwwwwwwwwwwwwwwwwwwwwwwwwwwwwwwwwwwwwwwwwwwwwwwwwwwwwwwwwwwwwwwwwwwwwwwwwwwwwwwwwwwwwwwwwwwwwwwwwwwwwwwwwwwwwwwwwwwwwwwwwwwwwwwZ</v>
      </c>
      <c r="AF182" t="str">
        <f>gescon_infosparticip!AE181</f>
        <v>A150wwwwwwwwwwwwwwwwwwwwwwwwwwwwwwwwwwwwwwwwwwwwwwwwwwwwwwwwwwwwwwwwwwwwwwwwwwwwwwwwwwwwwwwwwwwwwwwwwwwwwwwwwwwwwwwwwwwwwwwwwwwwwwwwwwwwwwwwwwwwwwwwwZ</v>
      </c>
      <c r="AG182" t="str">
        <f>gescon_infosparticip!AF181</f>
        <v>A550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v>
      </c>
      <c r="AH182" t="str">
        <f>gescon_infosparticip!AG181</f>
        <v>A390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B</v>
      </c>
      <c r="AI182" t="str">
        <f>gescon_infosparticip!BN181</f>
        <v>A50wwwwwwwwwwwwwwwwwwwwwwwwwwwwwwwwwwwwwwwwwwwwwwZ</v>
      </c>
      <c r="AJ182" t="str">
        <f>gescon_infosparticip!BO181</f>
        <v>A150wwwwwwwwwwwwwwwwwwwwwwwwwwwwwwwwwwwwwwwwwwwwwwwwwwwwwwwwwwwwwwwwwwwwwwwwwwwwwwwwwwwwwwwwwwwwwwwwwwwwwwwwwwwwwwwwwwwwwwwwwwwwwwwwwwwwwwwwwwwwwwwwwZ</v>
      </c>
    </row>
    <row r="183" spans="2:36" x14ac:dyDescent="0.25">
      <c r="B183">
        <f>gescon_infosparticip!A182</f>
        <v>1307716338</v>
      </c>
      <c r="C183">
        <f>gescon_infosparticip!B182</f>
        <v>40980</v>
      </c>
      <c r="D183">
        <f>gescon_infosparticip!C182</f>
        <v>2092442015</v>
      </c>
      <c r="E183">
        <f>gescon_infosparticip!D182</f>
        <v>0</v>
      </c>
      <c r="F183">
        <f>gescon_infosparticip!E182</f>
        <v>0</v>
      </c>
      <c r="G183">
        <f>gescon_infosparticip!F182</f>
        <v>1434</v>
      </c>
      <c r="H183">
        <f>gescon_infosparticip!G182</f>
        <v>0</v>
      </c>
      <c r="I183" t="str">
        <f>gescon_infosparticip!H182</f>
        <v/>
      </c>
      <c r="J183">
        <f>IF(gescon_infosparticip!I182=FALSE,0,1)</f>
        <v>0</v>
      </c>
      <c r="K183">
        <f>IF(gescon_infosparticip!J182=FALSE,0,1)</f>
        <v>0</v>
      </c>
      <c r="L183">
        <f>IF(gescon_infosparticip!K182=FALSE,0,1)</f>
        <v>0</v>
      </c>
      <c r="M183">
        <f>IF(gescon_infosparticip!L182=FALSE,0,1)</f>
        <v>1</v>
      </c>
      <c r="N183">
        <f>IF(gescon_infosparticip!M182=FALSE,0,1)</f>
        <v>0</v>
      </c>
      <c r="O183">
        <f>IF(gescon_infosparticip!N182=FALSE,0,1)</f>
        <v>1</v>
      </c>
      <c r="P183">
        <f>IF(gescon_infosparticip!O182=FALSE,0,1)</f>
        <v>0</v>
      </c>
      <c r="Q183">
        <f>IF(gescon_infosparticip!P182=FALSE,0,1)</f>
        <v>1</v>
      </c>
      <c r="R183">
        <f>IF(gescon_infosparticip!Q182=FALSE,0,1)</f>
        <v>1</v>
      </c>
      <c r="S183" t="str">
        <f>gescon_infosparticip!R182</f>
        <v>Peu se tenir debout pour les transferts.
Il supporte les trajets en bus.</v>
      </c>
      <c r="T183" t="str">
        <f>gescon_infosparticip!V182</f>
        <v>Il est autonome pour s'habiller.</v>
      </c>
      <c r="U183" t="str">
        <f>gescon_infosparticip!S182</f>
        <v>N'aime pas trop, besoin d'aide, pas de gilet mais le soutenir.</v>
      </c>
      <c r="V183">
        <f>IF(gescon_infosparticip!U182=FALSE,0,1)</f>
        <v>0</v>
      </c>
      <c r="W183">
        <f>IF(gescon_infosparticip!T182=FALSE,0,1)</f>
        <v>0</v>
      </c>
      <c r="X183" t="str">
        <f>gescon_infosparticip!W182</f>
        <v/>
      </c>
      <c r="Y183">
        <f>IF(gescon_infosparticip!X182=FALSE,0,1)</f>
        <v>0</v>
      </c>
      <c r="Z183">
        <f>IF(gescon_infosparticip!Y182=FALSE,0,1)</f>
        <v>0</v>
      </c>
      <c r="AA183">
        <f>IF(gescon_infosparticip!Z182=FALSE,0,1)</f>
        <v>0</v>
      </c>
      <c r="AB183">
        <f>IF(gescon_infosparticip!AA182=FALSE,0,1)</f>
        <v>0</v>
      </c>
      <c r="AC183" t="str">
        <f>gescon_infosparticip!AB182</f>
        <v>Il parle et il a un appareil auditif. Il faut bien articuler quand on lui parle et un peu fort.</v>
      </c>
      <c r="AD183" t="str">
        <f>gescon_infosparticip!AC182</f>
        <v/>
      </c>
      <c r="AE183" t="str">
        <f>gescon_infosparticip!AD182</f>
        <v>René a deux sœurs, deux nièce et une petite nièce.</v>
      </c>
      <c r="AF183" t="str">
        <f>gescon_infosparticip!AE182</f>
        <v/>
      </c>
      <c r="AG183" t="str">
        <f>gescon_infosparticip!AF182</f>
        <v>Ordinateur, la ville, les mots croisés, l'astrologie, discuter, les voyages.</v>
      </c>
      <c r="AH183" t="str">
        <f>gescon_infosparticip!AG182</f>
        <v/>
      </c>
      <c r="AI183" t="str">
        <f>gescon_infosparticip!BN182</f>
        <v/>
      </c>
      <c r="AJ183" t="str">
        <f>gescon_infosparticip!BO182</f>
        <v/>
      </c>
    </row>
    <row r="184" spans="2:36" x14ac:dyDescent="0.25">
      <c r="B184">
        <f>gescon_infosparticip!A183</f>
        <v>1309859639</v>
      </c>
      <c r="C184">
        <f>gescon_infosparticip!B183</f>
        <v>41311</v>
      </c>
      <c r="D184">
        <f>gescon_infosparticip!C183</f>
        <v>0</v>
      </c>
      <c r="E184">
        <f>gescon_infosparticip!D183</f>
        <v>0</v>
      </c>
      <c r="F184">
        <f>gescon_infosparticip!E183</f>
        <v>0</v>
      </c>
      <c r="G184">
        <f>gescon_infosparticip!F183</f>
        <v>0</v>
      </c>
      <c r="H184">
        <f>gescon_infosparticip!G183</f>
        <v>0</v>
      </c>
      <c r="I184" t="str">
        <f>gescon_infosparticip!H183</f>
        <v/>
      </c>
      <c r="J184">
        <f>IF(gescon_infosparticip!I183=FALSE,0,1)</f>
        <v>0</v>
      </c>
      <c r="K184">
        <f>IF(gescon_infosparticip!J183=FALSE,0,1)</f>
        <v>0</v>
      </c>
      <c r="L184">
        <f>IF(gescon_infosparticip!K183=FALSE,0,1)</f>
        <v>0</v>
      </c>
      <c r="M184">
        <f>IF(gescon_infosparticip!L183=FALSE,0,1)</f>
        <v>0</v>
      </c>
      <c r="N184">
        <f>IF(gescon_infosparticip!M183=FALSE,0,1)</f>
        <v>0</v>
      </c>
      <c r="O184">
        <f>IF(gescon_infosparticip!N183=FALSE,0,1)</f>
        <v>0</v>
      </c>
      <c r="P184">
        <f>IF(gescon_infosparticip!O183=FALSE,0,1)</f>
        <v>0</v>
      </c>
      <c r="Q184">
        <f>IF(gescon_infosparticip!P183=FALSE,0,1)</f>
        <v>0</v>
      </c>
      <c r="R184">
        <f>IF(gescon_infosparticip!Q183=FALSE,0,1)</f>
        <v>0</v>
      </c>
      <c r="S184" t="str">
        <f>gescon_infosparticip!R183</f>
        <v/>
      </c>
      <c r="T184" t="str">
        <f>gescon_infosparticip!V183</f>
        <v/>
      </c>
      <c r="U184" t="str">
        <f>gescon_infosparticip!S183</f>
        <v/>
      </c>
      <c r="V184">
        <f>IF(gescon_infosparticip!U183=FALSE,0,1)</f>
        <v>0</v>
      </c>
      <c r="W184">
        <f>IF(gescon_infosparticip!T183=FALSE,0,1)</f>
        <v>0</v>
      </c>
      <c r="X184" t="str">
        <f>gescon_infosparticip!W183</f>
        <v/>
      </c>
      <c r="Y184">
        <f>IF(gescon_infosparticip!X183=FALSE,0,1)</f>
        <v>0</v>
      </c>
      <c r="Z184">
        <f>IF(gescon_infosparticip!Y183=FALSE,0,1)</f>
        <v>0</v>
      </c>
      <c r="AA184">
        <f>IF(gescon_infosparticip!Z183=FALSE,0,1)</f>
        <v>0</v>
      </c>
      <c r="AB184">
        <f>IF(gescon_infosparticip!AA183=FALSE,0,1)</f>
        <v>0</v>
      </c>
      <c r="AC184" t="str">
        <f>gescon_infosparticip!AB183</f>
        <v/>
      </c>
      <c r="AD184" t="str">
        <f>gescon_infosparticip!AC183</f>
        <v/>
      </c>
      <c r="AE184" t="str">
        <f>gescon_infosparticip!AD183</f>
        <v/>
      </c>
      <c r="AF184" t="str">
        <f>gescon_infosparticip!AE183</f>
        <v/>
      </c>
      <c r="AG184" t="str">
        <f>gescon_infosparticip!AF183</f>
        <v/>
      </c>
      <c r="AH184" t="str">
        <f>gescon_infosparticip!AG183</f>
        <v/>
      </c>
      <c r="AI184" t="str">
        <f>gescon_infosparticip!BN183</f>
        <v/>
      </c>
      <c r="AJ184" t="str">
        <f>gescon_infosparticip!BO183</f>
        <v/>
      </c>
    </row>
    <row r="185" spans="2:36" x14ac:dyDescent="0.25">
      <c r="B185">
        <f>gescon_infosparticip!A184</f>
        <v>1315228613</v>
      </c>
      <c r="C185">
        <f>gescon_infosparticip!B184</f>
        <v>42391</v>
      </c>
      <c r="D185">
        <f>gescon_infosparticip!C184</f>
        <v>0</v>
      </c>
      <c r="E185">
        <f>gescon_infosparticip!D184</f>
        <v>0</v>
      </c>
      <c r="F185">
        <f>gescon_infosparticip!E184</f>
        <v>0</v>
      </c>
      <c r="G185">
        <f>gescon_infosparticip!F184</f>
        <v>0</v>
      </c>
      <c r="H185">
        <f>gescon_infosparticip!G184</f>
        <v>0</v>
      </c>
      <c r="I185" t="str">
        <f>gescon_infosparticip!H184</f>
        <v/>
      </c>
      <c r="J185">
        <f>IF(gescon_infosparticip!I184=FALSE,0,1)</f>
        <v>0</v>
      </c>
      <c r="K185">
        <f>IF(gescon_infosparticip!J184=FALSE,0,1)</f>
        <v>0</v>
      </c>
      <c r="L185">
        <f>IF(gescon_infosparticip!K184=FALSE,0,1)</f>
        <v>0</v>
      </c>
      <c r="M185">
        <f>IF(gescon_infosparticip!L184=FALSE,0,1)</f>
        <v>0</v>
      </c>
      <c r="N185">
        <f>IF(gescon_infosparticip!M184=FALSE,0,1)</f>
        <v>0</v>
      </c>
      <c r="O185">
        <f>IF(gescon_infosparticip!N184=FALSE,0,1)</f>
        <v>0</v>
      </c>
      <c r="P185">
        <f>IF(gescon_infosparticip!O184=FALSE,0,1)</f>
        <v>0</v>
      </c>
      <c r="Q185">
        <f>IF(gescon_infosparticip!P184=FALSE,0,1)</f>
        <v>0</v>
      </c>
      <c r="R185">
        <f>IF(gescon_infosparticip!Q184=FALSE,0,1)</f>
        <v>0</v>
      </c>
      <c r="S185" t="str">
        <f>gescon_infosparticip!R184</f>
        <v/>
      </c>
      <c r="T185" t="str">
        <f>gescon_infosparticip!V184</f>
        <v/>
      </c>
      <c r="U185" t="str">
        <f>gescon_infosparticip!S184</f>
        <v/>
      </c>
      <c r="V185">
        <f>IF(gescon_infosparticip!U184=FALSE,0,1)</f>
        <v>0</v>
      </c>
      <c r="W185">
        <f>IF(gescon_infosparticip!T184=FALSE,0,1)</f>
        <v>0</v>
      </c>
      <c r="X185" t="str">
        <f>gescon_infosparticip!W184</f>
        <v/>
      </c>
      <c r="Y185">
        <f>IF(gescon_infosparticip!X184=FALSE,0,1)</f>
        <v>0</v>
      </c>
      <c r="Z185">
        <f>IF(gescon_infosparticip!Y184=FALSE,0,1)</f>
        <v>0</v>
      </c>
      <c r="AA185">
        <f>IF(gescon_infosparticip!Z184=FALSE,0,1)</f>
        <v>0</v>
      </c>
      <c r="AB185">
        <f>IF(gescon_infosparticip!AA184=FALSE,0,1)</f>
        <v>0</v>
      </c>
      <c r="AC185" t="str">
        <f>gescon_infosparticip!AB184</f>
        <v/>
      </c>
      <c r="AD185" t="str">
        <f>gescon_infosparticip!AC184</f>
        <v/>
      </c>
      <c r="AE185" t="str">
        <f>gescon_infosparticip!AD184</f>
        <v/>
      </c>
      <c r="AF185" t="str">
        <f>gescon_infosparticip!AE184</f>
        <v/>
      </c>
      <c r="AG185" t="str">
        <f>gescon_infosparticip!AF184</f>
        <v/>
      </c>
      <c r="AH185" t="str">
        <f>gescon_infosparticip!AG184</f>
        <v/>
      </c>
      <c r="AI185" t="str">
        <f>gescon_infosparticip!BN184</f>
        <v/>
      </c>
      <c r="AJ185" t="str">
        <f>gescon_infosparticip!BO184</f>
        <v/>
      </c>
    </row>
    <row r="186" spans="2:36" x14ac:dyDescent="0.25">
      <c r="B186">
        <f>gescon_infosparticip!A185</f>
        <v>1318585409</v>
      </c>
      <c r="C186">
        <f>gescon_infosparticip!B185</f>
        <v>40878</v>
      </c>
      <c r="D186">
        <f>gescon_infosparticip!C185</f>
        <v>0</v>
      </c>
      <c r="E186">
        <f>gescon_infosparticip!D185</f>
        <v>0</v>
      </c>
      <c r="F186">
        <f>gescon_infosparticip!E185</f>
        <v>0</v>
      </c>
      <c r="G186">
        <f>gescon_infosparticip!F185</f>
        <v>0</v>
      </c>
      <c r="H186">
        <f>gescon_infosparticip!G185</f>
        <v>0</v>
      </c>
      <c r="I186" t="str">
        <f>gescon_infosparticip!H185</f>
        <v/>
      </c>
      <c r="J186">
        <f>IF(gescon_infosparticip!I185=FALSE,0,1)</f>
        <v>0</v>
      </c>
      <c r="K186">
        <f>IF(gescon_infosparticip!J185=FALSE,0,1)</f>
        <v>0</v>
      </c>
      <c r="L186">
        <f>IF(gescon_infosparticip!K185=FALSE,0,1)</f>
        <v>0</v>
      </c>
      <c r="M186">
        <f>IF(gescon_infosparticip!L185=FALSE,0,1)</f>
        <v>0</v>
      </c>
      <c r="N186">
        <f>IF(gescon_infosparticip!M185=FALSE,0,1)</f>
        <v>0</v>
      </c>
      <c r="O186">
        <f>IF(gescon_infosparticip!N185=FALSE,0,1)</f>
        <v>0</v>
      </c>
      <c r="P186">
        <f>IF(gescon_infosparticip!O185=FALSE,0,1)</f>
        <v>0</v>
      </c>
      <c r="Q186">
        <f>IF(gescon_infosparticip!P185=FALSE,0,1)</f>
        <v>0</v>
      </c>
      <c r="R186">
        <f>IF(gescon_infosparticip!Q185=FALSE,0,1)</f>
        <v>0</v>
      </c>
      <c r="S186" t="str">
        <f>gescon_infosparticip!R185</f>
        <v/>
      </c>
      <c r="T186" t="str">
        <f>gescon_infosparticip!V185</f>
        <v/>
      </c>
      <c r="U186" t="str">
        <f>gescon_infosparticip!S185</f>
        <v/>
      </c>
      <c r="V186">
        <f>IF(gescon_infosparticip!U185=FALSE,0,1)</f>
        <v>0</v>
      </c>
      <c r="W186">
        <f>IF(gescon_infosparticip!T185=FALSE,0,1)</f>
        <v>0</v>
      </c>
      <c r="X186" t="str">
        <f>gescon_infosparticip!W185</f>
        <v/>
      </c>
      <c r="Y186">
        <f>IF(gescon_infosparticip!X185=FALSE,0,1)</f>
        <v>0</v>
      </c>
      <c r="Z186">
        <f>IF(gescon_infosparticip!Y185=FALSE,0,1)</f>
        <v>0</v>
      </c>
      <c r="AA186">
        <f>IF(gescon_infosparticip!Z185=FALSE,0,1)</f>
        <v>0</v>
      </c>
      <c r="AB186">
        <f>IF(gescon_infosparticip!AA185=FALSE,0,1)</f>
        <v>0</v>
      </c>
      <c r="AC186" t="str">
        <f>gescon_infosparticip!AB185</f>
        <v/>
      </c>
      <c r="AD186" t="str">
        <f>gescon_infosparticip!AC185</f>
        <v/>
      </c>
      <c r="AE186" t="str">
        <f>gescon_infosparticip!AD185</f>
        <v/>
      </c>
      <c r="AF186" t="str">
        <f>gescon_infosparticip!AE185</f>
        <v/>
      </c>
      <c r="AG186" t="str">
        <f>gescon_infosparticip!AF185</f>
        <v/>
      </c>
      <c r="AH186" t="str">
        <f>gescon_infosparticip!AG185</f>
        <v/>
      </c>
      <c r="AI186" t="str">
        <f>gescon_infosparticip!BN185</f>
        <v/>
      </c>
      <c r="AJ186" t="str">
        <f>gescon_infosparticip!BO185</f>
        <v/>
      </c>
    </row>
    <row r="187" spans="2:36" x14ac:dyDescent="0.25">
      <c r="B187">
        <f>gescon_infosparticip!A186</f>
        <v>1349252291</v>
      </c>
      <c r="C187">
        <f>gescon_infosparticip!B186</f>
        <v>42873</v>
      </c>
      <c r="D187">
        <f>gescon_infosparticip!C186</f>
        <v>2034</v>
      </c>
      <c r="E187">
        <f>gescon_infosparticip!D186</f>
        <v>0</v>
      </c>
      <c r="F187">
        <f>gescon_infosparticip!E186</f>
        <v>0</v>
      </c>
      <c r="G187">
        <f>gescon_infosparticip!F186</f>
        <v>1434</v>
      </c>
      <c r="H187">
        <f>gescon_infosparticip!G186</f>
        <v>2034</v>
      </c>
      <c r="I187" t="str">
        <f>gescon_infosparticip!H186</f>
        <v>Quadranti Yann 079/404.86.02</v>
      </c>
      <c r="J187">
        <f>IF(gescon_infosparticip!I186=FALSE,0,1)</f>
        <v>0</v>
      </c>
      <c r="K187">
        <f>IF(gescon_infosparticip!J186=FALSE,0,1)</f>
        <v>1</v>
      </c>
      <c r="L187">
        <f>IF(gescon_infosparticip!K186=FALSE,0,1)</f>
        <v>0</v>
      </c>
      <c r="M187">
        <f>IF(gescon_infosparticip!L186=FALSE,0,1)</f>
        <v>1</v>
      </c>
      <c r="N187">
        <f>IF(gescon_infosparticip!M186=FALSE,0,1)</f>
        <v>0</v>
      </c>
      <c r="O187">
        <f>IF(gescon_infosparticip!N186=FALSE,0,1)</f>
        <v>0</v>
      </c>
      <c r="P187">
        <f>IF(gescon_infosparticip!O186=FALSE,0,1)</f>
        <v>0</v>
      </c>
      <c r="Q187">
        <f>IF(gescon_infosparticip!P186=FALSE,0,1)</f>
        <v>1</v>
      </c>
      <c r="R187">
        <f>IF(gescon_infosparticip!Q186=FALSE,0,1)</f>
        <v>0</v>
      </c>
      <c r="S187" t="str">
        <f>gescon_infosparticip!R186</f>
        <v>Julien supporte les longs trajets sur un siège du bus. Julien a un moteur dans les roues de son fauteil il faut donc le recharger tous les soirs.</v>
      </c>
      <c r="T187" t="str">
        <f>gescon_infosparticip!V186</f>
        <v>Julien a besoin d'une légère aide pour l'habillement. Toujours mette les affaires à Julien à sa porté et de manière accessible afin qu'il puisse s'habiller seul.</v>
      </c>
      <c r="U187" t="str">
        <f>gescon_infosparticip!S186</f>
        <v>Sortir Julien de sa chaise et le mettre au bord de la piscine. Il faut être à côté de lui lorsqu'il nage, il nage sur le dos.</v>
      </c>
      <c r="V187">
        <f>IF(gescon_infosparticip!U186=FALSE,0,1)</f>
        <v>1</v>
      </c>
      <c r="W187">
        <f>IF(gescon_infosparticip!T186=FALSE,0,1)</f>
        <v>0</v>
      </c>
      <c r="X187" t="str">
        <f>gescon_infosparticip!W186</f>
        <v/>
      </c>
      <c r="Y187">
        <f>IF(gescon_infosparticip!X186=FALSE,0,1)</f>
        <v>0</v>
      </c>
      <c r="Z187">
        <f>IF(gescon_infosparticip!Y186=FALSE,0,1)</f>
        <v>0</v>
      </c>
      <c r="AA187">
        <f>IF(gescon_infosparticip!Z186=FALSE,0,1)</f>
        <v>0</v>
      </c>
      <c r="AB187">
        <f>IF(gescon_infosparticip!AA186=FALSE,0,1)</f>
        <v>0</v>
      </c>
      <c r="AC187" t="str">
        <f>gescon_infosparticip!AB186</f>
        <v>Il s'exprime bien pour tout ce qui est courant : besoins, envies,joies et tristesses.</v>
      </c>
      <c r="AD187" t="str">
        <f>gescon_infosparticip!AC186</f>
        <v/>
      </c>
      <c r="AE187" t="str">
        <f>gescon_infosparticip!AD186</f>
        <v>Céline</v>
      </c>
      <c r="AF187" t="str">
        <f>gescon_infosparticip!AE186</f>
        <v>Thierry, Carole, Sabine, Pierre-Yves, Anne-Françoise, Pierre, Paul</v>
      </c>
      <c r="AG187" t="str">
        <f>gescon_infosparticip!AF186</f>
        <v>Il est très attaché à sa famille. Il a des oncles et des tantes à Genève, à Zürich et à Neuchâtel. Julien aime la musique, la nature, la fête, les amis et le chant. Il aime aussi son travail aux ateliers du Foyer Valais de Cœur à Sierre. Le karaoké. Il fait partie du cœur du Cœur . Julien vit en appartement protégé. Julien fait des concours de natation.</v>
      </c>
      <c r="AH187" t="str">
        <f>gescon_infosparticip!AG186</f>
        <v>Les changements, la nouveauté, les nouveaux accompagnants l'angoissent, mais une fois le pas franchit, tout va bien. Julien gère de mieux en mieux ses angoisses et son trac a diminué.</v>
      </c>
      <c r="AI187" t="str">
        <f>gescon_infosparticip!BN186</f>
        <v>Julien fait une sieste après le repas ou en fonction des activités.</v>
      </c>
      <c r="AJ187" t="str">
        <f>gescon_infosparticip!BO186</f>
        <v/>
      </c>
    </row>
    <row r="188" spans="2:36" x14ac:dyDescent="0.25">
      <c r="B188">
        <f>gescon_infosparticip!A187</f>
        <v>1457402239</v>
      </c>
      <c r="C188">
        <f>gescon_infosparticip!B187</f>
        <v>41059</v>
      </c>
      <c r="D188">
        <f>gescon_infosparticip!C187</f>
        <v>807998366</v>
      </c>
      <c r="E188">
        <f>gescon_infosparticip!D187</f>
        <v>0</v>
      </c>
      <c r="F188">
        <f>gescon_infosparticip!E187</f>
        <v>0</v>
      </c>
      <c r="G188">
        <f>gescon_infosparticip!F187</f>
        <v>0</v>
      </c>
      <c r="H188">
        <f>gescon_infosparticip!G187</f>
        <v>0</v>
      </c>
      <c r="I188" t="str">
        <f>gescon_infosparticip!H187</f>
        <v/>
      </c>
      <c r="J188">
        <f>IF(gescon_infosparticip!I187=FALSE,0,1)</f>
        <v>0</v>
      </c>
      <c r="K188">
        <f>IF(gescon_infosparticip!J187=FALSE,0,1)</f>
        <v>1</v>
      </c>
      <c r="L188">
        <f>IF(gescon_infosparticip!K187=FALSE,0,1)</f>
        <v>0</v>
      </c>
      <c r="M188">
        <f>IF(gescon_infosparticip!L187=FALSE,0,1)</f>
        <v>1</v>
      </c>
      <c r="N188">
        <f>IF(gescon_infosparticip!M187=FALSE,0,1)</f>
        <v>1</v>
      </c>
      <c r="O188">
        <f>IF(gescon_infosparticip!N187=FALSE,0,1)</f>
        <v>0</v>
      </c>
      <c r="P188">
        <f>IF(gescon_infosparticip!O187=FALSE,0,1)</f>
        <v>0</v>
      </c>
      <c r="Q188">
        <f>IF(gescon_infosparticip!P187=FALSE,0,1)</f>
        <v>0</v>
      </c>
      <c r="R188">
        <f>IF(gescon_infosparticip!Q187=FALSE,0,1)</f>
        <v>0</v>
      </c>
      <c r="S188" t="str">
        <f>gescon_infosparticip!R187</f>
        <v>facilement malade en bus et en voiture (vomissement) : la mettre sans autre à l'avant</v>
      </c>
      <c r="T188" t="str">
        <f>gescon_infosparticip!V187</f>
        <v>indépendante, mais faire un contrôle général des habits en fonction du temps</v>
      </c>
      <c r="U188" t="str">
        <f>gescon_infosparticip!S187</f>
        <v>autonome, mais sous surveillance dans le vestiaire car pourrait se promener toute nue</v>
      </c>
      <c r="V188">
        <f>IF(gescon_infosparticip!U187=FALSE,0,1)</f>
        <v>1</v>
      </c>
      <c r="W188">
        <f>IF(gescon_infosparticip!T187=FALSE,0,1)</f>
        <v>0</v>
      </c>
      <c r="X188" t="str">
        <f>gescon_infosparticip!W187</f>
        <v>pas besoin de rituel particulier, lui poser la question car elle sent d'elle-même quand elle est fatiguée</v>
      </c>
      <c r="Y188">
        <f>IF(gescon_infosparticip!X187=FALSE,0,1)</f>
        <v>0</v>
      </c>
      <c r="Z188">
        <f>IF(gescon_infosparticip!Y187=FALSE,0,1)</f>
        <v>0</v>
      </c>
      <c r="AA188">
        <f>IF(gescon_infosparticip!Z187=FALSE,0,1)</f>
        <v>0</v>
      </c>
      <c r="AB188">
        <f>IF(gescon_infosparticip!AA187=FALSE,0,1)</f>
        <v>0</v>
      </c>
      <c r="AC188" t="str">
        <f>gescon_infosparticip!AB187</f>
        <v>langage orale + écrit</v>
      </c>
      <c r="AD188" t="str">
        <f>gescon_infosparticip!AC187</f>
        <v/>
      </c>
      <c r="AE188" t="str">
        <f>gescon_infosparticip!AD187</f>
        <v/>
      </c>
      <c r="AF188" t="str">
        <f>gescon_infosparticip!AE187</f>
        <v/>
      </c>
      <c r="AG188" t="str">
        <f>gescon_infosparticip!AF187</f>
        <v>Se remémorer ses souvenirs, natation, les livres, écouter de la musique, danser, chanter, se reposer, discuter des relations par son job, ses cours de poteries + chant, magasins…</v>
      </c>
      <c r="AH188" t="str">
        <f>gescon_infosparticip!AG187</f>
        <v>les chiens, le contact avec les animaux, les balades sur des chemins cabossés</v>
      </c>
      <c r="AI188" t="str">
        <f>gescon_infosparticip!BN187</f>
        <v/>
      </c>
      <c r="AJ188" t="str">
        <f>gescon_infosparticip!BO187</f>
        <v/>
      </c>
    </row>
    <row r="189" spans="2:36" x14ac:dyDescent="0.25">
      <c r="B189">
        <f>gescon_infosparticip!A188</f>
        <v>1493190852</v>
      </c>
      <c r="C189">
        <f>gescon_infosparticip!B188</f>
        <v>42473</v>
      </c>
      <c r="D189">
        <f>gescon_infosparticip!C188</f>
        <v>0</v>
      </c>
      <c r="E189">
        <f>gescon_infosparticip!D188</f>
        <v>0</v>
      </c>
      <c r="F189">
        <f>gescon_infosparticip!E188</f>
        <v>0</v>
      </c>
      <c r="G189">
        <f>gescon_infosparticip!F188</f>
        <v>0</v>
      </c>
      <c r="H189">
        <f>gescon_infosparticip!G188</f>
        <v>0</v>
      </c>
      <c r="I189" t="str">
        <f>gescon_infosparticip!H188</f>
        <v/>
      </c>
      <c r="J189">
        <f>IF(gescon_infosparticip!I188=FALSE,0,1)</f>
        <v>0</v>
      </c>
      <c r="K189">
        <f>IF(gescon_infosparticip!J188=FALSE,0,1)</f>
        <v>0</v>
      </c>
      <c r="L189">
        <f>IF(gescon_infosparticip!K188=FALSE,0,1)</f>
        <v>0</v>
      </c>
      <c r="M189">
        <f>IF(gescon_infosparticip!L188=FALSE,0,1)</f>
        <v>0</v>
      </c>
      <c r="N189">
        <f>IF(gescon_infosparticip!M188=FALSE,0,1)</f>
        <v>0</v>
      </c>
      <c r="O189">
        <f>IF(gescon_infosparticip!N188=FALSE,0,1)</f>
        <v>0</v>
      </c>
      <c r="P189">
        <f>IF(gescon_infosparticip!O188=FALSE,0,1)</f>
        <v>0</v>
      </c>
      <c r="Q189">
        <f>IF(gescon_infosparticip!P188=FALSE,0,1)</f>
        <v>0</v>
      </c>
      <c r="R189">
        <f>IF(gescon_infosparticip!Q188=FALSE,0,1)</f>
        <v>0</v>
      </c>
      <c r="S189" t="str">
        <f>gescon_infosparticip!R188</f>
        <v/>
      </c>
      <c r="T189" t="str">
        <f>gescon_infosparticip!V188</f>
        <v/>
      </c>
      <c r="U189" t="str">
        <f>gescon_infosparticip!S188</f>
        <v/>
      </c>
      <c r="V189">
        <f>IF(gescon_infosparticip!U188=FALSE,0,1)</f>
        <v>0</v>
      </c>
      <c r="W189">
        <f>IF(gescon_infosparticip!T188=FALSE,0,1)</f>
        <v>0</v>
      </c>
      <c r="X189" t="str">
        <f>gescon_infosparticip!W188</f>
        <v/>
      </c>
      <c r="Y189">
        <f>IF(gescon_infosparticip!X188=FALSE,0,1)</f>
        <v>0</v>
      </c>
      <c r="Z189">
        <f>IF(gescon_infosparticip!Y188=FALSE,0,1)</f>
        <v>0</v>
      </c>
      <c r="AA189">
        <f>IF(gescon_infosparticip!Z188=FALSE,0,1)</f>
        <v>0</v>
      </c>
      <c r="AB189">
        <f>IF(gescon_infosparticip!AA188=FALSE,0,1)</f>
        <v>0</v>
      </c>
      <c r="AC189" t="str">
        <f>gescon_infosparticip!AB188</f>
        <v/>
      </c>
      <c r="AD189" t="str">
        <f>gescon_infosparticip!AC188</f>
        <v/>
      </c>
      <c r="AE189" t="str">
        <f>gescon_infosparticip!AD188</f>
        <v/>
      </c>
      <c r="AF189" t="str">
        <f>gescon_infosparticip!AE188</f>
        <v/>
      </c>
      <c r="AG189" t="str">
        <f>gescon_infosparticip!AF188</f>
        <v/>
      </c>
      <c r="AH189" t="str">
        <f>gescon_infosparticip!AG188</f>
        <v/>
      </c>
      <c r="AI189" t="str">
        <f>gescon_infosparticip!BN188</f>
        <v/>
      </c>
      <c r="AJ189" t="str">
        <f>gescon_infosparticip!BO188</f>
        <v/>
      </c>
    </row>
    <row r="190" spans="2:36" x14ac:dyDescent="0.25">
      <c r="B190">
        <f>gescon_infosparticip!A189</f>
        <v>1540756715</v>
      </c>
      <c r="C190">
        <f>gescon_infosparticip!B189</f>
        <v>42873</v>
      </c>
      <c r="D190">
        <f>gescon_infosparticip!C189</f>
        <v>132</v>
      </c>
      <c r="E190">
        <f>gescon_infosparticip!D189</f>
        <v>0</v>
      </c>
      <c r="F190">
        <f>gescon_infosparticip!E189</f>
        <v>2146189332</v>
      </c>
      <c r="G190">
        <f>gescon_infosparticip!F189</f>
        <v>1434</v>
      </c>
      <c r="H190">
        <f>gescon_infosparticip!G189</f>
        <v>0</v>
      </c>
      <c r="I190" t="str">
        <f>gescon_infosparticip!H189</f>
        <v>Vs de Cœur : Yann Quadranti : 079/404.86.02</v>
      </c>
      <c r="J190">
        <f>IF(gescon_infosparticip!I189=FALSE,0,1)</f>
        <v>0</v>
      </c>
      <c r="K190">
        <f>IF(gescon_infosparticip!J189=FALSE,0,1)</f>
        <v>1</v>
      </c>
      <c r="L190">
        <f>IF(gescon_infosparticip!K189=FALSE,0,1)</f>
        <v>1</v>
      </c>
      <c r="M190">
        <f>IF(gescon_infosparticip!L189=FALSE,0,1)</f>
        <v>0</v>
      </c>
      <c r="N190">
        <f>IF(gescon_infosparticip!M189=FALSE,0,1)</f>
        <v>0</v>
      </c>
      <c r="O190">
        <f>IF(gescon_infosparticip!N189=FALSE,0,1)</f>
        <v>0</v>
      </c>
      <c r="P190">
        <f>IF(gescon_infosparticip!O189=FALSE,0,1)</f>
        <v>0</v>
      </c>
      <c r="Q190">
        <f>IF(gescon_infosparticip!P189=FALSE,0,1)</f>
        <v>1</v>
      </c>
      <c r="R190">
        <f>IF(gescon_infosparticip!Q189=FALSE,0,1)</f>
        <v>1</v>
      </c>
      <c r="S190" t="str">
        <f>gescon_infosparticip!R189</f>
        <v>Supporte les longs trajets en bus ,</v>
      </c>
      <c r="T190" t="str">
        <f>gescon_infosparticip!V189</f>
        <v>Autonome - l'aider à sa demande</v>
      </c>
      <c r="U190" t="str">
        <f>gescon_infosparticip!S189</f>
        <v>Aide totale</v>
      </c>
      <c r="V190">
        <f>IF(gescon_infosparticip!U189=FALSE,0,1)</f>
        <v>1</v>
      </c>
      <c r="W190">
        <f>IF(gescon_infosparticip!T189=FALSE,0,1)</f>
        <v>0</v>
      </c>
      <c r="X190" t="str">
        <f>gescon_infosparticip!W189</f>
        <v>Dort sur le ventre - avec un uriflac (réservoir pour l'urine) A contrôler que l'uriflac soit bien mis sous le ventre dans le même sens que la poche, l'uriflac se situe sur le côté gauche et dépasse de son corps lorsqu'elle est couchée</v>
      </c>
      <c r="Y190">
        <f>IF(gescon_infosparticip!X189=FALSE,0,1)</f>
        <v>0</v>
      </c>
      <c r="Z190">
        <f>IF(gescon_infosparticip!Y189=FALSE,0,1)</f>
        <v>0</v>
      </c>
      <c r="AA190">
        <f>IF(gescon_infosparticip!Z189=FALSE,0,1)</f>
        <v>0</v>
      </c>
      <c r="AB190">
        <f>IF(gescon_infosparticip!AA189=FALSE,0,1)</f>
        <v>0</v>
      </c>
      <c r="AC190" t="str">
        <f>gescon_infosparticip!AB189</f>
        <v>Langage oral</v>
      </c>
      <c r="AD190" t="str">
        <f>gescon_infosparticip!AC189</f>
        <v>-</v>
      </c>
      <c r="AE190" t="str">
        <f>gescon_infosparticip!AD189</f>
        <v>Christel Jordan (sœur)</v>
      </c>
      <c r="AF190" t="str">
        <f>gescon_infosparticip!AE189</f>
        <v>-</v>
      </c>
      <c r="AG190" t="str">
        <f>gescon_infosparticip!AF189</f>
        <v>Elle parle de tout. Elle aime sortir et rencontrer des gens.</v>
      </c>
      <c r="AH190" t="str">
        <f>gescon_infosparticip!AG189</f>
        <v>musée, piscine</v>
      </c>
      <c r="AI190" t="str">
        <f>gescon_infosparticip!BN189</f>
        <v>Changements de position réguliers en s'allongeant sur le lit - aide pour les transferts avec impérativement son coussin sous les fesses</v>
      </c>
      <c r="AJ190" t="str">
        <f>gescon_infosparticip!BO189</f>
        <v>Régulièrement - en s'allongeant  sur le lit. Elle doit se soulever 10 fois ttes les 10 minutes</v>
      </c>
    </row>
    <row r="191" spans="2:36" x14ac:dyDescent="0.25">
      <c r="B191">
        <f>gescon_infosparticip!A190</f>
        <v>1639681950</v>
      </c>
      <c r="C191">
        <f>gescon_infosparticip!B190</f>
        <v>42482</v>
      </c>
      <c r="D191">
        <f>gescon_infosparticip!C190</f>
        <v>0</v>
      </c>
      <c r="E191">
        <f>gescon_infosparticip!D190</f>
        <v>0</v>
      </c>
      <c r="F191">
        <f>gescon_infosparticip!E190</f>
        <v>0</v>
      </c>
      <c r="G191">
        <f>gescon_infosparticip!F190</f>
        <v>0</v>
      </c>
      <c r="H191">
        <f>gescon_infosparticip!G190</f>
        <v>0</v>
      </c>
      <c r="I191" t="str">
        <f>gescon_infosparticip!H190</f>
        <v/>
      </c>
      <c r="J191">
        <f>IF(gescon_infosparticip!I190=FALSE,0,1)</f>
        <v>0</v>
      </c>
      <c r="K191">
        <f>IF(gescon_infosparticip!J190=FALSE,0,1)</f>
        <v>0</v>
      </c>
      <c r="L191">
        <f>IF(gescon_infosparticip!K190=FALSE,0,1)</f>
        <v>0</v>
      </c>
      <c r="M191">
        <f>IF(gescon_infosparticip!L190=FALSE,0,1)</f>
        <v>0</v>
      </c>
      <c r="N191">
        <f>IF(gescon_infosparticip!M190=FALSE,0,1)</f>
        <v>0</v>
      </c>
      <c r="O191">
        <f>IF(gescon_infosparticip!N190=FALSE,0,1)</f>
        <v>0</v>
      </c>
      <c r="P191">
        <f>IF(gescon_infosparticip!O190=FALSE,0,1)</f>
        <v>0</v>
      </c>
      <c r="Q191">
        <f>IF(gescon_infosparticip!P190=FALSE,0,1)</f>
        <v>0</v>
      </c>
      <c r="R191">
        <f>IF(gescon_infosparticip!Q190=FALSE,0,1)</f>
        <v>0</v>
      </c>
      <c r="S191" t="str">
        <f>gescon_infosparticip!R190</f>
        <v/>
      </c>
      <c r="T191" t="str">
        <f>gescon_infosparticip!V190</f>
        <v/>
      </c>
      <c r="U191" t="str">
        <f>gescon_infosparticip!S190</f>
        <v/>
      </c>
      <c r="V191">
        <f>IF(gescon_infosparticip!U190=FALSE,0,1)</f>
        <v>0</v>
      </c>
      <c r="W191">
        <f>IF(gescon_infosparticip!T190=FALSE,0,1)</f>
        <v>0</v>
      </c>
      <c r="X191" t="str">
        <f>gescon_infosparticip!W190</f>
        <v/>
      </c>
      <c r="Y191">
        <f>IF(gescon_infosparticip!X190=FALSE,0,1)</f>
        <v>0</v>
      </c>
      <c r="Z191">
        <f>IF(gescon_infosparticip!Y190=FALSE,0,1)</f>
        <v>0</v>
      </c>
      <c r="AA191">
        <f>IF(gescon_infosparticip!Z190=FALSE,0,1)</f>
        <v>0</v>
      </c>
      <c r="AB191">
        <f>IF(gescon_infosparticip!AA190=FALSE,0,1)</f>
        <v>0</v>
      </c>
      <c r="AC191" t="str">
        <f>gescon_infosparticip!AB190</f>
        <v/>
      </c>
      <c r="AD191" t="str">
        <f>gescon_infosparticip!AC190</f>
        <v/>
      </c>
      <c r="AE191" t="str">
        <f>gescon_infosparticip!AD190</f>
        <v/>
      </c>
      <c r="AF191" t="str">
        <f>gescon_infosparticip!AE190</f>
        <v/>
      </c>
      <c r="AG191" t="str">
        <f>gescon_infosparticip!AF190</f>
        <v/>
      </c>
      <c r="AH191" t="str">
        <f>gescon_infosparticip!AG190</f>
        <v/>
      </c>
      <c r="AI191" t="str">
        <f>gescon_infosparticip!BN190</f>
        <v/>
      </c>
      <c r="AJ191" t="str">
        <f>gescon_infosparticip!BO190</f>
        <v/>
      </c>
    </row>
    <row r="192" spans="2:36" x14ac:dyDescent="0.25">
      <c r="B192">
        <f>gescon_infosparticip!A191</f>
        <v>1674789794</v>
      </c>
      <c r="C192">
        <f>gescon_infosparticip!B191</f>
        <v>42936</v>
      </c>
      <c r="D192">
        <f>gescon_infosparticip!C191</f>
        <v>483875403</v>
      </c>
      <c r="E192">
        <f>gescon_infosparticip!D191</f>
        <v>0</v>
      </c>
      <c r="F192">
        <f>gescon_infosparticip!E191</f>
        <v>0</v>
      </c>
      <c r="G192">
        <f>gescon_infosparticip!F191</f>
        <v>0</v>
      </c>
      <c r="H192">
        <f>gescon_infosparticip!G191</f>
        <v>2146189507</v>
      </c>
      <c r="I192" t="str">
        <f>gescon_infosparticip!H191</f>
        <v/>
      </c>
      <c r="J192">
        <f>IF(gescon_infosparticip!I191=FALSE,0,1)</f>
        <v>0</v>
      </c>
      <c r="K192">
        <f>IF(gescon_infosparticip!J191=FALSE,0,1)</f>
        <v>0</v>
      </c>
      <c r="L192">
        <f>IF(gescon_infosparticip!K191=FALSE,0,1)</f>
        <v>0</v>
      </c>
      <c r="M192">
        <f>IF(gescon_infosparticip!L191=FALSE,0,1)</f>
        <v>1</v>
      </c>
      <c r="N192">
        <f>IF(gescon_infosparticip!M191=FALSE,0,1)</f>
        <v>0</v>
      </c>
      <c r="O192">
        <f>IF(gescon_infosparticip!N191=FALSE,0,1)</f>
        <v>1</v>
      </c>
      <c r="P192">
        <f>IF(gescon_infosparticip!O191=FALSE,0,1)</f>
        <v>0</v>
      </c>
      <c r="Q192">
        <f>IF(gescon_infosparticip!P191=FALSE,0,1)</f>
        <v>1</v>
      </c>
      <c r="R192">
        <f>IF(gescon_infosparticip!Q191=FALSE,0,1)</f>
        <v>1</v>
      </c>
      <c r="S192" t="str">
        <f>gescon_infosparticip!R191</f>
        <v>supporte les longs trajets. Il marche avec un accompagnant.</v>
      </c>
      <c r="T192" t="str">
        <f>gescon_infosparticip!V191</f>
        <v>aide pour l'habillement. Pierre aide selon ses capacités.</v>
      </c>
      <c r="U192" t="str">
        <f>gescon_infosparticip!S191</f>
        <v>Avec accompagnant. Il a besoin de soutien. Il sait mettre la tête dans l’eau, se cacher sous l’eau, souffler. Dans l’eau il se déplace généralement couché sur le dos.</v>
      </c>
      <c r="V192">
        <f>IF(gescon_infosparticip!U191=FALSE,0,1)</f>
        <v>1</v>
      </c>
      <c r="W192">
        <f>IF(gescon_infosparticip!T191=FALSE,0,1)</f>
        <v>0</v>
      </c>
      <c r="X192" t="str">
        <f>gescon_infosparticip!W191</f>
        <v>dort normalement le soir dès 20h00 jusqu'à 7h00</v>
      </c>
      <c r="Y192">
        <f>IF(gescon_infosparticip!X191=FALSE,0,1)</f>
        <v>0</v>
      </c>
      <c r="Z192">
        <f>IF(gescon_infosparticip!Y191=FALSE,0,1)</f>
        <v>0</v>
      </c>
      <c r="AA192">
        <f>IF(gescon_infosparticip!Z191=FALSE,0,1)</f>
        <v>0</v>
      </c>
      <c r="AB192">
        <f>IF(gescon_infosparticip!AA191=FALSE,0,1)</f>
        <v>1</v>
      </c>
      <c r="AC192" t="str">
        <f>gescon_infosparticip!AB191</f>
        <v>Pierre peut s’exprimer par la parole.</v>
      </c>
      <c r="AD192" t="str">
        <f>gescon_infosparticip!AC191</f>
        <v/>
      </c>
      <c r="AE192" t="str">
        <f>gescon_infosparticip!AD191</f>
        <v>Il a un frère qui est mécanicien sur auto au garage Kaspar</v>
      </c>
      <c r="AF192" t="str">
        <f>gescon_infosparticip!AE191</f>
        <v>Il aime être avec Igor et Ivan</v>
      </c>
      <c r="AG192" t="str">
        <f>gescon_infosparticip!AF191</f>
        <v>la musique, le rafroball, le bowling.
Il va à l'école Notre Dame de Lourdes à Sierre. Puis fera des stages à la Castalie à Monthey dans l'atelier bois.</v>
      </c>
      <c r="AH192" t="str">
        <f>gescon_infosparticip!AG191</f>
        <v/>
      </c>
      <c r="AI192" t="str">
        <f>gescon_infosparticip!BN191</f>
        <v>Oui, en adaptant les positions de sa chaise électrique</v>
      </c>
      <c r="AJ192" t="str">
        <f>gescon_infosparticip!BO191</f>
        <v>chaque 2 heures</v>
      </c>
    </row>
    <row r="193" spans="2:36" x14ac:dyDescent="0.25">
      <c r="B193">
        <f>gescon_infosparticip!A192</f>
        <v>1700385237</v>
      </c>
      <c r="C193">
        <f>gescon_infosparticip!B192</f>
        <v>42685</v>
      </c>
      <c r="D193">
        <f>gescon_infosparticip!C192</f>
        <v>0</v>
      </c>
      <c r="E193">
        <f>gescon_infosparticip!D192</f>
        <v>0</v>
      </c>
      <c r="F193">
        <f>gescon_infosparticip!E192</f>
        <v>0</v>
      </c>
      <c r="G193">
        <f>gescon_infosparticip!F192</f>
        <v>0</v>
      </c>
      <c r="H193">
        <f>gescon_infosparticip!G192</f>
        <v>0</v>
      </c>
      <c r="I193" t="str">
        <f>gescon_infosparticip!H192</f>
        <v/>
      </c>
      <c r="J193">
        <f>IF(gescon_infosparticip!I192=FALSE,0,1)</f>
        <v>0</v>
      </c>
      <c r="K193">
        <f>IF(gescon_infosparticip!J192=FALSE,0,1)</f>
        <v>0</v>
      </c>
      <c r="L193">
        <f>IF(gescon_infosparticip!K192=FALSE,0,1)</f>
        <v>0</v>
      </c>
      <c r="M193">
        <f>IF(gescon_infosparticip!L192=FALSE,0,1)</f>
        <v>0</v>
      </c>
      <c r="N193">
        <f>IF(gescon_infosparticip!M192=FALSE,0,1)</f>
        <v>0</v>
      </c>
      <c r="O193">
        <f>IF(gescon_infosparticip!N192=FALSE,0,1)</f>
        <v>0</v>
      </c>
      <c r="P193">
        <f>IF(gescon_infosparticip!O192=FALSE,0,1)</f>
        <v>0</v>
      </c>
      <c r="Q193">
        <f>IF(gescon_infosparticip!P192=FALSE,0,1)</f>
        <v>0</v>
      </c>
      <c r="R193">
        <f>IF(gescon_infosparticip!Q192=FALSE,0,1)</f>
        <v>0</v>
      </c>
      <c r="S193" t="str">
        <f>gescon_infosparticip!R192</f>
        <v/>
      </c>
      <c r="T193" t="str">
        <f>gescon_infosparticip!V192</f>
        <v/>
      </c>
      <c r="U193" t="str">
        <f>gescon_infosparticip!S192</f>
        <v/>
      </c>
      <c r="V193">
        <f>IF(gescon_infosparticip!U192=FALSE,0,1)</f>
        <v>0</v>
      </c>
      <c r="W193">
        <f>IF(gescon_infosparticip!T192=FALSE,0,1)</f>
        <v>0</v>
      </c>
      <c r="X193" t="str">
        <f>gescon_infosparticip!W192</f>
        <v/>
      </c>
      <c r="Y193">
        <f>IF(gescon_infosparticip!X192=FALSE,0,1)</f>
        <v>0</v>
      </c>
      <c r="Z193">
        <f>IF(gescon_infosparticip!Y192=FALSE,0,1)</f>
        <v>0</v>
      </c>
      <c r="AA193">
        <f>IF(gescon_infosparticip!Z192=FALSE,0,1)</f>
        <v>0</v>
      </c>
      <c r="AB193">
        <f>IF(gescon_infosparticip!AA192=FALSE,0,1)</f>
        <v>0</v>
      </c>
      <c r="AC193" t="str">
        <f>gescon_infosparticip!AB192</f>
        <v/>
      </c>
      <c r="AD193" t="str">
        <f>gescon_infosparticip!AC192</f>
        <v/>
      </c>
      <c r="AE193" t="str">
        <f>gescon_infosparticip!AD192</f>
        <v/>
      </c>
      <c r="AF193" t="str">
        <f>gescon_infosparticip!AE192</f>
        <v/>
      </c>
      <c r="AG193" t="str">
        <f>gescon_infosparticip!AF192</f>
        <v/>
      </c>
      <c r="AH193" t="str">
        <f>gescon_infosparticip!AG192</f>
        <v/>
      </c>
      <c r="AI193" t="str">
        <f>gescon_infosparticip!BN192</f>
        <v/>
      </c>
      <c r="AJ193" t="str">
        <f>gescon_infosparticip!BO192</f>
        <v/>
      </c>
    </row>
    <row r="194" spans="2:36" x14ac:dyDescent="0.25">
      <c r="B194">
        <f>gescon_infosparticip!A193</f>
        <v>1730687754</v>
      </c>
      <c r="C194">
        <f>gescon_infosparticip!B193</f>
        <v>42852</v>
      </c>
      <c r="D194">
        <f>gescon_infosparticip!C193</f>
        <v>145</v>
      </c>
      <c r="E194">
        <f>gescon_infosparticip!D193</f>
        <v>0</v>
      </c>
      <c r="F194">
        <f>gescon_infosparticip!E193</f>
        <v>0</v>
      </c>
      <c r="G194">
        <f>gescon_infosparticip!F193</f>
        <v>0</v>
      </c>
      <c r="H194">
        <f>gescon_infosparticip!G193</f>
        <v>2146189245</v>
      </c>
      <c r="I194" t="str">
        <f>gescon_infosparticip!H193</f>
        <v/>
      </c>
      <c r="J194">
        <f>IF(gescon_infosparticip!I193=FALSE,0,1)</f>
        <v>1</v>
      </c>
      <c r="K194">
        <f>IF(gescon_infosparticip!J193=FALSE,0,1)</f>
        <v>0</v>
      </c>
      <c r="L194">
        <f>IF(gescon_infosparticip!K193=FALSE,0,1)</f>
        <v>0</v>
      </c>
      <c r="M194">
        <f>IF(gescon_infosparticip!L193=FALSE,0,1)</f>
        <v>0</v>
      </c>
      <c r="N194">
        <f>IF(gescon_infosparticip!M193=FALSE,0,1)</f>
        <v>0</v>
      </c>
      <c r="O194">
        <f>IF(gescon_infosparticip!N193=FALSE,0,1)</f>
        <v>0</v>
      </c>
      <c r="P194">
        <f>IF(gescon_infosparticip!O193=FALSE,0,1)</f>
        <v>0</v>
      </c>
      <c r="Q194">
        <f>IF(gescon_infosparticip!P193=FALSE,0,1)</f>
        <v>1</v>
      </c>
      <c r="R194">
        <f>IF(gescon_infosparticip!Q193=FALSE,0,1)</f>
        <v>1</v>
      </c>
      <c r="S194" t="str">
        <f>gescon_infosparticip!R193</f>
        <v>Lionel supporte les longs trajets en bus.</v>
      </c>
      <c r="T194" t="str">
        <f>gescon_infosparticip!V193</f>
        <v>aide</v>
      </c>
      <c r="U194" t="str">
        <f>gescon_infosparticip!S193</f>
        <v>Il a besoin d'aide pour rentrer dans la piscine.</v>
      </c>
      <c r="V194">
        <f>IF(gescon_infosparticip!U193=FALSE,0,1)</f>
        <v>1</v>
      </c>
      <c r="W194">
        <f>IF(gescon_infosparticip!T193=FALSE,0,1)</f>
        <v>0</v>
      </c>
      <c r="X194" t="str">
        <f>gescon_infosparticip!W193</f>
        <v>Pour le sommeil, voir avec Lionel</v>
      </c>
      <c r="Y194">
        <f>IF(gescon_infosparticip!X193=FALSE,0,1)</f>
        <v>0</v>
      </c>
      <c r="Z194">
        <f>IF(gescon_infosparticip!Y193=FALSE,0,1)</f>
        <v>0</v>
      </c>
      <c r="AA194">
        <f>IF(gescon_infosparticip!Z193=FALSE,0,1)</f>
        <v>0</v>
      </c>
      <c r="AB194">
        <f>IF(gescon_infosparticip!AA193=FALSE,0,1)</f>
        <v>0</v>
      </c>
      <c r="AC194" t="str">
        <f>gescon_infosparticip!AB193</f>
        <v>oral</v>
      </c>
      <c r="AD194" t="str">
        <f>gescon_infosparticip!AC193</f>
        <v/>
      </c>
      <c r="AE194" t="str">
        <f>gescon_infosparticip!AD193</f>
        <v/>
      </c>
      <c r="AF194" t="str">
        <f>gescon_infosparticip!AE193</f>
        <v/>
      </c>
      <c r="AG194" t="str">
        <f>gescon_infosparticip!AF193</f>
        <v>Lionel aime bien participer aux activités de Sport-Handicap, regarder des match de football et aller au cinéma.</v>
      </c>
      <c r="AH194" t="str">
        <f>gescon_infosparticip!AG193</f>
        <v>.</v>
      </c>
      <c r="AI194" t="str">
        <f>gescon_infosparticip!BN193</f>
        <v/>
      </c>
      <c r="AJ194" t="str">
        <f>gescon_infosparticip!BO193</f>
        <v/>
      </c>
    </row>
    <row r="195" spans="2:36" x14ac:dyDescent="0.25">
      <c r="B195">
        <f>gescon_infosparticip!A194</f>
        <v>1844045075</v>
      </c>
      <c r="C195">
        <f>gescon_infosparticip!B194</f>
        <v>42852</v>
      </c>
      <c r="D195">
        <f>gescon_infosparticip!C194</f>
        <v>77</v>
      </c>
      <c r="E195">
        <f>gescon_infosparticip!D194</f>
        <v>0</v>
      </c>
      <c r="F195">
        <f>gescon_infosparticip!E194</f>
        <v>0</v>
      </c>
      <c r="G195">
        <f>gescon_infosparticip!F194</f>
        <v>1424</v>
      </c>
      <c r="H195">
        <f>gescon_infosparticip!G194</f>
        <v>0</v>
      </c>
      <c r="I195" t="str">
        <f>gescon_infosparticip!H194</f>
        <v>B4 - 024 473 51 44 Lurdes Rossman</v>
      </c>
      <c r="J195">
        <f>IF(gescon_infosparticip!I194=FALSE,0,1)</f>
        <v>0</v>
      </c>
      <c r="K195">
        <f>IF(gescon_infosparticip!J194=FALSE,0,1)</f>
        <v>0</v>
      </c>
      <c r="L195">
        <f>IF(gescon_infosparticip!K194=FALSE,0,1)</f>
        <v>0</v>
      </c>
      <c r="M195">
        <f>IF(gescon_infosparticip!L194=FALSE,0,1)</f>
        <v>1</v>
      </c>
      <c r="N195">
        <f>IF(gescon_infosparticip!M194=FALSE,0,1)</f>
        <v>0</v>
      </c>
      <c r="O195">
        <f>IF(gescon_infosparticip!N194=FALSE,0,1)</f>
        <v>0</v>
      </c>
      <c r="P195">
        <f>IF(gescon_infosparticip!O194=FALSE,0,1)</f>
        <v>0</v>
      </c>
      <c r="Q195">
        <f>IF(gescon_infosparticip!P194=FALSE,0,1)</f>
        <v>1</v>
      </c>
      <c r="R195">
        <f>IF(gescon_infosparticip!Q194=FALSE,0,1)</f>
        <v>0</v>
      </c>
      <c r="S195" t="str">
        <f>gescon_infosparticip!R194</f>
        <v>fauteuil manuel, inclinaison totale</v>
      </c>
      <c r="T195" t="str">
        <f>gescon_infosparticip!V194</f>
        <v/>
      </c>
      <c r="U195" t="str">
        <f>gescon_infosparticip!S194</f>
        <v>Aime pas trop la piscine, s’angoisse très vite, lui laisser le choix</v>
      </c>
      <c r="V195">
        <f>IF(gescon_infosparticip!U194=FALSE,0,1)</f>
        <v>1</v>
      </c>
      <c r="W195">
        <f>IF(gescon_infosparticip!T194=FALSE,0,1)</f>
        <v>0</v>
      </c>
      <c r="X195" t="str">
        <f>gescon_infosparticip!W194</f>
        <v>pas de problème, dort sur le dos avec la banane sous les jambes</v>
      </c>
      <c r="Y195">
        <f>IF(gescon_infosparticip!X194=FALSE,0,1)</f>
        <v>0</v>
      </c>
      <c r="Z195">
        <f>IF(gescon_infosparticip!Y194=FALSE,0,1)</f>
        <v>0</v>
      </c>
      <c r="AA195">
        <f>IF(gescon_infosparticip!Z194=FALSE,0,1)</f>
        <v>0</v>
      </c>
      <c r="AB195">
        <f>IF(gescon_infosparticip!AA194=FALSE,0,1)</f>
        <v>1</v>
      </c>
      <c r="AC195" t="str">
        <f>gescon_infosparticip!AB194</f>
        <v>Parle et demande si elle a besoin de quelque chose</v>
      </c>
      <c r="AD195" t="str">
        <f>gescon_infosparticip!AC194</f>
        <v/>
      </c>
      <c r="AE195" t="str">
        <f>gescon_infosparticip!AD194</f>
        <v>Elle a 2 sœurs une de 1968 et l’autre de 1972, Antonia et Esther.</v>
      </c>
      <c r="AF195" t="str">
        <f>gescon_infosparticip!AE194</f>
        <v/>
      </c>
      <c r="AG195" t="str">
        <f>gescon_infosparticip!AF194</f>
        <v>Aime tout, très motivée par son travail à l’atelier (tricotin). Aime sortir faire du shopping. Adore manger au restaurant
Aime les bijoux et adore la musique.</v>
      </c>
      <c r="AH195" t="str">
        <f>gescon_infosparticip!AG194</f>
        <v/>
      </c>
      <c r="AI195" t="str">
        <f>gescon_infosparticip!BN194</f>
        <v/>
      </c>
      <c r="AJ195" t="str">
        <f>gescon_infosparticip!BO194</f>
        <v/>
      </c>
    </row>
    <row r="196" spans="2:36" x14ac:dyDescent="0.25">
      <c r="B196">
        <f>gescon_infosparticip!A195</f>
        <v>1855965489</v>
      </c>
      <c r="C196">
        <f>gescon_infosparticip!B195</f>
        <v>42895</v>
      </c>
      <c r="D196">
        <f>gescon_infosparticip!C195</f>
        <v>-1886495760</v>
      </c>
      <c r="E196">
        <f>gescon_infosparticip!D195</f>
        <v>0</v>
      </c>
      <c r="F196">
        <f>gescon_infosparticip!E195</f>
        <v>-1886495760</v>
      </c>
      <c r="G196">
        <f>gescon_infosparticip!F195</f>
        <v>1434</v>
      </c>
      <c r="H196">
        <f>gescon_infosparticip!G195</f>
        <v>-1886495760</v>
      </c>
      <c r="I196" t="str">
        <f>gescon_infosparticip!H195</f>
        <v>Valais de Cœur - Danaëlle Savioz - Sophie Delavy</v>
      </c>
      <c r="J196">
        <f>IF(gescon_infosparticip!I195=FALSE,0,1)</f>
        <v>1</v>
      </c>
      <c r="K196">
        <f>IF(gescon_infosparticip!J195=FALSE,0,1)</f>
        <v>1</v>
      </c>
      <c r="L196">
        <f>IF(gescon_infosparticip!K195=FALSE,0,1)</f>
        <v>0</v>
      </c>
      <c r="M196">
        <f>IF(gescon_infosparticip!L195=FALSE,0,1)</f>
        <v>0</v>
      </c>
      <c r="N196">
        <f>IF(gescon_infosparticip!M195=FALSE,0,1)</f>
        <v>0</v>
      </c>
      <c r="O196">
        <f>IF(gescon_infosparticip!N195=FALSE,0,1)</f>
        <v>0</v>
      </c>
      <c r="P196">
        <f>IF(gescon_infosparticip!O195=FALSE,0,1)</f>
        <v>0</v>
      </c>
      <c r="Q196">
        <f>IF(gescon_infosparticip!P195=FALSE,0,1)</f>
        <v>0</v>
      </c>
      <c r="R196">
        <f>IF(gescon_infosparticip!Q195=FALSE,0,1)</f>
        <v>1</v>
      </c>
      <c r="S196" t="str">
        <f>gescon_infosparticip!R195</f>
        <v>Supporte les longs trajets en bus</v>
      </c>
      <c r="T196" t="str">
        <f>gescon_infosparticip!V195</f>
        <v>Aide totale: faire attention en mettant les chaussures afin qu'il n'ait pas les orteils recroquevillés</v>
      </c>
      <c r="U196" t="str">
        <f>gescon_infosparticip!S195</f>
        <v>Il aime mais uniquement l'eau tiède. Avec les palmes et les manchons, il se débrouille seul.</v>
      </c>
      <c r="V196">
        <f>IF(gescon_infosparticip!U195=FALSE,0,1)</f>
        <v>1</v>
      </c>
      <c r="W196">
        <f>IF(gescon_infosparticip!T195=FALSE,0,1)</f>
        <v>0</v>
      </c>
      <c r="X196" t="str">
        <f>gescon_infosparticip!W195</f>
        <v>Prévoir un lit large - ne bouge pas, lui mettre un coussin sous les genoux et la tête. Pas de rituel particulier : selon son envie et le programme. Peut veiller tard et aime faire la grasse matinée.</v>
      </c>
      <c r="Y196">
        <f>IF(gescon_infosparticip!X195=FALSE,0,1)</f>
        <v>0</v>
      </c>
      <c r="Z196">
        <f>IF(gescon_infosparticip!Y195=FALSE,0,1)</f>
        <v>0</v>
      </c>
      <c r="AA196">
        <f>IF(gescon_infosparticip!Z195=FALSE,0,1)</f>
        <v>0</v>
      </c>
      <c r="AB196">
        <f>IF(gescon_infosparticip!AA195=FALSE,0,1)</f>
        <v>0</v>
      </c>
      <c r="AC196" t="str">
        <f>gescon_infosparticip!AB195</f>
        <v>Langage oral - S'exprime seul - bavard et a beaucoup d'humour. Il parle lentement</v>
      </c>
      <c r="AD196" t="str">
        <f>gescon_infosparticip!AC195</f>
        <v/>
      </c>
      <c r="AE196" t="str">
        <f>gescon_infosparticip!AD195</f>
        <v>un frère
un neveu et une nièce dont il est le parrain et une belle-sœur</v>
      </c>
      <c r="AF196" t="str">
        <f>gescon_infosparticip!AE195</f>
        <v/>
      </c>
      <c r="AG196" t="str">
        <f>gescon_infosparticip!AF195</f>
        <v>Parle volontiers de ses intérêts</v>
      </c>
      <c r="AH196" t="str">
        <f>gescon_infosparticip!AG195</f>
        <v>Grande peur des chiens</v>
      </c>
      <c r="AI196" t="str">
        <f>gescon_infosparticip!BN195</f>
        <v>oui - son fauteuil s'incline et a une chaise pliable "parapluie" pour des changements à l'extérieur. Position spéciale : sur le dos avec un coussin sou les genoux et bien le redresser (à 1/2 assis) afin de lui permettre d'expectorer</v>
      </c>
      <c r="AJ196" t="str">
        <f>gescon_infosparticip!BO195</f>
        <v>min. une fois par jour</v>
      </c>
    </row>
    <row r="197" spans="2:36" x14ac:dyDescent="0.25">
      <c r="B197">
        <f>gescon_infosparticip!A196</f>
        <v>1884143596</v>
      </c>
      <c r="C197">
        <f>gescon_infosparticip!B196</f>
        <v>42888</v>
      </c>
      <c r="D197">
        <f>gescon_infosparticip!C196</f>
        <v>0</v>
      </c>
      <c r="E197">
        <f>gescon_infosparticip!D196</f>
        <v>0</v>
      </c>
      <c r="F197">
        <f>gescon_infosparticip!E196</f>
        <v>0</v>
      </c>
      <c r="G197">
        <f>gescon_infosparticip!F196</f>
        <v>0</v>
      </c>
      <c r="H197">
        <f>gescon_infosparticip!G196</f>
        <v>0</v>
      </c>
      <c r="I197" t="str">
        <f>gescon_infosparticip!H196</f>
        <v/>
      </c>
      <c r="J197">
        <f>IF(gescon_infosparticip!I196=FALSE,0,1)</f>
        <v>0</v>
      </c>
      <c r="K197">
        <f>IF(gescon_infosparticip!J196=FALSE,0,1)</f>
        <v>0</v>
      </c>
      <c r="L197">
        <f>IF(gescon_infosparticip!K196=FALSE,0,1)</f>
        <v>0</v>
      </c>
      <c r="M197">
        <f>IF(gescon_infosparticip!L196=FALSE,0,1)</f>
        <v>0</v>
      </c>
      <c r="N197">
        <f>IF(gescon_infosparticip!M196=FALSE,0,1)</f>
        <v>0</v>
      </c>
      <c r="O197">
        <f>IF(gescon_infosparticip!N196=FALSE,0,1)</f>
        <v>0</v>
      </c>
      <c r="P197">
        <f>IF(gescon_infosparticip!O196=FALSE,0,1)</f>
        <v>0</v>
      </c>
      <c r="Q197">
        <f>IF(gescon_infosparticip!P196=FALSE,0,1)</f>
        <v>0</v>
      </c>
      <c r="R197">
        <f>IF(gescon_infosparticip!Q196=FALSE,0,1)</f>
        <v>0</v>
      </c>
      <c r="S197" t="str">
        <f>gescon_infosparticip!R196</f>
        <v/>
      </c>
      <c r="T197" t="str">
        <f>gescon_infosparticip!V196</f>
        <v/>
      </c>
      <c r="U197" t="str">
        <f>gescon_infosparticip!S196</f>
        <v/>
      </c>
      <c r="V197">
        <f>IF(gescon_infosparticip!U196=FALSE,0,1)</f>
        <v>0</v>
      </c>
      <c r="W197">
        <f>IF(gescon_infosparticip!T196=FALSE,0,1)</f>
        <v>0</v>
      </c>
      <c r="X197" t="str">
        <f>gescon_infosparticip!W196</f>
        <v/>
      </c>
      <c r="Y197">
        <f>IF(gescon_infosparticip!X196=FALSE,0,1)</f>
        <v>0</v>
      </c>
      <c r="Z197">
        <f>IF(gescon_infosparticip!Y196=FALSE,0,1)</f>
        <v>0</v>
      </c>
      <c r="AA197">
        <f>IF(gescon_infosparticip!Z196=FALSE,0,1)</f>
        <v>0</v>
      </c>
      <c r="AB197">
        <f>IF(gescon_infosparticip!AA196=FALSE,0,1)</f>
        <v>0</v>
      </c>
      <c r="AC197" t="str">
        <f>gescon_infosparticip!AB196</f>
        <v/>
      </c>
      <c r="AD197" t="str">
        <f>gescon_infosparticip!AC196</f>
        <v/>
      </c>
      <c r="AE197" t="str">
        <f>gescon_infosparticip!AD196</f>
        <v/>
      </c>
      <c r="AF197" t="str">
        <f>gescon_infosparticip!AE196</f>
        <v/>
      </c>
      <c r="AG197" t="str">
        <f>gescon_infosparticip!AF196</f>
        <v/>
      </c>
      <c r="AH197" t="str">
        <f>gescon_infosparticip!AG196</f>
        <v/>
      </c>
      <c r="AI197" t="str">
        <f>gescon_infosparticip!BN196</f>
        <v/>
      </c>
      <c r="AJ197" t="str">
        <f>gescon_infosparticip!BO196</f>
        <v/>
      </c>
    </row>
    <row r="198" spans="2:36" x14ac:dyDescent="0.25">
      <c r="B198">
        <f>gescon_infosparticip!A197</f>
        <v>1925632802</v>
      </c>
      <c r="C198">
        <f>gescon_infosparticip!B197</f>
        <v>42503</v>
      </c>
      <c r="D198">
        <f>gescon_infosparticip!C197</f>
        <v>0</v>
      </c>
      <c r="E198">
        <f>gescon_infosparticip!D197</f>
        <v>0</v>
      </c>
      <c r="F198">
        <f>gescon_infosparticip!E197</f>
        <v>0</v>
      </c>
      <c r="G198">
        <f>gescon_infosparticip!F197</f>
        <v>0</v>
      </c>
      <c r="H198">
        <f>gescon_infosparticip!G197</f>
        <v>0</v>
      </c>
      <c r="I198" t="str">
        <f>gescon_infosparticip!H197</f>
        <v/>
      </c>
      <c r="J198">
        <f>IF(gescon_infosparticip!I197=FALSE,0,1)</f>
        <v>0</v>
      </c>
      <c r="K198">
        <f>IF(gescon_infosparticip!J197=FALSE,0,1)</f>
        <v>0</v>
      </c>
      <c r="L198">
        <f>IF(gescon_infosparticip!K197=FALSE,0,1)</f>
        <v>0</v>
      </c>
      <c r="M198">
        <f>IF(gescon_infosparticip!L197=FALSE,0,1)</f>
        <v>0</v>
      </c>
      <c r="N198">
        <f>IF(gescon_infosparticip!M197=FALSE,0,1)</f>
        <v>0</v>
      </c>
      <c r="O198">
        <f>IF(gescon_infosparticip!N197=FALSE,0,1)</f>
        <v>0</v>
      </c>
      <c r="P198">
        <f>IF(gescon_infosparticip!O197=FALSE,0,1)</f>
        <v>0</v>
      </c>
      <c r="Q198">
        <f>IF(gescon_infosparticip!P197=FALSE,0,1)</f>
        <v>0</v>
      </c>
      <c r="R198">
        <f>IF(gescon_infosparticip!Q197=FALSE,0,1)</f>
        <v>0</v>
      </c>
      <c r="S198" t="str">
        <f>gescon_infosparticip!R197</f>
        <v/>
      </c>
      <c r="T198" t="str">
        <f>gescon_infosparticip!V197</f>
        <v/>
      </c>
      <c r="U198" t="str">
        <f>gescon_infosparticip!S197</f>
        <v/>
      </c>
      <c r="V198">
        <f>IF(gescon_infosparticip!U197=FALSE,0,1)</f>
        <v>0</v>
      </c>
      <c r="W198">
        <f>IF(gescon_infosparticip!T197=FALSE,0,1)</f>
        <v>0</v>
      </c>
      <c r="X198" t="str">
        <f>gescon_infosparticip!W197</f>
        <v/>
      </c>
      <c r="Y198">
        <f>IF(gescon_infosparticip!X197=FALSE,0,1)</f>
        <v>0</v>
      </c>
      <c r="Z198">
        <f>IF(gescon_infosparticip!Y197=FALSE,0,1)</f>
        <v>0</v>
      </c>
      <c r="AA198">
        <f>IF(gescon_infosparticip!Z197=FALSE,0,1)</f>
        <v>0</v>
      </c>
      <c r="AB198">
        <f>IF(gescon_infosparticip!AA197=FALSE,0,1)</f>
        <v>0</v>
      </c>
      <c r="AC198" t="str">
        <f>gescon_infosparticip!AB197</f>
        <v/>
      </c>
      <c r="AD198" t="str">
        <f>gescon_infosparticip!AC197</f>
        <v/>
      </c>
      <c r="AE198" t="str">
        <f>gescon_infosparticip!AD197</f>
        <v/>
      </c>
      <c r="AF198" t="str">
        <f>gescon_infosparticip!AE197</f>
        <v/>
      </c>
      <c r="AG198" t="str">
        <f>gescon_infosparticip!AF197</f>
        <v/>
      </c>
      <c r="AH198" t="str">
        <f>gescon_infosparticip!AG197</f>
        <v/>
      </c>
      <c r="AI198" t="str">
        <f>gescon_infosparticip!BN197</f>
        <v/>
      </c>
      <c r="AJ198" t="str">
        <f>gescon_infosparticip!BO197</f>
        <v/>
      </c>
    </row>
    <row r="199" spans="2:36" x14ac:dyDescent="0.25">
      <c r="B199">
        <f>gescon_infosparticip!A198</f>
        <v>1958467881</v>
      </c>
      <c r="C199">
        <f>gescon_infosparticip!B198</f>
        <v>42933</v>
      </c>
      <c r="D199">
        <f>gescon_infosparticip!C198</f>
        <v>1067942828</v>
      </c>
      <c r="E199">
        <f>gescon_infosparticip!D198</f>
        <v>0</v>
      </c>
      <c r="F199">
        <f>gescon_infosparticip!E198</f>
        <v>0</v>
      </c>
      <c r="G199">
        <f>gescon_infosparticip!F198</f>
        <v>0</v>
      </c>
      <c r="H199">
        <f>gescon_infosparticip!G198</f>
        <v>0</v>
      </c>
      <c r="I199" t="str">
        <f>gescon_infosparticip!H198</f>
        <v/>
      </c>
      <c r="J199">
        <f>IF(gescon_infosparticip!I198=FALSE,0,1)</f>
        <v>0</v>
      </c>
      <c r="K199">
        <f>IF(gescon_infosparticip!J198=FALSE,0,1)</f>
        <v>1</v>
      </c>
      <c r="L199">
        <f>IF(gescon_infosparticip!K198=FALSE,0,1)</f>
        <v>1</v>
      </c>
      <c r="M199">
        <f>IF(gescon_infosparticip!L198=FALSE,0,1)</f>
        <v>0</v>
      </c>
      <c r="N199">
        <f>IF(gescon_infosparticip!M198=FALSE,0,1)</f>
        <v>1</v>
      </c>
      <c r="O199">
        <f>IF(gescon_infosparticip!N198=FALSE,0,1)</f>
        <v>0</v>
      </c>
      <c r="P199">
        <f>IF(gescon_infosparticip!O198=FALSE,0,1)</f>
        <v>1</v>
      </c>
      <c r="Q199">
        <f>IF(gescon_infosparticip!P198=FALSE,0,1)</f>
        <v>1</v>
      </c>
      <c r="R199">
        <f>IF(gescon_infosparticip!Q198=FALSE,0,1)</f>
        <v>0</v>
      </c>
      <c r="S199" t="str">
        <f>gescon_infosparticip!R198</f>
        <v>supporte les longs trajets en bus. Jérémy utilise une marchette ou des cannes. Pour les longs trajets, utiliser la chaise roulante. En donnant la main ou en s'appuyant contre un mur, il arrive à se déplacer sur les jambes. Doit pas se déplacer à 4 pattes</v>
      </c>
      <c r="T199" t="str">
        <f>gescon_infosparticip!V198</f>
        <v>à surveiller ou guider. Il a besoin d’aide pour nettoyer les lunettes. Il se déshabille seul et a besoin d'aide pour mettre les chaussettes, les chaussures atèles, fermer le pantalon et fermer sa veste. Pour le haut du corps, il arrive à mettre son pull.</v>
      </c>
      <c r="U199" t="str">
        <f>gescon_infosparticip!S198</f>
        <v>Gilet flottant si trop profond ou si fatigue de Jérémy. Il aime beaucoup l’eau, il patauge et nage sur le dos.</v>
      </c>
      <c r="V199">
        <f>IF(gescon_infosparticip!U198=FALSE,0,1)</f>
        <v>1</v>
      </c>
      <c r="W199">
        <f>IF(gescon_infosparticip!T198=FALSE,0,1)</f>
        <v>1</v>
      </c>
      <c r="X199" t="str">
        <f>gescon_infosparticip!W198</f>
        <v>Il n’a pas de position spéciale, il dort entre 9 et 10 heures par nuit.</v>
      </c>
      <c r="Y199">
        <f>IF(gescon_infosparticip!X198=FALSE,0,1)</f>
        <v>0</v>
      </c>
      <c r="Z199">
        <f>IF(gescon_infosparticip!Y198=FALSE,0,1)</f>
        <v>0</v>
      </c>
      <c r="AA199">
        <f>IF(gescon_infosparticip!Z198=FALSE,0,1)</f>
        <v>0</v>
      </c>
      <c r="AB199">
        <f>IF(gescon_infosparticip!AA198=FALSE,0,1)</f>
        <v>0</v>
      </c>
      <c r="AC199" t="str">
        <f>gescon_infosparticip!AB198</f>
        <v>orale</v>
      </c>
      <c r="AD199" t="str">
        <f>gescon_infosparticip!AC198</f>
        <v/>
      </c>
      <c r="AE199" t="str">
        <f>gescon_infosparticip!AD198</f>
        <v/>
      </c>
      <c r="AF199" t="str">
        <f>gescon_infosparticip!AE198</f>
        <v/>
      </c>
      <c r="AG199" t="str">
        <f>gescon_infosparticip!AF198</f>
        <v>Jérémy aime jouer au ballon, écouter et faire de la musique surtout la musique de guggen, il aime courrir et jouer au ping-pong. Il va à Valais de Cœur.</v>
      </c>
      <c r="AH199" t="str">
        <f>gescon_infosparticip!AG198</f>
        <v>les puzzles, le bricolage</v>
      </c>
      <c r="AI199" t="str">
        <f>gescon_infosparticip!BN198</f>
        <v>Il ne doit pas se déplacer à 4 pattes. Il peut être assis en tailleur sur une chaise ou un canapé</v>
      </c>
      <c r="AJ199" t="str">
        <f>gescon_infosparticip!BO198</f>
        <v/>
      </c>
    </row>
    <row r="200" spans="2:36" x14ac:dyDescent="0.25">
      <c r="B200">
        <f>gescon_infosparticip!A199</f>
        <v>1985796047</v>
      </c>
      <c r="C200">
        <f>gescon_infosparticip!B199</f>
        <v>42255</v>
      </c>
      <c r="D200">
        <f>gescon_infosparticip!C199</f>
        <v>1315228613</v>
      </c>
      <c r="E200">
        <f>gescon_infosparticip!D199</f>
        <v>0</v>
      </c>
      <c r="F200">
        <f>gescon_infosparticip!E199</f>
        <v>0</v>
      </c>
      <c r="G200">
        <f>gescon_infosparticip!F199</f>
        <v>0</v>
      </c>
      <c r="H200">
        <f>gescon_infosparticip!G199</f>
        <v>1315228613</v>
      </c>
      <c r="I200" t="str">
        <f>gescon_infosparticip!H199</f>
        <v/>
      </c>
      <c r="J200">
        <f>IF(gescon_infosparticip!I199=FALSE,0,1)</f>
        <v>0</v>
      </c>
      <c r="K200">
        <f>IF(gescon_infosparticip!J199=FALSE,0,1)</f>
        <v>0</v>
      </c>
      <c r="L200">
        <f>IF(gescon_infosparticip!K199=FALSE,0,1)</f>
        <v>0</v>
      </c>
      <c r="M200">
        <f>IF(gescon_infosparticip!L199=FALSE,0,1)</f>
        <v>0</v>
      </c>
      <c r="N200">
        <f>IF(gescon_infosparticip!M199=FALSE,0,1)</f>
        <v>1</v>
      </c>
      <c r="O200">
        <f>IF(gescon_infosparticip!N199=FALSE,0,1)</f>
        <v>1</v>
      </c>
      <c r="P200">
        <f>IF(gescon_infosparticip!O199=FALSE,0,1)</f>
        <v>1</v>
      </c>
      <c r="Q200">
        <f>IF(gescon_infosparticip!P199=FALSE,0,1)</f>
        <v>0</v>
      </c>
      <c r="R200">
        <f>IF(gescon_infosparticip!Q199=FALSE,0,1)</f>
        <v>0</v>
      </c>
      <c r="S200" t="str">
        <f>gescon_infosparticip!R199</f>
        <v>Ne supporte pas les long trajets en bus.</v>
      </c>
      <c r="T200" t="str">
        <f>gescon_infosparticip!V199</f>
        <v>besoin d'aide pour s'habiller</v>
      </c>
      <c r="U200" t="str">
        <f>gescon_infosparticip!S199</f>
        <v/>
      </c>
      <c r="V200">
        <f>IF(gescon_infosparticip!U199=FALSE,0,1)</f>
        <v>1</v>
      </c>
      <c r="W200">
        <f>IF(gescon_infosparticip!T199=FALSE,0,1)</f>
        <v>0</v>
      </c>
      <c r="X200" t="str">
        <f>gescon_infosparticip!W199</f>
        <v>Avant de s'endormir ,on lui fait du streching dans les jambes en lui tendant la jambe et ramenant son pied en arrière jusque à relachement de la tension,Une jambe à la fois.Plusieures fois de chaque. Il recoit aussi un signe de croicx d'eau bénite. Il dort avec un doudou qui s'appelle Poil doux.</v>
      </c>
      <c r="Y200">
        <f>IF(gescon_infosparticip!X199=FALSE,0,1)</f>
        <v>0</v>
      </c>
      <c r="Z200">
        <f>IF(gescon_infosparticip!Y199=FALSE,0,1)</f>
        <v>0</v>
      </c>
      <c r="AA200">
        <f>IF(gescon_infosparticip!Z199=FALSE,0,1)</f>
        <v>0</v>
      </c>
      <c r="AB200">
        <f>IF(gescon_infosparticip!AA199=FALSE,0,1)</f>
        <v>0</v>
      </c>
      <c r="AC200" t="str">
        <f>gescon_infosparticip!AB199</f>
        <v>Il aime les gags et la musique.Il connait beaucoup de groupes de musique métal ou de rap</v>
      </c>
      <c r="AD200" t="str">
        <f>gescon_infosparticip!AC199</f>
        <v>Son papa est machiniste et sa maman enseignante. Ses grands parents sont Grecques   yaya (grd maman). Papou (grand papa).</v>
      </c>
      <c r="AE200" t="str">
        <f>gescon_infosparticip!AD199</f>
        <v>1 frère ainé . Valentin</v>
      </c>
      <c r="AF200" t="str">
        <f>gescon_infosparticip!AE199</f>
        <v/>
      </c>
      <c r="AG200" t="str">
        <f>gescon_infosparticip!AF199</f>
        <v/>
      </c>
      <c r="AH200" t="str">
        <f>gescon_infosparticip!AG199</f>
        <v>Les choses trop brusques.a vite la nausée.</v>
      </c>
      <c r="AI200" t="str">
        <f>gescon_infosparticip!BN199</f>
        <v>non</v>
      </c>
      <c r="AJ200" t="str">
        <f>gescon_infosparticip!BO199</f>
        <v/>
      </c>
    </row>
    <row r="201" spans="2:36" x14ac:dyDescent="0.25">
      <c r="B201">
        <f>gescon_infosparticip!A200</f>
        <v>1996993420</v>
      </c>
      <c r="C201">
        <f>gescon_infosparticip!B200</f>
        <v>42185</v>
      </c>
      <c r="D201">
        <f>gescon_infosparticip!C200</f>
        <v>0</v>
      </c>
      <c r="E201">
        <f>gescon_infosparticip!D200</f>
        <v>0</v>
      </c>
      <c r="F201">
        <f>gescon_infosparticip!E200</f>
        <v>0</v>
      </c>
      <c r="G201">
        <f>gescon_infosparticip!F200</f>
        <v>0</v>
      </c>
      <c r="H201">
        <f>gescon_infosparticip!G200</f>
        <v>0</v>
      </c>
      <c r="I201" t="str">
        <f>gescon_infosparticip!H200</f>
        <v/>
      </c>
      <c r="J201">
        <f>IF(gescon_infosparticip!I200=FALSE,0,1)</f>
        <v>0</v>
      </c>
      <c r="K201">
        <f>IF(gescon_infosparticip!J200=FALSE,0,1)</f>
        <v>0</v>
      </c>
      <c r="L201">
        <f>IF(gescon_infosparticip!K200=FALSE,0,1)</f>
        <v>0</v>
      </c>
      <c r="M201">
        <f>IF(gescon_infosparticip!L200=FALSE,0,1)</f>
        <v>0</v>
      </c>
      <c r="N201">
        <f>IF(gescon_infosparticip!M200=FALSE,0,1)</f>
        <v>0</v>
      </c>
      <c r="O201">
        <f>IF(gescon_infosparticip!N200=FALSE,0,1)</f>
        <v>0</v>
      </c>
      <c r="P201">
        <f>IF(gescon_infosparticip!O200=FALSE,0,1)</f>
        <v>0</v>
      </c>
      <c r="Q201">
        <f>IF(gescon_infosparticip!P200=FALSE,0,1)</f>
        <v>0</v>
      </c>
      <c r="R201">
        <f>IF(gescon_infosparticip!Q200=FALSE,0,1)</f>
        <v>0</v>
      </c>
      <c r="S201" t="str">
        <f>gescon_infosparticip!R200</f>
        <v/>
      </c>
      <c r="T201" t="str">
        <f>gescon_infosparticip!V200</f>
        <v/>
      </c>
      <c r="U201" t="str">
        <f>gescon_infosparticip!S200</f>
        <v/>
      </c>
      <c r="V201">
        <f>IF(gescon_infosparticip!U200=FALSE,0,1)</f>
        <v>0</v>
      </c>
      <c r="W201">
        <f>IF(gescon_infosparticip!T200=FALSE,0,1)</f>
        <v>0</v>
      </c>
      <c r="X201" t="str">
        <f>gescon_infosparticip!W200</f>
        <v/>
      </c>
      <c r="Y201">
        <f>IF(gescon_infosparticip!X200=FALSE,0,1)</f>
        <v>0</v>
      </c>
      <c r="Z201">
        <f>IF(gescon_infosparticip!Y200=FALSE,0,1)</f>
        <v>0</v>
      </c>
      <c r="AA201">
        <f>IF(gescon_infosparticip!Z200=FALSE,0,1)</f>
        <v>0</v>
      </c>
      <c r="AB201">
        <f>IF(gescon_infosparticip!AA200=FALSE,0,1)</f>
        <v>0</v>
      </c>
      <c r="AC201" t="str">
        <f>gescon_infosparticip!AB200</f>
        <v/>
      </c>
      <c r="AD201" t="str">
        <f>gescon_infosparticip!AC200</f>
        <v/>
      </c>
      <c r="AE201" t="str">
        <f>gescon_infosparticip!AD200</f>
        <v/>
      </c>
      <c r="AF201" t="str">
        <f>gescon_infosparticip!AE200</f>
        <v/>
      </c>
      <c r="AG201" t="str">
        <f>gescon_infosparticip!AF200</f>
        <v/>
      </c>
      <c r="AH201" t="str">
        <f>gescon_infosparticip!AG200</f>
        <v/>
      </c>
      <c r="AI201" t="str">
        <f>gescon_infosparticip!BN200</f>
        <v/>
      </c>
      <c r="AJ201" t="str">
        <f>gescon_infosparticip!BO200</f>
        <v/>
      </c>
    </row>
    <row r="202" spans="2:36" x14ac:dyDescent="0.25">
      <c r="B202">
        <f>gescon_infosparticip!A201</f>
        <v>2000044555</v>
      </c>
      <c r="C202">
        <f>gescon_infosparticip!B201</f>
        <v>43013</v>
      </c>
      <c r="D202">
        <f>gescon_infosparticip!C201</f>
        <v>1299162980</v>
      </c>
      <c r="E202">
        <f>gescon_infosparticip!D201</f>
        <v>0</v>
      </c>
      <c r="F202">
        <f>gescon_infosparticip!E201</f>
        <v>0</v>
      </c>
      <c r="G202">
        <f>gescon_infosparticip!F201</f>
        <v>0</v>
      </c>
      <c r="H202">
        <f>gescon_infosparticip!G201</f>
        <v>0</v>
      </c>
      <c r="I202" t="str">
        <f>gescon_infosparticip!H201</f>
        <v/>
      </c>
      <c r="J202">
        <f>IF(gescon_infosparticip!I201=FALSE,0,1)</f>
        <v>0</v>
      </c>
      <c r="K202">
        <f>IF(gescon_infosparticip!J201=FALSE,0,1)</f>
        <v>0</v>
      </c>
      <c r="L202">
        <f>IF(gescon_infosparticip!K201=FALSE,0,1)</f>
        <v>0</v>
      </c>
      <c r="M202">
        <f>IF(gescon_infosparticip!L201=FALSE,0,1)</f>
        <v>1</v>
      </c>
      <c r="N202">
        <f>IF(gescon_infosparticip!M201=FALSE,0,1)</f>
        <v>0</v>
      </c>
      <c r="O202">
        <f>IF(gescon_infosparticip!N201=FALSE,0,1)</f>
        <v>0</v>
      </c>
      <c r="P202">
        <f>IF(gescon_infosparticip!O201=FALSE,0,1)</f>
        <v>0</v>
      </c>
      <c r="Q202">
        <f>IF(gescon_infosparticip!P201=FALSE,0,1)</f>
        <v>1</v>
      </c>
      <c r="R202">
        <f>IF(gescon_infosparticip!Q201=FALSE,0,1)</f>
        <v>0</v>
      </c>
      <c r="S202" t="str">
        <f>gescon_infosparticip!R201</f>
        <v>Il supporte les longs trajets en bus. Il peut faire des pas latéraux, en arrière et en avant avec de l'aide.</v>
      </c>
      <c r="T202" t="str">
        <f>gescon_infosparticip!V201</f>
        <v>Yannic doit essayer de mettre et d’enlever lui-même le pull et le sous vêtement. Il essaie également de monter le slip, le collant et le pantalon après avoir été aux toilettes.</v>
      </c>
      <c r="U202" t="str">
        <f>gescon_infosparticip!S201</f>
        <v>Yannic adore l’eau mais il n’a pas d’autonomie sauf s’il  a un anneau flottant, des poids autour des chevilles, et des chaussures de surf autour des pieds. MAIS IL FAUT TOUJOURS L’OBSERVER ET LE SURVEILLER.</v>
      </c>
      <c r="V202">
        <f>IF(gescon_infosparticip!U201=FALSE,0,1)</f>
        <v>1</v>
      </c>
      <c r="W202">
        <f>IF(gescon_infosparticip!T201=FALSE,0,1)</f>
        <v>0</v>
      </c>
      <c r="X202" t="str">
        <f>gescon_infosparticip!W201</f>
        <v>Yannic se couche entre 20h et 21h. Il fait une prière avant de s'endormir et écoute souvent de la musique. Il se réveille généralement entre 7h et 8h. Installer Yannic sur le ventre avec les attelles la nuit, sans coussin. Yannic porte des attelles de nuits pour étendre les muscles et pour protéger ses rotules qui se luxent facilement.</v>
      </c>
      <c r="Y202">
        <f>IF(gescon_infosparticip!X201=FALSE,0,1)</f>
        <v>0</v>
      </c>
      <c r="Z202">
        <f>IF(gescon_infosparticip!Y201=FALSE,0,1)</f>
        <v>0</v>
      </c>
      <c r="AA202">
        <f>IF(gescon_infosparticip!Z201=FALSE,0,1)</f>
        <v>0</v>
      </c>
      <c r="AB202">
        <f>IF(gescon_infosparticip!AA201=FALSE,0,1)</f>
        <v>0</v>
      </c>
      <c r="AC202" t="str">
        <f>gescon_infosparticip!AB201</f>
        <v>Il s’exprime à l’aide de l’ordinateur, de mimiques et de gestes. Il dit « ja »pour dire oui et secoue la tête. pour dire non. Il peut faire un choix en montrant avec sa main 2 ou 3 possibilités offertes. Il porte des lunette pendant la journée</v>
      </c>
      <c r="AD202" t="str">
        <f>gescon_infosparticip!AC201</f>
        <v/>
      </c>
      <c r="AE202" t="str">
        <f>gescon_infosparticip!AD201</f>
        <v>une sœur : Yasmine</v>
      </c>
      <c r="AF202" t="str">
        <f>gescon_infosparticip!AE201</f>
        <v/>
      </c>
      <c r="AG202" t="str">
        <f>gescon_infosparticip!AF201</f>
        <v>Yannic adore monter à cheval, aller à la piscine, écouter de la musique et des contes. Il va deux fois par semaine à l’église ou il est un servant de messe enthousiaste. Il aime lire des livres, faire des jeux. Il adore faire des voyages en bus et en train. Yannic aime faire la cuisine et aider à ranger.</v>
      </c>
      <c r="AH202" t="str">
        <f>gescon_infosparticip!AG201</f>
        <v>Regarder la télévision.</v>
      </c>
      <c r="AI202" t="str">
        <f>gescon_infosparticip!BN201</f>
        <v>Installer Yannic sur le ventre avec les attelles de nuit, sans coussin.</v>
      </c>
      <c r="AJ202" t="str">
        <f>gescon_infosparticip!BO201</f>
        <v>Selon les disponibilités</v>
      </c>
    </row>
    <row r="203" spans="2:36" x14ac:dyDescent="0.25">
      <c r="B203">
        <f>gescon_infosparticip!A202</f>
        <v>2080662280</v>
      </c>
      <c r="C203">
        <f>gescon_infosparticip!B202</f>
        <v>42909</v>
      </c>
      <c r="D203">
        <f>gescon_infosparticip!C202</f>
        <v>166873846</v>
      </c>
      <c r="E203">
        <f>gescon_infosparticip!D202</f>
        <v>0</v>
      </c>
      <c r="F203">
        <f>gescon_infosparticip!E202</f>
        <v>0</v>
      </c>
      <c r="G203">
        <f>gescon_infosparticip!F202</f>
        <v>0</v>
      </c>
      <c r="H203">
        <f>gescon_infosparticip!G202</f>
        <v>166873846</v>
      </c>
      <c r="I203" t="str">
        <f>gescon_infosparticip!H202</f>
        <v/>
      </c>
      <c r="J203">
        <f>IF(gescon_infosparticip!I202=FALSE,0,1)</f>
        <v>0</v>
      </c>
      <c r="K203">
        <f>IF(gescon_infosparticip!J202=FALSE,0,1)</f>
        <v>1</v>
      </c>
      <c r="L203">
        <f>IF(gescon_infosparticip!K202=FALSE,0,1)</f>
        <v>1</v>
      </c>
      <c r="M203">
        <f>IF(gescon_infosparticip!L202=FALSE,0,1)</f>
        <v>0</v>
      </c>
      <c r="N203">
        <f>IF(gescon_infosparticip!M202=FALSE,0,1)</f>
        <v>0</v>
      </c>
      <c r="O203">
        <f>IF(gescon_infosparticip!N202=FALSE,0,1)</f>
        <v>0</v>
      </c>
      <c r="P203">
        <f>IF(gescon_infosparticip!O202=FALSE,0,1)</f>
        <v>0</v>
      </c>
      <c r="Q203">
        <f>IF(gescon_infosparticip!P202=FALSE,0,1)</f>
        <v>1</v>
      </c>
      <c r="R203">
        <f>IF(gescon_infosparticip!Q202=FALSE,0,1)</f>
        <v>1</v>
      </c>
      <c r="S203" t="str">
        <f>gescon_infosparticip!R202</f>
        <v>Mégane a un fauteuil manuel et se déplace seule. Elle arrive à faire les transferts de manière autonome. Elle supporte bien les longs trajets en bus. Mégane marche un peu avec de l'aide mais s'essouffle vite.</v>
      </c>
      <c r="T203" t="str">
        <f>gescon_infosparticip!V202</f>
        <v>aide pour l'habillement et le déshabillement.</v>
      </c>
      <c r="U203" t="str">
        <f>gescon_infosparticip!S202</f>
        <v>Elle aime la piscine mais a besoin d'une personne pour la soutenir continuellement dans l'eau.</v>
      </c>
      <c r="V203">
        <f>IF(gescon_infosparticip!U202=FALSE,0,1)</f>
        <v>1</v>
      </c>
      <c r="W203">
        <f>IF(gescon_infosparticip!T202=FALSE,0,1)</f>
        <v>0</v>
      </c>
      <c r="X203" t="str">
        <f>gescon_infosparticip!W202</f>
        <v>Mégane dort bien, elle manifeste quand elle veut aller au lit. La nuit, elle se lève parfois pour aller au WC. Dérangée par les cris innattendus des personnes qui peuvent partager sa chambre, peur que survienne une crise, est angoissée, cause de ne plus faire de week-end Cerebral.</v>
      </c>
      <c r="Y203">
        <f>IF(gescon_infosparticip!X202=FALSE,0,1)</f>
        <v>0</v>
      </c>
      <c r="Z203">
        <f>IF(gescon_infosparticip!Y202=FALSE,0,1)</f>
        <v>0</v>
      </c>
      <c r="AA203">
        <f>IF(gescon_infosparticip!Z202=FALSE,0,1)</f>
        <v>0</v>
      </c>
      <c r="AB203">
        <f>IF(gescon_infosparticip!AA202=FALSE,0,1)</f>
        <v>0</v>
      </c>
      <c r="AC203" t="str">
        <f>gescon_infosparticip!AB202</f>
        <v>expression orale</v>
      </c>
      <c r="AD203" t="str">
        <f>gescon_infosparticip!AC202</f>
        <v/>
      </c>
      <c r="AE203" t="str">
        <f>gescon_infosparticip!AD202</f>
        <v>petit frère : Valentin</v>
      </c>
      <c r="AF203" t="str">
        <f>gescon_infosparticip!AE202</f>
        <v/>
      </c>
      <c r="AG203" t="str">
        <f>gescon_infosparticip!AF202</f>
        <v>Mégane est membre active de sport handicap Sierre. Elle pratique le fauteuil ski et apprécie le rafroball. Elle est supporter du FC Sion et aime écouter de la musique. 
Très sociale, elle apprécie d’être en compagnie, sortir et pouvoir discuter.
Actuellement, elle travaille à Valais de Cœur à Sierre.</v>
      </c>
      <c r="AH203" t="str">
        <f>gescon_infosparticip!AG202</f>
        <v>Elle n'aime pas beaucoup faire des bricolages.</v>
      </c>
      <c r="AI203" t="str">
        <f>gescon_infosparticip!BN202</f>
        <v>Mégane a un fauteuil manuel et se déplace seule. Elle arrive à faire les transferts de manière autonome.</v>
      </c>
      <c r="AJ203" t="str">
        <f>gescon_infosparticip!BO202</f>
        <v/>
      </c>
    </row>
    <row r="204" spans="2:36" x14ac:dyDescent="0.25">
      <c r="B204">
        <f>gescon_infosparticip!A203</f>
        <v>2088593679</v>
      </c>
      <c r="C204">
        <f>gescon_infosparticip!B203</f>
        <v>42503</v>
      </c>
      <c r="D204">
        <f>gescon_infosparticip!C203</f>
        <v>1038843490</v>
      </c>
      <c r="E204">
        <f>gescon_infosparticip!D203</f>
        <v>0</v>
      </c>
      <c r="F204">
        <f>gescon_infosparticip!E203</f>
        <v>1087393567</v>
      </c>
      <c r="G204">
        <f>gescon_infosparticip!F203</f>
        <v>1424</v>
      </c>
      <c r="H204">
        <f>gescon_infosparticip!G203</f>
        <v>1087393567</v>
      </c>
      <c r="I204" t="str">
        <f>gescon_infosparticip!H203</f>
        <v>B2 - Marie-Thérèse Bastida - 024 473 51 42</v>
      </c>
      <c r="J204">
        <f>IF(gescon_infosparticip!I203=FALSE,0,1)</f>
        <v>0</v>
      </c>
      <c r="K204">
        <f>IF(gescon_infosparticip!J203=FALSE,0,1)</f>
        <v>1</v>
      </c>
      <c r="L204">
        <f>IF(gescon_infosparticip!K203=FALSE,0,1)</f>
        <v>0</v>
      </c>
      <c r="M204">
        <f>IF(gescon_infosparticip!L203=FALSE,0,1)</f>
        <v>1</v>
      </c>
      <c r="N204">
        <f>IF(gescon_infosparticip!M203=FALSE,0,1)</f>
        <v>0</v>
      </c>
      <c r="O204">
        <f>IF(gescon_infosparticip!N203=FALSE,0,1)</f>
        <v>0</v>
      </c>
      <c r="P204">
        <f>IF(gescon_infosparticip!O203=FALSE,0,1)</f>
        <v>0</v>
      </c>
      <c r="Q204">
        <f>IF(gescon_infosparticip!P203=FALSE,0,1)</f>
        <v>1</v>
      </c>
      <c r="R204">
        <f>IF(gescon_infosparticip!Q203=FALSE,0,1)</f>
        <v>0</v>
      </c>
      <c r="S204" t="str">
        <f>gescon_infosparticip!R203</f>
        <v>Supporte les longs trajets en bus</v>
      </c>
      <c r="T204" t="str">
        <f>gescon_infosparticip!V203</f>
        <v>Aide totale</v>
      </c>
      <c r="U204" t="str">
        <f>gescon_infosparticip!S203</f>
        <v/>
      </c>
      <c r="V204">
        <f>IF(gescon_infosparticip!U203=FALSE,0,1)</f>
        <v>1</v>
      </c>
      <c r="W204">
        <f>IF(gescon_infosparticip!T203=FALSE,0,1)</f>
        <v>1</v>
      </c>
      <c r="X204" t="str">
        <f>gescon_infosparticip!W203</f>
        <v>Si possible sieste après le dîner
Voir changement de position</v>
      </c>
      <c r="Y204">
        <f>IF(gescon_infosparticip!X203=FALSE,0,1)</f>
        <v>0</v>
      </c>
      <c r="Z204">
        <f>IF(gescon_infosparticip!Y203=FALSE,0,1)</f>
        <v>0</v>
      </c>
      <c r="AA204">
        <f>IF(gescon_infosparticip!Z203=FALSE,0,1)</f>
        <v>0</v>
      </c>
      <c r="AB204">
        <f>IF(gescon_infosparticip!AA203=FALSE,0,1)</f>
        <v>1</v>
      </c>
      <c r="AC204" t="str">
        <f>gescon_infosparticip!AB203</f>
        <v>Langage oral : par mots (adieu, maman, allo, encore, content)
"nene"= manger /"kéké=télé - 
Signes de la tête : pour le non  et un baiser pour le oui - "malade" =: il tousse "mmmh" = c'est bon
Cris pour exprimer sa joie. 
Lorsqu'il crie trop fort lui rappeler qu'il n'a pas besoin de crier pour se faire comprendre</v>
      </c>
      <c r="AD204" t="str">
        <f>gescon_infosparticip!AC203</f>
        <v>Père décédé</v>
      </c>
      <c r="AE204" t="str">
        <f>gescon_infosparticip!AD203</f>
        <v>Frère Olivier - Belle-sœur Tess - Oncle Abel et Tonton Dédé</v>
      </c>
      <c r="AF204" t="str">
        <f>gescon_infosparticip!AE203</f>
        <v>Hélène : amie de la maman</v>
      </c>
      <c r="AG204" t="str">
        <f>gescon_infosparticip!AF203</f>
        <v>Musique, télé, faire de la peinture, promenade, manger</v>
      </c>
      <c r="AH204" t="str">
        <f>gescon_infosparticip!AG203</f>
        <v>Lorsqu'il y a trop de stimulations. Il angoisse.</v>
      </c>
      <c r="AI204" t="str">
        <f>gescon_infosparticip!BN203</f>
        <v>Dans le lit : à plat sans oreiller  Sur  le dos au coucher. Sur le côté gauche au changement de position de la nuit. Sur le côté droit au changement  de position de l'après-midi</v>
      </c>
      <c r="AJ204" t="str">
        <f>gescon_infosparticip!BO203</f>
        <v>après-midi et nuit</v>
      </c>
    </row>
    <row r="205" spans="2:36" x14ac:dyDescent="0.25">
      <c r="B205">
        <f>gescon_infosparticip!A204</f>
        <v>2105684264</v>
      </c>
      <c r="C205">
        <f>gescon_infosparticip!B204</f>
        <v>37860.701261574097</v>
      </c>
      <c r="D205">
        <f>gescon_infosparticip!C204</f>
        <v>0</v>
      </c>
      <c r="E205">
        <f>gescon_infosparticip!D204</f>
        <v>0</v>
      </c>
      <c r="F205">
        <f>gescon_infosparticip!E204</f>
        <v>0</v>
      </c>
      <c r="G205">
        <f>gescon_infosparticip!F204</f>
        <v>0</v>
      </c>
      <c r="H205">
        <f>gescon_infosparticip!G204</f>
        <v>0</v>
      </c>
      <c r="I205" t="str">
        <f>gescon_infosparticip!H204</f>
        <v/>
      </c>
      <c r="J205">
        <f>IF(gescon_infosparticip!I204=FALSE,0,1)</f>
        <v>0</v>
      </c>
      <c r="K205">
        <f>IF(gescon_infosparticip!J204=FALSE,0,1)</f>
        <v>0</v>
      </c>
      <c r="L205">
        <f>IF(gescon_infosparticip!K204=FALSE,0,1)</f>
        <v>0</v>
      </c>
      <c r="M205">
        <f>IF(gescon_infosparticip!L204=FALSE,0,1)</f>
        <v>0</v>
      </c>
      <c r="N205">
        <f>IF(gescon_infosparticip!M204=FALSE,0,1)</f>
        <v>0</v>
      </c>
      <c r="O205">
        <f>IF(gescon_infosparticip!N204=FALSE,0,1)</f>
        <v>0</v>
      </c>
      <c r="P205">
        <f>IF(gescon_infosparticip!O204=FALSE,0,1)</f>
        <v>0</v>
      </c>
      <c r="Q205">
        <f>IF(gescon_infosparticip!P204=FALSE,0,1)</f>
        <v>0</v>
      </c>
      <c r="R205">
        <f>IF(gescon_infosparticip!Q204=FALSE,0,1)</f>
        <v>0</v>
      </c>
      <c r="S205" t="str">
        <f>gescon_infosparticip!R204</f>
        <v/>
      </c>
      <c r="T205" t="str">
        <f>gescon_infosparticip!V204</f>
        <v/>
      </c>
      <c r="U205" t="str">
        <f>gescon_infosparticip!S204</f>
        <v/>
      </c>
      <c r="V205">
        <f>IF(gescon_infosparticip!U204=FALSE,0,1)</f>
        <v>0</v>
      </c>
      <c r="W205">
        <f>IF(gescon_infosparticip!T204=FALSE,0,1)</f>
        <v>0</v>
      </c>
      <c r="X205" t="str">
        <f>gescon_infosparticip!W204</f>
        <v/>
      </c>
      <c r="Y205">
        <f>IF(gescon_infosparticip!X204=FALSE,0,1)</f>
        <v>0</v>
      </c>
      <c r="Z205">
        <f>IF(gescon_infosparticip!Y204=FALSE,0,1)</f>
        <v>0</v>
      </c>
      <c r="AA205">
        <f>IF(gescon_infosparticip!Z204=FALSE,0,1)</f>
        <v>0</v>
      </c>
      <c r="AB205">
        <f>IF(gescon_infosparticip!AA204=FALSE,0,1)</f>
        <v>0</v>
      </c>
      <c r="AC205" t="str">
        <f>gescon_infosparticip!AB204</f>
        <v/>
      </c>
      <c r="AD205" t="str">
        <f>gescon_infosparticip!AC204</f>
        <v/>
      </c>
      <c r="AE205" t="str">
        <f>gescon_infosparticip!AD204</f>
        <v/>
      </c>
      <c r="AF205" t="str">
        <f>gescon_infosparticip!AE204</f>
        <v/>
      </c>
      <c r="AG205" t="str">
        <f>gescon_infosparticip!AF204</f>
        <v/>
      </c>
      <c r="AH205" t="str">
        <f>gescon_infosparticip!AG204</f>
        <v/>
      </c>
      <c r="AI205" t="str">
        <f>gescon_infosparticip!BN204</f>
        <v/>
      </c>
      <c r="AJ205" t="str">
        <f>gescon_infosparticip!BO204</f>
        <v/>
      </c>
    </row>
    <row r="206" spans="2:36" x14ac:dyDescent="0.25">
      <c r="B206">
        <f>gescon_infosparticip!A205</f>
        <v>2146188983</v>
      </c>
      <c r="C206">
        <f>gescon_infosparticip!B205</f>
        <v>41053</v>
      </c>
      <c r="D206">
        <f>gescon_infosparticip!C205</f>
        <v>0</v>
      </c>
      <c r="E206">
        <f>gescon_infosparticip!D205</f>
        <v>0</v>
      </c>
      <c r="F206">
        <f>gescon_infosparticip!E205</f>
        <v>0</v>
      </c>
      <c r="G206">
        <f>gescon_infosparticip!F205</f>
        <v>0</v>
      </c>
      <c r="H206">
        <f>gescon_infosparticip!G205</f>
        <v>0</v>
      </c>
      <c r="I206" t="str">
        <f>gescon_infosparticip!H205</f>
        <v/>
      </c>
      <c r="J206">
        <f>IF(gescon_infosparticip!I205=FALSE,0,1)</f>
        <v>0</v>
      </c>
      <c r="K206">
        <f>IF(gescon_infosparticip!J205=FALSE,0,1)</f>
        <v>0</v>
      </c>
      <c r="L206">
        <f>IF(gescon_infosparticip!K205=FALSE,0,1)</f>
        <v>0</v>
      </c>
      <c r="M206">
        <f>IF(gescon_infosparticip!L205=FALSE,0,1)</f>
        <v>0</v>
      </c>
      <c r="N206">
        <f>IF(gescon_infosparticip!M205=FALSE,0,1)</f>
        <v>0</v>
      </c>
      <c r="O206">
        <f>IF(gescon_infosparticip!N205=FALSE,0,1)</f>
        <v>0</v>
      </c>
      <c r="P206">
        <f>IF(gescon_infosparticip!O205=FALSE,0,1)</f>
        <v>0</v>
      </c>
      <c r="Q206">
        <f>IF(gescon_infosparticip!P205=FALSE,0,1)</f>
        <v>0</v>
      </c>
      <c r="R206">
        <f>IF(gescon_infosparticip!Q205=FALSE,0,1)</f>
        <v>0</v>
      </c>
      <c r="S206" t="str">
        <f>gescon_infosparticip!R205</f>
        <v/>
      </c>
      <c r="T206" t="str">
        <f>gescon_infosparticip!V205</f>
        <v/>
      </c>
      <c r="U206" t="str">
        <f>gescon_infosparticip!S205</f>
        <v/>
      </c>
      <c r="V206">
        <f>IF(gescon_infosparticip!U205=FALSE,0,1)</f>
        <v>0</v>
      </c>
      <c r="W206">
        <f>IF(gescon_infosparticip!T205=FALSE,0,1)</f>
        <v>0</v>
      </c>
      <c r="X206" t="str">
        <f>gescon_infosparticip!W205</f>
        <v/>
      </c>
      <c r="Y206">
        <f>IF(gescon_infosparticip!X205=FALSE,0,1)</f>
        <v>0</v>
      </c>
      <c r="Z206">
        <f>IF(gescon_infosparticip!Y205=FALSE,0,1)</f>
        <v>0</v>
      </c>
      <c r="AA206">
        <f>IF(gescon_infosparticip!Z205=FALSE,0,1)</f>
        <v>0</v>
      </c>
      <c r="AB206">
        <f>IF(gescon_infosparticip!AA205=FALSE,0,1)</f>
        <v>0</v>
      </c>
      <c r="AC206" t="str">
        <f>gescon_infosparticip!AB205</f>
        <v/>
      </c>
      <c r="AD206" t="str">
        <f>gescon_infosparticip!AC205</f>
        <v/>
      </c>
      <c r="AE206" t="str">
        <f>gescon_infosparticip!AD205</f>
        <v/>
      </c>
      <c r="AF206" t="str">
        <f>gescon_infosparticip!AE205</f>
        <v/>
      </c>
      <c r="AG206" t="str">
        <f>gescon_infosparticip!AF205</f>
        <v/>
      </c>
      <c r="AH206" t="str">
        <f>gescon_infosparticip!AG205</f>
        <v/>
      </c>
      <c r="AI206" t="str">
        <f>gescon_infosparticip!BN205</f>
        <v/>
      </c>
      <c r="AJ206" t="str">
        <f>gescon_infosparticip!BO205</f>
        <v/>
      </c>
    </row>
    <row r="207" spans="2:36" x14ac:dyDescent="0.25">
      <c r="B207">
        <f>gescon_infosparticip!A206</f>
        <v>2146189030</v>
      </c>
      <c r="C207">
        <f>gescon_infosparticip!B206</f>
        <v>41625</v>
      </c>
      <c r="D207">
        <f>gescon_infosparticip!C206</f>
        <v>0</v>
      </c>
      <c r="E207">
        <f>gescon_infosparticip!D206</f>
        <v>0</v>
      </c>
      <c r="F207">
        <f>gescon_infosparticip!E206</f>
        <v>0</v>
      </c>
      <c r="G207">
        <f>gescon_infosparticip!F206</f>
        <v>0</v>
      </c>
      <c r="H207">
        <f>gescon_infosparticip!G206</f>
        <v>0</v>
      </c>
      <c r="I207" t="str">
        <f>gescon_infosparticip!H206</f>
        <v/>
      </c>
      <c r="J207">
        <f>IF(gescon_infosparticip!I206=FALSE,0,1)</f>
        <v>0</v>
      </c>
      <c r="K207">
        <f>IF(gescon_infosparticip!J206=FALSE,0,1)</f>
        <v>0</v>
      </c>
      <c r="L207">
        <f>IF(gescon_infosparticip!K206=FALSE,0,1)</f>
        <v>0</v>
      </c>
      <c r="M207">
        <f>IF(gescon_infosparticip!L206=FALSE,0,1)</f>
        <v>0</v>
      </c>
      <c r="N207">
        <f>IF(gescon_infosparticip!M206=FALSE,0,1)</f>
        <v>0</v>
      </c>
      <c r="O207">
        <f>IF(gescon_infosparticip!N206=FALSE,0,1)</f>
        <v>0</v>
      </c>
      <c r="P207">
        <f>IF(gescon_infosparticip!O206=FALSE,0,1)</f>
        <v>0</v>
      </c>
      <c r="Q207">
        <f>IF(gescon_infosparticip!P206=FALSE,0,1)</f>
        <v>0</v>
      </c>
      <c r="R207">
        <f>IF(gescon_infosparticip!Q206=FALSE,0,1)</f>
        <v>0</v>
      </c>
      <c r="S207" t="str">
        <f>gescon_infosparticip!R206</f>
        <v/>
      </c>
      <c r="T207" t="str">
        <f>gescon_infosparticip!V206</f>
        <v/>
      </c>
      <c r="U207" t="str">
        <f>gescon_infosparticip!S206</f>
        <v/>
      </c>
      <c r="V207">
        <f>IF(gescon_infosparticip!U206=FALSE,0,1)</f>
        <v>0</v>
      </c>
      <c r="W207">
        <f>IF(gescon_infosparticip!T206=FALSE,0,1)</f>
        <v>0</v>
      </c>
      <c r="X207" t="str">
        <f>gescon_infosparticip!W206</f>
        <v/>
      </c>
      <c r="Y207">
        <f>IF(gescon_infosparticip!X206=FALSE,0,1)</f>
        <v>0</v>
      </c>
      <c r="Z207">
        <f>IF(gescon_infosparticip!Y206=FALSE,0,1)</f>
        <v>0</v>
      </c>
      <c r="AA207">
        <f>IF(gescon_infosparticip!Z206=FALSE,0,1)</f>
        <v>0</v>
      </c>
      <c r="AB207">
        <f>IF(gescon_infosparticip!AA206=FALSE,0,1)</f>
        <v>0</v>
      </c>
      <c r="AC207" t="str">
        <f>gescon_infosparticip!AB206</f>
        <v/>
      </c>
      <c r="AD207" t="str">
        <f>gescon_infosparticip!AC206</f>
        <v/>
      </c>
      <c r="AE207" t="str">
        <f>gescon_infosparticip!AD206</f>
        <v/>
      </c>
      <c r="AF207" t="str">
        <f>gescon_infosparticip!AE206</f>
        <v/>
      </c>
      <c r="AG207" t="str">
        <f>gescon_infosparticip!AF206</f>
        <v/>
      </c>
      <c r="AH207" t="str">
        <f>gescon_infosparticip!AG206</f>
        <v/>
      </c>
      <c r="AI207" t="str">
        <f>gescon_infosparticip!BN206</f>
        <v/>
      </c>
      <c r="AJ207" t="str">
        <f>gescon_infosparticip!BO206</f>
        <v/>
      </c>
    </row>
    <row r="208" spans="2:36" x14ac:dyDescent="0.25">
      <c r="B208">
        <f>gescon_infosparticip!A207</f>
        <v>2146189066</v>
      </c>
      <c r="C208">
        <f>gescon_infosparticip!B207</f>
        <v>41080</v>
      </c>
      <c r="D208">
        <f>gescon_infosparticip!C207</f>
        <v>2146189094</v>
      </c>
      <c r="E208">
        <f>gescon_infosparticip!D207</f>
        <v>0</v>
      </c>
      <c r="F208">
        <f>gescon_infosparticip!E207</f>
        <v>0</v>
      </c>
      <c r="G208">
        <f>gescon_infosparticip!F207</f>
        <v>0</v>
      </c>
      <c r="H208">
        <f>gescon_infosparticip!G207</f>
        <v>0</v>
      </c>
      <c r="I208" t="str">
        <f>gescon_infosparticip!H207</f>
        <v/>
      </c>
      <c r="J208">
        <f>IF(gescon_infosparticip!I207=FALSE,0,1)</f>
        <v>0</v>
      </c>
      <c r="K208">
        <f>IF(gescon_infosparticip!J207=FALSE,0,1)</f>
        <v>0</v>
      </c>
      <c r="L208">
        <f>IF(gescon_infosparticip!K207=FALSE,0,1)</f>
        <v>0</v>
      </c>
      <c r="M208">
        <f>IF(gescon_infosparticip!L207=FALSE,0,1)</f>
        <v>1</v>
      </c>
      <c r="N208">
        <f>IF(gescon_infosparticip!M207=FALSE,0,1)</f>
        <v>1</v>
      </c>
      <c r="O208">
        <f>IF(gescon_infosparticip!N207=FALSE,0,1)</f>
        <v>0</v>
      </c>
      <c r="P208">
        <f>IF(gescon_infosparticip!O207=FALSE,0,1)</f>
        <v>0</v>
      </c>
      <c r="Q208">
        <f>IF(gescon_infosparticip!P207=FALSE,0,1)</f>
        <v>0</v>
      </c>
      <c r="R208">
        <f>IF(gescon_infosparticip!Q207=FALSE,0,1)</f>
        <v>0</v>
      </c>
      <c r="S208" t="str">
        <f>gescon_infosparticip!R207</f>
        <v>A voir car elle n'a jamais fait de long déplacement</v>
      </c>
      <c r="T208" t="str">
        <f>gescon_infosparticip!V207</f>
        <v>Avec de l'aide</v>
      </c>
      <c r="U208" t="str">
        <f>gescon_infosparticip!S207</f>
        <v>Eviter la piscine. Elle n'y va que avec sa maman</v>
      </c>
      <c r="V208">
        <f>IF(gescon_infosparticip!U207=FALSE,0,1)</f>
        <v>0</v>
      </c>
      <c r="W208">
        <f>IF(gescon_infosparticip!T207=FALSE,0,1)</f>
        <v>0</v>
      </c>
      <c r="X208" t="str">
        <f>gescon_infosparticip!W207</f>
        <v>Coucher vers 20h30</v>
      </c>
      <c r="Y208">
        <f>IF(gescon_infosparticip!X207=FALSE,0,1)</f>
        <v>0</v>
      </c>
      <c r="Z208">
        <f>IF(gescon_infosparticip!Y207=FALSE,0,1)</f>
        <v>0</v>
      </c>
      <c r="AA208">
        <f>IF(gescon_infosparticip!Z207=FALSE,0,1)</f>
        <v>0</v>
      </c>
      <c r="AB208">
        <f>IF(gescon_infosparticip!AA207=FALSE,0,1)</f>
        <v>0</v>
      </c>
      <c r="AC208" t="str">
        <f>gescon_infosparticip!AB207</f>
        <v/>
      </c>
      <c r="AD208" t="str">
        <f>gescon_infosparticip!AC207</f>
        <v/>
      </c>
      <c r="AE208" t="str">
        <f>gescon_infosparticip!AD207</f>
        <v>Laura a 3 sœurs (1994-1998-2001)</v>
      </c>
      <c r="AF208" t="str">
        <f>gescon_infosparticip!AE207</f>
        <v/>
      </c>
      <c r="AG208" t="str">
        <f>gescon_infosparticip!AF207</f>
        <v>Elle aime écouter de la musique, jouer avec ses barbies, regarder la TV</v>
      </c>
      <c r="AH208" t="str">
        <f>gescon_infosparticip!AG207</f>
        <v>Elle n'aime pas le bruit. Eviter le monde et la foule.</v>
      </c>
      <c r="AI208" t="str">
        <f>gescon_infosparticip!BN207</f>
        <v/>
      </c>
      <c r="AJ208" t="str">
        <f>gescon_infosparticip!BO207</f>
        <v/>
      </c>
    </row>
    <row r="209" spans="2:36" x14ac:dyDescent="0.25">
      <c r="B209">
        <f>gescon_infosparticip!A208</f>
        <v>2146189075</v>
      </c>
      <c r="C209">
        <f>gescon_infosparticip!B208</f>
        <v>41036</v>
      </c>
      <c r="D209">
        <f>gescon_infosparticip!C208</f>
        <v>0</v>
      </c>
      <c r="E209">
        <f>gescon_infosparticip!D208</f>
        <v>0</v>
      </c>
      <c r="F209">
        <f>gescon_infosparticip!E208</f>
        <v>0</v>
      </c>
      <c r="G209">
        <f>gescon_infosparticip!F208</f>
        <v>0</v>
      </c>
      <c r="H209">
        <f>gescon_infosparticip!G208</f>
        <v>0</v>
      </c>
      <c r="I209" t="str">
        <f>gescon_infosparticip!H208</f>
        <v/>
      </c>
      <c r="J209">
        <f>IF(gescon_infosparticip!I208=FALSE,0,1)</f>
        <v>0</v>
      </c>
      <c r="K209">
        <f>IF(gescon_infosparticip!J208=FALSE,0,1)</f>
        <v>0</v>
      </c>
      <c r="L209">
        <f>IF(gescon_infosparticip!K208=FALSE,0,1)</f>
        <v>0</v>
      </c>
      <c r="M209">
        <f>IF(gescon_infosparticip!L208=FALSE,0,1)</f>
        <v>0</v>
      </c>
      <c r="N209">
        <f>IF(gescon_infosparticip!M208=FALSE,0,1)</f>
        <v>0</v>
      </c>
      <c r="O209">
        <f>IF(gescon_infosparticip!N208=FALSE,0,1)</f>
        <v>0</v>
      </c>
      <c r="P209">
        <f>IF(gescon_infosparticip!O208=FALSE,0,1)</f>
        <v>0</v>
      </c>
      <c r="Q209">
        <f>IF(gescon_infosparticip!P208=FALSE,0,1)</f>
        <v>0</v>
      </c>
      <c r="R209">
        <f>IF(gescon_infosparticip!Q208=FALSE,0,1)</f>
        <v>0</v>
      </c>
      <c r="S209" t="str">
        <f>gescon_infosparticip!R208</f>
        <v/>
      </c>
      <c r="T209" t="str">
        <f>gescon_infosparticip!V208</f>
        <v/>
      </c>
      <c r="U209" t="str">
        <f>gescon_infosparticip!S208</f>
        <v/>
      </c>
      <c r="V209">
        <f>IF(gescon_infosparticip!U208=FALSE,0,1)</f>
        <v>0</v>
      </c>
      <c r="W209">
        <f>IF(gescon_infosparticip!T208=FALSE,0,1)</f>
        <v>0</v>
      </c>
      <c r="X209" t="str">
        <f>gescon_infosparticip!W208</f>
        <v/>
      </c>
      <c r="Y209">
        <f>IF(gescon_infosparticip!X208=FALSE,0,1)</f>
        <v>0</v>
      </c>
      <c r="Z209">
        <f>IF(gescon_infosparticip!Y208=FALSE,0,1)</f>
        <v>0</v>
      </c>
      <c r="AA209">
        <f>IF(gescon_infosparticip!Z208=FALSE,0,1)</f>
        <v>0</v>
      </c>
      <c r="AB209">
        <f>IF(gescon_infosparticip!AA208=FALSE,0,1)</f>
        <v>0</v>
      </c>
      <c r="AC209" t="str">
        <f>gescon_infosparticip!AB208</f>
        <v/>
      </c>
      <c r="AD209" t="str">
        <f>gescon_infosparticip!AC208</f>
        <v/>
      </c>
      <c r="AE209" t="str">
        <f>gescon_infosparticip!AD208</f>
        <v/>
      </c>
      <c r="AF209" t="str">
        <f>gescon_infosparticip!AE208</f>
        <v/>
      </c>
      <c r="AG209" t="str">
        <f>gescon_infosparticip!AF208</f>
        <v/>
      </c>
      <c r="AH209" t="str">
        <f>gescon_infosparticip!AG208</f>
        <v/>
      </c>
      <c r="AI209" t="str">
        <f>gescon_infosparticip!BN208</f>
        <v/>
      </c>
      <c r="AJ209" t="str">
        <f>gescon_infosparticip!BO208</f>
        <v/>
      </c>
    </row>
    <row r="210" spans="2:36" x14ac:dyDescent="0.25">
      <c r="B210">
        <f>gescon_infosparticip!A209</f>
        <v>2146189086</v>
      </c>
      <c r="C210">
        <f>gescon_infosparticip!B209</f>
        <v>41080</v>
      </c>
      <c r="D210">
        <f>gescon_infosparticip!C209</f>
        <v>0</v>
      </c>
      <c r="E210">
        <f>gescon_infosparticip!D209</f>
        <v>0</v>
      </c>
      <c r="F210">
        <f>gescon_infosparticip!E209</f>
        <v>0</v>
      </c>
      <c r="G210">
        <f>gescon_infosparticip!F209</f>
        <v>0</v>
      </c>
      <c r="H210">
        <f>gescon_infosparticip!G209</f>
        <v>0</v>
      </c>
      <c r="I210" t="str">
        <f>gescon_infosparticip!H209</f>
        <v/>
      </c>
      <c r="J210">
        <f>IF(gescon_infosparticip!I209=FALSE,0,1)</f>
        <v>0</v>
      </c>
      <c r="K210">
        <f>IF(gescon_infosparticip!J209=FALSE,0,1)</f>
        <v>0</v>
      </c>
      <c r="L210">
        <f>IF(gescon_infosparticip!K209=FALSE,0,1)</f>
        <v>0</v>
      </c>
      <c r="M210">
        <f>IF(gescon_infosparticip!L209=FALSE,0,1)</f>
        <v>0</v>
      </c>
      <c r="N210">
        <f>IF(gescon_infosparticip!M209=FALSE,0,1)</f>
        <v>0</v>
      </c>
      <c r="O210">
        <f>IF(gescon_infosparticip!N209=FALSE,0,1)</f>
        <v>0</v>
      </c>
      <c r="P210">
        <f>IF(gescon_infosparticip!O209=FALSE,0,1)</f>
        <v>0</v>
      </c>
      <c r="Q210">
        <f>IF(gescon_infosparticip!P209=FALSE,0,1)</f>
        <v>0</v>
      </c>
      <c r="R210">
        <f>IF(gescon_infosparticip!Q209=FALSE,0,1)</f>
        <v>0</v>
      </c>
      <c r="S210" t="str">
        <f>gescon_infosparticip!R209</f>
        <v/>
      </c>
      <c r="T210" t="str">
        <f>gescon_infosparticip!V209</f>
        <v/>
      </c>
      <c r="U210" t="str">
        <f>gescon_infosparticip!S209</f>
        <v/>
      </c>
      <c r="V210">
        <f>IF(gescon_infosparticip!U209=FALSE,0,1)</f>
        <v>0</v>
      </c>
      <c r="W210">
        <f>IF(gescon_infosparticip!T209=FALSE,0,1)</f>
        <v>0</v>
      </c>
      <c r="X210" t="str">
        <f>gescon_infosparticip!W209</f>
        <v/>
      </c>
      <c r="Y210">
        <f>IF(gescon_infosparticip!X209=FALSE,0,1)</f>
        <v>0</v>
      </c>
      <c r="Z210">
        <f>IF(gescon_infosparticip!Y209=FALSE,0,1)</f>
        <v>0</v>
      </c>
      <c r="AA210">
        <f>IF(gescon_infosparticip!Z209=FALSE,0,1)</f>
        <v>0</v>
      </c>
      <c r="AB210">
        <f>IF(gescon_infosparticip!AA209=FALSE,0,1)</f>
        <v>0</v>
      </c>
      <c r="AC210" t="str">
        <f>gescon_infosparticip!AB209</f>
        <v/>
      </c>
      <c r="AD210" t="str">
        <f>gescon_infosparticip!AC209</f>
        <v/>
      </c>
      <c r="AE210" t="str">
        <f>gescon_infosparticip!AD209</f>
        <v/>
      </c>
      <c r="AF210" t="str">
        <f>gescon_infosparticip!AE209</f>
        <v/>
      </c>
      <c r="AG210" t="str">
        <f>gescon_infosparticip!AF209</f>
        <v/>
      </c>
      <c r="AH210" t="str">
        <f>gescon_infosparticip!AG209</f>
        <v/>
      </c>
      <c r="AI210" t="str">
        <f>gescon_infosparticip!BN209</f>
        <v/>
      </c>
      <c r="AJ210" t="str">
        <f>gescon_infosparticip!BO209</f>
        <v/>
      </c>
    </row>
    <row r="211" spans="2:36" x14ac:dyDescent="0.25">
      <c r="B211">
        <f>gescon_infosparticip!A210</f>
        <v>2146189102</v>
      </c>
      <c r="C211">
        <f>gescon_infosparticip!B210</f>
        <v>41185</v>
      </c>
      <c r="D211">
        <f>gescon_infosparticip!C210</f>
        <v>0</v>
      </c>
      <c r="E211">
        <f>gescon_infosparticip!D210</f>
        <v>0</v>
      </c>
      <c r="F211">
        <f>gescon_infosparticip!E210</f>
        <v>0</v>
      </c>
      <c r="G211">
        <f>gescon_infosparticip!F210</f>
        <v>0</v>
      </c>
      <c r="H211">
        <f>gescon_infosparticip!G210</f>
        <v>0</v>
      </c>
      <c r="I211" t="str">
        <f>gescon_infosparticip!H210</f>
        <v/>
      </c>
      <c r="J211">
        <f>IF(gescon_infosparticip!I210=FALSE,0,1)</f>
        <v>0</v>
      </c>
      <c r="K211">
        <f>IF(gescon_infosparticip!J210=FALSE,0,1)</f>
        <v>0</v>
      </c>
      <c r="L211">
        <f>IF(gescon_infosparticip!K210=FALSE,0,1)</f>
        <v>0</v>
      </c>
      <c r="M211">
        <f>IF(gescon_infosparticip!L210=FALSE,0,1)</f>
        <v>0</v>
      </c>
      <c r="N211">
        <f>IF(gescon_infosparticip!M210=FALSE,0,1)</f>
        <v>0</v>
      </c>
      <c r="O211">
        <f>IF(gescon_infosparticip!N210=FALSE,0,1)</f>
        <v>0</v>
      </c>
      <c r="P211">
        <f>IF(gescon_infosparticip!O210=FALSE,0,1)</f>
        <v>0</v>
      </c>
      <c r="Q211">
        <f>IF(gescon_infosparticip!P210=FALSE,0,1)</f>
        <v>0</v>
      </c>
      <c r="R211">
        <f>IF(gescon_infosparticip!Q210=FALSE,0,1)</f>
        <v>0</v>
      </c>
      <c r="S211" t="str">
        <f>gescon_infosparticip!R210</f>
        <v/>
      </c>
      <c r="T211" t="str">
        <f>gescon_infosparticip!V210</f>
        <v/>
      </c>
      <c r="U211" t="str">
        <f>gescon_infosparticip!S210</f>
        <v/>
      </c>
      <c r="V211">
        <f>IF(gescon_infosparticip!U210=FALSE,0,1)</f>
        <v>0</v>
      </c>
      <c r="W211">
        <f>IF(gescon_infosparticip!T210=FALSE,0,1)</f>
        <v>0</v>
      </c>
      <c r="X211" t="str">
        <f>gescon_infosparticip!W210</f>
        <v/>
      </c>
      <c r="Y211">
        <f>IF(gescon_infosparticip!X210=FALSE,0,1)</f>
        <v>0</v>
      </c>
      <c r="Z211">
        <f>IF(gescon_infosparticip!Y210=FALSE,0,1)</f>
        <v>0</v>
      </c>
      <c r="AA211">
        <f>IF(gescon_infosparticip!Z210=FALSE,0,1)</f>
        <v>0</v>
      </c>
      <c r="AB211">
        <f>IF(gescon_infosparticip!AA210=FALSE,0,1)</f>
        <v>0</v>
      </c>
      <c r="AC211" t="str">
        <f>gescon_infosparticip!AB210</f>
        <v/>
      </c>
      <c r="AD211" t="str">
        <f>gescon_infosparticip!AC210</f>
        <v/>
      </c>
      <c r="AE211" t="str">
        <f>gescon_infosparticip!AD210</f>
        <v/>
      </c>
      <c r="AF211" t="str">
        <f>gescon_infosparticip!AE210</f>
        <v/>
      </c>
      <c r="AG211" t="str">
        <f>gescon_infosparticip!AF210</f>
        <v/>
      </c>
      <c r="AH211" t="str">
        <f>gescon_infosparticip!AG210</f>
        <v/>
      </c>
      <c r="AI211" t="str">
        <f>gescon_infosparticip!BN210</f>
        <v/>
      </c>
      <c r="AJ211" t="str">
        <f>gescon_infosparticip!BO210</f>
        <v/>
      </c>
    </row>
    <row r="212" spans="2:36" x14ac:dyDescent="0.25">
      <c r="B212">
        <f>gescon_infosparticip!A211</f>
        <v>2146189111</v>
      </c>
      <c r="C212">
        <f>gescon_infosparticip!B211</f>
        <v>41992</v>
      </c>
      <c r="D212">
        <f>gescon_infosparticip!C211</f>
        <v>2146189110</v>
      </c>
      <c r="E212">
        <f>gescon_infosparticip!D211</f>
        <v>0</v>
      </c>
      <c r="F212">
        <f>gescon_infosparticip!E211</f>
        <v>0</v>
      </c>
      <c r="G212">
        <f>gescon_infosparticip!F211</f>
        <v>0</v>
      </c>
      <c r="H212">
        <f>gescon_infosparticip!G211</f>
        <v>0</v>
      </c>
      <c r="I212" t="str">
        <f>gescon_infosparticip!H211</f>
        <v/>
      </c>
      <c r="J212">
        <f>IF(gescon_infosparticip!I211=FALSE,0,1)</f>
        <v>0</v>
      </c>
      <c r="K212">
        <f>IF(gescon_infosparticip!J211=FALSE,0,1)</f>
        <v>0</v>
      </c>
      <c r="L212">
        <f>IF(gescon_infosparticip!K211=FALSE,0,1)</f>
        <v>0</v>
      </c>
      <c r="M212">
        <f>IF(gescon_infosparticip!L211=FALSE,0,1)</f>
        <v>1</v>
      </c>
      <c r="N212">
        <f>IF(gescon_infosparticip!M211=FALSE,0,1)</f>
        <v>0</v>
      </c>
      <c r="O212">
        <f>IF(gescon_infosparticip!N211=FALSE,0,1)</f>
        <v>1</v>
      </c>
      <c r="P212">
        <f>IF(gescon_infosparticip!O211=FALSE,0,1)</f>
        <v>0</v>
      </c>
      <c r="Q212">
        <f>IF(gescon_infosparticip!P211=FALSE,0,1)</f>
        <v>0</v>
      </c>
      <c r="R212">
        <f>IF(gescon_infosparticip!Q211=FALSE,0,1)</f>
        <v>0</v>
      </c>
      <c r="S212" t="str">
        <f>gescon_infosparticip!R211</f>
        <v>Il supporte mal les trajets en bus, voiture ou poussette. Dorian a besoin d'aide constamment étant donné qu'il ne se tient pas assis seul et qu'il ne rampe pas.</v>
      </c>
      <c r="T212" t="str">
        <f>gescon_infosparticip!V211</f>
        <v>Il a besoin de se faire habiller et changer. Lors du bain, attention aux morsures. Il faut s'en occuper comme d'un bébé de 4-5 mois.</v>
      </c>
      <c r="U212" t="str">
        <f>gescon_infosparticip!S211</f>
        <v>Il aime bcp aller à la piscine</v>
      </c>
      <c r="V212">
        <f>IF(gescon_infosparticip!U211=FALSE,0,1)</f>
        <v>0</v>
      </c>
      <c r="W212">
        <f>IF(gescon_infosparticip!T211=FALSE,0,1)</f>
        <v>0</v>
      </c>
      <c r="X212" t="str">
        <f>gescon_infosparticip!W211</f>
        <v>Dorian n'a pas un rythme de sommeil régulier en journée. Le soir, il va au lit entre 19h30 et 20h15 selon son état de fatigue et s'il a fait ou non une sieste. Il dort sur le dos. Il se mord les doigts très facilement en position couchée, pour les siestes ne s'endort que dans les bras. Réveil entre 7h et 9h30 généralement.</v>
      </c>
      <c r="Y212">
        <f>IF(gescon_infosparticip!X211=FALSE,0,1)</f>
        <v>0</v>
      </c>
      <c r="Z212">
        <f>IF(gescon_infosparticip!Y211=FALSE,0,1)</f>
        <v>0</v>
      </c>
      <c r="AA212">
        <f>IF(gescon_infosparticip!Z211=FALSE,0,1)</f>
        <v>0</v>
      </c>
      <c r="AB212">
        <f>IF(gescon_infosparticip!AA211=FALSE,0,1)</f>
        <v>1</v>
      </c>
      <c r="AC212" t="str">
        <f>gescon_infosparticip!AB211</f>
        <v>Il regarde attentivement un objet qu'il désire. Il fait des sourires pour dire oui et des grimaces pour dire non.</v>
      </c>
      <c r="AD212" t="str">
        <f>gescon_infosparticip!AC211</f>
        <v/>
      </c>
      <c r="AE212" t="str">
        <f>gescon_infosparticip!AD211</f>
        <v/>
      </c>
      <c r="AF212" t="str">
        <f>gescon_infosparticip!AE211</f>
        <v/>
      </c>
      <c r="AG212" t="str">
        <f>gescon_infosparticip!AF211</f>
        <v>Dans son temps libre, il aime regarder des livres et qu'on lui raconte des histoires, faire des jeux (avec de l'aide), chanter des chansons.</v>
      </c>
      <c r="AH212" t="str">
        <f>gescon_infosparticip!AG211</f>
        <v>Les repas sont parfois difficiles et les siestes également. Il n'aime pas qu'on lui touche le visage. Il sursaute facilement, si possible lui avertir des bruits.</v>
      </c>
      <c r="AI212" t="str">
        <f>gescon_infosparticip!BN211</f>
        <v>Lors des jeux : assis avec appui, couché. A parfois besoin d'être debout ou dans les bras. Il y a également un siège adapté.</v>
      </c>
      <c r="AJ212" t="str">
        <f>gescon_infosparticip!BO211</f>
        <v/>
      </c>
    </row>
    <row r="213" spans="2:36" x14ac:dyDescent="0.25">
      <c r="B213">
        <f>gescon_infosparticip!A212</f>
        <v>2146189118</v>
      </c>
      <c r="C213">
        <f>gescon_infosparticip!B212</f>
        <v>42858</v>
      </c>
      <c r="D213">
        <f>gescon_infosparticip!C212</f>
        <v>0</v>
      </c>
      <c r="E213">
        <f>gescon_infosparticip!D212</f>
        <v>0</v>
      </c>
      <c r="F213">
        <f>gescon_infosparticip!E212</f>
        <v>2146189121</v>
      </c>
      <c r="G213">
        <f>gescon_infosparticip!F212</f>
        <v>2146189000</v>
      </c>
      <c r="H213">
        <f>gescon_infosparticip!G212</f>
        <v>2146189000</v>
      </c>
      <c r="I213" t="str">
        <f>gescon_infosparticip!H212</f>
        <v>Christophe Joliver</v>
      </c>
      <c r="J213">
        <f>IF(gescon_infosparticip!I212=FALSE,0,1)</f>
        <v>1</v>
      </c>
      <c r="K213">
        <f>IF(gescon_infosparticip!J212=FALSE,0,1)</f>
        <v>0</v>
      </c>
      <c r="L213">
        <f>IF(gescon_infosparticip!K212=FALSE,0,1)</f>
        <v>0</v>
      </c>
      <c r="M213">
        <f>IF(gescon_infosparticip!L212=FALSE,0,1)</f>
        <v>0</v>
      </c>
      <c r="N213">
        <f>IF(gescon_infosparticip!M212=FALSE,0,1)</f>
        <v>0</v>
      </c>
      <c r="O213">
        <f>IF(gescon_infosparticip!N212=FALSE,0,1)</f>
        <v>0</v>
      </c>
      <c r="P213">
        <f>IF(gescon_infosparticip!O212=FALSE,0,1)</f>
        <v>0</v>
      </c>
      <c r="Q213">
        <f>IF(gescon_infosparticip!P212=FALSE,0,1)</f>
        <v>0</v>
      </c>
      <c r="R213">
        <f>IF(gescon_infosparticip!Q212=FALSE,0,1)</f>
        <v>1</v>
      </c>
      <c r="S213" t="str">
        <f>gescon_infosparticip!R212</f>
        <v>Il supporte les longs trajets en bus</v>
      </c>
      <c r="T213" t="str">
        <f>gescon_infosparticip!V212</f>
        <v>Totalement dépendant</v>
      </c>
      <c r="U213" t="str">
        <f>gescon_infosparticip!S212</f>
        <v>N'aime pas la piscine</v>
      </c>
      <c r="V213">
        <f>IF(gescon_infosparticip!U212=FALSE,0,1)</f>
        <v>1</v>
      </c>
      <c r="W213">
        <f>IF(gescon_infosparticip!T212=FALSE,0,1)</f>
        <v>0</v>
      </c>
      <c r="X213" t="str">
        <f>gescon_infosparticip!W212</f>
        <v>Passe beaucoup de temps au lit et regarde la TV</v>
      </c>
      <c r="Y213">
        <f>IF(gescon_infosparticip!X212=FALSE,0,1)</f>
        <v>0</v>
      </c>
      <c r="Z213">
        <f>IF(gescon_infosparticip!Y212=FALSE,0,1)</f>
        <v>0</v>
      </c>
      <c r="AA213">
        <f>IF(gescon_infosparticip!Z212=FALSE,0,1)</f>
        <v>0</v>
      </c>
      <c r="AB213">
        <f>IF(gescon_infosparticip!AA212=FALSE,0,1)</f>
        <v>0</v>
      </c>
      <c r="AC213" t="str">
        <f>gescon_infosparticip!AB212</f>
        <v>Oral. Bonne expression</v>
      </c>
      <c r="AD213" t="str">
        <f>gescon_infosparticip!AC212</f>
        <v/>
      </c>
      <c r="AE213" t="str">
        <f>gescon_infosparticip!AD212</f>
        <v/>
      </c>
      <c r="AF213" t="str">
        <f>gescon_infosparticip!AE212</f>
        <v/>
      </c>
      <c r="AG213" t="str">
        <f>gescon_infosparticip!AF212</f>
        <v>Balades, sorties, boire un verre, cinéma</v>
      </c>
      <c r="AH213" t="str">
        <f>gescon_infosparticip!AG212</f>
        <v/>
      </c>
      <c r="AI213" t="str">
        <f>gescon_infosparticip!BN212</f>
        <v>Non car matelas anti-escarres confortable.</v>
      </c>
      <c r="AJ213" t="str">
        <f>gescon_infosparticip!BO212</f>
        <v/>
      </c>
    </row>
    <row r="214" spans="2:36" x14ac:dyDescent="0.25">
      <c r="B214">
        <f>gescon_infosparticip!A213</f>
        <v>2146189129</v>
      </c>
      <c r="C214">
        <f>gescon_infosparticip!B213</f>
        <v>41584.618946759299</v>
      </c>
      <c r="D214">
        <f>gescon_infosparticip!C213</f>
        <v>2146189129</v>
      </c>
      <c r="E214">
        <f>gescon_infosparticip!D213</f>
        <v>0</v>
      </c>
      <c r="F214">
        <f>gescon_infosparticip!E213</f>
        <v>0</v>
      </c>
      <c r="G214">
        <f>gescon_infosparticip!F213</f>
        <v>0</v>
      </c>
      <c r="H214">
        <f>gescon_infosparticip!G213</f>
        <v>2146189129</v>
      </c>
      <c r="I214" t="str">
        <f>gescon_infosparticip!H213</f>
        <v/>
      </c>
      <c r="J214">
        <f>IF(gescon_infosparticip!I213=FALSE,0,1)</f>
        <v>0</v>
      </c>
      <c r="K214">
        <f>IF(gescon_infosparticip!J213=FALSE,0,1)</f>
        <v>0</v>
      </c>
      <c r="L214">
        <f>IF(gescon_infosparticip!K213=FALSE,0,1)</f>
        <v>0</v>
      </c>
      <c r="M214">
        <f>IF(gescon_infosparticip!L213=FALSE,0,1)</f>
        <v>0</v>
      </c>
      <c r="N214">
        <f>IF(gescon_infosparticip!M213=FALSE,0,1)</f>
        <v>0</v>
      </c>
      <c r="O214">
        <f>IF(gescon_infosparticip!N213=FALSE,0,1)</f>
        <v>0</v>
      </c>
      <c r="P214">
        <f>IF(gescon_infosparticip!O213=FALSE,0,1)</f>
        <v>0</v>
      </c>
      <c r="Q214">
        <f>IF(gescon_infosparticip!P213=FALSE,0,1)</f>
        <v>0</v>
      </c>
      <c r="R214">
        <f>IF(gescon_infosparticip!Q213=FALSE,0,1)</f>
        <v>0</v>
      </c>
      <c r="S214" t="str">
        <f>gescon_infosparticip!R213</f>
        <v/>
      </c>
      <c r="T214" t="str">
        <f>gescon_infosparticip!V213</f>
        <v/>
      </c>
      <c r="U214" t="str">
        <f>gescon_infosparticip!S213</f>
        <v/>
      </c>
      <c r="V214">
        <f>IF(gescon_infosparticip!U213=FALSE,0,1)</f>
        <v>0</v>
      </c>
      <c r="W214">
        <f>IF(gescon_infosparticip!T213=FALSE,0,1)</f>
        <v>0</v>
      </c>
      <c r="X214" t="str">
        <f>gescon_infosparticip!W213</f>
        <v/>
      </c>
      <c r="Y214">
        <f>IF(gescon_infosparticip!X213=FALSE,0,1)</f>
        <v>0</v>
      </c>
      <c r="Z214">
        <f>IF(gescon_infosparticip!Y213=FALSE,0,1)</f>
        <v>0</v>
      </c>
      <c r="AA214">
        <f>IF(gescon_infosparticip!Z213=FALSE,0,1)</f>
        <v>0</v>
      </c>
      <c r="AB214">
        <f>IF(gescon_infosparticip!AA213=FALSE,0,1)</f>
        <v>0</v>
      </c>
      <c r="AC214" t="str">
        <f>gescon_infosparticip!AB213</f>
        <v/>
      </c>
      <c r="AD214" t="str">
        <f>gescon_infosparticip!AC213</f>
        <v/>
      </c>
      <c r="AE214" t="str">
        <f>gescon_infosparticip!AD213</f>
        <v/>
      </c>
      <c r="AF214" t="str">
        <f>gescon_infosparticip!AE213</f>
        <v/>
      </c>
      <c r="AG214" t="str">
        <f>gescon_infosparticip!AF213</f>
        <v/>
      </c>
      <c r="AH214" t="str">
        <f>gescon_infosparticip!AG213</f>
        <v/>
      </c>
      <c r="AI214" t="str">
        <f>gescon_infosparticip!BN213</f>
        <v/>
      </c>
      <c r="AJ214" t="str">
        <f>gescon_infosparticip!BO213</f>
        <v/>
      </c>
    </row>
    <row r="215" spans="2:36" x14ac:dyDescent="0.25">
      <c r="B215">
        <f>gescon_infosparticip!A214</f>
        <v>2146189159</v>
      </c>
      <c r="C215">
        <f>gescon_infosparticip!B214</f>
        <v>42843</v>
      </c>
      <c r="D215">
        <f>gescon_infosparticip!C214</f>
        <v>2146189196</v>
      </c>
      <c r="E215">
        <f>gescon_infosparticip!D214</f>
        <v>0</v>
      </c>
      <c r="F215">
        <f>gescon_infosparticip!E214</f>
        <v>0</v>
      </c>
      <c r="G215">
        <f>gescon_infosparticip!F214</f>
        <v>0</v>
      </c>
      <c r="H215">
        <f>gescon_infosparticip!G214</f>
        <v>0</v>
      </c>
      <c r="I215" t="str">
        <f>gescon_infosparticip!H214</f>
        <v/>
      </c>
      <c r="J215">
        <f>IF(gescon_infosparticip!I214=FALSE,0,1)</f>
        <v>0</v>
      </c>
      <c r="K215">
        <f>IF(gescon_infosparticip!J214=FALSE,0,1)</f>
        <v>0</v>
      </c>
      <c r="L215">
        <f>IF(gescon_infosparticip!K214=FALSE,0,1)</f>
        <v>0</v>
      </c>
      <c r="M215">
        <f>IF(gescon_infosparticip!L214=FALSE,0,1)</f>
        <v>1</v>
      </c>
      <c r="N215">
        <f>IF(gescon_infosparticip!M214=FALSE,0,1)</f>
        <v>1</v>
      </c>
      <c r="O215">
        <f>IF(gescon_infosparticip!N214=FALSE,0,1)</f>
        <v>0</v>
      </c>
      <c r="P215">
        <f>IF(gescon_infosparticip!O214=FALSE,0,1)</f>
        <v>0</v>
      </c>
      <c r="Q215">
        <f>IF(gescon_infosparticip!P214=FALSE,0,1)</f>
        <v>0</v>
      </c>
      <c r="R215">
        <f>IF(gescon_infosparticip!Q214=FALSE,0,1)</f>
        <v>0</v>
      </c>
      <c r="S215" t="str">
        <f>gescon_infosparticip!R214</f>
        <v/>
      </c>
      <c r="T215" t="str">
        <f>gescon_infosparticip!V214</f>
        <v/>
      </c>
      <c r="U215" t="str">
        <f>gescon_infosparticip!S214</f>
        <v>Valaisia à Montana</v>
      </c>
      <c r="V215">
        <f>IF(gescon_infosparticip!U214=FALSE,0,1)</f>
        <v>1</v>
      </c>
      <c r="W215">
        <f>IF(gescon_infosparticip!T214=FALSE,0,1)</f>
        <v>0</v>
      </c>
      <c r="X215" t="str">
        <f>gescon_infosparticip!W214</f>
        <v/>
      </c>
      <c r="Y215">
        <f>IF(gescon_infosparticip!X214=FALSE,0,1)</f>
        <v>0</v>
      </c>
      <c r="Z215">
        <f>IF(gescon_infosparticip!Y214=FALSE,0,1)</f>
        <v>0</v>
      </c>
      <c r="AA215">
        <f>IF(gescon_infosparticip!Z214=FALSE,0,1)</f>
        <v>0</v>
      </c>
      <c r="AB215">
        <f>IF(gescon_infosparticip!AA214=FALSE,0,1)</f>
        <v>0</v>
      </c>
      <c r="AC215" t="str">
        <f>gescon_infosparticip!AB214</f>
        <v>quelques mots - mimiques - attitudes corporelles</v>
      </c>
      <c r="AD215" t="str">
        <f>gescon_infosparticip!AC214</f>
        <v/>
      </c>
      <c r="AE215" t="str">
        <f>gescon_infosparticip!AD214</f>
        <v/>
      </c>
      <c r="AF215" t="str">
        <f>gescon_infosparticip!AE214</f>
        <v/>
      </c>
      <c r="AG215" t="str">
        <f>gescon_infosparticip!AF214</f>
        <v>Musique, jeux, bricolage, promenades, luge, patin à glace, aller boire un café, un sirop au café</v>
      </c>
      <c r="AH215" t="str">
        <f>gescon_infosparticip!AG214</f>
        <v/>
      </c>
      <c r="AI215" t="str">
        <f>gescon_infosparticip!BN214</f>
        <v/>
      </c>
      <c r="AJ215" t="str">
        <f>gescon_infosparticip!BO214</f>
        <v/>
      </c>
    </row>
    <row r="216" spans="2:36" x14ac:dyDescent="0.25">
      <c r="B216">
        <f>gescon_infosparticip!A215</f>
        <v>2146189167</v>
      </c>
      <c r="C216">
        <f>gescon_infosparticip!B215</f>
        <v>41786</v>
      </c>
      <c r="D216">
        <f>gescon_infosparticip!C215</f>
        <v>1143082632</v>
      </c>
      <c r="E216">
        <f>gescon_infosparticip!D215</f>
        <v>0</v>
      </c>
      <c r="F216">
        <f>gescon_infosparticip!E215</f>
        <v>0</v>
      </c>
      <c r="G216">
        <f>gescon_infosparticip!F215</f>
        <v>0</v>
      </c>
      <c r="H216">
        <f>gescon_infosparticip!G215</f>
        <v>2146189168</v>
      </c>
      <c r="I216" t="str">
        <f>gescon_infosparticip!H215</f>
        <v/>
      </c>
      <c r="J216">
        <f>IF(gescon_infosparticip!I215=FALSE,0,1)</f>
        <v>0</v>
      </c>
      <c r="K216">
        <f>IF(gescon_infosparticip!J215=FALSE,0,1)</f>
        <v>0</v>
      </c>
      <c r="L216">
        <f>IF(gescon_infosparticip!K215=FALSE,0,1)</f>
        <v>0</v>
      </c>
      <c r="M216">
        <f>IF(gescon_infosparticip!L215=FALSE,0,1)</f>
        <v>0</v>
      </c>
      <c r="N216">
        <f>IF(gescon_infosparticip!M215=FALSE,0,1)</f>
        <v>0</v>
      </c>
      <c r="O216">
        <f>IF(gescon_infosparticip!N215=FALSE,0,1)</f>
        <v>0</v>
      </c>
      <c r="P216">
        <f>IF(gescon_infosparticip!O215=FALSE,0,1)</f>
        <v>0</v>
      </c>
      <c r="Q216">
        <f>IF(gescon_infosparticip!P215=FALSE,0,1)</f>
        <v>0</v>
      </c>
      <c r="R216">
        <f>IF(gescon_infosparticip!Q215=FALSE,0,1)</f>
        <v>0</v>
      </c>
      <c r="S216" t="str">
        <f>gescon_infosparticip!R215</f>
        <v/>
      </c>
      <c r="T216" t="str">
        <f>gescon_infosparticip!V215</f>
        <v/>
      </c>
      <c r="U216" t="str">
        <f>gescon_infosparticip!S215</f>
        <v/>
      </c>
      <c r="V216">
        <f>IF(gescon_infosparticip!U215=FALSE,0,1)</f>
        <v>0</v>
      </c>
      <c r="W216">
        <f>IF(gescon_infosparticip!T215=FALSE,0,1)</f>
        <v>0</v>
      </c>
      <c r="X216" t="str">
        <f>gescon_infosparticip!W215</f>
        <v/>
      </c>
      <c r="Y216">
        <f>IF(gescon_infosparticip!X215=FALSE,0,1)</f>
        <v>0</v>
      </c>
      <c r="Z216">
        <f>IF(gescon_infosparticip!Y215=FALSE,0,1)</f>
        <v>0</v>
      </c>
      <c r="AA216">
        <f>IF(gescon_infosparticip!Z215=FALSE,0,1)</f>
        <v>0</v>
      </c>
      <c r="AB216">
        <f>IF(gescon_infosparticip!AA215=FALSE,0,1)</f>
        <v>0</v>
      </c>
      <c r="AC216" t="str">
        <f>gescon_infosparticip!AB215</f>
        <v/>
      </c>
      <c r="AD216" t="str">
        <f>gescon_infosparticip!AC215</f>
        <v/>
      </c>
      <c r="AE216" t="str">
        <f>gescon_infosparticip!AD215</f>
        <v/>
      </c>
      <c r="AF216" t="str">
        <f>gescon_infosparticip!AE215</f>
        <v/>
      </c>
      <c r="AG216" t="str">
        <f>gescon_infosparticip!AF215</f>
        <v/>
      </c>
      <c r="AH216" t="str">
        <f>gescon_infosparticip!AG215</f>
        <v/>
      </c>
      <c r="AI216" t="str">
        <f>gescon_infosparticip!BN215</f>
        <v/>
      </c>
      <c r="AJ216" t="str">
        <f>gescon_infosparticip!BO215</f>
        <v/>
      </c>
    </row>
    <row r="217" spans="2:36" x14ac:dyDescent="0.25">
      <c r="B217">
        <f>gescon_infosparticip!A216</f>
        <v>2146189179</v>
      </c>
      <c r="C217">
        <f>gescon_infosparticip!B216</f>
        <v>42933</v>
      </c>
      <c r="D217">
        <f>gescon_infosparticip!C216</f>
        <v>2146189189</v>
      </c>
      <c r="E217">
        <f>gescon_infosparticip!D216</f>
        <v>0</v>
      </c>
      <c r="F217">
        <f>gescon_infosparticip!E216</f>
        <v>0</v>
      </c>
      <c r="G217">
        <f>gescon_infosparticip!F216</f>
        <v>2146189000</v>
      </c>
      <c r="H217">
        <f>gescon_infosparticip!G216</f>
        <v>2146189000</v>
      </c>
      <c r="I217" t="str">
        <f>gescon_infosparticip!H216</f>
        <v>Janine Rapillard 0273272924</v>
      </c>
      <c r="J217">
        <f>IF(gescon_infosparticip!I216=FALSE,0,1)</f>
        <v>1</v>
      </c>
      <c r="K217">
        <f>IF(gescon_infosparticip!J216=FALSE,0,1)</f>
        <v>0</v>
      </c>
      <c r="L217">
        <f>IF(gescon_infosparticip!K216=FALSE,0,1)</f>
        <v>0</v>
      </c>
      <c r="M217">
        <f>IF(gescon_infosparticip!L216=FALSE,0,1)</f>
        <v>0</v>
      </c>
      <c r="N217">
        <f>IF(gescon_infosparticip!M216=FALSE,0,1)</f>
        <v>0</v>
      </c>
      <c r="O217">
        <f>IF(gescon_infosparticip!N216=FALSE,0,1)</f>
        <v>1</v>
      </c>
      <c r="P217">
        <f>IF(gescon_infosparticip!O216=FALSE,0,1)</f>
        <v>1</v>
      </c>
      <c r="Q217">
        <f>IF(gescon_infosparticip!P216=FALSE,0,1)</f>
        <v>1</v>
      </c>
      <c r="R217">
        <f>IF(gescon_infosparticip!Q216=FALSE,0,1)</f>
        <v>0</v>
      </c>
      <c r="S217" t="str">
        <f>gescon_infosparticip!R216</f>
        <v>Il se déplace en chaise. Pour les trajets plus courts (qqs pas) il a une canne anglaise. Il a deux attèlles : la grande pour marcher -&gt; un petit trajet par jour en marchant. La petite pour le confort le reste de la journée, pas besoin de bas de contention</v>
      </c>
      <c r="T217" t="str">
        <f>gescon_infosparticip!V216</f>
        <v>Il est autonome pour s'habiller et pour la toilette au lavabo. Il faut juste l'aider pour le dos et les fessiers sous la douche. Il porte toujours sa banane autour de la taille. Elle contient son porte-monnaie et ses cigarettes. Aide pour la grande attelle et le bas de contention est bienvenu.</v>
      </c>
      <c r="U217" t="str">
        <f>gescon_infosparticip!S216</f>
        <v>Il n'aime plus trop la piscine.</v>
      </c>
      <c r="V217">
        <f>IF(gescon_infosparticip!U216=FALSE,0,1)</f>
        <v>0</v>
      </c>
      <c r="W217">
        <f>IF(gescon_infosparticip!T216=FALSE,0,1)</f>
        <v>0</v>
      </c>
      <c r="X217" t="str">
        <f>gescon_infosparticip!W216</f>
        <v>Rien de spécial. Il dort bien la nuit et ne fait pas de sieste en journée.</v>
      </c>
      <c r="Y217">
        <f>IF(gescon_infosparticip!X216=FALSE,0,1)</f>
        <v>0</v>
      </c>
      <c r="Z217">
        <f>IF(gescon_infosparticip!Y216=FALSE,0,1)</f>
        <v>0</v>
      </c>
      <c r="AA217">
        <f>IF(gescon_infosparticip!Z216=FALSE,0,1)</f>
        <v>0</v>
      </c>
      <c r="AB217">
        <f>IF(gescon_infosparticip!AA216=FALSE,0,1)</f>
        <v>0</v>
      </c>
      <c r="AC217" t="str">
        <f>gescon_infosparticip!AB216</f>
        <v>Il est aphasique mais arrive à communiquer par petits mots ou phrases. Il lui faut du temps pour sortir les mots, souvent ça ne sort pas ou très difficilement. Il faut l'encourager à parler. C'est un grand farceur.</v>
      </c>
      <c r="AD217" t="str">
        <f>gescon_infosparticip!AC216</f>
        <v>Son père est décédé il a une très bonne relation avec sa maman qui est retraitée.</v>
      </c>
      <c r="AE217" t="str">
        <f>gescon_infosparticip!AD216</f>
        <v>Il a un frère avec qui il entretien une super relation et est tonton de 2 filles.</v>
      </c>
      <c r="AF217" t="str">
        <f>gescon_infosparticip!AE216</f>
        <v/>
      </c>
      <c r="AG217" t="str">
        <f>gescon_infosparticip!AF216</f>
        <v>Il aime les sorties en général, spectacles, cinéma, expos, soirées en disco, peinture, boire un verre. Intéressé par tout. Aime le FC Sion.</v>
      </c>
      <c r="AH217" t="str">
        <f>gescon_infosparticip!AG216</f>
        <v/>
      </c>
      <c r="AI217" t="str">
        <f>gescon_infosparticip!BN216</f>
        <v>Autonome, C'est bien pour lui de marcher une fois par jour par exemple pour se rendre au déjeuner, mais ce n'est pas une obligation pendant le camp. Un petit exerice par jour pr maintenir la forme.</v>
      </c>
      <c r="AJ217" t="str">
        <f>gescon_infosparticip!BO216</f>
        <v/>
      </c>
    </row>
    <row r="218" spans="2:36" x14ac:dyDescent="0.25">
      <c r="B218">
        <f>gescon_infosparticip!A217</f>
        <v>2146189191</v>
      </c>
      <c r="C218">
        <f>gescon_infosparticip!B217</f>
        <v>41305</v>
      </c>
      <c r="D218">
        <f>gescon_infosparticip!C217</f>
        <v>2146189192</v>
      </c>
      <c r="E218">
        <f>gescon_infosparticip!D217</f>
        <v>0</v>
      </c>
      <c r="F218">
        <f>gescon_infosparticip!E217</f>
        <v>0</v>
      </c>
      <c r="G218">
        <f>gescon_infosparticip!F217</f>
        <v>1434</v>
      </c>
      <c r="H218">
        <f>gescon_infosparticip!G217</f>
        <v>0</v>
      </c>
      <c r="I218" t="str">
        <f>gescon_infosparticip!H217</f>
        <v>Annik Savioz 027 451 21 84</v>
      </c>
      <c r="J218">
        <f>IF(gescon_infosparticip!I217=FALSE,0,1)</f>
        <v>1</v>
      </c>
      <c r="K218">
        <f>IF(gescon_infosparticip!J217=FALSE,0,1)</f>
        <v>0</v>
      </c>
      <c r="L218">
        <f>IF(gescon_infosparticip!K217=FALSE,0,1)</f>
        <v>0</v>
      </c>
      <c r="M218">
        <f>IF(gescon_infosparticip!L217=FALSE,0,1)</f>
        <v>0</v>
      </c>
      <c r="N218">
        <f>IF(gescon_infosparticip!M217=FALSE,0,1)</f>
        <v>0</v>
      </c>
      <c r="O218">
        <f>IF(gescon_infosparticip!N217=FALSE,0,1)</f>
        <v>0</v>
      </c>
      <c r="P218">
        <f>IF(gescon_infosparticip!O217=FALSE,0,1)</f>
        <v>0</v>
      </c>
      <c r="Q218">
        <f>IF(gescon_infosparticip!P217=FALSE,0,1)</f>
        <v>1</v>
      </c>
      <c r="R218">
        <f>IF(gescon_infosparticip!Q217=FALSE,0,1)</f>
        <v>0</v>
      </c>
      <c r="S218" t="str">
        <f>gescon_infosparticip!R217</f>
        <v>il supporte les longs trajets en bus</v>
      </c>
      <c r="T218" t="str">
        <f>gescon_infosparticip!V217</f>
        <v/>
      </c>
      <c r="U218" t="str">
        <f>gescon_infosparticip!S217</f>
        <v>à voir avec lui</v>
      </c>
      <c r="V218">
        <f>IF(gescon_infosparticip!U217=FALSE,0,1)</f>
        <v>0</v>
      </c>
      <c r="W218">
        <f>IF(gescon_infosparticip!T217=FALSE,0,1)</f>
        <v>0</v>
      </c>
      <c r="X218" t="str">
        <f>gescon_infosparticip!W217</f>
        <v/>
      </c>
      <c r="Y218">
        <f>IF(gescon_infosparticip!X217=FALSE,0,1)</f>
        <v>0</v>
      </c>
      <c r="Z218">
        <f>IF(gescon_infosparticip!Y217=FALSE,0,1)</f>
        <v>0</v>
      </c>
      <c r="AA218">
        <f>IF(gescon_infosparticip!Z217=FALSE,0,1)</f>
        <v>0</v>
      </c>
      <c r="AB218">
        <f>IF(gescon_infosparticip!AA217=FALSE,0,1)</f>
        <v>0</v>
      </c>
      <c r="AC218" t="str">
        <f>gescon_infosparticip!AB217</f>
        <v>Paul s'exprime. Néanmoins, il n'est pas qqun de très bavard.</v>
      </c>
      <c r="AD218" t="str">
        <f>gescon_infosparticip!AC217</f>
        <v/>
      </c>
      <c r="AE218" t="str">
        <f>gescon_infosparticip!AD217</f>
        <v/>
      </c>
      <c r="AF218" t="str">
        <f>gescon_infosparticip!AE217</f>
        <v/>
      </c>
      <c r="AG218" t="str">
        <f>gescon_infosparticip!AF217</f>
        <v>- Grand fan de sport et plus particulièrement de tennis.
- frères, sœurs, oncles, tantes, personnes de référence etc. leur métier et pasion</v>
      </c>
      <c r="AH218" t="str">
        <f>gescon_infosparticip!AG217</f>
        <v>lui demander</v>
      </c>
      <c r="AI218" t="str">
        <f>gescon_infosparticip!BN217</f>
        <v>NON</v>
      </c>
      <c r="AJ218" t="str">
        <f>gescon_infosparticip!BO217</f>
        <v/>
      </c>
    </row>
    <row r="219" spans="2:36" x14ac:dyDescent="0.25">
      <c r="B219">
        <f>gescon_infosparticip!A218</f>
        <v>2146189203</v>
      </c>
      <c r="C219">
        <f>gescon_infosparticip!B218</f>
        <v>41766</v>
      </c>
      <c r="D219">
        <f>gescon_infosparticip!C218</f>
        <v>0</v>
      </c>
      <c r="E219">
        <f>gescon_infosparticip!D218</f>
        <v>0</v>
      </c>
      <c r="F219">
        <f>gescon_infosparticip!E218</f>
        <v>0</v>
      </c>
      <c r="G219">
        <f>gescon_infosparticip!F218</f>
        <v>2146189000</v>
      </c>
      <c r="H219">
        <f>gescon_infosparticip!G218</f>
        <v>0</v>
      </c>
      <c r="I219" t="str">
        <f>gescon_infosparticip!H218</f>
        <v>Eric Roulier</v>
      </c>
      <c r="J219">
        <f>IF(gescon_infosparticip!I218=FALSE,0,1)</f>
        <v>1</v>
      </c>
      <c r="K219">
        <f>IF(gescon_infosparticip!J218=FALSE,0,1)</f>
        <v>0</v>
      </c>
      <c r="L219">
        <f>IF(gescon_infosparticip!K218=FALSE,0,1)</f>
        <v>0</v>
      </c>
      <c r="M219">
        <f>IF(gescon_infosparticip!L218=FALSE,0,1)</f>
        <v>0</v>
      </c>
      <c r="N219">
        <f>IF(gescon_infosparticip!M218=FALSE,0,1)</f>
        <v>1</v>
      </c>
      <c r="O219">
        <f>IF(gescon_infosparticip!N218=FALSE,0,1)</f>
        <v>0</v>
      </c>
      <c r="P219">
        <f>IF(gescon_infosparticip!O218=FALSE,0,1)</f>
        <v>0</v>
      </c>
      <c r="Q219">
        <f>IF(gescon_infosparticip!P218=FALSE,0,1)</f>
        <v>0</v>
      </c>
      <c r="R219">
        <f>IF(gescon_infosparticip!Q218=FALSE,0,1)</f>
        <v>0</v>
      </c>
      <c r="S219" t="str">
        <f>gescon_infosparticip!R218</f>
        <v>Marche seul</v>
      </c>
      <c r="T219" t="str">
        <f>gescon_infosparticip!V218</f>
        <v>Besoin d'être stimulé</v>
      </c>
      <c r="U219" t="str">
        <f>gescon_infosparticip!S218</f>
        <v>Oui, autonome</v>
      </c>
      <c r="V219">
        <f>IF(gescon_infosparticip!U218=FALSE,0,1)</f>
        <v>1</v>
      </c>
      <c r="W219">
        <f>IF(gescon_infosparticip!T218=FALSE,0,1)</f>
        <v>0</v>
      </c>
      <c r="X219" t="str">
        <f>gescon_infosparticip!W218</f>
        <v/>
      </c>
      <c r="Y219">
        <f>IF(gescon_infosparticip!X218=FALSE,0,1)</f>
        <v>0</v>
      </c>
      <c r="Z219">
        <f>IF(gescon_infosparticip!Y218=FALSE,0,1)</f>
        <v>0</v>
      </c>
      <c r="AA219">
        <f>IF(gescon_infosparticip!Z218=FALSE,0,1)</f>
        <v>0</v>
      </c>
      <c r="AB219">
        <f>IF(gescon_infosparticip!AA218=FALSE,0,1)</f>
        <v>0</v>
      </c>
      <c r="AC219" t="str">
        <f>gescon_infosparticip!AB218</f>
        <v>Verbale. Eric peut avoir des mots inadéquats, lui demander de s'excuser si nécessaire.</v>
      </c>
      <c r="AD219" t="str">
        <f>gescon_infosparticip!AC218</f>
        <v/>
      </c>
      <c r="AE219" t="str">
        <f>gescon_infosparticip!AD218</f>
        <v/>
      </c>
      <c r="AF219" t="str">
        <f>gescon_infosparticip!AE218</f>
        <v/>
      </c>
      <c r="AG219" t="str">
        <f>gescon_infosparticip!AF218</f>
        <v>Eric aime le fitness, bâteau, bowling, peinture, bistro, concerts de rocks, vélos adaptés, sortie grillade, etc…</v>
      </c>
      <c r="AH219" t="str">
        <f>gescon_infosparticip!AG218</f>
        <v/>
      </c>
      <c r="AI219" t="str">
        <f>gescon_infosparticip!BN218</f>
        <v/>
      </c>
      <c r="AJ219" t="str">
        <f>gescon_infosparticip!BO218</f>
        <v/>
      </c>
    </row>
    <row r="220" spans="2:36" x14ac:dyDescent="0.25">
      <c r="B220">
        <f>gescon_infosparticip!A219</f>
        <v>2146189217</v>
      </c>
      <c r="C220">
        <f>gescon_infosparticip!B219</f>
        <v>41340</v>
      </c>
      <c r="D220">
        <f>gescon_infosparticip!C219</f>
        <v>0</v>
      </c>
      <c r="E220">
        <f>gescon_infosparticip!D219</f>
        <v>0</v>
      </c>
      <c r="F220">
        <f>gescon_infosparticip!E219</f>
        <v>0</v>
      </c>
      <c r="G220">
        <f>gescon_infosparticip!F219</f>
        <v>0</v>
      </c>
      <c r="H220">
        <f>gescon_infosparticip!G219</f>
        <v>0</v>
      </c>
      <c r="I220" t="str">
        <f>gescon_infosparticip!H219</f>
        <v/>
      </c>
      <c r="J220">
        <f>IF(gescon_infosparticip!I219=FALSE,0,1)</f>
        <v>0</v>
      </c>
      <c r="K220">
        <f>IF(gescon_infosparticip!J219=FALSE,0,1)</f>
        <v>0</v>
      </c>
      <c r="L220">
        <f>IF(gescon_infosparticip!K219=FALSE,0,1)</f>
        <v>0</v>
      </c>
      <c r="M220">
        <f>IF(gescon_infosparticip!L219=FALSE,0,1)</f>
        <v>0</v>
      </c>
      <c r="N220">
        <f>IF(gescon_infosparticip!M219=FALSE,0,1)</f>
        <v>0</v>
      </c>
      <c r="O220">
        <f>IF(gescon_infosparticip!N219=FALSE,0,1)</f>
        <v>0</v>
      </c>
      <c r="P220">
        <f>IF(gescon_infosparticip!O219=FALSE,0,1)</f>
        <v>0</v>
      </c>
      <c r="Q220">
        <f>IF(gescon_infosparticip!P219=FALSE,0,1)</f>
        <v>0</v>
      </c>
      <c r="R220">
        <f>IF(gescon_infosparticip!Q219=FALSE,0,1)</f>
        <v>0</v>
      </c>
      <c r="S220" t="str">
        <f>gescon_infosparticip!R219</f>
        <v/>
      </c>
      <c r="T220" t="str">
        <f>gescon_infosparticip!V219</f>
        <v/>
      </c>
      <c r="U220" t="str">
        <f>gescon_infosparticip!S219</f>
        <v/>
      </c>
      <c r="V220">
        <f>IF(gescon_infosparticip!U219=FALSE,0,1)</f>
        <v>0</v>
      </c>
      <c r="W220">
        <f>IF(gescon_infosparticip!T219=FALSE,0,1)</f>
        <v>0</v>
      </c>
      <c r="X220" t="str">
        <f>gescon_infosparticip!W219</f>
        <v/>
      </c>
      <c r="Y220">
        <f>IF(gescon_infosparticip!X219=FALSE,0,1)</f>
        <v>0</v>
      </c>
      <c r="Z220">
        <f>IF(gescon_infosparticip!Y219=FALSE,0,1)</f>
        <v>0</v>
      </c>
      <c r="AA220">
        <f>IF(gescon_infosparticip!Z219=FALSE,0,1)</f>
        <v>0</v>
      </c>
      <c r="AB220">
        <f>IF(gescon_infosparticip!AA219=FALSE,0,1)</f>
        <v>0</v>
      </c>
      <c r="AC220" t="str">
        <f>gescon_infosparticip!AB219</f>
        <v/>
      </c>
      <c r="AD220" t="str">
        <f>gescon_infosparticip!AC219</f>
        <v/>
      </c>
      <c r="AE220" t="str">
        <f>gescon_infosparticip!AD219</f>
        <v/>
      </c>
      <c r="AF220" t="str">
        <f>gescon_infosparticip!AE219</f>
        <v/>
      </c>
      <c r="AG220" t="str">
        <f>gescon_infosparticip!AF219</f>
        <v/>
      </c>
      <c r="AH220" t="str">
        <f>gescon_infosparticip!AG219</f>
        <v/>
      </c>
      <c r="AI220" t="str">
        <f>gescon_infosparticip!BN219</f>
        <v/>
      </c>
      <c r="AJ220" t="str">
        <f>gescon_infosparticip!BO219</f>
        <v/>
      </c>
    </row>
    <row r="221" spans="2:36" x14ac:dyDescent="0.25">
      <c r="B221">
        <f>gescon_infosparticip!A220</f>
        <v>2146189218</v>
      </c>
      <c r="C221">
        <f>gescon_infosparticip!B220</f>
        <v>42657</v>
      </c>
      <c r="D221">
        <f>gescon_infosparticip!C220</f>
        <v>2146189273</v>
      </c>
      <c r="E221">
        <f>gescon_infosparticip!D220</f>
        <v>0</v>
      </c>
      <c r="F221">
        <f>gescon_infosparticip!E220</f>
        <v>0</v>
      </c>
      <c r="G221">
        <f>gescon_infosparticip!F220</f>
        <v>2146189000</v>
      </c>
      <c r="H221">
        <f>gescon_infosparticip!G220</f>
        <v>0</v>
      </c>
      <c r="I221" t="str">
        <f>gescon_infosparticip!H220</f>
        <v/>
      </c>
      <c r="J221">
        <f>IF(gescon_infosparticip!I220=FALSE,0,1)</f>
        <v>1</v>
      </c>
      <c r="K221">
        <f>IF(gescon_infosparticip!J220=FALSE,0,1)</f>
        <v>0</v>
      </c>
      <c r="L221">
        <f>IF(gescon_infosparticip!K220=FALSE,0,1)</f>
        <v>1</v>
      </c>
      <c r="M221">
        <f>IF(gescon_infosparticip!L220=FALSE,0,1)</f>
        <v>0</v>
      </c>
      <c r="N221">
        <f>IF(gescon_infosparticip!M220=FALSE,0,1)</f>
        <v>1</v>
      </c>
      <c r="O221">
        <f>IF(gescon_infosparticip!N220=FALSE,0,1)</f>
        <v>0</v>
      </c>
      <c r="P221">
        <f>IF(gescon_infosparticip!O220=FALSE,0,1)</f>
        <v>0</v>
      </c>
      <c r="Q221">
        <f>IF(gescon_infosparticip!P220=FALSE,0,1)</f>
        <v>0</v>
      </c>
      <c r="R221">
        <f>IF(gescon_infosparticip!Q220=FALSE,0,1)</f>
        <v>0</v>
      </c>
      <c r="S221" t="str">
        <f>gescon_infosparticip!R220</f>
        <v>Autonome mais problème d'équilibre.</v>
      </c>
      <c r="T221" t="str">
        <f>gescon_infosparticip!V220</f>
        <v>autonome. Le matin tôt lorsqu'il est encore endormi, risque qu'il sorte dévêti de la chambre (rare). Lui rappeler gentiment qu'il est en public et lui demander de s'habiller.</v>
      </c>
      <c r="U221" t="str">
        <f>gescon_infosparticip!S220</f>
        <v>Il aime beaucoup l'eau</v>
      </c>
      <c r="V221">
        <f>IF(gescon_infosparticip!U220=FALSE,0,1)</f>
        <v>1</v>
      </c>
      <c r="W221">
        <f>IF(gescon_infosparticip!T220=FALSE,0,1)</f>
        <v>0</v>
      </c>
      <c r="X221" t="str">
        <f>gescon_infosparticip!W220</f>
        <v>Il dort bien, il se couvhe tôt et le sève tôt.</v>
      </c>
      <c r="Y221">
        <f>IF(gescon_infosparticip!X220=FALSE,0,1)</f>
        <v>0</v>
      </c>
      <c r="Z221">
        <f>IF(gescon_infosparticip!Y220=FALSE,0,1)</f>
        <v>0</v>
      </c>
      <c r="AA221">
        <f>IF(gescon_infosparticip!Z220=FALSE,0,1)</f>
        <v>0</v>
      </c>
      <c r="AB221">
        <f>IF(gescon_infosparticip!AA220=FALSE,0,1)</f>
        <v>0</v>
      </c>
      <c r="AC221" t="str">
        <f>gescon_infosparticip!AB220</f>
        <v>Communication Verbale, il est ouvert à toutes discussions. Il est très sensible aux difficultés des autres. Important de garder les bonnes distances avec P-A afin qu'il ne confonde pas sentiments d amitié et ceux d'amour.</v>
      </c>
      <c r="AD221" t="str">
        <f>gescon_infosparticip!AC220</f>
        <v/>
      </c>
      <c r="AE221" t="str">
        <f>gescon_infosparticip!AD220</f>
        <v/>
      </c>
      <c r="AF221" t="str">
        <f>gescon_infosparticip!AE220</f>
        <v/>
      </c>
      <c r="AG221" t="str">
        <f>gescon_infosparticip!AF220</f>
        <v>Il est ouvert à toutes les activités car il est curieux et ouvert. Il aime rencontrer des gens. P-A a beaucoup d'humour, il est conscient de ses difficultés et sait en rire.</v>
      </c>
      <c r="AH221" t="str">
        <f>gescon_infosparticip!AG220</f>
        <v>Les activités nocturnes car il se couche tôt.</v>
      </c>
      <c r="AI221" t="str">
        <f>gescon_infosparticip!BN220</f>
        <v>Il a besoin de repos. Après une activité, il a besoin de calme.</v>
      </c>
      <c r="AJ221" t="str">
        <f>gescon_infosparticip!BO220</f>
        <v/>
      </c>
    </row>
    <row r="222" spans="2:36" x14ac:dyDescent="0.25">
      <c r="B222">
        <f>gescon_infosparticip!A221</f>
        <v>2146189219</v>
      </c>
      <c r="C222">
        <f>gescon_infosparticip!B221</f>
        <v>42405</v>
      </c>
      <c r="D222">
        <f>gescon_infosparticip!C221</f>
        <v>0</v>
      </c>
      <c r="E222">
        <f>gescon_infosparticip!D221</f>
        <v>0</v>
      </c>
      <c r="F222">
        <f>gescon_infosparticip!E221</f>
        <v>0</v>
      </c>
      <c r="G222">
        <f>gescon_infosparticip!F221</f>
        <v>0</v>
      </c>
      <c r="H222">
        <f>gescon_infosparticip!G221</f>
        <v>0</v>
      </c>
      <c r="I222" t="str">
        <f>gescon_infosparticip!H221</f>
        <v/>
      </c>
      <c r="J222">
        <f>IF(gescon_infosparticip!I221=FALSE,0,1)</f>
        <v>0</v>
      </c>
      <c r="K222">
        <f>IF(gescon_infosparticip!J221=FALSE,0,1)</f>
        <v>0</v>
      </c>
      <c r="L222">
        <f>IF(gescon_infosparticip!K221=FALSE,0,1)</f>
        <v>0</v>
      </c>
      <c r="M222">
        <f>IF(gescon_infosparticip!L221=FALSE,0,1)</f>
        <v>0</v>
      </c>
      <c r="N222">
        <f>IF(gescon_infosparticip!M221=FALSE,0,1)</f>
        <v>0</v>
      </c>
      <c r="O222">
        <f>IF(gescon_infosparticip!N221=FALSE,0,1)</f>
        <v>0</v>
      </c>
      <c r="P222">
        <f>IF(gescon_infosparticip!O221=FALSE,0,1)</f>
        <v>0</v>
      </c>
      <c r="Q222">
        <f>IF(gescon_infosparticip!P221=FALSE,0,1)</f>
        <v>0</v>
      </c>
      <c r="R222">
        <f>IF(gescon_infosparticip!Q221=FALSE,0,1)</f>
        <v>0</v>
      </c>
      <c r="S222" t="str">
        <f>gescon_infosparticip!R221</f>
        <v/>
      </c>
      <c r="T222" t="str">
        <f>gescon_infosparticip!V221</f>
        <v/>
      </c>
      <c r="U222" t="str">
        <f>gescon_infosparticip!S221</f>
        <v/>
      </c>
      <c r="V222">
        <f>IF(gescon_infosparticip!U221=FALSE,0,1)</f>
        <v>0</v>
      </c>
      <c r="W222">
        <f>IF(gescon_infosparticip!T221=FALSE,0,1)</f>
        <v>0</v>
      </c>
      <c r="X222" t="str">
        <f>gescon_infosparticip!W221</f>
        <v/>
      </c>
      <c r="Y222">
        <f>IF(gescon_infosparticip!X221=FALSE,0,1)</f>
        <v>0</v>
      </c>
      <c r="Z222">
        <f>IF(gescon_infosparticip!Y221=FALSE,0,1)</f>
        <v>0</v>
      </c>
      <c r="AA222">
        <f>IF(gescon_infosparticip!Z221=FALSE,0,1)</f>
        <v>0</v>
      </c>
      <c r="AB222">
        <f>IF(gescon_infosparticip!AA221=FALSE,0,1)</f>
        <v>0</v>
      </c>
      <c r="AC222" t="str">
        <f>gescon_infosparticip!AB221</f>
        <v/>
      </c>
      <c r="AD222" t="str">
        <f>gescon_infosparticip!AC221</f>
        <v/>
      </c>
      <c r="AE222" t="str">
        <f>gescon_infosparticip!AD221</f>
        <v/>
      </c>
      <c r="AF222" t="str">
        <f>gescon_infosparticip!AE221</f>
        <v/>
      </c>
      <c r="AG222" t="str">
        <f>gescon_infosparticip!AF221</f>
        <v/>
      </c>
      <c r="AH222" t="str">
        <f>gescon_infosparticip!AG221</f>
        <v/>
      </c>
      <c r="AI222" t="str">
        <f>gescon_infosparticip!BN221</f>
        <v/>
      </c>
      <c r="AJ222" t="str">
        <f>gescon_infosparticip!BO221</f>
        <v/>
      </c>
    </row>
    <row r="223" spans="2:36" x14ac:dyDescent="0.25">
      <c r="B223">
        <f>gescon_infosparticip!A222</f>
        <v>2146189224</v>
      </c>
      <c r="C223">
        <f>gescon_infosparticip!B222</f>
        <v>41340</v>
      </c>
      <c r="D223">
        <f>gescon_infosparticip!C222</f>
        <v>2146189223</v>
      </c>
      <c r="E223">
        <f>gescon_infosparticip!D222</f>
        <v>0</v>
      </c>
      <c r="F223">
        <f>gescon_infosparticip!E222</f>
        <v>0</v>
      </c>
      <c r="G223">
        <f>gescon_infosparticip!F222</f>
        <v>0</v>
      </c>
      <c r="H223">
        <f>gescon_infosparticip!G222</f>
        <v>0</v>
      </c>
      <c r="I223" t="str">
        <f>gescon_infosparticip!H222</f>
        <v/>
      </c>
      <c r="J223">
        <f>IF(gescon_infosparticip!I222=FALSE,0,1)</f>
        <v>0</v>
      </c>
      <c r="K223">
        <f>IF(gescon_infosparticip!J222=FALSE,0,1)</f>
        <v>0</v>
      </c>
      <c r="L223">
        <f>IF(gescon_infosparticip!K222=FALSE,0,1)</f>
        <v>0</v>
      </c>
      <c r="M223">
        <f>IF(gescon_infosparticip!L222=FALSE,0,1)</f>
        <v>0</v>
      </c>
      <c r="N223">
        <f>IF(gescon_infosparticip!M222=FALSE,0,1)</f>
        <v>1</v>
      </c>
      <c r="O223">
        <f>IF(gescon_infosparticip!N222=FALSE,0,1)</f>
        <v>0</v>
      </c>
      <c r="P223">
        <f>IF(gescon_infosparticip!O222=FALSE,0,1)</f>
        <v>0</v>
      </c>
      <c r="Q223">
        <f>IF(gescon_infosparticip!P222=FALSE,0,1)</f>
        <v>0</v>
      </c>
      <c r="R223">
        <f>IF(gescon_infosparticip!Q222=FALSE,0,1)</f>
        <v>0</v>
      </c>
      <c r="S223" t="str">
        <f>gescon_infosparticip!R222</f>
        <v/>
      </c>
      <c r="T223" t="str">
        <f>gescon_infosparticip!V222</f>
        <v/>
      </c>
      <c r="U223" t="str">
        <f>gescon_infosparticip!S222</f>
        <v/>
      </c>
      <c r="V223">
        <f>IF(gescon_infosparticip!U222=FALSE,0,1)</f>
        <v>1</v>
      </c>
      <c r="W223">
        <f>IF(gescon_infosparticip!T222=FALSE,0,1)</f>
        <v>0</v>
      </c>
      <c r="X223" t="str">
        <f>gescon_infosparticip!W222</f>
        <v>aime faire la sièste après le repas.</v>
      </c>
      <c r="Y223">
        <f>IF(gescon_infosparticip!X222=FALSE,0,1)</f>
        <v>0</v>
      </c>
      <c r="Z223">
        <f>IF(gescon_infosparticip!Y222=FALSE,0,1)</f>
        <v>0</v>
      </c>
      <c r="AA223">
        <f>IF(gescon_infosparticip!Z222=FALSE,0,1)</f>
        <v>0</v>
      </c>
      <c r="AB223">
        <f>IF(gescon_infosparticip!AA222=FALSE,0,1)</f>
        <v>0</v>
      </c>
      <c r="AC223" t="str">
        <f>gescon_infosparticip!AB222</f>
        <v>parole, avec vocabulaire succinct,</v>
      </c>
      <c r="AD223" t="str">
        <f>gescon_infosparticip!AC222</f>
        <v/>
      </c>
      <c r="AE223" t="str">
        <f>gescon_infosparticip!AD222</f>
        <v/>
      </c>
      <c r="AF223" t="str">
        <f>gescon_infosparticip!AE222</f>
        <v/>
      </c>
      <c r="AG223" t="str">
        <f>gescon_infosparticip!AF222</f>
        <v>Musique, cartes, livres, faire la cuisine</v>
      </c>
      <c r="AH223" t="str">
        <f>gescon_infosparticip!AG222</f>
        <v/>
      </c>
      <c r="AI223" t="str">
        <f>gescon_infosparticip!BN222</f>
        <v>Non</v>
      </c>
      <c r="AJ223" t="str">
        <f>gescon_infosparticip!BO222</f>
        <v/>
      </c>
    </row>
    <row r="224" spans="2:36" x14ac:dyDescent="0.25">
      <c r="B224">
        <f>gescon_infosparticip!A223</f>
        <v>2146189226</v>
      </c>
      <c r="C224">
        <f>gescon_infosparticip!B223</f>
        <v>42503</v>
      </c>
      <c r="D224">
        <f>gescon_infosparticip!C223</f>
        <v>0</v>
      </c>
      <c r="E224">
        <f>gescon_infosparticip!D223</f>
        <v>0</v>
      </c>
      <c r="F224">
        <f>gescon_infosparticip!E223</f>
        <v>0</v>
      </c>
      <c r="G224">
        <f>gescon_infosparticip!F223</f>
        <v>2146189000</v>
      </c>
      <c r="H224">
        <f>gescon_infosparticip!G223</f>
        <v>0</v>
      </c>
      <c r="I224" t="str">
        <f>gescon_infosparticip!H223</f>
        <v>Géraldine Chapatte / Annae Jomey</v>
      </c>
      <c r="J224">
        <f>IF(gescon_infosparticip!I223=FALSE,0,1)</f>
        <v>1</v>
      </c>
      <c r="K224">
        <f>IF(gescon_infosparticip!J223=FALSE,0,1)</f>
        <v>0</v>
      </c>
      <c r="L224">
        <f>IF(gescon_infosparticip!K223=FALSE,0,1)</f>
        <v>0</v>
      </c>
      <c r="M224">
        <f>IF(gescon_infosparticip!L223=FALSE,0,1)</f>
        <v>0</v>
      </c>
      <c r="N224">
        <f>IF(gescon_infosparticip!M223=FALSE,0,1)</f>
        <v>0</v>
      </c>
      <c r="O224">
        <f>IF(gescon_infosparticip!N223=FALSE,0,1)</f>
        <v>0</v>
      </c>
      <c r="P224">
        <f>IF(gescon_infosparticip!O223=FALSE,0,1)</f>
        <v>0</v>
      </c>
      <c r="Q224">
        <f>IF(gescon_infosparticip!P223=FALSE,0,1)</f>
        <v>1</v>
      </c>
      <c r="R224">
        <f>IF(gescon_infosparticip!Q223=FALSE,0,1)</f>
        <v>0</v>
      </c>
      <c r="S224" t="str">
        <f>gescon_infosparticip!R223</f>
        <v>peut se déplacer seule avec la jambe valide. Mettre les deux cales-pieds lorsqu'on la pousse lors de longs trajets.A besoin d'être surveilée.</v>
      </c>
      <c r="T224" t="str">
        <f>gescon_infosparticip!V223</f>
        <v>besoin d'aide</v>
      </c>
      <c r="U224" t="str">
        <f>gescon_infosparticip!S223</f>
        <v>oui</v>
      </c>
      <c r="V224">
        <f>IF(gescon_infosparticip!U223=FALSE,0,1)</f>
        <v>0</v>
      </c>
      <c r="W224">
        <f>IF(gescon_infosparticip!T223=FALSE,0,1)</f>
        <v>0</v>
      </c>
      <c r="X224" t="str">
        <f>gescon_infosparticip!W223</f>
        <v>Dort sur le dos avec coussin de positionnement jambe gauche et bras gauche. Besoin d'aide pour les changements de positions durant la nuit.</v>
      </c>
      <c r="Y224">
        <f>IF(gescon_infosparticip!X223=FALSE,0,1)</f>
        <v>0</v>
      </c>
      <c r="Z224">
        <f>IF(gescon_infosparticip!Y223=FALSE,0,1)</f>
        <v>0</v>
      </c>
      <c r="AA224">
        <f>IF(gescon_infosparticip!Z223=FALSE,0,1)</f>
        <v>0</v>
      </c>
      <c r="AB224">
        <f>IF(gescon_infosparticip!AA223=FALSE,0,1)</f>
        <v>1</v>
      </c>
      <c r="AC224" t="str">
        <f>gescon_infosparticip!AB223</f>
        <v>Elle parle bien</v>
      </c>
      <c r="AD224" t="str">
        <f>gescon_infosparticip!AC223</f>
        <v>Grand-maman de deux petites filles</v>
      </c>
      <c r="AE224" t="str">
        <f>gescon_infosparticip!AD223</f>
        <v/>
      </c>
      <c r="AF224" t="str">
        <f>gescon_infosparticip!AE223</f>
        <v>Lise a des amis partout autour du monde</v>
      </c>
      <c r="AG224" t="str">
        <f>gescon_infosparticip!AF223</f>
        <v>Lise aime les fleurs, les voyages, la musique, la peinture, le théatre et la culture</v>
      </c>
      <c r="AH224" t="str">
        <f>gescon_infosparticip!AG223</f>
        <v>Elle n'aime pas le "Catch"</v>
      </c>
      <c r="AI224" t="str">
        <f>gescon_infosparticip!BN223</f>
        <v>Lise se fatigue très vite, elle a besoin de faire des siestes. Aide pour les transferts.Est beaucoup plus fatiguée ces dernières semaines. Attention lors des transferts.</v>
      </c>
      <c r="AJ224" t="str">
        <f>gescon_infosparticip!BO223</f>
        <v/>
      </c>
    </row>
    <row r="225" spans="2:36" x14ac:dyDescent="0.25">
      <c r="B225">
        <f>gescon_infosparticip!A224</f>
        <v>2146189272</v>
      </c>
      <c r="C225">
        <f>gescon_infosparticip!B224</f>
        <v>42299</v>
      </c>
      <c r="D225">
        <f>gescon_infosparticip!C224</f>
        <v>0</v>
      </c>
      <c r="E225">
        <f>gescon_infosparticip!D224</f>
        <v>0</v>
      </c>
      <c r="F225">
        <f>gescon_infosparticip!E224</f>
        <v>0</v>
      </c>
      <c r="G225">
        <f>gescon_infosparticip!F224</f>
        <v>0</v>
      </c>
      <c r="H225">
        <f>gescon_infosparticip!G224</f>
        <v>0</v>
      </c>
      <c r="I225" t="str">
        <f>gescon_infosparticip!H224</f>
        <v/>
      </c>
      <c r="J225">
        <f>IF(gescon_infosparticip!I224=FALSE,0,1)</f>
        <v>0</v>
      </c>
      <c r="K225">
        <f>IF(gescon_infosparticip!J224=FALSE,0,1)</f>
        <v>0</v>
      </c>
      <c r="L225">
        <f>IF(gescon_infosparticip!K224=FALSE,0,1)</f>
        <v>0</v>
      </c>
      <c r="M225">
        <f>IF(gescon_infosparticip!L224=FALSE,0,1)</f>
        <v>0</v>
      </c>
      <c r="N225">
        <f>IF(gescon_infosparticip!M224=FALSE,0,1)</f>
        <v>0</v>
      </c>
      <c r="O225">
        <f>IF(gescon_infosparticip!N224=FALSE,0,1)</f>
        <v>0</v>
      </c>
      <c r="P225">
        <f>IF(gescon_infosparticip!O224=FALSE,0,1)</f>
        <v>0</v>
      </c>
      <c r="Q225">
        <f>IF(gescon_infosparticip!P224=FALSE,0,1)</f>
        <v>0</v>
      </c>
      <c r="R225">
        <f>IF(gescon_infosparticip!Q224=FALSE,0,1)</f>
        <v>0</v>
      </c>
      <c r="S225" t="str">
        <f>gescon_infosparticip!R224</f>
        <v/>
      </c>
      <c r="T225" t="str">
        <f>gescon_infosparticip!V224</f>
        <v/>
      </c>
      <c r="U225" t="str">
        <f>gescon_infosparticip!S224</f>
        <v/>
      </c>
      <c r="V225">
        <f>IF(gescon_infosparticip!U224=FALSE,0,1)</f>
        <v>0</v>
      </c>
      <c r="W225">
        <f>IF(gescon_infosparticip!T224=FALSE,0,1)</f>
        <v>0</v>
      </c>
      <c r="X225" t="str">
        <f>gescon_infosparticip!W224</f>
        <v/>
      </c>
      <c r="Y225">
        <f>IF(gescon_infosparticip!X224=FALSE,0,1)</f>
        <v>0</v>
      </c>
      <c r="Z225">
        <f>IF(gescon_infosparticip!Y224=FALSE,0,1)</f>
        <v>0</v>
      </c>
      <c r="AA225">
        <f>IF(gescon_infosparticip!Z224=FALSE,0,1)</f>
        <v>0</v>
      </c>
      <c r="AB225">
        <f>IF(gescon_infosparticip!AA224=FALSE,0,1)</f>
        <v>0</v>
      </c>
      <c r="AC225" t="str">
        <f>gescon_infosparticip!AB224</f>
        <v/>
      </c>
      <c r="AD225" t="str">
        <f>gescon_infosparticip!AC224</f>
        <v/>
      </c>
      <c r="AE225" t="str">
        <f>gescon_infosparticip!AD224</f>
        <v/>
      </c>
      <c r="AF225" t="str">
        <f>gescon_infosparticip!AE224</f>
        <v/>
      </c>
      <c r="AG225" t="str">
        <f>gescon_infosparticip!AF224</f>
        <v/>
      </c>
      <c r="AH225" t="str">
        <f>gescon_infosparticip!AG224</f>
        <v/>
      </c>
      <c r="AI225" t="str">
        <f>gescon_infosparticip!BN224</f>
        <v/>
      </c>
      <c r="AJ225" t="str">
        <f>gescon_infosparticip!BO224</f>
        <v/>
      </c>
    </row>
    <row r="226" spans="2:36" x14ac:dyDescent="0.25">
      <c r="B226">
        <f>gescon_infosparticip!A225</f>
        <v>2146189287</v>
      </c>
      <c r="C226">
        <f>gescon_infosparticip!B225</f>
        <v>42142</v>
      </c>
      <c r="D226">
        <f>gescon_infosparticip!C225</f>
        <v>2146189286</v>
      </c>
      <c r="E226">
        <f>gescon_infosparticip!D225</f>
        <v>0</v>
      </c>
      <c r="F226">
        <f>gescon_infosparticip!E225</f>
        <v>2146189288</v>
      </c>
      <c r="G226">
        <f>gescon_infosparticip!F225</f>
        <v>0</v>
      </c>
      <c r="H226">
        <f>gescon_infosparticip!G225</f>
        <v>0</v>
      </c>
      <c r="I226" t="str">
        <f>gescon_infosparticip!H225</f>
        <v>Jocelyne Fournier, réf. NDL 079 465 22 69</v>
      </c>
      <c r="J226">
        <f>IF(gescon_infosparticip!I225=FALSE,0,1)</f>
        <v>0</v>
      </c>
      <c r="K226">
        <f>IF(gescon_infosparticip!J225=FALSE,0,1)</f>
        <v>0</v>
      </c>
      <c r="L226">
        <f>IF(gescon_infosparticip!K225=FALSE,0,1)</f>
        <v>1</v>
      </c>
      <c r="M226">
        <f>IF(gescon_infosparticip!L225=FALSE,0,1)</f>
        <v>0</v>
      </c>
      <c r="N226">
        <f>IF(gescon_infosparticip!M225=FALSE,0,1)</f>
        <v>1</v>
      </c>
      <c r="O226">
        <f>IF(gescon_infosparticip!N225=FALSE,0,1)</f>
        <v>0</v>
      </c>
      <c r="P226">
        <f>IF(gescon_infosparticip!O225=FALSE,0,1)</f>
        <v>0</v>
      </c>
      <c r="Q226">
        <f>IF(gescon_infosparticip!P225=FALSE,0,1)</f>
        <v>0</v>
      </c>
      <c r="R226">
        <f>IF(gescon_infosparticip!Q225=FALSE,0,1)</f>
        <v>0</v>
      </c>
      <c r="S226" t="str">
        <f>gescon_infosparticip!R225</f>
        <v>elle supporte les longs trajets en bus</v>
      </c>
      <c r="T226" t="str">
        <f>gescon_infosparticip!V225</f>
        <v>autonome</v>
      </c>
      <c r="U226" t="str">
        <f>gescon_infosparticip!S225</f>
        <v>Ok</v>
      </c>
      <c r="V226">
        <f>IF(gescon_infosparticip!U225=FALSE,0,1)</f>
        <v>0</v>
      </c>
      <c r="W226">
        <f>IF(gescon_infosparticip!T225=FALSE,0,1)</f>
        <v>0</v>
      </c>
      <c r="X226" t="str">
        <f>gescon_infosparticip!W225</f>
        <v/>
      </c>
      <c r="Y226">
        <f>IF(gescon_infosparticip!X225=FALSE,0,1)</f>
        <v>0</v>
      </c>
      <c r="Z226">
        <f>IF(gescon_infosparticip!Y225=FALSE,0,1)</f>
        <v>0</v>
      </c>
      <c r="AA226">
        <f>IF(gescon_infosparticip!Z225=FALSE,0,1)</f>
        <v>0</v>
      </c>
      <c r="AB226">
        <f>IF(gescon_infosparticip!AA225=FALSE,0,1)</f>
        <v>0</v>
      </c>
      <c r="AC226" t="str">
        <f>gescon_infosparticip!AB225</f>
        <v/>
      </c>
      <c r="AD226" t="str">
        <f>gescon_infosparticip!AC225</f>
        <v>Fille unique. Vit chez sa tante.</v>
      </c>
      <c r="AE226" t="str">
        <f>gescon_infosparticip!AD225</f>
        <v/>
      </c>
      <c r="AF226" t="str">
        <f>gescon_infosparticip!AE225</f>
        <v/>
      </c>
      <c r="AG226" t="str">
        <f>gescon_infosparticip!AF225</f>
        <v>musique, piscine</v>
      </c>
      <c r="AH226" t="str">
        <f>gescon_infosparticip!AG225</f>
        <v>n'aime pas la marche</v>
      </c>
      <c r="AI226" t="str">
        <f>gescon_infosparticip!BN225</f>
        <v/>
      </c>
      <c r="AJ226" t="str">
        <f>gescon_infosparticip!BO225</f>
        <v/>
      </c>
    </row>
    <row r="227" spans="2:36" x14ac:dyDescent="0.25">
      <c r="B227">
        <f>gescon_infosparticip!A226</f>
        <v>2146189295</v>
      </c>
      <c r="C227">
        <f>gescon_infosparticip!B226</f>
        <v>42391</v>
      </c>
      <c r="D227">
        <f>gescon_infosparticip!C226</f>
        <v>2146189297</v>
      </c>
      <c r="E227">
        <f>gescon_infosparticip!D226</f>
        <v>0</v>
      </c>
      <c r="F227">
        <f>gescon_infosparticip!E226</f>
        <v>0</v>
      </c>
      <c r="G227">
        <f>gescon_infosparticip!F226</f>
        <v>0</v>
      </c>
      <c r="H227">
        <f>gescon_infosparticip!G226</f>
        <v>2146189297</v>
      </c>
      <c r="I227" t="str">
        <f>gescon_infosparticip!H226</f>
        <v/>
      </c>
      <c r="J227">
        <f>IF(gescon_infosparticip!I226=FALSE,0,1)</f>
        <v>0</v>
      </c>
      <c r="K227">
        <f>IF(gescon_infosparticip!J226=FALSE,0,1)</f>
        <v>0</v>
      </c>
      <c r="L227">
        <f>IF(gescon_infosparticip!K226=FALSE,0,1)</f>
        <v>1</v>
      </c>
      <c r="M227">
        <f>IF(gescon_infosparticip!L226=FALSE,0,1)</f>
        <v>0</v>
      </c>
      <c r="N227">
        <f>IF(gescon_infosparticip!M226=FALSE,0,1)</f>
        <v>0</v>
      </c>
      <c r="O227">
        <f>IF(gescon_infosparticip!N226=FALSE,0,1)</f>
        <v>0</v>
      </c>
      <c r="P227">
        <f>IF(gescon_infosparticip!O226=FALSE,0,1)</f>
        <v>0</v>
      </c>
      <c r="Q227">
        <f>IF(gescon_infosparticip!P226=FALSE,0,1)</f>
        <v>1</v>
      </c>
      <c r="R227">
        <f>IF(gescon_infosparticip!Q226=FALSE,0,1)</f>
        <v>1</v>
      </c>
      <c r="S227" t="str">
        <f>gescon_infosparticip!R226</f>
        <v>voir l'accessibilité. De préférence lui mettre le fauteuil enfant adabté que ses parents utilise au quotodien avec la voiture. Actuellement pour les longs traets, il peut voyager dans le fauteille électrique car il a un appuie-tête.</v>
      </c>
      <c r="T227" t="str">
        <f>gescon_infosparticip!V226</f>
        <v>aide nécessaire, lui demander !</v>
      </c>
      <c r="U227" t="str">
        <f>gescon_infosparticip!S226</f>
        <v/>
      </c>
      <c r="V227">
        <f>IF(gescon_infosparticip!U226=FALSE,0,1)</f>
        <v>1</v>
      </c>
      <c r="W227">
        <f>IF(gescon_infosparticip!T226=FALSE,0,1)</f>
        <v>0</v>
      </c>
      <c r="X227" t="str">
        <f>gescon_infosparticip!W226</f>
        <v>Mettre une protection (pampers) pendant la nuit</v>
      </c>
      <c r="Y227">
        <f>IF(gescon_infosparticip!X226=FALSE,0,1)</f>
        <v>0</v>
      </c>
      <c r="Z227">
        <f>IF(gescon_infosparticip!Y226=FALSE,0,1)</f>
        <v>0</v>
      </c>
      <c r="AA227">
        <f>IF(gescon_infosparticip!Z226=FALSE,0,1)</f>
        <v>0</v>
      </c>
      <c r="AB227">
        <f>IF(gescon_infosparticip!AA226=FALSE,0,1)</f>
        <v>1</v>
      </c>
      <c r="AC227" t="str">
        <f>gescon_infosparticip!AB226</f>
        <v>la parole</v>
      </c>
      <c r="AD227" t="str">
        <f>gescon_infosparticip!AC226</f>
        <v/>
      </c>
      <c r="AE227" t="str">
        <f>gescon_infosparticip!AD226</f>
        <v>un frère aîné de 17 ans, Samuel</v>
      </c>
      <c r="AF227" t="str">
        <f>gescon_infosparticip!AE226</f>
        <v>Contact facile</v>
      </c>
      <c r="AG227" t="str">
        <f>gescon_infosparticip!AF226</f>
        <v>Nathan s'intéresse au sport, au foot en particulier. Il regarde les matchs, connaît les équipes et les joueurs. Il aime aussi les animaux, surtout les cochons d'inde. Il adore lire.</v>
      </c>
      <c r="AH227" t="str">
        <f>gescon_infosparticip!AG226</f>
        <v/>
      </c>
      <c r="AI227" t="str">
        <f>gescon_infosparticip!BN226</f>
        <v>Non</v>
      </c>
      <c r="AJ227" t="str">
        <f>gescon_infosparticip!BO226</f>
        <v/>
      </c>
    </row>
    <row r="228" spans="2:36" x14ac:dyDescent="0.25">
      <c r="B228">
        <f>gescon_infosparticip!A227</f>
        <v>2146189297</v>
      </c>
      <c r="C228">
        <f>gescon_infosparticip!B227</f>
        <v>41432</v>
      </c>
      <c r="D228">
        <f>gescon_infosparticip!C227</f>
        <v>0</v>
      </c>
      <c r="E228">
        <f>gescon_infosparticip!D227</f>
        <v>0</v>
      </c>
      <c r="F228">
        <f>gescon_infosparticip!E227</f>
        <v>0</v>
      </c>
      <c r="G228">
        <f>gescon_infosparticip!F227</f>
        <v>0</v>
      </c>
      <c r="H228">
        <f>gescon_infosparticip!G227</f>
        <v>0</v>
      </c>
      <c r="I228" t="str">
        <f>gescon_infosparticip!H227</f>
        <v/>
      </c>
      <c r="J228">
        <f>IF(gescon_infosparticip!I227=FALSE,0,1)</f>
        <v>0</v>
      </c>
      <c r="K228">
        <f>IF(gescon_infosparticip!J227=FALSE,0,1)</f>
        <v>0</v>
      </c>
      <c r="L228">
        <f>IF(gescon_infosparticip!K227=FALSE,0,1)</f>
        <v>0</v>
      </c>
      <c r="M228">
        <f>IF(gescon_infosparticip!L227=FALSE,0,1)</f>
        <v>0</v>
      </c>
      <c r="N228">
        <f>IF(gescon_infosparticip!M227=FALSE,0,1)</f>
        <v>0</v>
      </c>
      <c r="O228">
        <f>IF(gescon_infosparticip!N227=FALSE,0,1)</f>
        <v>0</v>
      </c>
      <c r="P228">
        <f>IF(gescon_infosparticip!O227=FALSE,0,1)</f>
        <v>0</v>
      </c>
      <c r="Q228">
        <f>IF(gescon_infosparticip!P227=FALSE,0,1)</f>
        <v>0</v>
      </c>
      <c r="R228">
        <f>IF(gescon_infosparticip!Q227=FALSE,0,1)</f>
        <v>0</v>
      </c>
      <c r="S228" t="str">
        <f>gescon_infosparticip!R227</f>
        <v/>
      </c>
      <c r="T228" t="str">
        <f>gescon_infosparticip!V227</f>
        <v/>
      </c>
      <c r="U228" t="str">
        <f>gescon_infosparticip!S227</f>
        <v/>
      </c>
      <c r="V228">
        <f>IF(gescon_infosparticip!U227=FALSE,0,1)</f>
        <v>1</v>
      </c>
      <c r="W228">
        <f>IF(gescon_infosparticip!T227=FALSE,0,1)</f>
        <v>0</v>
      </c>
      <c r="X228" t="str">
        <f>gescon_infosparticip!W227</f>
        <v/>
      </c>
      <c r="Y228">
        <f>IF(gescon_infosparticip!X227=FALSE,0,1)</f>
        <v>0</v>
      </c>
      <c r="Z228">
        <f>IF(gescon_infosparticip!Y227=FALSE,0,1)</f>
        <v>0</v>
      </c>
      <c r="AA228">
        <f>IF(gescon_infosparticip!Z227=FALSE,0,1)</f>
        <v>0</v>
      </c>
      <c r="AB228">
        <f>IF(gescon_infosparticip!AA227=FALSE,0,1)</f>
        <v>0</v>
      </c>
      <c r="AC228" t="str">
        <f>gescon_infosparticip!AB227</f>
        <v/>
      </c>
      <c r="AD228" t="str">
        <f>gescon_infosparticip!AC227</f>
        <v/>
      </c>
      <c r="AE228" t="str">
        <f>gescon_infosparticip!AD227</f>
        <v/>
      </c>
      <c r="AF228" t="str">
        <f>gescon_infosparticip!AE227</f>
        <v/>
      </c>
      <c r="AG228" t="str">
        <f>gescon_infosparticip!AF227</f>
        <v/>
      </c>
      <c r="AH228" t="str">
        <f>gescon_infosparticip!AG227</f>
        <v/>
      </c>
      <c r="AI228" t="str">
        <f>gescon_infosparticip!BN227</f>
        <v/>
      </c>
      <c r="AJ228" t="str">
        <f>gescon_infosparticip!BO227</f>
        <v/>
      </c>
    </row>
    <row r="229" spans="2:36" x14ac:dyDescent="0.25">
      <c r="B229">
        <f>gescon_infosparticip!A228</f>
        <v>2146189312</v>
      </c>
      <c r="C229">
        <f>gescon_infosparticip!B228</f>
        <v>42447</v>
      </c>
      <c r="D229">
        <f>gescon_infosparticip!C228</f>
        <v>0</v>
      </c>
      <c r="E229">
        <f>gescon_infosparticip!D228</f>
        <v>0</v>
      </c>
      <c r="F229">
        <f>gescon_infosparticip!E228</f>
        <v>0</v>
      </c>
      <c r="G229">
        <f>gescon_infosparticip!F228</f>
        <v>0</v>
      </c>
      <c r="H229">
        <f>gescon_infosparticip!G228</f>
        <v>0</v>
      </c>
      <c r="I229" t="str">
        <f>gescon_infosparticip!H228</f>
        <v/>
      </c>
      <c r="J229">
        <f>IF(gescon_infosparticip!I228=FALSE,0,1)</f>
        <v>0</v>
      </c>
      <c r="K229">
        <f>IF(gescon_infosparticip!J228=FALSE,0,1)</f>
        <v>0</v>
      </c>
      <c r="L229">
        <f>IF(gescon_infosparticip!K228=FALSE,0,1)</f>
        <v>0</v>
      </c>
      <c r="M229">
        <f>IF(gescon_infosparticip!L228=FALSE,0,1)</f>
        <v>0</v>
      </c>
      <c r="N229">
        <f>IF(gescon_infosparticip!M228=FALSE,0,1)</f>
        <v>0</v>
      </c>
      <c r="O229">
        <f>IF(gescon_infosparticip!N228=FALSE,0,1)</f>
        <v>0</v>
      </c>
      <c r="P229">
        <f>IF(gescon_infosparticip!O228=FALSE,0,1)</f>
        <v>0</v>
      </c>
      <c r="Q229">
        <f>IF(gescon_infosparticip!P228=FALSE,0,1)</f>
        <v>0</v>
      </c>
      <c r="R229">
        <f>IF(gescon_infosparticip!Q228=FALSE,0,1)</f>
        <v>0</v>
      </c>
      <c r="S229" t="str">
        <f>gescon_infosparticip!R228</f>
        <v/>
      </c>
      <c r="T229" t="str">
        <f>gescon_infosparticip!V228</f>
        <v/>
      </c>
      <c r="U229" t="str">
        <f>gescon_infosparticip!S228</f>
        <v/>
      </c>
      <c r="V229">
        <f>IF(gescon_infosparticip!U228=FALSE,0,1)</f>
        <v>0</v>
      </c>
      <c r="W229">
        <f>IF(gescon_infosparticip!T228=FALSE,0,1)</f>
        <v>0</v>
      </c>
      <c r="X229" t="str">
        <f>gescon_infosparticip!W228</f>
        <v/>
      </c>
      <c r="Y229">
        <f>IF(gescon_infosparticip!X228=FALSE,0,1)</f>
        <v>0</v>
      </c>
      <c r="Z229">
        <f>IF(gescon_infosparticip!Y228=FALSE,0,1)</f>
        <v>0</v>
      </c>
      <c r="AA229">
        <f>IF(gescon_infosparticip!Z228=FALSE,0,1)</f>
        <v>0</v>
      </c>
      <c r="AB229">
        <f>IF(gescon_infosparticip!AA228=FALSE,0,1)</f>
        <v>0</v>
      </c>
      <c r="AC229" t="str">
        <f>gescon_infosparticip!AB228</f>
        <v/>
      </c>
      <c r="AD229" t="str">
        <f>gescon_infosparticip!AC228</f>
        <v/>
      </c>
      <c r="AE229" t="str">
        <f>gescon_infosparticip!AD228</f>
        <v/>
      </c>
      <c r="AF229" t="str">
        <f>gescon_infosparticip!AE228</f>
        <v/>
      </c>
      <c r="AG229" t="str">
        <f>gescon_infosparticip!AF228</f>
        <v/>
      </c>
      <c r="AH229" t="str">
        <f>gescon_infosparticip!AG228</f>
        <v/>
      </c>
      <c r="AI229" t="str">
        <f>gescon_infosparticip!BN228</f>
        <v/>
      </c>
      <c r="AJ229" t="str">
        <f>gescon_infosparticip!BO228</f>
        <v/>
      </c>
    </row>
    <row r="230" spans="2:36" x14ac:dyDescent="0.25">
      <c r="B230">
        <f>gescon_infosparticip!A229</f>
        <v>2146189323</v>
      </c>
      <c r="C230">
        <f>gescon_infosparticip!B229</f>
        <v>42954</v>
      </c>
      <c r="D230">
        <f>gescon_infosparticip!C229</f>
        <v>2146189379</v>
      </c>
      <c r="E230">
        <f>gescon_infosparticip!D229</f>
        <v>2146189775</v>
      </c>
      <c r="F230">
        <f>gescon_infosparticip!E229</f>
        <v>0</v>
      </c>
      <c r="G230">
        <f>gescon_infosparticip!F229</f>
        <v>2146189128</v>
      </c>
      <c r="H230">
        <f>gescon_infosparticip!G229</f>
        <v>2146189379</v>
      </c>
      <c r="I230" t="str">
        <f>gescon_infosparticip!H229</f>
        <v>absence parents: grand parents 024 466 36 34</v>
      </c>
      <c r="J230">
        <f>IF(gescon_infosparticip!I229=FALSE,0,1)</f>
        <v>0</v>
      </c>
      <c r="K230">
        <f>IF(gescon_infosparticip!J229=FALSE,0,1)</f>
        <v>0</v>
      </c>
      <c r="L230">
        <f>IF(gescon_infosparticip!K229=FALSE,0,1)</f>
        <v>0</v>
      </c>
      <c r="M230">
        <f>IF(gescon_infosparticip!L229=FALSE,0,1)</f>
        <v>1</v>
      </c>
      <c r="N230">
        <f>IF(gescon_infosparticip!M229=FALSE,0,1)</f>
        <v>0</v>
      </c>
      <c r="O230">
        <f>IF(gescon_infosparticip!N229=FALSE,0,1)</f>
        <v>1</v>
      </c>
      <c r="P230">
        <f>IF(gescon_infosparticip!O229=FALSE,0,1)</f>
        <v>1</v>
      </c>
      <c r="Q230">
        <f>IF(gescon_infosparticip!P229=FALSE,0,1)</f>
        <v>1</v>
      </c>
      <c r="R230">
        <f>IF(gescon_infosparticip!Q229=FALSE,0,1)</f>
        <v>0</v>
      </c>
      <c r="S230" t="str">
        <f>gescon_infosparticip!R229</f>
        <v>Léo aime marcher sur des petites distances, se dégourdir lui fait du bien et l'occupe. Léo aime les trajets en voiture et bus.</v>
      </c>
      <c r="T230" t="str">
        <f>gescon_infosparticip!V229</f>
        <v>On peut faire participer Léo en guidance à l'habillage et au déshabillage.</v>
      </c>
      <c r="U230" t="str">
        <f>gescon_infosparticip!S229</f>
        <v>aime beaucoup la piscine. Léo cherche à boire l'eau veiller qu'il ne boive pas la tasse.</v>
      </c>
      <c r="V230">
        <f>IF(gescon_infosparticip!U229=FALSE,0,1)</f>
        <v>1</v>
      </c>
      <c r="W230">
        <f>IF(gescon_infosparticip!T229=FALSE,0,1)</f>
        <v>0</v>
      </c>
      <c r="X230" t="str">
        <f>gescon_infosparticip!W229</f>
        <v>Léo dort ses jambes dans une goutière, ainsi qu'à la sieste.</v>
      </c>
      <c r="Y230">
        <f>IF(gescon_infosparticip!X229=FALSE,0,1)</f>
        <v>0</v>
      </c>
      <c r="Z230">
        <f>IF(gescon_infosparticip!Y229=FALSE,0,1)</f>
        <v>0</v>
      </c>
      <c r="AA230">
        <f>IF(gescon_infosparticip!Z229=FALSE,0,1)</f>
        <v>0</v>
      </c>
      <c r="AB230">
        <f>IF(gescon_infosparticip!AA229=FALSE,0,1)</f>
        <v>1</v>
      </c>
      <c r="AC230" t="str">
        <f>gescon_infosparticip!AB229</f>
        <v>Léo ne parle pas. Il exprime sa joie par des rires, des geste des mains, de la tête, des cris, et on peut voire sur son visage qu'il est content. A l'inverse si il est mécontent, triste, en colère, on le remarque de suite car il pleure, il nous repousse et c'est clairement visible sur son visage. Si il n'a plus faim ou plus soif il repousse sa bouteil ou retourne l'assiette. Léo sursaute parfois au moindre petit bruit qui peut le surprendre. Parfois quand il s'impatiente il suffit que Léo puisse toucher quelque chose un objet ou autre pour qu'il se calme</v>
      </c>
      <c r="AD230" t="str">
        <f>gescon_infosparticip!AC229</f>
        <v>Il faut veiller à ce qu'il soit correctement installé dans son fauteuil afin d'éviter des rougeurs sous les fesses.</v>
      </c>
      <c r="AE230" t="str">
        <f>gescon_infosparticip!AD229</f>
        <v>Depuis son opération du dos, Léo peut avoir mal si on fait les transferts trop rapidement ou si on ne le maintient pas correctement.</v>
      </c>
      <c r="AF230" t="str">
        <f>gescon_infosparticip!AE229</f>
        <v>On peut laisser les pelotes de côté plus largement ouvertes afin qu'il puisse  avoir un peu de liberté de mouvement.</v>
      </c>
      <c r="AG230" t="str">
        <f>gescon_infosparticip!AF229</f>
        <v>léo aime les sortie, la piscine, le vélo etc. Il aime surtout que l'on s'occupe de lui et qu'on fasse des activités avec lui. Léo cherche notre main pour qu'on lui gratouille l'arrière de la tête</v>
      </c>
      <c r="AH230" t="str">
        <f>gescon_infosparticip!AG229</f>
        <v>Léo n'aime pas rester statique, ou alors s'il est fatigué et que l'on bascule sa chaise en arrière pour qu'il se repose un moment. Léo n'est pas attiré par la télévision, mais par la musique.</v>
      </c>
      <c r="AI230" t="str">
        <f>gescon_infosparticip!BN229</f>
        <v>le sortir de la chaisepour qu'il puisse faire et voir autre chose.</v>
      </c>
      <c r="AJ230" t="str">
        <f>gescon_infosparticip!BO229</f>
        <v>une fois par jour</v>
      </c>
    </row>
    <row r="231" spans="2:36" x14ac:dyDescent="0.25">
      <c r="B231">
        <f>gescon_infosparticip!A230</f>
        <v>2146189330</v>
      </c>
      <c r="C231">
        <f>gescon_infosparticip!B230</f>
        <v>42843</v>
      </c>
      <c r="D231">
        <f>gescon_infosparticip!C230</f>
        <v>1062145440</v>
      </c>
      <c r="E231">
        <f>gescon_infosparticip!D230</f>
        <v>0</v>
      </c>
      <c r="F231">
        <f>gescon_infosparticip!E230</f>
        <v>0</v>
      </c>
      <c r="G231">
        <f>gescon_infosparticip!F230</f>
        <v>0</v>
      </c>
      <c r="H231">
        <f>gescon_infosparticip!G230</f>
        <v>2146189235</v>
      </c>
      <c r="I231" t="str">
        <f>gescon_infosparticip!H230</f>
        <v/>
      </c>
      <c r="J231">
        <f>IF(gescon_infosparticip!I230=FALSE,0,1)</f>
        <v>0</v>
      </c>
      <c r="K231">
        <f>IF(gescon_infosparticip!J230=FALSE,0,1)</f>
        <v>0</v>
      </c>
      <c r="L231">
        <f>IF(gescon_infosparticip!K230=FALSE,0,1)</f>
        <v>0</v>
      </c>
      <c r="M231">
        <f>IF(gescon_infosparticip!L230=FALSE,0,1)</f>
        <v>1</v>
      </c>
      <c r="N231">
        <f>IF(gescon_infosparticip!M230=FALSE,0,1)</f>
        <v>0</v>
      </c>
      <c r="O231">
        <f>IF(gescon_infosparticip!N230=FALSE,0,1)</f>
        <v>0</v>
      </c>
      <c r="P231">
        <f>IF(gescon_infosparticip!O230=FALSE,0,1)</f>
        <v>0</v>
      </c>
      <c r="Q231">
        <f>IF(gescon_infosparticip!P230=FALSE,0,1)</f>
        <v>1</v>
      </c>
      <c r="R231">
        <f>IF(gescon_infosparticip!Q230=FALSE,0,1)</f>
        <v>0</v>
      </c>
      <c r="S231" t="str">
        <f>gescon_infosparticip!R230</f>
        <v>Abby rampe parterre sur le ventre
Elle supporte les longs trajets mais elle doit s'allonger de temps en temps.</v>
      </c>
      <c r="T231" t="str">
        <f>gescon_infosparticip!V230</f>
        <v>Abby a besoin d'aide pour s'habiller. Elle doit porter ses lunettes tout le temps.</v>
      </c>
      <c r="U231" t="str">
        <f>gescon_infosparticip!S230</f>
        <v>Elle adore l'eau mais elle ne sait pas flotter</v>
      </c>
      <c r="V231">
        <f>IF(gescon_infosparticip!U230=FALSE,0,1)</f>
        <v>1</v>
      </c>
      <c r="W231">
        <f>IF(gescon_infosparticip!T230=FALSE,0,1)</f>
        <v>1</v>
      </c>
      <c r="X231" t="str">
        <f>gescon_infosparticip!W230</f>
        <v>Elle dort sur le ventre de préfèrence. Drap Zéwi</v>
      </c>
      <c r="Y231">
        <f>IF(gescon_infosparticip!X230=FALSE,0,1)</f>
        <v>0</v>
      </c>
      <c r="Z231">
        <f>IF(gescon_infosparticip!Y230=FALSE,0,1)</f>
        <v>1</v>
      </c>
      <c r="AA231">
        <f>IF(gescon_infosparticip!Z230=FALSE,0,1)</f>
        <v>0</v>
      </c>
      <c r="AB231">
        <f>IF(gescon_infosparticip!AA230=FALSE,0,1)</f>
        <v>1</v>
      </c>
      <c r="AC231" t="str">
        <f>gescon_infosparticip!AB230</f>
        <v>Verbale. Attention: dès qu'elle est vexée elle s'auto mutile. Elle se tire les cheveux et veut s'arracher les dents. Elle peut aussi essayer de pincer la personne à côté d'elle ou se mordre. Ne surtout pas la laisser faire.</v>
      </c>
      <c r="AD231" t="str">
        <f>gescon_infosparticip!AC230</f>
        <v>Peu de contact avec la famille paterne. Excellent contact avec la famille maternel puisqu'ils travaillent tous pour la même société.</v>
      </c>
      <c r="AE231" t="str">
        <f>gescon_infosparticip!AD230</f>
        <v>Killian (frère)
Bryan (frère)</v>
      </c>
      <c r="AF231" t="str">
        <f>gescon_infosparticip!AE230</f>
        <v/>
      </c>
      <c r="AG231" t="str">
        <f>gescon_infosparticip!AF230</f>
        <v/>
      </c>
      <c r="AH231" t="str">
        <f>gescon_infosparticip!AG230</f>
        <v>Elle n'aime pas être contrarié.</v>
      </c>
      <c r="AI231" t="str">
        <f>gescon_infosparticip!BN230</f>
        <v/>
      </c>
      <c r="AJ231" t="str">
        <f>gescon_infosparticip!BO230</f>
        <v/>
      </c>
    </row>
    <row r="232" spans="2:36" x14ac:dyDescent="0.25">
      <c r="B232">
        <f>gescon_infosparticip!A231</f>
        <v>2146189333</v>
      </c>
      <c r="C232">
        <f>gescon_infosparticip!B231</f>
        <v>42255</v>
      </c>
      <c r="D232">
        <f>gescon_infosparticip!C231</f>
        <v>2146189439</v>
      </c>
      <c r="E232">
        <f>gescon_infosparticip!D231</f>
        <v>0</v>
      </c>
      <c r="F232">
        <f>gescon_infosparticip!E231</f>
        <v>2146189439</v>
      </c>
      <c r="G232">
        <f>gescon_infosparticip!F231</f>
        <v>0</v>
      </c>
      <c r="H232">
        <f>gescon_infosparticip!G231</f>
        <v>2146189439</v>
      </c>
      <c r="I232" t="str">
        <f>gescon_infosparticip!H231</f>
        <v/>
      </c>
      <c r="J232">
        <f>IF(gescon_infosparticip!I231=FALSE,0,1)</f>
        <v>0</v>
      </c>
      <c r="K232">
        <f>IF(gescon_infosparticip!J231=FALSE,0,1)</f>
        <v>0</v>
      </c>
      <c r="L232">
        <f>IF(gescon_infosparticip!K231=FALSE,0,1)</f>
        <v>0</v>
      </c>
      <c r="M232">
        <f>IF(gescon_infosparticip!L231=FALSE,0,1)</f>
        <v>1</v>
      </c>
      <c r="N232">
        <f>IF(gescon_infosparticip!M231=FALSE,0,1)</f>
        <v>1</v>
      </c>
      <c r="O232">
        <f>IF(gescon_infosparticip!N231=FALSE,0,1)</f>
        <v>0</v>
      </c>
      <c r="P232">
        <f>IF(gescon_infosparticip!O231=FALSE,0,1)</f>
        <v>0</v>
      </c>
      <c r="Q232">
        <f>IF(gescon_infosparticip!P231=FALSE,0,1)</f>
        <v>0</v>
      </c>
      <c r="R232">
        <f>IF(gescon_infosparticip!Q231=FALSE,0,1)</f>
        <v>0</v>
      </c>
      <c r="S232" t="str">
        <f>gescon_infosparticip!R231</f>
        <v>non</v>
      </c>
      <c r="T232" t="str">
        <f>gescon_infosparticip!V231</f>
        <v>aide complète entre 8h et 10h du matin. Elle à une sonde en continue. Les médicament passe par la PEG. Doin de la bnouche par la PEG. Placer la nourriture entre le dos du sac à dos.</v>
      </c>
      <c r="U232" t="str">
        <f>gescon_infosparticip!S231</f>
        <v>pour l'instant pas de piscine</v>
      </c>
      <c r="V232">
        <f>IF(gescon_infosparticip!U231=FALSE,0,1)</f>
        <v>0</v>
      </c>
      <c r="W232">
        <f>IF(gescon_infosparticip!T231=FALSE,0,1)</f>
        <v>0</v>
      </c>
      <c r="X232" t="str">
        <f>gescon_infosparticip!W231</f>
        <v>de 20h à 8h. Se réveille pendant la nuit entre 2 et 4h du matin. Elle dort toujours à plat sur le ventre. Lit incliné à cause des reflux gastriques.</v>
      </c>
      <c r="Y232">
        <f>IF(gescon_infosparticip!X231=FALSE,0,1)</f>
        <v>0</v>
      </c>
      <c r="Z232">
        <f>IF(gescon_infosparticip!Y231=FALSE,0,1)</f>
        <v>0</v>
      </c>
      <c r="AA232">
        <f>IF(gescon_infosparticip!Z231=FALSE,0,1)</f>
        <v>0</v>
      </c>
      <c r="AB232">
        <f>IF(gescon_infosparticip!AA231=FALSE,0,1)</f>
        <v>1</v>
      </c>
      <c r="AC232" t="str">
        <f>gescon_infosparticip!AB231</f>
        <v>un cahier de communication  oui non</v>
      </c>
      <c r="AD232" t="str">
        <f>gescon_infosparticip!AC231</f>
        <v/>
      </c>
      <c r="AE232" t="str">
        <f>gescon_infosparticip!AD231</f>
        <v/>
      </c>
      <c r="AF232" t="str">
        <f>gescon_infosparticip!AE231</f>
        <v/>
      </c>
      <c r="AG232" t="str">
        <f>gescon_infosparticip!AF231</f>
        <v>aime regarder les dvd. Lecture de livre. Dinette tata Nadia, tonton Nicolas, pépé, mémé, grand-maman, cousin Jérémie et Emilie, tata de Genève, elle adore les animaux en particulier les chats.</v>
      </c>
      <c r="AH232" t="str">
        <f>gescon_infosparticip!AG231</f>
        <v>promenade en pousette reste un défi</v>
      </c>
      <c r="AI232" t="str">
        <f>gescon_infosparticip!BN231</f>
        <v>la prendre sur nous ou dans la chaise haute. Max 1h difficile de l'asseoir dans une chaise, mouvement d'extanssion très fort</v>
      </c>
      <c r="AJ232" t="str">
        <f>gescon_infosparticip!BO231</f>
        <v/>
      </c>
    </row>
    <row r="233" spans="2:36" x14ac:dyDescent="0.25">
      <c r="B233">
        <f>gescon_infosparticip!A232</f>
        <v>2146189335</v>
      </c>
      <c r="C233">
        <f>gescon_infosparticip!B232</f>
        <v>42241</v>
      </c>
      <c r="D233">
        <f>gescon_infosparticip!C232</f>
        <v>2146189524</v>
      </c>
      <c r="E233">
        <f>gescon_infosparticip!D232</f>
        <v>0</v>
      </c>
      <c r="F233">
        <f>gescon_infosparticip!E232</f>
        <v>0</v>
      </c>
      <c r="G233">
        <f>gescon_infosparticip!F232</f>
        <v>0</v>
      </c>
      <c r="H233">
        <f>gescon_infosparticip!G232</f>
        <v>0</v>
      </c>
      <c r="I233" t="str">
        <f>gescon_infosparticip!H232</f>
        <v/>
      </c>
      <c r="J233">
        <f>IF(gescon_infosparticip!I232=FALSE,0,1)</f>
        <v>0</v>
      </c>
      <c r="K233">
        <f>IF(gescon_infosparticip!J232=FALSE,0,1)</f>
        <v>0</v>
      </c>
      <c r="L233">
        <f>IF(gescon_infosparticip!K232=FALSE,0,1)</f>
        <v>1</v>
      </c>
      <c r="M233">
        <f>IF(gescon_infosparticip!L232=FALSE,0,1)</f>
        <v>0</v>
      </c>
      <c r="N233">
        <f>IF(gescon_infosparticip!M232=FALSE,0,1)</f>
        <v>0</v>
      </c>
      <c r="O233">
        <f>IF(gescon_infosparticip!N232=FALSE,0,1)</f>
        <v>0</v>
      </c>
      <c r="P233">
        <f>IF(gescon_infosparticip!O232=FALSE,0,1)</f>
        <v>0</v>
      </c>
      <c r="Q233">
        <f>IF(gescon_infosparticip!P232=FALSE,0,1)</f>
        <v>0</v>
      </c>
      <c r="R233">
        <f>IF(gescon_infosparticip!Q232=FALSE,0,1)</f>
        <v>0</v>
      </c>
      <c r="S233" t="str">
        <f>gescon_infosparticip!R232</f>
        <v/>
      </c>
      <c r="T233" t="str">
        <f>gescon_infosparticip!V232</f>
        <v/>
      </c>
      <c r="U233" t="str">
        <f>gescon_infosparticip!S232</f>
        <v>oui, avec aide</v>
      </c>
      <c r="V233">
        <f>IF(gescon_infosparticip!U232=FALSE,0,1)</f>
        <v>1</v>
      </c>
      <c r="W233">
        <f>IF(gescon_infosparticip!T232=FALSE,0,1)</f>
        <v>0</v>
      </c>
      <c r="X233" t="str">
        <f>gescon_infosparticip!W232</f>
        <v/>
      </c>
      <c r="Y233">
        <f>IF(gescon_infosparticip!X232=FALSE,0,1)</f>
        <v>0</v>
      </c>
      <c r="Z233">
        <f>IF(gescon_infosparticip!Y232=FALSE,0,1)</f>
        <v>0</v>
      </c>
      <c r="AA233">
        <f>IF(gescon_infosparticip!Z232=FALSE,0,1)</f>
        <v>0</v>
      </c>
      <c r="AB233">
        <f>IF(gescon_infosparticip!AA232=FALSE,0,1)</f>
        <v>0</v>
      </c>
      <c r="AC233" t="str">
        <f>gescon_infosparticip!AB232</f>
        <v>Il s'exprime oralement</v>
      </c>
      <c r="AD233" t="str">
        <f>gescon_infosparticip!AC232</f>
        <v/>
      </c>
      <c r="AE233" t="str">
        <f>gescon_infosparticip!AD232</f>
        <v/>
      </c>
      <c r="AF233" t="str">
        <f>gescon_infosparticip!AE232</f>
        <v/>
      </c>
      <c r="AG233" t="str">
        <f>gescon_infosparticip!AF232</f>
        <v/>
      </c>
      <c r="AH233" t="str">
        <f>gescon_infosparticip!AG232</f>
        <v/>
      </c>
      <c r="AI233" t="str">
        <f>gescon_infosparticip!BN232</f>
        <v/>
      </c>
      <c r="AJ233" t="str">
        <f>gescon_infosparticip!BO232</f>
        <v/>
      </c>
    </row>
    <row r="234" spans="2:36" x14ac:dyDescent="0.25">
      <c r="B234">
        <f>gescon_infosparticip!A233</f>
        <v>2146189337</v>
      </c>
      <c r="C234">
        <f>gescon_infosparticip!B233</f>
        <v>42955</v>
      </c>
      <c r="D234">
        <f>gescon_infosparticip!C233</f>
        <v>0</v>
      </c>
      <c r="E234">
        <f>gescon_infosparticip!D233</f>
        <v>0</v>
      </c>
      <c r="F234">
        <f>gescon_infosparticip!E233</f>
        <v>2146189338</v>
      </c>
      <c r="G234">
        <f>gescon_infosparticip!F233</f>
        <v>0</v>
      </c>
      <c r="H234">
        <f>gescon_infosparticip!G233</f>
        <v>0</v>
      </c>
      <c r="I234" t="str">
        <f>gescon_infosparticip!H233</f>
        <v/>
      </c>
      <c r="J234">
        <f>IF(gescon_infosparticip!I233=FALSE,0,1)</f>
        <v>1</v>
      </c>
      <c r="K234">
        <f>IF(gescon_infosparticip!J233=FALSE,0,1)</f>
        <v>0</v>
      </c>
      <c r="L234">
        <f>IF(gescon_infosparticip!K233=FALSE,0,1)</f>
        <v>1</v>
      </c>
      <c r="M234">
        <f>IF(gescon_infosparticip!L233=FALSE,0,1)</f>
        <v>0</v>
      </c>
      <c r="N234">
        <f>IF(gescon_infosparticip!M233=FALSE,0,1)</f>
        <v>0</v>
      </c>
      <c r="O234">
        <f>IF(gescon_infosparticip!N233=FALSE,0,1)</f>
        <v>0</v>
      </c>
      <c r="P234">
        <f>IF(gescon_infosparticip!O233=FALSE,0,1)</f>
        <v>1</v>
      </c>
      <c r="Q234">
        <f>IF(gescon_infosparticip!P233=FALSE,0,1)</f>
        <v>1</v>
      </c>
      <c r="R234">
        <f>IF(gescon_infosparticip!Q233=FALSE,0,1)</f>
        <v>0</v>
      </c>
      <c r="S234" t="str">
        <f>gescon_infosparticip!R233</f>
        <v>Ne pense pas forcément à freiner sa chaise
Se pousse mais demande de l'aide parfois
1cale-pied G avec velcros. Si promenade mettre le 2ème cale-pied</v>
      </c>
      <c r="T234" t="str">
        <f>gescon_infosparticip!V233</f>
        <v>Aide complète pour le bas et le bras plégique, avec guidance pour le reste. Lui énumérer les étapes une à une. Important lui donner les médicaments et ou contrôler qu'ils les prennent..</v>
      </c>
      <c r="U234" t="str">
        <f>gescon_infosparticip!S233</f>
        <v>Aime bien la piscine (il était gardien de piscine)</v>
      </c>
      <c r="V234">
        <f>IF(gescon_infosparticip!U233=FALSE,0,1)</f>
        <v>1</v>
      </c>
      <c r="W234">
        <f>IF(gescon_infosparticip!T233=FALSE,0,1)</f>
        <v>0</v>
      </c>
      <c r="X234" t="str">
        <f>gescon_infosparticip!W233</f>
        <v/>
      </c>
      <c r="Y234">
        <f>IF(gescon_infosparticip!X233=FALSE,0,1)</f>
        <v>0</v>
      </c>
      <c r="Z234">
        <f>IF(gescon_infosparticip!Y233=FALSE,0,1)</f>
        <v>0</v>
      </c>
      <c r="AA234">
        <f>IF(gescon_infosparticip!Z233=FALSE,0,1)</f>
        <v>0</v>
      </c>
      <c r="AB234">
        <f>IF(gescon_infosparticip!AA233=FALSE,0,1)</f>
        <v>0</v>
      </c>
      <c r="AC234" t="str">
        <f>gescon_infosparticip!AB233</f>
        <v>Il parle facilement. Il parle le portuguais</v>
      </c>
      <c r="AD234" t="str">
        <f>gescon_infosparticip!AC233</f>
        <v/>
      </c>
      <c r="AE234" t="str">
        <f>gescon_infosparticip!AD233</f>
        <v/>
      </c>
      <c r="AF234" t="str">
        <f>gescon_infosparticip!AE233</f>
        <v/>
      </c>
      <c r="AG234" t="str">
        <f>gescon_infosparticip!AF233</f>
        <v>Il est passioné par le karaté (il en a fait 20 ans). Il était responsable de la piscine de Grône. Il aime les voitures, les films (cinéma) et le sport.</v>
      </c>
      <c r="AH234" t="str">
        <f>gescon_infosparticip!AG233</f>
        <v>Il n'aime pas le théâtre classique</v>
      </c>
      <c r="AI234" t="str">
        <f>gescon_infosparticip!BN233</f>
        <v>Non, autonome</v>
      </c>
      <c r="AJ234" t="str">
        <f>gescon_infosparticip!BO233</f>
        <v>sieste: 13h30-14h00 envrion si grande fatigue</v>
      </c>
    </row>
    <row r="235" spans="2:36" x14ac:dyDescent="0.25">
      <c r="B235">
        <f>gescon_infosparticip!A234</f>
        <v>2146189343</v>
      </c>
      <c r="C235">
        <f>gescon_infosparticip!B234</f>
        <v>41858</v>
      </c>
      <c r="D235">
        <f>gescon_infosparticip!C234</f>
        <v>0</v>
      </c>
      <c r="E235">
        <f>gescon_infosparticip!D234</f>
        <v>0</v>
      </c>
      <c r="F235">
        <f>gescon_infosparticip!E234</f>
        <v>2146189359</v>
      </c>
      <c r="G235">
        <f>gescon_infosparticip!F234</f>
        <v>2146189000</v>
      </c>
      <c r="H235">
        <f>gescon_infosparticip!G234</f>
        <v>2146189000</v>
      </c>
      <c r="I235" t="str">
        <f>gescon_infosparticip!H234</f>
        <v>Raphaël Bonvin 027 327 29 24</v>
      </c>
      <c r="J235">
        <f>IF(gescon_infosparticip!I234=FALSE,0,1)</f>
        <v>1</v>
      </c>
      <c r="K235">
        <f>IF(gescon_infosparticip!J234=FALSE,0,1)</f>
        <v>1</v>
      </c>
      <c r="L235">
        <f>IF(gescon_infosparticip!K234=FALSE,0,1)</f>
        <v>0</v>
      </c>
      <c r="M235">
        <f>IF(gescon_infosparticip!L234=FALSE,0,1)</f>
        <v>0</v>
      </c>
      <c r="N235">
        <f>IF(gescon_infosparticip!M234=FALSE,0,1)</f>
        <v>0</v>
      </c>
      <c r="O235">
        <f>IF(gescon_infosparticip!N234=FALSE,0,1)</f>
        <v>1</v>
      </c>
      <c r="P235">
        <f>IF(gescon_infosparticip!O234=FALSE,0,1)</f>
        <v>0</v>
      </c>
      <c r="Q235">
        <f>IF(gescon_infosparticip!P234=FALSE,0,1)</f>
        <v>1</v>
      </c>
      <c r="R235">
        <f>IF(gescon_infosparticip!Q234=FALSE,0,1)</f>
        <v>0</v>
      </c>
      <c r="S235" t="str">
        <f>gescon_infosparticip!R234</f>
        <v>il est trop adité pendant les déplacements en bus. 
Le faire marche 2 à 3 x/jour avec rollator lui fait du bien car il est toute la journée sur son fauteil roulant.</v>
      </c>
      <c r="T235" t="str">
        <f>gescon_infosparticip!V234</f>
        <v>Aide totale pour l'habillement et la toilette. Attention à ne pas oublier les bas de contention</v>
      </c>
      <c r="U235" t="str">
        <f>gescon_infosparticip!S234</f>
        <v>Il va a la piscine, mais toujours l'accompagner car il a peur de l'eau</v>
      </c>
      <c r="V235">
        <f>IF(gescon_infosparticip!U234=FALSE,0,1)</f>
        <v>1</v>
      </c>
      <c r="W235">
        <f>IF(gescon_infosparticip!T234=FALSE,0,1)</f>
        <v>0</v>
      </c>
      <c r="X235" t="str">
        <f>gescon_infosparticip!W234</f>
        <v>Il est très agité pendant la nuit. Il bouge bcp. Sur le dos avec le dossier elevé et les jambe surelevées.</v>
      </c>
      <c r="Y235">
        <f>IF(gescon_infosparticip!X234=FALSE,0,1)</f>
        <v>0</v>
      </c>
      <c r="Z235">
        <f>IF(gescon_infosparticip!Y234=FALSE,0,1)</f>
        <v>0</v>
      </c>
      <c r="AA235">
        <f>IF(gescon_infosparticip!Z234=FALSE,0,1)</f>
        <v>0</v>
      </c>
      <c r="AB235">
        <f>IF(gescon_infosparticip!AA234=FALSE,0,1)</f>
        <v>1</v>
      </c>
      <c r="AC235" t="str">
        <f>gescon_infosparticip!AB234</f>
        <v>Comprend bien ce qui lui est dit et arrive bien à répondre. André a tendance a vouloir tout, tout de suite. Il essaie d'intimider les nouvelles personnes en criant pour avoir ce qu'il désire. Important de lui fixer un cadre et de le faire respecter pour son bien-être et celui des autres. André s'est se montrer très agréable avec beaucoup d'humour.</v>
      </c>
      <c r="AD235" t="str">
        <f>gescon_infosparticip!AC234</f>
        <v>Le père d'andré est décédé et il n'a pas de contact avec sa mère.</v>
      </c>
      <c r="AE235" t="str">
        <f>gescon_infosparticip!AD234</f>
        <v>Il a un frère, Daniel marié à Marilyn qui est sa curatrice. Ils viennent le trouver au foyer.</v>
      </c>
      <c r="AF235" t="str">
        <f>gescon_infosparticip!AE234</f>
        <v/>
      </c>
      <c r="AG235" t="str">
        <f>gescon_infosparticip!AF234</f>
        <v>Il aime se balader, chanter des chansons qu'il connait, avoir des contacts avec les animaux, visiter des brocantes, des vieilles choses et posséder des voitures miniatures.</v>
      </c>
      <c r="AH235" t="str">
        <f>gescon_infosparticip!AG234</f>
        <v>André a le droit a une cigarette par heure de 08h30 à 18h00. Lorsqu'il fume, il faut lui mettre le tablier qui se trouvre derrière sa chaise, ainsi que le porte cigarette pour éviter qu'il se brule. Il ne faut pas lui laisser le paquet car il demande aux autres personnes de lui donner. S'il est dans le non-respect des autres résidents et/ou transgresse les rêgles établies, il faut lui décaler la cigarette d'une heure.</v>
      </c>
      <c r="AI235" t="str">
        <f>gescon_infosparticip!BN234</f>
        <v>lui faire marcher 2 à 3x/jour. Aide pour les transferts, il se tient debout.</v>
      </c>
      <c r="AJ235" t="str">
        <f>gescon_infosparticip!BO234</f>
        <v/>
      </c>
    </row>
    <row r="236" spans="2:36" x14ac:dyDescent="0.25">
      <c r="B236">
        <f>gescon_infosparticip!A235</f>
        <v>2146189362</v>
      </c>
      <c r="C236">
        <f>gescon_infosparticip!B235</f>
        <v>42319</v>
      </c>
      <c r="D236">
        <f>gescon_infosparticip!C235</f>
        <v>2146189385</v>
      </c>
      <c r="E236">
        <f>gescon_infosparticip!D235</f>
        <v>0</v>
      </c>
      <c r="F236">
        <f>gescon_infosparticip!E235</f>
        <v>0</v>
      </c>
      <c r="G236">
        <f>gescon_infosparticip!F235</f>
        <v>0</v>
      </c>
      <c r="H236">
        <f>gescon_infosparticip!G235</f>
        <v>2146189385</v>
      </c>
      <c r="I236" t="str">
        <f>gescon_infosparticip!H235</f>
        <v/>
      </c>
      <c r="J236">
        <f>IF(gescon_infosparticip!I235=FALSE,0,1)</f>
        <v>0</v>
      </c>
      <c r="K236">
        <f>IF(gescon_infosparticip!J235=FALSE,0,1)</f>
        <v>0</v>
      </c>
      <c r="L236">
        <f>IF(gescon_infosparticip!K235=FALSE,0,1)</f>
        <v>0</v>
      </c>
      <c r="M236">
        <f>IF(gescon_infosparticip!L235=FALSE,0,1)</f>
        <v>1</v>
      </c>
      <c r="N236">
        <f>IF(gescon_infosparticip!M235=FALSE,0,1)</f>
        <v>0</v>
      </c>
      <c r="O236">
        <f>IF(gescon_infosparticip!N235=FALSE,0,1)</f>
        <v>0</v>
      </c>
      <c r="P236">
        <f>IF(gescon_infosparticip!O235=FALSE,0,1)</f>
        <v>0</v>
      </c>
      <c r="Q236">
        <f>IF(gescon_infosparticip!P235=FALSE,0,1)</f>
        <v>0</v>
      </c>
      <c r="R236">
        <f>IF(gescon_infosparticip!Q235=FALSE,0,1)</f>
        <v>0</v>
      </c>
      <c r="S236" t="str">
        <f>gescon_infosparticip!R235</f>
        <v>il supporte les longs trajets</v>
      </c>
      <c r="T236" t="str">
        <f>gescon_infosparticip!V235</f>
        <v>Pas d'autonomie, comme un enfants de 1 année</v>
      </c>
      <c r="U236" t="str">
        <f>gescon_infosparticip!S235</f>
        <v>Il aime bien la piscine</v>
      </c>
      <c r="V236">
        <f>IF(gescon_infosparticip!U235=FALSE,0,1)</f>
        <v>1</v>
      </c>
      <c r="W236">
        <f>IF(gescon_infosparticip!T235=FALSE,0,1)</f>
        <v>1</v>
      </c>
      <c r="X236" t="str">
        <f>gescon_infosparticip!W235</f>
        <v/>
      </c>
      <c r="Y236">
        <f>IF(gescon_infosparticip!X235=FALSE,0,1)</f>
        <v>0</v>
      </c>
      <c r="Z236">
        <f>IF(gescon_infosparticip!Y235=FALSE,0,1)</f>
        <v>1</v>
      </c>
      <c r="AA236">
        <f>IF(gescon_infosparticip!Z235=FALSE,0,1)</f>
        <v>0</v>
      </c>
      <c r="AB236">
        <f>IF(gescon_infosparticip!AA235=FALSE,0,1)</f>
        <v>1</v>
      </c>
      <c r="AC236" t="str">
        <f>gescon_infosparticip!AB235</f>
        <v>Soutien gestuel au langage + quelques mots</v>
      </c>
      <c r="AD236" t="str">
        <f>gescon_infosparticip!AC235</f>
        <v>Florent vit avec ses parents et sa sœur et 2 petits frères</v>
      </c>
      <c r="AE236" t="str">
        <f>gescon_infosparticip!AD235</f>
        <v>Florent a une sœur (Marion 3 ans) et deux petits frères attendus pour décembre 2014</v>
      </c>
      <c r="AF236" t="str">
        <f>gescon_infosparticip!AE235</f>
        <v/>
      </c>
      <c r="AG236" t="str">
        <f>gescon_infosparticip!AF235</f>
        <v/>
      </c>
      <c r="AH236" t="str">
        <f>gescon_infosparticip!AG235</f>
        <v/>
      </c>
      <c r="AI236" t="str">
        <f>gescon_infosparticip!BN235</f>
        <v>Vérifier que Florent ne dort pas assis la tête entre les jambes. Il fait 2 heures de sieste. Le soir il dort à 20h</v>
      </c>
      <c r="AJ236" t="str">
        <f>gescon_infosparticip!BO235</f>
        <v/>
      </c>
    </row>
    <row r="237" spans="2:36" x14ac:dyDescent="0.25">
      <c r="B237">
        <f>gescon_infosparticip!A236</f>
        <v>2146189369</v>
      </c>
      <c r="C237">
        <f>gescon_infosparticip!B236</f>
        <v>41872</v>
      </c>
      <c r="D237">
        <f>gescon_infosparticip!C236</f>
        <v>0</v>
      </c>
      <c r="E237">
        <f>gescon_infosparticip!D236</f>
        <v>0</v>
      </c>
      <c r="F237">
        <f>gescon_infosparticip!E236</f>
        <v>0</v>
      </c>
      <c r="G237">
        <f>gescon_infosparticip!F236</f>
        <v>0</v>
      </c>
      <c r="H237">
        <f>gescon_infosparticip!G236</f>
        <v>0</v>
      </c>
      <c r="I237" t="str">
        <f>gescon_infosparticip!H236</f>
        <v/>
      </c>
      <c r="J237">
        <f>IF(gescon_infosparticip!I236=FALSE,0,1)</f>
        <v>0</v>
      </c>
      <c r="K237">
        <f>IF(gescon_infosparticip!J236=FALSE,0,1)</f>
        <v>0</v>
      </c>
      <c r="L237">
        <f>IF(gescon_infosparticip!K236=FALSE,0,1)</f>
        <v>0</v>
      </c>
      <c r="M237">
        <f>IF(gescon_infosparticip!L236=FALSE,0,1)</f>
        <v>0</v>
      </c>
      <c r="N237">
        <f>IF(gescon_infosparticip!M236=FALSE,0,1)</f>
        <v>1</v>
      </c>
      <c r="O237">
        <f>IF(gescon_infosparticip!N236=FALSE,0,1)</f>
        <v>0</v>
      </c>
      <c r="P237">
        <f>IF(gescon_infosparticip!O236=FALSE,0,1)</f>
        <v>0</v>
      </c>
      <c r="Q237">
        <f>IF(gescon_infosparticip!P236=FALSE,0,1)</f>
        <v>0</v>
      </c>
      <c r="R237">
        <f>IF(gescon_infosparticip!Q236=FALSE,0,1)</f>
        <v>0</v>
      </c>
      <c r="S237" t="str">
        <f>gescon_infosparticip!R236</f>
        <v/>
      </c>
      <c r="T237" t="str">
        <f>gescon_infosparticip!V236</f>
        <v>seul, mais a besoin de stimulation et de supervision</v>
      </c>
      <c r="U237" t="str">
        <f>gescon_infosparticip!S236</f>
        <v>oui</v>
      </c>
      <c r="V237">
        <f>IF(gescon_infosparticip!U236=FALSE,0,1)</f>
        <v>0</v>
      </c>
      <c r="W237">
        <f>IF(gescon_infosparticip!T236=FALSE,0,1)</f>
        <v>0</v>
      </c>
      <c r="X237" t="str">
        <f>gescon_infosparticip!W236</f>
        <v/>
      </c>
      <c r="Y237">
        <f>IF(gescon_infosparticip!X236=FALSE,0,1)</f>
        <v>0</v>
      </c>
      <c r="Z237">
        <f>IF(gescon_infosparticip!Y236=FALSE,0,1)</f>
        <v>0</v>
      </c>
      <c r="AA237">
        <f>IF(gescon_infosparticip!Z236=FALSE,0,1)</f>
        <v>0</v>
      </c>
      <c r="AB237">
        <f>IF(gescon_infosparticip!AA236=FALSE,0,1)</f>
        <v>0</v>
      </c>
      <c r="AC237" t="str">
        <f>gescon_infosparticip!AB236</f>
        <v>comunique le manière claire, lit et écrit un peu</v>
      </c>
      <c r="AD237" t="str">
        <f>gescon_infosparticip!AC236</f>
        <v>laurence à besoin d'être sécurisé par un programme d'occupation bein définie et accompagner.laurence est tous les mercredi à la Cité du Genévrier</v>
      </c>
      <c r="AE237" t="str">
        <f>gescon_infosparticip!AD236</f>
        <v/>
      </c>
      <c r="AF237" t="str">
        <f>gescon_infosparticip!AE236</f>
        <v/>
      </c>
      <c r="AG237" t="str">
        <f>gescon_infosparticip!AF236</f>
        <v>peinture sur porcelaine pulzzle, équitation, tennis, ski, avec sport handicap.</v>
      </c>
      <c r="AH237" t="str">
        <f>gescon_infosparticip!AG236</f>
        <v/>
      </c>
      <c r="AI237" t="str">
        <f>gescon_infosparticip!BN236</f>
        <v>pas de changement</v>
      </c>
      <c r="AJ237" t="str">
        <f>gescon_infosparticip!BO236</f>
        <v/>
      </c>
    </row>
    <row r="238" spans="2:36" x14ac:dyDescent="0.25">
      <c r="B238">
        <f>gescon_infosparticip!A237</f>
        <v>2146189370</v>
      </c>
      <c r="C238">
        <f>gescon_infosparticip!B237</f>
        <v>42942</v>
      </c>
      <c r="D238">
        <f>gescon_infosparticip!C237</f>
        <v>2146189377</v>
      </c>
      <c r="E238">
        <f>gescon_infosparticip!D237</f>
        <v>0</v>
      </c>
      <c r="F238">
        <f>gescon_infosparticip!E237</f>
        <v>0</v>
      </c>
      <c r="G238">
        <f>gescon_infosparticip!F237</f>
        <v>0</v>
      </c>
      <c r="H238">
        <f>gescon_infosparticip!G237</f>
        <v>2146189967</v>
      </c>
      <c r="I238" t="str">
        <f>gescon_infosparticip!H237</f>
        <v>absence parents: 076 211 10 69</v>
      </c>
      <c r="J238">
        <f>IF(gescon_infosparticip!I237=FALSE,0,1)</f>
        <v>0</v>
      </c>
      <c r="K238">
        <f>IF(gescon_infosparticip!J237=FALSE,0,1)</f>
        <v>0</v>
      </c>
      <c r="L238">
        <f>IF(gescon_infosparticip!K237=FALSE,0,1)</f>
        <v>0</v>
      </c>
      <c r="M238">
        <f>IF(gescon_infosparticip!L237=FALSE,0,1)</f>
        <v>1</v>
      </c>
      <c r="N238">
        <f>IF(gescon_infosparticip!M237=FALSE,0,1)</f>
        <v>0</v>
      </c>
      <c r="O238">
        <f>IF(gescon_infosparticip!N237=FALSE,0,1)</f>
        <v>1</v>
      </c>
      <c r="P238">
        <f>IF(gescon_infosparticip!O237=FALSE,0,1)</f>
        <v>0</v>
      </c>
      <c r="Q238">
        <f>IF(gescon_infosparticip!P237=FALSE,0,1)</f>
        <v>1</v>
      </c>
      <c r="R238">
        <f>IF(gescon_infosparticip!Q237=FALSE,0,1)</f>
        <v>0</v>
      </c>
      <c r="S238" t="str">
        <f>gescon_infosparticip!R237</f>
        <v>pas de souci particulier pour les déplacements en voiture. Manon se déplace en chaise roulante manuelle, mais  peut aussi marcher avec  l'aide d'une personne et ses atelles.</v>
      </c>
      <c r="T238" t="str">
        <f>gescon_infosparticip!V237</f>
        <v>besoin d'aide pour l'habillement et donne volontiers son aide</v>
      </c>
      <c r="U238" t="str">
        <f>gescon_infosparticip!S237</f>
        <v>oui</v>
      </c>
      <c r="V238">
        <f>IF(gescon_infosparticip!U237=FALSE,0,1)</f>
        <v>1</v>
      </c>
      <c r="W238">
        <f>IF(gescon_infosparticip!T237=FALSE,0,1)</f>
        <v>0</v>
      </c>
      <c r="X238" t="str">
        <f>gescon_infosparticip!W237</f>
        <v/>
      </c>
      <c r="Y238">
        <f>IF(gescon_infosparticip!X237=FALSE,0,1)</f>
        <v>0</v>
      </c>
      <c r="Z238">
        <f>IF(gescon_infosparticip!Y237=FALSE,0,1)</f>
        <v>0</v>
      </c>
      <c r="AA238">
        <f>IF(gescon_infosparticip!Z237=FALSE,0,1)</f>
        <v>0</v>
      </c>
      <c r="AB238">
        <f>IF(gescon_infosparticip!AA237=FALSE,0,1)</f>
        <v>1</v>
      </c>
      <c r="AC238" t="str">
        <f>gescon_infosparticip!AB237</f>
        <v>soutien gestuel, comprend tout ce qu'on lui dit, bonne compréhension.</v>
      </c>
      <c r="AD238" t="str">
        <f>gescon_infosparticip!AC237</f>
        <v/>
      </c>
      <c r="AE238" t="str">
        <f>gescon_infosparticip!AD237</f>
        <v/>
      </c>
      <c r="AF238" t="str">
        <f>gescon_infosparticip!AE237</f>
        <v/>
      </c>
      <c r="AG238" t="str">
        <f>gescon_infosparticip!AF237</f>
        <v/>
      </c>
      <c r="AH238" t="str">
        <f>gescon_infosparticip!AG237</f>
        <v/>
      </c>
      <c r="AI238" t="str">
        <f>gescon_infosparticip!BN237</f>
        <v/>
      </c>
      <c r="AJ238" t="str">
        <f>gescon_infosparticip!BO237</f>
        <v/>
      </c>
    </row>
    <row r="239" spans="2:36" x14ac:dyDescent="0.25">
      <c r="B239">
        <f>gescon_infosparticip!A238</f>
        <v>2146189374</v>
      </c>
      <c r="C239">
        <f>gescon_infosparticip!B238</f>
        <v>42185</v>
      </c>
      <c r="D239">
        <f>gescon_infosparticip!C238</f>
        <v>0</v>
      </c>
      <c r="E239">
        <f>gescon_infosparticip!D238</f>
        <v>0</v>
      </c>
      <c r="F239">
        <f>gescon_infosparticip!E238</f>
        <v>0</v>
      </c>
      <c r="G239">
        <f>gescon_infosparticip!F238</f>
        <v>0</v>
      </c>
      <c r="H239">
        <f>gescon_infosparticip!G238</f>
        <v>0</v>
      </c>
      <c r="I239" t="str">
        <f>gescon_infosparticip!H238</f>
        <v/>
      </c>
      <c r="J239">
        <f>IF(gescon_infosparticip!I238=FALSE,0,1)</f>
        <v>0</v>
      </c>
      <c r="K239">
        <f>IF(gescon_infosparticip!J238=FALSE,0,1)</f>
        <v>0</v>
      </c>
      <c r="L239">
        <f>IF(gescon_infosparticip!K238=FALSE,0,1)</f>
        <v>0</v>
      </c>
      <c r="M239">
        <f>IF(gescon_infosparticip!L238=FALSE,0,1)</f>
        <v>0</v>
      </c>
      <c r="N239">
        <f>IF(gescon_infosparticip!M238=FALSE,0,1)</f>
        <v>0</v>
      </c>
      <c r="O239">
        <f>IF(gescon_infosparticip!N238=FALSE,0,1)</f>
        <v>0</v>
      </c>
      <c r="P239">
        <f>IF(gescon_infosparticip!O238=FALSE,0,1)</f>
        <v>0</v>
      </c>
      <c r="Q239">
        <f>IF(gescon_infosparticip!P238=FALSE,0,1)</f>
        <v>0</v>
      </c>
      <c r="R239">
        <f>IF(gescon_infosparticip!Q238=FALSE,0,1)</f>
        <v>0</v>
      </c>
      <c r="S239" t="str">
        <f>gescon_infosparticip!R238</f>
        <v/>
      </c>
      <c r="T239" t="str">
        <f>gescon_infosparticip!V238</f>
        <v/>
      </c>
      <c r="U239" t="str">
        <f>gescon_infosparticip!S238</f>
        <v/>
      </c>
      <c r="V239">
        <f>IF(gescon_infosparticip!U238=FALSE,0,1)</f>
        <v>0</v>
      </c>
      <c r="W239">
        <f>IF(gescon_infosparticip!T238=FALSE,0,1)</f>
        <v>0</v>
      </c>
      <c r="X239" t="str">
        <f>gescon_infosparticip!W238</f>
        <v/>
      </c>
      <c r="Y239">
        <f>IF(gescon_infosparticip!X238=FALSE,0,1)</f>
        <v>0</v>
      </c>
      <c r="Z239">
        <f>IF(gescon_infosparticip!Y238=FALSE,0,1)</f>
        <v>0</v>
      </c>
      <c r="AA239">
        <f>IF(gescon_infosparticip!Z238=FALSE,0,1)</f>
        <v>0</v>
      </c>
      <c r="AB239">
        <f>IF(gescon_infosparticip!AA238=FALSE,0,1)</f>
        <v>0</v>
      </c>
      <c r="AC239" t="str">
        <f>gescon_infosparticip!AB238</f>
        <v/>
      </c>
      <c r="AD239" t="str">
        <f>gescon_infosparticip!AC238</f>
        <v/>
      </c>
      <c r="AE239" t="str">
        <f>gescon_infosparticip!AD238</f>
        <v/>
      </c>
      <c r="AF239" t="str">
        <f>gescon_infosparticip!AE238</f>
        <v/>
      </c>
      <c r="AG239" t="str">
        <f>gescon_infosparticip!AF238</f>
        <v/>
      </c>
      <c r="AH239" t="str">
        <f>gescon_infosparticip!AG238</f>
        <v/>
      </c>
      <c r="AI239" t="str">
        <f>gescon_infosparticip!BN238</f>
        <v/>
      </c>
      <c r="AJ239" t="str">
        <f>gescon_infosparticip!BO238</f>
        <v/>
      </c>
    </row>
    <row r="240" spans="2:36" x14ac:dyDescent="0.25">
      <c r="B240">
        <f>gescon_infosparticip!A239</f>
        <v>2146189377</v>
      </c>
      <c r="C240">
        <f>gescon_infosparticip!B239</f>
        <v>42503</v>
      </c>
      <c r="D240">
        <f>gescon_infosparticip!C239</f>
        <v>0</v>
      </c>
      <c r="E240">
        <f>gescon_infosparticip!D239</f>
        <v>0</v>
      </c>
      <c r="F240">
        <f>gescon_infosparticip!E239</f>
        <v>0</v>
      </c>
      <c r="G240">
        <f>gescon_infosparticip!F239</f>
        <v>0</v>
      </c>
      <c r="H240">
        <f>gescon_infosparticip!G239</f>
        <v>0</v>
      </c>
      <c r="I240" t="str">
        <f>gescon_infosparticip!H239</f>
        <v/>
      </c>
      <c r="J240">
        <f>IF(gescon_infosparticip!I239=FALSE,0,1)</f>
        <v>0</v>
      </c>
      <c r="K240">
        <f>IF(gescon_infosparticip!J239=FALSE,0,1)</f>
        <v>0</v>
      </c>
      <c r="L240">
        <f>IF(gescon_infosparticip!K239=FALSE,0,1)</f>
        <v>0</v>
      </c>
      <c r="M240">
        <f>IF(gescon_infosparticip!L239=FALSE,0,1)</f>
        <v>0</v>
      </c>
      <c r="N240">
        <f>IF(gescon_infosparticip!M239=FALSE,0,1)</f>
        <v>0</v>
      </c>
      <c r="O240">
        <f>IF(gescon_infosparticip!N239=FALSE,0,1)</f>
        <v>0</v>
      </c>
      <c r="P240">
        <f>IF(gescon_infosparticip!O239=FALSE,0,1)</f>
        <v>0</v>
      </c>
      <c r="Q240">
        <f>IF(gescon_infosparticip!P239=FALSE,0,1)</f>
        <v>0</v>
      </c>
      <c r="R240">
        <f>IF(gescon_infosparticip!Q239=FALSE,0,1)</f>
        <v>0</v>
      </c>
      <c r="S240" t="str">
        <f>gescon_infosparticip!R239</f>
        <v/>
      </c>
      <c r="T240" t="str">
        <f>gescon_infosparticip!V239</f>
        <v/>
      </c>
      <c r="U240" t="str">
        <f>gescon_infosparticip!S239</f>
        <v/>
      </c>
      <c r="V240">
        <f>IF(gescon_infosparticip!U239=FALSE,0,1)</f>
        <v>0</v>
      </c>
      <c r="W240">
        <f>IF(gescon_infosparticip!T239=FALSE,0,1)</f>
        <v>0</v>
      </c>
      <c r="X240" t="str">
        <f>gescon_infosparticip!W239</f>
        <v/>
      </c>
      <c r="Y240">
        <f>IF(gescon_infosparticip!X239=FALSE,0,1)</f>
        <v>0</v>
      </c>
      <c r="Z240">
        <f>IF(gescon_infosparticip!Y239=FALSE,0,1)</f>
        <v>0</v>
      </c>
      <c r="AA240">
        <f>IF(gescon_infosparticip!Z239=FALSE,0,1)</f>
        <v>0</v>
      </c>
      <c r="AB240">
        <f>IF(gescon_infosparticip!AA239=FALSE,0,1)</f>
        <v>0</v>
      </c>
      <c r="AC240" t="str">
        <f>gescon_infosparticip!AB239</f>
        <v/>
      </c>
      <c r="AD240" t="str">
        <f>gescon_infosparticip!AC239</f>
        <v/>
      </c>
      <c r="AE240" t="str">
        <f>gescon_infosparticip!AD239</f>
        <v/>
      </c>
      <c r="AF240" t="str">
        <f>gescon_infosparticip!AE239</f>
        <v/>
      </c>
      <c r="AG240" t="str">
        <f>gescon_infosparticip!AF239</f>
        <v/>
      </c>
      <c r="AH240" t="str">
        <f>gescon_infosparticip!AG239</f>
        <v/>
      </c>
      <c r="AI240" t="str">
        <f>gescon_infosparticip!BN239</f>
        <v/>
      </c>
      <c r="AJ240" t="str">
        <f>gescon_infosparticip!BO239</f>
        <v/>
      </c>
    </row>
    <row r="241" spans="2:36" x14ac:dyDescent="0.25">
      <c r="B241">
        <f>gescon_infosparticip!A240</f>
        <v>2146189380</v>
      </c>
      <c r="C241">
        <f>gescon_infosparticip!B240</f>
        <v>41974</v>
      </c>
      <c r="D241">
        <f>gescon_infosparticip!C240</f>
        <v>0</v>
      </c>
      <c r="E241">
        <f>gescon_infosparticip!D240</f>
        <v>2146189381</v>
      </c>
      <c r="F241">
        <f>gescon_infosparticip!E240</f>
        <v>0</v>
      </c>
      <c r="G241">
        <f>gescon_infosparticip!F240</f>
        <v>0</v>
      </c>
      <c r="H241">
        <f>gescon_infosparticip!G240</f>
        <v>2146189383</v>
      </c>
      <c r="I241" t="str">
        <f>gescon_infosparticip!H240</f>
        <v/>
      </c>
      <c r="J241">
        <f>IF(gescon_infosparticip!I240=FALSE,0,1)</f>
        <v>0</v>
      </c>
      <c r="K241">
        <f>IF(gescon_infosparticip!J240=FALSE,0,1)</f>
        <v>0</v>
      </c>
      <c r="L241">
        <f>IF(gescon_infosparticip!K240=FALSE,0,1)</f>
        <v>0</v>
      </c>
      <c r="M241">
        <f>IF(gescon_infosparticip!L240=FALSE,0,1)</f>
        <v>0</v>
      </c>
      <c r="N241">
        <f>IF(gescon_infosparticip!M240=FALSE,0,1)</f>
        <v>0</v>
      </c>
      <c r="O241">
        <f>IF(gescon_infosparticip!N240=FALSE,0,1)</f>
        <v>0</v>
      </c>
      <c r="P241">
        <f>IF(gescon_infosparticip!O240=FALSE,0,1)</f>
        <v>0</v>
      </c>
      <c r="Q241">
        <f>IF(gescon_infosparticip!P240=FALSE,0,1)</f>
        <v>0</v>
      </c>
      <c r="R241">
        <f>IF(gescon_infosparticip!Q240=FALSE,0,1)</f>
        <v>0</v>
      </c>
      <c r="S241" t="str">
        <f>gescon_infosparticip!R240</f>
        <v>Il supporte les longs trajets</v>
      </c>
      <c r="T241" t="str">
        <f>gescon_infosparticip!V240</f>
        <v>Il s'habille tout seul.
Il faut lui expliquer pour brosser les dents de mettre le dentrifice sur la brosse, de frotter 3 min les dents, de rincer la bouche et de ranger la brosse.</v>
      </c>
      <c r="U241" t="str">
        <f>gescon_infosparticip!S240</f>
        <v>Bon nageur sous surveillance</v>
      </c>
      <c r="V241">
        <f>IF(gescon_infosparticip!U240=FALSE,0,1)</f>
        <v>0</v>
      </c>
      <c r="W241">
        <f>IF(gescon_infosparticip!T240=FALSE,0,1)</f>
        <v>0</v>
      </c>
      <c r="X241" t="str">
        <f>gescon_infosparticip!W240</f>
        <v/>
      </c>
      <c r="Y241">
        <f>IF(gescon_infosparticip!X240=FALSE,0,1)</f>
        <v>0</v>
      </c>
      <c r="Z241">
        <f>IF(gescon_infosparticip!Y240=FALSE,0,1)</f>
        <v>0</v>
      </c>
      <c r="AA241">
        <f>IF(gescon_infosparticip!Z240=FALSE,0,1)</f>
        <v>0</v>
      </c>
      <c r="AB241">
        <f>IF(gescon_infosparticip!AA240=FALSE,0,1)</f>
        <v>0</v>
      </c>
      <c r="AC241" t="str">
        <f>gescon_infosparticip!AB240</f>
        <v/>
      </c>
      <c r="AD241" t="str">
        <f>gescon_infosparticip!AC240</f>
        <v/>
      </c>
      <c r="AE241" t="str">
        <f>gescon_infosparticip!AD240</f>
        <v/>
      </c>
      <c r="AF241" t="str">
        <f>gescon_infosparticip!AE240</f>
        <v/>
      </c>
      <c r="AG241" t="str">
        <f>gescon_infosparticip!AF240</f>
        <v>Ski, hockey NHL, golf, très bonne culture générale. Soucieux de justice, de droit, passioné de science, recherche, maths. Tout l'intéresse si l'accompagnant le met en confiance et lui fait partager ses intérêts.</v>
      </c>
      <c r="AH241" t="str">
        <f>gescon_infosparticip!AG240</f>
        <v/>
      </c>
      <c r="AI241" t="str">
        <f>gescon_infosparticip!BN240</f>
        <v>Son rituel pour s'endormir c'est faire des massage pour se calmer</v>
      </c>
      <c r="AJ241" t="str">
        <f>gescon_infosparticip!BO240</f>
        <v/>
      </c>
    </row>
    <row r="242" spans="2:36" x14ac:dyDescent="0.25">
      <c r="B242">
        <f>gescon_infosparticip!A241</f>
        <v>2146189381</v>
      </c>
      <c r="C242">
        <f>gescon_infosparticip!B241</f>
        <v>41780</v>
      </c>
      <c r="D242">
        <f>gescon_infosparticip!C241</f>
        <v>0</v>
      </c>
      <c r="E242">
        <f>gescon_infosparticip!D241</f>
        <v>0</v>
      </c>
      <c r="F242">
        <f>gescon_infosparticip!E241</f>
        <v>0</v>
      </c>
      <c r="G242">
        <f>gescon_infosparticip!F241</f>
        <v>0</v>
      </c>
      <c r="H242">
        <f>gescon_infosparticip!G241</f>
        <v>0</v>
      </c>
      <c r="I242" t="str">
        <f>gescon_infosparticip!H241</f>
        <v/>
      </c>
      <c r="J242">
        <f>IF(gescon_infosparticip!I241=FALSE,0,1)</f>
        <v>0</v>
      </c>
      <c r="K242">
        <f>IF(gescon_infosparticip!J241=FALSE,0,1)</f>
        <v>0</v>
      </c>
      <c r="L242">
        <f>IF(gescon_infosparticip!K241=FALSE,0,1)</f>
        <v>0</v>
      </c>
      <c r="M242">
        <f>IF(gescon_infosparticip!L241=FALSE,0,1)</f>
        <v>0</v>
      </c>
      <c r="N242">
        <f>IF(gescon_infosparticip!M241=FALSE,0,1)</f>
        <v>0</v>
      </c>
      <c r="O242">
        <f>IF(gescon_infosparticip!N241=FALSE,0,1)</f>
        <v>0</v>
      </c>
      <c r="P242">
        <f>IF(gescon_infosparticip!O241=FALSE,0,1)</f>
        <v>0</v>
      </c>
      <c r="Q242">
        <f>IF(gescon_infosparticip!P241=FALSE,0,1)</f>
        <v>0</v>
      </c>
      <c r="R242">
        <f>IF(gescon_infosparticip!Q241=FALSE,0,1)</f>
        <v>0</v>
      </c>
      <c r="S242" t="str">
        <f>gescon_infosparticip!R241</f>
        <v/>
      </c>
      <c r="T242" t="str">
        <f>gescon_infosparticip!V241</f>
        <v/>
      </c>
      <c r="U242" t="str">
        <f>gescon_infosparticip!S241</f>
        <v/>
      </c>
      <c r="V242">
        <f>IF(gescon_infosparticip!U241=FALSE,0,1)</f>
        <v>0</v>
      </c>
      <c r="W242">
        <f>IF(gescon_infosparticip!T241=FALSE,0,1)</f>
        <v>0</v>
      </c>
      <c r="X242" t="str">
        <f>gescon_infosparticip!W241</f>
        <v/>
      </c>
      <c r="Y242">
        <f>IF(gescon_infosparticip!X241=FALSE,0,1)</f>
        <v>0</v>
      </c>
      <c r="Z242">
        <f>IF(gescon_infosparticip!Y241=FALSE,0,1)</f>
        <v>0</v>
      </c>
      <c r="AA242">
        <f>IF(gescon_infosparticip!Z241=FALSE,0,1)</f>
        <v>0</v>
      </c>
      <c r="AB242">
        <f>IF(gescon_infosparticip!AA241=FALSE,0,1)</f>
        <v>0</v>
      </c>
      <c r="AC242" t="str">
        <f>gescon_infosparticip!AB241</f>
        <v/>
      </c>
      <c r="AD242" t="str">
        <f>gescon_infosparticip!AC241</f>
        <v/>
      </c>
      <c r="AE242" t="str">
        <f>gescon_infosparticip!AD241</f>
        <v/>
      </c>
      <c r="AF242" t="str">
        <f>gescon_infosparticip!AE241</f>
        <v/>
      </c>
      <c r="AG242" t="str">
        <f>gescon_infosparticip!AF241</f>
        <v/>
      </c>
      <c r="AH242" t="str">
        <f>gescon_infosparticip!AG241</f>
        <v/>
      </c>
      <c r="AI242" t="str">
        <f>gescon_infosparticip!BN241</f>
        <v/>
      </c>
      <c r="AJ242" t="str">
        <f>gescon_infosparticip!BO241</f>
        <v/>
      </c>
    </row>
    <row r="243" spans="2:36" x14ac:dyDescent="0.25">
      <c r="B243">
        <f>gescon_infosparticip!A242</f>
        <v>2146189410</v>
      </c>
      <c r="C243">
        <f>gescon_infosparticip!B242</f>
        <v>42867</v>
      </c>
      <c r="D243">
        <f>gescon_infosparticip!C242</f>
        <v>0</v>
      </c>
      <c r="E243">
        <f>gescon_infosparticip!D242</f>
        <v>0</v>
      </c>
      <c r="F243">
        <f>gescon_infosparticip!E242</f>
        <v>0</v>
      </c>
      <c r="G243">
        <f>gescon_infosparticip!F242</f>
        <v>0</v>
      </c>
      <c r="H243">
        <f>gescon_infosparticip!G242</f>
        <v>0</v>
      </c>
      <c r="I243" t="str">
        <f>gescon_infosparticip!H242</f>
        <v/>
      </c>
      <c r="J243">
        <f>IF(gescon_infosparticip!I242=FALSE,0,1)</f>
        <v>0</v>
      </c>
      <c r="K243">
        <f>IF(gescon_infosparticip!J242=FALSE,0,1)</f>
        <v>0</v>
      </c>
      <c r="L243">
        <f>IF(gescon_infosparticip!K242=FALSE,0,1)</f>
        <v>0</v>
      </c>
      <c r="M243">
        <f>IF(gescon_infosparticip!L242=FALSE,0,1)</f>
        <v>0</v>
      </c>
      <c r="N243">
        <f>IF(gescon_infosparticip!M242=FALSE,0,1)</f>
        <v>0</v>
      </c>
      <c r="O243">
        <f>IF(gescon_infosparticip!N242=FALSE,0,1)</f>
        <v>0</v>
      </c>
      <c r="P243">
        <f>IF(gescon_infosparticip!O242=FALSE,0,1)</f>
        <v>0</v>
      </c>
      <c r="Q243">
        <f>IF(gescon_infosparticip!P242=FALSE,0,1)</f>
        <v>0</v>
      </c>
      <c r="R243">
        <f>IF(gescon_infosparticip!Q242=FALSE,0,1)</f>
        <v>0</v>
      </c>
      <c r="S243" t="str">
        <f>gescon_infosparticip!R242</f>
        <v/>
      </c>
      <c r="T243" t="str">
        <f>gescon_infosparticip!V242</f>
        <v/>
      </c>
      <c r="U243" t="str">
        <f>gescon_infosparticip!S242</f>
        <v/>
      </c>
      <c r="V243">
        <f>IF(gescon_infosparticip!U242=FALSE,0,1)</f>
        <v>0</v>
      </c>
      <c r="W243">
        <f>IF(gescon_infosparticip!T242=FALSE,0,1)</f>
        <v>0</v>
      </c>
      <c r="X243" t="str">
        <f>gescon_infosparticip!W242</f>
        <v/>
      </c>
      <c r="Y243">
        <f>IF(gescon_infosparticip!X242=FALSE,0,1)</f>
        <v>0</v>
      </c>
      <c r="Z243">
        <f>IF(gescon_infosparticip!Y242=FALSE,0,1)</f>
        <v>0</v>
      </c>
      <c r="AA243">
        <f>IF(gescon_infosparticip!Z242=FALSE,0,1)</f>
        <v>0</v>
      </c>
      <c r="AB243">
        <f>IF(gescon_infosparticip!AA242=FALSE,0,1)</f>
        <v>0</v>
      </c>
      <c r="AC243" t="str">
        <f>gescon_infosparticip!AB242</f>
        <v/>
      </c>
      <c r="AD243" t="str">
        <f>gescon_infosparticip!AC242</f>
        <v/>
      </c>
      <c r="AE243" t="str">
        <f>gescon_infosparticip!AD242</f>
        <v/>
      </c>
      <c r="AF243" t="str">
        <f>gescon_infosparticip!AE242</f>
        <v/>
      </c>
      <c r="AG243" t="str">
        <f>gescon_infosparticip!AF242</f>
        <v/>
      </c>
      <c r="AH243" t="str">
        <f>gescon_infosparticip!AG242</f>
        <v/>
      </c>
      <c r="AI243" t="str">
        <f>gescon_infosparticip!BN242</f>
        <v/>
      </c>
      <c r="AJ243" t="str">
        <f>gescon_infosparticip!BO242</f>
        <v/>
      </c>
    </row>
    <row r="244" spans="2:36" x14ac:dyDescent="0.25">
      <c r="B244">
        <f>gescon_infosparticip!A243</f>
        <v>2146189420</v>
      </c>
      <c r="C244">
        <f>gescon_infosparticip!B243</f>
        <v>43028</v>
      </c>
      <c r="D244">
        <f>gescon_infosparticip!C243</f>
        <v>2146189419</v>
      </c>
      <c r="E244">
        <f>gescon_infosparticip!D243</f>
        <v>0</v>
      </c>
      <c r="F244">
        <f>gescon_infosparticip!E243</f>
        <v>0</v>
      </c>
      <c r="G244">
        <f>gescon_infosparticip!F243</f>
        <v>0</v>
      </c>
      <c r="H244">
        <f>gescon_infosparticip!G243</f>
        <v>0</v>
      </c>
      <c r="I244" t="str">
        <f>gescon_infosparticip!H243</f>
        <v/>
      </c>
      <c r="J244">
        <f>IF(gescon_infosparticip!I243=FALSE,0,1)</f>
        <v>0</v>
      </c>
      <c r="K244">
        <f>IF(gescon_infosparticip!J243=FALSE,0,1)</f>
        <v>0</v>
      </c>
      <c r="L244">
        <f>IF(gescon_infosparticip!K243=FALSE,0,1)</f>
        <v>0</v>
      </c>
      <c r="M244">
        <f>IF(gescon_infosparticip!L243=FALSE,0,1)</f>
        <v>0</v>
      </c>
      <c r="N244">
        <f>IF(gescon_infosparticip!M243=FALSE,0,1)</f>
        <v>0</v>
      </c>
      <c r="O244">
        <f>IF(gescon_infosparticip!N243=FALSE,0,1)</f>
        <v>0</v>
      </c>
      <c r="P244">
        <f>IF(gescon_infosparticip!O243=FALSE,0,1)</f>
        <v>0</v>
      </c>
      <c r="Q244">
        <f>IF(gescon_infosparticip!P243=FALSE,0,1)</f>
        <v>0</v>
      </c>
      <c r="R244">
        <f>IF(gescon_infosparticip!Q243=FALSE,0,1)</f>
        <v>0</v>
      </c>
      <c r="S244" t="str">
        <f>gescon_infosparticip!R243</f>
        <v>Jamais fait de longs trajets. Surveiller car se déplace en marchant.</v>
      </c>
      <c r="T244" t="str">
        <f>gescon_infosparticip!V243</f>
        <v>Ne s'habille pas seul</v>
      </c>
      <c r="U244" t="str">
        <f>gescon_infosparticip!S243</f>
        <v/>
      </c>
      <c r="V244">
        <f>IF(gescon_infosparticip!U243=FALSE,0,1)</f>
        <v>0</v>
      </c>
      <c r="W244">
        <f>IF(gescon_infosparticip!T243=FALSE,0,1)</f>
        <v>0</v>
      </c>
      <c r="X244" t="str">
        <f>gescon_infosparticip!W243</f>
        <v>Besoin de barrières</v>
      </c>
      <c r="Y244">
        <f>IF(gescon_infosparticip!X243=FALSE,0,1)</f>
        <v>0</v>
      </c>
      <c r="Z244">
        <f>IF(gescon_infosparticip!Y243=FALSE,0,1)</f>
        <v>0</v>
      </c>
      <c r="AA244">
        <f>IF(gescon_infosparticip!Z243=FALSE,0,1)</f>
        <v>0</v>
      </c>
      <c r="AB244">
        <f>IF(gescon_infosparticip!AA243=FALSE,0,1)</f>
        <v>0</v>
      </c>
      <c r="AC244" t="str">
        <f>gescon_infosparticip!AB243</f>
        <v>Quelques mots, mais peu de communication verbale (aide avec pictogramme)</v>
      </c>
      <c r="AD244" t="str">
        <f>gescon_infosparticip!AC243</f>
        <v/>
      </c>
      <c r="AE244" t="str">
        <f>gescon_infosparticip!AD243</f>
        <v/>
      </c>
      <c r="AF244" t="str">
        <f>gescon_infosparticip!AE243</f>
        <v/>
      </c>
      <c r="AG244" t="str">
        <f>gescon_infosparticip!AF243</f>
        <v/>
      </c>
      <c r="AH244" t="str">
        <f>gescon_infosparticip!AG243</f>
        <v/>
      </c>
      <c r="AI244" t="str">
        <f>gescon_infosparticip!BN243</f>
        <v/>
      </c>
      <c r="AJ244" t="str">
        <f>gescon_infosparticip!BO243</f>
        <v/>
      </c>
    </row>
    <row r="245" spans="2:36" x14ac:dyDescent="0.25">
      <c r="B245">
        <f>gescon_infosparticip!A244</f>
        <v>2146189445</v>
      </c>
      <c r="C245">
        <f>gescon_infosparticip!B244</f>
        <v>41766</v>
      </c>
      <c r="D245">
        <f>gescon_infosparticip!C244</f>
        <v>0</v>
      </c>
      <c r="E245">
        <f>gescon_infosparticip!D244</f>
        <v>0</v>
      </c>
      <c r="F245">
        <f>gescon_infosparticip!E244</f>
        <v>0</v>
      </c>
      <c r="G245">
        <f>gescon_infosparticip!F244</f>
        <v>0</v>
      </c>
      <c r="H245">
        <f>gescon_infosparticip!G244</f>
        <v>0</v>
      </c>
      <c r="I245" t="str">
        <f>gescon_infosparticip!H244</f>
        <v/>
      </c>
      <c r="J245">
        <f>IF(gescon_infosparticip!I244=FALSE,0,1)</f>
        <v>0</v>
      </c>
      <c r="K245">
        <f>IF(gescon_infosparticip!J244=FALSE,0,1)</f>
        <v>0</v>
      </c>
      <c r="L245">
        <f>IF(gescon_infosparticip!K244=FALSE,0,1)</f>
        <v>0</v>
      </c>
      <c r="M245">
        <f>IF(gescon_infosparticip!L244=FALSE,0,1)</f>
        <v>0</v>
      </c>
      <c r="N245">
        <f>IF(gescon_infosparticip!M244=FALSE,0,1)</f>
        <v>0</v>
      </c>
      <c r="O245">
        <f>IF(gescon_infosparticip!N244=FALSE,0,1)</f>
        <v>0</v>
      </c>
      <c r="P245">
        <f>IF(gescon_infosparticip!O244=FALSE,0,1)</f>
        <v>0</v>
      </c>
      <c r="Q245">
        <f>IF(gescon_infosparticip!P244=FALSE,0,1)</f>
        <v>0</v>
      </c>
      <c r="R245">
        <f>IF(gescon_infosparticip!Q244=FALSE,0,1)</f>
        <v>0</v>
      </c>
      <c r="S245" t="str">
        <f>gescon_infosparticip!R244</f>
        <v/>
      </c>
      <c r="T245" t="str">
        <f>gescon_infosparticip!V244</f>
        <v/>
      </c>
      <c r="U245" t="str">
        <f>gescon_infosparticip!S244</f>
        <v/>
      </c>
      <c r="V245">
        <f>IF(gescon_infosparticip!U244=FALSE,0,1)</f>
        <v>0</v>
      </c>
      <c r="W245">
        <f>IF(gescon_infosparticip!T244=FALSE,0,1)</f>
        <v>0</v>
      </c>
      <c r="X245" t="str">
        <f>gescon_infosparticip!W244</f>
        <v/>
      </c>
      <c r="Y245">
        <f>IF(gescon_infosparticip!X244=FALSE,0,1)</f>
        <v>0</v>
      </c>
      <c r="Z245">
        <f>IF(gescon_infosparticip!Y244=FALSE,0,1)</f>
        <v>0</v>
      </c>
      <c r="AA245">
        <f>IF(gescon_infosparticip!Z244=FALSE,0,1)</f>
        <v>0</v>
      </c>
      <c r="AB245">
        <f>IF(gescon_infosparticip!AA244=FALSE,0,1)</f>
        <v>0</v>
      </c>
      <c r="AC245" t="str">
        <f>gescon_infosparticip!AB244</f>
        <v/>
      </c>
      <c r="AD245" t="str">
        <f>gescon_infosparticip!AC244</f>
        <v/>
      </c>
      <c r="AE245" t="str">
        <f>gescon_infosparticip!AD244</f>
        <v/>
      </c>
      <c r="AF245" t="str">
        <f>gescon_infosparticip!AE244</f>
        <v/>
      </c>
      <c r="AG245" t="str">
        <f>gescon_infosparticip!AF244</f>
        <v/>
      </c>
      <c r="AH245" t="str">
        <f>gescon_infosparticip!AG244</f>
        <v/>
      </c>
      <c r="AI245" t="str">
        <f>gescon_infosparticip!BN244</f>
        <v/>
      </c>
      <c r="AJ245" t="str">
        <f>gescon_infosparticip!BO244</f>
        <v/>
      </c>
    </row>
    <row r="246" spans="2:36" x14ac:dyDescent="0.25">
      <c r="B246">
        <f>gescon_infosparticip!A245</f>
        <v>2146189450</v>
      </c>
      <c r="C246">
        <f>gescon_infosparticip!B245</f>
        <v>41919</v>
      </c>
      <c r="D246">
        <f>gescon_infosparticip!C245</f>
        <v>0</v>
      </c>
      <c r="E246">
        <f>gescon_infosparticip!D245</f>
        <v>0</v>
      </c>
      <c r="F246">
        <f>gescon_infosparticip!E245</f>
        <v>0</v>
      </c>
      <c r="G246">
        <f>gescon_infosparticip!F245</f>
        <v>0</v>
      </c>
      <c r="H246">
        <f>gescon_infosparticip!G245</f>
        <v>0</v>
      </c>
      <c r="I246" t="str">
        <f>gescon_infosparticip!H245</f>
        <v/>
      </c>
      <c r="J246">
        <f>IF(gescon_infosparticip!I245=FALSE,0,1)</f>
        <v>0</v>
      </c>
      <c r="K246">
        <f>IF(gescon_infosparticip!J245=FALSE,0,1)</f>
        <v>0</v>
      </c>
      <c r="L246">
        <f>IF(gescon_infosparticip!K245=FALSE,0,1)</f>
        <v>0</v>
      </c>
      <c r="M246">
        <f>IF(gescon_infosparticip!L245=FALSE,0,1)</f>
        <v>0</v>
      </c>
      <c r="N246">
        <f>IF(gescon_infosparticip!M245=FALSE,0,1)</f>
        <v>0</v>
      </c>
      <c r="O246">
        <f>IF(gescon_infosparticip!N245=FALSE,0,1)</f>
        <v>0</v>
      </c>
      <c r="P246">
        <f>IF(gescon_infosparticip!O245=FALSE,0,1)</f>
        <v>1</v>
      </c>
      <c r="Q246">
        <f>IF(gescon_infosparticip!P245=FALSE,0,1)</f>
        <v>1</v>
      </c>
      <c r="R246">
        <f>IF(gescon_infosparticip!Q245=FALSE,0,1)</f>
        <v>0</v>
      </c>
      <c r="S246" t="str">
        <f>gescon_infosparticip!R245</f>
        <v>suporte les longs trajets en voiture.</v>
      </c>
      <c r="T246" t="str">
        <f>gescon_infosparticip!V245</f>
        <v/>
      </c>
      <c r="U246" t="str">
        <f>gescon_infosparticip!S245</f>
        <v/>
      </c>
      <c r="V246">
        <f>IF(gescon_infosparticip!U245=FALSE,0,1)</f>
        <v>0</v>
      </c>
      <c r="W246">
        <f>IF(gescon_infosparticip!T245=FALSE,0,1)</f>
        <v>0</v>
      </c>
      <c r="X246" t="str">
        <f>gescon_infosparticip!W245</f>
        <v/>
      </c>
      <c r="Y246">
        <f>IF(gescon_infosparticip!X245=FALSE,0,1)</f>
        <v>0</v>
      </c>
      <c r="Z246">
        <f>IF(gescon_infosparticip!Y245=FALSE,0,1)</f>
        <v>0</v>
      </c>
      <c r="AA246">
        <f>IF(gescon_infosparticip!Z245=FALSE,0,1)</f>
        <v>0</v>
      </c>
      <c r="AB246">
        <f>IF(gescon_infosparticip!AA245=FALSE,0,1)</f>
        <v>0</v>
      </c>
      <c r="AC246" t="str">
        <f>gescon_infosparticip!AB245</f>
        <v>Salvatore communique de façon verbale en français et en italien, avec un peu de difficulté pour articuler. Il est bien de reformuler avec lui.</v>
      </c>
      <c r="AD246" t="str">
        <f>gescon_infosparticip!AC245</f>
        <v/>
      </c>
      <c r="AE246" t="str">
        <f>gescon_infosparticip!AD245</f>
        <v/>
      </c>
      <c r="AF246" t="str">
        <f>gescon_infosparticip!AE245</f>
        <v/>
      </c>
      <c r="AG246" t="str">
        <f>gescon_infosparticip!AF245</f>
        <v/>
      </c>
      <c r="AH246" t="str">
        <f>gescon_infosparticip!AG245</f>
        <v/>
      </c>
      <c r="AI246" t="str">
        <f>gescon_infosparticip!BN245</f>
        <v/>
      </c>
      <c r="AJ246" t="str">
        <f>gescon_infosparticip!BO245</f>
        <v/>
      </c>
    </row>
    <row r="247" spans="2:36" x14ac:dyDescent="0.25">
      <c r="B247">
        <f>gescon_infosparticip!A246</f>
        <v>2146189461</v>
      </c>
      <c r="C247">
        <f>gescon_infosparticip!B246</f>
        <v>42241</v>
      </c>
      <c r="D247">
        <f>gescon_infosparticip!C246</f>
        <v>0</v>
      </c>
      <c r="E247">
        <f>gescon_infosparticip!D246</f>
        <v>0</v>
      </c>
      <c r="F247">
        <f>gescon_infosparticip!E246</f>
        <v>0</v>
      </c>
      <c r="G247">
        <f>gescon_infosparticip!F246</f>
        <v>0</v>
      </c>
      <c r="H247">
        <f>gescon_infosparticip!G246</f>
        <v>0</v>
      </c>
      <c r="I247" t="str">
        <f>gescon_infosparticip!H246</f>
        <v/>
      </c>
      <c r="J247">
        <f>IF(gescon_infosparticip!I246=FALSE,0,1)</f>
        <v>0</v>
      </c>
      <c r="K247">
        <f>IF(gescon_infosparticip!J246=FALSE,0,1)</f>
        <v>0</v>
      </c>
      <c r="L247">
        <f>IF(gescon_infosparticip!K246=FALSE,0,1)</f>
        <v>0</v>
      </c>
      <c r="M247">
        <f>IF(gescon_infosparticip!L246=FALSE,0,1)</f>
        <v>0</v>
      </c>
      <c r="N247">
        <f>IF(gescon_infosparticip!M246=FALSE,0,1)</f>
        <v>0</v>
      </c>
      <c r="O247">
        <f>IF(gescon_infosparticip!N246=FALSE,0,1)</f>
        <v>0</v>
      </c>
      <c r="P247">
        <f>IF(gescon_infosparticip!O246=FALSE,0,1)</f>
        <v>0</v>
      </c>
      <c r="Q247">
        <f>IF(gescon_infosparticip!P246=FALSE,0,1)</f>
        <v>0</v>
      </c>
      <c r="R247">
        <f>IF(gescon_infosparticip!Q246=FALSE,0,1)</f>
        <v>0</v>
      </c>
      <c r="S247" t="str">
        <f>gescon_infosparticip!R246</f>
        <v/>
      </c>
      <c r="T247" t="str">
        <f>gescon_infosparticip!V246</f>
        <v/>
      </c>
      <c r="U247" t="str">
        <f>gescon_infosparticip!S246</f>
        <v/>
      </c>
      <c r="V247">
        <f>IF(gescon_infosparticip!U246=FALSE,0,1)</f>
        <v>0</v>
      </c>
      <c r="W247">
        <f>IF(gescon_infosparticip!T246=FALSE,0,1)</f>
        <v>0</v>
      </c>
      <c r="X247" t="str">
        <f>gescon_infosparticip!W246</f>
        <v/>
      </c>
      <c r="Y247">
        <f>IF(gescon_infosparticip!X246=FALSE,0,1)</f>
        <v>0</v>
      </c>
      <c r="Z247">
        <f>IF(gescon_infosparticip!Y246=FALSE,0,1)</f>
        <v>0</v>
      </c>
      <c r="AA247">
        <f>IF(gescon_infosparticip!Z246=FALSE,0,1)</f>
        <v>0</v>
      </c>
      <c r="AB247">
        <f>IF(gescon_infosparticip!AA246=FALSE,0,1)</f>
        <v>1</v>
      </c>
      <c r="AC247" t="str">
        <f>gescon_infosparticip!AB246</f>
        <v>oral</v>
      </c>
      <c r="AD247" t="str">
        <f>gescon_infosparticip!AC246</f>
        <v/>
      </c>
      <c r="AE247" t="str">
        <f>gescon_infosparticip!AD246</f>
        <v/>
      </c>
      <c r="AF247" t="str">
        <f>gescon_infosparticip!AE246</f>
        <v/>
      </c>
      <c r="AG247" t="str">
        <f>gescon_infosparticip!AF246</f>
        <v/>
      </c>
      <c r="AH247" t="str">
        <f>gescon_infosparticip!AG246</f>
        <v/>
      </c>
      <c r="AI247" t="str">
        <f>gescon_infosparticip!BN246</f>
        <v/>
      </c>
      <c r="AJ247" t="str">
        <f>gescon_infosparticip!BO246</f>
        <v/>
      </c>
    </row>
    <row r="248" spans="2:36" x14ac:dyDescent="0.25">
      <c r="B248">
        <f>gescon_infosparticip!A247</f>
        <v>2146189463</v>
      </c>
      <c r="C248">
        <f>gescon_infosparticip!B247</f>
        <v>43047</v>
      </c>
      <c r="D248">
        <f>gescon_infosparticip!C247</f>
        <v>0</v>
      </c>
      <c r="E248">
        <f>gescon_infosparticip!D247</f>
        <v>0</v>
      </c>
      <c r="F248">
        <f>gescon_infosparticip!E247</f>
        <v>0</v>
      </c>
      <c r="G248">
        <f>gescon_infosparticip!F247</f>
        <v>0</v>
      </c>
      <c r="H248">
        <f>gescon_infosparticip!G247</f>
        <v>2146189556</v>
      </c>
      <c r="I248" t="str">
        <f>gescon_infosparticip!H247</f>
        <v>Romaine 0798213115. Laura 0793617821</v>
      </c>
      <c r="J248">
        <f>IF(gescon_infosparticip!I247=FALSE,0,1)</f>
        <v>0</v>
      </c>
      <c r="K248">
        <f>IF(gescon_infosparticip!J247=FALSE,0,1)</f>
        <v>1</v>
      </c>
      <c r="L248">
        <f>IF(gescon_infosparticip!K247=FALSE,0,1)</f>
        <v>0</v>
      </c>
      <c r="M248">
        <f>IF(gescon_infosparticip!L247=FALSE,0,1)</f>
        <v>1</v>
      </c>
      <c r="N248">
        <f>IF(gescon_infosparticip!M247=FALSE,0,1)</f>
        <v>0</v>
      </c>
      <c r="O248">
        <f>IF(gescon_infosparticip!N247=FALSE,0,1)</f>
        <v>1</v>
      </c>
      <c r="P248">
        <f>IF(gescon_infosparticip!O247=FALSE,0,1)</f>
        <v>0</v>
      </c>
      <c r="Q248">
        <f>IF(gescon_infosparticip!P247=FALSE,0,1)</f>
        <v>1</v>
      </c>
      <c r="R248">
        <f>IF(gescon_infosparticip!Q247=FALSE,0,1)</f>
        <v>1</v>
      </c>
      <c r="S248" t="str">
        <f>gescon_infosparticip!R247</f>
        <v>supporte les longs trajets. Veillez que son bras invalide soit bien sur le coussin car ça le soulage.</v>
      </c>
      <c r="T248" t="str">
        <f>gescon_infosparticip!V247</f>
        <v>besoin d'aide pour tous les actes de la vie quotidienne. Pour l'habillement avec guidance. La maison dispose d'un ascenceur adapté pour les changements d'étage.Dominique à les yeux très sensibles,ses lunettes de soleils se trouvent dans son sac derrière la chaise roulante+gouttes si besoin</v>
      </c>
      <c r="U248" t="str">
        <f>gescon_infosparticip!S247</f>
        <v/>
      </c>
      <c r="V248">
        <f>IF(gescon_infosparticip!U247=FALSE,0,1)</f>
        <v>0</v>
      </c>
      <c r="W248">
        <f>IF(gescon_infosparticip!T247=FALSE,0,1)</f>
        <v>1</v>
      </c>
      <c r="X248" t="str">
        <f>gescon_infosparticip!W247</f>
        <v>le mettre de sa chaise au lit avec aide.</v>
      </c>
      <c r="Y248">
        <f>IF(gescon_infosparticip!X247=FALSE,0,1)</f>
        <v>0</v>
      </c>
      <c r="Z248">
        <f>IF(gescon_infosparticip!Y247=FALSE,0,1)</f>
        <v>0</v>
      </c>
      <c r="AA248">
        <f>IF(gescon_infosparticip!Z247=FALSE,0,1)</f>
        <v>0</v>
      </c>
      <c r="AB248">
        <f>IF(gescon_infosparticip!AA247=FALSE,0,1)</f>
        <v>0</v>
      </c>
      <c r="AC248" t="str">
        <f>gescon_infosparticip!AB247</f>
        <v>Dominique communique de façon verbale en français et en italien, avec un peu de difficulté pour articuler. Il est bien de reformuler avec lui.</v>
      </c>
      <c r="AD248" t="str">
        <f>gescon_infosparticip!AC247</f>
        <v>il est marié et a 2 enfants. Il vit à la maison avec son épouse qui le prend en charge à 100%. Dominique fait des thérapies plusieurs fois par semaine. Il bénéficie du service de relève uniquement</v>
      </c>
      <c r="AE248" t="str">
        <f>gescon_infosparticip!AD247</f>
        <v/>
      </c>
      <c r="AF248" t="str">
        <f>gescon_infosparticip!AE247</f>
        <v/>
      </c>
      <c r="AG248" t="str">
        <f>gescon_infosparticip!AF247</f>
        <v>aime le foot et tout ce qui est sport en général. Tv émissions sur les animaux, géographie, reportages</v>
      </c>
      <c r="AH248" t="str">
        <f>gescon_infosparticip!AG247</f>
        <v/>
      </c>
      <c r="AI248" t="str">
        <f>gescon_infosparticip!BN247</f>
        <v>oui, il fait une sieste après le repas de midi.</v>
      </c>
      <c r="AJ248" t="str">
        <f>gescon_infosparticip!BO247</f>
        <v>tous les jours</v>
      </c>
    </row>
    <row r="249" spans="2:36" x14ac:dyDescent="0.25">
      <c r="B249">
        <f>gescon_infosparticip!A248</f>
        <v>2146189466</v>
      </c>
      <c r="C249">
        <f>gescon_infosparticip!B248</f>
        <v>42843</v>
      </c>
      <c r="D249">
        <f>gescon_infosparticip!C248</f>
        <v>2146189467</v>
      </c>
      <c r="E249">
        <f>gescon_infosparticip!D248</f>
        <v>0</v>
      </c>
      <c r="F249">
        <f>gescon_infosparticip!E248</f>
        <v>0</v>
      </c>
      <c r="G249">
        <f>gescon_infosparticip!F248</f>
        <v>0</v>
      </c>
      <c r="H249">
        <f>gescon_infosparticip!G248</f>
        <v>0</v>
      </c>
      <c r="I249" t="str">
        <f>gescon_infosparticip!H248</f>
        <v>Madame Viviane Eggmann 077 511 07 57</v>
      </c>
      <c r="J249">
        <f>IF(gescon_infosparticip!I248=FALSE,0,1)</f>
        <v>0</v>
      </c>
      <c r="K249">
        <f>IF(gescon_infosparticip!J248=FALSE,0,1)</f>
        <v>0</v>
      </c>
      <c r="L249">
        <f>IF(gescon_infosparticip!K248=FALSE,0,1)</f>
        <v>0</v>
      </c>
      <c r="M249">
        <f>IF(gescon_infosparticip!L248=FALSE,0,1)</f>
        <v>1</v>
      </c>
      <c r="N249">
        <f>IF(gescon_infosparticip!M248=FALSE,0,1)</f>
        <v>1</v>
      </c>
      <c r="O249">
        <f>IF(gescon_infosparticip!N248=FALSE,0,1)</f>
        <v>0</v>
      </c>
      <c r="P249">
        <f>IF(gescon_infosparticip!O248=FALSE,0,1)</f>
        <v>0</v>
      </c>
      <c r="Q249">
        <f>IF(gescon_infosparticip!P248=FALSE,0,1)</f>
        <v>0</v>
      </c>
      <c r="R249">
        <f>IF(gescon_infosparticip!Q248=FALSE,0,1)</f>
        <v>0</v>
      </c>
      <c r="S249" t="str">
        <f>gescon_infosparticip!R248</f>
        <v>aime les trajet en voiture. Il marche très bien mais il faut lui tenir la main car il n'a aucune notion du danger. Il n'apprécie pas lorsqu'on la lui tienne et peut se mettre par terre. Il faut alors attendre qu'il se relève et lui redonner la main.</v>
      </c>
      <c r="T249" t="str">
        <f>gescon_infosparticip!V248</f>
        <v>Péniel montre beaucoup de compétences à ce niveau. L'habillage se fait encore en guidance.</v>
      </c>
      <c r="U249" t="str">
        <f>gescon_infosparticip!S248</f>
        <v>aime l'eau</v>
      </c>
      <c r="V249">
        <f>IF(gescon_infosparticip!U248=FALSE,0,1)</f>
        <v>0</v>
      </c>
      <c r="W249">
        <f>IF(gescon_infosparticip!T248=FALSE,0,1)</f>
        <v>0</v>
      </c>
      <c r="X249" t="str">
        <f>gescon_infosparticip!W248</f>
        <v>Il dort avec une couverture Zéwi. Le soir, il va généralement au lit à 20h00-20h30</v>
      </c>
      <c r="Y249">
        <f>IF(gescon_infosparticip!X248=FALSE,0,1)</f>
        <v>0</v>
      </c>
      <c r="Z249">
        <f>IF(gescon_infosparticip!Y248=FALSE,0,1)</f>
        <v>0</v>
      </c>
      <c r="AA249">
        <f>IF(gescon_infosparticip!Z248=FALSE,0,1)</f>
        <v>0</v>
      </c>
      <c r="AB249">
        <f>IF(gescon_infosparticip!AA248=FALSE,0,1)</f>
        <v>1</v>
      </c>
      <c r="AC249" t="str">
        <f>gescon_infosparticip!AB248</f>
        <v>Péniel ne s'exprime pas verbalement. Il est encore difficile d'identifier ce qu'il comprend. Le langage utilisé à domicile est sa langue maternelle. On peut lui parler en français accompagné d'un soutien gestuel. Peniel peut être très calme et se montrer soudainement agité. Cela se manifeste par exemple par des objets qu'il peut attraper et lancer ou encore par des gestes violents envers ses camarades quand on ne s'y attend le moins.</v>
      </c>
      <c r="AD249" t="str">
        <f>gescon_infosparticip!AC248</f>
        <v>vie avec sa maman et et est le seul enfant</v>
      </c>
      <c r="AE249" t="str">
        <f>gescon_infosparticip!AD248</f>
        <v/>
      </c>
      <c r="AF249" t="str">
        <f>gescon_infosparticip!AE248</f>
        <v/>
      </c>
      <c r="AG249" t="str">
        <f>gescon_infosparticip!AF248</f>
        <v>Il aime les animaux, les montres, les trains, les bulles, les toupilles, les blocs de construction. Il peut jouer de longs moments seul.</v>
      </c>
      <c r="AH249" t="str">
        <f>gescon_infosparticip!AG248</f>
        <v/>
      </c>
      <c r="AI249" t="str">
        <f>gescon_infosparticip!BN248</f>
        <v>pas de changement de position mais il fait la sieste,  Pendant la sieste, parfois, il ne dort pas mais reste au lit</v>
      </c>
      <c r="AJ249" t="str">
        <f>gescon_infosparticip!BO248</f>
        <v/>
      </c>
    </row>
    <row r="250" spans="2:36" x14ac:dyDescent="0.25">
      <c r="B250">
        <f>gescon_infosparticip!A249</f>
        <v>2146189469</v>
      </c>
      <c r="C250">
        <f>gescon_infosparticip!B249</f>
        <v>42241</v>
      </c>
      <c r="D250">
        <f>gescon_infosparticip!C249</f>
        <v>2146189470</v>
      </c>
      <c r="E250">
        <f>gescon_infosparticip!D249</f>
        <v>0</v>
      </c>
      <c r="F250">
        <f>gescon_infosparticip!E249</f>
        <v>0</v>
      </c>
      <c r="G250">
        <f>gescon_infosparticip!F249</f>
        <v>0</v>
      </c>
      <c r="H250">
        <f>gescon_infosparticip!G249</f>
        <v>0</v>
      </c>
      <c r="I250" t="str">
        <f>gescon_infosparticip!H249</f>
        <v/>
      </c>
      <c r="J250">
        <f>IF(gescon_infosparticip!I249=FALSE,0,1)</f>
        <v>0</v>
      </c>
      <c r="K250">
        <f>IF(gescon_infosparticip!J249=FALSE,0,1)</f>
        <v>0</v>
      </c>
      <c r="L250">
        <f>IF(gescon_infosparticip!K249=FALSE,0,1)</f>
        <v>0</v>
      </c>
      <c r="M250">
        <f>IF(gescon_infosparticip!L249=FALSE,0,1)</f>
        <v>1</v>
      </c>
      <c r="N250">
        <f>IF(gescon_infosparticip!M249=FALSE,0,1)</f>
        <v>1</v>
      </c>
      <c r="O250">
        <f>IF(gescon_infosparticip!N249=FALSE,0,1)</f>
        <v>0</v>
      </c>
      <c r="P250">
        <f>IF(gescon_infosparticip!O249=FALSE,0,1)</f>
        <v>0</v>
      </c>
      <c r="Q250">
        <f>IF(gescon_infosparticip!P249=FALSE,0,1)</f>
        <v>0</v>
      </c>
      <c r="R250">
        <f>IF(gescon_infosparticip!Q249=FALSE,0,1)</f>
        <v>0</v>
      </c>
      <c r="S250" t="str">
        <f>gescon_infosparticip!R249</f>
        <v>supporte les longs trajets</v>
      </c>
      <c r="T250" t="str">
        <f>gescon_infosparticip!V249</f>
        <v>le matin il faut l'aider pour l'habiller faire la toilette et lui donner son déjeuner</v>
      </c>
      <c r="U250" t="str">
        <f>gescon_infosparticip!S249</f>
        <v>oui</v>
      </c>
      <c r="V250">
        <f>IF(gescon_infosparticip!U249=FALSE,0,1)</f>
        <v>0</v>
      </c>
      <c r="W250">
        <f>IF(gescon_infosparticip!T249=FALSE,0,1)</f>
        <v>0</v>
      </c>
      <c r="X250" t="str">
        <f>gescon_infosparticip!W249</f>
        <v>lui changer la couche et veillez pour qu'il soit au plus tard à 21h00 au lit. Il a besoin de beaucoup de sommeil.</v>
      </c>
      <c r="Y250">
        <f>IF(gescon_infosparticip!X249=FALSE,0,1)</f>
        <v>0</v>
      </c>
      <c r="Z250">
        <f>IF(gescon_infosparticip!Y249=FALSE,0,1)</f>
        <v>0</v>
      </c>
      <c r="AA250">
        <f>IF(gescon_infosparticip!Z249=FALSE,0,1)</f>
        <v>0</v>
      </c>
      <c r="AB250">
        <f>IF(gescon_infosparticip!AA249=FALSE,0,1)</f>
        <v>0</v>
      </c>
      <c r="AC250" t="str">
        <f>gescon_infosparticip!AB249</f>
        <v>il sait dire "dodo" lorsqu'il est fatigué. Remi de lorsqu'il est fatigué et mal à la tête.il est de manière général de bonne humeur sauf en cas de maladie</v>
      </c>
      <c r="AD250" t="str">
        <f>gescon_infosparticip!AC249</f>
        <v>vis à la maison avec sa maman. Il va en atelier la journée.</v>
      </c>
      <c r="AE250" t="str">
        <f>gescon_infosparticip!AD249</f>
        <v/>
      </c>
      <c r="AF250" t="str">
        <f>gescon_infosparticip!AE249</f>
        <v/>
      </c>
      <c r="AG250" t="str">
        <f>gescon_infosparticip!AF249</f>
        <v>aime beaucou la musique classique ça le calme et le détentd.</v>
      </c>
      <c r="AH250" t="str">
        <f>gescon_infosparticip!AG249</f>
        <v/>
      </c>
      <c r="AI250" t="str">
        <f>gescon_infosparticip!BN249</f>
        <v/>
      </c>
      <c r="AJ250" t="str">
        <f>gescon_infosparticip!BO249</f>
        <v/>
      </c>
    </row>
    <row r="251" spans="2:36" x14ac:dyDescent="0.25">
      <c r="B251">
        <f>gescon_infosparticip!A250</f>
        <v>2146189471</v>
      </c>
      <c r="C251">
        <f>gescon_infosparticip!B250</f>
        <v>42241</v>
      </c>
      <c r="D251">
        <f>gescon_infosparticip!C250</f>
        <v>2146189473</v>
      </c>
      <c r="E251">
        <f>gescon_infosparticip!D250</f>
        <v>0</v>
      </c>
      <c r="F251">
        <f>gescon_infosparticip!E250</f>
        <v>0</v>
      </c>
      <c r="G251">
        <f>gescon_infosparticip!F250</f>
        <v>0</v>
      </c>
      <c r="H251">
        <f>gescon_infosparticip!G250</f>
        <v>2146189473</v>
      </c>
      <c r="I251" t="str">
        <f>gescon_infosparticip!H250</f>
        <v/>
      </c>
      <c r="J251">
        <f>IF(gescon_infosparticip!I250=FALSE,0,1)</f>
        <v>0</v>
      </c>
      <c r="K251">
        <f>IF(gescon_infosparticip!J250=FALSE,0,1)</f>
        <v>0</v>
      </c>
      <c r="L251">
        <f>IF(gescon_infosparticip!K250=FALSE,0,1)</f>
        <v>0</v>
      </c>
      <c r="M251">
        <f>IF(gescon_infosparticip!L250=FALSE,0,1)</f>
        <v>1</v>
      </c>
      <c r="N251">
        <f>IF(gescon_infosparticip!M250=FALSE,0,1)</f>
        <v>1</v>
      </c>
      <c r="O251">
        <f>IF(gescon_infosparticip!N250=FALSE,0,1)</f>
        <v>0</v>
      </c>
      <c r="P251">
        <f>IF(gescon_infosparticip!O250=FALSE,0,1)</f>
        <v>0</v>
      </c>
      <c r="Q251">
        <f>IF(gescon_infosparticip!P250=FALSE,0,1)</f>
        <v>0</v>
      </c>
      <c r="R251">
        <f>IF(gescon_infosparticip!Q250=FALSE,0,1)</f>
        <v>0</v>
      </c>
      <c r="S251" t="str">
        <f>gescon_infosparticip!R250</f>
        <v>Il supporte les trajets en voiture.</v>
      </c>
      <c r="T251" t="str">
        <f>gescon_infosparticip!V250</f>
        <v>Relativement automne, avec aide si nécessaire.</v>
      </c>
      <c r="U251" t="str">
        <f>gescon_infosparticip!S250</f>
        <v>Alfonso aime bien la piscine. A besoin de manchons et de surveillance.</v>
      </c>
      <c r="V251">
        <f>IF(gescon_infosparticip!U250=FALSE,0,1)</f>
        <v>0</v>
      </c>
      <c r="W251">
        <f>IF(gescon_infosparticip!T250=FALSE,0,1)</f>
        <v>1</v>
      </c>
      <c r="X251" t="str">
        <f>gescon_infosparticip!W250</f>
        <v>Se couche généralement  vers 20 heures. Il dort bien. N'a pas besoin de lit à barrières.</v>
      </c>
      <c r="Y251">
        <f>IF(gescon_infosparticip!X250=FALSE,0,1)</f>
        <v>0</v>
      </c>
      <c r="Z251">
        <f>IF(gescon_infosparticip!Y250=FALSE,0,1)</f>
        <v>0</v>
      </c>
      <c r="AA251">
        <f>IF(gescon_infosparticip!Z250=FALSE,0,1)</f>
        <v>0</v>
      </c>
      <c r="AB251">
        <f>IF(gescon_infosparticip!AA250=FALSE,0,1)</f>
        <v>0</v>
      </c>
      <c r="AC251" t="str">
        <f>gescon_infosparticip!AB250</f>
        <v>Il parle peu, à tendance à mélanger le francais et le portugais. Il s'exprime avec des gestes.
Attention,il n'a pas conscience du danger.</v>
      </c>
      <c r="AD251" t="str">
        <f>gescon_infosparticip!AC250</f>
        <v>Il habite avec ses parents et sa petite sœur.</v>
      </c>
      <c r="AE251" t="str">
        <f>gescon_infosparticip!AD250</f>
        <v>Alfonso à une petite sœur.</v>
      </c>
      <c r="AF251" t="str">
        <f>gescon_infosparticip!AE250</f>
        <v/>
      </c>
      <c r="AG251" t="str">
        <f>gescon_infosparticip!AF250</f>
        <v>Il aime beaucoup jouer à l'intérieur et en particulier les puzzles.</v>
      </c>
      <c r="AH251" t="str">
        <f>gescon_infosparticip!AG250</f>
        <v/>
      </c>
      <c r="AI251" t="str">
        <f>gescon_infosparticip!BN250</f>
        <v>pas nécessaire.</v>
      </c>
      <c r="AJ251" t="str">
        <f>gescon_infosparticip!BO250</f>
        <v/>
      </c>
    </row>
    <row r="252" spans="2:36" x14ac:dyDescent="0.25">
      <c r="B252">
        <f>gescon_infosparticip!A251</f>
        <v>2146189475</v>
      </c>
      <c r="C252">
        <f>gescon_infosparticip!B251</f>
        <v>41822</v>
      </c>
      <c r="D252">
        <f>gescon_infosparticip!C251</f>
        <v>2146189474</v>
      </c>
      <c r="E252">
        <f>gescon_infosparticip!D251</f>
        <v>0</v>
      </c>
      <c r="F252">
        <f>gescon_infosparticip!E251</f>
        <v>0</v>
      </c>
      <c r="G252">
        <f>gescon_infosparticip!F251</f>
        <v>0</v>
      </c>
      <c r="H252">
        <f>gescon_infosparticip!G251</f>
        <v>0</v>
      </c>
      <c r="I252" t="str">
        <f>gescon_infosparticip!H251</f>
        <v/>
      </c>
      <c r="J252">
        <f>IF(gescon_infosparticip!I251=FALSE,0,1)</f>
        <v>0</v>
      </c>
      <c r="K252">
        <f>IF(gescon_infosparticip!J251=FALSE,0,1)</f>
        <v>0</v>
      </c>
      <c r="L252">
        <f>IF(gescon_infosparticip!K251=FALSE,0,1)</f>
        <v>0</v>
      </c>
      <c r="M252">
        <f>IF(gescon_infosparticip!L251=FALSE,0,1)</f>
        <v>0</v>
      </c>
      <c r="N252">
        <f>IF(gescon_infosparticip!M251=FALSE,0,1)</f>
        <v>1</v>
      </c>
      <c r="O252">
        <f>IF(gescon_infosparticip!N251=FALSE,0,1)</f>
        <v>0</v>
      </c>
      <c r="P252">
        <f>IF(gescon_infosparticip!O251=FALSE,0,1)</f>
        <v>0</v>
      </c>
      <c r="Q252">
        <f>IF(gescon_infosparticip!P251=FALSE,0,1)</f>
        <v>0</v>
      </c>
      <c r="R252">
        <f>IF(gescon_infosparticip!Q251=FALSE,0,1)</f>
        <v>0</v>
      </c>
      <c r="S252" t="str">
        <f>gescon_infosparticip!R251</f>
        <v/>
      </c>
      <c r="T252" t="str">
        <f>gescon_infosparticip!V251</f>
        <v>Peniel a beaucoup de compétences pour aider à l'habillage qui se fait encore en partie en guidance.</v>
      </c>
      <c r="U252" t="str">
        <f>gescon_infosparticip!S251</f>
        <v>ok</v>
      </c>
      <c r="V252">
        <f>IF(gescon_infosparticip!U251=FALSE,0,1)</f>
        <v>0</v>
      </c>
      <c r="W252">
        <f>IF(gescon_infosparticip!T251=FALSE,0,1)</f>
        <v>0</v>
      </c>
      <c r="X252" t="str">
        <f>gescon_infosparticip!W251</f>
        <v>Il fait une sieste dans une couverture Zéwi. Parfois il ne dort pas mais reste calme dans le lit de 13h à 14h</v>
      </c>
      <c r="Y252">
        <f>IF(gescon_infosparticip!X251=FALSE,0,1)</f>
        <v>0</v>
      </c>
      <c r="Z252">
        <f>IF(gescon_infosparticip!Y251=FALSE,0,1)</f>
        <v>1</v>
      </c>
      <c r="AA252">
        <f>IF(gescon_infosparticip!Z251=FALSE,0,1)</f>
        <v>0</v>
      </c>
      <c r="AB252">
        <f>IF(gescon_infosparticip!AA251=FALSE,0,1)</f>
        <v>0</v>
      </c>
      <c r="AC252" t="str">
        <f>gescon_infosparticip!AB251</f>
        <v>Il répète beaucoup, utilise des signes, il ne dit pas oui/non mais on comprend car il fait physiquement des gestes ou quand il pleure, accepte le contact physique, monter sur les genoux pour montrer qqch ou</v>
      </c>
      <c r="AD252" t="str">
        <f>gescon_infosparticip!AC251</f>
        <v>pas de contact avec le père</v>
      </c>
      <c r="AE252" t="str">
        <f>gescon_infosparticip!AD251</f>
        <v/>
      </c>
      <c r="AF252" t="str">
        <f>gescon_infosparticip!AE251</f>
        <v/>
      </c>
      <c r="AG252" t="str">
        <f>gescon_infosparticip!AF251</f>
        <v>aime jouer dehors au parc, les animaux, les montres, les bulles, les toupies, les contructions, les trains, la radio, aimer écouter la télé mais pas la regarder. Il peut jouer de longs moments seul</v>
      </c>
      <c r="AH252" t="str">
        <f>gescon_infosparticip!AG251</f>
        <v/>
      </c>
      <c r="AI252" t="str">
        <f>gescon_infosparticip!BN251</f>
        <v>non</v>
      </c>
      <c r="AJ252" t="str">
        <f>gescon_infosparticip!BO251</f>
        <v/>
      </c>
    </row>
    <row r="253" spans="2:36" x14ac:dyDescent="0.25">
      <c r="B253">
        <f>gescon_infosparticip!A252</f>
        <v>2146189476</v>
      </c>
      <c r="C253">
        <f>gescon_infosparticip!B252</f>
        <v>42529</v>
      </c>
      <c r="D253">
        <f>gescon_infosparticip!C252</f>
        <v>0</v>
      </c>
      <c r="E253">
        <f>gescon_infosparticip!D252</f>
        <v>0</v>
      </c>
      <c r="F253">
        <f>gescon_infosparticip!E252</f>
        <v>0</v>
      </c>
      <c r="G253">
        <f>gescon_infosparticip!F252</f>
        <v>0</v>
      </c>
      <c r="H253">
        <f>gescon_infosparticip!G252</f>
        <v>0</v>
      </c>
      <c r="I253" t="str">
        <f>gescon_infosparticip!H252</f>
        <v/>
      </c>
      <c r="J253">
        <f>IF(gescon_infosparticip!I252=FALSE,0,1)</f>
        <v>0</v>
      </c>
      <c r="K253">
        <f>IF(gescon_infosparticip!J252=FALSE,0,1)</f>
        <v>0</v>
      </c>
      <c r="L253">
        <f>IF(gescon_infosparticip!K252=FALSE,0,1)</f>
        <v>0</v>
      </c>
      <c r="M253">
        <f>IF(gescon_infosparticip!L252=FALSE,0,1)</f>
        <v>0</v>
      </c>
      <c r="N253">
        <f>IF(gescon_infosparticip!M252=FALSE,0,1)</f>
        <v>0</v>
      </c>
      <c r="O253">
        <f>IF(gescon_infosparticip!N252=FALSE,0,1)</f>
        <v>0</v>
      </c>
      <c r="P253">
        <f>IF(gescon_infosparticip!O252=FALSE,0,1)</f>
        <v>0</v>
      </c>
      <c r="Q253">
        <f>IF(gescon_infosparticip!P252=FALSE,0,1)</f>
        <v>0</v>
      </c>
      <c r="R253">
        <f>IF(gescon_infosparticip!Q252=FALSE,0,1)</f>
        <v>0</v>
      </c>
      <c r="S253" t="str">
        <f>gescon_infosparticip!R252</f>
        <v/>
      </c>
      <c r="T253" t="str">
        <f>gescon_infosparticip!V252</f>
        <v/>
      </c>
      <c r="U253" t="str">
        <f>gescon_infosparticip!S252</f>
        <v/>
      </c>
      <c r="V253">
        <f>IF(gescon_infosparticip!U252=FALSE,0,1)</f>
        <v>0</v>
      </c>
      <c r="W253">
        <f>IF(gescon_infosparticip!T252=FALSE,0,1)</f>
        <v>0</v>
      </c>
      <c r="X253" t="str">
        <f>gescon_infosparticip!W252</f>
        <v/>
      </c>
      <c r="Y253">
        <f>IF(gescon_infosparticip!X252=FALSE,0,1)</f>
        <v>0</v>
      </c>
      <c r="Z253">
        <f>IF(gescon_infosparticip!Y252=FALSE,0,1)</f>
        <v>0</v>
      </c>
      <c r="AA253">
        <f>IF(gescon_infosparticip!Z252=FALSE,0,1)</f>
        <v>0</v>
      </c>
      <c r="AB253">
        <f>IF(gescon_infosparticip!AA252=FALSE,0,1)</f>
        <v>0</v>
      </c>
      <c r="AC253" t="str">
        <f>gescon_infosparticip!AB252</f>
        <v/>
      </c>
      <c r="AD253" t="str">
        <f>gescon_infosparticip!AC252</f>
        <v/>
      </c>
      <c r="AE253" t="str">
        <f>gescon_infosparticip!AD252</f>
        <v/>
      </c>
      <c r="AF253" t="str">
        <f>gescon_infosparticip!AE252</f>
        <v/>
      </c>
      <c r="AG253" t="str">
        <f>gescon_infosparticip!AF252</f>
        <v/>
      </c>
      <c r="AH253" t="str">
        <f>gescon_infosparticip!AG252</f>
        <v/>
      </c>
      <c r="AI253" t="str">
        <f>gescon_infosparticip!BN252</f>
        <v/>
      </c>
      <c r="AJ253" t="str">
        <f>gescon_infosparticip!BO252</f>
        <v/>
      </c>
    </row>
    <row r="254" spans="2:36" x14ac:dyDescent="0.25">
      <c r="B254">
        <f>gescon_infosparticip!A253</f>
        <v>2146189477</v>
      </c>
      <c r="C254">
        <f>gescon_infosparticip!B253</f>
        <v>41918</v>
      </c>
      <c r="D254">
        <f>gescon_infosparticip!C253</f>
        <v>1300892519</v>
      </c>
      <c r="E254">
        <f>gescon_infosparticip!D253</f>
        <v>0</v>
      </c>
      <c r="F254">
        <f>gescon_infosparticip!E253</f>
        <v>0</v>
      </c>
      <c r="G254">
        <f>gescon_infosparticip!F253</f>
        <v>0</v>
      </c>
      <c r="H254">
        <f>gescon_infosparticip!G253</f>
        <v>1300892519</v>
      </c>
      <c r="I254" t="str">
        <f>gescon_infosparticip!H253</f>
        <v/>
      </c>
      <c r="J254">
        <f>IF(gescon_infosparticip!I253=FALSE,0,1)</f>
        <v>0</v>
      </c>
      <c r="K254">
        <f>IF(gescon_infosparticip!J253=FALSE,0,1)</f>
        <v>0</v>
      </c>
      <c r="L254">
        <f>IF(gescon_infosparticip!K253=FALSE,0,1)</f>
        <v>0</v>
      </c>
      <c r="M254">
        <f>IF(gescon_infosparticip!L253=FALSE,0,1)</f>
        <v>0</v>
      </c>
      <c r="N254">
        <f>IF(gescon_infosparticip!M253=FALSE,0,1)</f>
        <v>1</v>
      </c>
      <c r="O254">
        <f>IF(gescon_infosparticip!N253=FALSE,0,1)</f>
        <v>0</v>
      </c>
      <c r="P254">
        <f>IF(gescon_infosparticip!O253=FALSE,0,1)</f>
        <v>0</v>
      </c>
      <c r="Q254">
        <f>IF(gescon_infosparticip!P253=FALSE,0,1)</f>
        <v>0</v>
      </c>
      <c r="R254">
        <f>IF(gescon_infosparticip!Q253=FALSE,0,1)</f>
        <v>0</v>
      </c>
      <c r="S254" t="str">
        <f>gescon_infosparticip!R253</f>
        <v>Elle marche tute seule mais sur la pointe de pieds et manque encore d'équilibre. Elle a besoin d'aide pour les escaliers.</v>
      </c>
      <c r="T254" t="str">
        <f>gescon_infosparticip!V253</f>
        <v>Elle a besoin d'aide pour s'habiller.</v>
      </c>
      <c r="U254" t="str">
        <f>gescon_infosparticip!S253</f>
        <v/>
      </c>
      <c r="V254">
        <f>IF(gescon_infosparticip!U253=FALSE,0,1)</f>
        <v>0</v>
      </c>
      <c r="W254">
        <f>IF(gescon_infosparticip!T253=FALSE,0,1)</f>
        <v>1</v>
      </c>
      <c r="X254" t="str">
        <f>gescon_infosparticip!W253</f>
        <v>Elle est langée jour et nuit</v>
      </c>
      <c r="Y254">
        <f>IF(gescon_infosparticip!X253=FALSE,0,1)</f>
        <v>0</v>
      </c>
      <c r="Z254">
        <f>IF(gescon_infosparticip!Y253=FALSE,0,1)</f>
        <v>0</v>
      </c>
      <c r="AA254">
        <f>IF(gescon_infosparticip!Z253=FALSE,0,1)</f>
        <v>0</v>
      </c>
      <c r="AB254">
        <f>IF(gescon_infosparticip!AA253=FALSE,0,1)</f>
        <v>1</v>
      </c>
      <c r="AC254" t="str">
        <f>gescon_infosparticip!AB253</f>
        <v/>
      </c>
      <c r="AD254" t="str">
        <f>gescon_infosparticip!AC253</f>
        <v/>
      </c>
      <c r="AE254" t="str">
        <f>gescon_infosparticip!AD253</f>
        <v>Noelie a un grand frère Théo</v>
      </c>
      <c r="AF254" t="str">
        <f>gescon_infosparticip!AE253</f>
        <v/>
      </c>
      <c r="AG254" t="str">
        <f>gescon_infosparticip!AF253</f>
        <v/>
      </c>
      <c r="AH254" t="str">
        <f>gescon_infosparticip!AG253</f>
        <v>Elle n'aime pas trop les contacts physiques ni les choses nouvelles ou les lieux inconnus.</v>
      </c>
      <c r="AI254" t="str">
        <f>gescon_infosparticip!BN253</f>
        <v/>
      </c>
      <c r="AJ254" t="str">
        <f>gescon_infosparticip!BO253</f>
        <v/>
      </c>
    </row>
    <row r="255" spans="2:36" x14ac:dyDescent="0.25">
      <c r="B255">
        <f>gescon_infosparticip!A254</f>
        <v>2146189478</v>
      </c>
      <c r="C255">
        <f>gescon_infosparticip!B254</f>
        <v>42997</v>
      </c>
      <c r="D255">
        <f>gescon_infosparticip!C254</f>
        <v>2146189481</v>
      </c>
      <c r="E255">
        <f>gescon_infosparticip!D254</f>
        <v>0</v>
      </c>
      <c r="F255">
        <f>gescon_infosparticip!E254</f>
        <v>0</v>
      </c>
      <c r="G255">
        <f>gescon_infosparticip!F254</f>
        <v>0</v>
      </c>
      <c r="H255">
        <f>gescon_infosparticip!G254</f>
        <v>0</v>
      </c>
      <c r="I255" t="str">
        <f>gescon_infosparticip!H254</f>
        <v/>
      </c>
      <c r="J255">
        <f>IF(gescon_infosparticip!I254=FALSE,0,1)</f>
        <v>0</v>
      </c>
      <c r="K255">
        <f>IF(gescon_infosparticip!J254=FALSE,0,1)</f>
        <v>1</v>
      </c>
      <c r="L255">
        <f>IF(gescon_infosparticip!K254=FALSE,0,1)</f>
        <v>0</v>
      </c>
      <c r="M255">
        <f>IF(gescon_infosparticip!L254=FALSE,0,1)</f>
        <v>0</v>
      </c>
      <c r="N255">
        <f>IF(gescon_infosparticip!M254=FALSE,0,1)</f>
        <v>1</v>
      </c>
      <c r="O255">
        <f>IF(gescon_infosparticip!N254=FALSE,0,1)</f>
        <v>0</v>
      </c>
      <c r="P255">
        <f>IF(gescon_infosparticip!O254=FALSE,0,1)</f>
        <v>0</v>
      </c>
      <c r="Q255">
        <f>IF(gescon_infosparticip!P254=FALSE,0,1)</f>
        <v>0</v>
      </c>
      <c r="R255">
        <f>IF(gescon_infosparticip!Q254=FALSE,0,1)</f>
        <v>0</v>
      </c>
      <c r="S255" t="str">
        <f>gescon_infosparticip!R254</f>
        <v>oui, aime beaucoup la voiture. Elle a un vélo adapté, à de la difficulté dans les pentes et sur un terrain accidenté</v>
      </c>
      <c r="T255" t="str">
        <f>gescon_infosparticip!V254</f>
        <v>se débrouile seul. Elle à du mal pour les boutons. Il faut regler l'eau pour qu'elle ne soit pas trop chaude et la stimuler pour la suite. Propre la journée il faut lui dire d'aller au wc avant de sortire. Parfois incontinance et à des protections pour la nuit. Ce couche à 20h30</v>
      </c>
      <c r="U255" t="str">
        <f>gescon_infosparticip!S254</f>
        <v>elle aime beaucoup mais ne sait pas nager</v>
      </c>
      <c r="V255">
        <f>IF(gescon_infosparticip!U254=FALSE,0,1)</f>
        <v>0</v>
      </c>
      <c r="W255">
        <f>IF(gescon_infosparticip!T254=FALSE,0,1)</f>
        <v>0</v>
      </c>
      <c r="X255" t="str">
        <f>gescon_infosparticip!W254</f>
        <v/>
      </c>
      <c r="Y255">
        <f>IF(gescon_infosparticip!X254=FALSE,0,1)</f>
        <v>0</v>
      </c>
      <c r="Z255">
        <f>IF(gescon_infosparticip!Y254=FALSE,0,1)</f>
        <v>0</v>
      </c>
      <c r="AA255">
        <f>IF(gescon_infosparticip!Z254=FALSE,0,1)</f>
        <v>0</v>
      </c>
      <c r="AB255">
        <f>IF(gescon_infosparticip!AA254=FALSE,0,1)</f>
        <v>0</v>
      </c>
      <c r="AC255" t="str">
        <f>gescon_infosparticip!AB254</f>
        <v>Rosyne parle, avec l'habitude on la comprend bien</v>
      </c>
      <c r="AD255" t="str">
        <f>gescon_infosparticip!AC254</f>
        <v/>
      </c>
      <c r="AE255" t="str">
        <f>gescon_infosparticip!AD254</f>
        <v/>
      </c>
      <c r="AF255" t="str">
        <f>gescon_infosparticip!AE254</f>
        <v/>
      </c>
      <c r="AG255" t="str">
        <f>gescon_infosparticip!AF254</f>
        <v/>
      </c>
      <c r="AH255" t="str">
        <f>gescon_infosparticip!AG254</f>
        <v>les jeux abstraits ont peu de sens pour elle, s'occupe seule</v>
      </c>
      <c r="AI255" t="str">
        <f>gescon_infosparticip!BN254</f>
        <v/>
      </c>
      <c r="AJ255" t="str">
        <f>gescon_infosparticip!BO254</f>
        <v/>
      </c>
    </row>
    <row r="256" spans="2:36" x14ac:dyDescent="0.25">
      <c r="B256">
        <f>gescon_infosparticip!A255</f>
        <v>2146189479</v>
      </c>
      <c r="C256">
        <f>gescon_infosparticip!B255</f>
        <v>41858.619664351798</v>
      </c>
      <c r="D256">
        <f>gescon_infosparticip!C255</f>
        <v>0</v>
      </c>
      <c r="E256">
        <f>gescon_infosparticip!D255</f>
        <v>0</v>
      </c>
      <c r="F256">
        <f>gescon_infosparticip!E255</f>
        <v>0</v>
      </c>
      <c r="G256">
        <f>gescon_infosparticip!F255</f>
        <v>0</v>
      </c>
      <c r="H256">
        <f>gescon_infosparticip!G255</f>
        <v>0</v>
      </c>
      <c r="I256" t="str">
        <f>gescon_infosparticip!H255</f>
        <v/>
      </c>
      <c r="J256">
        <f>IF(gescon_infosparticip!I255=FALSE,0,1)</f>
        <v>0</v>
      </c>
      <c r="K256">
        <f>IF(gescon_infosparticip!J255=FALSE,0,1)</f>
        <v>0</v>
      </c>
      <c r="L256">
        <f>IF(gescon_infosparticip!K255=FALSE,0,1)</f>
        <v>0</v>
      </c>
      <c r="M256">
        <f>IF(gescon_infosparticip!L255=FALSE,0,1)</f>
        <v>0</v>
      </c>
      <c r="N256">
        <f>IF(gescon_infosparticip!M255=FALSE,0,1)</f>
        <v>0</v>
      </c>
      <c r="O256">
        <f>IF(gescon_infosparticip!N255=FALSE,0,1)</f>
        <v>0</v>
      </c>
      <c r="P256">
        <f>IF(gescon_infosparticip!O255=FALSE,0,1)</f>
        <v>0</v>
      </c>
      <c r="Q256">
        <f>IF(gescon_infosparticip!P255=FALSE,0,1)</f>
        <v>1</v>
      </c>
      <c r="R256">
        <f>IF(gescon_infosparticip!Q255=FALSE,0,1)</f>
        <v>0</v>
      </c>
      <c r="S256" t="str">
        <f>gescon_infosparticip!R255</f>
        <v>aupporte les long trajet</v>
      </c>
      <c r="T256" t="str">
        <f>gescon_infosparticip!V255</f>
        <v/>
      </c>
      <c r="U256" t="str">
        <f>gescon_infosparticip!S255</f>
        <v/>
      </c>
      <c r="V256">
        <f>IF(gescon_infosparticip!U255=FALSE,0,1)</f>
        <v>0</v>
      </c>
      <c r="W256">
        <f>IF(gescon_infosparticip!T255=FALSE,0,1)</f>
        <v>0</v>
      </c>
      <c r="X256" t="str">
        <f>gescon_infosparticip!W255</f>
        <v/>
      </c>
      <c r="Y256">
        <f>IF(gescon_infosparticip!X255=FALSE,0,1)</f>
        <v>0</v>
      </c>
      <c r="Z256">
        <f>IF(gescon_infosparticip!Y255=FALSE,0,1)</f>
        <v>0</v>
      </c>
      <c r="AA256">
        <f>IF(gescon_infosparticip!Z255=FALSE,0,1)</f>
        <v>0</v>
      </c>
      <c r="AB256">
        <f>IF(gescon_infosparticip!AA255=FALSE,0,1)</f>
        <v>0</v>
      </c>
      <c r="AC256" t="str">
        <f>gescon_infosparticip!AB255</f>
        <v/>
      </c>
      <c r="AD256" t="str">
        <f>gescon_infosparticip!AC255</f>
        <v>père Didier mère sarah et un frère prénomer killian.</v>
      </c>
      <c r="AE256" t="str">
        <f>gescon_infosparticip!AD255</f>
        <v/>
      </c>
      <c r="AF256" t="str">
        <f>gescon_infosparticip!AE255</f>
        <v/>
      </c>
      <c r="AG256" t="str">
        <f>gescon_infosparticip!AF255</f>
        <v/>
      </c>
      <c r="AH256" t="str">
        <f>gescon_infosparticip!AG255</f>
        <v/>
      </c>
      <c r="AI256" t="str">
        <f>gescon_infosparticip!BN255</f>
        <v>oui après le repas de midi</v>
      </c>
      <c r="AJ256" t="str">
        <f>gescon_infosparticip!BO255</f>
        <v/>
      </c>
    </row>
    <row r="257" spans="2:36" x14ac:dyDescent="0.25">
      <c r="B257">
        <f>gescon_infosparticip!A256</f>
        <v>2146189481</v>
      </c>
      <c r="C257">
        <f>gescon_infosparticip!B256</f>
        <v>41822</v>
      </c>
      <c r="D257">
        <f>gescon_infosparticip!C256</f>
        <v>0</v>
      </c>
      <c r="E257">
        <f>gescon_infosparticip!D256</f>
        <v>0</v>
      </c>
      <c r="F257">
        <f>gescon_infosparticip!E256</f>
        <v>0</v>
      </c>
      <c r="G257">
        <f>gescon_infosparticip!F256</f>
        <v>0</v>
      </c>
      <c r="H257">
        <f>gescon_infosparticip!G256</f>
        <v>0</v>
      </c>
      <c r="I257" t="str">
        <f>gescon_infosparticip!H256</f>
        <v/>
      </c>
      <c r="J257">
        <f>IF(gescon_infosparticip!I256=FALSE,0,1)</f>
        <v>0</v>
      </c>
      <c r="K257">
        <f>IF(gescon_infosparticip!J256=FALSE,0,1)</f>
        <v>0</v>
      </c>
      <c r="L257">
        <f>IF(gescon_infosparticip!K256=FALSE,0,1)</f>
        <v>0</v>
      </c>
      <c r="M257">
        <f>IF(gescon_infosparticip!L256=FALSE,0,1)</f>
        <v>0</v>
      </c>
      <c r="N257">
        <f>IF(gescon_infosparticip!M256=FALSE,0,1)</f>
        <v>0</v>
      </c>
      <c r="O257">
        <f>IF(gescon_infosparticip!N256=FALSE,0,1)</f>
        <v>0</v>
      </c>
      <c r="P257">
        <f>IF(gescon_infosparticip!O256=FALSE,0,1)</f>
        <v>0</v>
      </c>
      <c r="Q257">
        <f>IF(gescon_infosparticip!P256=FALSE,0,1)</f>
        <v>0</v>
      </c>
      <c r="R257">
        <f>IF(gescon_infosparticip!Q256=FALSE,0,1)</f>
        <v>0</v>
      </c>
      <c r="S257" t="str">
        <f>gescon_infosparticip!R256</f>
        <v/>
      </c>
      <c r="T257" t="str">
        <f>gescon_infosparticip!V256</f>
        <v/>
      </c>
      <c r="U257" t="str">
        <f>gescon_infosparticip!S256</f>
        <v/>
      </c>
      <c r="V257">
        <f>IF(gescon_infosparticip!U256=FALSE,0,1)</f>
        <v>0</v>
      </c>
      <c r="W257">
        <f>IF(gescon_infosparticip!T256=FALSE,0,1)</f>
        <v>0</v>
      </c>
      <c r="X257" t="str">
        <f>gescon_infosparticip!W256</f>
        <v/>
      </c>
      <c r="Y257">
        <f>IF(gescon_infosparticip!X256=FALSE,0,1)</f>
        <v>0</v>
      </c>
      <c r="Z257">
        <f>IF(gescon_infosparticip!Y256=FALSE,0,1)</f>
        <v>0</v>
      </c>
      <c r="AA257">
        <f>IF(gescon_infosparticip!Z256=FALSE,0,1)</f>
        <v>0</v>
      </c>
      <c r="AB257">
        <f>IF(gescon_infosparticip!AA256=FALSE,0,1)</f>
        <v>0</v>
      </c>
      <c r="AC257" t="str">
        <f>gescon_infosparticip!AB256</f>
        <v/>
      </c>
      <c r="AD257" t="str">
        <f>gescon_infosparticip!AC256</f>
        <v/>
      </c>
      <c r="AE257" t="str">
        <f>gescon_infosparticip!AD256</f>
        <v/>
      </c>
      <c r="AF257" t="str">
        <f>gescon_infosparticip!AE256</f>
        <v/>
      </c>
      <c r="AG257" t="str">
        <f>gescon_infosparticip!AF256</f>
        <v/>
      </c>
      <c r="AH257" t="str">
        <f>gescon_infosparticip!AG256</f>
        <v/>
      </c>
      <c r="AI257" t="str">
        <f>gescon_infosparticip!BN256</f>
        <v/>
      </c>
      <c r="AJ257" t="str">
        <f>gescon_infosparticip!BO256</f>
        <v/>
      </c>
    </row>
    <row r="258" spans="2:36" x14ac:dyDescent="0.25">
      <c r="B258">
        <f>gescon_infosparticip!A257</f>
        <v>2146189492</v>
      </c>
      <c r="C258">
        <f>gescon_infosparticip!B257</f>
        <v>41858.574687499997</v>
      </c>
      <c r="D258">
        <f>gescon_infosparticip!C257</f>
        <v>0</v>
      </c>
      <c r="E258">
        <f>gescon_infosparticip!D257</f>
        <v>0</v>
      </c>
      <c r="F258">
        <f>gescon_infosparticip!E257</f>
        <v>0</v>
      </c>
      <c r="G258">
        <f>gescon_infosparticip!F257</f>
        <v>0</v>
      </c>
      <c r="H258">
        <f>gescon_infosparticip!G257</f>
        <v>0</v>
      </c>
      <c r="I258" t="str">
        <f>gescon_infosparticip!H257</f>
        <v/>
      </c>
      <c r="J258">
        <f>IF(gescon_infosparticip!I257=FALSE,0,1)</f>
        <v>0</v>
      </c>
      <c r="K258">
        <f>IF(gescon_infosparticip!J257=FALSE,0,1)</f>
        <v>0</v>
      </c>
      <c r="L258">
        <f>IF(gescon_infosparticip!K257=FALSE,0,1)</f>
        <v>0</v>
      </c>
      <c r="M258">
        <f>IF(gescon_infosparticip!L257=FALSE,0,1)</f>
        <v>0</v>
      </c>
      <c r="N258">
        <f>IF(gescon_infosparticip!M257=FALSE,0,1)</f>
        <v>0</v>
      </c>
      <c r="O258">
        <f>IF(gescon_infosparticip!N257=FALSE,0,1)</f>
        <v>1</v>
      </c>
      <c r="P258">
        <f>IF(gescon_infosparticip!O257=FALSE,0,1)</f>
        <v>0</v>
      </c>
      <c r="Q258">
        <f>IF(gescon_infosparticip!P257=FALSE,0,1)</f>
        <v>1</v>
      </c>
      <c r="R258">
        <f>IF(gescon_infosparticip!Q257=FALSE,0,1)</f>
        <v>0</v>
      </c>
      <c r="S258" t="str">
        <f>gescon_infosparticip!R257</f>
        <v/>
      </c>
      <c r="T258" t="str">
        <f>gescon_infosparticip!V257</f>
        <v/>
      </c>
      <c r="U258" t="str">
        <f>gescon_infosparticip!S257</f>
        <v/>
      </c>
      <c r="V258">
        <f>IF(gescon_infosparticip!U257=FALSE,0,1)</f>
        <v>0</v>
      </c>
      <c r="W258">
        <f>IF(gescon_infosparticip!T257=FALSE,0,1)</f>
        <v>0</v>
      </c>
      <c r="X258" t="str">
        <f>gescon_infosparticip!W257</f>
        <v/>
      </c>
      <c r="Y258">
        <f>IF(gescon_infosparticip!X257=FALSE,0,1)</f>
        <v>0</v>
      </c>
      <c r="Z258">
        <f>IF(gescon_infosparticip!Y257=FALSE,0,1)</f>
        <v>0</v>
      </c>
      <c r="AA258">
        <f>IF(gescon_infosparticip!Z257=FALSE,0,1)</f>
        <v>0</v>
      </c>
      <c r="AB258">
        <f>IF(gescon_infosparticip!AA257=FALSE,0,1)</f>
        <v>0</v>
      </c>
      <c r="AC258" t="str">
        <f>gescon_infosparticip!AB257</f>
        <v/>
      </c>
      <c r="AD258" t="str">
        <f>gescon_infosparticip!AC257</f>
        <v/>
      </c>
      <c r="AE258" t="str">
        <f>gescon_infosparticip!AD257</f>
        <v/>
      </c>
      <c r="AF258" t="str">
        <f>gescon_infosparticip!AE257</f>
        <v/>
      </c>
      <c r="AG258" t="str">
        <f>gescon_infosparticip!AF257</f>
        <v/>
      </c>
      <c r="AH258" t="str">
        <f>gescon_infosparticip!AG257</f>
        <v/>
      </c>
      <c r="AI258" t="str">
        <f>gescon_infosparticip!BN257</f>
        <v/>
      </c>
      <c r="AJ258" t="str">
        <f>gescon_infosparticip!BO257</f>
        <v/>
      </c>
    </row>
    <row r="259" spans="2:36" x14ac:dyDescent="0.25">
      <c r="B259">
        <f>gescon_infosparticip!A258</f>
        <v>2146189494</v>
      </c>
      <c r="C259">
        <f>gescon_infosparticip!B258</f>
        <v>42270</v>
      </c>
      <c r="D259">
        <f>gescon_infosparticip!C258</f>
        <v>2146189531</v>
      </c>
      <c r="E259">
        <f>gescon_infosparticip!D258</f>
        <v>0</v>
      </c>
      <c r="F259">
        <f>gescon_infosparticip!E258</f>
        <v>0</v>
      </c>
      <c r="G259">
        <f>gescon_infosparticip!F258</f>
        <v>0</v>
      </c>
      <c r="H259">
        <f>gescon_infosparticip!G258</f>
        <v>2146189531</v>
      </c>
      <c r="I259" t="str">
        <f>gescon_infosparticip!H258</f>
        <v/>
      </c>
      <c r="J259">
        <f>IF(gescon_infosparticip!I258=FALSE,0,1)</f>
        <v>0</v>
      </c>
      <c r="K259">
        <f>IF(gescon_infosparticip!J258=FALSE,0,1)</f>
        <v>0</v>
      </c>
      <c r="L259">
        <f>IF(gescon_infosparticip!K258=FALSE,0,1)</f>
        <v>0</v>
      </c>
      <c r="M259">
        <f>IF(gescon_infosparticip!L258=FALSE,0,1)</f>
        <v>1</v>
      </c>
      <c r="N259">
        <f>IF(gescon_infosparticip!M258=FALSE,0,1)</f>
        <v>1</v>
      </c>
      <c r="O259">
        <f>IF(gescon_infosparticip!N258=FALSE,0,1)</f>
        <v>0</v>
      </c>
      <c r="P259">
        <f>IF(gescon_infosparticip!O258=FALSE,0,1)</f>
        <v>0</v>
      </c>
      <c r="Q259">
        <f>IF(gescon_infosparticip!P258=FALSE,0,1)</f>
        <v>0</v>
      </c>
      <c r="R259">
        <f>IF(gescon_infosparticip!Q258=FALSE,0,1)</f>
        <v>0</v>
      </c>
      <c r="S259" t="str">
        <f>gescon_infosparticip!R258</f>
        <v/>
      </c>
      <c r="T259" t="str">
        <f>gescon_infosparticip!V258</f>
        <v>Autonome, lui donner un peu d'aide de temps en temps.</v>
      </c>
      <c r="U259" t="str">
        <f>gescon_infosparticip!S258</f>
        <v/>
      </c>
      <c r="V259">
        <f>IF(gescon_infosparticip!U258=FALSE,0,1)</f>
        <v>0</v>
      </c>
      <c r="W259">
        <f>IF(gescon_infosparticip!T258=FALSE,0,1)</f>
        <v>0</v>
      </c>
      <c r="X259" t="str">
        <f>gescon_infosparticip!W258</f>
        <v/>
      </c>
      <c r="Y259">
        <f>IF(gescon_infosparticip!X258=FALSE,0,1)</f>
        <v>0</v>
      </c>
      <c r="Z259">
        <f>IF(gescon_infosparticip!Y258=FALSE,0,1)</f>
        <v>0</v>
      </c>
      <c r="AA259">
        <f>IF(gescon_infosparticip!Z258=FALSE,0,1)</f>
        <v>0</v>
      </c>
      <c r="AB259">
        <f>IF(gescon_infosparticip!AA258=FALSE,0,1)</f>
        <v>0</v>
      </c>
      <c r="AC259" t="str">
        <f>gescon_infosparticip!AB258</f>
        <v>Communique bien mais il  a de la pein à articuler. Attention, il teste souvent les limites des personnes qu'il ne connait pas. Il faut bien le cadrer.
Etre sévère avec lui, ne pas se laisser marcher dessus. S'il n'obéit pas il faut lui dire soit d'aller dans un coin soit dans la chambre.
Faire gaffe au téléphone de la maison car il peut appeler la police.
Pour les repas et la douche il faudra mettre la minuterie car il a tendance à traîner beaucoup.</v>
      </c>
      <c r="AD259" t="str">
        <f>gescon_infosparticip!AC258</f>
        <v>La semaine Mechack suit un enseignement spécialisé à St-Agnès à Sion.</v>
      </c>
      <c r="AE259" t="str">
        <f>gescon_infosparticip!AD258</f>
        <v>Il a grand frère de 14 ans et une demi-sœur dans son pays d'origine</v>
      </c>
      <c r="AF259" t="str">
        <f>gescon_infosparticip!AE258</f>
        <v/>
      </c>
      <c r="AG259" t="str">
        <f>gescon_infosparticip!AF258</f>
        <v>Il aime beaucoup les jeux à l'extérieur tels que la football, la trotinette, le roller, le vélo.
!!!!!!!!ATTENTION LORS DES PROMENADES à L'EXTERIEUR, MECHACK NE PERCOIT PAS LES DANGERS ET PARTICULIEREMENT CEUX LIES AU TRAFIC ROUTIER</v>
      </c>
      <c r="AH259" t="str">
        <f>gescon_infosparticip!AG258</f>
        <v>Il a peur de la nouveauté</v>
      </c>
      <c r="AI259" t="str">
        <f>gescon_infosparticip!BN258</f>
        <v>pas nécessaire, il aime bien se reposer en lisant un livre par exemple ou aime se faire raconter une histoire.</v>
      </c>
      <c r="AJ259" t="str">
        <f>gescon_infosparticip!BO258</f>
        <v/>
      </c>
    </row>
    <row r="260" spans="2:36" x14ac:dyDescent="0.25">
      <c r="B260">
        <f>gescon_infosparticip!A259</f>
        <v>2146189495</v>
      </c>
      <c r="C260">
        <f>gescon_infosparticip!B259</f>
        <v>41864</v>
      </c>
      <c r="D260">
        <f>gescon_infosparticip!C259</f>
        <v>2146189496</v>
      </c>
      <c r="E260">
        <f>gescon_infosparticip!D259</f>
        <v>0</v>
      </c>
      <c r="F260">
        <f>gescon_infosparticip!E259</f>
        <v>0</v>
      </c>
      <c r="G260">
        <f>gescon_infosparticip!F259</f>
        <v>2146189500</v>
      </c>
      <c r="H260">
        <f>gescon_infosparticip!G259</f>
        <v>0</v>
      </c>
      <c r="I260" t="str">
        <f>gescon_infosparticip!H259</f>
        <v/>
      </c>
      <c r="J260">
        <f>IF(gescon_infosparticip!I259=FALSE,0,1)</f>
        <v>0</v>
      </c>
      <c r="K260">
        <f>IF(gescon_infosparticip!J259=FALSE,0,1)</f>
        <v>0</v>
      </c>
      <c r="L260">
        <f>IF(gescon_infosparticip!K259=FALSE,0,1)</f>
        <v>0</v>
      </c>
      <c r="M260">
        <f>IF(gescon_infosparticip!L259=FALSE,0,1)</f>
        <v>0</v>
      </c>
      <c r="N260">
        <f>IF(gescon_infosparticip!M259=FALSE,0,1)</f>
        <v>0</v>
      </c>
      <c r="O260">
        <f>IF(gescon_infosparticip!N259=FALSE,0,1)</f>
        <v>0</v>
      </c>
      <c r="P260">
        <f>IF(gescon_infosparticip!O259=FALSE,0,1)</f>
        <v>0</v>
      </c>
      <c r="Q260">
        <f>IF(gescon_infosparticip!P259=FALSE,0,1)</f>
        <v>0</v>
      </c>
      <c r="R260">
        <f>IF(gescon_infosparticip!Q259=FALSE,0,1)</f>
        <v>0</v>
      </c>
      <c r="S260" t="str">
        <f>gescon_infosparticip!R259</f>
        <v/>
      </c>
      <c r="T260" t="str">
        <f>gescon_infosparticip!V259</f>
        <v/>
      </c>
      <c r="U260" t="str">
        <f>gescon_infosparticip!S259</f>
        <v/>
      </c>
      <c r="V260">
        <f>IF(gescon_infosparticip!U259=FALSE,0,1)</f>
        <v>1</v>
      </c>
      <c r="W260">
        <f>IF(gescon_infosparticip!T259=FALSE,0,1)</f>
        <v>0</v>
      </c>
      <c r="X260" t="str">
        <f>gescon_infosparticip!W259</f>
        <v/>
      </c>
      <c r="Y260">
        <f>IF(gescon_infosparticip!X259=FALSE,0,1)</f>
        <v>0</v>
      </c>
      <c r="Z260">
        <f>IF(gescon_infosparticip!Y259=FALSE,0,1)</f>
        <v>0</v>
      </c>
      <c r="AA260">
        <f>IF(gescon_infosparticip!Z259=FALSE,0,1)</f>
        <v>0</v>
      </c>
      <c r="AB260">
        <f>IF(gescon_infosparticip!AA259=FALSE,0,1)</f>
        <v>0</v>
      </c>
      <c r="AC260" t="str">
        <f>gescon_infosparticip!AB259</f>
        <v/>
      </c>
      <c r="AD260" t="str">
        <f>gescon_infosparticip!AC259</f>
        <v/>
      </c>
      <c r="AE260" t="str">
        <f>gescon_infosparticip!AD259</f>
        <v/>
      </c>
      <c r="AF260" t="str">
        <f>gescon_infosparticip!AE259</f>
        <v/>
      </c>
      <c r="AG260" t="str">
        <f>gescon_infosparticip!AF259</f>
        <v/>
      </c>
      <c r="AH260" t="str">
        <f>gescon_infosparticip!AG259</f>
        <v/>
      </c>
      <c r="AI260" t="str">
        <f>gescon_infosparticip!BN259</f>
        <v/>
      </c>
      <c r="AJ260" t="str">
        <f>gescon_infosparticip!BO259</f>
        <v/>
      </c>
    </row>
    <row r="261" spans="2:36" x14ac:dyDescent="0.25">
      <c r="B261">
        <f>gescon_infosparticip!A260</f>
        <v>2146189498</v>
      </c>
      <c r="C261">
        <f>gescon_infosparticip!B260</f>
        <v>41996</v>
      </c>
      <c r="D261">
        <f>gescon_infosparticip!C260</f>
        <v>0</v>
      </c>
      <c r="E261">
        <f>gescon_infosparticip!D260</f>
        <v>0</v>
      </c>
      <c r="F261">
        <f>gescon_infosparticip!E260</f>
        <v>0</v>
      </c>
      <c r="G261">
        <f>gescon_infosparticip!F260</f>
        <v>0</v>
      </c>
      <c r="H261">
        <f>gescon_infosparticip!G260</f>
        <v>0</v>
      </c>
      <c r="I261" t="str">
        <f>gescon_infosparticip!H260</f>
        <v/>
      </c>
      <c r="J261">
        <f>IF(gescon_infosparticip!I260=FALSE,0,1)</f>
        <v>0</v>
      </c>
      <c r="K261">
        <f>IF(gescon_infosparticip!J260=FALSE,0,1)</f>
        <v>0</v>
      </c>
      <c r="L261">
        <f>IF(gescon_infosparticip!K260=FALSE,0,1)</f>
        <v>0</v>
      </c>
      <c r="M261">
        <f>IF(gescon_infosparticip!L260=FALSE,0,1)</f>
        <v>0</v>
      </c>
      <c r="N261">
        <f>IF(gescon_infosparticip!M260=FALSE,0,1)</f>
        <v>0</v>
      </c>
      <c r="O261">
        <f>IF(gescon_infosparticip!N260=FALSE,0,1)</f>
        <v>0</v>
      </c>
      <c r="P261">
        <f>IF(gescon_infosparticip!O260=FALSE,0,1)</f>
        <v>0</v>
      </c>
      <c r="Q261">
        <f>IF(gescon_infosparticip!P260=FALSE,0,1)</f>
        <v>0</v>
      </c>
      <c r="R261">
        <f>IF(gescon_infosparticip!Q260=FALSE,0,1)</f>
        <v>0</v>
      </c>
      <c r="S261" t="str">
        <f>gescon_infosparticip!R260</f>
        <v/>
      </c>
      <c r="T261" t="str">
        <f>gescon_infosparticip!V260</f>
        <v/>
      </c>
      <c r="U261" t="str">
        <f>gescon_infosparticip!S260</f>
        <v/>
      </c>
      <c r="V261">
        <f>IF(gescon_infosparticip!U260=FALSE,0,1)</f>
        <v>0</v>
      </c>
      <c r="W261">
        <f>IF(gescon_infosparticip!T260=FALSE,0,1)</f>
        <v>0</v>
      </c>
      <c r="X261" t="str">
        <f>gescon_infosparticip!W260</f>
        <v/>
      </c>
      <c r="Y261">
        <f>IF(gescon_infosparticip!X260=FALSE,0,1)</f>
        <v>0</v>
      </c>
      <c r="Z261">
        <f>IF(gescon_infosparticip!Y260=FALSE,0,1)</f>
        <v>0</v>
      </c>
      <c r="AA261">
        <f>IF(gescon_infosparticip!Z260=FALSE,0,1)</f>
        <v>0</v>
      </c>
      <c r="AB261">
        <f>IF(gescon_infosparticip!AA260=FALSE,0,1)</f>
        <v>0</v>
      </c>
      <c r="AC261" t="str">
        <f>gescon_infosparticip!AB260</f>
        <v/>
      </c>
      <c r="AD261" t="str">
        <f>gescon_infosparticip!AC260</f>
        <v/>
      </c>
      <c r="AE261" t="str">
        <f>gescon_infosparticip!AD260</f>
        <v/>
      </c>
      <c r="AF261" t="str">
        <f>gescon_infosparticip!AE260</f>
        <v/>
      </c>
      <c r="AG261" t="str">
        <f>gescon_infosparticip!AF260</f>
        <v/>
      </c>
      <c r="AH261" t="str">
        <f>gescon_infosparticip!AG260</f>
        <v/>
      </c>
      <c r="AI261" t="str">
        <f>gescon_infosparticip!BN260</f>
        <v/>
      </c>
      <c r="AJ261" t="str">
        <f>gescon_infosparticip!BO260</f>
        <v/>
      </c>
    </row>
    <row r="262" spans="2:36" x14ac:dyDescent="0.25">
      <c r="B262">
        <f>gescon_infosparticip!A261</f>
        <v>2146189502</v>
      </c>
      <c r="C262">
        <f>gescon_infosparticip!B261</f>
        <v>43041</v>
      </c>
      <c r="D262">
        <f>gescon_infosparticip!C261</f>
        <v>2146189496</v>
      </c>
      <c r="E262">
        <f>gescon_infosparticip!D261</f>
        <v>0</v>
      </c>
      <c r="F262">
        <f>gescon_infosparticip!E261</f>
        <v>0</v>
      </c>
      <c r="G262">
        <f>gescon_infosparticip!F261</f>
        <v>2146189500</v>
      </c>
      <c r="H262">
        <f>gescon_infosparticip!G261</f>
        <v>0</v>
      </c>
      <c r="I262" t="str">
        <f>gescon_infosparticip!H261</f>
        <v/>
      </c>
      <c r="J262">
        <f>IF(gescon_infosparticip!I261=FALSE,0,1)</f>
        <v>0</v>
      </c>
      <c r="K262">
        <f>IF(gescon_infosparticip!J261=FALSE,0,1)</f>
        <v>0</v>
      </c>
      <c r="L262">
        <f>IF(gescon_infosparticip!K261=FALSE,0,1)</f>
        <v>0</v>
      </c>
      <c r="M262">
        <f>IF(gescon_infosparticip!L261=FALSE,0,1)</f>
        <v>1</v>
      </c>
      <c r="N262">
        <f>IF(gescon_infosparticip!M261=FALSE,0,1)</f>
        <v>0</v>
      </c>
      <c r="O262">
        <f>IF(gescon_infosparticip!N261=FALSE,0,1)</f>
        <v>0</v>
      </c>
      <c r="P262">
        <f>IF(gescon_infosparticip!O261=FALSE,0,1)</f>
        <v>0</v>
      </c>
      <c r="Q262">
        <f>IF(gescon_infosparticip!P261=FALSE,0,1)</f>
        <v>1</v>
      </c>
      <c r="R262">
        <f>IF(gescon_infosparticip!Q261=FALSE,0,1)</f>
        <v>0</v>
      </c>
      <c r="S262" t="str">
        <f>gescon_infosparticip!R261</f>
        <v>Il se déplace seul à l'intérieur, nous le poussons à l'extérieur</v>
      </c>
      <c r="T262" t="str">
        <f>gescon_infosparticip!V261</f>
        <v>Il a besoin d'une aide complète</v>
      </c>
      <c r="U262" t="str">
        <f>gescon_infosparticip!S261</f>
        <v>Présence d'une personne obligatoire pour le tenir, de préférence un gilet</v>
      </c>
      <c r="V262">
        <f>IF(gescon_infosparticip!U261=FALSE,0,1)</f>
        <v>1</v>
      </c>
      <c r="W262">
        <f>IF(gescon_infosparticip!T261=FALSE,0,1)</f>
        <v>1</v>
      </c>
      <c r="X262" t="str">
        <f>gescon_infosparticip!W261</f>
        <v>Il est positionné sur le côté pour dormir et s'il se réveille il a un changement de position de l'autre côté. 
Jean-Guy est un petit dormeur, il se réveille tôt le matin.</v>
      </c>
      <c r="Y262">
        <f>IF(gescon_infosparticip!X261=FALSE,0,1)</f>
        <v>0</v>
      </c>
      <c r="Z262">
        <f>IF(gescon_infosparticip!Y261=FALSE,0,1)</f>
        <v>1</v>
      </c>
      <c r="AA262">
        <f>IF(gescon_infosparticip!Z261=FALSE,0,1)</f>
        <v>0</v>
      </c>
      <c r="AB262">
        <f>IF(gescon_infosparticip!AA261=FALSE,0,1)</f>
        <v>1</v>
      </c>
      <c r="AC262" t="str">
        <f>gescon_infosparticip!AB261</f>
        <v>Jean-Guy a de la difficulté à se faire comprendre. Son vocabulaire se limite à qqs mots qu'il prononce difficilement : souper, dîner, pipi, sortir, coca, café, chocolat. 
Il trouve toujours un moyen de nous montrer ce qu'il veut en se déplaçant, en rigolant ou en râlant. Il a un bon niveau de compréhension et aime l'hunour.</v>
      </c>
      <c r="AD262" t="str">
        <f>gescon_infosparticip!AC261</f>
        <v>La maman habite à Mâche</v>
      </c>
      <c r="AE262" t="str">
        <f>gescon_infosparticip!AD261</f>
        <v>Il a un frère qui est policier et un neveux qui s'appelle Loïc</v>
      </c>
      <c r="AF262" t="str">
        <f>gescon_infosparticip!AE261</f>
        <v/>
      </c>
      <c r="AG262" t="str">
        <f>gescon_infosparticip!AF261</f>
        <v>Jean-Guy apprécie beaucoup les promenades, les verrées, les restaurants ou repas de toutes sortes. Il est assez ouvert d'esprit en ce qui concerne les activités.</v>
      </c>
      <c r="AH262" t="str">
        <f>gescon_infosparticip!AG261</f>
        <v>Les activités infantilisantes (musiques pour enfants)</v>
      </c>
      <c r="AI262" t="str">
        <f>gescon_infosparticip!BN261</f>
        <v>Oui</v>
      </c>
      <c r="AJ262" t="str">
        <f>gescon_infosparticip!BO261</f>
        <v>Après le repas de midi et une fois pendant la nuit s'il se réveille</v>
      </c>
    </row>
    <row r="263" spans="2:36" x14ac:dyDescent="0.25">
      <c r="B263">
        <f>gescon_infosparticip!A262</f>
        <v>2146189504</v>
      </c>
      <c r="C263">
        <f>gescon_infosparticip!B262</f>
        <v>42975</v>
      </c>
      <c r="D263">
        <f>gescon_infosparticip!C262</f>
        <v>0</v>
      </c>
      <c r="E263">
        <f>gescon_infosparticip!D262</f>
        <v>0</v>
      </c>
      <c r="F263">
        <f>gescon_infosparticip!E262</f>
        <v>0</v>
      </c>
      <c r="G263">
        <f>gescon_infosparticip!F262</f>
        <v>0</v>
      </c>
      <c r="H263">
        <f>gescon_infosparticip!G262</f>
        <v>0</v>
      </c>
      <c r="I263" t="str">
        <f>gescon_infosparticip!H262</f>
        <v/>
      </c>
      <c r="J263">
        <f>IF(gescon_infosparticip!I262=FALSE,0,1)</f>
        <v>0</v>
      </c>
      <c r="K263">
        <f>IF(gescon_infosparticip!J262=FALSE,0,1)</f>
        <v>0</v>
      </c>
      <c r="L263">
        <f>IF(gescon_infosparticip!K262=FALSE,0,1)</f>
        <v>0</v>
      </c>
      <c r="M263">
        <f>IF(gescon_infosparticip!L262=FALSE,0,1)</f>
        <v>1</v>
      </c>
      <c r="N263">
        <f>IF(gescon_infosparticip!M262=FALSE,0,1)</f>
        <v>1</v>
      </c>
      <c r="O263">
        <f>IF(gescon_infosparticip!N262=FALSE,0,1)</f>
        <v>0</v>
      </c>
      <c r="P263">
        <f>IF(gescon_infosparticip!O262=FALSE,0,1)</f>
        <v>0</v>
      </c>
      <c r="Q263">
        <f>IF(gescon_infosparticip!P262=FALSE,0,1)</f>
        <v>0</v>
      </c>
      <c r="R263">
        <f>IF(gescon_infosparticip!Q262=FALSE,0,1)</f>
        <v>0</v>
      </c>
      <c r="S263" t="str">
        <f>gescon_infosparticip!R262</f>
        <v>marche à son rythme. Déplacement en voiture oui</v>
      </c>
      <c r="T263" t="str">
        <f>gescon_infosparticip!V262</f>
        <v>être à ses côtés pour lui donner les consignes et l'assister si nécessaire. Aide au brossage des dents par exemple.
Besoin particuliers: lui tenir la main pour monter et descendre les escaliers. Faire attention avec les bébés, petits enfants car elle peut être brusque. Ne pas laisser faire des bisous ou être prise dans les bras par des personnes qu'elle ne connait pas. Na pas conscience du danger. File très vite, la surveiller constament</v>
      </c>
      <c r="U263" t="str">
        <f>gescon_infosparticip!S262</f>
        <v/>
      </c>
      <c r="V263">
        <f>IF(gescon_infosparticip!U262=FALSE,0,1)</f>
        <v>0</v>
      </c>
      <c r="W263">
        <f>IF(gescon_infosparticip!T262=FALSE,0,1)</f>
        <v>0</v>
      </c>
      <c r="X263" t="str">
        <f>gescon_infosparticip!W262</f>
        <v>elle est langé pour la nuit et dort sur un matelas par terre</v>
      </c>
      <c r="Y263">
        <f>IF(gescon_infosparticip!X262=FALSE,0,1)</f>
        <v>0</v>
      </c>
      <c r="Z263">
        <f>IF(gescon_infosparticip!Y262=FALSE,0,1)</f>
        <v>0</v>
      </c>
      <c r="AA263">
        <f>IF(gescon_infosparticip!Z262=FALSE,0,1)</f>
        <v>0</v>
      </c>
      <c r="AB263">
        <f>IF(gescon_infosparticip!AA262=FALSE,0,1)</f>
        <v>0</v>
      </c>
      <c r="AC263" t="str">
        <f>gescon_infosparticip!AB262</f>
        <v>elle parle ou elle montre ce qu'elle veut.</v>
      </c>
      <c r="AD263" t="str">
        <f>gescon_infosparticip!AC262</f>
        <v/>
      </c>
      <c r="AE263" t="str">
        <f>gescon_infosparticip!AD262</f>
        <v/>
      </c>
      <c r="AF263" t="str">
        <f>gescon_infosparticip!AE262</f>
        <v/>
      </c>
      <c r="AG263" t="str">
        <f>gescon_infosparticip!AF262</f>
        <v>musique, danser, poney, chanter, se promener, jouer, écouter des histoires.</v>
      </c>
      <c r="AH263" t="str">
        <f>gescon_infosparticip!AG262</f>
        <v/>
      </c>
      <c r="AI263" t="str">
        <f>gescon_infosparticip!BN262</f>
        <v/>
      </c>
      <c r="AJ263" t="str">
        <f>gescon_infosparticip!BO262</f>
        <v/>
      </c>
    </row>
    <row r="264" spans="2:36" x14ac:dyDescent="0.25">
      <c r="B264">
        <f>gescon_infosparticip!A263</f>
        <v>2146189510</v>
      </c>
      <c r="C264">
        <f>gescon_infosparticip!B263</f>
        <v>42298</v>
      </c>
      <c r="D264">
        <f>gescon_infosparticip!C263</f>
        <v>0</v>
      </c>
      <c r="E264">
        <f>gescon_infosparticip!D263</f>
        <v>0</v>
      </c>
      <c r="F264">
        <f>gescon_infosparticip!E263</f>
        <v>0</v>
      </c>
      <c r="G264">
        <f>gescon_infosparticip!F263</f>
        <v>0</v>
      </c>
      <c r="H264">
        <f>gescon_infosparticip!G263</f>
        <v>0</v>
      </c>
      <c r="I264" t="str">
        <f>gescon_infosparticip!H263</f>
        <v/>
      </c>
      <c r="J264">
        <f>IF(gescon_infosparticip!I263=FALSE,0,1)</f>
        <v>0</v>
      </c>
      <c r="K264">
        <f>IF(gescon_infosparticip!J263=FALSE,0,1)</f>
        <v>0</v>
      </c>
      <c r="L264">
        <f>IF(gescon_infosparticip!K263=FALSE,0,1)</f>
        <v>0</v>
      </c>
      <c r="M264">
        <f>IF(gescon_infosparticip!L263=FALSE,0,1)</f>
        <v>0</v>
      </c>
      <c r="N264">
        <f>IF(gescon_infosparticip!M263=FALSE,0,1)</f>
        <v>0</v>
      </c>
      <c r="O264">
        <f>IF(gescon_infosparticip!N263=FALSE,0,1)</f>
        <v>0</v>
      </c>
      <c r="P264">
        <f>IF(gescon_infosparticip!O263=FALSE,0,1)</f>
        <v>0</v>
      </c>
      <c r="Q264">
        <f>IF(gescon_infosparticip!P263=FALSE,0,1)</f>
        <v>0</v>
      </c>
      <c r="R264">
        <f>IF(gescon_infosparticip!Q263=FALSE,0,1)</f>
        <v>0</v>
      </c>
      <c r="S264" t="str">
        <f>gescon_infosparticip!R263</f>
        <v/>
      </c>
      <c r="T264" t="str">
        <f>gescon_infosparticip!V263</f>
        <v/>
      </c>
      <c r="U264" t="str">
        <f>gescon_infosparticip!S263</f>
        <v/>
      </c>
      <c r="V264">
        <f>IF(gescon_infosparticip!U263=FALSE,0,1)</f>
        <v>0</v>
      </c>
      <c r="W264">
        <f>IF(gescon_infosparticip!T263=FALSE,0,1)</f>
        <v>0</v>
      </c>
      <c r="X264" t="str">
        <f>gescon_infosparticip!W263</f>
        <v/>
      </c>
      <c r="Y264">
        <f>IF(gescon_infosparticip!X263=FALSE,0,1)</f>
        <v>0</v>
      </c>
      <c r="Z264">
        <f>IF(gescon_infosparticip!Y263=FALSE,0,1)</f>
        <v>0</v>
      </c>
      <c r="AA264">
        <f>IF(gescon_infosparticip!Z263=FALSE,0,1)</f>
        <v>0</v>
      </c>
      <c r="AB264">
        <f>IF(gescon_infosparticip!AA263=FALSE,0,1)</f>
        <v>0</v>
      </c>
      <c r="AC264" t="str">
        <f>gescon_infosparticip!AB263</f>
        <v/>
      </c>
      <c r="AD264" t="str">
        <f>gescon_infosparticip!AC263</f>
        <v/>
      </c>
      <c r="AE264" t="str">
        <f>gescon_infosparticip!AD263</f>
        <v/>
      </c>
      <c r="AF264" t="str">
        <f>gescon_infosparticip!AE263</f>
        <v/>
      </c>
      <c r="AG264" t="str">
        <f>gescon_infosparticip!AF263</f>
        <v/>
      </c>
      <c r="AH264" t="str">
        <f>gescon_infosparticip!AG263</f>
        <v/>
      </c>
      <c r="AI264" t="str">
        <f>gescon_infosparticip!BN263</f>
        <v/>
      </c>
      <c r="AJ264" t="str">
        <f>gescon_infosparticip!BO263</f>
        <v/>
      </c>
    </row>
    <row r="265" spans="2:36" x14ac:dyDescent="0.25">
      <c r="B265">
        <f>gescon_infosparticip!A264</f>
        <v>2146189512</v>
      </c>
      <c r="C265">
        <f>gescon_infosparticip!B264</f>
        <v>42137</v>
      </c>
      <c r="D265">
        <f>gescon_infosparticip!C264</f>
        <v>2146189629</v>
      </c>
      <c r="E265">
        <f>gescon_infosparticip!D264</f>
        <v>0</v>
      </c>
      <c r="F265">
        <f>gescon_infosparticip!E264</f>
        <v>0</v>
      </c>
      <c r="G265">
        <f>gescon_infosparticip!F264</f>
        <v>0</v>
      </c>
      <c r="H265">
        <f>gescon_infosparticip!G264</f>
        <v>0</v>
      </c>
      <c r="I265" t="str">
        <f>gescon_infosparticip!H264</f>
        <v>Bureau des réfugiés Aurèle Bruchez 027 607 19 25</v>
      </c>
      <c r="J265">
        <f>IF(gescon_infosparticip!I264=FALSE,0,1)</f>
        <v>0</v>
      </c>
      <c r="K265">
        <f>IF(gescon_infosparticip!J264=FALSE,0,1)</f>
        <v>0</v>
      </c>
      <c r="L265">
        <f>IF(gescon_infosparticip!K264=FALSE,0,1)</f>
        <v>0</v>
      </c>
      <c r="M265">
        <f>IF(gescon_infosparticip!L264=FALSE,0,1)</f>
        <v>1</v>
      </c>
      <c r="N265">
        <f>IF(gescon_infosparticip!M264=FALSE,0,1)</f>
        <v>0</v>
      </c>
      <c r="O265">
        <f>IF(gescon_infosparticip!N264=FALSE,0,1)</f>
        <v>0</v>
      </c>
      <c r="P265">
        <f>IF(gescon_infosparticip!O264=FALSE,0,1)</f>
        <v>0</v>
      </c>
      <c r="Q265">
        <f>IF(gescon_infosparticip!P264=FALSE,0,1)</f>
        <v>1</v>
      </c>
      <c r="R265">
        <f>IF(gescon_infosparticip!Q264=FALSE,0,1)</f>
        <v>0</v>
      </c>
      <c r="S265" t="str">
        <f>gescon_infosparticip!R264</f>
        <v>Supporte les longs trajets en bus</v>
      </c>
      <c r="T265" t="str">
        <f>gescon_infosparticip!V264</f>
        <v>Aide complète pour l'habillement</v>
      </c>
      <c r="U265" t="str">
        <f>gescon_infosparticip!S264</f>
        <v>Yahor adore la piscine. Pour aller dans l'eau, il a une bouée pour soutenir sa nuque et des protections adaptées. Jamais sans surveillance.</v>
      </c>
      <c r="V265">
        <f>IF(gescon_infosparticip!U264=FALSE,0,1)</f>
        <v>0</v>
      </c>
      <c r="W265">
        <f>IF(gescon_infosparticip!T264=FALSE,0,1)</f>
        <v>0</v>
      </c>
      <c r="X265" t="str">
        <f>gescon_infosparticip!W264</f>
        <v>Se couche habituellement au alentour de 21h00 et préfère généralement être positionné sur le coté droit.</v>
      </c>
      <c r="Y265">
        <f>IF(gescon_infosparticip!X264=FALSE,0,1)</f>
        <v>0</v>
      </c>
      <c r="Z265">
        <f>IF(gescon_infosparticip!Y264=FALSE,0,1)</f>
        <v>0</v>
      </c>
      <c r="AA265">
        <f>IF(gescon_infosparticip!Z264=FALSE,0,1)</f>
        <v>0</v>
      </c>
      <c r="AB265">
        <f>IF(gescon_infosparticip!AA264=FALSE,0,1)</f>
        <v>1</v>
      </c>
      <c r="AC265" t="str">
        <f>gescon_infosparticip!AB264</f>
        <v>Yahor ne parle pas. Il sourit, rigole et suce son pouce lorsque tout va bien. Lorsqu'il se crispe et bouge beaucoup, il s'agit d'un signe que qqch ne va pas (fatigue)</v>
      </c>
      <c r="AD265" t="str">
        <f>gescon_infosparticip!AC264</f>
        <v>Yahor vit avec ses parent et va à l'école de la Bruyère à Sion. Toutes sa famille habite en Biélorussie. Il communique avec eux par skype.</v>
      </c>
      <c r="AE265" t="str">
        <f>gescon_infosparticip!AD264</f>
        <v>Yahor est fils unique</v>
      </c>
      <c r="AF265" t="str">
        <f>gescon_infosparticip!AE264</f>
        <v/>
      </c>
      <c r="AG265" t="str">
        <f>gescon_infosparticip!AF264</f>
        <v>Il aime lorsqu'on s'occupe de lui, qu'on lui donne ses jouets. Il aime aussi écouter la musique, les dessins animés. C'est un garçon très sociable qui aime écouter les discussions autour de lui.</v>
      </c>
      <c r="AH265" t="str">
        <f>gescon_infosparticip!AG264</f>
        <v>Il n'aime pas ne rien faire. Il s'enèrve lorsqu'il n'a pas assez dormi ou à mal quelque part.</v>
      </c>
      <c r="AI265" t="str">
        <f>gescon_infosparticip!BN264</f>
        <v>Yahor fait habituellement une sieste les repas</v>
      </c>
      <c r="AJ265" t="str">
        <f>gescon_infosparticip!BO264</f>
        <v/>
      </c>
    </row>
    <row r="266" spans="2:36" x14ac:dyDescent="0.25">
      <c r="B266">
        <f>gescon_infosparticip!A265</f>
        <v>2146189529</v>
      </c>
      <c r="C266">
        <f>gescon_infosparticip!B265</f>
        <v>42590</v>
      </c>
      <c r="D266">
        <f>gescon_infosparticip!C265</f>
        <v>1241531093</v>
      </c>
      <c r="E266">
        <f>gescon_infosparticip!D265</f>
        <v>0</v>
      </c>
      <c r="F266">
        <f>gescon_infosparticip!E265</f>
        <v>0</v>
      </c>
      <c r="G266">
        <f>gescon_infosparticip!F265</f>
        <v>0</v>
      </c>
      <c r="H266">
        <f>gescon_infosparticip!G265</f>
        <v>2146189445</v>
      </c>
      <c r="I266" t="str">
        <f>gescon_infosparticip!H265</f>
        <v/>
      </c>
      <c r="J266">
        <f>IF(gescon_infosparticip!I265=FALSE,0,1)</f>
        <v>0</v>
      </c>
      <c r="K266">
        <f>IF(gescon_infosparticip!J265=FALSE,0,1)</f>
        <v>0</v>
      </c>
      <c r="L266">
        <f>IF(gescon_infosparticip!K265=FALSE,0,1)</f>
        <v>0</v>
      </c>
      <c r="M266">
        <f>IF(gescon_infosparticip!L265=FALSE,0,1)</f>
        <v>1</v>
      </c>
      <c r="N266">
        <f>IF(gescon_infosparticip!M265=FALSE,0,1)</f>
        <v>0</v>
      </c>
      <c r="O266">
        <f>IF(gescon_infosparticip!N265=FALSE,0,1)</f>
        <v>0</v>
      </c>
      <c r="P266">
        <f>IF(gescon_infosparticip!O265=FALSE,0,1)</f>
        <v>0</v>
      </c>
      <c r="Q266">
        <f>IF(gescon_infosparticip!P265=FALSE,0,1)</f>
        <v>1</v>
      </c>
      <c r="R266">
        <f>IF(gescon_infosparticip!Q265=FALSE,0,1)</f>
        <v>0</v>
      </c>
      <c r="S266" t="str">
        <f>gescon_infosparticip!R265</f>
        <v>Elle supporte les longs trajets en bus.</v>
      </c>
      <c r="T266" t="str">
        <f>gescon_infosparticip!V265</f>
        <v>Elle a besoin d'une aide totale pour l'habillement.</v>
      </c>
      <c r="U266" t="str">
        <f>gescon_infosparticip!S265</f>
        <v>Elle apprécie beaucoup l'eau</v>
      </c>
      <c r="V266">
        <f>IF(gescon_infosparticip!U265=FALSE,0,1)</f>
        <v>1</v>
      </c>
      <c r="W266">
        <f>IF(gescon_infosparticip!T265=FALSE,0,1)</f>
        <v>1</v>
      </c>
      <c r="X266" t="str">
        <f>gescon_infosparticip!W265</f>
        <v>Elle dort de côté</v>
      </c>
      <c r="Y266">
        <f>IF(gescon_infosparticip!X265=FALSE,0,1)</f>
        <v>0</v>
      </c>
      <c r="Z266">
        <f>IF(gescon_infosparticip!Y265=FALSE,0,1)</f>
        <v>0</v>
      </c>
      <c r="AA266">
        <f>IF(gescon_infosparticip!Z265=FALSE,0,1)</f>
        <v>0</v>
      </c>
      <c r="AB266">
        <f>IF(gescon_infosparticip!AA265=FALSE,0,1)</f>
        <v>0</v>
      </c>
      <c r="AC266" t="str">
        <f>gescon_infosparticip!AB265</f>
        <v>Léanne n'a pas d'expression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v>
      </c>
      <c r="AD266" t="str">
        <f>gescon_infosparticip!AC265</f>
        <v/>
      </c>
      <c r="AE266" t="str">
        <f>gescon_infosparticip!AD265</f>
        <v/>
      </c>
      <c r="AF266" t="str">
        <f>gescon_infosparticip!AE265</f>
        <v/>
      </c>
      <c r="AG266" t="str">
        <f>gescon_infosparticip!AF265</f>
        <v>Activités en plein air, écouter la musique, les câlins, des histoires</v>
      </c>
      <c r="AH266" t="str">
        <f>gescon_infosparticip!AG265</f>
        <v/>
      </c>
      <c r="AI266" t="str">
        <f>gescon_infosparticip!BN265</f>
        <v>Oui</v>
      </c>
      <c r="AJ266" t="str">
        <f>gescon_infosparticip!BO265</f>
        <v/>
      </c>
    </row>
    <row r="267" spans="2:36" x14ac:dyDescent="0.25">
      <c r="B267">
        <f>gescon_infosparticip!A266</f>
        <v>2146189539</v>
      </c>
      <c r="C267">
        <f>gescon_infosparticip!B266</f>
        <v>42843</v>
      </c>
      <c r="D267">
        <f>gescon_infosparticip!C266</f>
        <v>2146189538</v>
      </c>
      <c r="E267">
        <f>gescon_infosparticip!D266</f>
        <v>0</v>
      </c>
      <c r="F267">
        <f>gescon_infosparticip!E266</f>
        <v>0</v>
      </c>
      <c r="G267">
        <f>gescon_infosparticip!F266</f>
        <v>0</v>
      </c>
      <c r="H267">
        <f>gescon_infosparticip!G266</f>
        <v>2146189544</v>
      </c>
      <c r="I267" t="str">
        <f>gescon_infosparticip!H266</f>
        <v/>
      </c>
      <c r="J267">
        <f>IF(gescon_infosparticip!I266=FALSE,0,1)</f>
        <v>0</v>
      </c>
      <c r="K267">
        <f>IF(gescon_infosparticip!J266=FALSE,0,1)</f>
        <v>0</v>
      </c>
      <c r="L267">
        <f>IF(gescon_infosparticip!K266=FALSE,0,1)</f>
        <v>0</v>
      </c>
      <c r="M267">
        <f>IF(gescon_infosparticip!L266=FALSE,0,1)</f>
        <v>1</v>
      </c>
      <c r="N267">
        <f>IF(gescon_infosparticip!M266=FALSE,0,1)</f>
        <v>1</v>
      </c>
      <c r="O267">
        <f>IF(gescon_infosparticip!N266=FALSE,0,1)</f>
        <v>0</v>
      </c>
      <c r="P267">
        <f>IF(gescon_infosparticip!O266=FALSE,0,1)</f>
        <v>0</v>
      </c>
      <c r="Q267">
        <f>IF(gescon_infosparticip!P266=FALSE,0,1)</f>
        <v>0</v>
      </c>
      <c r="R267">
        <f>IF(gescon_infosparticip!Q266=FALSE,0,1)</f>
        <v>0</v>
      </c>
      <c r="S267" t="str">
        <f>gescon_infosparticip!R266</f>
        <v>Il supporte bien les long trajets en bus.</v>
      </c>
      <c r="T267" t="str">
        <f>gescon_infosparticip!V266</f>
        <v>Luca se débrouille assez bien mais il faut contrôler s'il a mis comme il faut les pantalons.</v>
      </c>
      <c r="U267" t="str">
        <f>gescon_infosparticip!S266</f>
        <v>Il fait la la piscine avec sporthandicap</v>
      </c>
      <c r="V267">
        <f>IF(gescon_infosparticip!U266=FALSE,0,1)</f>
        <v>1</v>
      </c>
      <c r="W267">
        <f>IF(gescon_infosparticip!T266=FALSE,0,1)</f>
        <v>0</v>
      </c>
      <c r="X267" t="str">
        <f>gescon_infosparticip!W266</f>
        <v>En général il dort assez bien.</v>
      </c>
      <c r="Y267">
        <f>IF(gescon_infosparticip!X266=FALSE,0,1)</f>
        <v>0</v>
      </c>
      <c r="Z267">
        <f>IF(gescon_infosparticip!Y266=FALSE,0,1)</f>
        <v>0</v>
      </c>
      <c r="AA267">
        <f>IF(gescon_infosparticip!Z266=FALSE,0,1)</f>
        <v>0</v>
      </c>
      <c r="AB267">
        <f>IF(gescon_infosparticip!AA266=FALSE,0,1)</f>
        <v>0</v>
      </c>
      <c r="AC267" t="str">
        <f>gescon_infosparticip!AB266</f>
        <v>Verbale.
Luca est en très bonne santé. Il a fait beaucoup de pregrès dans l'autonimie. Il est très facile à vivre.</v>
      </c>
      <c r="AD267" t="str">
        <f>gescon_infosparticip!AC266</f>
        <v/>
      </c>
      <c r="AE267" t="str">
        <f>gescon_infosparticip!AD266</f>
        <v/>
      </c>
      <c r="AF267" t="str">
        <f>gescon_infosparticip!AE266</f>
        <v/>
      </c>
      <c r="AG267" t="str">
        <f>gescon_infosparticip!AF266</f>
        <v>Il amie la marche, la gym, la nage, la musique, le théâtre, l'histoire, etc.</v>
      </c>
      <c r="AH267" t="str">
        <f>gescon_infosparticip!AG266</f>
        <v>La course à pied, le vélo.</v>
      </c>
      <c r="AI267" t="str">
        <f>gescon_infosparticip!BN266</f>
        <v>Oui</v>
      </c>
      <c r="AJ267" t="str">
        <f>gescon_infosparticip!BO266</f>
        <v/>
      </c>
    </row>
    <row r="268" spans="2:36" x14ac:dyDescent="0.25">
      <c r="B268">
        <f>gescon_infosparticip!A267</f>
        <v>2146189541</v>
      </c>
      <c r="C268">
        <f>gescon_infosparticip!B267</f>
        <v>43041</v>
      </c>
      <c r="D268">
        <f>gescon_infosparticip!C267</f>
        <v>0</v>
      </c>
      <c r="E268">
        <f>gescon_infosparticip!D267</f>
        <v>0</v>
      </c>
      <c r="F268">
        <f>gescon_infosparticip!E267</f>
        <v>2146189542</v>
      </c>
      <c r="G268">
        <f>gescon_infosparticip!F267</f>
        <v>1434</v>
      </c>
      <c r="H268">
        <f>gescon_infosparticip!G267</f>
        <v>2146189542</v>
      </c>
      <c r="I268" t="str">
        <f>gescon_infosparticip!H267</f>
        <v>Foyer Valais de Cœur 027 451 21 82</v>
      </c>
      <c r="J268">
        <f>IF(gescon_infosparticip!I267=FALSE,0,1)</f>
        <v>0</v>
      </c>
      <c r="K268">
        <f>IF(gescon_infosparticip!J267=FALSE,0,1)</f>
        <v>0</v>
      </c>
      <c r="L268">
        <f>IF(gescon_infosparticip!K267=FALSE,0,1)</f>
        <v>1</v>
      </c>
      <c r="M268">
        <f>IF(gescon_infosparticip!L267=FALSE,0,1)</f>
        <v>0</v>
      </c>
      <c r="N268">
        <f>IF(gescon_infosparticip!M267=FALSE,0,1)</f>
        <v>0</v>
      </c>
      <c r="O268">
        <f>IF(gescon_infosparticip!N267=FALSE,0,1)</f>
        <v>0</v>
      </c>
      <c r="P268">
        <f>IF(gescon_infosparticip!O267=FALSE,0,1)</f>
        <v>0</v>
      </c>
      <c r="Q268">
        <f>IF(gescon_infosparticip!P267=FALSE,0,1)</f>
        <v>1</v>
      </c>
      <c r="R268">
        <f>IF(gescon_infosparticip!Q267=FALSE,0,1)</f>
        <v>1</v>
      </c>
      <c r="S268" t="str">
        <f>gescon_infosparticip!R267</f>
        <v/>
      </c>
      <c r="T268" t="str">
        <f>gescon_infosparticip!V267</f>
        <v>Il a besoin d'une aide complète</v>
      </c>
      <c r="U268" t="str">
        <f>gescon_infosparticip!S267</f>
        <v>Il adore la piscine. Cependant, les moments des vestiaires et de la mise à l'eau sont un grand stress pour lui. Il risque donc de crier. Il faut le rassurer, lui parler calmement et lui expliquer les choses.</v>
      </c>
      <c r="V268">
        <f>IF(gescon_infosparticip!U267=FALSE,0,1)</f>
        <v>0</v>
      </c>
      <c r="W268">
        <f>IF(gescon_infosparticip!T267=FALSE,0,1)</f>
        <v>0</v>
      </c>
      <c r="X268" t="str">
        <f>gescon_infosparticip!W267</f>
        <v>Très variable. Dort sur le dos et mettre des chaussettes anti-escarre.</v>
      </c>
      <c r="Y268">
        <f>IF(gescon_infosparticip!X267=FALSE,0,1)</f>
        <v>0</v>
      </c>
      <c r="Z268">
        <f>IF(gescon_infosparticip!Y267=FALSE,0,1)</f>
        <v>0</v>
      </c>
      <c r="AA268">
        <f>IF(gescon_infosparticip!Z267=FALSE,0,1)</f>
        <v>0</v>
      </c>
      <c r="AB268">
        <f>IF(gescon_infosparticip!AA267=FALSE,0,1)</f>
        <v>1</v>
      </c>
      <c r="AC268" t="str">
        <f>gescon_infosparticip!AB267</f>
        <v>Francis ne parle pas beaucoup. Il faut le questionner, mais parfois il ne répond pas.
Lorsqu'il ne se sent pas bien (s'il est dérangé ou qu'il a peur) il crie. Mais il ressent également le stress et la peur chez les personnes qu'il côtoient. Francis est également très taquin. Il lui arrive de crier parce  qu'il ressent notre malaise.</v>
      </c>
      <c r="AD268" t="str">
        <f>gescon_infosparticip!AC267</f>
        <v>Sabine, son ex-femme s'occupe beaucoup de Francis. Son frère Serge est également très présent dans sa vie. Francis a beaucoup voyagé dans sa jeunesse. Son handicap est du à un accident de moto.</v>
      </c>
      <c r="AE268" t="str">
        <f>gescon_infosparticip!AD267</f>
        <v>il a un frère qui s'appelle Serge et un autre qui s'appelle Philippe.</v>
      </c>
      <c r="AF268" t="str">
        <f>gescon_infosparticip!AE267</f>
        <v/>
      </c>
      <c r="AG268" t="str">
        <f>gescon_infosparticip!AF267</f>
        <v>Francis est un grand connaisseur d'art, de littérature et de musique classique. Il a notamment étudié l'histoire de l'art à l'université de Genève puis à Lausanne. (il aime donc bien la lecture, écouter de la musique, regarder des opéra)</v>
      </c>
      <c r="AH268" t="str">
        <f>gescon_infosparticip!AG267</f>
        <v>Francis n'aime pas l'agitation. Il faut donc être très doux avec lui et ne pas le brusquer sinon il crie. S'il crie, le laisser tranquille au calme et s'arrête vite. Pas de disco ou musique trop forte !</v>
      </c>
      <c r="AI268" t="str">
        <f>gescon_infosparticip!BN267</f>
        <v>Transfert avec l'élévateur</v>
      </c>
      <c r="AJ268" t="str">
        <f>gescon_infosparticip!BO267</f>
        <v/>
      </c>
    </row>
    <row r="269" spans="2:36" x14ac:dyDescent="0.25">
      <c r="B269">
        <f>gescon_infosparticip!A268</f>
        <v>2146189543</v>
      </c>
      <c r="C269">
        <f>gescon_infosparticip!B268</f>
        <v>42503</v>
      </c>
      <c r="D269">
        <f>gescon_infosparticip!C268</f>
        <v>0</v>
      </c>
      <c r="E269">
        <f>gescon_infosparticip!D268</f>
        <v>0</v>
      </c>
      <c r="F269">
        <f>gescon_infosparticip!E268</f>
        <v>0</v>
      </c>
      <c r="G269">
        <f>gescon_infosparticip!F268</f>
        <v>0</v>
      </c>
      <c r="H269">
        <f>gescon_infosparticip!G268</f>
        <v>0</v>
      </c>
      <c r="I269" t="str">
        <f>gescon_infosparticip!H268</f>
        <v/>
      </c>
      <c r="J269">
        <f>IF(gescon_infosparticip!I268=FALSE,0,1)</f>
        <v>0</v>
      </c>
      <c r="K269">
        <f>IF(gescon_infosparticip!J268=FALSE,0,1)</f>
        <v>0</v>
      </c>
      <c r="L269">
        <f>IF(gescon_infosparticip!K268=FALSE,0,1)</f>
        <v>0</v>
      </c>
      <c r="M269">
        <f>IF(gescon_infosparticip!L268=FALSE,0,1)</f>
        <v>0</v>
      </c>
      <c r="N269">
        <f>IF(gescon_infosparticip!M268=FALSE,0,1)</f>
        <v>0</v>
      </c>
      <c r="O269">
        <f>IF(gescon_infosparticip!N268=FALSE,0,1)</f>
        <v>0</v>
      </c>
      <c r="P269">
        <f>IF(gescon_infosparticip!O268=FALSE,0,1)</f>
        <v>0</v>
      </c>
      <c r="Q269">
        <f>IF(gescon_infosparticip!P268=FALSE,0,1)</f>
        <v>0</v>
      </c>
      <c r="R269">
        <f>IF(gescon_infosparticip!Q268=FALSE,0,1)</f>
        <v>0</v>
      </c>
      <c r="S269" t="str">
        <f>gescon_infosparticip!R268</f>
        <v/>
      </c>
      <c r="T269" t="str">
        <f>gescon_infosparticip!V268</f>
        <v/>
      </c>
      <c r="U269" t="str">
        <f>gescon_infosparticip!S268</f>
        <v/>
      </c>
      <c r="V269">
        <f>IF(gescon_infosparticip!U268=FALSE,0,1)</f>
        <v>0</v>
      </c>
      <c r="W269">
        <f>IF(gescon_infosparticip!T268=FALSE,0,1)</f>
        <v>0</v>
      </c>
      <c r="X269" t="str">
        <f>gescon_infosparticip!W268</f>
        <v/>
      </c>
      <c r="Y269">
        <f>IF(gescon_infosparticip!X268=FALSE,0,1)</f>
        <v>0</v>
      </c>
      <c r="Z269">
        <f>IF(gescon_infosparticip!Y268=FALSE,0,1)</f>
        <v>0</v>
      </c>
      <c r="AA269">
        <f>IF(gescon_infosparticip!Z268=FALSE,0,1)</f>
        <v>0</v>
      </c>
      <c r="AB269">
        <f>IF(gescon_infosparticip!AA268=FALSE,0,1)</f>
        <v>0</v>
      </c>
      <c r="AC269" t="str">
        <f>gescon_infosparticip!AB268</f>
        <v/>
      </c>
      <c r="AD269" t="str">
        <f>gescon_infosparticip!AC268</f>
        <v/>
      </c>
      <c r="AE269" t="str">
        <f>gescon_infosparticip!AD268</f>
        <v/>
      </c>
      <c r="AF269" t="str">
        <f>gescon_infosparticip!AE268</f>
        <v/>
      </c>
      <c r="AG269" t="str">
        <f>gescon_infosparticip!AF268</f>
        <v/>
      </c>
      <c r="AH269" t="str">
        <f>gescon_infosparticip!AG268</f>
        <v/>
      </c>
      <c r="AI269" t="str">
        <f>gescon_infosparticip!BN268</f>
        <v/>
      </c>
      <c r="AJ269" t="str">
        <f>gescon_infosparticip!BO268</f>
        <v/>
      </c>
    </row>
    <row r="270" spans="2:36" x14ac:dyDescent="0.25">
      <c r="B270">
        <f>gescon_infosparticip!A269</f>
        <v>2146189547</v>
      </c>
      <c r="C270">
        <f>gescon_infosparticip!B269</f>
        <v>42801</v>
      </c>
      <c r="D270">
        <f>gescon_infosparticip!C269</f>
        <v>2146189166</v>
      </c>
      <c r="E270">
        <f>gescon_infosparticip!D269</f>
        <v>2146189528</v>
      </c>
      <c r="F270">
        <f>gescon_infosparticip!E269</f>
        <v>0</v>
      </c>
      <c r="G270">
        <f>gescon_infosparticip!F269</f>
        <v>0</v>
      </c>
      <c r="H270">
        <f>gescon_infosparticip!G269</f>
        <v>2146189528</v>
      </c>
      <c r="I270" t="str">
        <f>gescon_infosparticip!H269</f>
        <v>Lucie de Preux, SSM Emera</v>
      </c>
      <c r="J270">
        <f>IF(gescon_infosparticip!I269=FALSE,0,1)</f>
        <v>0</v>
      </c>
      <c r="K270">
        <f>IF(gescon_infosparticip!J269=FALSE,0,1)</f>
        <v>0</v>
      </c>
      <c r="L270">
        <f>IF(gescon_infosparticip!K269=FALSE,0,1)</f>
        <v>0</v>
      </c>
      <c r="M270">
        <f>IF(gescon_infosparticip!L269=FALSE,0,1)</f>
        <v>1</v>
      </c>
      <c r="N270">
        <f>IF(gescon_infosparticip!M269=FALSE,0,1)</f>
        <v>1</v>
      </c>
      <c r="O270">
        <f>IF(gescon_infosparticip!N269=FALSE,0,1)</f>
        <v>0</v>
      </c>
      <c r="P270">
        <f>IF(gescon_infosparticip!O269=FALSE,0,1)</f>
        <v>0</v>
      </c>
      <c r="Q270">
        <f>IF(gescon_infosparticip!P269=FALSE,0,1)</f>
        <v>0</v>
      </c>
      <c r="R270">
        <f>IF(gescon_infosparticip!Q269=FALSE,0,1)</f>
        <v>0</v>
      </c>
      <c r="S270" t="str">
        <f>gescon_infosparticip!R269</f>
        <v>Le motiver à marcher. Toujours accompagné sinon ne sort pas.</v>
      </c>
      <c r="T270" t="str">
        <f>gescon_infosparticip!V269</f>
        <v>Apprécie d'être bien habillé, sa maman prépare les habits du matin. Aide pour aller travailler pour gagner du temps.</v>
      </c>
      <c r="U270" t="str">
        <f>gescon_infosparticip!S269</f>
        <v>Il nage mais à sa façon</v>
      </c>
      <c r="V270">
        <f>IF(gescon_infosparticip!U269=FALSE,0,1)</f>
        <v>0</v>
      </c>
      <c r="W270">
        <f>IF(gescon_infosparticip!T269=FALSE,0,1)</f>
        <v>0</v>
      </c>
      <c r="X270" t="str">
        <f>gescon_infosparticip!W269</f>
        <v>Il dort avec une petite lampe allumé</v>
      </c>
      <c r="Y270">
        <f>IF(gescon_infosparticip!X269=FALSE,0,1)</f>
        <v>0</v>
      </c>
      <c r="Z270">
        <f>IF(gescon_infosparticip!Y269=FALSE,0,1)</f>
        <v>0</v>
      </c>
      <c r="AA270">
        <f>IF(gescon_infosparticip!Z269=FALSE,0,1)</f>
        <v>0</v>
      </c>
      <c r="AB270">
        <f>IF(gescon_infosparticip!AA269=FALSE,0,1)</f>
        <v>0</v>
      </c>
      <c r="AC270" t="str">
        <f>gescon_infosparticip!AB269</f>
        <v>Il parle mais ne s'exprime pas; il faut parfoit lui reposer la question ou expliquer d'une autre façon.</v>
      </c>
      <c r="AD270" t="str">
        <f>gescon_infosparticip!AC269</f>
        <v>Ses parents</v>
      </c>
      <c r="AE270" t="str">
        <f>gescon_infosparticip!AD269</f>
        <v>Pas de frère, ni de sœur</v>
      </c>
      <c r="AF270" t="str">
        <f>gescon_infosparticip!AE269</f>
        <v/>
      </c>
      <c r="AG270" t="str">
        <f>gescon_infosparticip!AF269</f>
        <v>TV, jeux vidéos, ordinateur, musique. Avant il faisait du fitness.</v>
      </c>
      <c r="AH270" t="str">
        <f>gescon_infosparticip!AG269</f>
        <v>le motiver, le stimuler, l'encourager</v>
      </c>
      <c r="AI270" t="str">
        <f>gescon_infosparticip!BN269</f>
        <v/>
      </c>
      <c r="AJ270" t="str">
        <f>gescon_infosparticip!BO269</f>
        <v/>
      </c>
    </row>
    <row r="271" spans="2:36" x14ac:dyDescent="0.25">
      <c r="B271">
        <f>gescon_infosparticip!A270</f>
        <v>2146189550</v>
      </c>
      <c r="C271">
        <f>gescon_infosparticip!B270</f>
        <v>42408</v>
      </c>
      <c r="D271">
        <f>gescon_infosparticip!C270</f>
        <v>0</v>
      </c>
      <c r="E271">
        <f>gescon_infosparticip!D270</f>
        <v>0</v>
      </c>
      <c r="F271">
        <f>gescon_infosparticip!E270</f>
        <v>0</v>
      </c>
      <c r="G271">
        <f>gescon_infosparticip!F270</f>
        <v>0</v>
      </c>
      <c r="H271">
        <f>gescon_infosparticip!G270</f>
        <v>0</v>
      </c>
      <c r="I271" t="str">
        <f>gescon_infosparticip!H270</f>
        <v/>
      </c>
      <c r="J271">
        <f>IF(gescon_infosparticip!I270=FALSE,0,1)</f>
        <v>0</v>
      </c>
      <c r="K271">
        <f>IF(gescon_infosparticip!J270=FALSE,0,1)</f>
        <v>0</v>
      </c>
      <c r="L271">
        <f>IF(gescon_infosparticip!K270=FALSE,0,1)</f>
        <v>0</v>
      </c>
      <c r="M271">
        <f>IF(gescon_infosparticip!L270=FALSE,0,1)</f>
        <v>0</v>
      </c>
      <c r="N271">
        <f>IF(gescon_infosparticip!M270=FALSE,0,1)</f>
        <v>1</v>
      </c>
      <c r="O271">
        <f>IF(gescon_infosparticip!N270=FALSE,0,1)</f>
        <v>0</v>
      </c>
      <c r="P271">
        <f>IF(gescon_infosparticip!O270=FALSE,0,1)</f>
        <v>0</v>
      </c>
      <c r="Q271">
        <f>IF(gescon_infosparticip!P270=FALSE,0,1)</f>
        <v>0</v>
      </c>
      <c r="R271">
        <f>IF(gescon_infosparticip!Q270=FALSE,0,1)</f>
        <v>0</v>
      </c>
      <c r="S271" t="str">
        <f>gescon_infosparticip!R270</f>
        <v/>
      </c>
      <c r="T271" t="str">
        <f>gescon_infosparticip!V270</f>
        <v/>
      </c>
      <c r="U271" t="str">
        <f>gescon_infosparticip!S270</f>
        <v/>
      </c>
      <c r="V271">
        <f>IF(gescon_infosparticip!U270=FALSE,0,1)</f>
        <v>0</v>
      </c>
      <c r="W271">
        <f>IF(gescon_infosparticip!T270=FALSE,0,1)</f>
        <v>0</v>
      </c>
      <c r="X271" t="str">
        <f>gescon_infosparticip!W270</f>
        <v/>
      </c>
      <c r="Y271">
        <f>IF(gescon_infosparticip!X270=FALSE,0,1)</f>
        <v>0</v>
      </c>
      <c r="Z271">
        <f>IF(gescon_infosparticip!Y270=FALSE,0,1)</f>
        <v>0</v>
      </c>
      <c r="AA271">
        <f>IF(gescon_infosparticip!Z270=FALSE,0,1)</f>
        <v>0</v>
      </c>
      <c r="AB271">
        <f>IF(gescon_infosparticip!AA270=FALSE,0,1)</f>
        <v>1</v>
      </c>
      <c r="AC271" t="str">
        <f>gescon_infosparticip!AB270</f>
        <v>Elle est de langue maternelle allemande. Elle parle et compred le français.</v>
      </c>
      <c r="AD271" t="str">
        <f>gescon_infosparticip!AC270</f>
        <v>Elle a un fils de 26 ans (Julien)</v>
      </c>
      <c r="AE271" t="str">
        <f>gescon_infosparticip!AD270</f>
        <v/>
      </c>
      <c r="AF271" t="str">
        <f>gescon_infosparticip!AE270</f>
        <v/>
      </c>
      <c r="AG271" t="str">
        <f>gescon_infosparticip!AF270</f>
        <v/>
      </c>
      <c r="AH271" t="str">
        <f>gescon_infosparticip!AG270</f>
        <v/>
      </c>
      <c r="AI271" t="str">
        <f>gescon_infosparticip!BN270</f>
        <v>Non</v>
      </c>
      <c r="AJ271" t="str">
        <f>gescon_infosparticip!BO270</f>
        <v/>
      </c>
    </row>
    <row r="272" spans="2:36" x14ac:dyDescent="0.25">
      <c r="B272">
        <f>gescon_infosparticip!A271</f>
        <v>2146189552</v>
      </c>
      <c r="C272">
        <f>gescon_infosparticip!B271</f>
        <v>41969</v>
      </c>
      <c r="D272">
        <f>gescon_infosparticip!C271</f>
        <v>0</v>
      </c>
      <c r="E272">
        <f>gescon_infosparticip!D271</f>
        <v>0</v>
      </c>
      <c r="F272">
        <f>gescon_infosparticip!E271</f>
        <v>0</v>
      </c>
      <c r="G272">
        <f>gescon_infosparticip!F271</f>
        <v>2542</v>
      </c>
      <c r="H272">
        <f>gescon_infosparticip!G271</f>
        <v>0</v>
      </c>
      <c r="I272" t="str">
        <f>gescon_infosparticip!H271</f>
        <v>Nicolas Rossier</v>
      </c>
      <c r="J272">
        <f>IF(gescon_infosparticip!I271=FALSE,0,1)</f>
        <v>0</v>
      </c>
      <c r="K272">
        <f>IF(gescon_infosparticip!J271=FALSE,0,1)</f>
        <v>0</v>
      </c>
      <c r="L272">
        <f>IF(gescon_infosparticip!K271=FALSE,0,1)</f>
        <v>0</v>
      </c>
      <c r="M272">
        <f>IF(gescon_infosparticip!L271=FALSE,0,1)</f>
        <v>0</v>
      </c>
      <c r="N272">
        <f>IF(gescon_infosparticip!M271=FALSE,0,1)</f>
        <v>0</v>
      </c>
      <c r="O272">
        <f>IF(gescon_infosparticip!N271=FALSE,0,1)</f>
        <v>0</v>
      </c>
      <c r="P272">
        <f>IF(gescon_infosparticip!O271=FALSE,0,1)</f>
        <v>0</v>
      </c>
      <c r="Q272">
        <f>IF(gescon_infosparticip!P271=FALSE,0,1)</f>
        <v>0</v>
      </c>
      <c r="R272">
        <f>IF(gescon_infosparticip!Q271=FALSE,0,1)</f>
        <v>1</v>
      </c>
      <c r="S272" t="str">
        <f>gescon_infosparticip!R271</f>
        <v/>
      </c>
      <c r="T272" t="str">
        <f>gescon_infosparticip!V271</f>
        <v>Avec l'aide</v>
      </c>
      <c r="U272" t="str">
        <f>gescon_infosparticip!S271</f>
        <v/>
      </c>
      <c r="V272">
        <f>IF(gescon_infosparticip!U271=FALSE,0,1)</f>
        <v>1</v>
      </c>
      <c r="W272">
        <f>IF(gescon_infosparticip!T271=FALSE,0,1)</f>
        <v>0</v>
      </c>
      <c r="X272" t="str">
        <f>gescon_infosparticip!W271</f>
        <v/>
      </c>
      <c r="Y272">
        <f>IF(gescon_infosparticip!X271=FALSE,0,1)</f>
        <v>0</v>
      </c>
      <c r="Z272">
        <f>IF(gescon_infosparticip!Y271=FALSE,0,1)</f>
        <v>0</v>
      </c>
      <c r="AA272">
        <f>IF(gescon_infosparticip!Z271=FALSE,0,1)</f>
        <v>0</v>
      </c>
      <c r="AB272">
        <f>IF(gescon_infosparticip!AA271=FALSE,0,1)</f>
        <v>0</v>
      </c>
      <c r="AC272" t="str">
        <f>gescon_infosparticip!AB271</f>
        <v/>
      </c>
      <c r="AD272" t="str">
        <f>gescon_infosparticip!AC271</f>
        <v/>
      </c>
      <c r="AE272" t="str">
        <f>gescon_infosparticip!AD271</f>
        <v/>
      </c>
      <c r="AF272" t="str">
        <f>gescon_infosparticip!AE271</f>
        <v/>
      </c>
      <c r="AG272" t="str">
        <f>gescon_infosparticip!AF271</f>
        <v/>
      </c>
      <c r="AH272" t="str">
        <f>gescon_infosparticip!AG271</f>
        <v/>
      </c>
      <c r="AI272" t="str">
        <f>gescon_infosparticip!BN271</f>
        <v>non</v>
      </c>
      <c r="AJ272" t="str">
        <f>gescon_infosparticip!BO271</f>
        <v/>
      </c>
    </row>
    <row r="273" spans="2:36" x14ac:dyDescent="0.25">
      <c r="B273">
        <f>gescon_infosparticip!A272</f>
        <v>2146189556</v>
      </c>
      <c r="C273">
        <f>gescon_infosparticip!B272</f>
        <v>42647</v>
      </c>
      <c r="D273">
        <f>gescon_infosparticip!C272</f>
        <v>0</v>
      </c>
      <c r="E273">
        <f>gescon_infosparticip!D272</f>
        <v>0</v>
      </c>
      <c r="F273">
        <f>gescon_infosparticip!E272</f>
        <v>0</v>
      </c>
      <c r="G273">
        <f>gescon_infosparticip!F272</f>
        <v>0</v>
      </c>
      <c r="H273">
        <f>gescon_infosparticip!G272</f>
        <v>0</v>
      </c>
      <c r="I273" t="str">
        <f>gescon_infosparticip!H272</f>
        <v/>
      </c>
      <c r="J273">
        <f>IF(gescon_infosparticip!I272=FALSE,0,1)</f>
        <v>0</v>
      </c>
      <c r="K273">
        <f>IF(gescon_infosparticip!J272=FALSE,0,1)</f>
        <v>0</v>
      </c>
      <c r="L273">
        <f>IF(gescon_infosparticip!K272=FALSE,0,1)</f>
        <v>0</v>
      </c>
      <c r="M273">
        <f>IF(gescon_infosparticip!L272=FALSE,0,1)</f>
        <v>0</v>
      </c>
      <c r="N273">
        <f>IF(gescon_infosparticip!M272=FALSE,0,1)</f>
        <v>0</v>
      </c>
      <c r="O273">
        <f>IF(gescon_infosparticip!N272=FALSE,0,1)</f>
        <v>0</v>
      </c>
      <c r="P273">
        <f>IF(gescon_infosparticip!O272=FALSE,0,1)</f>
        <v>0</v>
      </c>
      <c r="Q273">
        <f>IF(gescon_infosparticip!P272=FALSE,0,1)</f>
        <v>0</v>
      </c>
      <c r="R273">
        <f>IF(gescon_infosparticip!Q272=FALSE,0,1)</f>
        <v>0</v>
      </c>
      <c r="S273" t="str">
        <f>gescon_infosparticip!R272</f>
        <v/>
      </c>
      <c r="T273" t="str">
        <f>gescon_infosparticip!V272</f>
        <v/>
      </c>
      <c r="U273" t="str">
        <f>gescon_infosparticip!S272</f>
        <v/>
      </c>
      <c r="V273">
        <f>IF(gescon_infosparticip!U272=FALSE,0,1)</f>
        <v>0</v>
      </c>
      <c r="W273">
        <f>IF(gescon_infosparticip!T272=FALSE,0,1)</f>
        <v>0</v>
      </c>
      <c r="X273" t="str">
        <f>gescon_infosparticip!W272</f>
        <v/>
      </c>
      <c r="Y273">
        <f>IF(gescon_infosparticip!X272=FALSE,0,1)</f>
        <v>0</v>
      </c>
      <c r="Z273">
        <f>IF(gescon_infosparticip!Y272=FALSE,0,1)</f>
        <v>0</v>
      </c>
      <c r="AA273">
        <f>IF(gescon_infosparticip!Z272=FALSE,0,1)</f>
        <v>0</v>
      </c>
      <c r="AB273">
        <f>IF(gescon_infosparticip!AA272=FALSE,0,1)</f>
        <v>0</v>
      </c>
      <c r="AC273" t="str">
        <f>gescon_infosparticip!AB272</f>
        <v/>
      </c>
      <c r="AD273" t="str">
        <f>gescon_infosparticip!AC272</f>
        <v/>
      </c>
      <c r="AE273" t="str">
        <f>gescon_infosparticip!AD272</f>
        <v/>
      </c>
      <c r="AF273" t="str">
        <f>gescon_infosparticip!AE272</f>
        <v/>
      </c>
      <c r="AG273" t="str">
        <f>gescon_infosparticip!AF272</f>
        <v/>
      </c>
      <c r="AH273" t="str">
        <f>gescon_infosparticip!AG272</f>
        <v/>
      </c>
      <c r="AI273" t="str">
        <f>gescon_infosparticip!BN272</f>
        <v/>
      </c>
      <c r="AJ273" t="str">
        <f>gescon_infosparticip!BO272</f>
        <v/>
      </c>
    </row>
    <row r="274" spans="2:36" x14ac:dyDescent="0.25">
      <c r="B274">
        <f>gescon_infosparticip!A273</f>
        <v>2146189573</v>
      </c>
      <c r="C274">
        <f>gescon_infosparticip!B273</f>
        <v>42391</v>
      </c>
      <c r="D274">
        <f>gescon_infosparticip!C273</f>
        <v>0</v>
      </c>
      <c r="E274">
        <f>gescon_infosparticip!D273</f>
        <v>0</v>
      </c>
      <c r="F274">
        <f>gescon_infosparticip!E273</f>
        <v>0</v>
      </c>
      <c r="G274">
        <f>gescon_infosparticip!F273</f>
        <v>0</v>
      </c>
      <c r="H274">
        <f>gescon_infosparticip!G273</f>
        <v>0</v>
      </c>
      <c r="I274" t="str">
        <f>gescon_infosparticip!H273</f>
        <v/>
      </c>
      <c r="J274">
        <f>IF(gescon_infosparticip!I273=FALSE,0,1)</f>
        <v>0</v>
      </c>
      <c r="K274">
        <f>IF(gescon_infosparticip!J273=FALSE,0,1)</f>
        <v>0</v>
      </c>
      <c r="L274">
        <f>IF(gescon_infosparticip!K273=FALSE,0,1)</f>
        <v>0</v>
      </c>
      <c r="M274">
        <f>IF(gescon_infosparticip!L273=FALSE,0,1)</f>
        <v>0</v>
      </c>
      <c r="N274">
        <f>IF(gescon_infosparticip!M273=FALSE,0,1)</f>
        <v>0</v>
      </c>
      <c r="O274">
        <f>IF(gescon_infosparticip!N273=FALSE,0,1)</f>
        <v>0</v>
      </c>
      <c r="P274">
        <f>IF(gescon_infosparticip!O273=FALSE,0,1)</f>
        <v>0</v>
      </c>
      <c r="Q274">
        <f>IF(gescon_infosparticip!P273=FALSE,0,1)</f>
        <v>0</v>
      </c>
      <c r="R274">
        <f>IF(gescon_infosparticip!Q273=FALSE,0,1)</f>
        <v>0</v>
      </c>
      <c r="S274" t="str">
        <f>gescon_infosparticip!R273</f>
        <v/>
      </c>
      <c r="T274" t="str">
        <f>gescon_infosparticip!V273</f>
        <v/>
      </c>
      <c r="U274" t="str">
        <f>gescon_infosparticip!S273</f>
        <v/>
      </c>
      <c r="V274">
        <f>IF(gescon_infosparticip!U273=FALSE,0,1)</f>
        <v>0</v>
      </c>
      <c r="W274">
        <f>IF(gescon_infosparticip!T273=FALSE,0,1)</f>
        <v>0</v>
      </c>
      <c r="X274" t="str">
        <f>gescon_infosparticip!W273</f>
        <v/>
      </c>
      <c r="Y274">
        <f>IF(gescon_infosparticip!X273=FALSE,0,1)</f>
        <v>0</v>
      </c>
      <c r="Z274">
        <f>IF(gescon_infosparticip!Y273=FALSE,0,1)</f>
        <v>0</v>
      </c>
      <c r="AA274">
        <f>IF(gescon_infosparticip!Z273=FALSE,0,1)</f>
        <v>0</v>
      </c>
      <c r="AB274">
        <f>IF(gescon_infosparticip!AA273=FALSE,0,1)</f>
        <v>0</v>
      </c>
      <c r="AC274" t="str">
        <f>gescon_infosparticip!AB273</f>
        <v/>
      </c>
      <c r="AD274" t="str">
        <f>gescon_infosparticip!AC273</f>
        <v/>
      </c>
      <c r="AE274" t="str">
        <f>gescon_infosparticip!AD273</f>
        <v/>
      </c>
      <c r="AF274" t="str">
        <f>gescon_infosparticip!AE273</f>
        <v/>
      </c>
      <c r="AG274" t="str">
        <f>gescon_infosparticip!AF273</f>
        <v/>
      </c>
      <c r="AH274" t="str">
        <f>gescon_infosparticip!AG273</f>
        <v/>
      </c>
      <c r="AI274" t="str">
        <f>gescon_infosparticip!BN273</f>
        <v/>
      </c>
      <c r="AJ274" t="str">
        <f>gescon_infosparticip!BO273</f>
        <v/>
      </c>
    </row>
    <row r="275" spans="2:36" x14ac:dyDescent="0.25">
      <c r="B275">
        <f>gescon_infosparticip!A274</f>
        <v>2146189577</v>
      </c>
      <c r="C275">
        <f>gescon_infosparticip!B274</f>
        <v>42530</v>
      </c>
      <c r="D275">
        <f>gescon_infosparticip!C274</f>
        <v>2146189578</v>
      </c>
      <c r="E275">
        <f>gescon_infosparticip!D274</f>
        <v>2146189688</v>
      </c>
      <c r="F275">
        <f>gescon_infosparticip!E274</f>
        <v>0</v>
      </c>
      <c r="G275">
        <f>gescon_infosparticip!F274</f>
        <v>0</v>
      </c>
      <c r="H275">
        <f>gescon_infosparticip!G274</f>
        <v>0</v>
      </c>
      <c r="I275" t="str">
        <f>gescon_infosparticip!H274</f>
        <v>En cas d'urgence, appeler le papa ou la maman.</v>
      </c>
      <c r="J275">
        <f>IF(gescon_infosparticip!I274=FALSE,0,1)</f>
        <v>0</v>
      </c>
      <c r="K275">
        <f>IF(gescon_infosparticip!J274=FALSE,0,1)</f>
        <v>0</v>
      </c>
      <c r="L275">
        <f>IF(gescon_infosparticip!K274=FALSE,0,1)</f>
        <v>0</v>
      </c>
      <c r="M275">
        <f>IF(gescon_infosparticip!L274=FALSE,0,1)</f>
        <v>1</v>
      </c>
      <c r="N275">
        <f>IF(gescon_infosparticip!M274=FALSE,0,1)</f>
        <v>1</v>
      </c>
      <c r="O275">
        <f>IF(gescon_infosparticip!N274=FALSE,0,1)</f>
        <v>0</v>
      </c>
      <c r="P275">
        <f>IF(gescon_infosparticip!O274=FALSE,0,1)</f>
        <v>0</v>
      </c>
      <c r="Q275">
        <f>IF(gescon_infosparticip!P274=FALSE,0,1)</f>
        <v>0</v>
      </c>
      <c r="R275">
        <f>IF(gescon_infosparticip!Q274=FALSE,0,1)</f>
        <v>0</v>
      </c>
      <c r="S275" t="str">
        <f>gescon_infosparticip!R274</f>
        <v>N'aime pas trop les longues marches.</v>
      </c>
      <c r="T275" t="str">
        <f>gescon_infosparticip!V274</f>
        <v>Il faut lui choisir les habits.</v>
      </c>
      <c r="U275" t="str">
        <f>gescon_infosparticip!S274</f>
        <v>Adore la piscine. Elle porte des manchons.</v>
      </c>
      <c r="V275">
        <f>IF(gescon_infosparticip!U274=FALSE,0,1)</f>
        <v>1</v>
      </c>
      <c r="W275">
        <f>IF(gescon_infosparticip!T274=FALSE,0,1)</f>
        <v>1</v>
      </c>
      <c r="X275" t="str">
        <f>gescon_infosparticip!W274</f>
        <v>Elle a pour habitude d'avoir ses doudous et une bouteille d'eau pour aller au lit.</v>
      </c>
      <c r="Y275">
        <f>IF(gescon_infosparticip!X274=FALSE,0,1)</f>
        <v>0</v>
      </c>
      <c r="Z275">
        <f>IF(gescon_infosparticip!Y274=FALSE,0,1)</f>
        <v>0</v>
      </c>
      <c r="AA275">
        <f>IF(gescon_infosparticip!Z274=FALSE,0,1)</f>
        <v>0</v>
      </c>
      <c r="AB275">
        <f>IF(gescon_infosparticip!AA274=FALSE,0,1)</f>
        <v>1</v>
      </c>
      <c r="AC275" t="str">
        <f>gescon_infosparticip!AB274</f>
        <v>Oral</v>
      </c>
      <c r="AD275" t="str">
        <f>gescon_infosparticip!AC274</f>
        <v>Elle vit à Grimisuat avec sa maman et sa sœur</v>
      </c>
      <c r="AE275" t="str">
        <f>gescon_infosparticip!AD274</f>
        <v>Elle a une grande sœur, Pauline</v>
      </c>
      <c r="AF275" t="str">
        <f>gescon_infosparticip!AE274</f>
        <v>Elle a une amie avec laquelle elle s'entend très bien, elle s'appelle Klersu</v>
      </c>
      <c r="AG275" t="str">
        <f>gescon_infosparticip!AF274</f>
        <v>Justine aime la piscine, la musique, la cuisine, le bricolage et regarder des films</v>
      </c>
      <c r="AH275" t="str">
        <f>gescon_infosparticip!AG274</f>
        <v/>
      </c>
      <c r="AI275" t="str">
        <f>gescon_infosparticip!BN274</f>
        <v>Rien de particulier</v>
      </c>
      <c r="AJ275" t="str">
        <f>gescon_infosparticip!BO274</f>
        <v/>
      </c>
    </row>
    <row r="276" spans="2:36" x14ac:dyDescent="0.25">
      <c r="B276">
        <f>gescon_infosparticip!A275</f>
        <v>2146189579</v>
      </c>
      <c r="C276">
        <f>gescon_infosparticip!B275</f>
        <v>43028</v>
      </c>
      <c r="D276">
        <f>gescon_infosparticip!C275</f>
        <v>2146189580</v>
      </c>
      <c r="E276">
        <f>gescon_infosparticip!D275</f>
        <v>0</v>
      </c>
      <c r="F276">
        <f>gescon_infosparticip!E275</f>
        <v>0</v>
      </c>
      <c r="G276">
        <f>gescon_infosparticip!F275</f>
        <v>0</v>
      </c>
      <c r="H276">
        <f>gescon_infosparticip!G275</f>
        <v>0</v>
      </c>
      <c r="I276" t="str">
        <f>gescon_infosparticip!H275</f>
        <v>En cas d'urgence: Skender Berisha 0792782362</v>
      </c>
      <c r="J276">
        <f>IF(gescon_infosparticip!I275=FALSE,0,1)</f>
        <v>0</v>
      </c>
      <c r="K276">
        <f>IF(gescon_infosparticip!J275=FALSE,0,1)</f>
        <v>0</v>
      </c>
      <c r="L276">
        <f>IF(gescon_infosparticip!K275=FALSE,0,1)</f>
        <v>0</v>
      </c>
      <c r="M276">
        <f>IF(gescon_infosparticip!L275=FALSE,0,1)</f>
        <v>1</v>
      </c>
      <c r="N276">
        <f>IF(gescon_infosparticip!M275=FALSE,0,1)</f>
        <v>0</v>
      </c>
      <c r="O276">
        <f>IF(gescon_infosparticip!N275=FALSE,0,1)</f>
        <v>0</v>
      </c>
      <c r="P276">
        <f>IF(gescon_infosparticip!O275=FALSE,0,1)</f>
        <v>0</v>
      </c>
      <c r="Q276">
        <f>IF(gescon_infosparticip!P275=FALSE,0,1)</f>
        <v>0</v>
      </c>
      <c r="R276">
        <f>IF(gescon_infosparticip!Q275=FALSE,0,1)</f>
        <v>0</v>
      </c>
      <c r="S276" t="str">
        <f>gescon_infosparticip!R275</f>
        <v>Ne supporte pas les longs trajets. Malade, vomissements, tête qui tourne.</v>
      </c>
      <c r="T276" t="str">
        <f>gescon_infosparticip!V275</f>
        <v>Stimuler pour l'habillement, contrôler qu'il ait l'habillement adapté à la saison.</v>
      </c>
      <c r="U276" t="str">
        <f>gescon_infosparticip!S275</f>
        <v>Aime aller à la piscine</v>
      </c>
      <c r="V276">
        <f>IF(gescon_infosparticip!U275=FALSE,0,1)</f>
        <v>1</v>
      </c>
      <c r="W276">
        <f>IF(gescon_infosparticip!T275=FALSE,0,1)</f>
        <v>0</v>
      </c>
      <c r="X276" t="str">
        <f>gescon_infosparticip!W275</f>
        <v>Pas besoin d'un lit à barrière.</v>
      </c>
      <c r="Y276">
        <f>IF(gescon_infosparticip!X275=FALSE,0,1)</f>
        <v>0</v>
      </c>
      <c r="Z276">
        <f>IF(gescon_infosparticip!Y275=FALSE,0,1)</f>
        <v>0</v>
      </c>
      <c r="AA276">
        <f>IF(gescon_infosparticip!Z275=FALSE,0,1)</f>
        <v>0</v>
      </c>
      <c r="AB276">
        <f>IF(gescon_infosparticip!AA275=FALSE,0,1)</f>
        <v>0</v>
      </c>
      <c r="AC276" t="str">
        <f>gescon_infosparticip!AB275</f>
        <v>S'exprime peu, souvent pas de sens dans ses mots. Il n'arrive pas à situer les heures ni à raconter les détails d'une journée complète.</v>
      </c>
      <c r="AD276" t="str">
        <f>gescon_infosparticip!AC275</f>
        <v/>
      </c>
      <c r="AE276" t="str">
        <f>gescon_infosparticip!AD275</f>
        <v/>
      </c>
      <c r="AF276" t="str">
        <f>gescon_infosparticip!AE275</f>
        <v/>
      </c>
      <c r="AG276" t="str">
        <f>gescon_infosparticip!AF275</f>
        <v>Vélo, foot, skis, bob, manger dehors, cinéma, balade au bord du lac, aime les activités extérieures. Il adore les animaux et aime être occupé.</v>
      </c>
      <c r="AH276" t="str">
        <f>gescon_infosparticip!AG275</f>
        <v/>
      </c>
      <c r="AI276" t="str">
        <f>gescon_infosparticip!BN275</f>
        <v/>
      </c>
      <c r="AJ276" t="str">
        <f>gescon_infosparticip!BO275</f>
        <v/>
      </c>
    </row>
    <row r="277" spans="2:36" x14ac:dyDescent="0.25">
      <c r="B277">
        <f>gescon_infosparticip!A276</f>
        <v>2146189582</v>
      </c>
      <c r="C277">
        <f>gescon_infosparticip!B276</f>
        <v>42843</v>
      </c>
      <c r="D277">
        <f>gescon_infosparticip!C276</f>
        <v>0</v>
      </c>
      <c r="E277">
        <f>gescon_infosparticip!D276</f>
        <v>0</v>
      </c>
      <c r="F277">
        <f>gescon_infosparticip!E276</f>
        <v>0</v>
      </c>
      <c r="G277">
        <f>gescon_infosparticip!F276</f>
        <v>0</v>
      </c>
      <c r="H277">
        <f>gescon_infosparticip!G276</f>
        <v>0</v>
      </c>
      <c r="I277" t="str">
        <f>gescon_infosparticip!H276</f>
        <v/>
      </c>
      <c r="J277">
        <f>IF(gescon_infosparticip!I276=FALSE,0,1)</f>
        <v>0</v>
      </c>
      <c r="K277">
        <f>IF(gescon_infosparticip!J276=FALSE,0,1)</f>
        <v>0</v>
      </c>
      <c r="L277">
        <f>IF(gescon_infosparticip!K276=FALSE,0,1)</f>
        <v>0</v>
      </c>
      <c r="M277">
        <f>IF(gescon_infosparticip!L276=FALSE,0,1)</f>
        <v>0</v>
      </c>
      <c r="N277">
        <f>IF(gescon_infosparticip!M276=FALSE,0,1)</f>
        <v>0</v>
      </c>
      <c r="O277">
        <f>IF(gescon_infosparticip!N276=FALSE,0,1)</f>
        <v>0</v>
      </c>
      <c r="P277">
        <f>IF(gescon_infosparticip!O276=FALSE,0,1)</f>
        <v>0</v>
      </c>
      <c r="Q277">
        <f>IF(gescon_infosparticip!P276=FALSE,0,1)</f>
        <v>0</v>
      </c>
      <c r="R277">
        <f>IF(gescon_infosparticip!Q276=FALSE,0,1)</f>
        <v>0</v>
      </c>
      <c r="S277" t="str">
        <f>gescon_infosparticip!R276</f>
        <v/>
      </c>
      <c r="T277" t="str">
        <f>gescon_infosparticip!V276</f>
        <v/>
      </c>
      <c r="U277" t="str">
        <f>gescon_infosparticip!S276</f>
        <v/>
      </c>
      <c r="V277">
        <f>IF(gescon_infosparticip!U276=FALSE,0,1)</f>
        <v>0</v>
      </c>
      <c r="W277">
        <f>IF(gescon_infosparticip!T276=FALSE,0,1)</f>
        <v>0</v>
      </c>
      <c r="X277" t="str">
        <f>gescon_infosparticip!W276</f>
        <v/>
      </c>
      <c r="Y277">
        <f>IF(gescon_infosparticip!X276=FALSE,0,1)</f>
        <v>0</v>
      </c>
      <c r="Z277">
        <f>IF(gescon_infosparticip!Y276=FALSE,0,1)</f>
        <v>0</v>
      </c>
      <c r="AA277">
        <f>IF(gescon_infosparticip!Z276=FALSE,0,1)</f>
        <v>0</v>
      </c>
      <c r="AB277">
        <f>IF(gescon_infosparticip!AA276=FALSE,0,1)</f>
        <v>0</v>
      </c>
      <c r="AC277" t="str">
        <f>gescon_infosparticip!AB276</f>
        <v/>
      </c>
      <c r="AD277" t="str">
        <f>gescon_infosparticip!AC276</f>
        <v/>
      </c>
      <c r="AE277" t="str">
        <f>gescon_infosparticip!AD276</f>
        <v/>
      </c>
      <c r="AF277" t="str">
        <f>gescon_infosparticip!AE276</f>
        <v/>
      </c>
      <c r="AG277" t="str">
        <f>gescon_infosparticip!AF276</f>
        <v/>
      </c>
      <c r="AH277" t="str">
        <f>gescon_infosparticip!AG276</f>
        <v/>
      </c>
      <c r="AI277" t="str">
        <f>gescon_infosparticip!BN276</f>
        <v>Test</v>
      </c>
      <c r="AJ277" t="str">
        <f>gescon_infosparticip!BO276</f>
        <v/>
      </c>
    </row>
    <row r="278" spans="2:36" x14ac:dyDescent="0.25">
      <c r="B278">
        <f>gescon_infosparticip!A277</f>
        <v>2146189599</v>
      </c>
      <c r="C278">
        <f>gescon_infosparticip!B277</f>
        <v>42305</v>
      </c>
      <c r="D278">
        <f>gescon_infosparticip!C277</f>
        <v>0</v>
      </c>
      <c r="E278">
        <f>gescon_infosparticip!D277</f>
        <v>0</v>
      </c>
      <c r="F278">
        <f>gescon_infosparticip!E277</f>
        <v>0</v>
      </c>
      <c r="G278">
        <f>gescon_infosparticip!F277</f>
        <v>0</v>
      </c>
      <c r="H278">
        <f>gescon_infosparticip!G277</f>
        <v>0</v>
      </c>
      <c r="I278" t="str">
        <f>gescon_infosparticip!H277</f>
        <v/>
      </c>
      <c r="J278">
        <f>IF(gescon_infosparticip!I277=FALSE,0,1)</f>
        <v>0</v>
      </c>
      <c r="K278">
        <f>IF(gescon_infosparticip!J277=FALSE,0,1)</f>
        <v>0</v>
      </c>
      <c r="L278">
        <f>IF(gescon_infosparticip!K277=FALSE,0,1)</f>
        <v>0</v>
      </c>
      <c r="M278">
        <f>IF(gescon_infosparticip!L277=FALSE,0,1)</f>
        <v>0</v>
      </c>
      <c r="N278">
        <f>IF(gescon_infosparticip!M277=FALSE,0,1)</f>
        <v>0</v>
      </c>
      <c r="O278">
        <f>IF(gescon_infosparticip!N277=FALSE,0,1)</f>
        <v>0</v>
      </c>
      <c r="P278">
        <f>IF(gescon_infosparticip!O277=FALSE,0,1)</f>
        <v>0</v>
      </c>
      <c r="Q278">
        <f>IF(gescon_infosparticip!P277=FALSE,0,1)</f>
        <v>0</v>
      </c>
      <c r="R278">
        <f>IF(gescon_infosparticip!Q277=FALSE,0,1)</f>
        <v>0</v>
      </c>
      <c r="S278" t="str">
        <f>gescon_infosparticip!R277</f>
        <v/>
      </c>
      <c r="T278" t="str">
        <f>gescon_infosparticip!V277</f>
        <v/>
      </c>
      <c r="U278" t="str">
        <f>gescon_infosparticip!S277</f>
        <v/>
      </c>
      <c r="V278">
        <f>IF(gescon_infosparticip!U277=FALSE,0,1)</f>
        <v>0</v>
      </c>
      <c r="W278">
        <f>IF(gescon_infosparticip!T277=FALSE,0,1)</f>
        <v>0</v>
      </c>
      <c r="X278" t="str">
        <f>gescon_infosparticip!W277</f>
        <v/>
      </c>
      <c r="Y278">
        <f>IF(gescon_infosparticip!X277=FALSE,0,1)</f>
        <v>0</v>
      </c>
      <c r="Z278">
        <f>IF(gescon_infosparticip!Y277=FALSE,0,1)</f>
        <v>0</v>
      </c>
      <c r="AA278">
        <f>IF(gescon_infosparticip!Z277=FALSE,0,1)</f>
        <v>0</v>
      </c>
      <c r="AB278">
        <f>IF(gescon_infosparticip!AA277=FALSE,0,1)</f>
        <v>0</v>
      </c>
      <c r="AC278" t="str">
        <f>gescon_infosparticip!AB277</f>
        <v/>
      </c>
      <c r="AD278" t="str">
        <f>gescon_infosparticip!AC277</f>
        <v/>
      </c>
      <c r="AE278" t="str">
        <f>gescon_infosparticip!AD277</f>
        <v/>
      </c>
      <c r="AF278" t="str">
        <f>gescon_infosparticip!AE277</f>
        <v/>
      </c>
      <c r="AG278" t="str">
        <f>gescon_infosparticip!AF277</f>
        <v/>
      </c>
      <c r="AH278" t="str">
        <f>gescon_infosparticip!AG277</f>
        <v/>
      </c>
      <c r="AI278" t="str">
        <f>gescon_infosparticip!BN277</f>
        <v>x</v>
      </c>
      <c r="AJ278" t="str">
        <f>gescon_infosparticip!BO277</f>
        <v/>
      </c>
    </row>
    <row r="279" spans="2:36" x14ac:dyDescent="0.25">
      <c r="B279">
        <f>gescon_infosparticip!A278</f>
        <v>2146189610</v>
      </c>
      <c r="C279">
        <f>gescon_infosparticip!B278</f>
        <v>42290</v>
      </c>
      <c r="D279">
        <f>gescon_infosparticip!C278</f>
        <v>2146189609</v>
      </c>
      <c r="E279">
        <f>gescon_infosparticip!D278</f>
        <v>0</v>
      </c>
      <c r="F279">
        <f>gescon_infosparticip!E278</f>
        <v>0</v>
      </c>
      <c r="G279">
        <f>gescon_infosparticip!F278</f>
        <v>0</v>
      </c>
      <c r="H279">
        <f>gescon_infosparticip!G278</f>
        <v>2146189609</v>
      </c>
      <c r="I279" t="str">
        <f>gescon_infosparticip!H278</f>
        <v>0797823517</v>
      </c>
      <c r="J279">
        <f>IF(gescon_infosparticip!I278=FALSE,0,1)</f>
        <v>0</v>
      </c>
      <c r="K279">
        <f>IF(gescon_infosparticip!J278=FALSE,0,1)</f>
        <v>0</v>
      </c>
      <c r="L279">
        <f>IF(gescon_infosparticip!K278=FALSE,0,1)</f>
        <v>0</v>
      </c>
      <c r="M279">
        <f>IF(gescon_infosparticip!L278=FALSE,0,1)</f>
        <v>1</v>
      </c>
      <c r="N279">
        <f>IF(gescon_infosparticip!M278=FALSE,0,1)</f>
        <v>1</v>
      </c>
      <c r="O279">
        <f>IF(gescon_infosparticip!N278=FALSE,0,1)</f>
        <v>0</v>
      </c>
      <c r="P279">
        <f>IF(gescon_infosparticip!O278=FALSE,0,1)</f>
        <v>0</v>
      </c>
      <c r="Q279">
        <f>IF(gescon_infosparticip!P278=FALSE,0,1)</f>
        <v>0</v>
      </c>
      <c r="R279">
        <f>IF(gescon_infosparticip!Q278=FALSE,0,1)</f>
        <v>0</v>
      </c>
      <c r="S279" t="str">
        <f>gescon_infosparticip!R278</f>
        <v/>
      </c>
      <c r="T279" t="str">
        <f>gescon_infosparticip!V278</f>
        <v>Il s'habille avec guidance</v>
      </c>
      <c r="U279" t="str">
        <f>gescon_infosparticip!S278</f>
        <v>Il ne sais pas nager et a des flotteurs , mais il adore l'eau.</v>
      </c>
      <c r="V279">
        <f>IF(gescon_infosparticip!U278=FALSE,0,1)</f>
        <v>0</v>
      </c>
      <c r="W279">
        <f>IF(gescon_infosparticip!T278=FALSE,0,1)</f>
        <v>0</v>
      </c>
      <c r="X279" t="str">
        <f>gescon_infosparticip!W278</f>
        <v/>
      </c>
      <c r="Y279">
        <f>IF(gescon_infosparticip!X278=FALSE,0,1)</f>
        <v>0</v>
      </c>
      <c r="Z279">
        <f>IF(gescon_infosparticip!Y278=FALSE,0,1)</f>
        <v>0</v>
      </c>
      <c r="AA279">
        <f>IF(gescon_infosparticip!Z278=FALSE,0,1)</f>
        <v>0</v>
      </c>
      <c r="AB279">
        <f>IF(gescon_infosparticip!AA278=FALSE,0,1)</f>
        <v>1</v>
      </c>
      <c r="AC279" t="str">
        <f>gescon_infosparticip!AB278</f>
        <v>Il parle mais prononce mal,les mots sont incomplèts</v>
      </c>
      <c r="AD279" t="str">
        <f>gescon_infosparticip!AC278</f>
        <v/>
      </c>
      <c r="AE279" t="str">
        <f>gescon_infosparticip!AD278</f>
        <v/>
      </c>
      <c r="AF279" t="str">
        <f>gescon_infosparticip!AE278</f>
        <v/>
      </c>
      <c r="AG279" t="str">
        <f>gescon_infosparticip!AF278</f>
        <v>aime les animaux mais il en a peur.Il aime les voitures, les dinosaures,les billes.Noé aime les tobogans,la piscine,le roller,le vélo et faire la course.</v>
      </c>
      <c r="AH279" t="str">
        <f>gescon_infosparticip!AG278</f>
        <v>Il a besoin d'etre rassuré,stimulé.Son manque de tonus dans le bas du corps lui donne beaucoup de problème de coordination.Parfois l'egget de groupe peut l exiter.(l'isoler un moment peut aider</v>
      </c>
      <c r="AI279" t="str">
        <f>gescon_infosparticip!BN278</f>
        <v/>
      </c>
      <c r="AJ279" t="str">
        <f>gescon_infosparticip!BO278</f>
        <v/>
      </c>
    </row>
    <row r="280" spans="2:36" x14ac:dyDescent="0.25">
      <c r="B280">
        <f>gescon_infosparticip!A279</f>
        <v>2146189623</v>
      </c>
      <c r="C280">
        <f>gescon_infosparticip!B279</f>
        <v>42884</v>
      </c>
      <c r="D280">
        <f>gescon_infosparticip!C279</f>
        <v>1962</v>
      </c>
      <c r="E280">
        <f>gescon_infosparticip!D279</f>
        <v>2146189778</v>
      </c>
      <c r="F280">
        <f>gescon_infosparticip!E279</f>
        <v>0</v>
      </c>
      <c r="G280">
        <f>gescon_infosparticip!F279</f>
        <v>0</v>
      </c>
      <c r="H280">
        <f>gescon_infosparticip!G279</f>
        <v>0</v>
      </c>
      <c r="I280" t="str">
        <f>gescon_infosparticip!H279</f>
        <v>N° de son frère Yannick : 079/394.15.44</v>
      </c>
      <c r="J280">
        <f>IF(gescon_infosparticip!I279=FALSE,0,1)</f>
        <v>0</v>
      </c>
      <c r="K280">
        <f>IF(gescon_infosparticip!J279=FALSE,0,1)</f>
        <v>0</v>
      </c>
      <c r="L280">
        <f>IF(gescon_infosparticip!K279=FALSE,0,1)</f>
        <v>1</v>
      </c>
      <c r="M280">
        <f>IF(gescon_infosparticip!L279=FALSE,0,1)</f>
        <v>1</v>
      </c>
      <c r="N280">
        <f>IF(gescon_infosparticip!M279=FALSE,0,1)</f>
        <v>1</v>
      </c>
      <c r="O280">
        <f>IF(gescon_infosparticip!N279=FALSE,0,1)</f>
        <v>0</v>
      </c>
      <c r="P280">
        <f>IF(gescon_infosparticip!O279=FALSE,0,1)</f>
        <v>0</v>
      </c>
      <c r="Q280">
        <f>IF(gescon_infosparticip!P279=FALSE,0,1)</f>
        <v>0</v>
      </c>
      <c r="R280">
        <f>IF(gescon_infosparticip!Q279=FALSE,0,1)</f>
        <v>0</v>
      </c>
      <c r="S280" t="str">
        <f>gescon_infosparticip!R279</f>
        <v>aime les marches dans la forêt ou autre _ environ 2 heures de marche sans problème</v>
      </c>
      <c r="T280" t="str">
        <f>gescon_infosparticip!V279</f>
        <v>il n'a pas la sensation du froid ou chaud - à contrôler l'habillement - sinon s'habille et se dàshabille seul</v>
      </c>
      <c r="U280" t="str">
        <f>gescon_infosparticip!S279</f>
        <v>aime beaucoup l'eau - fait partie de natation compétition de sport handicap Sierre</v>
      </c>
      <c r="V280">
        <f>IF(gescon_infosparticip!U279=FALSE,0,1)</f>
        <v>1</v>
      </c>
      <c r="W280">
        <f>IF(gescon_infosparticip!T279=FALSE,0,1)</f>
        <v>1</v>
      </c>
      <c r="X280" t="str">
        <f>gescon_infosparticip!W279</f>
        <v>pas de problème de sommeil - mais ne va pas de lui-mêm au lit : pas de sensation de sommeil - donc peut rester devant la TV jusqu'à 23h si on ne lui donne pas l'ordre de se coucher.</v>
      </c>
      <c r="Y280">
        <f>IF(gescon_infosparticip!X279=FALSE,0,1)</f>
        <v>0</v>
      </c>
      <c r="Z280">
        <f>IF(gescon_infosparticip!Y279=FALSE,0,1)</f>
        <v>0</v>
      </c>
      <c r="AA280">
        <f>IF(gescon_infosparticip!Z279=FALSE,0,1)</f>
        <v>0</v>
      </c>
      <c r="AB280">
        <f>IF(gescon_infosparticip!AA279=FALSE,0,1)</f>
        <v>0</v>
      </c>
      <c r="AC280" t="str">
        <f>gescon_infosparticip!AB279</f>
        <v>il a de la peine à s'exprimer correctemetn - mais comprend tout - si on ne comprend pas, il redit d'une autre manière.</v>
      </c>
      <c r="AD280" t="str">
        <f>gescon_infosparticip!AC279</f>
        <v>son papa et sa maman</v>
      </c>
      <c r="AE280" t="str">
        <f>gescon_infosparticip!AD279</f>
        <v>2 frères : l'aîné (Damien) qui est marié et vit à Madagascar - son jumeau (Yannick) qui est marié et qui vit à Anzère</v>
      </c>
      <c r="AF280" t="str">
        <f>gescon_infosparticip!AE279</f>
        <v>son équipe de sport handicap de natation à Sierre</v>
      </c>
      <c r="AG280" t="str">
        <f>gescon_infosparticip!AF279</f>
        <v>piscine - cinéme - mini golf - bowling - jeux d'intérieurs - puzzle - mots fléchés - TV - marche - raquette à neige</v>
      </c>
      <c r="AH280" t="str">
        <f>gescon_infosparticip!AG279</f>
        <v/>
      </c>
      <c r="AI280" t="str">
        <f>gescon_infosparticip!BN279</f>
        <v/>
      </c>
      <c r="AJ280" t="str">
        <f>gescon_infosparticip!BO279</f>
        <v/>
      </c>
    </row>
    <row r="281" spans="2:36" x14ac:dyDescent="0.25">
      <c r="B281">
        <f>gescon_infosparticip!A280</f>
        <v>2146189639</v>
      </c>
      <c r="C281">
        <f>gescon_infosparticip!B280</f>
        <v>42354</v>
      </c>
      <c r="D281">
        <f>gescon_infosparticip!C280</f>
        <v>2146189640</v>
      </c>
      <c r="E281">
        <f>gescon_infosparticip!D280</f>
        <v>0</v>
      </c>
      <c r="F281">
        <f>gescon_infosparticip!E280</f>
        <v>0</v>
      </c>
      <c r="G281">
        <f>gescon_infosparticip!F280</f>
        <v>0</v>
      </c>
      <c r="H281">
        <f>gescon_infosparticip!G280</f>
        <v>0</v>
      </c>
      <c r="I281" t="str">
        <f>gescon_infosparticip!H280</f>
        <v>Si absence des parents : Grand-Père 079 361 24 84</v>
      </c>
      <c r="J281">
        <f>IF(gescon_infosparticip!I280=FALSE,0,1)</f>
        <v>0</v>
      </c>
      <c r="K281">
        <f>IF(gescon_infosparticip!J280=FALSE,0,1)</f>
        <v>0</v>
      </c>
      <c r="L281">
        <f>IF(gescon_infosparticip!K280=FALSE,0,1)</f>
        <v>0</v>
      </c>
      <c r="M281">
        <f>IF(gescon_infosparticip!L280=FALSE,0,1)</f>
        <v>0</v>
      </c>
      <c r="N281">
        <f>IF(gescon_infosparticip!M280=FALSE,0,1)</f>
        <v>0</v>
      </c>
      <c r="O281">
        <f>IF(gescon_infosparticip!N280=FALSE,0,1)</f>
        <v>0</v>
      </c>
      <c r="P281">
        <f>IF(gescon_infosparticip!O280=FALSE,0,1)</f>
        <v>0</v>
      </c>
      <c r="Q281">
        <f>IF(gescon_infosparticip!P280=FALSE,0,1)</f>
        <v>0</v>
      </c>
      <c r="R281">
        <f>IF(gescon_infosparticip!Q280=FALSE,0,1)</f>
        <v>0</v>
      </c>
      <c r="S281" t="str">
        <f>gescon_infosparticip!R280</f>
        <v>Julie se déplace assise et en rampant</v>
      </c>
      <c r="T281" t="str">
        <f>gescon_infosparticip!V280</f>
        <v>A besoin d'une aide complète pour l'habillement</v>
      </c>
      <c r="U281" t="str">
        <f>gescon_infosparticip!S280</f>
        <v>Elle adore mais avec surveillance</v>
      </c>
      <c r="V281">
        <f>IF(gescon_infosparticip!U280=FALSE,0,1)</f>
        <v>0</v>
      </c>
      <c r="W281">
        <f>IF(gescon_infosparticip!T280=FALSE,0,1)</f>
        <v>0</v>
      </c>
      <c r="X281" t="str">
        <f>gescon_infosparticip!W280</f>
        <v>Julie dort bien! Rien de particulier!</v>
      </c>
      <c r="Y281">
        <f>IF(gescon_infosparticip!X280=FALSE,0,1)</f>
        <v>0</v>
      </c>
      <c r="Z281">
        <f>IF(gescon_infosparticip!Y280=FALSE,0,1)</f>
        <v>0</v>
      </c>
      <c r="AA281">
        <f>IF(gescon_infosparticip!Z280=FALSE,0,1)</f>
        <v>0</v>
      </c>
      <c r="AB281">
        <f>IF(gescon_infosparticip!AA280=FALSE,0,1)</f>
        <v>1</v>
      </c>
      <c r="AC281" t="str">
        <f>gescon_infosparticip!AB280</f>
        <v>Julie parle bien</v>
      </c>
      <c r="AD281" t="str">
        <f>gescon_infosparticip!AC280</f>
        <v/>
      </c>
      <c r="AE281" t="str">
        <f>gescon_infosparticip!AD280</f>
        <v/>
      </c>
      <c r="AF281" t="str">
        <f>gescon_infosparticip!AE280</f>
        <v/>
      </c>
      <c r="AG281" t="str">
        <f>gescon_infosparticip!AF280</f>
        <v>Elle adore Dora. Julie aime beaucoup sa famille et faire des jeux.</v>
      </c>
      <c r="AH281" t="str">
        <f>gescon_infosparticip!AG280</f>
        <v>Elle n'aime pas lorsqu'on lui touche les cheveux.</v>
      </c>
      <c r="AI281" t="str">
        <f>gescon_infosparticip!BN280</f>
        <v/>
      </c>
      <c r="AJ281" t="str">
        <f>gescon_infosparticip!BO280</f>
        <v/>
      </c>
    </row>
    <row r="282" spans="2:36" x14ac:dyDescent="0.25">
      <c r="B282">
        <f>gescon_infosparticip!A281</f>
        <v>2146189640</v>
      </c>
      <c r="C282">
        <f>gescon_infosparticip!B281</f>
        <v>42186.449918981503</v>
      </c>
      <c r="D282">
        <f>gescon_infosparticip!C281</f>
        <v>0</v>
      </c>
      <c r="E282">
        <f>gescon_infosparticip!D281</f>
        <v>0</v>
      </c>
      <c r="F282">
        <f>gescon_infosparticip!E281</f>
        <v>0</v>
      </c>
      <c r="G282">
        <f>gescon_infosparticip!F281</f>
        <v>0</v>
      </c>
      <c r="H282">
        <f>gescon_infosparticip!G281</f>
        <v>0</v>
      </c>
      <c r="I282" t="str">
        <f>gescon_infosparticip!H281</f>
        <v/>
      </c>
      <c r="J282">
        <f>IF(gescon_infosparticip!I281=FALSE,0,1)</f>
        <v>0</v>
      </c>
      <c r="K282">
        <f>IF(gescon_infosparticip!J281=FALSE,0,1)</f>
        <v>0</v>
      </c>
      <c r="L282">
        <f>IF(gescon_infosparticip!K281=FALSE,0,1)</f>
        <v>0</v>
      </c>
      <c r="M282">
        <f>IF(gescon_infosparticip!L281=FALSE,0,1)</f>
        <v>0</v>
      </c>
      <c r="N282">
        <f>IF(gescon_infosparticip!M281=FALSE,0,1)</f>
        <v>0</v>
      </c>
      <c r="O282">
        <f>IF(gescon_infosparticip!N281=FALSE,0,1)</f>
        <v>0</v>
      </c>
      <c r="P282">
        <f>IF(gescon_infosparticip!O281=FALSE,0,1)</f>
        <v>0</v>
      </c>
      <c r="Q282">
        <f>IF(gescon_infosparticip!P281=FALSE,0,1)</f>
        <v>0</v>
      </c>
      <c r="R282">
        <f>IF(gescon_infosparticip!Q281=FALSE,0,1)</f>
        <v>0</v>
      </c>
      <c r="S282" t="str">
        <f>gescon_infosparticip!R281</f>
        <v/>
      </c>
      <c r="T282" t="str">
        <f>gescon_infosparticip!V281</f>
        <v/>
      </c>
      <c r="U282" t="str">
        <f>gescon_infosparticip!S281</f>
        <v/>
      </c>
      <c r="V282">
        <f>IF(gescon_infosparticip!U281=FALSE,0,1)</f>
        <v>0</v>
      </c>
      <c r="W282">
        <f>IF(gescon_infosparticip!T281=FALSE,0,1)</f>
        <v>0</v>
      </c>
      <c r="X282" t="str">
        <f>gescon_infosparticip!W281</f>
        <v/>
      </c>
      <c r="Y282">
        <f>IF(gescon_infosparticip!X281=FALSE,0,1)</f>
        <v>0</v>
      </c>
      <c r="Z282">
        <f>IF(gescon_infosparticip!Y281=FALSE,0,1)</f>
        <v>0</v>
      </c>
      <c r="AA282">
        <f>IF(gescon_infosparticip!Z281=FALSE,0,1)</f>
        <v>0</v>
      </c>
      <c r="AB282">
        <f>IF(gescon_infosparticip!AA281=FALSE,0,1)</f>
        <v>0</v>
      </c>
      <c r="AC282" t="str">
        <f>gescon_infosparticip!AB281</f>
        <v/>
      </c>
      <c r="AD282" t="str">
        <f>gescon_infosparticip!AC281</f>
        <v/>
      </c>
      <c r="AE282" t="str">
        <f>gescon_infosparticip!AD281</f>
        <v/>
      </c>
      <c r="AF282" t="str">
        <f>gescon_infosparticip!AE281</f>
        <v/>
      </c>
      <c r="AG282" t="str">
        <f>gescon_infosparticip!AF281</f>
        <v/>
      </c>
      <c r="AH282" t="str">
        <f>gescon_infosparticip!AG281</f>
        <v/>
      </c>
      <c r="AI282" t="str">
        <f>gescon_infosparticip!BN281</f>
        <v/>
      </c>
      <c r="AJ282" t="str">
        <f>gescon_infosparticip!BO281</f>
        <v/>
      </c>
    </row>
    <row r="283" spans="2:36" x14ac:dyDescent="0.25">
      <c r="B283">
        <f>gescon_infosparticip!A282</f>
        <v>2146189642</v>
      </c>
      <c r="C283">
        <f>gescon_infosparticip!B282</f>
        <v>42843</v>
      </c>
      <c r="D283">
        <f>gescon_infosparticip!C282</f>
        <v>2146189641</v>
      </c>
      <c r="E283">
        <f>gescon_infosparticip!D282</f>
        <v>0</v>
      </c>
      <c r="F283">
        <f>gescon_infosparticip!E282</f>
        <v>0</v>
      </c>
      <c r="G283">
        <f>gescon_infosparticip!F282</f>
        <v>0</v>
      </c>
      <c r="H283">
        <f>gescon_infosparticip!G282</f>
        <v>0</v>
      </c>
      <c r="I283" t="str">
        <f>gescon_infosparticip!H282</f>
        <v>En cas d'urgence: Jacqueline Zadik 076 396 28 46</v>
      </c>
      <c r="J283">
        <f>IF(gescon_infosparticip!I282=FALSE,0,1)</f>
        <v>0</v>
      </c>
      <c r="K283">
        <f>IF(gescon_infosparticip!J282=FALSE,0,1)</f>
        <v>0</v>
      </c>
      <c r="L283">
        <f>IF(gescon_infosparticip!K282=FALSE,0,1)</f>
        <v>0</v>
      </c>
      <c r="M283">
        <f>IF(gescon_infosparticip!L282=FALSE,0,1)</f>
        <v>1</v>
      </c>
      <c r="N283">
        <f>IF(gescon_infosparticip!M282=FALSE,0,1)</f>
        <v>1</v>
      </c>
      <c r="O283">
        <f>IF(gescon_infosparticip!N282=FALSE,0,1)</f>
        <v>0</v>
      </c>
      <c r="P283">
        <f>IF(gescon_infosparticip!O282=FALSE,0,1)</f>
        <v>0</v>
      </c>
      <c r="Q283">
        <f>IF(gescon_infosparticip!P282=FALSE,0,1)</f>
        <v>0</v>
      </c>
      <c r="R283">
        <f>IF(gescon_infosparticip!Q282=FALSE,0,1)</f>
        <v>0</v>
      </c>
      <c r="S283" t="str">
        <f>gescon_infosparticip!R282</f>
        <v/>
      </c>
      <c r="T283" t="str">
        <f>gescon_infosparticip!V282</f>
        <v>Il a besoin d'aide pour l'habillement.</v>
      </c>
      <c r="U283" t="str">
        <f>gescon_infosparticip!S282</f>
        <v>Il aime mais ne sait pas nager. A besoin de surveillance.</v>
      </c>
      <c r="V283">
        <f>IF(gescon_infosparticip!U282=FALSE,0,1)</f>
        <v>0</v>
      </c>
      <c r="W283">
        <f>IF(gescon_infosparticip!T282=FALSE,0,1)</f>
        <v>0</v>
      </c>
      <c r="X283" t="str">
        <f>gescon_infosparticip!W282</f>
        <v/>
      </c>
      <c r="Y283">
        <f>IF(gescon_infosparticip!X282=FALSE,0,1)</f>
        <v>0</v>
      </c>
      <c r="Z283">
        <f>IF(gescon_infosparticip!Y282=FALSE,0,1)</f>
        <v>0</v>
      </c>
      <c r="AA283">
        <f>IF(gescon_infosparticip!Z282=FALSE,0,1)</f>
        <v>0</v>
      </c>
      <c r="AB283">
        <f>IF(gescon_infosparticip!AA282=FALSE,0,1)</f>
        <v>0</v>
      </c>
      <c r="AC283" t="str">
        <f>gescon_infosparticip!AB282</f>
        <v>Il parle très peu, en Espagnol. Il utilise des pictogrammes et prend par la main pour exprimer ses besoins.</v>
      </c>
      <c r="AD283" t="str">
        <f>gescon_infosparticip!AC282</f>
        <v/>
      </c>
      <c r="AE283" t="str">
        <f>gescon_infosparticip!AD282</f>
        <v>Mateo a un petit frère et une grande sœur.</v>
      </c>
      <c r="AF283" t="str">
        <f>gescon_infosparticip!AE282</f>
        <v/>
      </c>
      <c r="AG283" t="str">
        <f>gescon_infosparticip!AF282</f>
        <v>Mateo aime le trampoline, les jeux d'eau, la piscine, les parcs publiques et les balades aux iles.</v>
      </c>
      <c r="AH283" t="str">
        <f>gescon_infosparticip!AG282</f>
        <v>Il n'aime pas marcher, les jeux de société, les rêgles et normes.</v>
      </c>
      <c r="AI283" t="str">
        <f>gescon_infosparticip!BN282</f>
        <v>non</v>
      </c>
      <c r="AJ283" t="str">
        <f>gescon_infosparticip!BO282</f>
        <v/>
      </c>
    </row>
    <row r="284" spans="2:36" x14ac:dyDescent="0.25">
      <c r="B284">
        <f>gescon_infosparticip!A283</f>
        <v>2146189643</v>
      </c>
      <c r="C284">
        <f>gescon_infosparticip!B283</f>
        <v>42859</v>
      </c>
      <c r="D284">
        <f>gescon_infosparticip!C283</f>
        <v>2146189641</v>
      </c>
      <c r="E284">
        <f>gescon_infosparticip!D283</f>
        <v>0</v>
      </c>
      <c r="F284">
        <f>gescon_infosparticip!E283</f>
        <v>0</v>
      </c>
      <c r="G284">
        <f>gescon_infosparticip!F283</f>
        <v>0</v>
      </c>
      <c r="H284">
        <f>gescon_infosparticip!G283</f>
        <v>0</v>
      </c>
      <c r="I284" t="str">
        <f>gescon_infosparticip!H283</f>
        <v>en cas d'urgence : Jacqueline Zadik 079 396 28 46</v>
      </c>
      <c r="J284">
        <f>IF(gescon_infosparticip!I283=FALSE,0,1)</f>
        <v>0</v>
      </c>
      <c r="K284">
        <f>IF(gescon_infosparticip!J283=FALSE,0,1)</f>
        <v>0</v>
      </c>
      <c r="L284">
        <f>IF(gescon_infosparticip!K283=FALSE,0,1)</f>
        <v>0</v>
      </c>
      <c r="M284">
        <f>IF(gescon_infosparticip!L283=FALSE,0,1)</f>
        <v>1</v>
      </c>
      <c r="N284">
        <f>IF(gescon_infosparticip!M283=FALSE,0,1)</f>
        <v>1</v>
      </c>
      <c r="O284">
        <f>IF(gescon_infosparticip!N283=FALSE,0,1)</f>
        <v>0</v>
      </c>
      <c r="P284">
        <f>IF(gescon_infosparticip!O283=FALSE,0,1)</f>
        <v>0</v>
      </c>
      <c r="Q284">
        <f>IF(gescon_infosparticip!P283=FALSE,0,1)</f>
        <v>0</v>
      </c>
      <c r="R284">
        <f>IF(gescon_infosparticip!Q283=FALSE,0,1)</f>
        <v>0</v>
      </c>
      <c r="S284" t="str">
        <f>gescon_infosparticip!R283</f>
        <v/>
      </c>
      <c r="T284" t="str">
        <f>gescon_infosparticip!V283</f>
        <v>avec de l'aide totale</v>
      </c>
      <c r="U284" t="str">
        <f>gescon_infosparticip!S283</f>
        <v>aime la piscine mais a besoin de surveillance</v>
      </c>
      <c r="V284">
        <f>IF(gescon_infosparticip!U283=FALSE,0,1)</f>
        <v>0</v>
      </c>
      <c r="W284">
        <f>IF(gescon_infosparticip!T283=FALSE,0,1)</f>
        <v>0</v>
      </c>
      <c r="X284" t="str">
        <f>gescon_infosparticip!W283</f>
        <v>rien à signaler</v>
      </c>
      <c r="Y284">
        <f>IF(gescon_infosparticip!X283=FALSE,0,1)</f>
        <v>0</v>
      </c>
      <c r="Z284">
        <f>IF(gescon_infosparticip!Y283=FALSE,0,1)</f>
        <v>0</v>
      </c>
      <c r="AA284">
        <f>IF(gescon_infosparticip!Z283=FALSE,0,1)</f>
        <v>0</v>
      </c>
      <c r="AB284">
        <f>IF(gescon_infosparticip!AA283=FALSE,0,1)</f>
        <v>0</v>
      </c>
      <c r="AC284" t="str">
        <f>gescon_infosparticip!AB283</f>
        <v>Il ne parle pas.. Il pleure ou il crie pour s'exprimer.</v>
      </c>
      <c r="AD284" t="str">
        <f>gescon_infosparticip!AC283</f>
        <v/>
      </c>
      <c r="AE284" t="str">
        <f>gescon_infosparticip!AD283</f>
        <v>Maximilien a un grand frère et une grande sœur.</v>
      </c>
      <c r="AF284" t="str">
        <f>gescon_infosparticip!AE283</f>
        <v/>
      </c>
      <c r="AG284" t="str">
        <f>gescon_infosparticip!AF283</f>
        <v>Il aime la piscine, les parcs, le bac à sable, jeter des cailloux dans l'eau et les jeux pour bébés</v>
      </c>
      <c r="AH284" t="str">
        <f>gescon_infosparticip!AG283</f>
        <v>Ranger, écouter et faire des jeux dirigés</v>
      </c>
      <c r="AI284" t="str">
        <f>gescon_infosparticip!BN283</f>
        <v>non</v>
      </c>
      <c r="AJ284" t="str">
        <f>gescon_infosparticip!BO283</f>
        <v/>
      </c>
    </row>
    <row r="285" spans="2:36" x14ac:dyDescent="0.25">
      <c r="B285">
        <f>gescon_infosparticip!A284</f>
        <v>2146189655</v>
      </c>
      <c r="C285">
        <f>gescon_infosparticip!B284</f>
        <v>42530</v>
      </c>
      <c r="D285">
        <f>gescon_infosparticip!C284</f>
        <v>2146189656</v>
      </c>
      <c r="E285">
        <f>gescon_infosparticip!D284</f>
        <v>0</v>
      </c>
      <c r="F285">
        <f>gescon_infosparticip!E284</f>
        <v>0</v>
      </c>
      <c r="G285">
        <f>gescon_infosparticip!F284</f>
        <v>0</v>
      </c>
      <c r="H285">
        <f>gescon_infosparticip!G284</f>
        <v>2146189656</v>
      </c>
      <c r="I285" t="str">
        <f>gescon_infosparticip!H284</f>
        <v/>
      </c>
      <c r="J285">
        <f>IF(gescon_infosparticip!I284=FALSE,0,1)</f>
        <v>0</v>
      </c>
      <c r="K285">
        <f>IF(gescon_infosparticip!J284=FALSE,0,1)</f>
        <v>0</v>
      </c>
      <c r="L285">
        <f>IF(gescon_infosparticip!K284=FALSE,0,1)</f>
        <v>0</v>
      </c>
      <c r="M285">
        <f>IF(gescon_infosparticip!L284=FALSE,0,1)</f>
        <v>1</v>
      </c>
      <c r="N285">
        <f>IF(gescon_infosparticip!M284=FALSE,0,1)</f>
        <v>1</v>
      </c>
      <c r="O285">
        <f>IF(gescon_infosparticip!N284=FALSE,0,1)</f>
        <v>0</v>
      </c>
      <c r="P285">
        <f>IF(gescon_infosparticip!O284=FALSE,0,1)</f>
        <v>0</v>
      </c>
      <c r="Q285">
        <f>IF(gescon_infosparticip!P284=FALSE,0,1)</f>
        <v>0</v>
      </c>
      <c r="R285">
        <f>IF(gescon_infosparticip!Q284=FALSE,0,1)</f>
        <v>0</v>
      </c>
      <c r="S285" t="str">
        <f>gescon_infosparticip!R284</f>
        <v/>
      </c>
      <c r="T285" t="str">
        <f>gescon_infosparticip!V284</f>
        <v>L'habillement se fait avec l'aide d'une personne en guidance</v>
      </c>
      <c r="U285" t="str">
        <f>gescon_infosparticip!S284</f>
        <v>Luca adore les piscine. Il porte des manchons et il est important d'être toujours avec lui pour le surveiller.</v>
      </c>
      <c r="V285">
        <f>IF(gescon_infosparticip!U284=FALSE,0,1)</f>
        <v>0</v>
      </c>
      <c r="W285">
        <f>IF(gescon_infosparticip!T284=FALSE,0,1)</f>
        <v>0</v>
      </c>
      <c r="X285" t="str">
        <f>gescon_infosparticip!W284</f>
        <v>Rien de spécial. Il faut rester à coté de lui dans le lit lors du couché pour le calmer et évité qu'il fasse le fou.</v>
      </c>
      <c r="Y285">
        <f>IF(gescon_infosparticip!X284=FALSE,0,1)</f>
        <v>0</v>
      </c>
      <c r="Z285">
        <f>IF(gescon_infosparticip!Y284=FALSE,0,1)</f>
        <v>0</v>
      </c>
      <c r="AA285">
        <f>IF(gescon_infosparticip!Z284=FALSE,0,1)</f>
        <v>0</v>
      </c>
      <c r="AB285">
        <f>IF(gescon_infosparticip!AA284=FALSE,0,1)</f>
        <v>0</v>
      </c>
      <c r="AC285" t="str">
        <f>gescon_infosparticip!AB284</f>
        <v>Luca ne parle pas. Il communique avec l'aide de pictogramme et des photos. Il prend également la main et amène la personne vers ce qu'il désire.</v>
      </c>
      <c r="AD285" t="str">
        <f>gescon_infosparticip!AC284</f>
        <v>Il vit à sion avec ses parents et son petit frère. Il est intégrer à l'école de la Bruyère à Sion</v>
      </c>
      <c r="AE285" t="str">
        <f>gescon_infosparticip!AD284</f>
        <v>Il a un petit frère Marco</v>
      </c>
      <c r="AF285" t="str">
        <f>gescon_infosparticip!AE284</f>
        <v/>
      </c>
      <c r="AG285" t="str">
        <f>gescon_infosparticip!AF284</f>
        <v>Il aime aller à la piscine , au jardin d'enfant. Il aime également courir.</v>
      </c>
      <c r="AH285" t="str">
        <f>gescon_infosparticip!AG284</f>
        <v>Il n'aime pas le vélo</v>
      </c>
      <c r="AI285" t="str">
        <f>gescon_infosparticip!BN284</f>
        <v>Luca ne fait plus de sieste</v>
      </c>
      <c r="AJ285" t="str">
        <f>gescon_infosparticip!BO284</f>
        <v/>
      </c>
    </row>
    <row r="286" spans="2:36" x14ac:dyDescent="0.25">
      <c r="B286">
        <f>gescon_infosparticip!A285</f>
        <v>2146189658</v>
      </c>
      <c r="C286">
        <f>gescon_infosparticip!B285</f>
        <v>42446</v>
      </c>
      <c r="D286">
        <f>gescon_infosparticip!C285</f>
        <v>0</v>
      </c>
      <c r="E286">
        <f>gescon_infosparticip!D285</f>
        <v>0</v>
      </c>
      <c r="F286">
        <f>gescon_infosparticip!E285</f>
        <v>0</v>
      </c>
      <c r="G286">
        <f>gescon_infosparticip!F285</f>
        <v>0</v>
      </c>
      <c r="H286">
        <f>gescon_infosparticip!G285</f>
        <v>0</v>
      </c>
      <c r="I286" t="str">
        <f>gescon_infosparticip!H285</f>
        <v/>
      </c>
      <c r="J286">
        <f>IF(gescon_infosparticip!I285=FALSE,0,1)</f>
        <v>0</v>
      </c>
      <c r="K286">
        <f>IF(gescon_infosparticip!J285=FALSE,0,1)</f>
        <v>0</v>
      </c>
      <c r="L286">
        <f>IF(gescon_infosparticip!K285=FALSE,0,1)</f>
        <v>0</v>
      </c>
      <c r="M286">
        <f>IF(gescon_infosparticip!L285=FALSE,0,1)</f>
        <v>0</v>
      </c>
      <c r="N286">
        <f>IF(gescon_infosparticip!M285=FALSE,0,1)</f>
        <v>0</v>
      </c>
      <c r="O286">
        <f>IF(gescon_infosparticip!N285=FALSE,0,1)</f>
        <v>0</v>
      </c>
      <c r="P286">
        <f>IF(gescon_infosparticip!O285=FALSE,0,1)</f>
        <v>0</v>
      </c>
      <c r="Q286">
        <f>IF(gescon_infosparticip!P285=FALSE,0,1)</f>
        <v>0</v>
      </c>
      <c r="R286">
        <f>IF(gescon_infosparticip!Q285=FALSE,0,1)</f>
        <v>0</v>
      </c>
      <c r="S286" t="str">
        <f>gescon_infosparticip!R285</f>
        <v/>
      </c>
      <c r="T286" t="str">
        <f>gescon_infosparticip!V285</f>
        <v/>
      </c>
      <c r="U286" t="str">
        <f>gescon_infosparticip!S285</f>
        <v/>
      </c>
      <c r="V286">
        <f>IF(gescon_infosparticip!U285=FALSE,0,1)</f>
        <v>0</v>
      </c>
      <c r="W286">
        <f>IF(gescon_infosparticip!T285=FALSE,0,1)</f>
        <v>0</v>
      </c>
      <c r="X286" t="str">
        <f>gescon_infosparticip!W285</f>
        <v/>
      </c>
      <c r="Y286">
        <f>IF(gescon_infosparticip!X285=FALSE,0,1)</f>
        <v>0</v>
      </c>
      <c r="Z286">
        <f>IF(gescon_infosparticip!Y285=FALSE,0,1)</f>
        <v>0</v>
      </c>
      <c r="AA286">
        <f>IF(gescon_infosparticip!Z285=FALSE,0,1)</f>
        <v>0</v>
      </c>
      <c r="AB286">
        <f>IF(gescon_infosparticip!AA285=FALSE,0,1)</f>
        <v>0</v>
      </c>
      <c r="AC286" t="str">
        <f>gescon_infosparticip!AB285</f>
        <v/>
      </c>
      <c r="AD286" t="str">
        <f>gescon_infosparticip!AC285</f>
        <v/>
      </c>
      <c r="AE286" t="str">
        <f>gescon_infosparticip!AD285</f>
        <v/>
      </c>
      <c r="AF286" t="str">
        <f>gescon_infosparticip!AE285</f>
        <v/>
      </c>
      <c r="AG286" t="str">
        <f>gescon_infosparticip!AF285</f>
        <v/>
      </c>
      <c r="AH286" t="str">
        <f>gescon_infosparticip!AG285</f>
        <v/>
      </c>
      <c r="AI286" t="str">
        <f>gescon_infosparticip!BN285</f>
        <v/>
      </c>
      <c r="AJ286" t="str">
        <f>gescon_infosparticip!BO285</f>
        <v/>
      </c>
    </row>
    <row r="287" spans="2:36" x14ac:dyDescent="0.25">
      <c r="B287">
        <f>gescon_infosparticip!A286</f>
        <v>2146189676</v>
      </c>
      <c r="C287">
        <f>gescon_infosparticip!B286</f>
        <v>42866</v>
      </c>
      <c r="D287">
        <f>gescon_infosparticip!C286</f>
        <v>2146189677</v>
      </c>
      <c r="E287">
        <f>gescon_infosparticip!D286</f>
        <v>0</v>
      </c>
      <c r="F287">
        <f>gescon_infosparticip!E286</f>
        <v>0</v>
      </c>
      <c r="G287">
        <f>gescon_infosparticip!F286</f>
        <v>1424</v>
      </c>
      <c r="H287">
        <f>gescon_infosparticip!G286</f>
        <v>1424</v>
      </c>
      <c r="I287" t="str">
        <f>gescon_infosparticip!H286</f>
        <v/>
      </c>
      <c r="J287">
        <f>IF(gescon_infosparticip!I286=FALSE,0,1)</f>
        <v>0</v>
      </c>
      <c r="K287">
        <f>IF(gescon_infosparticip!J286=FALSE,0,1)</f>
        <v>0</v>
      </c>
      <c r="L287">
        <f>IF(gescon_infosparticip!K286=FALSE,0,1)</f>
        <v>1</v>
      </c>
      <c r="M287">
        <f>IF(gescon_infosparticip!L286=FALSE,0,1)</f>
        <v>0</v>
      </c>
      <c r="N287">
        <f>IF(gescon_infosparticip!M286=FALSE,0,1)</f>
        <v>0</v>
      </c>
      <c r="O287">
        <f>IF(gescon_infosparticip!N286=FALSE,0,1)</f>
        <v>0</v>
      </c>
      <c r="P287">
        <f>IF(gescon_infosparticip!O286=FALSE,0,1)</f>
        <v>0</v>
      </c>
      <c r="Q287">
        <f>IF(gescon_infosparticip!P286=FALSE,0,1)</f>
        <v>1</v>
      </c>
      <c r="R287">
        <f>IF(gescon_infosparticip!Q286=FALSE,0,1)</f>
        <v>0</v>
      </c>
      <c r="S287" t="str">
        <f>gescon_infosparticip!R286</f>
        <v>Autonome avec sa chaise pour les courts trajets, plats.</v>
      </c>
      <c r="T287" t="str">
        <f>gescon_infosparticip!V286</f>
        <v>Stefano s'habille avec de l'aide.</v>
      </c>
      <c r="U287" t="str">
        <f>gescon_infosparticip!S286</f>
        <v>Il aimerait beacoup aller à la piscine mais n'a pas l'occasion d'y aller dans le cadre de l'institution.</v>
      </c>
      <c r="V287">
        <f>IF(gescon_infosparticip!U286=FALSE,0,1)</f>
        <v>1</v>
      </c>
      <c r="W287">
        <f>IF(gescon_infosparticip!T286=FALSE,0,1)</f>
        <v>0</v>
      </c>
      <c r="X287" t="str">
        <f>gescon_infosparticip!W286</f>
        <v>Rien de spécifique, il dort sur le dos et se met lui-même sur le coté en s'aidant de la barrière. Il dort généralement bien. Durant la nuit, lui proposer l'urinal à deux reprises (pendant les veilles)</v>
      </c>
      <c r="Y287">
        <f>IF(gescon_infosparticip!X286=FALSE,0,1)</f>
        <v>0</v>
      </c>
      <c r="Z287">
        <f>IF(gescon_infosparticip!Y286=FALSE,0,1)</f>
        <v>0</v>
      </c>
      <c r="AA287">
        <f>IF(gescon_infosparticip!Z286=FALSE,0,1)</f>
        <v>0</v>
      </c>
      <c r="AB287">
        <f>IF(gescon_infosparticip!AA286=FALSE,0,1)</f>
        <v>1</v>
      </c>
      <c r="AC287" t="str">
        <f>gescon_infosparticip!AB286</f>
        <v>Stefano s'exprime très bien verbalement. Il peut vite s'emporter en parlant des personnes ou d'évenements du passé. Il est important parfois de le cadrer et de le remettre dans la réalité. Il est tres affectueux et apprécie être avec les gens et le leur dit. Cependant, il est important de garder une certaine distance et de le cadrer si nécessaire (notamment avec les femmes) car il peut faire des demandes innapropriées ( massage, calin, etc.</v>
      </c>
      <c r="AD287" t="str">
        <f>gescon_infosparticip!AC286</f>
        <v>Il parle beaucoup de sa famille et de son pays d'origine, l'Italie. Sa mère, Giulia, vit à Martigny et l'accueil le dimanche à la maison. Elle est âgée et rencontre des problèmes de santé. Il se fait beaucoup de soucis pour elle et a besoin d'en parler</v>
      </c>
      <c r="AE287" t="str">
        <f>gescon_infosparticip!AD286</f>
        <v/>
      </c>
      <c r="AF287" t="str">
        <f>gescon_infosparticip!AE286</f>
        <v/>
      </c>
      <c r="AG287" t="str">
        <f>gescon_infosparticip!AF286</f>
        <v>Il aime beaucoup discuter avec les gens. Il apprécie les promenades, le dessin et la musique. Il adore chanter.</v>
      </c>
      <c r="AH287" t="str">
        <f>gescon_infosparticip!AG286</f>
        <v>Stefano a peur des animaux.</v>
      </c>
      <c r="AI287" t="str">
        <f>gescon_infosparticip!BN286</f>
        <v>Pas nécessairement. Stefano demande s'il veut faire une sieste</v>
      </c>
      <c r="AJ287" t="str">
        <f>gescon_infosparticip!BO286</f>
        <v/>
      </c>
    </row>
    <row r="288" spans="2:36" x14ac:dyDescent="0.25">
      <c r="B288">
        <f>gescon_infosparticip!A287</f>
        <v>2146189678</v>
      </c>
      <c r="C288">
        <f>gescon_infosparticip!B287</f>
        <v>42447</v>
      </c>
      <c r="D288">
        <f>gescon_infosparticip!C287</f>
        <v>0</v>
      </c>
      <c r="E288">
        <f>gescon_infosparticip!D287</f>
        <v>0</v>
      </c>
      <c r="F288">
        <f>gescon_infosparticip!E287</f>
        <v>0</v>
      </c>
      <c r="G288">
        <f>gescon_infosparticip!F287</f>
        <v>0</v>
      </c>
      <c r="H288">
        <f>gescon_infosparticip!G287</f>
        <v>0</v>
      </c>
      <c r="I288" t="str">
        <f>gescon_infosparticip!H287</f>
        <v/>
      </c>
      <c r="J288">
        <f>IF(gescon_infosparticip!I287=FALSE,0,1)</f>
        <v>0</v>
      </c>
      <c r="K288">
        <f>IF(gescon_infosparticip!J287=FALSE,0,1)</f>
        <v>0</v>
      </c>
      <c r="L288">
        <f>IF(gescon_infosparticip!K287=FALSE,0,1)</f>
        <v>0</v>
      </c>
      <c r="M288">
        <f>IF(gescon_infosparticip!L287=FALSE,0,1)</f>
        <v>0</v>
      </c>
      <c r="N288">
        <f>IF(gescon_infosparticip!M287=FALSE,0,1)</f>
        <v>0</v>
      </c>
      <c r="O288">
        <f>IF(gescon_infosparticip!N287=FALSE,0,1)</f>
        <v>0</v>
      </c>
      <c r="P288">
        <f>IF(gescon_infosparticip!O287=FALSE,0,1)</f>
        <v>0</v>
      </c>
      <c r="Q288">
        <f>IF(gescon_infosparticip!P287=FALSE,0,1)</f>
        <v>0</v>
      </c>
      <c r="R288">
        <f>IF(gescon_infosparticip!Q287=FALSE,0,1)</f>
        <v>0</v>
      </c>
      <c r="S288" t="str">
        <f>gescon_infosparticip!R287</f>
        <v/>
      </c>
      <c r="T288" t="str">
        <f>gescon_infosparticip!V287</f>
        <v/>
      </c>
      <c r="U288" t="str">
        <f>gescon_infosparticip!S287</f>
        <v/>
      </c>
      <c r="V288">
        <f>IF(gescon_infosparticip!U287=FALSE,0,1)</f>
        <v>0</v>
      </c>
      <c r="W288">
        <f>IF(gescon_infosparticip!T287=FALSE,0,1)</f>
        <v>0</v>
      </c>
      <c r="X288" t="str">
        <f>gescon_infosparticip!W287</f>
        <v/>
      </c>
      <c r="Y288">
        <f>IF(gescon_infosparticip!X287=FALSE,0,1)</f>
        <v>0</v>
      </c>
      <c r="Z288">
        <f>IF(gescon_infosparticip!Y287=FALSE,0,1)</f>
        <v>0</v>
      </c>
      <c r="AA288">
        <f>IF(gescon_infosparticip!Z287=FALSE,0,1)</f>
        <v>0</v>
      </c>
      <c r="AB288">
        <f>IF(gescon_infosparticip!AA287=FALSE,0,1)</f>
        <v>0</v>
      </c>
      <c r="AC288" t="str">
        <f>gescon_infosparticip!AB287</f>
        <v/>
      </c>
      <c r="AD288" t="str">
        <f>gescon_infosparticip!AC287</f>
        <v/>
      </c>
      <c r="AE288" t="str">
        <f>gescon_infosparticip!AD287</f>
        <v/>
      </c>
      <c r="AF288" t="str">
        <f>gescon_infosparticip!AE287</f>
        <v/>
      </c>
      <c r="AG288" t="str">
        <f>gescon_infosparticip!AF287</f>
        <v/>
      </c>
      <c r="AH288" t="str">
        <f>gescon_infosparticip!AG287</f>
        <v/>
      </c>
      <c r="AI288" t="str">
        <f>gescon_infosparticip!BN287</f>
        <v/>
      </c>
      <c r="AJ288" t="str">
        <f>gescon_infosparticip!BO287</f>
        <v/>
      </c>
    </row>
    <row r="289" spans="2:36" x14ac:dyDescent="0.25">
      <c r="B289">
        <f>gescon_infosparticip!A288</f>
        <v>2146189679</v>
      </c>
      <c r="C289">
        <f>gescon_infosparticip!B288</f>
        <v>42761</v>
      </c>
      <c r="D289">
        <f>gescon_infosparticip!C288</f>
        <v>2146189680</v>
      </c>
      <c r="E289">
        <f>gescon_infosparticip!D288</f>
        <v>0</v>
      </c>
      <c r="F289">
        <f>gescon_infosparticip!E288</f>
        <v>0</v>
      </c>
      <c r="G289">
        <f>gescon_infosparticip!F288</f>
        <v>1424</v>
      </c>
      <c r="H289">
        <f>gescon_infosparticip!G288</f>
        <v>2146189680</v>
      </c>
      <c r="I289" t="str">
        <f>gescon_infosparticip!H288</f>
        <v/>
      </c>
      <c r="J289">
        <f>IF(gescon_infosparticip!I288=FALSE,0,1)</f>
        <v>0</v>
      </c>
      <c r="K289">
        <f>IF(gescon_infosparticip!J288=FALSE,0,1)</f>
        <v>0</v>
      </c>
      <c r="L289">
        <f>IF(gescon_infosparticip!K288=FALSE,0,1)</f>
        <v>0</v>
      </c>
      <c r="M289">
        <f>IF(gescon_infosparticip!L288=FALSE,0,1)</f>
        <v>1</v>
      </c>
      <c r="N289">
        <f>IF(gescon_infosparticip!M288=FALSE,0,1)</f>
        <v>0</v>
      </c>
      <c r="O289">
        <f>IF(gescon_infosparticip!N288=FALSE,0,1)</f>
        <v>0</v>
      </c>
      <c r="P289">
        <f>IF(gescon_infosparticip!O288=FALSE,0,1)</f>
        <v>0</v>
      </c>
      <c r="Q289">
        <f>IF(gescon_infosparticip!P288=FALSE,0,1)</f>
        <v>1</v>
      </c>
      <c r="R289">
        <f>IF(gescon_infosparticip!Q288=FALSE,0,1)</f>
        <v>0</v>
      </c>
      <c r="S289" t="str">
        <f>gescon_infosparticip!R288</f>
        <v>Capable d'avancer seul avec son fauteuil.</v>
      </c>
      <c r="T289" t="str">
        <f>gescon_infosparticip!V288</f>
        <v>Aide totale pour l'habillement.</v>
      </c>
      <c r="U289" t="str">
        <f>gescon_infosparticip!S288</f>
        <v>Roland apprécie la piscine</v>
      </c>
      <c r="V289">
        <f>IF(gescon_infosparticip!U288=FALSE,0,1)</f>
        <v>0</v>
      </c>
      <c r="W289">
        <f>IF(gescon_infosparticip!T288=FALSE,0,1)</f>
        <v>1</v>
      </c>
      <c r="X289" t="str">
        <f>gescon_infosparticip!W288</f>
        <v>Apprécie la sieste.
Dossier à 30 * pour déglutition de la salive.</v>
      </c>
      <c r="Y289">
        <f>IF(gescon_infosparticip!X288=FALSE,0,1)</f>
        <v>1</v>
      </c>
      <c r="Z289">
        <f>IF(gescon_infosparticip!Y288=FALSE,0,1)</f>
        <v>0</v>
      </c>
      <c r="AA289">
        <f>IF(gescon_infosparticip!Z288=FALSE,0,1)</f>
        <v>0</v>
      </c>
      <c r="AB289">
        <f>IF(gescon_infosparticip!AA288=FALSE,0,1)</f>
        <v>0</v>
      </c>
      <c r="AC289" t="str">
        <f>gescon_infosparticip!AB288</f>
        <v>Ne parle pas verbalement. Pouce vers le menton pour dire "je veux sortir". Roland crie s'il n’est pas content ou frustré</v>
      </c>
      <c r="AD289" t="str">
        <f>gescon_infosparticip!AC288</f>
        <v/>
      </c>
      <c r="AE289" t="str">
        <f>gescon_infosparticip!AD288</f>
        <v>1 sœur Romaine 0794669904</v>
      </c>
      <c r="AF289" t="str">
        <f>gescon_infosparticip!AE288</f>
        <v/>
      </c>
      <c r="AG289" t="str">
        <f>gescon_infosparticip!AF288</f>
        <v/>
      </c>
      <c r="AH289" t="str">
        <f>gescon_infosparticip!AG288</f>
        <v>N'aime pas rien faire ( être actif avec lui)</v>
      </c>
      <c r="AI289" t="str">
        <f>gescon_infosparticip!BN288</f>
        <v>Roland est langé en permanence</v>
      </c>
      <c r="AJ289" t="str">
        <f>gescon_infosparticip!BO288</f>
        <v/>
      </c>
    </row>
    <row r="290" spans="2:36" x14ac:dyDescent="0.25">
      <c r="B290">
        <f>gescon_infosparticip!A289</f>
        <v>2146189681</v>
      </c>
      <c r="C290">
        <f>gescon_infosparticip!B289</f>
        <v>42426</v>
      </c>
      <c r="D290">
        <f>gescon_infosparticip!C289</f>
        <v>0</v>
      </c>
      <c r="E290">
        <f>gescon_infosparticip!D289</f>
        <v>0</v>
      </c>
      <c r="F290">
        <f>gescon_infosparticip!E289</f>
        <v>0</v>
      </c>
      <c r="G290">
        <f>gescon_infosparticip!F289</f>
        <v>0</v>
      </c>
      <c r="H290">
        <f>gescon_infosparticip!G289</f>
        <v>0</v>
      </c>
      <c r="I290" t="str">
        <f>gescon_infosparticip!H289</f>
        <v/>
      </c>
      <c r="J290">
        <f>IF(gescon_infosparticip!I289=FALSE,0,1)</f>
        <v>0</v>
      </c>
      <c r="K290">
        <f>IF(gescon_infosparticip!J289=FALSE,0,1)</f>
        <v>0</v>
      </c>
      <c r="L290">
        <f>IF(gescon_infosparticip!K289=FALSE,0,1)</f>
        <v>0</v>
      </c>
      <c r="M290">
        <f>IF(gescon_infosparticip!L289=FALSE,0,1)</f>
        <v>0</v>
      </c>
      <c r="N290">
        <f>IF(gescon_infosparticip!M289=FALSE,0,1)</f>
        <v>0</v>
      </c>
      <c r="O290">
        <f>IF(gescon_infosparticip!N289=FALSE,0,1)</f>
        <v>0</v>
      </c>
      <c r="P290">
        <f>IF(gescon_infosparticip!O289=FALSE,0,1)</f>
        <v>0</v>
      </c>
      <c r="Q290">
        <f>IF(gescon_infosparticip!P289=FALSE,0,1)</f>
        <v>0</v>
      </c>
      <c r="R290">
        <f>IF(gescon_infosparticip!Q289=FALSE,0,1)</f>
        <v>0</v>
      </c>
      <c r="S290" t="str">
        <f>gescon_infosparticip!R289</f>
        <v/>
      </c>
      <c r="T290" t="str">
        <f>gescon_infosparticip!V289</f>
        <v/>
      </c>
      <c r="U290" t="str">
        <f>gescon_infosparticip!S289</f>
        <v/>
      </c>
      <c r="V290">
        <f>IF(gescon_infosparticip!U289=FALSE,0,1)</f>
        <v>0</v>
      </c>
      <c r="W290">
        <f>IF(gescon_infosparticip!T289=FALSE,0,1)</f>
        <v>0</v>
      </c>
      <c r="X290" t="str">
        <f>gescon_infosparticip!W289</f>
        <v/>
      </c>
      <c r="Y290">
        <f>IF(gescon_infosparticip!X289=FALSE,0,1)</f>
        <v>0</v>
      </c>
      <c r="Z290">
        <f>IF(gescon_infosparticip!Y289=FALSE,0,1)</f>
        <v>0</v>
      </c>
      <c r="AA290">
        <f>IF(gescon_infosparticip!Z289=FALSE,0,1)</f>
        <v>0</v>
      </c>
      <c r="AB290">
        <f>IF(gescon_infosparticip!AA289=FALSE,0,1)</f>
        <v>0</v>
      </c>
      <c r="AC290" t="str">
        <f>gescon_infosparticip!AB289</f>
        <v/>
      </c>
      <c r="AD290" t="str">
        <f>gescon_infosparticip!AC289</f>
        <v/>
      </c>
      <c r="AE290" t="str">
        <f>gescon_infosparticip!AD289</f>
        <v/>
      </c>
      <c r="AF290" t="str">
        <f>gescon_infosparticip!AE289</f>
        <v/>
      </c>
      <c r="AG290" t="str">
        <f>gescon_infosparticip!AF289</f>
        <v/>
      </c>
      <c r="AH290" t="str">
        <f>gescon_infosparticip!AG289</f>
        <v/>
      </c>
      <c r="AI290" t="str">
        <f>gescon_infosparticip!BN289</f>
        <v/>
      </c>
      <c r="AJ290" t="str">
        <f>gescon_infosparticip!BO289</f>
        <v/>
      </c>
    </row>
    <row r="291" spans="2:36" x14ac:dyDescent="0.25">
      <c r="B291">
        <f>gescon_infosparticip!A290</f>
        <v>2146189682</v>
      </c>
      <c r="C291">
        <f>gescon_infosparticip!B290</f>
        <v>42933</v>
      </c>
      <c r="D291">
        <f>gescon_infosparticip!C290</f>
        <v>0</v>
      </c>
      <c r="E291">
        <f>gescon_infosparticip!D290</f>
        <v>0</v>
      </c>
      <c r="F291">
        <f>gescon_infosparticip!E290</f>
        <v>0</v>
      </c>
      <c r="G291">
        <f>gescon_infosparticip!F290</f>
        <v>2146189000</v>
      </c>
      <c r="H291">
        <f>gescon_infosparticip!G290</f>
        <v>2146189000</v>
      </c>
      <c r="I291" t="str">
        <f>gescon_infosparticip!H290</f>
        <v>Roxane Monnet - 027 327 29 24</v>
      </c>
      <c r="J291">
        <f>IF(gescon_infosparticip!I290=FALSE,0,1)</f>
        <v>0</v>
      </c>
      <c r="K291">
        <f>IF(gescon_infosparticip!J290=FALSE,0,1)</f>
        <v>0</v>
      </c>
      <c r="L291">
        <f>IF(gescon_infosparticip!K290=FALSE,0,1)</f>
        <v>0</v>
      </c>
      <c r="M291">
        <f>IF(gescon_infosparticip!L290=FALSE,0,1)</f>
        <v>1</v>
      </c>
      <c r="N291">
        <f>IF(gescon_infosparticip!M290=FALSE,0,1)</f>
        <v>1</v>
      </c>
      <c r="O291">
        <f>IF(gescon_infosparticip!N290=FALSE,0,1)</f>
        <v>1</v>
      </c>
      <c r="P291">
        <f>IF(gescon_infosparticip!O290=FALSE,0,1)</f>
        <v>1</v>
      </c>
      <c r="Q291">
        <f>IF(gescon_infosparticip!P290=FALSE,0,1)</f>
        <v>1</v>
      </c>
      <c r="R291">
        <f>IF(gescon_infosparticip!Q290=FALSE,0,1)</f>
        <v>0</v>
      </c>
      <c r="S291" t="str">
        <f>gescon_infosparticip!R290</f>
        <v>En fauteuil roulant. James marche sur de courtes distances avec 2 cannes mais avec guidance et surveillance.</v>
      </c>
      <c r="T291" t="str">
        <f>gescon_infosparticip!V290</f>
        <v>Rock-Roll, hard rock. Aime les bagues et les cheveux mi-longs.</v>
      </c>
      <c r="U291" t="str">
        <f>gescon_infosparticip!S290</f>
        <v>James se déplace de manière autonome dans l'eau lorsqu'il a le fond,mais pas dans l'eau profonde</v>
      </c>
      <c r="V291">
        <f>IF(gescon_infosparticip!U290=FALSE,0,1)</f>
        <v>1</v>
      </c>
      <c r="W291">
        <f>IF(gescon_infosparticip!T290=FALSE,0,1)</f>
        <v>0</v>
      </c>
      <c r="X291" t="str">
        <f>gescon_infosparticip!W290</f>
        <v>James a besoin d'être stimulé 1x pendant la nuit . L'accompagner aux toilettes lors de la veille.</v>
      </c>
      <c r="Y291">
        <f>IF(gescon_infosparticip!X290=FALSE,0,1)</f>
        <v>0</v>
      </c>
      <c r="Z291">
        <f>IF(gescon_infosparticip!Y290=FALSE,0,1)</f>
        <v>0</v>
      </c>
      <c r="AA291">
        <f>IF(gescon_infosparticip!Z290=FALSE,0,1)</f>
        <v>0</v>
      </c>
      <c r="AB291">
        <f>IF(gescon_infosparticip!AA290=FALSE,0,1)</f>
        <v>0</v>
      </c>
      <c r="AC291" t="str">
        <f>gescon_infosparticip!AB290</f>
        <v>James s'exprime bien. Parfois, il dit qu'il entend des voix, mais elles sont gentilles.</v>
      </c>
      <c r="AD291" t="str">
        <f>gescon_infosparticip!AC290</f>
        <v>Parents divorcés et âgés. Sa maman vit en EMS.</v>
      </c>
      <c r="AE291" t="str">
        <f>gescon_infosparticip!AD290</f>
        <v>une sœur et un frère.</v>
      </c>
      <c r="AF291" t="str">
        <f>gescon_infosparticip!AE290</f>
        <v/>
      </c>
      <c r="AG291" t="str">
        <f>gescon_infosparticip!AF290</f>
        <v>Guitare, échanger sur son voyage en Inde et ses expériences de vie. Ecouter de la musique et lire ses revues de musiques.</v>
      </c>
      <c r="AH291" t="str">
        <f>gescon_infosparticip!AG290</f>
        <v>James s'inquiète lors de nouveautés ou de l'inconnu.</v>
      </c>
      <c r="AI291" t="str">
        <f>gescon_infosparticip!BN290</f>
        <v>James est autonome.</v>
      </c>
      <c r="AJ291" t="str">
        <f>gescon_infosparticip!BO290</f>
        <v/>
      </c>
    </row>
    <row r="292" spans="2:36" x14ac:dyDescent="0.25">
      <c r="B292">
        <f>gescon_infosparticip!A291</f>
        <v>2146189684</v>
      </c>
      <c r="C292">
        <f>gescon_infosparticip!B291</f>
        <v>42579</v>
      </c>
      <c r="D292">
        <f>gescon_infosparticip!C291</f>
        <v>2146189685</v>
      </c>
      <c r="E292">
        <f>gescon_infosparticip!D291</f>
        <v>0</v>
      </c>
      <c r="F292">
        <f>gescon_infosparticip!E291</f>
        <v>0</v>
      </c>
      <c r="G292">
        <f>gescon_infosparticip!F291</f>
        <v>1424</v>
      </c>
      <c r="H292">
        <f>gescon_infosparticip!G291</f>
        <v>0</v>
      </c>
      <c r="I292" t="str">
        <f>gescon_infosparticip!H291</f>
        <v>Groupe A5 Jennifer Rudaz</v>
      </c>
      <c r="J292">
        <f>IF(gescon_infosparticip!I291=FALSE,0,1)</f>
        <v>0</v>
      </c>
      <c r="K292">
        <f>IF(gescon_infosparticip!J291=FALSE,0,1)</f>
        <v>0</v>
      </c>
      <c r="L292">
        <f>IF(gescon_infosparticip!K291=FALSE,0,1)</f>
        <v>0</v>
      </c>
      <c r="M292">
        <f>IF(gescon_infosparticip!L291=FALSE,0,1)</f>
        <v>1</v>
      </c>
      <c r="N292">
        <f>IF(gescon_infosparticip!M291=FALSE,0,1)</f>
        <v>1</v>
      </c>
      <c r="O292">
        <f>IF(gescon_infosparticip!N291=FALSE,0,1)</f>
        <v>0</v>
      </c>
      <c r="P292">
        <f>IF(gescon_infosparticip!O291=FALSE,0,1)</f>
        <v>0</v>
      </c>
      <c r="Q292">
        <f>IF(gescon_infosparticip!P291=FALSE,0,1)</f>
        <v>0</v>
      </c>
      <c r="R292">
        <f>IF(gescon_infosparticip!Q291=FALSE,0,1)</f>
        <v>0</v>
      </c>
      <c r="S292" t="str">
        <f>gescon_infosparticip!R291</f>
        <v/>
      </c>
      <c r="T292" t="str">
        <f>gescon_infosparticip!V291</f>
        <v>Avec de l'aide</v>
      </c>
      <c r="U292" t="str">
        <f>gescon_infosparticip!S291</f>
        <v/>
      </c>
      <c r="V292">
        <f>IF(gescon_infosparticip!U291=FALSE,0,1)</f>
        <v>0</v>
      </c>
      <c r="W292">
        <f>IF(gescon_infosparticip!T291=FALSE,0,1)</f>
        <v>0</v>
      </c>
      <c r="X292" t="str">
        <f>gescon_infosparticip!W291</f>
        <v>Langé / Rien de particulier</v>
      </c>
      <c r="Y292">
        <f>IF(gescon_infosparticip!X291=FALSE,0,1)</f>
        <v>0</v>
      </c>
      <c r="Z292">
        <f>IF(gescon_infosparticip!Y291=FALSE,0,1)</f>
        <v>0</v>
      </c>
      <c r="AA292">
        <f>IF(gescon_infosparticip!Z291=FALSE,0,1)</f>
        <v>0</v>
      </c>
      <c r="AB292">
        <f>IF(gescon_infosparticip!AA291=FALSE,0,1)</f>
        <v>0</v>
      </c>
      <c r="AC292" t="str">
        <f>gescon_infosparticip!AB291</f>
        <v>quelques mots et quelques signes LSF</v>
      </c>
      <c r="AD292" t="str">
        <f>gescon_infosparticip!AC291</f>
        <v>Père : Vesel Haliti
mère : Elfete Haliti</v>
      </c>
      <c r="AE292" t="str">
        <f>gescon_infosparticip!AD291</f>
        <v>Ahmed (1997), Emine (2000) et Biondine (2002)</v>
      </c>
      <c r="AF292" t="str">
        <f>gescon_infosparticip!AE291</f>
        <v/>
      </c>
      <c r="AG292" t="str">
        <f>gescon_infosparticip!AF291</f>
        <v>Il aime la piscine, les livres, se reposer dans un sacco, faire des puzzles, du dessin, de la balançoire.</v>
      </c>
      <c r="AH292" t="str">
        <f>gescon_infosparticip!AG291</f>
        <v>-</v>
      </c>
      <c r="AI292" t="str">
        <f>gescon_infosparticip!BN291</f>
        <v>Non</v>
      </c>
      <c r="AJ292" t="str">
        <f>gescon_infosparticip!BO291</f>
        <v/>
      </c>
    </row>
    <row r="293" spans="2:36" x14ac:dyDescent="0.25">
      <c r="B293">
        <f>gescon_infosparticip!A292</f>
        <v>2146189691</v>
      </c>
      <c r="C293">
        <f>gescon_infosparticip!B292</f>
        <v>43000</v>
      </c>
      <c r="D293">
        <f>gescon_infosparticip!C292</f>
        <v>2146189692</v>
      </c>
      <c r="E293">
        <f>gescon_infosparticip!D292</f>
        <v>2146189694</v>
      </c>
      <c r="F293">
        <f>gescon_infosparticip!E292</f>
        <v>0</v>
      </c>
      <c r="G293">
        <f>gescon_infosparticip!F292</f>
        <v>0</v>
      </c>
      <c r="H293">
        <f>gescon_infosparticip!G292</f>
        <v>2146189694</v>
      </c>
      <c r="I293" t="str">
        <f>gescon_infosparticip!H292</f>
        <v/>
      </c>
      <c r="J293">
        <f>IF(gescon_infosparticip!I292=FALSE,0,1)</f>
        <v>0</v>
      </c>
      <c r="K293">
        <f>IF(gescon_infosparticip!J292=FALSE,0,1)</f>
        <v>0</v>
      </c>
      <c r="L293">
        <f>IF(gescon_infosparticip!K292=FALSE,0,1)</f>
        <v>0</v>
      </c>
      <c r="M293">
        <f>IF(gescon_infosparticip!L292=FALSE,0,1)</f>
        <v>1</v>
      </c>
      <c r="N293">
        <f>IF(gescon_infosparticip!M292=FALSE,0,1)</f>
        <v>0</v>
      </c>
      <c r="O293">
        <f>IF(gescon_infosparticip!N292=FALSE,0,1)</f>
        <v>0</v>
      </c>
      <c r="P293">
        <f>IF(gescon_infosparticip!O292=FALSE,0,1)</f>
        <v>1</v>
      </c>
      <c r="Q293">
        <f>IF(gescon_infosparticip!P292=FALSE,0,1)</f>
        <v>0</v>
      </c>
      <c r="R293">
        <f>IF(gescon_infosparticip!Q292=FALSE,0,1)</f>
        <v>0</v>
      </c>
      <c r="S293" t="str">
        <f>gescon_infosparticip!R292</f>
        <v>Siége-auto - Poussette</v>
      </c>
      <c r="T293" t="str">
        <f>gescon_infosparticip!V292</f>
        <v>Ne s'habille pas seule - Vêtements très variés et en général souples, sans manches pour les manteaux.</v>
      </c>
      <c r="U293" t="str">
        <f>gescon_infosparticip!S292</f>
        <v>Va à la piscine tous les jeudi à la Castalie. Apprécie énormément.</v>
      </c>
      <c r="V293">
        <f>IF(gescon_infosparticip!U292=FALSE,0,1)</f>
        <v>1</v>
      </c>
      <c r="W293">
        <f>IF(gescon_infosparticip!T292=FALSE,0,1)</f>
        <v>1</v>
      </c>
      <c r="X293" t="str">
        <f>gescon_infosparticip!W292</f>
        <v>Lui lire/raconter une histoire dans son lit, dans le calme (présence de la veilleuse obligatoire) - sur le dos ou du côté droit - pyjama et duvet - Pleure parfois la nuit, mais se rendort facilement. Si les pleurs se font insistants et persévérents, réclame alors un changement de position.</v>
      </c>
      <c r="Y293">
        <f>IF(gescon_infosparticip!X292=FALSE,0,1)</f>
        <v>0</v>
      </c>
      <c r="Z293">
        <f>IF(gescon_infosparticip!Y292=FALSE,0,1)</f>
        <v>0</v>
      </c>
      <c r="AA293">
        <f>IF(gescon_infosparticip!Z292=FALSE,0,1)</f>
        <v>0</v>
      </c>
      <c r="AB293">
        <f>IF(gescon_infosparticip!AA292=FALSE,0,1)</f>
        <v>1</v>
      </c>
      <c r="AC293" t="str">
        <f>gescon_infosparticip!AB292</f>
        <v>Communication / discussion avec l'entourage: balbutiement - Mécontentement: cris et pleurs sans larmes - Douleur: pleurs avec larmes.</v>
      </c>
      <c r="AD293" t="str">
        <f>gescon_infosparticip!AC292</f>
        <v>Les parents, principalement, et les grands-parents paternels</v>
      </c>
      <c r="AE293" t="str">
        <f>gescon_infosparticip!AD292</f>
        <v/>
      </c>
      <c r="AF293" t="str">
        <f>gescon_infosparticip!AE292</f>
        <v>Enfants d'un couple d'amis (Alicia et Sofia). Les apprécie énormément, de longs sourires et balbutiements en leur présence</v>
      </c>
      <c r="AG293" t="str">
        <f>gescon_infosparticip!AF292</f>
        <v>Se promener en voiture et en poussette avec les parents (sentiment de réconfort)</v>
      </c>
      <c r="AH293" t="str">
        <f>gescon_infosparticip!AG292</f>
        <v>Le contact avec des inconnus, se retrouver seule, entre autres</v>
      </c>
      <c r="AI293" t="str">
        <f>gescon_infosparticip!BN292</f>
        <v>Sur les côtés ou sur le dos (jamais sur le ventre - sentiment de panique).A éviter le côté droit où se situe la pompe</v>
      </c>
      <c r="AJ293" t="str">
        <f>gescon_infosparticip!BO292</f>
        <v>min. 5x/jour: s'agite dès qu'elle ne sent pas bien dans une postiion.</v>
      </c>
    </row>
    <row r="294" spans="2:36" x14ac:dyDescent="0.25">
      <c r="B294">
        <f>gescon_infosparticip!A293</f>
        <v>2146189695</v>
      </c>
      <c r="C294">
        <f>gescon_infosparticip!B293</f>
        <v>42485</v>
      </c>
      <c r="D294">
        <f>gescon_infosparticip!C293</f>
        <v>0</v>
      </c>
      <c r="E294">
        <f>gescon_infosparticip!D293</f>
        <v>0</v>
      </c>
      <c r="F294">
        <f>gescon_infosparticip!E293</f>
        <v>0</v>
      </c>
      <c r="G294">
        <f>gescon_infosparticip!F293</f>
        <v>0</v>
      </c>
      <c r="H294">
        <f>gescon_infosparticip!G293</f>
        <v>0</v>
      </c>
      <c r="I294" t="str">
        <f>gescon_infosparticip!H293</f>
        <v/>
      </c>
      <c r="J294">
        <f>IF(gescon_infosparticip!I293=FALSE,0,1)</f>
        <v>0</v>
      </c>
      <c r="K294">
        <f>IF(gescon_infosparticip!J293=FALSE,0,1)</f>
        <v>0</v>
      </c>
      <c r="L294">
        <f>IF(gescon_infosparticip!K293=FALSE,0,1)</f>
        <v>0</v>
      </c>
      <c r="M294">
        <f>IF(gescon_infosparticip!L293=FALSE,0,1)</f>
        <v>0</v>
      </c>
      <c r="N294">
        <f>IF(gescon_infosparticip!M293=FALSE,0,1)</f>
        <v>0</v>
      </c>
      <c r="O294">
        <f>IF(gescon_infosparticip!N293=FALSE,0,1)</f>
        <v>0</v>
      </c>
      <c r="P294">
        <f>IF(gescon_infosparticip!O293=FALSE,0,1)</f>
        <v>0</v>
      </c>
      <c r="Q294">
        <f>IF(gescon_infosparticip!P293=FALSE,0,1)</f>
        <v>0</v>
      </c>
      <c r="R294">
        <f>IF(gescon_infosparticip!Q293=FALSE,0,1)</f>
        <v>0</v>
      </c>
      <c r="S294" t="str">
        <f>gescon_infosparticip!R293</f>
        <v/>
      </c>
      <c r="T294" t="str">
        <f>gescon_infosparticip!V293</f>
        <v/>
      </c>
      <c r="U294" t="str">
        <f>gescon_infosparticip!S293</f>
        <v/>
      </c>
      <c r="V294">
        <f>IF(gescon_infosparticip!U293=FALSE,0,1)</f>
        <v>0</v>
      </c>
      <c r="W294">
        <f>IF(gescon_infosparticip!T293=FALSE,0,1)</f>
        <v>0</v>
      </c>
      <c r="X294" t="str">
        <f>gescon_infosparticip!W293</f>
        <v/>
      </c>
      <c r="Y294">
        <f>IF(gescon_infosparticip!X293=FALSE,0,1)</f>
        <v>0</v>
      </c>
      <c r="Z294">
        <f>IF(gescon_infosparticip!Y293=FALSE,0,1)</f>
        <v>0</v>
      </c>
      <c r="AA294">
        <f>IF(gescon_infosparticip!Z293=FALSE,0,1)</f>
        <v>0</v>
      </c>
      <c r="AB294">
        <f>IF(gescon_infosparticip!AA293=FALSE,0,1)</f>
        <v>0</v>
      </c>
      <c r="AC294" t="str">
        <f>gescon_infosparticip!AB293</f>
        <v/>
      </c>
      <c r="AD294" t="str">
        <f>gescon_infosparticip!AC293</f>
        <v/>
      </c>
      <c r="AE294" t="str">
        <f>gescon_infosparticip!AD293</f>
        <v/>
      </c>
      <c r="AF294" t="str">
        <f>gescon_infosparticip!AE293</f>
        <v/>
      </c>
      <c r="AG294" t="str">
        <f>gescon_infosparticip!AF293</f>
        <v/>
      </c>
      <c r="AH294" t="str">
        <f>gescon_infosparticip!AG293</f>
        <v/>
      </c>
      <c r="AI294" t="str">
        <f>gescon_infosparticip!BN293</f>
        <v/>
      </c>
      <c r="AJ294" t="str">
        <f>gescon_infosparticip!BO293</f>
        <v/>
      </c>
    </row>
    <row r="295" spans="2:36" x14ac:dyDescent="0.25">
      <c r="B295">
        <f>gescon_infosparticip!A294</f>
        <v>2146189701</v>
      </c>
      <c r="C295">
        <f>gescon_infosparticip!B294</f>
        <v>42866</v>
      </c>
      <c r="D295">
        <f>gescon_infosparticip!C294</f>
        <v>2146189702</v>
      </c>
      <c r="E295">
        <f>gescon_infosparticip!D294</f>
        <v>0</v>
      </c>
      <c r="F295">
        <f>gescon_infosparticip!E294</f>
        <v>0</v>
      </c>
      <c r="G295">
        <f>gescon_infosparticip!F294</f>
        <v>0</v>
      </c>
      <c r="H295">
        <f>gescon_infosparticip!G294</f>
        <v>2146189702</v>
      </c>
      <c r="I295" t="str">
        <f>gescon_infosparticip!H294</f>
        <v/>
      </c>
      <c r="J295">
        <f>IF(gescon_infosparticip!I294=FALSE,0,1)</f>
        <v>0</v>
      </c>
      <c r="K295">
        <f>IF(gescon_infosparticip!J294=FALSE,0,1)</f>
        <v>0</v>
      </c>
      <c r="L295">
        <f>IF(gescon_infosparticip!K294=FALSE,0,1)</f>
        <v>0</v>
      </c>
      <c r="M295">
        <f>IF(gescon_infosparticip!L294=FALSE,0,1)</f>
        <v>1</v>
      </c>
      <c r="N295">
        <f>IF(gescon_infosparticip!M294=FALSE,0,1)</f>
        <v>1</v>
      </c>
      <c r="O295">
        <f>IF(gescon_infosparticip!N294=FALSE,0,1)</f>
        <v>1</v>
      </c>
      <c r="P295">
        <f>IF(gescon_infosparticip!O294=FALSE,0,1)</f>
        <v>1</v>
      </c>
      <c r="Q295">
        <f>IF(gescon_infosparticip!P294=FALSE,0,1)</f>
        <v>1</v>
      </c>
      <c r="R295">
        <f>IF(gescon_infosparticip!Q294=FALSE,0,1)</f>
        <v>0</v>
      </c>
      <c r="S295" t="str">
        <f>gescon_infosparticip!R294</f>
        <v>en fauteuil roulant.</v>
      </c>
      <c r="T295" t="str">
        <f>gescon_infosparticip!V294</f>
        <v>à besoin d'aide surtout pour les chaussettes, les souliers et les sous-vêtements et éventuellement le pantalon.</v>
      </c>
      <c r="U295" t="str">
        <f>gescon_infosparticip!S294</f>
        <v>Igor ne sait pas nager. S'il a le fond, il s'éclate car il fait de la physio en piscine 1x/semaine. Il a donc l'habitude.</v>
      </c>
      <c r="V295">
        <f>IF(gescon_infosparticip!U294=FALSE,0,1)</f>
        <v>1</v>
      </c>
      <c r="W295">
        <f>IF(gescon_infosparticip!T294=FALSE,0,1)</f>
        <v>0</v>
      </c>
      <c r="X295" t="str">
        <f>gescon_infosparticip!W294</f>
        <v>-</v>
      </c>
      <c r="Y295">
        <f>IF(gescon_infosparticip!X294=FALSE,0,1)</f>
        <v>0</v>
      </c>
      <c r="Z295">
        <f>IF(gescon_infosparticip!Y294=FALSE,0,1)</f>
        <v>0</v>
      </c>
      <c r="AA295">
        <f>IF(gescon_infosparticip!Z294=FALSE,0,1)</f>
        <v>0</v>
      </c>
      <c r="AB295">
        <f>IF(gescon_infosparticip!AA294=FALSE,0,1)</f>
        <v>0</v>
      </c>
      <c r="AC295" t="str">
        <f>gescon_infosparticip!AB294</f>
        <v/>
      </c>
      <c r="AD295" t="str">
        <f>gescon_infosparticip!AC294</f>
        <v>maman: Marie-Claude et son ami Jean-Bernard. Son papa Alain.</v>
      </c>
      <c r="AE295" t="str">
        <f>gescon_infosparticip!AD294</f>
        <v>1 frère Kosta, les 2 filles de Jean-Bernard, Leïla et Nora.</v>
      </c>
      <c r="AF295" t="str">
        <f>gescon_infosparticip!AE294</f>
        <v>Yvan et Bryan.</v>
      </c>
      <c r="AG295" t="str">
        <f>gescon_infosparticip!AF294</f>
        <v>ordinateur. Il aime regarder les machines de chantier.</v>
      </c>
      <c r="AH295" t="str">
        <f>gescon_infosparticip!AG294</f>
        <v/>
      </c>
      <c r="AI295" t="str">
        <f>gescon_infosparticip!BN294</f>
        <v>-</v>
      </c>
      <c r="AJ295" t="str">
        <f>gescon_infosparticip!BO294</f>
        <v>-</v>
      </c>
    </row>
    <row r="296" spans="2:36" x14ac:dyDescent="0.25">
      <c r="B296">
        <f>gescon_infosparticip!A295</f>
        <v>2146189708</v>
      </c>
      <c r="C296">
        <f>gescon_infosparticip!B295</f>
        <v>42530</v>
      </c>
      <c r="D296">
        <f>gescon_infosparticip!C295</f>
        <v>2146189709</v>
      </c>
      <c r="E296">
        <f>gescon_infosparticip!D295</f>
        <v>0</v>
      </c>
      <c r="F296">
        <f>gescon_infosparticip!E295</f>
        <v>0</v>
      </c>
      <c r="G296">
        <f>gescon_infosparticip!F295</f>
        <v>0</v>
      </c>
      <c r="H296">
        <f>gescon_infosparticip!G295</f>
        <v>2146189709</v>
      </c>
      <c r="I296" t="str">
        <f>gescon_infosparticip!H295</f>
        <v/>
      </c>
      <c r="J296">
        <f>IF(gescon_infosparticip!I295=FALSE,0,1)</f>
        <v>1</v>
      </c>
      <c r="K296">
        <f>IF(gescon_infosparticip!J295=FALSE,0,1)</f>
        <v>0</v>
      </c>
      <c r="L296">
        <f>IF(gescon_infosparticip!K295=FALSE,0,1)</f>
        <v>0</v>
      </c>
      <c r="M296">
        <f>IF(gescon_infosparticip!L295=FALSE,0,1)</f>
        <v>0</v>
      </c>
      <c r="N296">
        <f>IF(gescon_infosparticip!M295=FALSE,0,1)</f>
        <v>1</v>
      </c>
      <c r="O296">
        <f>IF(gescon_infosparticip!N295=FALSE,0,1)</f>
        <v>0</v>
      </c>
      <c r="P296">
        <f>IF(gescon_infosparticip!O295=FALSE,0,1)</f>
        <v>0</v>
      </c>
      <c r="Q296">
        <f>IF(gescon_infosparticip!P295=FALSE,0,1)</f>
        <v>0</v>
      </c>
      <c r="R296">
        <f>IF(gescon_infosparticip!Q295=FALSE,0,1)</f>
        <v>0</v>
      </c>
      <c r="S296" t="str">
        <f>gescon_infosparticip!R295</f>
        <v/>
      </c>
      <c r="T296" t="str">
        <f>gescon_infosparticip!V295</f>
        <v>autonome</v>
      </c>
      <c r="U296" t="str">
        <f>gescon_infosparticip!S295</f>
        <v/>
      </c>
      <c r="V296">
        <f>IF(gescon_infosparticip!U295=FALSE,0,1)</f>
        <v>0</v>
      </c>
      <c r="W296">
        <f>IF(gescon_infosparticip!T295=FALSE,0,1)</f>
        <v>0</v>
      </c>
      <c r="X296" t="str">
        <f>gescon_infosparticip!W295</f>
        <v/>
      </c>
      <c r="Y296">
        <f>IF(gescon_infosparticip!X295=FALSE,0,1)</f>
        <v>0</v>
      </c>
      <c r="Z296">
        <f>IF(gescon_infosparticip!Y295=FALSE,0,1)</f>
        <v>0</v>
      </c>
      <c r="AA296">
        <f>IF(gescon_infosparticip!Z295=FALSE,0,1)</f>
        <v>0</v>
      </c>
      <c r="AB296">
        <f>IF(gescon_infosparticip!AA295=FALSE,0,1)</f>
        <v>0</v>
      </c>
      <c r="AC296" t="str">
        <f>gescon_infosparticip!AB295</f>
        <v/>
      </c>
      <c r="AD296" t="str">
        <f>gescon_infosparticip!AC295</f>
        <v>Jennyfer vit avec sa maman et sa petite sœur.</v>
      </c>
      <c r="AE296" t="str">
        <f>gescon_infosparticip!AD295</f>
        <v>1 sœur</v>
      </c>
      <c r="AF296" t="str">
        <f>gescon_infosparticip!AE295</f>
        <v/>
      </c>
      <c r="AG296" t="str">
        <f>gescon_infosparticip!AF295</f>
        <v>Animaux, Activité créatives, Piscine, Youtube</v>
      </c>
      <c r="AH296" t="str">
        <f>gescon_infosparticip!AG295</f>
        <v>Jennyfer n'apprécie pas le contact physique. Il est difficile pour jennyfer d'être avec des personnes de son âge.</v>
      </c>
      <c r="AI296" t="str">
        <f>gescon_infosparticip!BN295</f>
        <v/>
      </c>
      <c r="AJ296" t="str">
        <f>gescon_infosparticip!BO295</f>
        <v/>
      </c>
    </row>
    <row r="297" spans="2:36" x14ac:dyDescent="0.25">
      <c r="B297">
        <f>gescon_infosparticip!A296</f>
        <v>2146189712</v>
      </c>
      <c r="C297">
        <f>gescon_infosparticip!B296</f>
        <v>42920</v>
      </c>
      <c r="D297">
        <f>gescon_infosparticip!C296</f>
        <v>2146189713</v>
      </c>
      <c r="E297">
        <f>gescon_infosparticip!D296</f>
        <v>0</v>
      </c>
      <c r="F297">
        <f>gescon_infosparticip!E296</f>
        <v>0</v>
      </c>
      <c r="G297">
        <f>gescon_infosparticip!F296</f>
        <v>0</v>
      </c>
      <c r="H297">
        <f>gescon_infosparticip!G296</f>
        <v>2146189713</v>
      </c>
      <c r="I297" t="str">
        <f>gescon_infosparticip!H296</f>
        <v/>
      </c>
      <c r="J297">
        <f>IF(gescon_infosparticip!I296=FALSE,0,1)</f>
        <v>0</v>
      </c>
      <c r="K297">
        <f>IF(gescon_infosparticip!J296=FALSE,0,1)</f>
        <v>0</v>
      </c>
      <c r="L297">
        <f>IF(gescon_infosparticip!K296=FALSE,0,1)</f>
        <v>0</v>
      </c>
      <c r="M297">
        <f>IF(gescon_infosparticip!L296=FALSE,0,1)</f>
        <v>1</v>
      </c>
      <c r="N297">
        <f>IF(gescon_infosparticip!M296=FALSE,0,1)</f>
        <v>1</v>
      </c>
      <c r="O297">
        <f>IF(gescon_infosparticip!N296=FALSE,0,1)</f>
        <v>1</v>
      </c>
      <c r="P297">
        <f>IF(gescon_infosparticip!O296=FALSE,0,1)</f>
        <v>0</v>
      </c>
      <c r="Q297">
        <f>IF(gescon_infosparticip!P296=FALSE,0,1)</f>
        <v>0</v>
      </c>
      <c r="R297">
        <f>IF(gescon_infosparticip!Q296=FALSE,0,1)</f>
        <v>0</v>
      </c>
      <c r="S297" t="str">
        <f>gescon_infosparticip!R296</f>
        <v>Peut marcher 1 à 2 heures, Supporte bien les longs déplacements en voiture, il faut lui proposer les toilettes avant de partir.</v>
      </c>
      <c r="T297" t="str">
        <f>gescon_infosparticip!V296</f>
        <v>Habits sports, pantalons sans fermeture éclair ni boutons. Elle porte des chaussures orthopédiques.</v>
      </c>
      <c r="U297" t="str">
        <f>gescon_infosparticip!S296</f>
        <v>Marie peut nager sur des longueurs importantes (~ 300 mètres)</v>
      </c>
      <c r="V297">
        <f>IF(gescon_infosparticip!U296=FALSE,0,1)</f>
        <v>1</v>
      </c>
      <c r="W297">
        <f>IF(gescon_infosparticip!T296=FALSE,0,1)</f>
        <v>1</v>
      </c>
      <c r="X297" t="str">
        <f>gescon_infosparticip!W296</f>
        <v>marie a besoin de beaucoup de sommeil, elle se couche vers 20h30, elle a besoin de grand calme car son sommeil est léger.</v>
      </c>
      <c r="Y297">
        <f>IF(gescon_infosparticip!X296=FALSE,0,1)</f>
        <v>0</v>
      </c>
      <c r="Z297">
        <f>IF(gescon_infosparticip!Y296=FALSE,0,1)</f>
        <v>0</v>
      </c>
      <c r="AA297">
        <f>IF(gescon_infosparticip!Z296=FALSE,0,1)</f>
        <v>0</v>
      </c>
      <c r="AB297">
        <f>IF(gescon_infosparticip!AA296=FALSE,0,1)</f>
        <v>0</v>
      </c>
      <c r="AC297" t="str">
        <f>gescon_infosparticip!AB296</f>
        <v>Marie ne parle pas mais communique avec des gestes simples</v>
      </c>
      <c r="AD297" t="str">
        <f>gescon_infosparticip!AC296</f>
        <v>Marie vit avec ses parents et participe à toutes les activités quotidienne et sorties, sauf parfois en soirée.</v>
      </c>
      <c r="AE297" t="str">
        <f>gescon_infosparticip!AD296</f>
        <v>Elle a une petite sœur qui s'appelle Julie qui a 22 ans et est étudiante en France, elle aime lui faire des calins.</v>
      </c>
      <c r="AF297" t="str">
        <f>gescon_infosparticip!AE296</f>
        <v>Marie recherche beaucoup les jeunes de son âge malheureusement peu ou pas d'amis viennent vers Marie.</v>
      </c>
      <c r="AG297" t="str">
        <f>gescon_infosparticip!AF296</f>
        <v>Elle aime la baignade, les promenades à pieds, musique, équithérapie, sortie restaurant, danse</v>
      </c>
      <c r="AH297" t="str">
        <f>gescon_infosparticip!AG296</f>
        <v>peinture, dessin, activités manuelles</v>
      </c>
      <c r="AI297" t="str">
        <f>gescon_infosparticip!BN296</f>
        <v>Marie peut changer de position seule sauf si assise au sol, il faut l'aider à se relever.</v>
      </c>
      <c r="AJ297" t="str">
        <f>gescon_infosparticip!BO296</f>
        <v>Marie a besoin de marcher et s'arrête pour s'asseoir dès que possible</v>
      </c>
    </row>
    <row r="298" spans="2:36" x14ac:dyDescent="0.25">
      <c r="B298">
        <f>gescon_infosparticip!A297</f>
        <v>2146189714</v>
      </c>
      <c r="C298">
        <f>gescon_infosparticip!B297</f>
        <v>42467</v>
      </c>
      <c r="D298">
        <f>gescon_infosparticip!C297</f>
        <v>0</v>
      </c>
      <c r="E298">
        <f>gescon_infosparticip!D297</f>
        <v>0</v>
      </c>
      <c r="F298">
        <f>gescon_infosparticip!E297</f>
        <v>0</v>
      </c>
      <c r="G298">
        <f>gescon_infosparticip!F297</f>
        <v>0</v>
      </c>
      <c r="H298">
        <f>gescon_infosparticip!G297</f>
        <v>0</v>
      </c>
      <c r="I298" t="str">
        <f>gescon_infosparticip!H297</f>
        <v/>
      </c>
      <c r="J298">
        <f>IF(gescon_infosparticip!I297=FALSE,0,1)</f>
        <v>0</v>
      </c>
      <c r="K298">
        <f>IF(gescon_infosparticip!J297=FALSE,0,1)</f>
        <v>0</v>
      </c>
      <c r="L298">
        <f>IF(gescon_infosparticip!K297=FALSE,0,1)</f>
        <v>0</v>
      </c>
      <c r="M298">
        <f>IF(gescon_infosparticip!L297=FALSE,0,1)</f>
        <v>0</v>
      </c>
      <c r="N298">
        <f>IF(gescon_infosparticip!M297=FALSE,0,1)</f>
        <v>0</v>
      </c>
      <c r="O298">
        <f>IF(gescon_infosparticip!N297=FALSE,0,1)</f>
        <v>0</v>
      </c>
      <c r="P298">
        <f>IF(gescon_infosparticip!O297=FALSE,0,1)</f>
        <v>0</v>
      </c>
      <c r="Q298">
        <f>IF(gescon_infosparticip!P297=FALSE,0,1)</f>
        <v>0</v>
      </c>
      <c r="R298">
        <f>IF(gescon_infosparticip!Q297=FALSE,0,1)</f>
        <v>0</v>
      </c>
      <c r="S298" t="str">
        <f>gescon_infosparticip!R297</f>
        <v/>
      </c>
      <c r="T298" t="str">
        <f>gescon_infosparticip!V297</f>
        <v/>
      </c>
      <c r="U298" t="str">
        <f>gescon_infosparticip!S297</f>
        <v/>
      </c>
      <c r="V298">
        <f>IF(gescon_infosparticip!U297=FALSE,0,1)</f>
        <v>0</v>
      </c>
      <c r="W298">
        <f>IF(gescon_infosparticip!T297=FALSE,0,1)</f>
        <v>0</v>
      </c>
      <c r="X298" t="str">
        <f>gescon_infosparticip!W297</f>
        <v/>
      </c>
      <c r="Y298">
        <f>IF(gescon_infosparticip!X297=FALSE,0,1)</f>
        <v>0</v>
      </c>
      <c r="Z298">
        <f>IF(gescon_infosparticip!Y297=FALSE,0,1)</f>
        <v>0</v>
      </c>
      <c r="AA298">
        <f>IF(gescon_infosparticip!Z297=FALSE,0,1)</f>
        <v>0</v>
      </c>
      <c r="AB298">
        <f>IF(gescon_infosparticip!AA297=FALSE,0,1)</f>
        <v>0</v>
      </c>
      <c r="AC298" t="str">
        <f>gescon_infosparticip!AB297</f>
        <v/>
      </c>
      <c r="AD298" t="str">
        <f>gescon_infosparticip!AC297</f>
        <v/>
      </c>
      <c r="AE298" t="str">
        <f>gescon_infosparticip!AD297</f>
        <v/>
      </c>
      <c r="AF298" t="str">
        <f>gescon_infosparticip!AE297</f>
        <v/>
      </c>
      <c r="AG298" t="str">
        <f>gescon_infosparticip!AF297</f>
        <v/>
      </c>
      <c r="AH298" t="str">
        <f>gescon_infosparticip!AG297</f>
        <v/>
      </c>
      <c r="AI298" t="str">
        <f>gescon_infosparticip!BN297</f>
        <v/>
      </c>
      <c r="AJ298" t="str">
        <f>gescon_infosparticip!BO297</f>
        <v/>
      </c>
    </row>
    <row r="299" spans="2:36" x14ac:dyDescent="0.25">
      <c r="B299">
        <f>gescon_infosparticip!A298</f>
        <v>2146189722</v>
      </c>
      <c r="C299">
        <f>gescon_infosparticip!B298</f>
        <v>43039</v>
      </c>
      <c r="D299">
        <f>gescon_infosparticip!C298</f>
        <v>0</v>
      </c>
      <c r="E299">
        <f>gescon_infosparticip!D298</f>
        <v>0</v>
      </c>
      <c r="F299">
        <f>gescon_infosparticip!E298</f>
        <v>0</v>
      </c>
      <c r="G299">
        <f>gescon_infosparticip!F298</f>
        <v>0</v>
      </c>
      <c r="H299">
        <f>gescon_infosparticip!G298</f>
        <v>0</v>
      </c>
      <c r="I299" t="str">
        <f>gescon_infosparticip!H298</f>
        <v/>
      </c>
      <c r="J299">
        <f>IF(gescon_infosparticip!I298=FALSE,0,1)</f>
        <v>0</v>
      </c>
      <c r="K299">
        <f>IF(gescon_infosparticip!J298=FALSE,0,1)</f>
        <v>0</v>
      </c>
      <c r="L299">
        <f>IF(gescon_infosparticip!K298=FALSE,0,1)</f>
        <v>0</v>
      </c>
      <c r="M299">
        <f>IF(gescon_infosparticip!L298=FALSE,0,1)</f>
        <v>0</v>
      </c>
      <c r="N299">
        <f>IF(gescon_infosparticip!M298=FALSE,0,1)</f>
        <v>0</v>
      </c>
      <c r="O299">
        <f>IF(gescon_infosparticip!N298=FALSE,0,1)</f>
        <v>0</v>
      </c>
      <c r="P299">
        <f>IF(gescon_infosparticip!O298=FALSE,0,1)</f>
        <v>0</v>
      </c>
      <c r="Q299">
        <f>IF(gescon_infosparticip!P298=FALSE,0,1)</f>
        <v>0</v>
      </c>
      <c r="R299">
        <f>IF(gescon_infosparticip!Q298=FALSE,0,1)</f>
        <v>0</v>
      </c>
      <c r="S299" t="str">
        <f>gescon_infosparticip!R298</f>
        <v/>
      </c>
      <c r="T299" t="str">
        <f>gescon_infosparticip!V298</f>
        <v/>
      </c>
      <c r="U299" t="str">
        <f>gescon_infosparticip!S298</f>
        <v/>
      </c>
      <c r="V299">
        <f>IF(gescon_infosparticip!U298=FALSE,0,1)</f>
        <v>0</v>
      </c>
      <c r="W299">
        <f>IF(gescon_infosparticip!T298=FALSE,0,1)</f>
        <v>0</v>
      </c>
      <c r="X299" t="str">
        <f>gescon_infosparticip!W298</f>
        <v/>
      </c>
      <c r="Y299">
        <f>IF(gescon_infosparticip!X298=FALSE,0,1)</f>
        <v>0</v>
      </c>
      <c r="Z299">
        <f>IF(gescon_infosparticip!Y298=FALSE,0,1)</f>
        <v>0</v>
      </c>
      <c r="AA299">
        <f>IF(gescon_infosparticip!Z298=FALSE,0,1)</f>
        <v>0</v>
      </c>
      <c r="AB299">
        <f>IF(gescon_infosparticip!AA298=FALSE,0,1)</f>
        <v>0</v>
      </c>
      <c r="AC299" t="str">
        <f>gescon_infosparticip!AB298</f>
        <v/>
      </c>
      <c r="AD299" t="str">
        <f>gescon_infosparticip!AC298</f>
        <v/>
      </c>
      <c r="AE299" t="str">
        <f>gescon_infosparticip!AD298</f>
        <v/>
      </c>
      <c r="AF299" t="str">
        <f>gescon_infosparticip!AE298</f>
        <v/>
      </c>
      <c r="AG299" t="str">
        <f>gescon_infosparticip!AF298</f>
        <v/>
      </c>
      <c r="AH299" t="str">
        <f>gescon_infosparticip!AG298</f>
        <v/>
      </c>
      <c r="AI299" t="str">
        <f>gescon_infosparticip!BN298</f>
        <v>test</v>
      </c>
      <c r="AJ299" t="str">
        <f>gescon_infosparticip!BO298</f>
        <v/>
      </c>
    </row>
    <row r="300" spans="2:36" x14ac:dyDescent="0.25">
      <c r="B300">
        <f>gescon_infosparticip!A299</f>
        <v>2146189741</v>
      </c>
      <c r="C300">
        <f>gescon_infosparticip!B299</f>
        <v>42843</v>
      </c>
      <c r="D300">
        <f>gescon_infosparticip!C299</f>
        <v>2146189742</v>
      </c>
      <c r="E300">
        <f>gescon_infosparticip!D299</f>
        <v>0</v>
      </c>
      <c r="F300">
        <f>gescon_infosparticip!E299</f>
        <v>0</v>
      </c>
      <c r="G300">
        <f>gescon_infosparticip!F299</f>
        <v>2677</v>
      </c>
      <c r="H300">
        <f>gescon_infosparticip!G299</f>
        <v>2146189742</v>
      </c>
      <c r="I300" t="str">
        <f>gescon_infosparticip!H299</f>
        <v>Fabien Diemunch</v>
      </c>
      <c r="J300">
        <f>IF(gescon_infosparticip!I299=FALSE,0,1)</f>
        <v>0</v>
      </c>
      <c r="K300">
        <f>IF(gescon_infosparticip!J299=FALSE,0,1)</f>
        <v>0</v>
      </c>
      <c r="L300">
        <f>IF(gescon_infosparticip!K299=FALSE,0,1)</f>
        <v>0</v>
      </c>
      <c r="M300">
        <f>IF(gescon_infosparticip!L299=FALSE,0,1)</f>
        <v>1</v>
      </c>
      <c r="N300">
        <f>IF(gescon_infosparticip!M299=FALSE,0,1)</f>
        <v>1</v>
      </c>
      <c r="O300">
        <f>IF(gescon_infosparticip!N299=FALSE,0,1)</f>
        <v>1</v>
      </c>
      <c r="P300">
        <f>IF(gescon_infosparticip!O299=FALSE,0,1)</f>
        <v>0</v>
      </c>
      <c r="Q300">
        <f>IF(gescon_infosparticip!P299=FALSE,0,1)</f>
        <v>0</v>
      </c>
      <c r="R300">
        <f>IF(gescon_infosparticip!Q299=FALSE,0,1)</f>
        <v>0</v>
      </c>
      <c r="S300" t="str">
        <f>gescon_infosparticip!R299</f>
        <v>marche sur tous les chemins, plats en montagne, en lui donnant parfois le bras, champs de vision réduit, ne voit pas ce qui est devant lui. Une promenade peut durer max. 1h30.</v>
      </c>
      <c r="T300" t="str">
        <f>gescon_infosparticip!V299</f>
        <v>l'aider à l'habiller, à boutonner, fermer la ceinture, lui mettre les souliers.</v>
      </c>
      <c r="U300" t="str">
        <f>gescon_infosparticip!S299</f>
        <v>aime l'eau, mais ne nage pas, aime mettre des fois la tête sous l'eau.</v>
      </c>
      <c r="V300">
        <f>IF(gescon_infosparticip!U299=FALSE,0,1)</f>
        <v>1</v>
      </c>
      <c r="W300">
        <f>IF(gescon_infosparticip!T299=FALSE,0,1)</f>
        <v>0</v>
      </c>
      <c r="X300" t="str">
        <f>gescon_infosparticip!W299</f>
        <v>Alexandre a une alèze imperméable. Il aime dormir seul avec la porte de la chambre fermée.</v>
      </c>
      <c r="Y300">
        <f>IF(gescon_infosparticip!X299=FALSE,0,1)</f>
        <v>0</v>
      </c>
      <c r="Z300">
        <f>IF(gescon_infosparticip!Y299=FALSE,0,1)</f>
        <v>0</v>
      </c>
      <c r="AA300">
        <f>IF(gescon_infosparticip!Z299=FALSE,0,1)</f>
        <v>0</v>
      </c>
      <c r="AB300">
        <f>IF(gescon_infosparticip!AA299=FALSE,0,1)</f>
        <v>0</v>
      </c>
      <c r="AC300" t="str">
        <f>gescon_infosparticip!AB299</f>
        <v>assez limité, se répète souvent, s'exprime lors de fatigue ou d'attention sur lui avec des gros mots.</v>
      </c>
      <c r="AD300" t="str">
        <f>gescon_infosparticip!AC299</f>
        <v>Il a ses 2 parents et ses grands parents maternels.</v>
      </c>
      <c r="AE300" t="str">
        <f>gescon_infosparticip!AD299</f>
        <v>il a un frère qui s'appelle Grégoire</v>
      </c>
      <c r="AF300" t="str">
        <f>gescon_infosparticip!AE299</f>
        <v>les amis restent ceux du cercle familial. Les amis du chalet de Derborence et les amis pompiers</v>
      </c>
      <c r="AG300" t="str">
        <f>gescon_infosparticip!AF299</f>
        <v>Il aime le cheval, marche, basket, foot, dessins animés, reportage sur la nature et animaux</v>
      </c>
      <c r="AH300" t="str">
        <f>gescon_infosparticip!AG299</f>
        <v>être avec un grand groupe, il mélange et capte toutes conversations et il explose. Alexandre n'aime pas la musique trop forte.</v>
      </c>
      <c r="AI300" t="str">
        <f>gescon_infosparticip!BN299</f>
        <v>Lui rappeler d'employer ses deux mains.</v>
      </c>
      <c r="AJ300" t="str">
        <f>gescon_infosparticip!BO299</f>
        <v>A souvent tendance à se replier sur lui-même, lui rappeler de se redresser</v>
      </c>
    </row>
    <row r="301" spans="2:36" x14ac:dyDescent="0.25">
      <c r="B301">
        <f>gescon_infosparticip!A300</f>
        <v>2146189743</v>
      </c>
      <c r="C301">
        <f>gescon_infosparticip!B300</f>
        <v>42864</v>
      </c>
      <c r="D301">
        <f>gescon_infosparticip!C300</f>
        <v>2146189744</v>
      </c>
      <c r="E301">
        <f>gescon_infosparticip!D300</f>
        <v>0</v>
      </c>
      <c r="F301">
        <f>gescon_infosparticip!E300</f>
        <v>0</v>
      </c>
      <c r="G301">
        <f>gescon_infosparticip!F300</f>
        <v>0</v>
      </c>
      <c r="H301">
        <f>gescon_infosparticip!G300</f>
        <v>2146189744</v>
      </c>
      <c r="I301" t="str">
        <f>gescon_infosparticip!H300</f>
        <v/>
      </c>
      <c r="J301">
        <f>IF(gescon_infosparticip!I300=FALSE,0,1)</f>
        <v>0</v>
      </c>
      <c r="K301">
        <f>IF(gescon_infosparticip!J300=FALSE,0,1)</f>
        <v>0</v>
      </c>
      <c r="L301">
        <f>IF(gescon_infosparticip!K300=FALSE,0,1)</f>
        <v>0</v>
      </c>
      <c r="M301">
        <f>IF(gescon_infosparticip!L300=FALSE,0,1)</f>
        <v>1</v>
      </c>
      <c r="N301">
        <f>IF(gescon_infosparticip!M300=FALSE,0,1)</f>
        <v>1</v>
      </c>
      <c r="O301">
        <f>IF(gescon_infosparticip!N300=FALSE,0,1)</f>
        <v>1</v>
      </c>
      <c r="P301">
        <f>IF(gescon_infosparticip!O300=FALSE,0,1)</f>
        <v>0</v>
      </c>
      <c r="Q301">
        <f>IF(gescon_infosparticip!P300=FALSE,0,1)</f>
        <v>0</v>
      </c>
      <c r="R301">
        <f>IF(gescon_infosparticip!Q300=FALSE,0,1)</f>
        <v>0</v>
      </c>
      <c r="S301" t="str">
        <f>gescon_infosparticip!R300</f>
        <v>Marche seule et en lui tenant la main, pour les escaliers elle à besoin d'une barrière ou de tenir la main d'un adulte. Besoin d'un siège auto dû à son âge et sa grandeur éviter de lui donner bcp à boire avant le départ.</v>
      </c>
      <c r="T301" t="str">
        <f>gescon_infosparticip!V300</f>
        <v>demande fréquemment de l'aide pour les gestes quatidien, commence à se désasbiller seule. Pour s'habiller à besoin d'aide, aussi pour la veste et les chaussures</v>
      </c>
      <c r="U301" t="str">
        <f>gescon_infosparticip!S300</f>
        <v>ne sait pas nager. Elle va la ou elle à le fond ou elle s'accroche à un adulte quand elle n'a pas le fond. Aime bien l'eau.</v>
      </c>
      <c r="V301">
        <f>IF(gescon_infosparticip!U300=FALSE,0,1)</f>
        <v>0</v>
      </c>
      <c r="W301">
        <f>IF(gescon_infosparticip!T300=FALSE,0,1)</f>
        <v>1</v>
      </c>
      <c r="X301" t="str">
        <f>gescon_infosparticip!W300</f>
        <v>Abandonique, elle réclame ses parents. La rassuré un max. aime qu'on lui lise une histoire au couché. Pas de doudou précis. (Pelluche aléatoire).</v>
      </c>
      <c r="Y301">
        <f>IF(gescon_infosparticip!X300=FALSE,0,1)</f>
        <v>0</v>
      </c>
      <c r="Z301">
        <f>IF(gescon_infosparticip!Y300=FALSE,0,1)</f>
        <v>0</v>
      </c>
      <c r="AA301">
        <f>IF(gescon_infosparticip!Z300=FALSE,0,1)</f>
        <v>0</v>
      </c>
      <c r="AB301">
        <f>IF(gescon_infosparticip!AA300=FALSE,0,1)</f>
        <v>1</v>
      </c>
      <c r="AC301" t="str">
        <f>gescon_infosparticip!AB300</f>
        <v>Timide , si le contact passe s'attache très vite. Elle parle, montre avec les mains. Zoé est très attachante.</v>
      </c>
      <c r="AD301" t="str">
        <f>gescon_infosparticip!AC300</f>
        <v>papa, maman, grand-maman paternel à sion, grand-papa paternel à estavayer le lac. Tante paternel à Fontainemelon. Grand père et grand-mère et oncle maternel à Bouveresse. Arrière grd mère paternel (101 ans) à Bulle.</v>
      </c>
      <c r="AE301" t="str">
        <f>gescon_infosparticip!AD300</f>
        <v>Amélya, Mélissa, Olivier à la maison. Steven et océane 1/2 frère et sœur paternel les ponts de martel.</v>
      </c>
      <c r="AF301" t="str">
        <f>gescon_infosparticip!AE300</f>
        <v>Auréliekottelat, yoann tomasin, et néo et preston Vuadens (FR) Filipe Silva et Florence Bornand (NE) Pascale et elodie Ryser (NE) Christiane et Kyliane Dormand (VD)</v>
      </c>
      <c r="AG301" t="str">
        <f>gescon_infosparticip!AF300</f>
        <v>Place de jeux, marcher petite distance, piscine, Puzzle, jardinage, cuisine, Uno sans jocker, cuisiner, etc.</v>
      </c>
      <c r="AH301" t="str">
        <f>gescon_infosparticip!AG300</f>
        <v>N'arrive pas avec le vélo fatigue très vite si elle doit tirer son poids</v>
      </c>
      <c r="AI301" t="str">
        <f>gescon_infosparticip!BN300</f>
        <v>Aucun besoin spécifique, elle peut demandé pour dormir ou s'endormir si elle est très fatiguée. Durant les activités, elle dit "J'ai mal" ou "Je suis fatiguée" traine les pieds, ralenti. Doit être stimulée, trouver le juste milieu.</v>
      </c>
      <c r="AJ301" t="str">
        <f>gescon_infosparticip!BO300</f>
        <v/>
      </c>
    </row>
    <row r="302" spans="2:36" x14ac:dyDescent="0.25">
      <c r="B302">
        <f>gescon_infosparticip!A301</f>
        <v>2146189746</v>
      </c>
      <c r="C302">
        <f>gescon_infosparticip!B301</f>
        <v>42520</v>
      </c>
      <c r="D302">
        <f>gescon_infosparticip!C301</f>
        <v>0</v>
      </c>
      <c r="E302">
        <f>gescon_infosparticip!D301</f>
        <v>0</v>
      </c>
      <c r="F302">
        <f>gescon_infosparticip!E301</f>
        <v>0</v>
      </c>
      <c r="G302">
        <f>gescon_infosparticip!F301</f>
        <v>2146189760</v>
      </c>
      <c r="H302">
        <f>gescon_infosparticip!G301</f>
        <v>0</v>
      </c>
      <c r="I302" t="str">
        <f>gescon_infosparticip!H301</f>
        <v>son épouse, Linda Duquesne : 079 384 63 47</v>
      </c>
      <c r="J302">
        <f>IF(gescon_infosparticip!I301=FALSE,0,1)</f>
        <v>1</v>
      </c>
      <c r="K302">
        <f>IF(gescon_infosparticip!J301=FALSE,0,1)</f>
        <v>0</v>
      </c>
      <c r="L302">
        <f>IF(gescon_infosparticip!K301=FALSE,0,1)</f>
        <v>0</v>
      </c>
      <c r="M302">
        <f>IF(gescon_infosparticip!L301=FALSE,0,1)</f>
        <v>0</v>
      </c>
      <c r="N302">
        <f>IF(gescon_infosparticip!M301=FALSE,0,1)</f>
        <v>0</v>
      </c>
      <c r="O302">
        <f>IF(gescon_infosparticip!N301=FALSE,0,1)</f>
        <v>0</v>
      </c>
      <c r="P302">
        <f>IF(gescon_infosparticip!O301=FALSE,0,1)</f>
        <v>0</v>
      </c>
      <c r="Q302">
        <f>IF(gescon_infosparticip!P301=FALSE,0,1)</f>
        <v>0</v>
      </c>
      <c r="R302">
        <f>IF(gescon_infosparticip!Q301=FALSE,0,1)</f>
        <v>1</v>
      </c>
      <c r="S302" t="str">
        <f>gescon_infosparticip!R301</f>
        <v>En voiture adaptée et en train</v>
      </c>
      <c r="T302" t="str">
        <f>gescon_infosparticip!V301</f>
        <v>Besoin d'aide pour l'habillement car dépendant. Son style est classique - relativement bien tenue - propre et bien installer sur sa chaise.</v>
      </c>
      <c r="U302" t="str">
        <f>gescon_infosparticip!S301</f>
        <v>Besoin d'aide - difficulté avec la sonde sus-pubienne.</v>
      </c>
      <c r="V302">
        <f>IF(gescon_infosparticip!U301=FALSE,0,1)</f>
        <v>0</v>
      </c>
      <c r="W302">
        <f>IF(gescon_infosparticip!T301=FALSE,0,1)</f>
        <v>1</v>
      </c>
      <c r="X302" t="str">
        <f>gescon_infosparticip!W301</f>
        <v>Aime dormir sur le dos. Il a un matelas de prévention et un coussin adapté sur sa chaise.</v>
      </c>
      <c r="Y302">
        <f>IF(gescon_infosparticip!X301=FALSE,0,1)</f>
        <v>0</v>
      </c>
      <c r="Z302">
        <f>IF(gescon_infosparticip!Y301=FALSE,0,1)</f>
        <v>0</v>
      </c>
      <c r="AA302">
        <f>IF(gescon_infosparticip!Z301=FALSE,0,1)</f>
        <v>0</v>
      </c>
      <c r="AB302">
        <f>IF(gescon_infosparticip!AA301=FALSE,0,1)</f>
        <v>0</v>
      </c>
      <c r="AC302" t="str">
        <f>gescon_infosparticip!AB301</f>
        <v>laisser le temps de s'exprimer - bonne communication, parle doucement - calme - posé - bon fraçais</v>
      </c>
      <c r="AD302" t="str">
        <f>gescon_infosparticip!AC301</f>
        <v>Maman - papa - tante</v>
      </c>
      <c r="AE302" t="str">
        <f>gescon_infosparticip!AD301</f>
        <v>Il a un frère qui vit en France</v>
      </c>
      <c r="AF302" t="str">
        <f>gescon_infosparticip!AE301</f>
        <v>Il a plus d'amis en France qu'en Suisse</v>
      </c>
      <c r="AG302" t="str">
        <f>gescon_infosparticip!AF301</f>
        <v>Romain apprécie les parties de Scrable</v>
      </c>
      <c r="AH302" t="str">
        <f>gescon_infosparticip!AG301</f>
        <v>Romain a du mal à gérer ses colères</v>
      </c>
      <c r="AI302" t="str">
        <f>gescon_infosparticip!BN301</f>
        <v/>
      </c>
      <c r="AJ302" t="str">
        <f>gescon_infosparticip!BO301</f>
        <v/>
      </c>
    </row>
    <row r="303" spans="2:36" x14ac:dyDescent="0.25">
      <c r="B303">
        <f>gescon_infosparticip!A302</f>
        <v>2146189750</v>
      </c>
      <c r="C303">
        <f>gescon_infosparticip!B302</f>
        <v>42843</v>
      </c>
      <c r="D303">
        <f>gescon_infosparticip!C302</f>
        <v>2146189751</v>
      </c>
      <c r="E303">
        <f>gescon_infosparticip!D302</f>
        <v>0</v>
      </c>
      <c r="F303">
        <f>gescon_infosparticip!E302</f>
        <v>0</v>
      </c>
      <c r="G303">
        <f>gescon_infosparticip!F302</f>
        <v>0</v>
      </c>
      <c r="H303">
        <f>gescon_infosparticip!G302</f>
        <v>2146189751</v>
      </c>
      <c r="I303" t="str">
        <f>gescon_infosparticip!H302</f>
        <v>Traductrice : 079 129 80 03</v>
      </c>
      <c r="J303">
        <f>IF(gescon_infosparticip!I302=FALSE,0,1)</f>
        <v>0</v>
      </c>
      <c r="K303">
        <f>IF(gescon_infosparticip!J302=FALSE,0,1)</f>
        <v>0</v>
      </c>
      <c r="L303">
        <f>IF(gescon_infosparticip!K302=FALSE,0,1)</f>
        <v>0</v>
      </c>
      <c r="M303">
        <f>IF(gescon_infosparticip!L302=FALSE,0,1)</f>
        <v>1</v>
      </c>
      <c r="N303">
        <f>IF(gescon_infosparticip!M302=FALSE,0,1)</f>
        <v>1</v>
      </c>
      <c r="O303">
        <f>IF(gescon_infosparticip!N302=FALSE,0,1)</f>
        <v>0</v>
      </c>
      <c r="P303">
        <f>IF(gescon_infosparticip!O302=FALSE,0,1)</f>
        <v>0</v>
      </c>
      <c r="Q303">
        <f>IF(gescon_infosparticip!P302=FALSE,0,1)</f>
        <v>0</v>
      </c>
      <c r="R303">
        <f>IF(gescon_infosparticip!Q302=FALSE,0,1)</f>
        <v>0</v>
      </c>
      <c r="S303" t="str">
        <f>gescon_infosparticip!R302</f>
        <v/>
      </c>
      <c r="T303" t="str">
        <f>gescon_infosparticip!V302</f>
        <v>Autonome</v>
      </c>
      <c r="U303" t="str">
        <f>gescon_infosparticip!S302</f>
        <v>Il adore la piscine. Il doit toujours y avoir une surveillance.</v>
      </c>
      <c r="V303">
        <f>IF(gescon_infosparticip!U302=FALSE,0,1)</f>
        <v>0</v>
      </c>
      <c r="W303">
        <f>IF(gescon_infosparticip!T302=FALSE,0,1)</f>
        <v>0</v>
      </c>
      <c r="X303" t="str">
        <f>gescon_infosparticip!W302</f>
        <v>/</v>
      </c>
      <c r="Y303">
        <f>IF(gescon_infosparticip!X302=FALSE,0,1)</f>
        <v>0</v>
      </c>
      <c r="Z303">
        <f>IF(gescon_infosparticip!Y302=FALSE,0,1)</f>
        <v>0</v>
      </c>
      <c r="AA303">
        <f>IF(gescon_infosparticip!Z302=FALSE,0,1)</f>
        <v>0</v>
      </c>
      <c r="AB303">
        <f>IF(gescon_infosparticip!AA302=FALSE,0,1)</f>
        <v>1</v>
      </c>
      <c r="AC303" t="str">
        <f>gescon_infosparticip!AB302</f>
        <v>Mileon utilise quelques mots pour se faire comprendre. Il utilise également quelques gestes. Il comprend le français</v>
      </c>
      <c r="AD303" t="str">
        <f>gescon_infosparticip!AC302</f>
        <v>Il vit à la maison avec sa maman et sa grande sœur.</v>
      </c>
      <c r="AE303" t="str">
        <f>gescon_infosparticip!AD302</f>
        <v>Il a une grande sœur qui s'appelle Diana.</v>
      </c>
      <c r="AF303" t="str">
        <f>gescon_infosparticip!AE302</f>
        <v/>
      </c>
      <c r="AG303" t="str">
        <f>gescon_infosparticip!AF302</f>
        <v>Il aime toutes les activités extérieurs (Piscine, marche, jeux)</v>
      </c>
      <c r="AH303" t="str">
        <f>gescon_infosparticip!AG302</f>
        <v/>
      </c>
      <c r="AI303" t="str">
        <f>gescon_infosparticip!BN302</f>
        <v>/</v>
      </c>
      <c r="AJ303" t="str">
        <f>gescon_infosparticip!BO302</f>
        <v>/</v>
      </c>
    </row>
    <row r="304" spans="2:36" x14ac:dyDescent="0.25">
      <c r="B304">
        <f>gescon_infosparticip!A303</f>
        <v>2146189783</v>
      </c>
      <c r="C304">
        <f>gescon_infosparticip!B303</f>
        <v>42852</v>
      </c>
      <c r="D304">
        <f>gescon_infosparticip!C303</f>
        <v>2146189791</v>
      </c>
      <c r="E304">
        <f>gescon_infosparticip!D303</f>
        <v>2146189792</v>
      </c>
      <c r="F304">
        <f>gescon_infosparticip!E303</f>
        <v>2146189793</v>
      </c>
      <c r="G304">
        <f>gescon_infosparticip!F303</f>
        <v>2146189500</v>
      </c>
      <c r="H304">
        <f>gescon_infosparticip!G303</f>
        <v>2146189500</v>
      </c>
      <c r="I304" t="str">
        <f>gescon_infosparticip!H303</f>
        <v>groupe C6</v>
      </c>
      <c r="J304">
        <f>IF(gescon_infosparticip!I303=FALSE,0,1)</f>
        <v>0</v>
      </c>
      <c r="K304">
        <f>IF(gescon_infosparticip!J303=FALSE,0,1)</f>
        <v>0</v>
      </c>
      <c r="L304">
        <f>IF(gescon_infosparticip!K303=FALSE,0,1)</f>
        <v>0</v>
      </c>
      <c r="M304">
        <f>IF(gescon_infosparticip!L303=FALSE,0,1)</f>
        <v>1</v>
      </c>
      <c r="N304">
        <f>IF(gescon_infosparticip!M303=FALSE,0,1)</f>
        <v>1</v>
      </c>
      <c r="O304">
        <f>IF(gescon_infosparticip!N303=FALSE,0,1)</f>
        <v>0</v>
      </c>
      <c r="P304">
        <f>IF(gescon_infosparticip!O303=FALSE,0,1)</f>
        <v>0</v>
      </c>
      <c r="Q304">
        <f>IF(gescon_infosparticip!P303=FALSE,0,1)</f>
        <v>0</v>
      </c>
      <c r="R304">
        <f>IF(gescon_infosparticip!Q303=FALSE,0,1)</f>
        <v>0</v>
      </c>
      <c r="S304" t="str">
        <f>gescon_infosparticip!R303</f>
        <v>Bryan apprécie la marche, cela répond à son besoin de se dépenser.</v>
      </c>
      <c r="T304" t="str">
        <f>gescon_infosparticip!V303</f>
        <v>Bryan est capable de participer activement à son habillage et déshabillage, une fois son attention canalisée sur ce qu'il est en train de faire. Il a besoin d'aide pour finir les gestes de l'habillage.</v>
      </c>
      <c r="U304" t="str">
        <f>gescon_infosparticip!S303</f>
        <v>Bryan est épileptique donc le port du gilet est obligatoire.</v>
      </c>
      <c r="V304">
        <f>IF(gescon_infosparticip!U303=FALSE,0,1)</f>
        <v>0</v>
      </c>
      <c r="W304">
        <f>IF(gescon_infosparticip!T303=FALSE,0,1)</f>
        <v>1</v>
      </c>
      <c r="X304" t="str">
        <f>gescon_infosparticip!W303</f>
        <v>Il dort sur le ventre dans une combinaison afin qu'il ne puisse pas accéder à sa lange et y prendre les selles. Son lit est muni de barrières et d'un tapis en mousse au sol. Au réveil, il peut se manifester avec des bruitages ou taper contre les barrières.</v>
      </c>
      <c r="Y304">
        <f>IF(gescon_infosparticip!X303=FALSE,0,1)</f>
        <v>0</v>
      </c>
      <c r="Z304">
        <f>IF(gescon_infosparticip!Y303=FALSE,0,1)</f>
        <v>0</v>
      </c>
      <c r="AA304">
        <f>IF(gescon_infosparticip!Z303=FALSE,0,1)</f>
        <v>0</v>
      </c>
      <c r="AB304">
        <f>IF(gescon_infosparticip!AA303=FALSE,0,1)</f>
        <v>1</v>
      </c>
      <c r="AC304" t="str">
        <f>gescon_infosparticip!AB303</f>
        <v>Bryan est un jeune souriant, curieux, avide d'échanges et de contact physique mais capable d'une posture plus distante. Losqu'il n'a pas l'attention souhaitée, il peut taper des pieds, dans les mains ou faire des bruits avec son nez. Il cherche la relation avec l'adulte présent, il apprécie les encouragemnt et les félicitations et y réagit positivement. Bryan sait dire "oui" en se tapant sur la poitrine. Il exprime sa colère ou ses contriariétés en s'opposant. Il peut s'asseoir au sol, nous mettre sa main au visage ou se mordre assez violemment. Losqu'une situation le touche, il réagit fortement en se rigidifiant et en se mordant le pouce, le tout accompagné de gémissements.</v>
      </c>
      <c r="AD304" t="str">
        <f>gescon_infosparticip!AC303</f>
        <v>relation conflictuel entre la maman et le papa.</v>
      </c>
      <c r="AE304" t="str">
        <f>gescon_infosparticip!AD303</f>
        <v>Nicolas Olivier (26ans)
Quentin (16 ans interne à la Castalie est sur le même groupe éducatif que Bryan)</v>
      </c>
      <c r="AF304" t="str">
        <f>gescon_infosparticip!AE303</f>
        <v>la relation avec ses camarades est difficile.</v>
      </c>
      <c r="AG304" t="str">
        <f>gescon_infosparticip!AF303</f>
        <v>Bryan aime et recherche la compagnie de ses pairs mais apprécie également la tranquilité. Il aime être à l'extérieur, se promener, faire du vélo, de la balançoire. Cepandant lors de promenades, il peut s'assoir au sol ou courrir à l'opposé du chemin emprunté. Il est souvent nécessaire que nous lui courrions derrière car bryan n'écoute plus aucune consigne. Il accepte que nous tenions le bras. Il aime les émissions sportives et jeux télévisés, écouter de la musique, feuilleter des magazines, avtivités culinaires, piscine.</v>
      </c>
      <c r="AH304" t="str">
        <f>gescon_infosparticip!AG303</f>
        <v/>
      </c>
      <c r="AI304" t="str">
        <f>gescon_infosparticip!BN303</f>
        <v>Bryan peut faire des siestes après le temps de midi</v>
      </c>
      <c r="AJ304" t="str">
        <f>gescon_infosparticip!BO303</f>
        <v/>
      </c>
    </row>
    <row r="305" spans="2:36" x14ac:dyDescent="0.25">
      <c r="B305">
        <f>gescon_infosparticip!A304</f>
        <v>2146189788</v>
      </c>
      <c r="C305">
        <f>gescon_infosparticip!B304</f>
        <v>42843</v>
      </c>
      <c r="D305">
        <f>gescon_infosparticip!C304</f>
        <v>2146189798</v>
      </c>
      <c r="E305">
        <f>gescon_infosparticip!D304</f>
        <v>2146189799</v>
      </c>
      <c r="F305">
        <f>gescon_infosparticip!E304</f>
        <v>0</v>
      </c>
      <c r="G305">
        <f>gescon_infosparticip!F304</f>
        <v>1167818958</v>
      </c>
      <c r="H305">
        <f>gescon_infosparticip!G304</f>
        <v>2146189798</v>
      </c>
      <c r="I305" t="str">
        <f>gescon_infosparticip!H304</f>
        <v>Mme francine Meyrat / Assistante sociale : P. Ames</v>
      </c>
      <c r="J305">
        <f>IF(gescon_infosparticip!I304=FALSE,0,1)</f>
        <v>0</v>
      </c>
      <c r="K305">
        <f>IF(gescon_infosparticip!J304=FALSE,0,1)</f>
        <v>0</v>
      </c>
      <c r="L305">
        <f>IF(gescon_infosparticip!K304=FALSE,0,1)</f>
        <v>1</v>
      </c>
      <c r="M305">
        <f>IF(gescon_infosparticip!L304=FALSE,0,1)</f>
        <v>1</v>
      </c>
      <c r="N305">
        <f>IF(gescon_infosparticip!M304=FALSE,0,1)</f>
        <v>1</v>
      </c>
      <c r="O305">
        <f>IF(gescon_infosparticip!N304=FALSE,0,1)</f>
        <v>0</v>
      </c>
      <c r="P305">
        <f>IF(gescon_infosparticip!O304=FALSE,0,1)</f>
        <v>0</v>
      </c>
      <c r="Q305">
        <f>IF(gescon_infosparticip!P304=FALSE,0,1)</f>
        <v>0</v>
      </c>
      <c r="R305">
        <f>IF(gescon_infosparticip!Q304=FALSE,0,1)</f>
        <v>0</v>
      </c>
      <c r="S305" t="str">
        <f>gescon_infosparticip!R304</f>
        <v/>
      </c>
      <c r="T305" t="str">
        <f>gescon_infosparticip!V304</f>
        <v>autonomie mais à vérifier</v>
      </c>
      <c r="U305" t="str">
        <f>gescon_infosparticip!S304</f>
        <v/>
      </c>
      <c r="V305">
        <f>IF(gescon_infosparticip!U304=FALSE,0,1)</f>
        <v>1</v>
      </c>
      <c r="W305">
        <f>IF(gescon_infosparticip!T304=FALSE,0,1)</f>
        <v>0</v>
      </c>
      <c r="X305" t="str">
        <f>gescon_infosparticip!W304</f>
        <v/>
      </c>
      <c r="Y305">
        <f>IF(gescon_infosparticip!X304=FALSE,0,1)</f>
        <v>0</v>
      </c>
      <c r="Z305">
        <f>IF(gescon_infosparticip!Y304=FALSE,0,1)</f>
        <v>0</v>
      </c>
      <c r="AA305">
        <f>IF(gescon_infosparticip!Z304=FALSE,0,1)</f>
        <v>0</v>
      </c>
      <c r="AB305">
        <f>IF(gescon_infosparticip!AA304=FALSE,0,1)</f>
        <v>0</v>
      </c>
      <c r="AC305" t="str">
        <f>gescon_infosparticip!AB304</f>
        <v>difficulté dans le savoir-être, à se faire des amis</v>
      </c>
      <c r="AD305" t="str">
        <f>gescon_infosparticip!AC304</f>
        <v>un oncle, une tante, et 2 cousines à Salqunen, une grande-maman à Sion</v>
      </c>
      <c r="AE305" t="str">
        <f>gescon_infosparticip!AD304</f>
        <v>2 sœurs : Stéphanie (22 ans)
Mélanie (19 ans)</v>
      </c>
      <c r="AF305" t="str">
        <f>gescon_infosparticip!AE304</f>
        <v>Déborah (12 ans)
Leatitia (16 ans)
Napatson (15 ans)</v>
      </c>
      <c r="AG305" t="str">
        <f>gescon_infosparticip!AF304</f>
        <v>sports</v>
      </c>
      <c r="AH305" t="str">
        <f>gescon_infosparticip!AG304</f>
        <v>activités où il y a beaucoup de bruits</v>
      </c>
      <c r="AI305" t="str">
        <f>gescon_infosparticip!BN304</f>
        <v/>
      </c>
      <c r="AJ305" t="str">
        <f>gescon_infosparticip!BO304</f>
        <v/>
      </c>
    </row>
    <row r="306" spans="2:36" x14ac:dyDescent="0.25">
      <c r="B306">
        <f>gescon_infosparticip!A305</f>
        <v>2146189808</v>
      </c>
      <c r="C306">
        <f>gescon_infosparticip!B305</f>
        <v>42556</v>
      </c>
      <c r="D306">
        <f>gescon_infosparticip!C305</f>
        <v>0</v>
      </c>
      <c r="E306">
        <f>gescon_infosparticip!D305</f>
        <v>0</v>
      </c>
      <c r="F306">
        <f>gescon_infosparticip!E305</f>
        <v>0</v>
      </c>
      <c r="G306">
        <f>gescon_infosparticip!F305</f>
        <v>0</v>
      </c>
      <c r="H306">
        <f>gescon_infosparticip!G305</f>
        <v>0</v>
      </c>
      <c r="I306" t="str">
        <f>gescon_infosparticip!H305</f>
        <v/>
      </c>
      <c r="J306">
        <f>IF(gescon_infosparticip!I305=FALSE,0,1)</f>
        <v>0</v>
      </c>
      <c r="K306">
        <f>IF(gescon_infosparticip!J305=FALSE,0,1)</f>
        <v>0</v>
      </c>
      <c r="L306">
        <f>IF(gescon_infosparticip!K305=FALSE,0,1)</f>
        <v>0</v>
      </c>
      <c r="M306">
        <f>IF(gescon_infosparticip!L305=FALSE,0,1)</f>
        <v>0</v>
      </c>
      <c r="N306">
        <f>IF(gescon_infosparticip!M305=FALSE,0,1)</f>
        <v>0</v>
      </c>
      <c r="O306">
        <f>IF(gescon_infosparticip!N305=FALSE,0,1)</f>
        <v>0</v>
      </c>
      <c r="P306">
        <f>IF(gescon_infosparticip!O305=FALSE,0,1)</f>
        <v>0</v>
      </c>
      <c r="Q306">
        <f>IF(gescon_infosparticip!P305=FALSE,0,1)</f>
        <v>0</v>
      </c>
      <c r="R306">
        <f>IF(gescon_infosparticip!Q305=FALSE,0,1)</f>
        <v>0</v>
      </c>
      <c r="S306" t="str">
        <f>gescon_infosparticip!R305</f>
        <v/>
      </c>
      <c r="T306" t="str">
        <f>gescon_infosparticip!V305</f>
        <v/>
      </c>
      <c r="U306" t="str">
        <f>gescon_infosparticip!S305</f>
        <v/>
      </c>
      <c r="V306">
        <f>IF(gescon_infosparticip!U305=FALSE,0,1)</f>
        <v>0</v>
      </c>
      <c r="W306">
        <f>IF(gescon_infosparticip!T305=FALSE,0,1)</f>
        <v>0</v>
      </c>
      <c r="X306" t="str">
        <f>gescon_infosparticip!W305</f>
        <v/>
      </c>
      <c r="Y306">
        <f>IF(gescon_infosparticip!X305=FALSE,0,1)</f>
        <v>0</v>
      </c>
      <c r="Z306">
        <f>IF(gescon_infosparticip!Y305=FALSE,0,1)</f>
        <v>0</v>
      </c>
      <c r="AA306">
        <f>IF(gescon_infosparticip!Z305=FALSE,0,1)</f>
        <v>0</v>
      </c>
      <c r="AB306">
        <f>IF(gescon_infosparticip!AA305=FALSE,0,1)</f>
        <v>0</v>
      </c>
      <c r="AC306" t="str">
        <f>gescon_infosparticip!AB305</f>
        <v/>
      </c>
      <c r="AD306" t="str">
        <f>gescon_infosparticip!AC305</f>
        <v/>
      </c>
      <c r="AE306" t="str">
        <f>gescon_infosparticip!AD305</f>
        <v/>
      </c>
      <c r="AF306" t="str">
        <f>gescon_infosparticip!AE305</f>
        <v/>
      </c>
      <c r="AG306" t="str">
        <f>gescon_infosparticip!AF305</f>
        <v/>
      </c>
      <c r="AH306" t="str">
        <f>gescon_infosparticip!AG305</f>
        <v/>
      </c>
      <c r="AI306" t="str">
        <f>gescon_infosparticip!BN305</f>
        <v/>
      </c>
      <c r="AJ306" t="str">
        <f>gescon_infosparticip!BO305</f>
        <v/>
      </c>
    </row>
    <row r="307" spans="2:36" x14ac:dyDescent="0.25">
      <c r="B307">
        <f>gescon_infosparticip!A306</f>
        <v>2146189810</v>
      </c>
      <c r="C307">
        <f>gescon_infosparticip!B306</f>
        <v>42780</v>
      </c>
      <c r="D307">
        <f>gescon_infosparticip!C306</f>
        <v>2146189811</v>
      </c>
      <c r="E307">
        <f>gescon_infosparticip!D306</f>
        <v>2146189816</v>
      </c>
      <c r="F307">
        <f>gescon_infosparticip!E306</f>
        <v>0</v>
      </c>
      <c r="G307">
        <f>gescon_infosparticip!F306</f>
        <v>0</v>
      </c>
      <c r="H307">
        <f>gescon_infosparticip!G306</f>
        <v>2146189797</v>
      </c>
      <c r="I307" t="str">
        <f>gescon_infosparticip!H306</f>
        <v/>
      </c>
      <c r="J307">
        <f>IF(gescon_infosparticip!I306=FALSE,0,1)</f>
        <v>0</v>
      </c>
      <c r="K307">
        <f>IF(gescon_infosparticip!J306=FALSE,0,1)</f>
        <v>0</v>
      </c>
      <c r="L307">
        <f>IF(gescon_infosparticip!K306=FALSE,0,1)</f>
        <v>0</v>
      </c>
      <c r="M307">
        <f>IF(gescon_infosparticip!L306=FALSE,0,1)</f>
        <v>1</v>
      </c>
      <c r="N307">
        <f>IF(gescon_infosparticip!M306=FALSE,0,1)</f>
        <v>0</v>
      </c>
      <c r="O307">
        <f>IF(gescon_infosparticip!N306=FALSE,0,1)</f>
        <v>0</v>
      </c>
      <c r="P307">
        <f>IF(gescon_infosparticip!O306=FALSE,0,1)</f>
        <v>0</v>
      </c>
      <c r="Q307">
        <f>IF(gescon_infosparticip!P306=FALSE,0,1)</f>
        <v>1</v>
      </c>
      <c r="R307">
        <f>IF(gescon_infosparticip!Q306=FALSE,0,1)</f>
        <v>0</v>
      </c>
      <c r="S307" t="str">
        <f>gescon_infosparticip!R306</f>
        <v>utilisation d'un fauteil roulant manuel pour l'extérieur</v>
      </c>
      <c r="T307" t="str">
        <f>gescon_infosparticip!V306</f>
        <v>Aide pour l'habillement et pour enlever ses vêtements, aide pour la douche.</v>
      </c>
      <c r="U307" t="str">
        <f>gescon_infosparticip!S306</f>
        <v>A vérifier si Dino peut aller à la piscine avec son traitement</v>
      </c>
      <c r="V307">
        <f>IF(gescon_infosparticip!U306=FALSE,0,1)</f>
        <v>0</v>
      </c>
      <c r="W307">
        <f>IF(gescon_infosparticip!T306=FALSE,0,1)</f>
        <v>0</v>
      </c>
      <c r="X307" t="str">
        <f>gescon_infosparticip!W306</f>
        <v/>
      </c>
      <c r="Y307">
        <f>IF(gescon_infosparticip!X306=FALSE,0,1)</f>
        <v>0</v>
      </c>
      <c r="Z307">
        <f>IF(gescon_infosparticip!Y306=FALSE,0,1)</f>
        <v>0</v>
      </c>
      <c r="AA307">
        <f>IF(gescon_infosparticip!Z306=FALSE,0,1)</f>
        <v>0</v>
      </c>
      <c r="AB307">
        <f>IF(gescon_infosparticip!AA306=FALSE,0,1)</f>
        <v>0</v>
      </c>
      <c r="AC307" t="str">
        <f>gescon_infosparticip!AB306</f>
        <v>Dino ne rencontre pas de difficulté de communication</v>
      </c>
      <c r="AD307" t="str">
        <f>gescon_infosparticip!AC306</f>
        <v>Vit avec ses parents et ses sœurs</v>
      </c>
      <c r="AE307" t="str">
        <f>gescon_infosparticip!AD306</f>
        <v>A 2 sœurs</v>
      </c>
      <c r="AF307" t="str">
        <f>gescon_infosparticip!AE306</f>
        <v>Amis de la classe</v>
      </c>
      <c r="AG307" t="str">
        <f>gescon_infosparticip!AF306</f>
        <v>jeux Nintendo, les Pokkemons (jeux électroniques), regarder la TV</v>
      </c>
      <c r="AH307" t="str">
        <f>gescon_infosparticip!AG306</f>
        <v>Les jeux de société, le dessin, le bricolage.</v>
      </c>
      <c r="AI307" t="str">
        <f>gescon_infosparticip!BN306</f>
        <v/>
      </c>
      <c r="AJ307" t="str">
        <f>gescon_infosparticip!BO306</f>
        <v/>
      </c>
    </row>
    <row r="308" spans="2:36" x14ac:dyDescent="0.25">
      <c r="B308">
        <f>gescon_infosparticip!A307</f>
        <v>2146189816</v>
      </c>
      <c r="C308">
        <f>gescon_infosparticip!B307</f>
        <v>42552.395567129599</v>
      </c>
      <c r="D308">
        <f>gescon_infosparticip!C307</f>
        <v>2146189811</v>
      </c>
      <c r="E308">
        <f>gescon_infosparticip!D307</f>
        <v>2146189816</v>
      </c>
      <c r="F308">
        <f>gescon_infosparticip!E307</f>
        <v>0</v>
      </c>
      <c r="G308">
        <f>gescon_infosparticip!F307</f>
        <v>0</v>
      </c>
      <c r="H308">
        <f>gescon_infosparticip!G307</f>
        <v>2146189811</v>
      </c>
      <c r="I308" t="str">
        <f>gescon_infosparticip!H307</f>
        <v/>
      </c>
      <c r="J308">
        <f>IF(gescon_infosparticip!I307=FALSE,0,1)</f>
        <v>0</v>
      </c>
      <c r="K308">
        <f>IF(gescon_infosparticip!J307=FALSE,0,1)</f>
        <v>0</v>
      </c>
      <c r="L308">
        <f>IF(gescon_infosparticip!K307=FALSE,0,1)</f>
        <v>0</v>
      </c>
      <c r="M308">
        <f>IF(gescon_infosparticip!L307=FALSE,0,1)</f>
        <v>1</v>
      </c>
      <c r="N308">
        <f>IF(gescon_infosparticip!M307=FALSE,0,1)</f>
        <v>0</v>
      </c>
      <c r="O308">
        <f>IF(gescon_infosparticip!N307=FALSE,0,1)</f>
        <v>0</v>
      </c>
      <c r="P308">
        <f>IF(gescon_infosparticip!O307=FALSE,0,1)</f>
        <v>0</v>
      </c>
      <c r="Q308">
        <f>IF(gescon_infosparticip!P307=FALSE,0,1)</f>
        <v>1</v>
      </c>
      <c r="R308">
        <f>IF(gescon_infosparticip!Q307=FALSE,0,1)</f>
        <v>0</v>
      </c>
      <c r="S308" t="str">
        <f>gescon_infosparticip!R307</f>
        <v>Utilisation d'un fauteil roulant manuel pour l'extérieur.</v>
      </c>
      <c r="T308" t="str">
        <f>gescon_infosparticip!V307</f>
        <v>Aide pour l'habillement et pour enlever ses vêtments, aide pour la douche.</v>
      </c>
      <c r="U308" t="str">
        <f>gescon_infosparticip!S307</f>
        <v>A vérifier si Dino peut aller à la piscine avec son traitement</v>
      </c>
      <c r="V308">
        <f>IF(gescon_infosparticip!U307=FALSE,0,1)</f>
        <v>0</v>
      </c>
      <c r="W308">
        <f>IF(gescon_infosparticip!T307=FALSE,0,1)</f>
        <v>0</v>
      </c>
      <c r="X308" t="str">
        <f>gescon_infosparticip!W307</f>
        <v/>
      </c>
      <c r="Y308">
        <f>IF(gescon_infosparticip!X307=FALSE,0,1)</f>
        <v>0</v>
      </c>
      <c r="Z308">
        <f>IF(gescon_infosparticip!Y307=FALSE,0,1)</f>
        <v>0</v>
      </c>
      <c r="AA308">
        <f>IF(gescon_infosparticip!Z307=FALSE,0,1)</f>
        <v>0</v>
      </c>
      <c r="AB308">
        <f>IF(gescon_infosparticip!AA307=FALSE,0,1)</f>
        <v>0</v>
      </c>
      <c r="AC308" t="str">
        <f>gescon_infosparticip!AB307</f>
        <v>Dino ne rencontre pas de difficulté de communication</v>
      </c>
      <c r="AD308" t="str">
        <f>gescon_infosparticip!AC307</f>
        <v>Vit avec ses parents et ses 2 sœurs</v>
      </c>
      <c r="AE308" t="str">
        <f>gescon_infosparticip!AD307</f>
        <v>A 2 sœur</v>
      </c>
      <c r="AF308" t="str">
        <f>gescon_infosparticip!AE307</f>
        <v>Amis de la classe</v>
      </c>
      <c r="AG308" t="str">
        <f>gescon_infosparticip!AF307</f>
        <v>Jeux Nintendo, les Pokkemons (jeux électroniques), regarder la TV</v>
      </c>
      <c r="AH308" t="str">
        <f>gescon_infosparticip!AG307</f>
        <v>Les jeux de société, le dessin, le bricolage</v>
      </c>
      <c r="AI308" t="str">
        <f>gescon_infosparticip!BN307</f>
        <v/>
      </c>
      <c r="AJ308" t="str">
        <f>gescon_infosparticip!BO307</f>
        <v/>
      </c>
    </row>
    <row r="309" spans="2:36" x14ac:dyDescent="0.25">
      <c r="B309">
        <f>gescon_infosparticip!A308</f>
        <v>2146189819</v>
      </c>
      <c r="C309">
        <f>gescon_infosparticip!B308</f>
        <v>42915</v>
      </c>
      <c r="D309">
        <f>gescon_infosparticip!C308</f>
        <v>2146189809</v>
      </c>
      <c r="E309">
        <f>gescon_infosparticip!D308</f>
        <v>0</v>
      </c>
      <c r="F309">
        <f>gescon_infosparticip!E308</f>
        <v>0</v>
      </c>
      <c r="G309">
        <f>gescon_infosparticip!F308</f>
        <v>2146189827</v>
      </c>
      <c r="H309">
        <f>gescon_infosparticip!G308</f>
        <v>2146189809</v>
      </c>
      <c r="I309" t="str">
        <f>gescon_infosparticip!H308</f>
        <v/>
      </c>
      <c r="J309">
        <f>IF(gescon_infosparticip!I308=FALSE,0,1)</f>
        <v>0</v>
      </c>
      <c r="K309">
        <f>IF(gescon_infosparticip!J308=FALSE,0,1)</f>
        <v>0</v>
      </c>
      <c r="L309">
        <f>IF(gescon_infosparticip!K308=FALSE,0,1)</f>
        <v>0</v>
      </c>
      <c r="M309">
        <f>IF(gescon_infosparticip!L308=FALSE,0,1)</f>
        <v>1</v>
      </c>
      <c r="N309">
        <f>IF(gescon_infosparticip!M308=FALSE,0,1)</f>
        <v>1</v>
      </c>
      <c r="O309">
        <f>IF(gescon_infosparticip!N308=FALSE,0,1)</f>
        <v>0</v>
      </c>
      <c r="P309">
        <f>IF(gescon_infosparticip!O308=FALSE,0,1)</f>
        <v>0</v>
      </c>
      <c r="Q309">
        <f>IF(gescon_infosparticip!P308=FALSE,0,1)</f>
        <v>0</v>
      </c>
      <c r="R309">
        <f>IF(gescon_infosparticip!Q308=FALSE,0,1)</f>
        <v>0</v>
      </c>
      <c r="S309" t="str">
        <f>gescon_infosparticip!R308</f>
        <v/>
      </c>
      <c r="T309" t="str">
        <f>gescon_infosparticip!V308</f>
        <v>Noélie peut s'habiller seule, mais avec un peu d'aide.</v>
      </c>
      <c r="U309" t="str">
        <f>gescon_infosparticip!S308</f>
        <v>Elle nage seule, même où elle n'a pas pied : mais à surveiller !</v>
      </c>
      <c r="V309">
        <f>IF(gescon_infosparticip!U308=FALSE,0,1)</f>
        <v>1</v>
      </c>
      <c r="W309">
        <f>IF(gescon_infosparticip!T308=FALSE,0,1)</f>
        <v>0</v>
      </c>
      <c r="X309" t="str">
        <f>gescon_infosparticip!W308</f>
        <v/>
      </c>
      <c r="Y309">
        <f>IF(gescon_infosparticip!X308=FALSE,0,1)</f>
        <v>0</v>
      </c>
      <c r="Z309">
        <f>IF(gescon_infosparticip!Y308=FALSE,0,1)</f>
        <v>0</v>
      </c>
      <c r="AA309">
        <f>IF(gescon_infosparticip!Z308=FALSE,0,1)</f>
        <v>0</v>
      </c>
      <c r="AB309">
        <f>IF(gescon_infosparticip!AA308=FALSE,0,1)</f>
        <v>0</v>
      </c>
      <c r="AC309" t="str">
        <f>gescon_infosparticip!AB308</f>
        <v>Noélie parle très bien.</v>
      </c>
      <c r="AD309" t="str">
        <f>gescon_infosparticip!AC308</f>
        <v>-</v>
      </c>
      <c r="AE309" t="str">
        <f>gescon_infosparticip!AD308</f>
        <v>-</v>
      </c>
      <c r="AF309" t="str">
        <f>gescon_infosparticip!AE308</f>
        <v>Elle a des difficultés à se lier d'amitié.</v>
      </c>
      <c r="AG309" t="str">
        <f>gescon_infosparticip!AF308</f>
        <v>Chevaux, animaux en général, piscine, puzzles.</v>
      </c>
      <c r="AH309" t="str">
        <f>gescon_infosparticip!AG308</f>
        <v>-</v>
      </c>
      <c r="AI309" t="str">
        <f>gescon_infosparticip!BN308</f>
        <v/>
      </c>
      <c r="AJ309" t="str">
        <f>gescon_infosparticip!BO308</f>
        <v/>
      </c>
    </row>
    <row r="310" spans="2:36" x14ac:dyDescent="0.25">
      <c r="B310">
        <f>gescon_infosparticip!A309</f>
        <v>2146189843</v>
      </c>
      <c r="C310">
        <f>gescon_infosparticip!B309</f>
        <v>42843</v>
      </c>
      <c r="D310">
        <f>gescon_infosparticip!C309</f>
        <v>2146189844</v>
      </c>
      <c r="E310">
        <f>gescon_infosparticip!D309</f>
        <v>0</v>
      </c>
      <c r="F310">
        <f>gescon_infosparticip!E309</f>
        <v>0</v>
      </c>
      <c r="G310">
        <f>gescon_infosparticip!F309</f>
        <v>0</v>
      </c>
      <c r="H310">
        <f>gescon_infosparticip!G309</f>
        <v>2146189844</v>
      </c>
      <c r="I310" t="str">
        <f>gescon_infosparticip!H309</f>
        <v/>
      </c>
      <c r="J310">
        <f>IF(gescon_infosparticip!I309=FALSE,0,1)</f>
        <v>0</v>
      </c>
      <c r="K310">
        <f>IF(gescon_infosparticip!J309=FALSE,0,1)</f>
        <v>0</v>
      </c>
      <c r="L310">
        <f>IF(gescon_infosparticip!K309=FALSE,0,1)</f>
        <v>0</v>
      </c>
      <c r="M310">
        <f>IF(gescon_infosparticip!L309=FALSE,0,1)</f>
        <v>1</v>
      </c>
      <c r="N310">
        <f>IF(gescon_infosparticip!M309=FALSE,0,1)</f>
        <v>1</v>
      </c>
      <c r="O310">
        <f>IF(gescon_infosparticip!N309=FALSE,0,1)</f>
        <v>0</v>
      </c>
      <c r="P310">
        <f>IF(gescon_infosparticip!O309=FALSE,0,1)</f>
        <v>0</v>
      </c>
      <c r="Q310">
        <f>IF(gescon_infosparticip!P309=FALSE,0,1)</f>
        <v>0</v>
      </c>
      <c r="R310">
        <f>IF(gescon_infosparticip!Q309=FALSE,0,1)</f>
        <v>0</v>
      </c>
      <c r="S310" t="str">
        <f>gescon_infosparticip!R309</f>
        <v/>
      </c>
      <c r="T310" t="str">
        <f>gescon_infosparticip!V309</f>
        <v>il n'arrive pas à mettre la 2ème manche de la veste et les chaussures à lacets</v>
      </c>
      <c r="U310" t="str">
        <f>gescon_infosparticip!S309</f>
        <v>Rayane manque de confiance, il a besoin d'une personne pour rester dans le grand bassin</v>
      </c>
      <c r="V310">
        <f>IF(gescon_infosparticip!U309=FALSE,0,1)</f>
        <v>0</v>
      </c>
      <c r="W310">
        <f>IF(gescon_infosparticip!T309=FALSE,0,1)</f>
        <v>1</v>
      </c>
      <c r="X310" t="str">
        <f>gescon_infosparticip!W309</f>
        <v/>
      </c>
      <c r="Y310">
        <f>IF(gescon_infosparticip!X309=FALSE,0,1)</f>
        <v>0</v>
      </c>
      <c r="Z310">
        <f>IF(gescon_infosparticip!Y309=FALSE,0,1)</f>
        <v>0</v>
      </c>
      <c r="AA310">
        <f>IF(gescon_infosparticip!Z309=FALSE,0,1)</f>
        <v>0</v>
      </c>
      <c r="AB310">
        <f>IF(gescon_infosparticip!AA309=FALSE,0,1)</f>
        <v>0</v>
      </c>
      <c r="AC310" t="str">
        <f>gescon_infosparticip!AB309</f>
        <v/>
      </c>
      <c r="AD310" t="str">
        <f>gescon_infosparticip!AC309</f>
        <v/>
      </c>
      <c r="AE310" t="str">
        <f>gescon_infosparticip!AD309</f>
        <v/>
      </c>
      <c r="AF310" t="str">
        <f>gescon_infosparticip!AE309</f>
        <v/>
      </c>
      <c r="AG310" t="str">
        <f>gescon_infosparticip!AF309</f>
        <v>parc enfants, regarder les animaux, vélo, foot</v>
      </c>
      <c r="AH310" t="str">
        <f>gescon_infosparticip!AG309</f>
        <v/>
      </c>
      <c r="AI310" t="str">
        <f>gescon_infosparticip!BN309</f>
        <v/>
      </c>
      <c r="AJ310" t="str">
        <f>gescon_infosparticip!BO309</f>
        <v/>
      </c>
    </row>
    <row r="311" spans="2:36" x14ac:dyDescent="0.25">
      <c r="B311">
        <f>gescon_infosparticip!A310</f>
        <v>2146189852</v>
      </c>
      <c r="C311">
        <f>gescon_infosparticip!B310</f>
        <v>42863</v>
      </c>
      <c r="D311">
        <f>gescon_infosparticip!C310</f>
        <v>2146189853</v>
      </c>
      <c r="E311">
        <f>gescon_infosparticip!D310</f>
        <v>0</v>
      </c>
      <c r="F311">
        <f>gescon_infosparticip!E310</f>
        <v>2146189853</v>
      </c>
      <c r="G311">
        <f>gescon_infosparticip!F310</f>
        <v>1424</v>
      </c>
      <c r="H311">
        <f>gescon_infosparticip!G310</f>
        <v>2146189853</v>
      </c>
      <c r="I311" t="str">
        <f>gescon_infosparticip!H310</f>
        <v>Mme Katty Giani</v>
      </c>
      <c r="J311">
        <f>IF(gescon_infosparticip!I310=FALSE,0,1)</f>
        <v>0</v>
      </c>
      <c r="K311">
        <f>IF(gescon_infosparticip!J310=FALSE,0,1)</f>
        <v>0</v>
      </c>
      <c r="L311">
        <f>IF(gescon_infosparticip!K310=FALSE,0,1)</f>
        <v>0</v>
      </c>
      <c r="M311">
        <f>IF(gescon_infosparticip!L310=FALSE,0,1)</f>
        <v>1</v>
      </c>
      <c r="N311">
        <f>IF(gescon_infosparticip!M310=FALSE,0,1)</f>
        <v>1</v>
      </c>
      <c r="O311">
        <f>IF(gescon_infosparticip!N310=FALSE,0,1)</f>
        <v>0</v>
      </c>
      <c r="P311">
        <f>IF(gescon_infosparticip!O310=FALSE,0,1)</f>
        <v>0</v>
      </c>
      <c r="Q311">
        <f>IF(gescon_infosparticip!P310=FALSE,0,1)</f>
        <v>0</v>
      </c>
      <c r="R311">
        <f>IF(gescon_infosparticip!Q310=FALSE,0,1)</f>
        <v>0</v>
      </c>
      <c r="S311" t="str">
        <f>gescon_infosparticip!R310</f>
        <v/>
      </c>
      <c r="T311" t="str">
        <f>gescon_infosparticip!V310</f>
        <v>Besoin d'aide pour l'habillement, style coquette</v>
      </c>
      <c r="U311" t="str">
        <f>gescon_infosparticip!S310</f>
        <v/>
      </c>
      <c r="V311">
        <f>IF(gescon_infosparticip!U310=FALSE,0,1)</f>
        <v>0</v>
      </c>
      <c r="W311">
        <f>IF(gescon_infosparticip!T310=FALSE,0,1)</f>
        <v>0</v>
      </c>
      <c r="X311" t="str">
        <f>gescon_infosparticip!W310</f>
        <v/>
      </c>
      <c r="Y311">
        <f>IF(gescon_infosparticip!X310=FALSE,0,1)</f>
        <v>0</v>
      </c>
      <c r="Z311">
        <f>IF(gescon_infosparticip!Y310=FALSE,0,1)</f>
        <v>0</v>
      </c>
      <c r="AA311">
        <f>IF(gescon_infosparticip!Z310=FALSE,0,1)</f>
        <v>0</v>
      </c>
      <c r="AB311">
        <f>IF(gescon_infosparticip!AA310=FALSE,0,1)</f>
        <v>0</v>
      </c>
      <c r="AC311" t="str">
        <f>gescon_infosparticip!AB310</f>
        <v>Arrive à se faire comprendre par les gestes et sons. Elle prononce qqes mots tels : Papa, maman, à boire.</v>
      </c>
      <c r="AD311" t="str">
        <f>gescon_infosparticip!AC310</f>
        <v/>
      </c>
      <c r="AE311" t="str">
        <f>gescon_infosparticip!AD310</f>
        <v>un frère Florian 32 ans et son épouse Paula 32 ans domicilliés à Santiago du Chili</v>
      </c>
      <c r="AF311" t="str">
        <f>gescon_infosparticip!AE310</f>
        <v/>
      </c>
      <c r="AG311" t="str">
        <f>gescon_infosparticip!AF310</f>
        <v>Apprécie les promenades, la piscine, la musique.</v>
      </c>
      <c r="AH311" t="str">
        <f>gescon_infosparticip!AG310</f>
        <v>Activités de longues durées</v>
      </c>
      <c r="AI311" t="str">
        <f>gescon_infosparticip!BN310</f>
        <v/>
      </c>
      <c r="AJ311" t="str">
        <f>gescon_infosparticip!BO310</f>
        <v/>
      </c>
    </row>
    <row r="312" spans="2:36" x14ac:dyDescent="0.25">
      <c r="B312">
        <f>gescon_infosparticip!A311</f>
        <v>2146189856</v>
      </c>
      <c r="C312">
        <f>gescon_infosparticip!B311</f>
        <v>42776</v>
      </c>
      <c r="D312">
        <f>gescon_infosparticip!C311</f>
        <v>2146189583</v>
      </c>
      <c r="E312">
        <f>gescon_infosparticip!D311</f>
        <v>0</v>
      </c>
      <c r="F312">
        <f>gescon_infosparticip!E311</f>
        <v>0</v>
      </c>
      <c r="G312">
        <f>gescon_infosparticip!F311</f>
        <v>0</v>
      </c>
      <c r="H312">
        <f>gescon_infosparticip!G311</f>
        <v>2146189583</v>
      </c>
      <c r="I312" t="str">
        <f>gescon_infosparticip!H311</f>
        <v/>
      </c>
      <c r="J312">
        <f>IF(gescon_infosparticip!I311=FALSE,0,1)</f>
        <v>0</v>
      </c>
      <c r="K312">
        <f>IF(gescon_infosparticip!J311=FALSE,0,1)</f>
        <v>0</v>
      </c>
      <c r="L312">
        <f>IF(gescon_infosparticip!K311=FALSE,0,1)</f>
        <v>0</v>
      </c>
      <c r="M312">
        <f>IF(gescon_infosparticip!L311=FALSE,0,1)</f>
        <v>1</v>
      </c>
      <c r="N312">
        <f>IF(gescon_infosparticip!M311=FALSE,0,1)</f>
        <v>1</v>
      </c>
      <c r="O312">
        <f>IF(gescon_infosparticip!N311=FALSE,0,1)</f>
        <v>0</v>
      </c>
      <c r="P312">
        <f>IF(gescon_infosparticip!O311=FALSE,0,1)</f>
        <v>0</v>
      </c>
      <c r="Q312">
        <f>IF(gescon_infosparticip!P311=FALSE,0,1)</f>
        <v>0</v>
      </c>
      <c r="R312">
        <f>IF(gescon_infosparticip!Q311=FALSE,0,1)</f>
        <v>0</v>
      </c>
      <c r="S312" t="str">
        <f>gescon_infosparticip!R311</f>
        <v>A besoin de beaucoup de motivation</v>
      </c>
      <c r="T312" t="str">
        <f>gescon_infosparticip!V311</f>
        <v>Pas autonome</v>
      </c>
      <c r="U312" t="str">
        <f>gescon_infosparticip!S311</f>
        <v>Avec manchons</v>
      </c>
      <c r="V312">
        <f>IF(gescon_infosparticip!U311=FALSE,0,1)</f>
        <v>1</v>
      </c>
      <c r="W312">
        <f>IF(gescon_infosparticip!T311=FALSE,0,1)</f>
        <v>0</v>
      </c>
      <c r="X312" t="str">
        <f>gescon_infosparticip!W311</f>
        <v>attention qu'il ne s'enroule pas dans la tubulure</v>
      </c>
      <c r="Y312">
        <f>IF(gescon_infosparticip!X311=FALSE,0,1)</f>
        <v>1</v>
      </c>
      <c r="Z312">
        <f>IF(gescon_infosparticip!Y311=FALSE,0,1)</f>
        <v>0</v>
      </c>
      <c r="AA312">
        <f>IF(gescon_infosparticip!Z311=FALSE,0,1)</f>
        <v>0</v>
      </c>
      <c r="AB312">
        <f>IF(gescon_infosparticip!AA311=FALSE,0,1)</f>
        <v>1</v>
      </c>
      <c r="AC312" t="str">
        <f>gescon_infosparticip!AB311</f>
        <v>Ne parle pas, sourit, pleure</v>
      </c>
      <c r="AD312" t="str">
        <f>gescon_infosparticip!AC311</f>
        <v>Parents, grands-parents, tantes, cousins</v>
      </c>
      <c r="AE312" t="str">
        <f>gescon_infosparticip!AD311</f>
        <v>Un frère, Noah</v>
      </c>
      <c r="AF312" t="str">
        <f>gescon_infosparticip!AE311</f>
        <v>Quelques amies de l'école de Venthône</v>
      </c>
      <c r="AG312" t="str">
        <f>gescon_infosparticip!AF311</f>
        <v>TV, balançoire, toboggan, piscine, livre, musique, chevaux, luge, chansons,danse</v>
      </c>
      <c r="AH312" t="str">
        <f>gescon_infosparticip!AG311</f>
        <v>Trop de bruits, trop de stimuli</v>
      </c>
      <c r="AI312" t="str">
        <f>gescon_infosparticip!BN311</f>
        <v/>
      </c>
      <c r="AJ312" t="str">
        <f>gescon_infosparticip!BO311</f>
        <v/>
      </c>
    </row>
    <row r="313" spans="2:36" x14ac:dyDescent="0.25">
      <c r="B313">
        <f>gescon_infosparticip!A312</f>
        <v>2146189869</v>
      </c>
      <c r="C313">
        <f>gescon_infosparticip!B312</f>
        <v>43018</v>
      </c>
      <c r="D313">
        <f>gescon_infosparticip!C312</f>
        <v>2146189871</v>
      </c>
      <c r="E313">
        <f>gescon_infosparticip!D312</f>
        <v>0</v>
      </c>
      <c r="F313">
        <f>gescon_infosparticip!E312</f>
        <v>2146189871</v>
      </c>
      <c r="G313">
        <f>gescon_infosparticip!F312</f>
        <v>1424</v>
      </c>
      <c r="H313">
        <f>gescon_infosparticip!G312</f>
        <v>1424</v>
      </c>
      <c r="I313" t="str">
        <f>gescon_infosparticip!H312</f>
        <v>C2 - Ana Liza Cabral : 024 473 51 52</v>
      </c>
      <c r="J313">
        <f>IF(gescon_infosparticip!I312=FALSE,0,1)</f>
        <v>0</v>
      </c>
      <c r="K313">
        <f>IF(gescon_infosparticip!J312=FALSE,0,1)</f>
        <v>0</v>
      </c>
      <c r="L313">
        <f>IF(gescon_infosparticip!K312=FALSE,0,1)</f>
        <v>0</v>
      </c>
      <c r="M313">
        <f>IF(gescon_infosparticip!L312=FALSE,0,1)</f>
        <v>1</v>
      </c>
      <c r="N313">
        <f>IF(gescon_infosparticip!M312=FALSE,0,1)</f>
        <v>0</v>
      </c>
      <c r="O313">
        <f>IF(gescon_infosparticip!N312=FALSE,0,1)</f>
        <v>1</v>
      </c>
      <c r="P313">
        <f>IF(gescon_infosparticip!O312=FALSE,0,1)</f>
        <v>0</v>
      </c>
      <c r="Q313">
        <f>IF(gescon_infosparticip!P312=FALSE,0,1)</f>
        <v>1</v>
      </c>
      <c r="R313">
        <f>IF(gescon_infosparticip!Q312=FALSE,0,1)</f>
        <v>0</v>
      </c>
      <c r="S313" t="str">
        <f>gescon_infosparticip!R312</f>
        <v>Peut marcher quelques pas avec de l'aide. Se tient sur les jambes.</v>
      </c>
      <c r="T313" t="str">
        <f>gescon_infosparticip!V312</f>
        <v>Dépendant</v>
      </c>
      <c r="U313" t="str">
        <f>gescon_infosparticip!S312</f>
        <v>elle adore la piscine</v>
      </c>
      <c r="V313">
        <f>IF(gescon_infosparticip!U312=FALSE,0,1)</f>
        <v>0</v>
      </c>
      <c r="W313">
        <f>IF(gescon_infosparticip!T312=FALSE,0,1)</f>
        <v>1</v>
      </c>
      <c r="X313" t="str">
        <f>gescon_infosparticip!W312</f>
        <v>Avec les barrières. Duvet sans coussin sur le dos, elle se tourne elle-mêm et met le duvet sur la tête. Eloigner touts les objets.</v>
      </c>
      <c r="Y313">
        <f>IF(gescon_infosparticip!X312=FALSE,0,1)</f>
        <v>0</v>
      </c>
      <c r="Z313">
        <f>IF(gescon_infosparticip!Y312=FALSE,0,1)</f>
        <v>0</v>
      </c>
      <c r="AA313">
        <f>IF(gescon_infosparticip!Z312=FALSE,0,1)</f>
        <v>0</v>
      </c>
      <c r="AB313">
        <f>IF(gescon_infosparticip!AA312=FALSE,0,1)</f>
        <v>0</v>
      </c>
      <c r="AC313" t="str">
        <f>gescon_infosparticip!AB312</f>
        <v>Non verbal, mimique, comprend bien, très réceptive, elle sourit quand elle est contente, se crispe et se recroqueville quand elle pas bien.</v>
      </c>
      <c r="AD313" t="str">
        <f>gescon_infosparticip!AC312</f>
        <v>Elle vit à la Castalie.</v>
      </c>
      <c r="AE313" t="str">
        <f>gescon_infosparticip!AD312</f>
        <v>1 frère</v>
      </c>
      <c r="AF313" t="str">
        <f>gescon_infosparticip!AE312</f>
        <v/>
      </c>
      <c r="AG313" t="str">
        <f>gescon_infosparticip!AF312</f>
        <v>elle adore les bavettes en tissus. Elle aime les animaux, la piscine, les activités en plein air.</v>
      </c>
      <c r="AH313" t="str">
        <f>gescon_infosparticip!AG312</f>
        <v/>
      </c>
      <c r="AI313" t="str">
        <f>gescon_infosparticip!BN312</f>
        <v/>
      </c>
      <c r="AJ313" t="str">
        <f>gescon_infosparticip!BO312</f>
        <v>1x/jour. Enlever les chausettes pendant la sieste (elle les enlève et les met en bouche)</v>
      </c>
    </row>
    <row r="314" spans="2:36" x14ac:dyDescent="0.25">
      <c r="B314">
        <f>gescon_infosparticip!A313</f>
        <v>2146189874</v>
      </c>
      <c r="C314">
        <f>gescon_infosparticip!B313</f>
        <v>42843</v>
      </c>
      <c r="D314">
        <f>gescon_infosparticip!C313</f>
        <v>0</v>
      </c>
      <c r="E314">
        <f>gescon_infosparticip!D313</f>
        <v>0</v>
      </c>
      <c r="F314">
        <f>gescon_infosparticip!E313</f>
        <v>0</v>
      </c>
      <c r="G314">
        <f>gescon_infosparticip!F313</f>
        <v>0</v>
      </c>
      <c r="H314">
        <f>gescon_infosparticip!G313</f>
        <v>0</v>
      </c>
      <c r="I314" t="str">
        <f>gescon_infosparticip!H313</f>
        <v/>
      </c>
      <c r="J314">
        <f>IF(gescon_infosparticip!I313=FALSE,0,1)</f>
        <v>0</v>
      </c>
      <c r="K314">
        <f>IF(gescon_infosparticip!J313=FALSE,0,1)</f>
        <v>0</v>
      </c>
      <c r="L314">
        <f>IF(gescon_infosparticip!K313=FALSE,0,1)</f>
        <v>0</v>
      </c>
      <c r="M314">
        <f>IF(gescon_infosparticip!L313=FALSE,0,1)</f>
        <v>0</v>
      </c>
      <c r="N314">
        <f>IF(gescon_infosparticip!M313=FALSE,0,1)</f>
        <v>0</v>
      </c>
      <c r="O314">
        <f>IF(gescon_infosparticip!N313=FALSE,0,1)</f>
        <v>0</v>
      </c>
      <c r="P314">
        <f>IF(gescon_infosparticip!O313=FALSE,0,1)</f>
        <v>0</v>
      </c>
      <c r="Q314">
        <f>IF(gescon_infosparticip!P313=FALSE,0,1)</f>
        <v>0</v>
      </c>
      <c r="R314">
        <f>IF(gescon_infosparticip!Q313=FALSE,0,1)</f>
        <v>0</v>
      </c>
      <c r="S314" t="str">
        <f>gescon_infosparticip!R313</f>
        <v/>
      </c>
      <c r="T314" t="str">
        <f>gescon_infosparticip!V313</f>
        <v/>
      </c>
      <c r="U314" t="str">
        <f>gescon_infosparticip!S313</f>
        <v/>
      </c>
      <c r="V314">
        <f>IF(gescon_infosparticip!U313=FALSE,0,1)</f>
        <v>0</v>
      </c>
      <c r="W314">
        <f>IF(gescon_infosparticip!T313=FALSE,0,1)</f>
        <v>0</v>
      </c>
      <c r="X314" t="str">
        <f>gescon_infosparticip!W313</f>
        <v/>
      </c>
      <c r="Y314">
        <f>IF(gescon_infosparticip!X313=FALSE,0,1)</f>
        <v>0</v>
      </c>
      <c r="Z314">
        <f>IF(gescon_infosparticip!Y313=FALSE,0,1)</f>
        <v>0</v>
      </c>
      <c r="AA314">
        <f>IF(gescon_infosparticip!Z313=FALSE,0,1)</f>
        <v>0</v>
      </c>
      <c r="AB314">
        <f>IF(gescon_infosparticip!AA313=FALSE,0,1)</f>
        <v>0</v>
      </c>
      <c r="AC314" t="str">
        <f>gescon_infosparticip!AB313</f>
        <v/>
      </c>
      <c r="AD314" t="str">
        <f>gescon_infosparticip!AC313</f>
        <v/>
      </c>
      <c r="AE314" t="str">
        <f>gescon_infosparticip!AD313</f>
        <v/>
      </c>
      <c r="AF314" t="str">
        <f>gescon_infosparticip!AE313</f>
        <v/>
      </c>
      <c r="AG314" t="str">
        <f>gescon_infosparticip!AF313</f>
        <v/>
      </c>
      <c r="AH314" t="str">
        <f>gescon_infosparticip!AG313</f>
        <v/>
      </c>
      <c r="AI314" t="str">
        <f>gescon_infosparticip!BN313</f>
        <v/>
      </c>
      <c r="AJ314" t="str">
        <f>gescon_infosparticip!BO313</f>
        <v/>
      </c>
    </row>
    <row r="315" spans="2:36" x14ac:dyDescent="0.25">
      <c r="B315">
        <f>gescon_infosparticip!A314</f>
        <v>2146189888</v>
      </c>
      <c r="C315">
        <f>gescon_infosparticip!B314</f>
        <v>43048</v>
      </c>
      <c r="D315">
        <f>gescon_infosparticip!C314</f>
        <v>0</v>
      </c>
      <c r="E315">
        <f>gescon_infosparticip!D314</f>
        <v>0</v>
      </c>
      <c r="F315">
        <f>gescon_infosparticip!E314</f>
        <v>0</v>
      </c>
      <c r="G315">
        <f>gescon_infosparticip!F314</f>
        <v>0</v>
      </c>
      <c r="H315">
        <f>gescon_infosparticip!G314</f>
        <v>0</v>
      </c>
      <c r="I315" t="str">
        <f>gescon_infosparticip!H314</f>
        <v/>
      </c>
      <c r="J315">
        <f>IF(gescon_infosparticip!I314=FALSE,0,1)</f>
        <v>0</v>
      </c>
      <c r="K315">
        <f>IF(gescon_infosparticip!J314=FALSE,0,1)</f>
        <v>0</v>
      </c>
      <c r="L315">
        <f>IF(gescon_infosparticip!K314=FALSE,0,1)</f>
        <v>0</v>
      </c>
      <c r="M315">
        <f>IF(gescon_infosparticip!L314=FALSE,0,1)</f>
        <v>0</v>
      </c>
      <c r="N315">
        <f>IF(gescon_infosparticip!M314=FALSE,0,1)</f>
        <v>0</v>
      </c>
      <c r="O315">
        <f>IF(gescon_infosparticip!N314=FALSE,0,1)</f>
        <v>0</v>
      </c>
      <c r="P315">
        <f>IF(gescon_infosparticip!O314=FALSE,0,1)</f>
        <v>0</v>
      </c>
      <c r="Q315">
        <f>IF(gescon_infosparticip!P314=FALSE,0,1)</f>
        <v>0</v>
      </c>
      <c r="R315">
        <f>IF(gescon_infosparticip!Q314=FALSE,0,1)</f>
        <v>0</v>
      </c>
      <c r="S315" t="str">
        <f>gescon_infosparticip!R314</f>
        <v/>
      </c>
      <c r="T315" t="str">
        <f>gescon_infosparticip!V314</f>
        <v/>
      </c>
      <c r="U315" t="str">
        <f>gescon_infosparticip!S314</f>
        <v/>
      </c>
      <c r="V315">
        <f>IF(gescon_infosparticip!U314=FALSE,0,1)</f>
        <v>0</v>
      </c>
      <c r="W315">
        <f>IF(gescon_infosparticip!T314=FALSE,0,1)</f>
        <v>0</v>
      </c>
      <c r="X315" t="str">
        <f>gescon_infosparticip!W314</f>
        <v/>
      </c>
      <c r="Y315">
        <f>IF(gescon_infosparticip!X314=FALSE,0,1)</f>
        <v>0</v>
      </c>
      <c r="Z315">
        <f>IF(gescon_infosparticip!Y314=FALSE,0,1)</f>
        <v>0</v>
      </c>
      <c r="AA315">
        <f>IF(gescon_infosparticip!Z314=FALSE,0,1)</f>
        <v>0</v>
      </c>
      <c r="AB315">
        <f>IF(gescon_infosparticip!AA314=FALSE,0,1)</f>
        <v>0</v>
      </c>
      <c r="AC315" t="str">
        <f>gescon_infosparticip!AB314</f>
        <v/>
      </c>
      <c r="AD315" t="str">
        <f>gescon_infosparticip!AC314</f>
        <v/>
      </c>
      <c r="AE315" t="str">
        <f>gescon_infosparticip!AD314</f>
        <v/>
      </c>
      <c r="AF315" t="str">
        <f>gescon_infosparticip!AE314</f>
        <v/>
      </c>
      <c r="AG315" t="str">
        <f>gescon_infosparticip!AF314</f>
        <v/>
      </c>
      <c r="AH315" t="str">
        <f>gescon_infosparticip!AG314</f>
        <v/>
      </c>
      <c r="AI315" t="str">
        <f>gescon_infosparticip!BN314</f>
        <v>1</v>
      </c>
      <c r="AJ315" t="str">
        <f>gescon_infosparticip!BO314</f>
        <v/>
      </c>
    </row>
    <row r="316" spans="2:36" x14ac:dyDescent="0.25">
      <c r="B316">
        <f>gescon_infosparticip!A315</f>
        <v>2146189890</v>
      </c>
      <c r="C316">
        <f>gescon_infosparticip!B315</f>
        <v>42843</v>
      </c>
      <c r="D316">
        <f>gescon_infosparticip!C315</f>
        <v>2146189891</v>
      </c>
      <c r="E316">
        <f>gescon_infosparticip!D315</f>
        <v>2146189896</v>
      </c>
      <c r="F316">
        <f>gescon_infosparticip!E315</f>
        <v>0</v>
      </c>
      <c r="G316">
        <f>gescon_infosparticip!F315</f>
        <v>0</v>
      </c>
      <c r="H316">
        <f>gescon_infosparticip!G315</f>
        <v>2146189896</v>
      </c>
      <c r="I316" t="str">
        <f>gescon_infosparticip!H315</f>
        <v/>
      </c>
      <c r="J316">
        <f>IF(gescon_infosparticip!I315=FALSE,0,1)</f>
        <v>0</v>
      </c>
      <c r="K316">
        <f>IF(gescon_infosparticip!J315=FALSE,0,1)</f>
        <v>0</v>
      </c>
      <c r="L316">
        <f>IF(gescon_infosparticip!K315=FALSE,0,1)</f>
        <v>0</v>
      </c>
      <c r="M316">
        <f>IF(gescon_infosparticip!L315=FALSE,0,1)</f>
        <v>1</v>
      </c>
      <c r="N316">
        <f>IF(gescon_infosparticip!M315=FALSE,0,1)</f>
        <v>1</v>
      </c>
      <c r="O316">
        <f>IF(gescon_infosparticip!N315=FALSE,0,1)</f>
        <v>0</v>
      </c>
      <c r="P316">
        <f>IF(gescon_infosparticip!O315=FALSE,0,1)</f>
        <v>0</v>
      </c>
      <c r="Q316">
        <f>IF(gescon_infosparticip!P315=FALSE,0,1)</f>
        <v>0</v>
      </c>
      <c r="R316">
        <f>IF(gescon_infosparticip!Q315=FALSE,0,1)</f>
        <v>0</v>
      </c>
      <c r="S316" t="str">
        <f>gescon_infosparticip!R315</f>
        <v>Nolan marche volontiers après un petit temps de mécontentement.</v>
      </c>
      <c r="T316" t="str">
        <f>gescon_infosparticip!V315</f>
        <v>Nolan sait s'habiller avec guidance. A la maison, ses parents l'habille.</v>
      </c>
      <c r="U316" t="str">
        <f>gescon_infosparticip!S315</f>
        <v>il fait de l'apnée, nage plus au moins</v>
      </c>
      <c r="V316">
        <f>IF(gescon_infosparticip!U315=FALSE,0,1)</f>
        <v>0</v>
      </c>
      <c r="W316">
        <f>IF(gescon_infosparticip!T315=FALSE,0,1)</f>
        <v>0</v>
      </c>
      <c r="X316" t="str">
        <f>gescon_infosparticip!W315</f>
        <v>Il faut être présent pour l'endormissement. Il cherche la présence lors de réveils nocturnes.</v>
      </c>
      <c r="Y316">
        <f>IF(gescon_infosparticip!X315=FALSE,0,1)</f>
        <v>0</v>
      </c>
      <c r="Z316">
        <f>IF(gescon_infosparticip!Y315=FALSE,0,1)</f>
        <v>0</v>
      </c>
      <c r="AA316">
        <f>IF(gescon_infosparticip!Z315=FALSE,0,1)</f>
        <v>0</v>
      </c>
      <c r="AB316">
        <f>IF(gescon_infosparticip!AA315=FALSE,0,1)</f>
        <v>0</v>
      </c>
      <c r="AC316" t="str">
        <f>gescon_infosparticip!AB315</f>
        <v>Pas d'expression verbale, communique à l'aide de pictogrammes. Demandes par moyens auxiliaires en cours</v>
      </c>
      <c r="AD316" t="str">
        <f>gescon_infosparticip!AC315</f>
        <v>Blaise (père), Marie-Noëlle (mère)</v>
      </c>
      <c r="AE316" t="str">
        <f>gescon_infosparticip!AD315</f>
        <v>Lexane, sa sœur jumelle</v>
      </c>
      <c r="AF316" t="str">
        <f>gescon_infosparticip!AE315</f>
        <v/>
      </c>
      <c r="AG316" t="str">
        <f>gescon_infosparticip!AF315</f>
        <v>Animaux, piscine.</v>
      </c>
      <c r="AH316" t="str">
        <f>gescon_infosparticip!AG315</f>
        <v/>
      </c>
      <c r="AI316" t="str">
        <f>gescon_infosparticip!BN315</f>
        <v>-</v>
      </c>
      <c r="AJ316" t="str">
        <f>gescon_infosparticip!BO315</f>
        <v>-</v>
      </c>
    </row>
    <row r="317" spans="2:36" x14ac:dyDescent="0.25">
      <c r="B317">
        <f>gescon_infosparticip!A316</f>
        <v>2146189914</v>
      </c>
      <c r="C317">
        <f>gescon_infosparticip!B316</f>
        <v>42858</v>
      </c>
      <c r="D317">
        <f>gescon_infosparticip!C316</f>
        <v>2146189915</v>
      </c>
      <c r="E317">
        <f>gescon_infosparticip!D316</f>
        <v>0</v>
      </c>
      <c r="F317">
        <f>gescon_infosparticip!E316</f>
        <v>0</v>
      </c>
      <c r="G317">
        <f>gescon_infosparticip!F316</f>
        <v>0</v>
      </c>
      <c r="H317">
        <f>gescon_infosparticip!G316</f>
        <v>2146189915</v>
      </c>
      <c r="I317" t="str">
        <f>gescon_infosparticip!H316</f>
        <v/>
      </c>
      <c r="J317">
        <f>IF(gescon_infosparticip!I316=FALSE,0,1)</f>
        <v>0</v>
      </c>
      <c r="K317">
        <f>IF(gescon_infosparticip!J316=FALSE,0,1)</f>
        <v>0</v>
      </c>
      <c r="L317">
        <f>IF(gescon_infosparticip!K316=FALSE,0,1)</f>
        <v>0</v>
      </c>
      <c r="M317">
        <f>IF(gescon_infosparticip!L316=FALSE,0,1)</f>
        <v>1</v>
      </c>
      <c r="N317">
        <f>IF(gescon_infosparticip!M316=FALSE,0,1)</f>
        <v>1</v>
      </c>
      <c r="O317">
        <f>IF(gescon_infosparticip!N316=FALSE,0,1)</f>
        <v>1</v>
      </c>
      <c r="P317">
        <f>IF(gescon_infosparticip!O316=FALSE,0,1)</f>
        <v>0</v>
      </c>
      <c r="Q317">
        <f>IF(gescon_infosparticip!P316=FALSE,0,1)</f>
        <v>0</v>
      </c>
      <c r="R317">
        <f>IF(gescon_infosparticip!Q316=FALSE,0,1)</f>
        <v>0</v>
      </c>
      <c r="S317" t="str">
        <f>gescon_infosparticip!R316</f>
        <v>Train, bus pas de notion de danger de la route et des véhicules !</v>
      </c>
      <c r="T317" t="str">
        <f>gescon_infosparticip!V316</f>
        <v>habits masculin simple, à besoin d'aide pour habiller et déshabiller</v>
      </c>
      <c r="U317" t="str">
        <f>gescon_infosparticip!S316</f>
        <v>Pas de piscine, uniquement avec ses parents.</v>
      </c>
      <c r="V317">
        <f>IF(gescon_infosparticip!U316=FALSE,0,1)</f>
        <v>1</v>
      </c>
      <c r="W317">
        <f>IF(gescon_infosparticip!T316=FALSE,0,1)</f>
        <v>0</v>
      </c>
      <c r="X317" t="str">
        <f>gescon_infosparticip!W316</f>
        <v>coussin autour, rester avec lui jusqu'à ce qu'il dort. Se secoue.</v>
      </c>
      <c r="Y317">
        <f>IF(gescon_infosparticip!X316=FALSE,0,1)</f>
        <v>0</v>
      </c>
      <c r="Z317">
        <f>IF(gescon_infosparticip!Y316=FALSE,0,1)</f>
        <v>0</v>
      </c>
      <c r="AA317">
        <f>IF(gescon_infosparticip!Z316=FALSE,0,1)</f>
        <v>0</v>
      </c>
      <c r="AB317">
        <f>IF(gescon_infosparticip!AA316=FALSE,0,1)</f>
        <v>0</v>
      </c>
      <c r="AC317" t="str">
        <f>gescon_infosparticip!AB316</f>
        <v>languages des signes (macaton), photo, communication gestuelle, parle très peu.</v>
      </c>
      <c r="AD317" t="str">
        <f>gescon_infosparticip!AC316</f>
        <v>Son papa, sa maman et son grand-père</v>
      </c>
      <c r="AE317" t="str">
        <f>gescon_infosparticip!AD316</f>
        <v/>
      </c>
      <c r="AF317" t="str">
        <f>gescon_infosparticip!AE316</f>
        <v/>
      </c>
      <c r="AG317" t="str">
        <f>gescon_infosparticip!AF316</f>
        <v>vélo, voiture jouet, pâte à modeler, dessiner, jouer à cache cache, chanter,danser, se laver (prendre un bain), dessin-animé</v>
      </c>
      <c r="AH317" t="str">
        <f>gescon_infosparticip!AG316</f>
        <v>Se laver la tête</v>
      </c>
      <c r="AI317" t="str">
        <f>gescon_infosparticip!BN316</f>
        <v>debout, assis, couché, courrir, marcher</v>
      </c>
      <c r="AJ317" t="str">
        <f>gescon_infosparticip!BO316</f>
        <v>constamment</v>
      </c>
    </row>
    <row r="318" spans="2:36" x14ac:dyDescent="0.25">
      <c r="B318">
        <f>gescon_infosparticip!A317</f>
        <v>2146189919</v>
      </c>
      <c r="C318">
        <f>gescon_infosparticip!B317</f>
        <v>42754</v>
      </c>
      <c r="D318">
        <f>gescon_infosparticip!C317</f>
        <v>0</v>
      </c>
      <c r="E318">
        <f>gescon_infosparticip!D317</f>
        <v>0</v>
      </c>
      <c r="F318">
        <f>gescon_infosparticip!E317</f>
        <v>0</v>
      </c>
      <c r="G318">
        <f>gescon_infosparticip!F317</f>
        <v>0</v>
      </c>
      <c r="H318">
        <f>gescon_infosparticip!G317</f>
        <v>2001336226</v>
      </c>
      <c r="I318" t="str">
        <f>gescon_infosparticip!H317</f>
        <v/>
      </c>
      <c r="J318">
        <f>IF(gescon_infosparticip!I317=FALSE,0,1)</f>
        <v>0</v>
      </c>
      <c r="K318">
        <f>IF(gescon_infosparticip!J317=FALSE,0,1)</f>
        <v>0</v>
      </c>
      <c r="L318">
        <f>IF(gescon_infosparticip!K317=FALSE,0,1)</f>
        <v>0</v>
      </c>
      <c r="M318">
        <f>IF(gescon_infosparticip!L317=FALSE,0,1)</f>
        <v>0</v>
      </c>
      <c r="N318">
        <f>IF(gescon_infosparticip!M317=FALSE,0,1)</f>
        <v>0</v>
      </c>
      <c r="O318">
        <f>IF(gescon_infosparticip!N317=FALSE,0,1)</f>
        <v>0</v>
      </c>
      <c r="P318">
        <f>IF(gescon_infosparticip!O317=FALSE,0,1)</f>
        <v>0</v>
      </c>
      <c r="Q318">
        <f>IF(gescon_infosparticip!P317=FALSE,0,1)</f>
        <v>1</v>
      </c>
      <c r="R318">
        <f>IF(gescon_infosparticip!Q317=FALSE,0,1)</f>
        <v>1</v>
      </c>
      <c r="S318" t="str">
        <f>gescon_infosparticip!R317</f>
        <v>Fauteuil, voiture</v>
      </c>
      <c r="T318" t="str">
        <f>gescon_infosparticip!V317</f>
        <v>Besoin d'aide pour s'habiller</v>
      </c>
      <c r="U318" t="str">
        <f>gescon_infosparticip!S317</f>
        <v/>
      </c>
      <c r="V318">
        <f>IF(gescon_infosparticip!U317=FALSE,0,1)</f>
        <v>0</v>
      </c>
      <c r="W318">
        <f>IF(gescon_infosparticip!T317=FALSE,0,1)</f>
        <v>0</v>
      </c>
      <c r="X318" t="str">
        <f>gescon_infosparticip!W317</f>
        <v>Lit électrique</v>
      </c>
      <c r="Y318">
        <f>IF(gescon_infosparticip!X317=FALSE,0,1)</f>
        <v>0</v>
      </c>
      <c r="Z318">
        <f>IF(gescon_infosparticip!Y317=FALSE,0,1)</f>
        <v>0</v>
      </c>
      <c r="AA318">
        <f>IF(gescon_infosparticip!Z317=FALSE,0,1)</f>
        <v>0</v>
      </c>
      <c r="AB318">
        <f>IF(gescon_infosparticip!AA317=FALSE,0,1)</f>
        <v>1</v>
      </c>
      <c r="AC318" t="str">
        <f>gescon_infosparticip!AB317</f>
        <v>Parle Arménien et Russe. Notion de Français</v>
      </c>
      <c r="AD318" t="str">
        <f>gescon_infosparticip!AC317</f>
        <v>Sa femme Tamara et leur fille Anna qui est en apprentissage</v>
      </c>
      <c r="AE318" t="str">
        <f>gescon_infosparticip!AD317</f>
        <v/>
      </c>
      <c r="AF318" t="str">
        <f>gescon_infosparticip!AE317</f>
        <v/>
      </c>
      <c r="AG318" t="str">
        <f>gescon_infosparticip!AF317</f>
        <v>Peinture</v>
      </c>
      <c r="AH318" t="str">
        <f>gescon_infosparticip!AG317</f>
        <v/>
      </c>
      <c r="AI318" t="str">
        <f>gescon_infosparticip!BN317</f>
        <v>Besoin d'aide et surveillance</v>
      </c>
      <c r="AJ318" t="str">
        <f>gescon_infosparticip!BO317</f>
        <v>sieste chambre, fauteuil salon, chaise cuisine</v>
      </c>
    </row>
    <row r="319" spans="2:36" x14ac:dyDescent="0.25">
      <c r="B319">
        <f>gescon_infosparticip!A318</f>
        <v>2146189929</v>
      </c>
      <c r="C319">
        <f>gescon_infosparticip!B318</f>
        <v>42887</v>
      </c>
      <c r="D319">
        <f>gescon_infosparticip!C318</f>
        <v>2146189930</v>
      </c>
      <c r="E319">
        <f>gescon_infosparticip!D318</f>
        <v>0</v>
      </c>
      <c r="F319">
        <f>gescon_infosparticip!E318</f>
        <v>0</v>
      </c>
      <c r="G319">
        <f>gescon_infosparticip!F318</f>
        <v>0</v>
      </c>
      <c r="H319">
        <f>gescon_infosparticip!G318</f>
        <v>2146189985</v>
      </c>
      <c r="I319" t="str">
        <f>gescon_infosparticip!H318</f>
        <v/>
      </c>
      <c r="J319">
        <f>IF(gescon_infosparticip!I318=FALSE,0,1)</f>
        <v>0</v>
      </c>
      <c r="K319">
        <f>IF(gescon_infosparticip!J318=FALSE,0,1)</f>
        <v>0</v>
      </c>
      <c r="L319">
        <f>IF(gescon_infosparticip!K318=FALSE,0,1)</f>
        <v>0</v>
      </c>
      <c r="M319">
        <f>IF(gescon_infosparticip!L318=FALSE,0,1)</f>
        <v>1</v>
      </c>
      <c r="N319">
        <f>IF(gescon_infosparticip!M318=FALSE,0,1)</f>
        <v>1</v>
      </c>
      <c r="O319">
        <f>IF(gescon_infosparticip!N318=FALSE,0,1)</f>
        <v>0</v>
      </c>
      <c r="P319">
        <f>IF(gescon_infosparticip!O318=FALSE,0,1)</f>
        <v>0</v>
      </c>
      <c r="Q319">
        <f>IF(gescon_infosparticip!P318=FALSE,0,1)</f>
        <v>0</v>
      </c>
      <c r="R319">
        <f>IF(gescon_infosparticip!Q318=FALSE,0,1)</f>
        <v>0</v>
      </c>
      <c r="S319" t="str">
        <f>gescon_infosparticip!R318</f>
        <v>Antoine marche seul mais se disperse et a besoin d'être surveillé et guidé</v>
      </c>
      <c r="T319" t="str">
        <f>gescon_infosparticip!V318</f>
        <v>Sait s'habiller tout seul mais se laisse distraire</v>
      </c>
      <c r="U319" t="str">
        <f>gescon_infosparticip!S318</f>
        <v>Antoine est à l'aise dans l'eau mais ne sait pas encore nager</v>
      </c>
      <c r="V319">
        <f>IF(gescon_infosparticip!U318=FALSE,0,1)</f>
        <v>0</v>
      </c>
      <c r="W319">
        <f>IF(gescon_infosparticip!T318=FALSE,0,1)</f>
        <v>0</v>
      </c>
      <c r="X319" t="str">
        <f>gescon_infosparticip!W318</f>
        <v/>
      </c>
      <c r="Y319">
        <f>IF(gescon_infosparticip!X318=FALSE,0,1)</f>
        <v>0</v>
      </c>
      <c r="Z319">
        <f>IF(gescon_infosparticip!Y318=FALSE,0,1)</f>
        <v>0</v>
      </c>
      <c r="AA319">
        <f>IF(gescon_infosparticip!Z318=FALSE,0,1)</f>
        <v>0</v>
      </c>
      <c r="AB319">
        <f>IF(gescon_infosparticip!AA318=FALSE,0,1)</f>
        <v>0</v>
      </c>
      <c r="AC319" t="str">
        <f>gescon_infosparticip!AB318</f>
        <v>langage oral et pictogramme</v>
      </c>
      <c r="AD319" t="str">
        <f>gescon_infosparticip!AC318</f>
        <v>2 parents, deux grands-parents, un  parrain, une marraine</v>
      </c>
      <c r="AE319" t="str">
        <f>gescon_infosparticip!AD318</f>
        <v>1 petit frère : Bastien</v>
      </c>
      <c r="AF319" t="str">
        <f>gescon_infosparticip!AE318</f>
        <v>A quelques copains de classe.</v>
      </c>
      <c r="AG319" t="str">
        <f>gescon_infosparticip!AF318</f>
        <v>Lego,uno,rummikub, jeux de société, points à relier, jeux avec des chiffres</v>
      </c>
      <c r="AH319" t="str">
        <f>gescon_infosparticip!AG318</f>
        <v>jeux de rôles</v>
      </c>
      <c r="AI319" t="str">
        <f>gescon_infosparticip!BN318</f>
        <v/>
      </c>
      <c r="AJ319" t="str">
        <f>gescon_infosparticip!BO318</f>
        <v/>
      </c>
    </row>
    <row r="320" spans="2:36" x14ac:dyDescent="0.25">
      <c r="B320">
        <f>gescon_infosparticip!A319</f>
        <v>2146189936</v>
      </c>
      <c r="C320">
        <f>gescon_infosparticip!B319</f>
        <v>42888</v>
      </c>
      <c r="D320">
        <f>gescon_infosparticip!C319</f>
        <v>2146189937</v>
      </c>
      <c r="E320">
        <f>gescon_infosparticip!D319</f>
        <v>0</v>
      </c>
      <c r="F320">
        <f>gescon_infosparticip!E319</f>
        <v>2146189986</v>
      </c>
      <c r="G320">
        <f>gescon_infosparticip!F319</f>
        <v>0</v>
      </c>
      <c r="H320">
        <f>gescon_infosparticip!G319</f>
        <v>0</v>
      </c>
      <c r="I320" t="str">
        <f>gescon_infosparticip!H319</f>
        <v/>
      </c>
      <c r="J320">
        <f>IF(gescon_infosparticip!I319=FALSE,0,1)</f>
        <v>0</v>
      </c>
      <c r="K320">
        <f>IF(gescon_infosparticip!J319=FALSE,0,1)</f>
        <v>0</v>
      </c>
      <c r="L320">
        <f>IF(gescon_infosparticip!K319=FALSE,0,1)</f>
        <v>1</v>
      </c>
      <c r="M320">
        <f>IF(gescon_infosparticip!L319=FALSE,0,1)</f>
        <v>0</v>
      </c>
      <c r="N320">
        <f>IF(gescon_infosparticip!M319=FALSE,0,1)</f>
        <v>1</v>
      </c>
      <c r="O320">
        <f>IF(gescon_infosparticip!N319=FALSE,0,1)</f>
        <v>0</v>
      </c>
      <c r="P320">
        <f>IF(gescon_infosparticip!O319=FALSE,0,1)</f>
        <v>0</v>
      </c>
      <c r="Q320">
        <f>IF(gescon_infosparticip!P319=FALSE,0,1)</f>
        <v>0</v>
      </c>
      <c r="R320">
        <f>IF(gescon_infosparticip!Q319=FALSE,0,1)</f>
        <v>0</v>
      </c>
      <c r="S320" t="str">
        <f>gescon_infosparticip!R319</f>
        <v/>
      </c>
      <c r="T320" t="str">
        <f>gescon_infosparticip!V319</f>
        <v>Noéline est autonome pour l'habillement</v>
      </c>
      <c r="U320" t="str">
        <f>gescon_infosparticip!S319</f>
        <v/>
      </c>
      <c r="V320">
        <f>IF(gescon_infosparticip!U319=FALSE,0,1)</f>
        <v>0</v>
      </c>
      <c r="W320">
        <f>IF(gescon_infosparticip!T319=FALSE,0,1)</f>
        <v>0</v>
      </c>
      <c r="X320" t="str">
        <f>gescon_infosparticip!W319</f>
        <v/>
      </c>
      <c r="Y320">
        <f>IF(gescon_infosparticip!X319=FALSE,0,1)</f>
        <v>0</v>
      </c>
      <c r="Z320">
        <f>IF(gescon_infosparticip!Y319=FALSE,0,1)</f>
        <v>0</v>
      </c>
      <c r="AA320">
        <f>IF(gescon_infosparticip!Z319=FALSE,0,1)</f>
        <v>0</v>
      </c>
      <c r="AB320">
        <f>IF(gescon_infosparticip!AA319=FALSE,0,1)</f>
        <v>0</v>
      </c>
      <c r="AC320" t="str">
        <f>gescon_infosparticip!AB319</f>
        <v/>
      </c>
      <c r="AD320" t="str">
        <f>gescon_infosparticip!AC319</f>
        <v>M-Madeleine (maman), Cédric (papa), Nicolas (frère)</v>
      </c>
      <c r="AE320" t="str">
        <f>gescon_infosparticip!AD319</f>
        <v/>
      </c>
      <c r="AF320" t="str">
        <f>gescon_infosparticip!AE319</f>
        <v>Kassandra,Orianne, Chloé, Charline,Lilou,..</v>
      </c>
      <c r="AG320" t="str">
        <f>gescon_infosparticip!AF319</f>
        <v>Trapèze, equitation</v>
      </c>
      <c r="AH320" t="str">
        <f>gescon_infosparticip!AG319</f>
        <v>basket</v>
      </c>
      <c r="AI320" t="str">
        <f>gescon_infosparticip!BN319</f>
        <v/>
      </c>
      <c r="AJ320" t="str">
        <f>gescon_infosparticip!BO319</f>
        <v/>
      </c>
    </row>
    <row r="321" spans="2:36" x14ac:dyDescent="0.25">
      <c r="B321">
        <f>gescon_infosparticip!A320</f>
        <v>2146189939</v>
      </c>
      <c r="C321">
        <f>gescon_infosparticip!B320</f>
        <v>42972</v>
      </c>
      <c r="D321">
        <f>gescon_infosparticip!C320</f>
        <v>2146189940</v>
      </c>
      <c r="E321">
        <f>gescon_infosparticip!D320</f>
        <v>0</v>
      </c>
      <c r="F321">
        <f>gescon_infosparticip!E320</f>
        <v>0</v>
      </c>
      <c r="G321">
        <f>gescon_infosparticip!F320</f>
        <v>0</v>
      </c>
      <c r="H321">
        <f>gescon_infosparticip!G320</f>
        <v>0</v>
      </c>
      <c r="I321" t="str">
        <f>gescon_infosparticip!H320</f>
        <v>En cas d'urgence appeler: 079 229 25 77 ou 024 482</v>
      </c>
      <c r="J321">
        <f>IF(gescon_infosparticip!I320=FALSE,0,1)</f>
        <v>0</v>
      </c>
      <c r="K321">
        <f>IF(gescon_infosparticip!J320=FALSE,0,1)</f>
        <v>0</v>
      </c>
      <c r="L321">
        <f>IF(gescon_infosparticip!K320=FALSE,0,1)</f>
        <v>0</v>
      </c>
      <c r="M321">
        <f>IF(gescon_infosparticip!L320=FALSE,0,1)</f>
        <v>1</v>
      </c>
      <c r="N321">
        <f>IF(gescon_infosparticip!M320=FALSE,0,1)</f>
        <v>1</v>
      </c>
      <c r="O321">
        <f>IF(gescon_infosparticip!N320=FALSE,0,1)</f>
        <v>0</v>
      </c>
      <c r="P321">
        <f>IF(gescon_infosparticip!O320=FALSE,0,1)</f>
        <v>0</v>
      </c>
      <c r="Q321">
        <f>IF(gescon_infosparticip!P320=FALSE,0,1)</f>
        <v>0</v>
      </c>
      <c r="R321">
        <f>IF(gescon_infosparticip!Q320=FALSE,0,1)</f>
        <v>0</v>
      </c>
      <c r="S321" t="str">
        <f>gescon_infosparticip!R320</f>
        <v>Aime le trycicle et la trottinette.</v>
      </c>
      <c r="T321" t="str">
        <f>gescon_infosparticip!V320</f>
        <v>A besoin d'aide pour les chaussures, les hauts et les pantalons. Il porte des couches.</v>
      </c>
      <c r="U321" t="str">
        <f>gescon_infosparticip!S320</f>
        <v>Il aime l'eau.</v>
      </c>
      <c r="V321">
        <f>IF(gescon_infosparticip!U320=FALSE,0,1)</f>
        <v>0</v>
      </c>
      <c r="W321">
        <f>IF(gescon_infosparticip!T320=FALSE,0,1)</f>
        <v>1</v>
      </c>
      <c r="X321" t="str">
        <f>gescon_infosparticip!W320</f>
        <v>Mettre musique et veilleuse. Lui donner un biberon de lait.</v>
      </c>
      <c r="Y321">
        <f>IF(gescon_infosparticip!X320=FALSE,0,1)</f>
        <v>0</v>
      </c>
      <c r="Z321">
        <f>IF(gescon_infosparticip!Y320=FALSE,0,1)</f>
        <v>0</v>
      </c>
      <c r="AA321">
        <f>IF(gescon_infosparticip!Z320=FALSE,0,1)</f>
        <v>0</v>
      </c>
      <c r="AB321">
        <f>IF(gescon_infosparticip!AA320=FALSE,0,1)</f>
        <v>0</v>
      </c>
      <c r="AC321" t="str">
        <f>gescon_infosparticip!AB320</f>
        <v>Langue des signes. Début de verbalisation par des syllabes.</v>
      </c>
      <c r="AD321" t="str">
        <f>gescon_infosparticip!AC320</f>
        <v>Il a ses parents Xavier et Sophie et sinon pas d'autre famille en Suisse.</v>
      </c>
      <c r="AE321" t="str">
        <f>gescon_infosparticip!AD320</f>
        <v>Fils unique.</v>
      </c>
      <c r="AF321" t="str">
        <f>gescon_infosparticip!AE320</f>
        <v>Voisins, amis de la crèche, enfants des amis des parents, etc.</v>
      </c>
      <c r="AG321" t="str">
        <f>gescon_infosparticip!AF320</f>
        <v>Balades, places de jeu, Lego, pâte a modeler, jeux de société, livres, etc.</v>
      </c>
      <c r="AH321" t="str">
        <f>gescon_infosparticip!AG320</f>
        <v/>
      </c>
      <c r="AI321" t="str">
        <f>gescon_infosparticip!BN320</f>
        <v/>
      </c>
      <c r="AJ321" t="str">
        <f>gescon_infosparticip!BO320</f>
        <v/>
      </c>
    </row>
    <row r="322" spans="2:36" x14ac:dyDescent="0.25">
      <c r="B322">
        <f>gescon_infosparticip!A321</f>
        <v>2146189948</v>
      </c>
      <c r="C322">
        <f>gescon_infosparticip!B321</f>
        <v>42866</v>
      </c>
      <c r="D322">
        <f>gescon_infosparticip!C321</f>
        <v>0</v>
      </c>
      <c r="E322">
        <f>gescon_infosparticip!D321</f>
        <v>0</v>
      </c>
      <c r="F322">
        <f>gescon_infosparticip!E321</f>
        <v>2146189409</v>
      </c>
      <c r="G322">
        <f>gescon_infosparticip!F321</f>
        <v>2146189000</v>
      </c>
      <c r="H322">
        <f>gescon_infosparticip!G321</f>
        <v>0</v>
      </c>
      <c r="I322" t="str">
        <f>gescon_infosparticip!H321</f>
        <v/>
      </c>
      <c r="J322">
        <f>IF(gescon_infosparticip!I321=FALSE,0,1)</f>
        <v>1</v>
      </c>
      <c r="K322">
        <f>IF(gescon_infosparticip!J321=FALSE,0,1)</f>
        <v>1</v>
      </c>
      <c r="L322">
        <f>IF(gescon_infosparticip!K321=FALSE,0,1)</f>
        <v>0</v>
      </c>
      <c r="M322">
        <f>IF(gescon_infosparticip!L321=FALSE,0,1)</f>
        <v>0</v>
      </c>
      <c r="N322">
        <f>IF(gescon_infosparticip!M321=FALSE,0,1)</f>
        <v>0</v>
      </c>
      <c r="O322">
        <f>IF(gescon_infosparticip!N321=FALSE,0,1)</f>
        <v>0</v>
      </c>
      <c r="P322">
        <f>IF(gescon_infosparticip!O321=FALSE,0,1)</f>
        <v>1</v>
      </c>
      <c r="Q322">
        <f>IF(gescon_infosparticip!P321=FALSE,0,1)</f>
        <v>0</v>
      </c>
      <c r="R322">
        <f>IF(gescon_infosparticip!Q321=FALSE,0,1)</f>
        <v>1</v>
      </c>
      <c r="S322" t="str">
        <f>gescon_infosparticip!R321</f>
        <v>Supporte bien les longs trajets.</v>
      </c>
      <c r="T322" t="str">
        <f>gescon_infosparticip!V321</f>
        <v>Aide complète, bas de contention et foulard.</v>
      </c>
      <c r="U322" t="str">
        <f>gescon_infosparticip!S321</f>
        <v>Pas de piscine.</v>
      </c>
      <c r="V322">
        <f>IF(gescon_infosparticip!U321=FALSE,0,1)</f>
        <v>1</v>
      </c>
      <c r="W322">
        <f>IF(gescon_infosparticip!T321=FALSE,0,1)</f>
        <v>0</v>
      </c>
      <c r="X322" t="str">
        <f>gescon_infosparticip!W321</f>
        <v>Dort tout nu. Mettre un Moltex. Début de nuit, installer côté gauche avec un coussin banane entre les jambes, derrière le dos et sous les bras. Milieu de la nuit, il revient sur le dos. Mettre coussins sous les bras et sous les jambes pour surélever les talons. Mettre boisson à disposition pour la nuit.</v>
      </c>
      <c r="Y322">
        <f>IF(gescon_infosparticip!X321=FALSE,0,1)</f>
        <v>0</v>
      </c>
      <c r="Z322">
        <f>IF(gescon_infosparticip!Y321=FALSE,0,1)</f>
        <v>0</v>
      </c>
      <c r="AA322">
        <f>IF(gescon_infosparticip!Z321=FALSE,0,1)</f>
        <v>0</v>
      </c>
      <c r="AB322">
        <f>IF(gescon_infosparticip!AA321=FALSE,0,1)</f>
        <v>1</v>
      </c>
      <c r="AC322" t="str">
        <f>gescon_infosparticip!AB321</f>
        <v>Parle avec une canule parlante. Lui rappeler d'appuyer dessus.</v>
      </c>
      <c r="AD322" t="str">
        <f>gescon_infosparticip!AC321</f>
        <v>Il a un fils et deux filles.</v>
      </c>
      <c r="AE322" t="str">
        <f>gescon_infosparticip!AD321</f>
        <v>Frères et sœurs au Portugal.</v>
      </c>
      <c r="AF322" t="str">
        <f>gescon_infosparticip!AE321</f>
        <v>Il a quelques amis qui lui rendent visite.</v>
      </c>
      <c r="AG322" t="str">
        <f>gescon_infosparticip!AF321</f>
        <v>La pêche, le tir à l'arc, les ballades et le cinéma.</v>
      </c>
      <c r="AH322" t="str">
        <f>gescon_infosparticip!AG321</f>
        <v>Activités au froid.</v>
      </c>
      <c r="AI322" t="str">
        <f>gescon_infosparticip!BN321</f>
        <v>Transferts fauteuil-lit et lit-fauteuil à l'aide d'une planche, enlever accoudoir et maintien sur le côté, être là pour sécuriser.</v>
      </c>
      <c r="AJ322" t="str">
        <f>gescon_infosparticip!BO321</f>
        <v>Bascule le fauteuil si il veut siester.</v>
      </c>
    </row>
    <row r="323" spans="2:36" x14ac:dyDescent="0.25">
      <c r="B323">
        <f>gescon_infosparticip!A322</f>
        <v>2146189949</v>
      </c>
      <c r="C323">
        <f>gescon_infosparticip!B322</f>
        <v>43013</v>
      </c>
      <c r="D323">
        <f>gescon_infosparticip!C322</f>
        <v>2146189950</v>
      </c>
      <c r="E323">
        <f>gescon_infosparticip!D322</f>
        <v>0</v>
      </c>
      <c r="F323">
        <f>gescon_infosparticip!E322</f>
        <v>0</v>
      </c>
      <c r="G323">
        <f>gescon_infosparticip!F322</f>
        <v>0</v>
      </c>
      <c r="H323">
        <f>gescon_infosparticip!G322</f>
        <v>0</v>
      </c>
      <c r="I323" t="str">
        <f>gescon_infosparticip!H322</f>
        <v>Maman bureau 079/808.49.26 Privé 079/439.30.48</v>
      </c>
      <c r="J323">
        <f>IF(gescon_infosparticip!I322=FALSE,0,1)</f>
        <v>0</v>
      </c>
      <c r="K323">
        <f>IF(gescon_infosparticip!J322=FALSE,0,1)</f>
        <v>0</v>
      </c>
      <c r="L323">
        <f>IF(gescon_infosparticip!K322=FALSE,0,1)</f>
        <v>0</v>
      </c>
      <c r="M323">
        <f>IF(gescon_infosparticip!L322=FALSE,0,1)</f>
        <v>0</v>
      </c>
      <c r="N323">
        <f>IF(gescon_infosparticip!M322=FALSE,0,1)</f>
        <v>1</v>
      </c>
      <c r="O323">
        <f>IF(gescon_infosparticip!N322=FALSE,0,1)</f>
        <v>1</v>
      </c>
      <c r="P323">
        <f>IF(gescon_infosparticip!O322=FALSE,0,1)</f>
        <v>0</v>
      </c>
      <c r="Q323">
        <f>IF(gescon_infosparticip!P322=FALSE,0,1)</f>
        <v>0</v>
      </c>
      <c r="R323">
        <f>IF(gescon_infosparticip!Q322=FALSE,0,1)</f>
        <v>0</v>
      </c>
      <c r="S323" t="str">
        <f>gescon_infosparticip!R322</f>
        <v>Pas de long déplacement</v>
      </c>
      <c r="T323" t="str">
        <f>gescon_infosparticip!V322</f>
        <v>Lénaïc s'habille avec de l'aide</v>
      </c>
      <c r="U323" t="str">
        <f>gescon_infosparticip!S322</f>
        <v/>
      </c>
      <c r="V323">
        <f>IF(gescon_infosparticip!U322=FALSE,0,1)</f>
        <v>1</v>
      </c>
      <c r="W323">
        <f>IF(gescon_infosparticip!T322=FALSE,0,1)</f>
        <v>1</v>
      </c>
      <c r="X323" t="str">
        <f>gescon_infosparticip!W322</f>
        <v/>
      </c>
      <c r="Y323">
        <f>IF(gescon_infosparticip!X322=FALSE,0,1)</f>
        <v>0</v>
      </c>
      <c r="Z323">
        <f>IF(gescon_infosparticip!Y322=FALSE,0,1)</f>
        <v>0</v>
      </c>
      <c r="AA323">
        <f>IF(gescon_infosparticip!Z322=FALSE,0,1)</f>
        <v>0</v>
      </c>
      <c r="AB323">
        <f>IF(gescon_infosparticip!AA322=FALSE,0,1)</f>
        <v>0</v>
      </c>
      <c r="AC323" t="str">
        <f>gescon_infosparticip!AB322</f>
        <v>Moyen</v>
      </c>
      <c r="AD323" t="str">
        <f>gescon_infosparticip!AC322</f>
        <v/>
      </c>
      <c r="AE323" t="str">
        <f>gescon_infosparticip!AD322</f>
        <v/>
      </c>
      <c r="AF323" t="str">
        <f>gescon_infosparticip!AE322</f>
        <v/>
      </c>
      <c r="AG323" t="str">
        <f>gescon_infosparticip!AF322</f>
        <v>Lego, dessin,cuisine</v>
      </c>
      <c r="AH323" t="str">
        <f>gescon_infosparticip!AG322</f>
        <v/>
      </c>
      <c r="AI323" t="str">
        <f>gescon_infosparticip!BN322</f>
        <v/>
      </c>
      <c r="AJ323" t="str">
        <f>gescon_infosparticip!BO322</f>
        <v/>
      </c>
    </row>
    <row r="324" spans="2:36" x14ac:dyDescent="0.25">
      <c r="B324">
        <f>gescon_infosparticip!A323</f>
        <v>2146189971</v>
      </c>
      <c r="C324">
        <f>gescon_infosparticip!B323</f>
        <v>42972</v>
      </c>
      <c r="D324">
        <f>gescon_infosparticip!C323</f>
        <v>2146189972</v>
      </c>
      <c r="E324">
        <f>gescon_infosparticip!D323</f>
        <v>0</v>
      </c>
      <c r="F324">
        <f>gescon_infosparticip!E323</f>
        <v>0</v>
      </c>
      <c r="G324">
        <f>gescon_infosparticip!F323</f>
        <v>0</v>
      </c>
      <c r="H324">
        <f>gescon_infosparticip!G323</f>
        <v>0</v>
      </c>
      <c r="I324" t="str">
        <f>gescon_infosparticip!H323</f>
        <v/>
      </c>
      <c r="J324">
        <f>IF(gescon_infosparticip!I323=FALSE,0,1)</f>
        <v>0</v>
      </c>
      <c r="K324">
        <f>IF(gescon_infosparticip!J323=FALSE,0,1)</f>
        <v>0</v>
      </c>
      <c r="L324">
        <f>IF(gescon_infosparticip!K323=FALSE,0,1)</f>
        <v>0</v>
      </c>
      <c r="M324">
        <f>IF(gescon_infosparticip!L323=FALSE,0,1)</f>
        <v>1</v>
      </c>
      <c r="N324">
        <f>IF(gescon_infosparticip!M323=FALSE,0,1)</f>
        <v>1</v>
      </c>
      <c r="O324">
        <f>IF(gescon_infosparticip!N323=FALSE,0,1)</f>
        <v>0</v>
      </c>
      <c r="P324">
        <f>IF(gescon_infosparticip!O323=FALSE,0,1)</f>
        <v>0</v>
      </c>
      <c r="Q324">
        <f>IF(gescon_infosparticip!P323=FALSE,0,1)</f>
        <v>0</v>
      </c>
      <c r="R324">
        <f>IF(gescon_infosparticip!Q323=FALSE,0,1)</f>
        <v>0</v>
      </c>
      <c r="S324" t="str">
        <f>gescon_infosparticip!R323</f>
        <v/>
      </c>
      <c r="T324" t="str">
        <f>gescon_infosparticip!V323</f>
        <v>Difficultés motrices fines (aide pour boutonner/déboutonner).</v>
      </c>
      <c r="U324" t="str">
        <f>gescon_infosparticip!S323</f>
        <v>Manchons si nécessaire.</v>
      </c>
      <c r="V324">
        <f>IF(gescon_infosparticip!U323=FALSE,0,1)</f>
        <v>1</v>
      </c>
      <c r="W324">
        <f>IF(gescon_infosparticip!T323=FALSE,0,1)</f>
        <v>0</v>
      </c>
      <c r="X324" t="str">
        <f>gescon_infosparticip!W323</f>
        <v/>
      </c>
      <c r="Y324">
        <f>IF(gescon_infosparticip!X323=FALSE,0,1)</f>
        <v>0</v>
      </c>
      <c r="Z324">
        <f>IF(gescon_infosparticip!Y323=FALSE,0,1)</f>
        <v>0</v>
      </c>
      <c r="AA324">
        <f>IF(gescon_infosparticip!Z323=FALSE,0,1)</f>
        <v>0</v>
      </c>
      <c r="AB324">
        <f>IF(gescon_infosparticip!AA323=FALSE,0,1)</f>
        <v>0</v>
      </c>
      <c r="AC324" t="str">
        <f>gescon_infosparticip!AB323</f>
        <v>Timide, absent dans certains cas, souriant, têtu.</v>
      </c>
      <c r="AD324" t="str">
        <f>gescon_infosparticip!AC323</f>
        <v>Tonton, tata et cousins</v>
      </c>
      <c r="AE324" t="str">
        <f>gescon_infosparticip!AD323</f>
        <v/>
      </c>
      <c r="AF324" t="str">
        <f>gescon_infosparticip!AE323</f>
        <v>Copains de classe, voisins</v>
      </c>
      <c r="AG324" t="str">
        <f>gescon_infosparticip!AF323</f>
        <v>Foot, tennis, piscine, promenade</v>
      </c>
      <c r="AH324" t="str">
        <f>gescon_infosparticip!AG323</f>
        <v>Jeux de société (memory)</v>
      </c>
      <c r="AI324" t="str">
        <f>gescon_infosparticip!BN323</f>
        <v/>
      </c>
      <c r="AJ324" t="str">
        <f>gescon_infosparticip!BO323</f>
        <v/>
      </c>
    </row>
    <row r="325" spans="2:36" x14ac:dyDescent="0.25">
      <c r="B325">
        <f>gescon_infosparticip!A324</f>
        <v>2146189979</v>
      </c>
      <c r="C325">
        <f>gescon_infosparticip!B324</f>
        <v>42888</v>
      </c>
      <c r="D325">
        <f>gescon_infosparticip!C324</f>
        <v>2146189855</v>
      </c>
      <c r="E325">
        <f>gescon_infosparticip!D324</f>
        <v>0</v>
      </c>
      <c r="F325">
        <f>gescon_infosparticip!E324</f>
        <v>0</v>
      </c>
      <c r="G325">
        <f>gescon_infosparticip!F324</f>
        <v>0</v>
      </c>
      <c r="H325">
        <f>gescon_infosparticip!G324</f>
        <v>0</v>
      </c>
      <c r="I325" t="str">
        <f>gescon_infosparticip!H324</f>
        <v/>
      </c>
      <c r="J325">
        <f>IF(gescon_infosparticip!I324=FALSE,0,1)</f>
        <v>0</v>
      </c>
      <c r="K325">
        <f>IF(gescon_infosparticip!J324=FALSE,0,1)</f>
        <v>0</v>
      </c>
      <c r="L325">
        <f>IF(gescon_infosparticip!K324=FALSE,0,1)</f>
        <v>0</v>
      </c>
      <c r="M325">
        <f>IF(gescon_infosparticip!L324=FALSE,0,1)</f>
        <v>1</v>
      </c>
      <c r="N325">
        <f>IF(gescon_infosparticip!M324=FALSE,0,1)</f>
        <v>1</v>
      </c>
      <c r="O325">
        <f>IF(gescon_infosparticip!N324=FALSE,0,1)</f>
        <v>0</v>
      </c>
      <c r="P325">
        <f>IF(gescon_infosparticip!O324=FALSE,0,1)</f>
        <v>0</v>
      </c>
      <c r="Q325">
        <f>IF(gescon_infosparticip!P324=FALSE,0,1)</f>
        <v>0</v>
      </c>
      <c r="R325">
        <f>IF(gescon_infosparticip!Q324=FALSE,0,1)</f>
        <v>0</v>
      </c>
      <c r="S325" t="str">
        <f>gescon_infosparticip!R324</f>
        <v/>
      </c>
      <c r="T325" t="str">
        <f>gescon_infosparticip!V324</f>
        <v>besoin d'aide pour tout, commence à mettre seul ses chaussures, l'encourager à le faire !</v>
      </c>
      <c r="U325" t="str">
        <f>gescon_infosparticip!S324</f>
        <v>Il adore l'eau, mais pas de manchons, il faut le tenir.</v>
      </c>
      <c r="V325">
        <f>IF(gescon_infosparticip!U324=FALSE,0,1)</f>
        <v>0</v>
      </c>
      <c r="W325">
        <f>IF(gescon_infosparticip!T324=FALSE,0,1)</f>
        <v>0</v>
      </c>
      <c r="X325" t="str">
        <f>gescon_infosparticip!W324</f>
        <v/>
      </c>
      <c r="Y325">
        <f>IF(gescon_infosparticip!X324=FALSE,0,1)</f>
        <v>0</v>
      </c>
      <c r="Z325">
        <f>IF(gescon_infosparticip!Y324=FALSE,0,1)</f>
        <v>0</v>
      </c>
      <c r="AA325">
        <f>IF(gescon_infosparticip!Z324=FALSE,0,1)</f>
        <v>0</v>
      </c>
      <c r="AB325">
        <f>IF(gescon_infosparticip!AA324=FALSE,0,1)</f>
        <v>0</v>
      </c>
      <c r="AC325" t="str">
        <f>gescon_infosparticip!AB324</f>
        <v>Sami ne parle pas encore. Il commence à dire '' non ''. Il chante parfois en Anglais, langue qu'il semble mieux comprendre.</v>
      </c>
      <c r="AD325" t="str">
        <f>gescon_infosparticip!AC324</f>
        <v>Il vit avec sa maman et son grand frère.</v>
      </c>
      <c r="AE325" t="str">
        <f>gescon_infosparticip!AD324</f>
        <v>Sami a un grand frère, Miky qui a 8 ans.</v>
      </c>
      <c r="AF325" t="str">
        <f>gescon_infosparticip!AE324</f>
        <v/>
      </c>
      <c r="AG325" t="str">
        <f>gescon_infosparticip!AF324</f>
        <v>Sami est dans l'exploration sensori-motrice et aime bouger. Il adore la musique et l'eau.</v>
      </c>
      <c r="AH325" t="str">
        <f>gescon_infosparticip!AG324</f>
        <v>Ses intérêts sont tournés vers les activités sensorielles et motrices.</v>
      </c>
      <c r="AI325" t="str">
        <f>gescon_infosparticip!BN324</f>
        <v/>
      </c>
      <c r="AJ325" t="str">
        <f>gescon_infosparticip!BO324</f>
        <v/>
      </c>
    </row>
    <row r="326" spans="2:36" x14ac:dyDescent="0.25">
      <c r="B326">
        <f>gescon_infosparticip!A325</f>
        <v>2146189991</v>
      </c>
      <c r="C326">
        <f>gescon_infosparticip!B325</f>
        <v>42972</v>
      </c>
      <c r="D326">
        <f>gescon_infosparticip!C325</f>
        <v>2146189992</v>
      </c>
      <c r="E326">
        <f>gescon_infosparticip!D325</f>
        <v>0</v>
      </c>
      <c r="F326">
        <f>gescon_infosparticip!E325</f>
        <v>0</v>
      </c>
      <c r="G326">
        <f>gescon_infosparticip!F325</f>
        <v>0</v>
      </c>
      <c r="H326">
        <f>gescon_infosparticip!G325</f>
        <v>2146189992</v>
      </c>
      <c r="I326" t="str">
        <f>gescon_infosparticip!H325</f>
        <v/>
      </c>
      <c r="J326">
        <f>IF(gescon_infosparticip!I325=FALSE,0,1)</f>
        <v>0</v>
      </c>
      <c r="K326">
        <f>IF(gescon_infosparticip!J325=FALSE,0,1)</f>
        <v>0</v>
      </c>
      <c r="L326">
        <f>IF(gescon_infosparticip!K325=FALSE,0,1)</f>
        <v>0</v>
      </c>
      <c r="M326">
        <f>IF(gescon_infosparticip!L325=FALSE,0,1)</f>
        <v>1</v>
      </c>
      <c r="N326">
        <f>IF(gescon_infosparticip!M325=FALSE,0,1)</f>
        <v>0</v>
      </c>
      <c r="O326">
        <f>IF(gescon_infosparticip!N325=FALSE,0,1)</f>
        <v>0</v>
      </c>
      <c r="P326">
        <f>IF(gescon_infosparticip!O325=FALSE,0,1)</f>
        <v>0</v>
      </c>
      <c r="Q326">
        <f>IF(gescon_infosparticip!P325=FALSE,0,1)</f>
        <v>1</v>
      </c>
      <c r="R326">
        <f>IF(gescon_infosparticip!Q325=FALSE,0,1)</f>
        <v>0</v>
      </c>
      <c r="S326" t="str">
        <f>gescon_infosparticip!R325</f>
        <v>Il peut se déplacer tout seul dans son fauteuil roulant. Important de toujours le surveiller car il n'a pas conscience du danger.</v>
      </c>
      <c r="T326" t="str">
        <f>gescon_infosparticip!V325</f>
        <v>Joël aime les transports publics. Il sourit quand il est content et pleure quand il ne l'est pas. Il faut prendre le temps pour lui donner à manger et à boire. Il ne faut jamais laisser Joël seul.</v>
      </c>
      <c r="U326" t="str">
        <f>gescon_infosparticip!S325</f>
        <v/>
      </c>
      <c r="V326">
        <f>IF(gescon_infosparticip!U325=FALSE,0,1)</f>
        <v>0</v>
      </c>
      <c r="W326">
        <f>IF(gescon_infosparticip!T325=FALSE,0,1)</f>
        <v>0</v>
      </c>
      <c r="X326" t="str">
        <f>gescon_infosparticip!W325</f>
        <v/>
      </c>
      <c r="Y326">
        <f>IF(gescon_infosparticip!X325=FALSE,0,1)</f>
        <v>0</v>
      </c>
      <c r="Z326">
        <f>IF(gescon_infosparticip!Y325=FALSE,0,1)</f>
        <v>0</v>
      </c>
      <c r="AA326">
        <f>IF(gescon_infosparticip!Z325=FALSE,0,1)</f>
        <v>0</v>
      </c>
      <c r="AB326">
        <f>IF(gescon_infosparticip!AA325=FALSE,0,1)</f>
        <v>0</v>
      </c>
      <c r="AC326" t="str">
        <f>gescon_infosparticip!AB325</f>
        <v>Lory n'a pas de communication verbale. Il communique à l'aide de ses mains et de ses yeux</v>
      </c>
      <c r="AD326" t="str">
        <f>gescon_infosparticip!AC325</f>
        <v/>
      </c>
      <c r="AE326" t="str">
        <f>gescon_infosparticip!AD325</f>
        <v>Lory a un petit frère, Lionel, ainsi qu'une petite sœur, Julie.</v>
      </c>
      <c r="AF326" t="str">
        <f>gescon_infosparticip!AE325</f>
        <v/>
      </c>
      <c r="AG326" t="str">
        <f>gescon_infosparticip!AF325</f>
        <v>Il aime se promener, regarder les bus et les trains, aller en ville.</v>
      </c>
      <c r="AH326" t="str">
        <f>gescon_infosparticip!AG325</f>
        <v/>
      </c>
      <c r="AI326" t="str">
        <f>gescon_infosparticip!BN325</f>
        <v/>
      </c>
      <c r="AJ326" t="str">
        <f>gescon_infosparticip!BO325</f>
        <v/>
      </c>
    </row>
    <row r="327" spans="2:36" x14ac:dyDescent="0.25">
      <c r="B327">
        <f>gescon_infosparticip!A326</f>
        <v>2146189993</v>
      </c>
      <c r="C327">
        <f>gescon_infosparticip!B326</f>
        <v>42921</v>
      </c>
      <c r="D327">
        <f>gescon_infosparticip!C326</f>
        <v>0</v>
      </c>
      <c r="E327">
        <f>gescon_infosparticip!D326</f>
        <v>0</v>
      </c>
      <c r="F327">
        <f>gescon_infosparticip!E326</f>
        <v>0</v>
      </c>
      <c r="G327">
        <f>gescon_infosparticip!F326</f>
        <v>0</v>
      </c>
      <c r="H327">
        <f>gescon_infosparticip!G326</f>
        <v>0</v>
      </c>
      <c r="I327" t="str">
        <f>gescon_infosparticip!H326</f>
        <v/>
      </c>
      <c r="J327">
        <f>IF(gescon_infosparticip!I326=FALSE,0,1)</f>
        <v>0</v>
      </c>
      <c r="K327">
        <f>IF(gescon_infosparticip!J326=FALSE,0,1)</f>
        <v>0</v>
      </c>
      <c r="L327">
        <f>IF(gescon_infosparticip!K326=FALSE,0,1)</f>
        <v>0</v>
      </c>
      <c r="M327">
        <f>IF(gescon_infosparticip!L326=FALSE,0,1)</f>
        <v>0</v>
      </c>
      <c r="N327">
        <f>IF(gescon_infosparticip!M326=FALSE,0,1)</f>
        <v>0</v>
      </c>
      <c r="O327">
        <f>IF(gescon_infosparticip!N326=FALSE,0,1)</f>
        <v>0</v>
      </c>
      <c r="P327">
        <f>IF(gescon_infosparticip!O326=FALSE,0,1)</f>
        <v>0</v>
      </c>
      <c r="Q327">
        <f>IF(gescon_infosparticip!P326=FALSE,0,1)</f>
        <v>0</v>
      </c>
      <c r="R327">
        <f>IF(gescon_infosparticip!Q326=FALSE,0,1)</f>
        <v>0</v>
      </c>
      <c r="S327" t="str">
        <f>gescon_infosparticip!R326</f>
        <v/>
      </c>
      <c r="T327" t="str">
        <f>gescon_infosparticip!V326</f>
        <v/>
      </c>
      <c r="U327" t="str">
        <f>gescon_infosparticip!S326</f>
        <v/>
      </c>
      <c r="V327">
        <f>IF(gescon_infosparticip!U326=FALSE,0,1)</f>
        <v>0</v>
      </c>
      <c r="W327">
        <f>IF(gescon_infosparticip!T326=FALSE,0,1)</f>
        <v>0</v>
      </c>
      <c r="X327" t="str">
        <f>gescon_infosparticip!W326</f>
        <v/>
      </c>
      <c r="Y327">
        <f>IF(gescon_infosparticip!X326=FALSE,0,1)</f>
        <v>0</v>
      </c>
      <c r="Z327">
        <f>IF(gescon_infosparticip!Y326=FALSE,0,1)</f>
        <v>0</v>
      </c>
      <c r="AA327">
        <f>IF(gescon_infosparticip!Z326=FALSE,0,1)</f>
        <v>0</v>
      </c>
      <c r="AB327">
        <f>IF(gescon_infosparticip!AA326=FALSE,0,1)</f>
        <v>0</v>
      </c>
      <c r="AC327" t="str">
        <f>gescon_infosparticip!AB326</f>
        <v/>
      </c>
      <c r="AD327" t="str">
        <f>gescon_infosparticip!AC326</f>
        <v/>
      </c>
      <c r="AE327" t="str">
        <f>gescon_infosparticip!AD326</f>
        <v/>
      </c>
      <c r="AF327" t="str">
        <f>gescon_infosparticip!AE326</f>
        <v/>
      </c>
      <c r="AG327" t="str">
        <f>gescon_infosparticip!AF326</f>
        <v/>
      </c>
      <c r="AH327" t="str">
        <f>gescon_infosparticip!AG326</f>
        <v/>
      </c>
      <c r="AI327" t="str">
        <f>gescon_infosparticip!BN326</f>
        <v/>
      </c>
      <c r="AJ327" t="str">
        <f>gescon_infosparticip!BO326</f>
        <v/>
      </c>
    </row>
    <row r="328" spans="2:36" x14ac:dyDescent="0.25">
      <c r="B328">
        <f>gescon_infosparticip!A327</f>
        <v>2146189997</v>
      </c>
      <c r="C328">
        <f>gescon_infosparticip!B327</f>
        <v>43014</v>
      </c>
      <c r="D328">
        <f>gescon_infosparticip!C327</f>
        <v>2146189998</v>
      </c>
      <c r="E328">
        <f>gescon_infosparticip!D327</f>
        <v>2146189999</v>
      </c>
      <c r="F328">
        <f>gescon_infosparticip!E327</f>
        <v>0</v>
      </c>
      <c r="G328">
        <f>gescon_infosparticip!F327</f>
        <v>0</v>
      </c>
      <c r="H328">
        <f>gescon_infosparticip!G327</f>
        <v>0</v>
      </c>
      <c r="I328" t="str">
        <f>gescon_infosparticip!H327</f>
        <v>Assistante sociale: Anne-Marie Wahlen</v>
      </c>
      <c r="J328">
        <f>IF(gescon_infosparticip!I327=FALSE,0,1)</f>
        <v>0</v>
      </c>
      <c r="K328">
        <f>IF(gescon_infosparticip!J327=FALSE,0,1)</f>
        <v>0</v>
      </c>
      <c r="L328">
        <f>IF(gescon_infosparticip!K327=FALSE,0,1)</f>
        <v>0</v>
      </c>
      <c r="M328">
        <f>IF(gescon_infosparticip!L327=FALSE,0,1)</f>
        <v>0</v>
      </c>
      <c r="N328">
        <f>IF(gescon_infosparticip!M327=FALSE,0,1)</f>
        <v>0</v>
      </c>
      <c r="O328">
        <f>IF(gescon_infosparticip!N327=FALSE,0,1)</f>
        <v>0</v>
      </c>
      <c r="P328">
        <f>IF(gescon_infosparticip!O327=FALSE,0,1)</f>
        <v>0</v>
      </c>
      <c r="Q328">
        <f>IF(gescon_infosparticip!P327=FALSE,0,1)</f>
        <v>0</v>
      </c>
      <c r="R328">
        <f>IF(gescon_infosparticip!Q327=FALSE,0,1)</f>
        <v>0</v>
      </c>
      <c r="S328" t="str">
        <f>gescon_infosparticip!R327</f>
        <v/>
      </c>
      <c r="T328" t="str">
        <f>gescon_infosparticip!V327</f>
        <v/>
      </c>
      <c r="U328" t="str">
        <f>gescon_infosparticip!S327</f>
        <v/>
      </c>
      <c r="V328">
        <f>IF(gescon_infosparticip!U327=FALSE,0,1)</f>
        <v>1</v>
      </c>
      <c r="W328">
        <f>IF(gescon_infosparticip!T327=FALSE,0,1)</f>
        <v>0</v>
      </c>
      <c r="X328" t="str">
        <f>gescon_infosparticip!W327</f>
        <v/>
      </c>
      <c r="Y328">
        <f>IF(gescon_infosparticip!X327=FALSE,0,1)</f>
        <v>0</v>
      </c>
      <c r="Z328">
        <f>IF(gescon_infosparticip!Y327=FALSE,0,1)</f>
        <v>0</v>
      </c>
      <c r="AA328">
        <f>IF(gescon_infosparticip!Z327=FALSE,0,1)</f>
        <v>0</v>
      </c>
      <c r="AB328">
        <f>IF(gescon_infosparticip!AA327=FALSE,0,1)</f>
        <v>0</v>
      </c>
      <c r="AC328" t="str">
        <f>gescon_infosparticip!AB327</f>
        <v/>
      </c>
      <c r="AD328" t="str">
        <f>gescon_infosparticip!AC327</f>
        <v/>
      </c>
      <c r="AE328" t="str">
        <f>gescon_infosparticip!AD327</f>
        <v>Dorian 8 ans
Aline 5 ans</v>
      </c>
      <c r="AF328" t="str">
        <f>gescon_infosparticip!AE327</f>
        <v/>
      </c>
      <c r="AG328" t="str">
        <f>gescon_infosparticip!AF327</f>
        <v>Jeux, livres, musique</v>
      </c>
      <c r="AH328" t="str">
        <f>gescon_infosparticip!AG327</f>
        <v/>
      </c>
      <c r="AI328" t="str">
        <f>gescon_infosparticip!BN327</f>
        <v/>
      </c>
      <c r="AJ328" t="str">
        <f>gescon_infosparticip!BO327</f>
        <v/>
      </c>
    </row>
    <row r="329" spans="2:36" x14ac:dyDescent="0.25">
      <c r="B329">
        <f>gescon_infosparticip!A328</f>
        <v>2146190010</v>
      </c>
      <c r="C329">
        <f>gescon_infosparticip!B328</f>
        <v>42972</v>
      </c>
      <c r="D329">
        <f>gescon_infosparticip!C328</f>
        <v>0</v>
      </c>
      <c r="E329">
        <f>gescon_infosparticip!D328</f>
        <v>0</v>
      </c>
      <c r="F329">
        <f>gescon_infosparticip!E328</f>
        <v>0</v>
      </c>
      <c r="G329">
        <f>gescon_infosparticip!F328</f>
        <v>0</v>
      </c>
      <c r="H329">
        <f>gescon_infosparticip!G328</f>
        <v>0</v>
      </c>
      <c r="I329" t="str">
        <f>gescon_infosparticip!H328</f>
        <v/>
      </c>
      <c r="J329">
        <f>IF(gescon_infosparticip!I328=FALSE,0,1)</f>
        <v>0</v>
      </c>
      <c r="K329">
        <f>IF(gescon_infosparticip!J328=FALSE,0,1)</f>
        <v>0</v>
      </c>
      <c r="L329">
        <f>IF(gescon_infosparticip!K328=FALSE,0,1)</f>
        <v>0</v>
      </c>
      <c r="M329">
        <f>IF(gescon_infosparticip!L328=FALSE,0,1)</f>
        <v>1</v>
      </c>
      <c r="N329">
        <f>IF(gescon_infosparticip!M328=FALSE,0,1)</f>
        <v>1</v>
      </c>
      <c r="O329">
        <f>IF(gescon_infosparticip!N328=FALSE,0,1)</f>
        <v>0</v>
      </c>
      <c r="P329">
        <f>IF(gescon_infosparticip!O328=FALSE,0,1)</f>
        <v>0</v>
      </c>
      <c r="Q329">
        <f>IF(gescon_infosparticip!P328=FALSE,0,1)</f>
        <v>0</v>
      </c>
      <c r="R329">
        <f>IF(gescon_infosparticip!Q328=FALSE,0,1)</f>
        <v>0</v>
      </c>
      <c r="S329" t="str">
        <f>gescon_infosparticip!R328</f>
        <v>Aime le trycicle et la trotinette.</v>
      </c>
      <c r="T329" t="str">
        <f>gescon_infosparticip!V328</f>
        <v>Il a besoin d'aide pour les chaussures, le haut et le pantalon. Il porte des couches.</v>
      </c>
      <c r="U329" t="str">
        <f>gescon_infosparticip!S328</f>
        <v>Il aime l'eau.</v>
      </c>
      <c r="V329">
        <f>IF(gescon_infosparticip!U328=FALSE,0,1)</f>
        <v>0</v>
      </c>
      <c r="W329">
        <f>IF(gescon_infosparticip!T328=FALSE,0,1)</f>
        <v>1</v>
      </c>
      <c r="X329" t="str">
        <f>gescon_infosparticip!W328</f>
        <v/>
      </c>
      <c r="Y329">
        <f>IF(gescon_infosparticip!X328=FALSE,0,1)</f>
        <v>0</v>
      </c>
      <c r="Z329">
        <f>IF(gescon_infosparticip!Y328=FALSE,0,1)</f>
        <v>0</v>
      </c>
      <c r="AA329">
        <f>IF(gescon_infosparticip!Z328=FALSE,0,1)</f>
        <v>0</v>
      </c>
      <c r="AB329">
        <f>IF(gescon_infosparticip!AA328=FALSE,0,1)</f>
        <v>0</v>
      </c>
      <c r="AC329" t="str">
        <f>gescon_infosparticip!AB328</f>
        <v>Langue des signes. Début de verbalisation des syllabes.</v>
      </c>
      <c r="AD329" t="str">
        <f>gescon_infosparticip!AC328</f>
        <v>Son père Xavier et sa mère Sophie. Il n'a pas d'autre famille en Suisse.</v>
      </c>
      <c r="AE329" t="str">
        <f>gescon_infosparticip!AD328</f>
        <v>Fils unique.</v>
      </c>
      <c r="AF329" t="str">
        <f>gescon_infosparticip!AE328</f>
        <v>Voisins, amis de la crèche, enfants des amis des parents, etc.</v>
      </c>
      <c r="AG329" t="str">
        <f>gescon_infosparticip!AF328</f>
        <v>Balades, places de jeux, Lego, pâte à modeler, jeux de société, livres, etc.</v>
      </c>
      <c r="AH329" t="str">
        <f>gescon_infosparticip!AG328</f>
        <v/>
      </c>
      <c r="AI329" t="str">
        <f>gescon_infosparticip!BN328</f>
        <v/>
      </c>
      <c r="AJ329" t="str">
        <f>gescon_infosparticip!BO328</f>
        <v/>
      </c>
    </row>
    <row r="330" spans="2:36" x14ac:dyDescent="0.25">
      <c r="B330">
        <f>gescon_infosparticip!A329</f>
        <v>2146190023</v>
      </c>
      <c r="C330">
        <f>gescon_infosparticip!B329</f>
        <v>43013</v>
      </c>
      <c r="D330">
        <f>gescon_infosparticip!C329</f>
        <v>2146190024</v>
      </c>
      <c r="E330">
        <f>gescon_infosparticip!D329</f>
        <v>0</v>
      </c>
      <c r="F330">
        <f>gescon_infosparticip!E329</f>
        <v>2146190024</v>
      </c>
      <c r="G330">
        <f>gescon_infosparticip!F329</f>
        <v>2146190022</v>
      </c>
      <c r="H330">
        <f>gescon_infosparticip!G329</f>
        <v>2146190024</v>
      </c>
      <c r="I330" t="str">
        <f>gescon_infosparticip!H329</f>
        <v>Lucie</v>
      </c>
      <c r="J330">
        <f>IF(gescon_infosparticip!I329=FALSE,0,1)</f>
        <v>0</v>
      </c>
      <c r="K330">
        <f>IF(gescon_infosparticip!J329=FALSE,0,1)</f>
        <v>0</v>
      </c>
      <c r="L330">
        <f>IF(gescon_infosparticip!K329=FALSE,0,1)</f>
        <v>0</v>
      </c>
      <c r="M330">
        <f>IF(gescon_infosparticip!L329=FALSE,0,1)</f>
        <v>1</v>
      </c>
      <c r="N330">
        <f>IF(gescon_infosparticip!M329=FALSE,0,1)</f>
        <v>0</v>
      </c>
      <c r="O330">
        <f>IF(gescon_infosparticip!N329=FALSE,0,1)</f>
        <v>0</v>
      </c>
      <c r="P330">
        <f>IF(gescon_infosparticip!O329=FALSE,0,1)</f>
        <v>1</v>
      </c>
      <c r="Q330">
        <f>IF(gescon_infosparticip!P329=FALSE,0,1)</f>
        <v>1</v>
      </c>
      <c r="R330">
        <f>IF(gescon_infosparticip!Q329=FALSE,0,1)</f>
        <v>0</v>
      </c>
      <c r="S330" t="str">
        <f>gescon_infosparticip!R329</f>
        <v>voiture</v>
      </c>
      <c r="T330" t="str">
        <f>gescon_infosparticip!V329</f>
        <v>training, porte des attelles aux pieds</v>
      </c>
      <c r="U330" t="str">
        <f>gescon_infosparticip!S329</f>
        <v>Melody aime beaucoup la baignade</v>
      </c>
      <c r="V330">
        <f>IF(gescon_infosparticip!U329=FALSE,0,1)</f>
        <v>1</v>
      </c>
      <c r="W330">
        <f>IF(gescon_infosparticip!T329=FALSE,0,1)</f>
        <v>1</v>
      </c>
      <c r="X330" t="str">
        <f>gescon_infosparticip!W329</f>
        <v/>
      </c>
      <c r="Y330">
        <f>IF(gescon_infosparticip!X329=FALSE,0,1)</f>
        <v>0</v>
      </c>
      <c r="Z330">
        <f>IF(gescon_infosparticip!Y329=FALSE,0,1)</f>
        <v>0</v>
      </c>
      <c r="AA330">
        <f>IF(gescon_infosparticip!Z329=FALSE,0,1)</f>
        <v>0</v>
      </c>
      <c r="AB330">
        <f>IF(gescon_infosparticip!AA329=FALSE,0,1)</f>
        <v>0</v>
      </c>
      <c r="AC330" t="str">
        <f>gescon_infosparticip!AB329</f>
        <v>Sons, expression</v>
      </c>
      <c r="AD330" t="str">
        <f>gescon_infosparticip!AC329</f>
        <v>Père, mère, grande-sœur, grand-mères</v>
      </c>
      <c r="AE330" t="str">
        <f>gescon_infosparticip!AD329</f>
        <v>1 sœur ainée Maeva</v>
      </c>
      <c r="AF330" t="str">
        <f>gescon_infosparticip!AE329</f>
        <v>A Clair-Bois Lancy</v>
      </c>
      <c r="AG330" t="str">
        <f>gescon_infosparticip!AF329</f>
        <v>Marches, promenades, jeux avec de la musique</v>
      </c>
      <c r="AH330" t="str">
        <f>gescon_infosparticip!AG329</f>
        <v/>
      </c>
      <c r="AI330" t="str">
        <f>gescon_infosparticip!BN329</f>
        <v>Assise et debout lorsque Melody marche</v>
      </c>
      <c r="AJ330" t="str">
        <f>gescon_infosparticip!BO329</f>
        <v/>
      </c>
    </row>
    <row r="331" spans="2:36" x14ac:dyDescent="0.25">
      <c r="B331">
        <f>gescon_infosparticip!A330</f>
        <v>2146190031</v>
      </c>
      <c r="C331">
        <f>gescon_infosparticip!B330</f>
        <v>43041</v>
      </c>
      <c r="D331">
        <f>gescon_infosparticip!C330</f>
        <v>2146190032</v>
      </c>
      <c r="E331">
        <f>gescon_infosparticip!D330</f>
        <v>0</v>
      </c>
      <c r="F331">
        <f>gescon_infosparticip!E330</f>
        <v>0</v>
      </c>
      <c r="G331">
        <f>gescon_infosparticip!F330</f>
        <v>0</v>
      </c>
      <c r="H331">
        <f>gescon_infosparticip!G330</f>
        <v>2146190057</v>
      </c>
      <c r="I331" t="str">
        <f>gescon_infosparticip!H330</f>
        <v/>
      </c>
      <c r="J331">
        <f>IF(gescon_infosparticip!I330=FALSE,0,1)</f>
        <v>0</v>
      </c>
      <c r="K331">
        <f>IF(gescon_infosparticip!J330=FALSE,0,1)</f>
        <v>0</v>
      </c>
      <c r="L331">
        <f>IF(gescon_infosparticip!K330=FALSE,0,1)</f>
        <v>0</v>
      </c>
      <c r="M331">
        <f>IF(gescon_infosparticip!L330=FALSE,0,1)</f>
        <v>1</v>
      </c>
      <c r="N331">
        <f>IF(gescon_infosparticip!M330=FALSE,0,1)</f>
        <v>1</v>
      </c>
      <c r="O331">
        <f>IF(gescon_infosparticip!N330=FALSE,0,1)</f>
        <v>0</v>
      </c>
      <c r="P331">
        <f>IF(gescon_infosparticip!O330=FALSE,0,1)</f>
        <v>0</v>
      </c>
      <c r="Q331">
        <f>IF(gescon_infosparticip!P330=FALSE,0,1)</f>
        <v>0</v>
      </c>
      <c r="R331">
        <f>IF(gescon_infosparticip!Q330=FALSE,0,1)</f>
        <v>0</v>
      </c>
      <c r="S331" t="str">
        <f>gescon_infosparticip!R330</f>
        <v/>
      </c>
      <c r="T331" t="str">
        <f>gescon_infosparticip!V330</f>
        <v/>
      </c>
      <c r="U331" t="str">
        <f>gescon_infosparticip!S330</f>
        <v/>
      </c>
      <c r="V331">
        <f>IF(gescon_infosparticip!U330=FALSE,0,1)</f>
        <v>0</v>
      </c>
      <c r="W331">
        <f>IF(gescon_infosparticip!T330=FALSE,0,1)</f>
        <v>1</v>
      </c>
      <c r="X331" t="str">
        <f>gescon_infosparticip!W330</f>
        <v>Mayara dort avec sa peluche</v>
      </c>
      <c r="Y331">
        <f>IF(gescon_infosparticip!X330=FALSE,0,1)</f>
        <v>0</v>
      </c>
      <c r="Z331">
        <f>IF(gescon_infosparticip!Y330=FALSE,0,1)</f>
        <v>0</v>
      </c>
      <c r="AA331">
        <f>IF(gescon_infosparticip!Z330=FALSE,0,1)</f>
        <v>0</v>
      </c>
      <c r="AB331">
        <f>IF(gescon_infosparticip!AA330=FALSE,0,1)</f>
        <v>0</v>
      </c>
      <c r="AC331" t="str">
        <f>gescon_infosparticip!AB330</f>
        <v>Quand Mayara veut quelque chose, elle prend la main de la personne et l'amène en direction.</v>
      </c>
      <c r="AD331" t="str">
        <f>gescon_infosparticip!AC330</f>
        <v/>
      </c>
      <c r="AE331" t="str">
        <f>gescon_infosparticip!AD330</f>
        <v/>
      </c>
      <c r="AF331" t="str">
        <f>gescon_infosparticip!AE330</f>
        <v/>
      </c>
      <c r="AG331" t="str">
        <f>gescon_infosparticip!AF330</f>
        <v>Portable, jeux de musique, livre, faire des dessins, écouter de la musique, aller au parc, se promener dans la poussette.</v>
      </c>
      <c r="AH331" t="str">
        <f>gescon_infosparticip!AG330</f>
        <v/>
      </c>
      <c r="AI331" t="str">
        <f>gescon_infosparticip!BN330</f>
        <v/>
      </c>
      <c r="AJ331" t="str">
        <f>gescon_infosparticip!BO330</f>
        <v/>
      </c>
    </row>
    <row r="332" spans="2:36" x14ac:dyDescent="0.25">
      <c r="B332">
        <f>gescon_infosparticip!A331</f>
        <v>2146190034</v>
      </c>
      <c r="C332">
        <f>gescon_infosparticip!B331</f>
        <v>43083</v>
      </c>
      <c r="D332">
        <f>gescon_infosparticip!C331</f>
        <v>2146190035</v>
      </c>
      <c r="E332">
        <f>gescon_infosparticip!D331</f>
        <v>0</v>
      </c>
      <c r="F332">
        <f>gescon_infosparticip!E331</f>
        <v>0</v>
      </c>
      <c r="G332">
        <f>gescon_infosparticip!F331</f>
        <v>0</v>
      </c>
      <c r="H332">
        <f>gescon_infosparticip!G331</f>
        <v>2146190035</v>
      </c>
      <c r="I332" t="str">
        <f>gescon_infosparticip!H331</f>
        <v/>
      </c>
      <c r="J332">
        <f>IF(gescon_infosparticip!I331=FALSE,0,1)</f>
        <v>0</v>
      </c>
      <c r="K332">
        <f>IF(gescon_infosparticip!J331=FALSE,0,1)</f>
        <v>0</v>
      </c>
      <c r="L332">
        <f>IF(gescon_infosparticip!K331=FALSE,0,1)</f>
        <v>0</v>
      </c>
      <c r="M332">
        <f>IF(gescon_infosparticip!L331=FALSE,0,1)</f>
        <v>1</v>
      </c>
      <c r="N332">
        <f>IF(gescon_infosparticip!M331=FALSE,0,1)</f>
        <v>0</v>
      </c>
      <c r="O332">
        <f>IF(gescon_infosparticip!N331=FALSE,0,1)</f>
        <v>1</v>
      </c>
      <c r="P332">
        <f>IF(gescon_infosparticip!O331=FALSE,0,1)</f>
        <v>0</v>
      </c>
      <c r="Q332">
        <f>IF(gescon_infosparticip!P331=FALSE,0,1)</f>
        <v>0</v>
      </c>
      <c r="R332">
        <f>IF(gescon_infosparticip!Q331=FALSE,0,1)</f>
        <v>0</v>
      </c>
      <c r="S332" t="str">
        <f>gescon_infosparticip!R331</f>
        <v/>
      </c>
      <c r="T332" t="str">
        <f>gescon_infosparticip!V331</f>
        <v>Alexander n'est pas autonome pour l'habillement</v>
      </c>
      <c r="U332" t="str">
        <f>gescon_infosparticip!S331</f>
        <v>Bien lui sécher les cheveux, Alexander tombe rapidement malade</v>
      </c>
      <c r="V332">
        <f>IF(gescon_infosparticip!U331=FALSE,0,1)</f>
        <v>0</v>
      </c>
      <c r="W332">
        <f>IF(gescon_infosparticip!T331=FALSE,0,1)</f>
        <v>1</v>
      </c>
      <c r="X332" t="str">
        <f>gescon_infosparticip!W331</f>
        <v>le papa s'en occupe</v>
      </c>
      <c r="Y332">
        <f>IF(gescon_infosparticip!X331=FALSE,0,1)</f>
        <v>0</v>
      </c>
      <c r="Z332">
        <f>IF(gescon_infosparticip!Y331=FALSE,0,1)</f>
        <v>0</v>
      </c>
      <c r="AA332">
        <f>IF(gescon_infosparticip!Z331=FALSE,0,1)</f>
        <v>0</v>
      </c>
      <c r="AB332">
        <f>IF(gescon_infosparticip!AA331=FALSE,0,1)</f>
        <v>1</v>
      </c>
      <c r="AC332" t="str">
        <f>gescon_infosparticip!AB331</f>
        <v>Alexander commence à parler (2ans 1/2)</v>
      </c>
      <c r="AD332" t="str">
        <f>gescon_infosparticip!AC331</f>
        <v>papa + papi et mami   la maman de Alexander est décédée</v>
      </c>
      <c r="AE332" t="str">
        <f>gescon_infosparticip!AD331</f>
        <v/>
      </c>
      <c r="AF332" t="str">
        <f>gescon_infosparticip!AE331</f>
        <v>Crèche</v>
      </c>
      <c r="AG332" t="str">
        <f>gescon_infosparticip!AF331</f>
        <v>puzzle, écouter des histoires</v>
      </c>
      <c r="AH332" t="str">
        <f>gescon_infosparticip!AG331</f>
        <v>aller dormir (avec bipap)     brosser les dents</v>
      </c>
      <c r="AI332" t="str">
        <f>gescon_infosparticip!BN331</f>
        <v/>
      </c>
      <c r="AJ332" t="str">
        <f>gescon_infosparticip!BO331</f>
        <v>assis-debout..</v>
      </c>
    </row>
    <row r="333" spans="2:36" x14ac:dyDescent="0.25">
      <c r="B333">
        <f>gescon_infosparticip!A332</f>
        <v>2146190037</v>
      </c>
      <c r="C333">
        <f>gescon_infosparticip!B332</f>
        <v>43041</v>
      </c>
      <c r="D333">
        <f>gescon_infosparticip!C332</f>
        <v>2146190038</v>
      </c>
      <c r="E333">
        <f>gescon_infosparticip!D332</f>
        <v>0</v>
      </c>
      <c r="F333">
        <f>gescon_infosparticip!E332</f>
        <v>0</v>
      </c>
      <c r="G333">
        <f>gescon_infosparticip!F332</f>
        <v>2146190039</v>
      </c>
      <c r="H333">
        <f>gescon_infosparticip!G332</f>
        <v>2146190041</v>
      </c>
      <c r="I333" t="str">
        <f>gescon_infosparticip!H332</f>
        <v>Garlet Eva</v>
      </c>
      <c r="J333">
        <f>IF(gescon_infosparticip!I332=FALSE,0,1)</f>
        <v>1</v>
      </c>
      <c r="K333">
        <f>IF(gescon_infosparticip!J332=FALSE,0,1)</f>
        <v>0</v>
      </c>
      <c r="L333">
        <f>IF(gescon_infosparticip!K332=FALSE,0,1)</f>
        <v>0</v>
      </c>
      <c r="M333">
        <f>IF(gescon_infosparticip!L332=FALSE,0,1)</f>
        <v>0</v>
      </c>
      <c r="N333">
        <f>IF(gescon_infosparticip!M332=FALSE,0,1)</f>
        <v>1</v>
      </c>
      <c r="O333">
        <f>IF(gescon_infosparticip!N332=FALSE,0,1)</f>
        <v>0</v>
      </c>
      <c r="P333">
        <f>IF(gescon_infosparticip!O332=FALSE,0,1)</f>
        <v>1</v>
      </c>
      <c r="Q333">
        <f>IF(gescon_infosparticip!P332=FALSE,0,1)</f>
        <v>1</v>
      </c>
      <c r="R333">
        <f>IF(gescon_infosparticip!Q332=FALSE,0,1)</f>
        <v>0</v>
      </c>
      <c r="S333" t="str">
        <f>gescon_infosparticip!R332</f>
        <v>Petite distance à pied avec cannes.</v>
      </c>
      <c r="T333" t="str">
        <f>gescon_infosparticip!V332</f>
        <v>Autonome pour l'habillement</v>
      </c>
      <c r="U333" t="str">
        <f>gescon_infosparticip!S332</f>
        <v>Dominika nage seule et avec des manchons.</v>
      </c>
      <c r="V333">
        <f>IF(gescon_infosparticip!U332=FALSE,0,1)</f>
        <v>0</v>
      </c>
      <c r="W333">
        <f>IF(gescon_infosparticip!T332=FALSE,0,1)</f>
        <v>0</v>
      </c>
      <c r="X333" t="str">
        <f>gescon_infosparticip!W332</f>
        <v>Chambre idéalement proche des WC</v>
      </c>
      <c r="Y333">
        <f>IF(gescon_infosparticip!X332=FALSE,0,1)</f>
        <v>0</v>
      </c>
      <c r="Z333">
        <f>IF(gescon_infosparticip!Y332=FALSE,0,1)</f>
        <v>0</v>
      </c>
      <c r="AA333">
        <f>IF(gescon_infosparticip!Z332=FALSE,0,1)</f>
        <v>0</v>
      </c>
      <c r="AB333">
        <f>IF(gescon_infosparticip!AA332=FALSE,0,1)</f>
        <v>0</v>
      </c>
      <c r="AC333" t="str">
        <f>gescon_infosparticip!AB332</f>
        <v>Dominika a une bonne communication verbale</v>
      </c>
      <c r="AD333" t="str">
        <f>gescon_infosparticip!AC332</f>
        <v>Papa décédé en 2012. Maman remariée</v>
      </c>
      <c r="AE333" t="str">
        <f>gescon_infosparticip!AD332</f>
        <v>Stella née en 2010 (demi-sœur)   Claudia fille du beau-père née en 2000 vit avec sa maman à Vevey</v>
      </c>
      <c r="AF333" t="str">
        <f>gescon_infosparticip!AE332</f>
        <v/>
      </c>
      <c r="AG333" t="str">
        <f>gescon_infosparticip!AF332</f>
        <v>Lecture, regarder des films, cinéma, bowling, visite de musées et la culture en générale. Vie de couple avec Loïc Righini</v>
      </c>
      <c r="AH333" t="str">
        <f>gescon_infosparticip!AG332</f>
        <v/>
      </c>
      <c r="AI333" t="str">
        <f>gescon_infosparticip!BN332</f>
        <v/>
      </c>
      <c r="AJ333" t="str">
        <f>gescon_infosparticip!BO332</f>
        <v/>
      </c>
    </row>
    <row r="334" spans="2:36" x14ac:dyDescent="0.25">
      <c r="B334">
        <f>gescon_infosparticip!A333</f>
        <v>2146190042</v>
      </c>
      <c r="C334">
        <f>gescon_infosparticip!B333</f>
        <v>43027.437291666698</v>
      </c>
      <c r="D334">
        <f>gescon_infosparticip!C333</f>
        <v>2146190043</v>
      </c>
      <c r="E334">
        <f>gescon_infosparticip!D333</f>
        <v>0</v>
      </c>
      <c r="F334">
        <f>gescon_infosparticip!E333</f>
        <v>2146190043</v>
      </c>
      <c r="G334">
        <f>gescon_infosparticip!F333</f>
        <v>2146189500</v>
      </c>
      <c r="H334">
        <f>gescon_infosparticip!G333</f>
        <v>0</v>
      </c>
      <c r="I334" t="str">
        <f>gescon_infosparticip!H333</f>
        <v/>
      </c>
      <c r="J334">
        <f>IF(gescon_infosparticip!I333=FALSE,0,1)</f>
        <v>0</v>
      </c>
      <c r="K334">
        <f>IF(gescon_infosparticip!J333=FALSE,0,1)</f>
        <v>0</v>
      </c>
      <c r="L334">
        <f>IF(gescon_infosparticip!K333=FALSE,0,1)</f>
        <v>0</v>
      </c>
      <c r="M334">
        <f>IF(gescon_infosparticip!L333=FALSE,0,1)</f>
        <v>0</v>
      </c>
      <c r="N334">
        <f>IF(gescon_infosparticip!M333=FALSE,0,1)</f>
        <v>0</v>
      </c>
      <c r="O334">
        <f>IF(gescon_infosparticip!N333=FALSE,0,1)</f>
        <v>0</v>
      </c>
      <c r="P334">
        <f>IF(gescon_infosparticip!O333=FALSE,0,1)</f>
        <v>0</v>
      </c>
      <c r="Q334">
        <f>IF(gescon_infosparticip!P333=FALSE,0,1)</f>
        <v>0</v>
      </c>
      <c r="R334">
        <f>IF(gescon_infosparticip!Q333=FALSE,0,1)</f>
        <v>0</v>
      </c>
      <c r="S334" t="str">
        <f>gescon_infosparticip!R333</f>
        <v/>
      </c>
      <c r="T334" t="str">
        <f>gescon_infosparticip!V333</f>
        <v/>
      </c>
      <c r="U334" t="str">
        <f>gescon_infosparticip!S333</f>
        <v/>
      </c>
      <c r="V334">
        <f>IF(gescon_infosparticip!U333=FALSE,0,1)</f>
        <v>0</v>
      </c>
      <c r="W334">
        <f>IF(gescon_infosparticip!T333=FALSE,0,1)</f>
        <v>0</v>
      </c>
      <c r="X334" t="str">
        <f>gescon_infosparticip!W333</f>
        <v/>
      </c>
      <c r="Y334">
        <f>IF(gescon_infosparticip!X333=FALSE,0,1)</f>
        <v>0</v>
      </c>
      <c r="Z334">
        <f>IF(gescon_infosparticip!Y333=FALSE,0,1)</f>
        <v>0</v>
      </c>
      <c r="AA334">
        <f>IF(gescon_infosparticip!Z333=FALSE,0,1)</f>
        <v>0</v>
      </c>
      <c r="AB334">
        <f>IF(gescon_infosparticip!AA333=FALSE,0,1)</f>
        <v>0</v>
      </c>
      <c r="AC334" t="str">
        <f>gescon_infosparticip!AB333</f>
        <v/>
      </c>
      <c r="AD334" t="str">
        <f>gescon_infosparticip!AC333</f>
        <v/>
      </c>
      <c r="AE334" t="str">
        <f>gescon_infosparticip!AD333</f>
        <v/>
      </c>
      <c r="AF334" t="str">
        <f>gescon_infosparticip!AE333</f>
        <v/>
      </c>
      <c r="AG334" t="str">
        <f>gescon_infosparticip!AF333</f>
        <v/>
      </c>
      <c r="AH334" t="str">
        <f>gescon_infosparticip!AG333</f>
        <v/>
      </c>
      <c r="AI334" t="str">
        <f>gescon_infosparticip!BN333</f>
        <v/>
      </c>
      <c r="AJ334" t="str">
        <f>gescon_infosparticip!BO333</f>
        <v/>
      </c>
    </row>
    <row r="335" spans="2:36" x14ac:dyDescent="0.25">
      <c r="B335">
        <f>gescon_infosparticip!A334</f>
        <v>2146190044</v>
      </c>
      <c r="C335">
        <f>gescon_infosparticip!B334</f>
        <v>43041</v>
      </c>
      <c r="D335">
        <f>gescon_infosparticip!C334</f>
        <v>2146190043</v>
      </c>
      <c r="E335">
        <f>gescon_infosparticip!D334</f>
        <v>0</v>
      </c>
      <c r="F335">
        <f>gescon_infosparticip!E334</f>
        <v>2146190043</v>
      </c>
      <c r="G335">
        <f>gescon_infosparticip!F334</f>
        <v>2146189500</v>
      </c>
      <c r="H335">
        <f>gescon_infosparticip!G334</f>
        <v>2146189500</v>
      </c>
      <c r="I335" t="str">
        <f>gescon_infosparticip!H334</f>
        <v>Christophe Girod</v>
      </c>
      <c r="J335">
        <f>IF(gescon_infosparticip!I334=FALSE,0,1)</f>
        <v>0</v>
      </c>
      <c r="K335">
        <f>IF(gescon_infosparticip!J334=FALSE,0,1)</f>
        <v>0</v>
      </c>
      <c r="L335">
        <f>IF(gescon_infosparticip!K334=FALSE,0,1)</f>
        <v>0</v>
      </c>
      <c r="M335">
        <f>IF(gescon_infosparticip!L334=FALSE,0,1)</f>
        <v>1</v>
      </c>
      <c r="N335">
        <f>IF(gescon_infosparticip!M334=FALSE,0,1)</f>
        <v>1</v>
      </c>
      <c r="O335">
        <f>IF(gescon_infosparticip!N334=FALSE,0,1)</f>
        <v>0</v>
      </c>
      <c r="P335">
        <f>IF(gescon_infosparticip!O334=FALSE,0,1)</f>
        <v>0</v>
      </c>
      <c r="Q335">
        <f>IF(gescon_infosparticip!P334=FALSE,0,1)</f>
        <v>0</v>
      </c>
      <c r="R335">
        <f>IF(gescon_infosparticip!Q334=FALSE,0,1)</f>
        <v>0</v>
      </c>
      <c r="S335" t="str">
        <f>gescon_infosparticip!R334</f>
        <v>Marche de longues distances mais à son rythme
aime le bus</v>
      </c>
      <c r="T335" t="str">
        <f>gescon_infosparticip!V334</f>
        <v>Gaël s'habille seul, il faut lui donner habit après habit.</v>
      </c>
      <c r="U335" t="str">
        <f>gescon_infosparticip!S334</f>
        <v>Gaël n'a jamais été à la piscine, a essayer.</v>
      </c>
      <c r="V335">
        <f>IF(gescon_infosparticip!U334=FALSE,0,1)</f>
        <v>1</v>
      </c>
      <c r="W335">
        <f>IF(gescon_infosparticip!T334=FALSE,0,1)</f>
        <v>0</v>
      </c>
      <c r="X335" t="str">
        <f>gescon_infosparticip!W334</f>
        <v>Pyjama une pièce, fermeture dos. Il a un doudou. Lui mettre un pantalon (n'importe lequel) mais pas de training !</v>
      </c>
      <c r="Y335">
        <f>IF(gescon_infosparticip!X334=FALSE,0,1)</f>
        <v>0</v>
      </c>
      <c r="Z335">
        <f>IF(gescon_infosparticip!Y334=FALSE,0,1)</f>
        <v>0</v>
      </c>
      <c r="AA335">
        <f>IF(gescon_infosparticip!Z334=FALSE,0,1)</f>
        <v>0</v>
      </c>
      <c r="AB335">
        <f>IF(gescon_infosparticip!AA334=FALSE,0,1)</f>
        <v>0</v>
      </c>
      <c r="AC335" t="str">
        <f>gescon_infosparticip!AB334</f>
        <v>Gaël ne parle pas, il communique par signe. Si il est agité, il se mord l'avant-bras</v>
      </c>
      <c r="AD335" t="str">
        <f>gescon_infosparticip!AC334</f>
        <v>Gaël a ses parents</v>
      </c>
      <c r="AE335" t="str">
        <f>gescon_infosparticip!AD334</f>
        <v>Gaël a 2 sœurs : Daisy et Laurie</v>
      </c>
      <c r="AF335" t="str">
        <f>gescon_infosparticip!AE334</f>
        <v>Gaël peut ''bloqué'' ( ne plus bouger-reste pareil), lui chanter une chanson, lui montrer une cassette.. Changer de personne</v>
      </c>
      <c r="AG335" t="str">
        <f>gescon_infosparticip!AF334</f>
        <v>Il aime aller vers les autres.</v>
      </c>
      <c r="AH335" t="str">
        <f>gescon_infosparticip!AG334</f>
        <v>N'aime pas être seul</v>
      </c>
      <c r="AI335" t="str">
        <f>gescon_infosparticip!BN334</f>
        <v>Peut faire des siestes</v>
      </c>
      <c r="AJ335" t="str">
        <f>gescon_infosparticip!BO334</f>
        <v/>
      </c>
    </row>
    <row r="336" spans="2:36" x14ac:dyDescent="0.25">
      <c r="B336">
        <f>gescon_infosparticip!A335</f>
        <v>2146190077</v>
      </c>
      <c r="C336">
        <f>gescon_infosparticip!B335</f>
        <v>43083.423414351899</v>
      </c>
      <c r="D336">
        <f>gescon_infosparticip!C335</f>
        <v>2146190035</v>
      </c>
      <c r="E336">
        <f>gescon_infosparticip!D335</f>
        <v>0</v>
      </c>
      <c r="F336">
        <f>gescon_infosparticip!E335</f>
        <v>0</v>
      </c>
      <c r="G336">
        <f>gescon_infosparticip!F335</f>
        <v>0</v>
      </c>
      <c r="H336">
        <f>gescon_infosparticip!G335</f>
        <v>0</v>
      </c>
      <c r="I336" t="str">
        <f>gescon_infosparticip!H335</f>
        <v/>
      </c>
      <c r="J336">
        <f>IF(gescon_infosparticip!I335=FALSE,0,1)</f>
        <v>0</v>
      </c>
      <c r="K336">
        <f>IF(gescon_infosparticip!J335=FALSE,0,1)</f>
        <v>0</v>
      </c>
      <c r="L336">
        <f>IF(gescon_infosparticip!K335=FALSE,0,1)</f>
        <v>0</v>
      </c>
      <c r="M336">
        <f>IF(gescon_infosparticip!L335=FALSE,0,1)</f>
        <v>0</v>
      </c>
      <c r="N336">
        <f>IF(gescon_infosparticip!M335=FALSE,0,1)</f>
        <v>0</v>
      </c>
      <c r="O336">
        <f>IF(gescon_infosparticip!N335=FALSE,0,1)</f>
        <v>0</v>
      </c>
      <c r="P336">
        <f>IF(gescon_infosparticip!O335=FALSE,0,1)</f>
        <v>0</v>
      </c>
      <c r="Q336">
        <f>IF(gescon_infosparticip!P335=FALSE,0,1)</f>
        <v>0</v>
      </c>
      <c r="R336">
        <f>IF(gescon_infosparticip!Q335=FALSE,0,1)</f>
        <v>0</v>
      </c>
      <c r="S336" t="str">
        <f>gescon_infosparticip!R335</f>
        <v/>
      </c>
      <c r="T336" t="str">
        <f>gescon_infosparticip!V335</f>
        <v/>
      </c>
      <c r="U336" t="str">
        <f>gescon_infosparticip!S335</f>
        <v/>
      </c>
      <c r="V336">
        <f>IF(gescon_infosparticip!U335=FALSE,0,1)</f>
        <v>0</v>
      </c>
      <c r="W336">
        <f>IF(gescon_infosparticip!T335=FALSE,0,1)</f>
        <v>0</v>
      </c>
      <c r="X336" t="str">
        <f>gescon_infosparticip!W335</f>
        <v/>
      </c>
      <c r="Y336">
        <f>IF(gescon_infosparticip!X335=FALSE,0,1)</f>
        <v>0</v>
      </c>
      <c r="Z336">
        <f>IF(gescon_infosparticip!Y335=FALSE,0,1)</f>
        <v>0</v>
      </c>
      <c r="AA336">
        <f>IF(gescon_infosparticip!Z335=FALSE,0,1)</f>
        <v>0</v>
      </c>
      <c r="AB336">
        <f>IF(gescon_infosparticip!AA335=FALSE,0,1)</f>
        <v>0</v>
      </c>
      <c r="AC336" t="str">
        <f>gescon_infosparticip!AB335</f>
        <v/>
      </c>
      <c r="AD336" t="str">
        <f>gescon_infosparticip!AC335</f>
        <v/>
      </c>
      <c r="AE336" t="str">
        <f>gescon_infosparticip!AD335</f>
        <v/>
      </c>
      <c r="AF336" t="str">
        <f>gescon_infosparticip!AE335</f>
        <v/>
      </c>
      <c r="AG336" t="str">
        <f>gescon_infosparticip!AF335</f>
        <v/>
      </c>
      <c r="AH336" t="str">
        <f>gescon_infosparticip!AG335</f>
        <v/>
      </c>
      <c r="AI336" t="str">
        <f>gescon_infosparticip!BN335</f>
        <v/>
      </c>
      <c r="AJ336" t="str">
        <f>gescon_infosparticip!BO335</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gescon_infosparticip</vt:lpstr>
      <vt:lpstr>migInfoMédical</vt:lpstr>
      <vt:lpstr>migAloIntervenant</vt:lpstr>
      <vt:lpstr>migInfoSocial</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Lionel</dc:creator>
  <cp:lastModifiedBy>Lionel</cp:lastModifiedBy>
  <dcterms:created xsi:type="dcterms:W3CDTF">2017-12-28T15:26:38Z</dcterms:created>
  <dcterms:modified xsi:type="dcterms:W3CDTF">2017-12-30T09:03:03Z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8f84cae6-6ecc-49c7-91fb-183c57756339</vt:lpwstr>
  </property>
</Properties>
</file>