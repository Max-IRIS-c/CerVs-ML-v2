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25"/>
  <workbookPr date1904="1" codeName="ThisWorkbook"/>
  <mc:AlternateContent xmlns:mc="http://schemas.openxmlformats.org/markup-compatibility/2006">
    <mc:Choice Requires="x15">
      <x15ac:absPath xmlns:x15ac="http://schemas.microsoft.com/office/spreadsheetml/2010/11/ac" url="\\mrps-serveur\web\alunis-CerVsDEV\doc\"/>
    </mc:Choice>
  </mc:AlternateContent>
  <xr:revisionPtr revIDLastSave="0" documentId="13_ncr:1_{7E2753CC-6FA4-44D3-A579-CB0BC71A899C}" xr6:coauthVersionLast="34" xr6:coauthVersionMax="34" xr10:uidLastSave="{00000000-0000-0000-0000-000000000000}"/>
  <bookViews>
    <workbookView xWindow="0" yWindow="0" windowWidth="28800" windowHeight="12300" tabRatio="915" firstSheet="6" activeTab="15" xr2:uid="{00000000-000D-0000-FFFF-FFFF00000000}"/>
  </bookViews>
  <sheets>
    <sheet name="Anleitung" sheetId="38" r:id="rId1"/>
    <sheet name="Organisationsdaten (Basisinfo)" sheetId="11" r:id="rId2"/>
    <sheet name="Kostenrechnung konsolidiert" sheetId="10" r:id="rId3"/>
    <sheet name="Beratung und Betreuung" sheetId="1" r:id="rId4"/>
    <sheet name="Kurstypen" sheetId="5" r:id="rId5"/>
    <sheet name="Kurskategorien" sheetId="32" r:id="rId6"/>
    <sheet name="KlientInnenstatistik" sheetId="7" r:id="rId7"/>
    <sheet name="Kurse Fachpersonal" sheetId="6" state="hidden" r:id="rId8"/>
    <sheet name="LUFEB" sheetId="13" r:id="rId9"/>
    <sheet name="Begleitetes Wohnen" sheetId="29" r:id="rId10"/>
    <sheet name="Realisiertes Arbeitsprog. LUFEB" sheetId="36" r:id="rId11"/>
    <sheet name="Liste BW" sheetId="31" state="hidden" r:id="rId12"/>
    <sheet name="Bsp. Real. Arbeitsprog. LUFEB" sheetId="40" r:id="rId13"/>
    <sheet name="Kostenrechnung UVN" sheetId="28" r:id="rId14"/>
    <sheet name="Vorlage Berechnung Kap.substrat" sheetId="39" r:id="rId15"/>
    <sheet name="Auswertungstool Blockkurse" sheetId="34" r:id="rId16"/>
    <sheet name="Auswertungstool Tageskurse" sheetId="35" r:id="rId17"/>
  </sheets>
  <definedNames>
    <definedName name="_xlnm._FilterDatabase" localSheetId="9" hidden="1">'Begleitetes Wohnen'!$C$61:$S$351</definedName>
    <definedName name="_xlnm._FilterDatabase" localSheetId="3" hidden="1">'Beratung und Betreuung'!$C$60:$T$350</definedName>
    <definedName name="_xlnm._FilterDatabase" localSheetId="5" hidden="1">Kurskategorien!$C$4:$N$76</definedName>
    <definedName name="_xlnm._FilterDatabase" localSheetId="4" hidden="1">Kurstypen!$C$30:$N$102</definedName>
    <definedName name="_xlnm.Print_Titles" localSheetId="9">'Begleitetes Wohnen'!$A:$B</definedName>
    <definedName name="_xlnm.Print_Titles" localSheetId="3">'Beratung und Betreuung'!$A:$B</definedName>
    <definedName name="_xlnm.Print_Titles" localSheetId="1">'Organisationsdaten (Basisinfo)'!$A:$A</definedName>
    <definedName name="_xlnm.Print_Area" localSheetId="0">Anleitung!$A$3:$G$22</definedName>
    <definedName name="_xlnm.Print_Area" localSheetId="9">'Begleitetes Wohnen'!$A$1:$E$54</definedName>
    <definedName name="_xlnm.Print_Area" localSheetId="3">'Beratung und Betreuung'!$A$1:$S$51</definedName>
    <definedName name="_xlnm.Print_Area" localSheetId="6">KlientInnenstatistik!$A$1:$G$44</definedName>
    <definedName name="_xlnm.Print_Area" localSheetId="2">'Kostenrechnung konsolidiert'!$A$1:$Z$35</definedName>
    <definedName name="_xlnm.Print_Area" localSheetId="7">'Kurse Fachpersonal'!$A$1:$F$16</definedName>
    <definedName name="_xlnm.Print_Area" localSheetId="5">Kurskategorien!$A$1:$J$34</definedName>
    <definedName name="_xlnm.Print_Area" localSheetId="4">Kurstypen!$A$1:$J$27</definedName>
    <definedName name="_xlnm.Print_Area" localSheetId="8">LUFEB!$A$1:$K$24</definedName>
    <definedName name="_xlnm.Print_Area" localSheetId="1">'Organisationsdaten (Basisinfo)'!$A$1:$CE$16</definedName>
  </definedNames>
  <calcPr calcId="179021"/>
</workbook>
</file>

<file path=xl/calcChain.xml><?xml version="1.0" encoding="utf-8"?>
<calcChain xmlns="http://schemas.openxmlformats.org/spreadsheetml/2006/main">
  <c r="F20" i="28" l="1"/>
  <c r="F44" i="40"/>
  <c r="F39" i="40"/>
  <c r="F30" i="40"/>
  <c r="F23" i="40"/>
  <c r="F16" i="40"/>
  <c r="F10" i="40"/>
  <c r="D8" i="13"/>
  <c r="E8" i="13"/>
  <c r="I57" i="13" s="1"/>
  <c r="F8" i="13"/>
  <c r="I58" i="13"/>
  <c r="G8" i="13"/>
  <c r="I59" i="13" s="1"/>
  <c r="H8" i="13"/>
  <c r="I8" i="13"/>
  <c r="I61" i="13" s="1"/>
  <c r="J8" i="13"/>
  <c r="K8" i="13"/>
  <c r="I63" i="13" s="1"/>
  <c r="C8" i="13"/>
  <c r="D4" i="13"/>
  <c r="E4" i="13"/>
  <c r="I48" i="13" s="1"/>
  <c r="F4" i="13"/>
  <c r="G4" i="13"/>
  <c r="I50" i="13"/>
  <c r="H4" i="13"/>
  <c r="I51" i="13" s="1"/>
  <c r="I4" i="13"/>
  <c r="J4" i="13"/>
  <c r="K4" i="13"/>
  <c r="I54" i="13" s="1"/>
  <c r="C4" i="13"/>
  <c r="I46" i="13" s="1"/>
  <c r="U23" i="28"/>
  <c r="U22" i="28"/>
  <c r="U21" i="28"/>
  <c r="U20" i="28"/>
  <c r="U19" i="28"/>
  <c r="Y23" i="10"/>
  <c r="Y22" i="10"/>
  <c r="I344" i="10" s="1"/>
  <c r="Y21" i="10"/>
  <c r="I343" i="10" s="1"/>
  <c r="Y20" i="10"/>
  <c r="I342" i="10" s="1"/>
  <c r="Y19" i="10"/>
  <c r="I341" i="10" s="1"/>
  <c r="C14" i="13"/>
  <c r="D14" i="13"/>
  <c r="E14" i="13"/>
  <c r="F14" i="13"/>
  <c r="G14" i="13"/>
  <c r="H14" i="13"/>
  <c r="I14" i="13"/>
  <c r="J14" i="13"/>
  <c r="K14" i="13"/>
  <c r="B14" i="13"/>
  <c r="AM26" i="10" s="1"/>
  <c r="P6" i="13"/>
  <c r="P7" i="13"/>
  <c r="P5" i="13"/>
  <c r="P9" i="13"/>
  <c r="D24" i="28"/>
  <c r="F22" i="28"/>
  <c r="F21" i="28"/>
  <c r="F19" i="28"/>
  <c r="K15" i="1"/>
  <c r="J15" i="1"/>
  <c r="F11" i="28"/>
  <c r="F12" i="28"/>
  <c r="F10" i="28"/>
  <c r="F7" i="28"/>
  <c r="F8" i="28"/>
  <c r="F6" i="28"/>
  <c r="F5" i="28"/>
  <c r="D11" i="39"/>
  <c r="D14" i="39"/>
  <c r="J17" i="32"/>
  <c r="E10" i="36"/>
  <c r="I52" i="13"/>
  <c r="C8" i="39"/>
  <c r="B15" i="11"/>
  <c r="C18" i="39"/>
  <c r="D17" i="39"/>
  <c r="D15" i="39"/>
  <c r="B8" i="39"/>
  <c r="B18" i="39" s="1"/>
  <c r="B19" i="39" s="1"/>
  <c r="B21" i="39" s="1"/>
  <c r="E2" i="36"/>
  <c r="C2" i="36"/>
  <c r="H16" i="11"/>
  <c r="E36" i="36"/>
  <c r="E31" i="36"/>
  <c r="E37" i="36" s="1"/>
  <c r="E38" i="36" s="1"/>
  <c r="E26" i="36"/>
  <c r="E21" i="36"/>
  <c r="E16" i="36"/>
  <c r="D15" i="11"/>
  <c r="E15" i="11"/>
  <c r="F15" i="11"/>
  <c r="G15" i="11"/>
  <c r="H15" i="11"/>
  <c r="I15" i="11"/>
  <c r="J15" i="11"/>
  <c r="K15" i="11"/>
  <c r="L15" i="11"/>
  <c r="M15" i="11"/>
  <c r="N15" i="11"/>
  <c r="O15" i="11"/>
  <c r="P15" i="11"/>
  <c r="Q15" i="11"/>
  <c r="R15" i="11"/>
  <c r="S15" i="11"/>
  <c r="T15" i="11"/>
  <c r="U15" i="11"/>
  <c r="V15" i="11"/>
  <c r="W15" i="11"/>
  <c r="X15" i="11"/>
  <c r="Y15" i="11"/>
  <c r="Z15" i="11"/>
  <c r="AA15" i="11"/>
  <c r="AB15" i="11"/>
  <c r="AC15" i="11"/>
  <c r="AD15" i="11"/>
  <c r="AE15" i="11"/>
  <c r="AF15" i="11"/>
  <c r="AG15" i="11"/>
  <c r="AH15" i="11"/>
  <c r="AI15" i="11"/>
  <c r="AJ15" i="11"/>
  <c r="AK15" i="11"/>
  <c r="AL15" i="11"/>
  <c r="AM15" i="11"/>
  <c r="AN15" i="11"/>
  <c r="AO15" i="11"/>
  <c r="AP15" i="11"/>
  <c r="AQ15" i="11"/>
  <c r="AR15" i="11"/>
  <c r="AS15" i="11"/>
  <c r="AT15" i="11"/>
  <c r="AU15" i="11"/>
  <c r="AV15" i="11"/>
  <c r="AW15" i="11"/>
  <c r="AX15" i="11"/>
  <c r="AY15" i="11"/>
  <c r="AZ15" i="11"/>
  <c r="BA15" i="11"/>
  <c r="BB15" i="11"/>
  <c r="BC15" i="11"/>
  <c r="BD15" i="11"/>
  <c r="BE15" i="11"/>
  <c r="BF15" i="11"/>
  <c r="BG15" i="11"/>
  <c r="BH15" i="11"/>
  <c r="BI15" i="11"/>
  <c r="BJ15" i="11"/>
  <c r="BK15" i="11"/>
  <c r="BL15" i="11"/>
  <c r="BM15" i="11"/>
  <c r="BN15" i="11"/>
  <c r="BO15" i="11"/>
  <c r="BP15" i="11"/>
  <c r="BQ15" i="11"/>
  <c r="BR15" i="11"/>
  <c r="BS15" i="11"/>
  <c r="BT15" i="11"/>
  <c r="BU15" i="11"/>
  <c r="BV15" i="11"/>
  <c r="BW15" i="11"/>
  <c r="BX15" i="11"/>
  <c r="BY15" i="11"/>
  <c r="BZ15" i="11"/>
  <c r="CA15" i="11"/>
  <c r="CB15" i="11"/>
  <c r="CC15" i="11"/>
  <c r="CD15" i="11"/>
  <c r="C15" i="11"/>
  <c r="Q4" i="35"/>
  <c r="Q6" i="35"/>
  <c r="H42" i="35" s="1"/>
  <c r="K42" i="35" s="1"/>
  <c r="Q4" i="34"/>
  <c r="Q6" i="34"/>
  <c r="G1" i="32"/>
  <c r="D1" i="32"/>
  <c r="J21" i="32"/>
  <c r="I20" i="32"/>
  <c r="H20" i="32"/>
  <c r="G20" i="32"/>
  <c r="F20" i="32"/>
  <c r="E20" i="32"/>
  <c r="D20" i="32"/>
  <c r="C20" i="32"/>
  <c r="I16" i="32"/>
  <c r="H16" i="32"/>
  <c r="G16" i="32"/>
  <c r="F16" i="32"/>
  <c r="E16" i="32"/>
  <c r="D16" i="32"/>
  <c r="C16" i="32"/>
  <c r="J15" i="32"/>
  <c r="J14" i="32"/>
  <c r="J13" i="32"/>
  <c r="I12" i="32"/>
  <c r="H12" i="32"/>
  <c r="G12" i="32"/>
  <c r="F12" i="32"/>
  <c r="E12" i="32"/>
  <c r="J12" i="32" s="1"/>
  <c r="D12" i="32"/>
  <c r="C12" i="32"/>
  <c r="J11" i="32"/>
  <c r="J10" i="32"/>
  <c r="J9" i="32"/>
  <c r="F16" i="5"/>
  <c r="O29" i="5" s="1"/>
  <c r="E25" i="28"/>
  <c r="J31" i="28"/>
  <c r="E25" i="10"/>
  <c r="E17" i="10"/>
  <c r="E9" i="10"/>
  <c r="E13" i="10" s="1"/>
  <c r="F48" i="1"/>
  <c r="J179" i="29"/>
  <c r="J178" i="29"/>
  <c r="J177" i="29"/>
  <c r="J176" i="29"/>
  <c r="J175" i="29"/>
  <c r="J174" i="29"/>
  <c r="J173" i="29"/>
  <c r="J172" i="29"/>
  <c r="J171" i="29"/>
  <c r="J170" i="29"/>
  <c r="J169" i="29"/>
  <c r="J168" i="29"/>
  <c r="J167" i="29"/>
  <c r="J166" i="29"/>
  <c r="J165" i="29"/>
  <c r="J164" i="29"/>
  <c r="J163" i="29"/>
  <c r="J162" i="29"/>
  <c r="J161" i="29"/>
  <c r="J160" i="29"/>
  <c r="J159" i="29"/>
  <c r="J158" i="29"/>
  <c r="J157" i="29"/>
  <c r="J156" i="29"/>
  <c r="J155" i="29"/>
  <c r="J154" i="29"/>
  <c r="J153" i="29"/>
  <c r="J152" i="29"/>
  <c r="J151" i="29"/>
  <c r="J150" i="29"/>
  <c r="J149" i="29"/>
  <c r="J148" i="29"/>
  <c r="J147" i="29"/>
  <c r="J146" i="29"/>
  <c r="J145" i="29"/>
  <c r="J144" i="29"/>
  <c r="J143" i="29"/>
  <c r="J142" i="29"/>
  <c r="J141" i="29"/>
  <c r="J140" i="29"/>
  <c r="J139" i="29"/>
  <c r="J138" i="29"/>
  <c r="J137" i="29"/>
  <c r="J136" i="29"/>
  <c r="J135" i="29"/>
  <c r="J134" i="29"/>
  <c r="J133" i="29"/>
  <c r="J132" i="29"/>
  <c r="J131" i="29"/>
  <c r="J130" i="29"/>
  <c r="J129" i="29"/>
  <c r="J128" i="29"/>
  <c r="J127" i="29"/>
  <c r="J126" i="29"/>
  <c r="J125" i="29"/>
  <c r="J124" i="29"/>
  <c r="J123" i="29"/>
  <c r="J122" i="29"/>
  <c r="J121" i="29"/>
  <c r="J120" i="29"/>
  <c r="J119" i="29"/>
  <c r="J118" i="29"/>
  <c r="J117" i="29"/>
  <c r="J116" i="29"/>
  <c r="J115" i="29"/>
  <c r="J114" i="29"/>
  <c r="J113" i="29"/>
  <c r="J112" i="29"/>
  <c r="J111" i="29"/>
  <c r="J110" i="29"/>
  <c r="J109" i="29"/>
  <c r="J108" i="29"/>
  <c r="J107" i="29"/>
  <c r="J106" i="29"/>
  <c r="J105" i="29"/>
  <c r="J104" i="29"/>
  <c r="J103" i="29"/>
  <c r="J102" i="29"/>
  <c r="J101" i="29"/>
  <c r="J100" i="29"/>
  <c r="J99" i="29"/>
  <c r="J98" i="29"/>
  <c r="J97" i="29"/>
  <c r="J96" i="29"/>
  <c r="J95" i="29"/>
  <c r="J94" i="29"/>
  <c r="J93" i="29"/>
  <c r="J92" i="29"/>
  <c r="J91" i="29"/>
  <c r="J90" i="29"/>
  <c r="J89" i="29"/>
  <c r="J88" i="29"/>
  <c r="J87" i="29"/>
  <c r="J86" i="29"/>
  <c r="J85" i="29"/>
  <c r="J84" i="29"/>
  <c r="J83" i="29"/>
  <c r="J82" i="29"/>
  <c r="J81" i="29"/>
  <c r="J80" i="29"/>
  <c r="J79" i="29"/>
  <c r="J78" i="29"/>
  <c r="J77" i="29"/>
  <c r="J76" i="29"/>
  <c r="J75" i="29"/>
  <c r="J74" i="29"/>
  <c r="J73" i="29"/>
  <c r="J72" i="29"/>
  <c r="J71" i="29"/>
  <c r="J70" i="29"/>
  <c r="J69" i="29"/>
  <c r="J68" i="29"/>
  <c r="J67" i="29"/>
  <c r="J66" i="29"/>
  <c r="J65" i="29"/>
  <c r="J64" i="29"/>
  <c r="J63" i="29"/>
  <c r="J62" i="29"/>
  <c r="E15" i="29"/>
  <c r="V20" i="29" s="1"/>
  <c r="C15" i="29"/>
  <c r="D15" i="29"/>
  <c r="E50" i="29"/>
  <c r="F1" i="31"/>
  <c r="D1" i="31"/>
  <c r="D47" i="29"/>
  <c r="E47" i="29"/>
  <c r="C47" i="29"/>
  <c r="E19" i="29"/>
  <c r="D19" i="29"/>
  <c r="C19" i="29"/>
  <c r="C1" i="29"/>
  <c r="E1" i="29"/>
  <c r="C84" i="29" s="1"/>
  <c r="D59" i="29"/>
  <c r="I900" i="11"/>
  <c r="F900" i="11"/>
  <c r="E900" i="11"/>
  <c r="D900" i="11"/>
  <c r="C900" i="11"/>
  <c r="I899" i="11"/>
  <c r="F899" i="11"/>
  <c r="E899" i="11"/>
  <c r="D899" i="11"/>
  <c r="C899" i="11"/>
  <c r="I898" i="11"/>
  <c r="F898" i="11"/>
  <c r="E898" i="11"/>
  <c r="D898" i="11"/>
  <c r="C898" i="11"/>
  <c r="I897" i="11"/>
  <c r="F897" i="11"/>
  <c r="E897" i="11"/>
  <c r="D897" i="11"/>
  <c r="C897" i="11"/>
  <c r="I896" i="11"/>
  <c r="F896" i="11"/>
  <c r="E896" i="11"/>
  <c r="D896" i="11"/>
  <c r="C896" i="11"/>
  <c r="I895" i="11"/>
  <c r="F895" i="11"/>
  <c r="E895" i="11"/>
  <c r="D895" i="11"/>
  <c r="C895" i="11"/>
  <c r="I894" i="11"/>
  <c r="F894" i="11"/>
  <c r="E894" i="11"/>
  <c r="D894" i="11"/>
  <c r="C894" i="11"/>
  <c r="I893" i="11"/>
  <c r="F893" i="11"/>
  <c r="E893" i="11"/>
  <c r="D893" i="11"/>
  <c r="C893" i="11"/>
  <c r="I892" i="11"/>
  <c r="F892" i="11"/>
  <c r="E892" i="11"/>
  <c r="D892" i="11"/>
  <c r="C892" i="11"/>
  <c r="I891" i="11"/>
  <c r="F891" i="11"/>
  <c r="E891" i="11"/>
  <c r="D891" i="11"/>
  <c r="C891" i="11"/>
  <c r="I890" i="11"/>
  <c r="F890" i="11"/>
  <c r="E890" i="11"/>
  <c r="D890" i="11"/>
  <c r="C890" i="11"/>
  <c r="I889" i="11"/>
  <c r="F889" i="11"/>
  <c r="E889" i="11"/>
  <c r="D889" i="11"/>
  <c r="C889" i="11"/>
  <c r="I888" i="11"/>
  <c r="F888" i="11"/>
  <c r="E888" i="11"/>
  <c r="D888" i="11"/>
  <c r="C888" i="11"/>
  <c r="I887" i="11"/>
  <c r="F887" i="11"/>
  <c r="E887" i="11"/>
  <c r="D887" i="11"/>
  <c r="C887" i="11"/>
  <c r="I886" i="11"/>
  <c r="F886" i="11"/>
  <c r="E886" i="11"/>
  <c r="D886" i="11"/>
  <c r="C886" i="11"/>
  <c r="I885" i="11"/>
  <c r="F885" i="11"/>
  <c r="E885" i="11"/>
  <c r="D885" i="11"/>
  <c r="C885" i="11"/>
  <c r="I884" i="11"/>
  <c r="F884" i="11"/>
  <c r="E884" i="11"/>
  <c r="D884" i="11"/>
  <c r="C884" i="11"/>
  <c r="I883" i="11"/>
  <c r="F883" i="11"/>
  <c r="E883" i="11"/>
  <c r="D883" i="11"/>
  <c r="C883" i="11"/>
  <c r="I882" i="11"/>
  <c r="F882" i="11"/>
  <c r="E882" i="11"/>
  <c r="D882" i="11"/>
  <c r="C882" i="11"/>
  <c r="I881" i="11"/>
  <c r="F881" i="11"/>
  <c r="E881" i="11"/>
  <c r="D881" i="11"/>
  <c r="C881" i="11"/>
  <c r="I880" i="11"/>
  <c r="F880" i="11"/>
  <c r="E880" i="11"/>
  <c r="D880" i="11"/>
  <c r="C880" i="11"/>
  <c r="I879" i="11"/>
  <c r="F879" i="11"/>
  <c r="E879" i="11"/>
  <c r="D879" i="11"/>
  <c r="C879" i="11"/>
  <c r="I878" i="11"/>
  <c r="F878" i="11"/>
  <c r="E878" i="11"/>
  <c r="D878" i="11"/>
  <c r="C878" i="11"/>
  <c r="I877" i="11"/>
  <c r="F877" i="11"/>
  <c r="E877" i="11"/>
  <c r="D877" i="11"/>
  <c r="C877" i="11"/>
  <c r="I876" i="11"/>
  <c r="F876" i="11"/>
  <c r="E876" i="11"/>
  <c r="D876" i="11"/>
  <c r="C876" i="11"/>
  <c r="I875" i="11"/>
  <c r="F875" i="11"/>
  <c r="E875" i="11"/>
  <c r="D875" i="11"/>
  <c r="C875" i="11"/>
  <c r="I874" i="11"/>
  <c r="F874" i="11"/>
  <c r="E874" i="11"/>
  <c r="D874" i="11"/>
  <c r="C874" i="11"/>
  <c r="I873" i="11"/>
  <c r="F873" i="11"/>
  <c r="E873" i="11"/>
  <c r="D873" i="11"/>
  <c r="C873" i="11"/>
  <c r="I872" i="11"/>
  <c r="F872" i="11"/>
  <c r="E872" i="11"/>
  <c r="D872" i="11"/>
  <c r="C872" i="11"/>
  <c r="I871" i="11"/>
  <c r="F871" i="11"/>
  <c r="E871" i="11"/>
  <c r="D871" i="11"/>
  <c r="C871" i="11"/>
  <c r="I870" i="11"/>
  <c r="F870" i="11"/>
  <c r="E870" i="11"/>
  <c r="D870" i="11"/>
  <c r="C870" i="11"/>
  <c r="I869" i="11"/>
  <c r="F869" i="11"/>
  <c r="E869" i="11"/>
  <c r="D869" i="11"/>
  <c r="C869" i="11"/>
  <c r="I868" i="11"/>
  <c r="F868" i="11"/>
  <c r="E868" i="11"/>
  <c r="D868" i="11"/>
  <c r="C868" i="11"/>
  <c r="I867" i="11"/>
  <c r="F867" i="11"/>
  <c r="E867" i="11"/>
  <c r="D867" i="11"/>
  <c r="C867" i="11"/>
  <c r="I866" i="11"/>
  <c r="F866" i="11"/>
  <c r="E866" i="11"/>
  <c r="D866" i="11"/>
  <c r="C866" i="11"/>
  <c r="I865" i="11"/>
  <c r="F865" i="11"/>
  <c r="E865" i="11"/>
  <c r="D865" i="11"/>
  <c r="C865" i="11"/>
  <c r="I864" i="11"/>
  <c r="F864" i="11"/>
  <c r="E864" i="11"/>
  <c r="D864" i="11"/>
  <c r="C864" i="11"/>
  <c r="I863" i="11"/>
  <c r="F863" i="11"/>
  <c r="E863" i="11"/>
  <c r="D863" i="11"/>
  <c r="C863" i="11"/>
  <c r="I862" i="11"/>
  <c r="F862" i="11"/>
  <c r="E862" i="11"/>
  <c r="D862" i="11"/>
  <c r="C862" i="11"/>
  <c r="I861" i="11"/>
  <c r="F861" i="11"/>
  <c r="E861" i="11"/>
  <c r="D861" i="11"/>
  <c r="C861" i="11"/>
  <c r="I860" i="11"/>
  <c r="F860" i="11"/>
  <c r="E860" i="11"/>
  <c r="D860" i="11"/>
  <c r="C860" i="11"/>
  <c r="I859" i="11"/>
  <c r="F859" i="11"/>
  <c r="E859" i="11"/>
  <c r="D859" i="11"/>
  <c r="C859" i="11"/>
  <c r="I858" i="11"/>
  <c r="F858" i="11"/>
  <c r="E858" i="11"/>
  <c r="D858" i="11"/>
  <c r="C858" i="11"/>
  <c r="I857" i="11"/>
  <c r="F857" i="11"/>
  <c r="E857" i="11"/>
  <c r="D857" i="11"/>
  <c r="C857" i="11"/>
  <c r="I856" i="11"/>
  <c r="F856" i="11"/>
  <c r="E856" i="11"/>
  <c r="D856" i="11"/>
  <c r="C856" i="11"/>
  <c r="I855" i="11"/>
  <c r="F855" i="11"/>
  <c r="E855" i="11"/>
  <c r="D855" i="11"/>
  <c r="C855" i="11"/>
  <c r="I854" i="11"/>
  <c r="F854" i="11"/>
  <c r="E854" i="11"/>
  <c r="D854" i="11"/>
  <c r="C854" i="11"/>
  <c r="I853" i="11"/>
  <c r="F853" i="11"/>
  <c r="E853" i="11"/>
  <c r="D853" i="11"/>
  <c r="C853" i="11"/>
  <c r="I852" i="11"/>
  <c r="F852" i="11"/>
  <c r="E852" i="11"/>
  <c r="D852" i="11"/>
  <c r="C852" i="11"/>
  <c r="I851" i="11"/>
  <c r="F851" i="11"/>
  <c r="E851" i="11"/>
  <c r="D851" i="11"/>
  <c r="C851" i="11"/>
  <c r="I850" i="11"/>
  <c r="F850" i="11"/>
  <c r="E850" i="11"/>
  <c r="D850" i="11"/>
  <c r="C850" i="11"/>
  <c r="I849" i="11"/>
  <c r="F849" i="11"/>
  <c r="E849" i="11"/>
  <c r="D849" i="11"/>
  <c r="C849" i="11"/>
  <c r="I848" i="11"/>
  <c r="F848" i="11"/>
  <c r="E848" i="11"/>
  <c r="D848" i="11"/>
  <c r="C848" i="11"/>
  <c r="I847" i="11"/>
  <c r="F847" i="11"/>
  <c r="E847" i="11"/>
  <c r="D847" i="11"/>
  <c r="C847" i="11"/>
  <c r="I846" i="11"/>
  <c r="F846" i="11"/>
  <c r="E846" i="11"/>
  <c r="D846" i="11"/>
  <c r="C846" i="11"/>
  <c r="I845" i="11"/>
  <c r="F845" i="11"/>
  <c r="E845" i="11"/>
  <c r="D845" i="11"/>
  <c r="C845" i="11"/>
  <c r="I844" i="11"/>
  <c r="F844" i="11"/>
  <c r="E844" i="11"/>
  <c r="D844" i="11"/>
  <c r="C844" i="11"/>
  <c r="I843" i="11"/>
  <c r="F843" i="11"/>
  <c r="E843" i="11"/>
  <c r="D843" i="11"/>
  <c r="C843" i="11"/>
  <c r="I842" i="11"/>
  <c r="F842" i="11"/>
  <c r="E842" i="11"/>
  <c r="D842" i="11"/>
  <c r="C842" i="11"/>
  <c r="I841" i="11"/>
  <c r="F841" i="11"/>
  <c r="E841" i="11"/>
  <c r="D841" i="11"/>
  <c r="C841" i="11"/>
  <c r="I840" i="11"/>
  <c r="F840" i="11"/>
  <c r="E840" i="11"/>
  <c r="D840" i="11"/>
  <c r="C840" i="11"/>
  <c r="I839" i="11"/>
  <c r="F839" i="11"/>
  <c r="E839" i="11"/>
  <c r="D839" i="11"/>
  <c r="C839" i="11"/>
  <c r="I838" i="11"/>
  <c r="F838" i="11"/>
  <c r="E838" i="11"/>
  <c r="D838" i="11"/>
  <c r="C838" i="11"/>
  <c r="I837" i="11"/>
  <c r="F837" i="11"/>
  <c r="E837" i="11"/>
  <c r="D837" i="11"/>
  <c r="C837" i="11"/>
  <c r="I836" i="11"/>
  <c r="F836" i="11"/>
  <c r="E836" i="11"/>
  <c r="D836" i="11"/>
  <c r="C836" i="11"/>
  <c r="I835" i="11"/>
  <c r="F835" i="11"/>
  <c r="E835" i="11"/>
  <c r="D835" i="11"/>
  <c r="C835" i="11"/>
  <c r="I834" i="11"/>
  <c r="F834" i="11"/>
  <c r="E834" i="11"/>
  <c r="D834" i="11"/>
  <c r="C834" i="11"/>
  <c r="I833" i="11"/>
  <c r="F833" i="11"/>
  <c r="E833" i="11"/>
  <c r="D833" i="11"/>
  <c r="C833" i="11"/>
  <c r="I832" i="11"/>
  <c r="F832" i="11"/>
  <c r="E832" i="11"/>
  <c r="D832" i="11"/>
  <c r="C832" i="11"/>
  <c r="I831" i="11"/>
  <c r="F831" i="11"/>
  <c r="E831" i="11"/>
  <c r="D831" i="11"/>
  <c r="C831" i="11"/>
  <c r="I830" i="11"/>
  <c r="F830" i="11"/>
  <c r="E830" i="11"/>
  <c r="D830" i="11"/>
  <c r="C830" i="11"/>
  <c r="I829" i="11"/>
  <c r="F829" i="11"/>
  <c r="E829" i="11"/>
  <c r="D829" i="11"/>
  <c r="C829" i="11"/>
  <c r="I828" i="11"/>
  <c r="F828" i="11"/>
  <c r="E828" i="11"/>
  <c r="D828" i="11"/>
  <c r="C828" i="11"/>
  <c r="I827" i="11"/>
  <c r="F827" i="11"/>
  <c r="E827" i="11"/>
  <c r="D827" i="11"/>
  <c r="C827" i="11"/>
  <c r="I826" i="11"/>
  <c r="F826" i="11"/>
  <c r="E826" i="11"/>
  <c r="D826" i="11"/>
  <c r="C826" i="11"/>
  <c r="I825" i="11"/>
  <c r="F825" i="11"/>
  <c r="E825" i="11"/>
  <c r="D825" i="11"/>
  <c r="C825" i="11"/>
  <c r="I824" i="11"/>
  <c r="F824" i="11"/>
  <c r="E824" i="11"/>
  <c r="D824" i="11"/>
  <c r="C824" i="11"/>
  <c r="I823" i="11"/>
  <c r="F823" i="11"/>
  <c r="E823" i="11"/>
  <c r="D823" i="11"/>
  <c r="C823" i="11"/>
  <c r="I822" i="11"/>
  <c r="F822" i="11"/>
  <c r="E822" i="11"/>
  <c r="D822" i="11"/>
  <c r="C822" i="11"/>
  <c r="I821" i="11"/>
  <c r="F821" i="11"/>
  <c r="E821" i="11"/>
  <c r="D821" i="11"/>
  <c r="C821" i="11"/>
  <c r="I820" i="11"/>
  <c r="F820" i="11"/>
  <c r="E820" i="11"/>
  <c r="D820" i="11"/>
  <c r="C820" i="11"/>
  <c r="I819" i="11"/>
  <c r="F819" i="11"/>
  <c r="E819" i="11"/>
  <c r="D819" i="11"/>
  <c r="C819" i="11"/>
  <c r="I818" i="11"/>
  <c r="F818" i="11"/>
  <c r="E818" i="11"/>
  <c r="D818" i="11"/>
  <c r="C818" i="11"/>
  <c r="I817" i="11"/>
  <c r="F817" i="11"/>
  <c r="E817" i="11"/>
  <c r="D817" i="11"/>
  <c r="C817" i="11"/>
  <c r="I816" i="11"/>
  <c r="F816" i="11"/>
  <c r="E816" i="11"/>
  <c r="D816" i="11"/>
  <c r="C816" i="11"/>
  <c r="I815" i="11"/>
  <c r="F815" i="11"/>
  <c r="E815" i="11"/>
  <c r="D815" i="11"/>
  <c r="C815" i="11"/>
  <c r="I814" i="11"/>
  <c r="F814" i="11"/>
  <c r="E814" i="11"/>
  <c r="D814" i="11"/>
  <c r="C814" i="11"/>
  <c r="I813" i="11"/>
  <c r="F813" i="11"/>
  <c r="E813" i="11"/>
  <c r="D813" i="11"/>
  <c r="C813" i="11"/>
  <c r="I812" i="11"/>
  <c r="F812" i="11"/>
  <c r="E812" i="11"/>
  <c r="D812" i="11"/>
  <c r="C812" i="11"/>
  <c r="I811" i="11"/>
  <c r="F811" i="11"/>
  <c r="E811" i="11"/>
  <c r="D811" i="11"/>
  <c r="C811" i="11"/>
  <c r="I810" i="11"/>
  <c r="F810" i="11"/>
  <c r="E810" i="11"/>
  <c r="D810" i="11"/>
  <c r="C810" i="11"/>
  <c r="I809" i="11"/>
  <c r="F809" i="11"/>
  <c r="E809" i="11"/>
  <c r="D809" i="11"/>
  <c r="C809" i="11"/>
  <c r="I808" i="11"/>
  <c r="F808" i="11"/>
  <c r="E808" i="11"/>
  <c r="D808" i="11"/>
  <c r="C808" i="11"/>
  <c r="I807" i="11"/>
  <c r="F807" i="11"/>
  <c r="E807" i="11"/>
  <c r="D807" i="11"/>
  <c r="C807" i="11"/>
  <c r="I806" i="11"/>
  <c r="F806" i="11"/>
  <c r="E806" i="11"/>
  <c r="D806" i="11"/>
  <c r="C806" i="11"/>
  <c r="I805" i="11"/>
  <c r="F805" i="11"/>
  <c r="E805" i="11"/>
  <c r="D805" i="11"/>
  <c r="C805" i="11"/>
  <c r="I804" i="11"/>
  <c r="F804" i="11"/>
  <c r="E804" i="11"/>
  <c r="D804" i="11"/>
  <c r="C804" i="11"/>
  <c r="I803" i="11"/>
  <c r="F803" i="11"/>
  <c r="E803" i="11"/>
  <c r="D803" i="11"/>
  <c r="C803" i="11"/>
  <c r="I802" i="11"/>
  <c r="F802" i="11"/>
  <c r="E802" i="11"/>
  <c r="D802" i="11"/>
  <c r="C802" i="11"/>
  <c r="I801" i="11"/>
  <c r="F801" i="11"/>
  <c r="E801" i="11"/>
  <c r="D801" i="11"/>
  <c r="C801" i="11"/>
  <c r="I800" i="11"/>
  <c r="F800" i="11"/>
  <c r="E800" i="11"/>
  <c r="D800" i="11"/>
  <c r="C800" i="11"/>
  <c r="I799" i="11"/>
  <c r="F799" i="11"/>
  <c r="E799" i="11"/>
  <c r="D799" i="11"/>
  <c r="C799" i="11"/>
  <c r="I798" i="11"/>
  <c r="F798" i="11"/>
  <c r="E798" i="11"/>
  <c r="D798" i="11"/>
  <c r="C798" i="11"/>
  <c r="I797" i="11"/>
  <c r="F797" i="11"/>
  <c r="E797" i="11"/>
  <c r="D797" i="11"/>
  <c r="C797" i="11"/>
  <c r="I796" i="11"/>
  <c r="F796" i="11"/>
  <c r="E796" i="11"/>
  <c r="D796" i="11"/>
  <c r="C796" i="11"/>
  <c r="I795" i="11"/>
  <c r="F795" i="11"/>
  <c r="E795" i="11"/>
  <c r="D795" i="11"/>
  <c r="C795" i="11"/>
  <c r="I794" i="11"/>
  <c r="F794" i="11"/>
  <c r="E794" i="11"/>
  <c r="D794" i="11"/>
  <c r="C794" i="11"/>
  <c r="I793" i="11"/>
  <c r="F793" i="11"/>
  <c r="E793" i="11"/>
  <c r="D793" i="11"/>
  <c r="C793" i="11"/>
  <c r="I792" i="11"/>
  <c r="F792" i="11"/>
  <c r="E792" i="11"/>
  <c r="D792" i="11"/>
  <c r="C792" i="11"/>
  <c r="I791" i="11"/>
  <c r="F791" i="11"/>
  <c r="E791" i="11"/>
  <c r="D791" i="11"/>
  <c r="C791" i="11"/>
  <c r="I790" i="11"/>
  <c r="F790" i="11"/>
  <c r="E790" i="11"/>
  <c r="D790" i="11"/>
  <c r="C790" i="11"/>
  <c r="I789" i="11"/>
  <c r="F789" i="11"/>
  <c r="E789" i="11"/>
  <c r="D789" i="11"/>
  <c r="C789" i="11"/>
  <c r="I788" i="11"/>
  <c r="F788" i="11"/>
  <c r="E788" i="11"/>
  <c r="D788" i="11"/>
  <c r="C788" i="11"/>
  <c r="I787" i="11"/>
  <c r="F787" i="11"/>
  <c r="E787" i="11"/>
  <c r="D787" i="11"/>
  <c r="C787" i="11"/>
  <c r="I786" i="11"/>
  <c r="F786" i="11"/>
  <c r="E786" i="11"/>
  <c r="D786" i="11"/>
  <c r="C786" i="11"/>
  <c r="I785" i="11"/>
  <c r="F785" i="11"/>
  <c r="E785" i="11"/>
  <c r="D785" i="11"/>
  <c r="C785" i="11"/>
  <c r="I784" i="11"/>
  <c r="F784" i="11"/>
  <c r="E784" i="11"/>
  <c r="D784" i="11"/>
  <c r="C784" i="11"/>
  <c r="I783" i="11"/>
  <c r="F783" i="11"/>
  <c r="E783" i="11"/>
  <c r="D783" i="11"/>
  <c r="C783" i="11"/>
  <c r="I782" i="11"/>
  <c r="F782" i="11"/>
  <c r="E782" i="11"/>
  <c r="D782" i="11"/>
  <c r="C782" i="11"/>
  <c r="I781" i="11"/>
  <c r="F781" i="11"/>
  <c r="E781" i="11"/>
  <c r="D781" i="11"/>
  <c r="C781" i="11"/>
  <c r="I780" i="11"/>
  <c r="F780" i="11"/>
  <c r="E780" i="11"/>
  <c r="D780" i="11"/>
  <c r="C780" i="11"/>
  <c r="I779" i="11"/>
  <c r="F779" i="11"/>
  <c r="E779" i="11"/>
  <c r="D779" i="11"/>
  <c r="C779" i="11"/>
  <c r="I778" i="11"/>
  <c r="F778" i="11"/>
  <c r="E778" i="11"/>
  <c r="D778" i="11"/>
  <c r="C778" i="11"/>
  <c r="I777" i="11"/>
  <c r="F777" i="11"/>
  <c r="E777" i="11"/>
  <c r="D777" i="11"/>
  <c r="C777" i="11"/>
  <c r="I776" i="11"/>
  <c r="F776" i="11"/>
  <c r="E776" i="11"/>
  <c r="D776" i="11"/>
  <c r="C776" i="11"/>
  <c r="I775" i="11"/>
  <c r="F775" i="11"/>
  <c r="E775" i="11"/>
  <c r="D775" i="11"/>
  <c r="C775" i="11"/>
  <c r="I774" i="11"/>
  <c r="F774" i="11"/>
  <c r="E774" i="11"/>
  <c r="D774" i="11"/>
  <c r="C774" i="11"/>
  <c r="I773" i="11"/>
  <c r="F773" i="11"/>
  <c r="E773" i="11"/>
  <c r="D773" i="11"/>
  <c r="C773" i="11"/>
  <c r="I772" i="11"/>
  <c r="F772" i="11"/>
  <c r="E772" i="11"/>
  <c r="D772" i="11"/>
  <c r="C772" i="11"/>
  <c r="I771" i="11"/>
  <c r="F771" i="11"/>
  <c r="E771" i="11"/>
  <c r="D771" i="11"/>
  <c r="C771" i="11"/>
  <c r="I770" i="11"/>
  <c r="F770" i="11"/>
  <c r="E770" i="11"/>
  <c r="D770" i="11"/>
  <c r="C770" i="11"/>
  <c r="I769" i="11"/>
  <c r="F769" i="11"/>
  <c r="E769" i="11"/>
  <c r="D769" i="11"/>
  <c r="C769" i="11"/>
  <c r="I768" i="11"/>
  <c r="F768" i="11"/>
  <c r="E768" i="11"/>
  <c r="D768" i="11"/>
  <c r="C768" i="11"/>
  <c r="I767" i="11"/>
  <c r="F767" i="11"/>
  <c r="E767" i="11"/>
  <c r="D767" i="11"/>
  <c r="C767" i="11"/>
  <c r="I766" i="11"/>
  <c r="F766" i="11"/>
  <c r="E766" i="11"/>
  <c r="D766" i="11"/>
  <c r="C766" i="11"/>
  <c r="I765" i="11"/>
  <c r="F765" i="11"/>
  <c r="E765" i="11"/>
  <c r="D765" i="11"/>
  <c r="C765" i="11"/>
  <c r="I764" i="11"/>
  <c r="F764" i="11"/>
  <c r="E764" i="11"/>
  <c r="D764" i="11"/>
  <c r="C764" i="11"/>
  <c r="I763" i="11"/>
  <c r="F763" i="11"/>
  <c r="E763" i="11"/>
  <c r="D763" i="11"/>
  <c r="C763" i="11"/>
  <c r="I762" i="11"/>
  <c r="F762" i="11"/>
  <c r="E762" i="11"/>
  <c r="D762" i="11"/>
  <c r="C762" i="11"/>
  <c r="I761" i="11"/>
  <c r="F761" i="11"/>
  <c r="E761" i="11"/>
  <c r="D761" i="11"/>
  <c r="C761" i="11"/>
  <c r="I760" i="11"/>
  <c r="F760" i="11"/>
  <c r="E760" i="11"/>
  <c r="D760" i="11"/>
  <c r="C760" i="11"/>
  <c r="I759" i="11"/>
  <c r="F759" i="11"/>
  <c r="E759" i="11"/>
  <c r="D759" i="11"/>
  <c r="C759" i="11"/>
  <c r="I758" i="11"/>
  <c r="F758" i="11"/>
  <c r="E758" i="11"/>
  <c r="D758" i="11"/>
  <c r="C758" i="11"/>
  <c r="I757" i="11"/>
  <c r="F757" i="11"/>
  <c r="E757" i="11"/>
  <c r="D757" i="11"/>
  <c r="C757" i="11"/>
  <c r="I756" i="11"/>
  <c r="F756" i="11"/>
  <c r="E756" i="11"/>
  <c r="D756" i="11"/>
  <c r="C756" i="11"/>
  <c r="I755" i="11"/>
  <c r="F755" i="11"/>
  <c r="E755" i="11"/>
  <c r="D755" i="11"/>
  <c r="C755" i="11"/>
  <c r="I754" i="11"/>
  <c r="F754" i="11"/>
  <c r="E754" i="11"/>
  <c r="D754" i="11"/>
  <c r="C754" i="11"/>
  <c r="I753" i="11"/>
  <c r="F753" i="11"/>
  <c r="E753" i="11"/>
  <c r="D753" i="11"/>
  <c r="C753" i="11"/>
  <c r="I752" i="11"/>
  <c r="F752" i="11"/>
  <c r="E752" i="11"/>
  <c r="D752" i="11"/>
  <c r="C752" i="11"/>
  <c r="I751" i="11"/>
  <c r="F751" i="11"/>
  <c r="E751" i="11"/>
  <c r="D751" i="11"/>
  <c r="C751" i="11"/>
  <c r="I750" i="11"/>
  <c r="F750" i="11"/>
  <c r="E750" i="11"/>
  <c r="D750" i="11"/>
  <c r="C750" i="11"/>
  <c r="I749" i="11"/>
  <c r="F749" i="11"/>
  <c r="E749" i="11"/>
  <c r="D749" i="11"/>
  <c r="C749" i="11"/>
  <c r="I748" i="11"/>
  <c r="F748" i="11"/>
  <c r="E748" i="11"/>
  <c r="D748" i="11"/>
  <c r="C748" i="11"/>
  <c r="I747" i="11"/>
  <c r="F747" i="11"/>
  <c r="E747" i="11"/>
  <c r="D747" i="11"/>
  <c r="C747" i="11"/>
  <c r="I746" i="11"/>
  <c r="F746" i="11"/>
  <c r="E746" i="11"/>
  <c r="D746" i="11"/>
  <c r="C746" i="11"/>
  <c r="I745" i="11"/>
  <c r="F745" i="11"/>
  <c r="E745" i="11"/>
  <c r="D745" i="11"/>
  <c r="C745" i="11"/>
  <c r="I744" i="11"/>
  <c r="F744" i="11"/>
  <c r="E744" i="11"/>
  <c r="D744" i="11"/>
  <c r="C744" i="11"/>
  <c r="I743" i="11"/>
  <c r="F743" i="11"/>
  <c r="E743" i="11"/>
  <c r="D743" i="11"/>
  <c r="C743" i="11"/>
  <c r="I742" i="11"/>
  <c r="F742" i="11"/>
  <c r="E742" i="11"/>
  <c r="D742" i="11"/>
  <c r="C742" i="11"/>
  <c r="I741" i="11"/>
  <c r="F741" i="11"/>
  <c r="E741" i="11"/>
  <c r="D741" i="11"/>
  <c r="C741" i="11"/>
  <c r="I740" i="11"/>
  <c r="F740" i="11"/>
  <c r="E740" i="11"/>
  <c r="D740" i="11"/>
  <c r="C740" i="11"/>
  <c r="I739" i="11"/>
  <c r="F739" i="11"/>
  <c r="E739" i="11"/>
  <c r="D739" i="11"/>
  <c r="C739" i="11"/>
  <c r="I738" i="11"/>
  <c r="F738" i="11"/>
  <c r="E738" i="11"/>
  <c r="D738" i="11"/>
  <c r="C738" i="11"/>
  <c r="I737" i="11"/>
  <c r="F737" i="11"/>
  <c r="E737" i="11"/>
  <c r="D737" i="11"/>
  <c r="C737" i="11"/>
  <c r="I736" i="11"/>
  <c r="F736" i="11"/>
  <c r="E736" i="11"/>
  <c r="D736" i="11"/>
  <c r="C736" i="11"/>
  <c r="I735" i="11"/>
  <c r="F735" i="11"/>
  <c r="E735" i="11"/>
  <c r="D735" i="11"/>
  <c r="C735" i="11"/>
  <c r="I734" i="11"/>
  <c r="F734" i="11"/>
  <c r="E734" i="11"/>
  <c r="D734" i="11"/>
  <c r="C734" i="11"/>
  <c r="I733" i="11"/>
  <c r="F733" i="11"/>
  <c r="E733" i="11"/>
  <c r="D733" i="11"/>
  <c r="C733" i="11"/>
  <c r="I732" i="11"/>
  <c r="F732" i="11"/>
  <c r="E732" i="11"/>
  <c r="D732" i="11"/>
  <c r="C732" i="11"/>
  <c r="I731" i="11"/>
  <c r="F731" i="11"/>
  <c r="E731" i="11"/>
  <c r="D731" i="11"/>
  <c r="C731" i="11"/>
  <c r="I730" i="11"/>
  <c r="F730" i="11"/>
  <c r="E730" i="11"/>
  <c r="D730" i="11"/>
  <c r="C730" i="11"/>
  <c r="I729" i="11"/>
  <c r="F729" i="11"/>
  <c r="E729" i="11"/>
  <c r="D729" i="11"/>
  <c r="C729" i="11"/>
  <c r="I728" i="11"/>
  <c r="F728" i="11"/>
  <c r="E728" i="11"/>
  <c r="D728" i="11"/>
  <c r="C728" i="11"/>
  <c r="I727" i="11"/>
  <c r="F727" i="11"/>
  <c r="E727" i="11"/>
  <c r="D727" i="11"/>
  <c r="C727" i="11"/>
  <c r="I726" i="11"/>
  <c r="F726" i="11"/>
  <c r="E726" i="11"/>
  <c r="D726" i="11"/>
  <c r="C726" i="11"/>
  <c r="I725" i="11"/>
  <c r="F725" i="11"/>
  <c r="E725" i="11"/>
  <c r="D725" i="11"/>
  <c r="C725" i="11"/>
  <c r="I724" i="11"/>
  <c r="F724" i="11"/>
  <c r="E724" i="11"/>
  <c r="D724" i="11"/>
  <c r="C724" i="11"/>
  <c r="I723" i="11"/>
  <c r="F723" i="11"/>
  <c r="E723" i="11"/>
  <c r="D723" i="11"/>
  <c r="C723" i="11"/>
  <c r="I722" i="11"/>
  <c r="F722" i="11"/>
  <c r="E722" i="11"/>
  <c r="D722" i="11"/>
  <c r="C722" i="11"/>
  <c r="I721" i="11"/>
  <c r="F721" i="11"/>
  <c r="E721" i="11"/>
  <c r="D721" i="11"/>
  <c r="C721" i="11"/>
  <c r="I720" i="11"/>
  <c r="F720" i="11"/>
  <c r="E720" i="11"/>
  <c r="D720" i="11"/>
  <c r="C720" i="11"/>
  <c r="I719" i="11"/>
  <c r="F719" i="11"/>
  <c r="E719" i="11"/>
  <c r="D719" i="11"/>
  <c r="C719" i="11"/>
  <c r="I718" i="11"/>
  <c r="F718" i="11"/>
  <c r="E718" i="11"/>
  <c r="D718" i="11"/>
  <c r="C718" i="11"/>
  <c r="I717" i="11"/>
  <c r="F717" i="11"/>
  <c r="E717" i="11"/>
  <c r="D717" i="11"/>
  <c r="C717" i="11"/>
  <c r="I716" i="11"/>
  <c r="F716" i="11"/>
  <c r="E716" i="11"/>
  <c r="D716" i="11"/>
  <c r="C716" i="11"/>
  <c r="I715" i="11"/>
  <c r="F715" i="11"/>
  <c r="E715" i="11"/>
  <c r="D715" i="11"/>
  <c r="C715" i="11"/>
  <c r="I714" i="11"/>
  <c r="F714" i="11"/>
  <c r="E714" i="11"/>
  <c r="D714" i="11"/>
  <c r="C714" i="11"/>
  <c r="I713" i="11"/>
  <c r="F713" i="11"/>
  <c r="E713" i="11"/>
  <c r="D713" i="11"/>
  <c r="C713" i="11"/>
  <c r="I712" i="11"/>
  <c r="F712" i="11"/>
  <c r="E712" i="11"/>
  <c r="D712" i="11"/>
  <c r="C712" i="11"/>
  <c r="I711" i="11"/>
  <c r="F711" i="11"/>
  <c r="E711" i="11"/>
  <c r="D711" i="11"/>
  <c r="C711" i="11"/>
  <c r="I710" i="11"/>
  <c r="F710" i="11"/>
  <c r="E710" i="11"/>
  <c r="D710" i="11"/>
  <c r="C710" i="11"/>
  <c r="I709" i="11"/>
  <c r="F709" i="11"/>
  <c r="E709" i="11"/>
  <c r="D709" i="11"/>
  <c r="C709" i="11"/>
  <c r="I708" i="11"/>
  <c r="F708" i="11"/>
  <c r="E708" i="11"/>
  <c r="D708" i="11"/>
  <c r="C708" i="11"/>
  <c r="I707" i="11"/>
  <c r="F707" i="11"/>
  <c r="E707" i="11"/>
  <c r="D707" i="11"/>
  <c r="C707" i="11"/>
  <c r="I706" i="11"/>
  <c r="F706" i="11"/>
  <c r="E706" i="11"/>
  <c r="D706" i="11"/>
  <c r="C706" i="11"/>
  <c r="I705" i="11"/>
  <c r="F705" i="11"/>
  <c r="E705" i="11"/>
  <c r="D705" i="11"/>
  <c r="C705" i="11"/>
  <c r="I704" i="11"/>
  <c r="F704" i="11"/>
  <c r="E704" i="11"/>
  <c r="D704" i="11"/>
  <c r="C704" i="11"/>
  <c r="I703" i="11"/>
  <c r="F703" i="11"/>
  <c r="E703" i="11"/>
  <c r="D703" i="11"/>
  <c r="C703" i="11"/>
  <c r="I702" i="11"/>
  <c r="F702" i="11"/>
  <c r="E702" i="11"/>
  <c r="D702" i="11"/>
  <c r="C702" i="11"/>
  <c r="I701" i="11"/>
  <c r="F701" i="11"/>
  <c r="E701" i="11"/>
  <c r="D701" i="11"/>
  <c r="C701" i="11"/>
  <c r="I700" i="11"/>
  <c r="F700" i="11"/>
  <c r="E700" i="11"/>
  <c r="D700" i="11"/>
  <c r="C700" i="11"/>
  <c r="I699" i="11"/>
  <c r="F699" i="11"/>
  <c r="E699" i="11"/>
  <c r="D699" i="11"/>
  <c r="C699" i="11"/>
  <c r="I698" i="11"/>
  <c r="F698" i="11"/>
  <c r="E698" i="11"/>
  <c r="D698" i="11"/>
  <c r="C698" i="11"/>
  <c r="I697" i="11"/>
  <c r="F697" i="11"/>
  <c r="E697" i="11"/>
  <c r="D697" i="11"/>
  <c r="C697" i="11"/>
  <c r="I696" i="11"/>
  <c r="F696" i="11"/>
  <c r="E696" i="11"/>
  <c r="D696" i="11"/>
  <c r="C696" i="11"/>
  <c r="I695" i="11"/>
  <c r="F695" i="11"/>
  <c r="E695" i="11"/>
  <c r="D695" i="11"/>
  <c r="C695" i="11"/>
  <c r="I694" i="11"/>
  <c r="F694" i="11"/>
  <c r="E694" i="11"/>
  <c r="D694" i="11"/>
  <c r="C694" i="11"/>
  <c r="I693" i="11"/>
  <c r="F693" i="11"/>
  <c r="E693" i="11"/>
  <c r="D693" i="11"/>
  <c r="C693" i="11"/>
  <c r="I692" i="11"/>
  <c r="F692" i="11"/>
  <c r="E692" i="11"/>
  <c r="D692" i="11"/>
  <c r="C692" i="11"/>
  <c r="I691" i="11"/>
  <c r="F691" i="11"/>
  <c r="E691" i="11"/>
  <c r="D691" i="11"/>
  <c r="C691" i="11"/>
  <c r="I690" i="11"/>
  <c r="F690" i="11"/>
  <c r="E690" i="11"/>
  <c r="D690" i="11"/>
  <c r="C690" i="11"/>
  <c r="I689" i="11"/>
  <c r="F689" i="11"/>
  <c r="E689" i="11"/>
  <c r="D689" i="11"/>
  <c r="C689" i="11"/>
  <c r="I688" i="11"/>
  <c r="F688" i="11"/>
  <c r="E688" i="11"/>
  <c r="D688" i="11"/>
  <c r="C688" i="11"/>
  <c r="I687" i="11"/>
  <c r="F687" i="11"/>
  <c r="E687" i="11"/>
  <c r="D687" i="11"/>
  <c r="C687" i="11"/>
  <c r="I686" i="11"/>
  <c r="F686" i="11"/>
  <c r="E686" i="11"/>
  <c r="D686" i="11"/>
  <c r="C686" i="11"/>
  <c r="I685" i="11"/>
  <c r="F685" i="11"/>
  <c r="E685" i="11"/>
  <c r="D685" i="11"/>
  <c r="C685" i="11"/>
  <c r="I684" i="11"/>
  <c r="F684" i="11"/>
  <c r="E684" i="11"/>
  <c r="D684" i="11"/>
  <c r="C684" i="11"/>
  <c r="I683" i="11"/>
  <c r="F683" i="11"/>
  <c r="E683" i="11"/>
  <c r="D683" i="11"/>
  <c r="C683" i="11"/>
  <c r="I682" i="11"/>
  <c r="F682" i="11"/>
  <c r="E682" i="11"/>
  <c r="D682" i="11"/>
  <c r="C682" i="11"/>
  <c r="I681" i="11"/>
  <c r="F681" i="11"/>
  <c r="E681" i="11"/>
  <c r="D681" i="11"/>
  <c r="C681" i="11"/>
  <c r="I680" i="11"/>
  <c r="F680" i="11"/>
  <c r="E680" i="11"/>
  <c r="D680" i="11"/>
  <c r="C680" i="11"/>
  <c r="I679" i="11"/>
  <c r="F679" i="11"/>
  <c r="E679" i="11"/>
  <c r="D679" i="11"/>
  <c r="C679" i="11"/>
  <c r="I678" i="11"/>
  <c r="F678" i="11"/>
  <c r="E678" i="11"/>
  <c r="D678" i="11"/>
  <c r="C678" i="11"/>
  <c r="I677" i="11"/>
  <c r="F677" i="11"/>
  <c r="E677" i="11"/>
  <c r="D677" i="11"/>
  <c r="C677" i="11"/>
  <c r="I676" i="11"/>
  <c r="F676" i="11"/>
  <c r="E676" i="11"/>
  <c r="D676" i="11"/>
  <c r="C676" i="11"/>
  <c r="I675" i="11"/>
  <c r="F675" i="11"/>
  <c r="E675" i="11"/>
  <c r="D675" i="11"/>
  <c r="C675" i="11"/>
  <c r="I674" i="11"/>
  <c r="F674" i="11"/>
  <c r="E674" i="11"/>
  <c r="D674" i="11"/>
  <c r="C674" i="11"/>
  <c r="I673" i="11"/>
  <c r="F673" i="11"/>
  <c r="E673" i="11"/>
  <c r="D673" i="11"/>
  <c r="C673" i="11"/>
  <c r="I672" i="11"/>
  <c r="F672" i="11"/>
  <c r="E672" i="11"/>
  <c r="D672" i="11"/>
  <c r="C672" i="11"/>
  <c r="I671" i="11"/>
  <c r="F671" i="11"/>
  <c r="E671" i="11"/>
  <c r="D671" i="11"/>
  <c r="C671" i="11"/>
  <c r="I670" i="11"/>
  <c r="F670" i="11"/>
  <c r="E670" i="11"/>
  <c r="D670" i="11"/>
  <c r="C670" i="11"/>
  <c r="I669" i="11"/>
  <c r="F669" i="11"/>
  <c r="E669" i="11"/>
  <c r="D669" i="11"/>
  <c r="C669" i="11"/>
  <c r="I668" i="11"/>
  <c r="F668" i="11"/>
  <c r="E668" i="11"/>
  <c r="D668" i="11"/>
  <c r="C668" i="11"/>
  <c r="I667" i="11"/>
  <c r="F667" i="11"/>
  <c r="E667" i="11"/>
  <c r="D667" i="11"/>
  <c r="C667" i="11"/>
  <c r="I666" i="11"/>
  <c r="F666" i="11"/>
  <c r="E666" i="11"/>
  <c r="D666" i="11"/>
  <c r="C666" i="11"/>
  <c r="I665" i="11"/>
  <c r="F665" i="11"/>
  <c r="E665" i="11"/>
  <c r="D665" i="11"/>
  <c r="C665" i="11"/>
  <c r="I664" i="11"/>
  <c r="F664" i="11"/>
  <c r="E664" i="11"/>
  <c r="D664" i="11"/>
  <c r="C664" i="11"/>
  <c r="I663" i="11"/>
  <c r="F663" i="11"/>
  <c r="E663" i="11"/>
  <c r="D663" i="11"/>
  <c r="C663" i="11"/>
  <c r="I662" i="11"/>
  <c r="F662" i="11"/>
  <c r="E662" i="11"/>
  <c r="D662" i="11"/>
  <c r="C662" i="11"/>
  <c r="I661" i="11"/>
  <c r="F661" i="11"/>
  <c r="E661" i="11"/>
  <c r="D661" i="11"/>
  <c r="C661" i="11"/>
  <c r="I660" i="11"/>
  <c r="F660" i="11"/>
  <c r="E660" i="11"/>
  <c r="D660" i="11"/>
  <c r="C660" i="11"/>
  <c r="I659" i="11"/>
  <c r="F659" i="11"/>
  <c r="E659" i="11"/>
  <c r="D659" i="11"/>
  <c r="C659" i="11"/>
  <c r="I658" i="11"/>
  <c r="F658" i="11"/>
  <c r="E658" i="11"/>
  <c r="D658" i="11"/>
  <c r="C658" i="11"/>
  <c r="I657" i="11"/>
  <c r="F657" i="11"/>
  <c r="E657" i="11"/>
  <c r="D657" i="11"/>
  <c r="C657" i="11"/>
  <c r="I656" i="11"/>
  <c r="F656" i="11"/>
  <c r="E656" i="11"/>
  <c r="D656" i="11"/>
  <c r="C656" i="11"/>
  <c r="I655" i="11"/>
  <c r="F655" i="11"/>
  <c r="E655" i="11"/>
  <c r="D655" i="11"/>
  <c r="C655" i="11"/>
  <c r="I654" i="11"/>
  <c r="F654" i="11"/>
  <c r="E654" i="11"/>
  <c r="D654" i="11"/>
  <c r="C654" i="11"/>
  <c r="I653" i="11"/>
  <c r="F653" i="11"/>
  <c r="E653" i="11"/>
  <c r="D653" i="11"/>
  <c r="C653" i="11"/>
  <c r="I652" i="11"/>
  <c r="F652" i="11"/>
  <c r="E652" i="11"/>
  <c r="D652" i="11"/>
  <c r="C652" i="11"/>
  <c r="I651" i="11"/>
  <c r="F651" i="11"/>
  <c r="E651" i="11"/>
  <c r="D651" i="11"/>
  <c r="C651" i="11"/>
  <c r="I650" i="11"/>
  <c r="F650" i="11"/>
  <c r="E650" i="11"/>
  <c r="D650" i="11"/>
  <c r="C650" i="11"/>
  <c r="I649" i="11"/>
  <c r="F649" i="11"/>
  <c r="E649" i="11"/>
  <c r="D649" i="11"/>
  <c r="C649" i="11"/>
  <c r="I648" i="11"/>
  <c r="F648" i="11"/>
  <c r="E648" i="11"/>
  <c r="D648" i="11"/>
  <c r="C648" i="11"/>
  <c r="I647" i="11"/>
  <c r="F647" i="11"/>
  <c r="E647" i="11"/>
  <c r="D647" i="11"/>
  <c r="C647" i="11"/>
  <c r="I646" i="11"/>
  <c r="F646" i="11"/>
  <c r="E646" i="11"/>
  <c r="D646" i="11"/>
  <c r="C646" i="11"/>
  <c r="I645" i="11"/>
  <c r="F645" i="11"/>
  <c r="E645" i="11"/>
  <c r="D645" i="11"/>
  <c r="C645" i="11"/>
  <c r="I644" i="11"/>
  <c r="F644" i="11"/>
  <c r="E644" i="11"/>
  <c r="D644" i="11"/>
  <c r="C644" i="11"/>
  <c r="I643" i="11"/>
  <c r="F643" i="11"/>
  <c r="E643" i="11"/>
  <c r="D643" i="11"/>
  <c r="C643" i="11"/>
  <c r="I642" i="11"/>
  <c r="F642" i="11"/>
  <c r="E642" i="11"/>
  <c r="D642" i="11"/>
  <c r="C642" i="11"/>
  <c r="I641" i="11"/>
  <c r="F641" i="11"/>
  <c r="E641" i="11"/>
  <c r="D641" i="11"/>
  <c r="C641" i="11"/>
  <c r="I640" i="11"/>
  <c r="F640" i="11"/>
  <c r="E640" i="11"/>
  <c r="D640" i="11"/>
  <c r="C640" i="11"/>
  <c r="I639" i="11"/>
  <c r="F639" i="11"/>
  <c r="E639" i="11"/>
  <c r="D639" i="11"/>
  <c r="C639" i="11"/>
  <c r="I638" i="11"/>
  <c r="F638" i="11"/>
  <c r="E638" i="11"/>
  <c r="D638" i="11"/>
  <c r="C638" i="11"/>
  <c r="I637" i="11"/>
  <c r="F637" i="11"/>
  <c r="E637" i="11"/>
  <c r="D637" i="11"/>
  <c r="C637" i="11"/>
  <c r="I636" i="11"/>
  <c r="F636" i="11"/>
  <c r="E636" i="11"/>
  <c r="D636" i="11"/>
  <c r="C636" i="11"/>
  <c r="I635" i="11"/>
  <c r="F635" i="11"/>
  <c r="E635" i="11"/>
  <c r="D635" i="11"/>
  <c r="C635" i="11"/>
  <c r="I634" i="11"/>
  <c r="F634" i="11"/>
  <c r="E634" i="11"/>
  <c r="D634" i="11"/>
  <c r="C634" i="11"/>
  <c r="I633" i="11"/>
  <c r="F633" i="11"/>
  <c r="E633" i="11"/>
  <c r="D633" i="11"/>
  <c r="C633" i="11"/>
  <c r="I632" i="11"/>
  <c r="F632" i="11"/>
  <c r="E632" i="11"/>
  <c r="D632" i="11"/>
  <c r="C632" i="11"/>
  <c r="I631" i="11"/>
  <c r="F631" i="11"/>
  <c r="E631" i="11"/>
  <c r="D631" i="11"/>
  <c r="C631" i="11"/>
  <c r="I630" i="11"/>
  <c r="F630" i="11"/>
  <c r="E630" i="11"/>
  <c r="D630" i="11"/>
  <c r="C630" i="11"/>
  <c r="I629" i="11"/>
  <c r="F629" i="11"/>
  <c r="E629" i="11"/>
  <c r="D629" i="11"/>
  <c r="C629" i="11"/>
  <c r="I628" i="11"/>
  <c r="F628" i="11"/>
  <c r="E628" i="11"/>
  <c r="D628" i="11"/>
  <c r="C628" i="11"/>
  <c r="I627" i="11"/>
  <c r="F627" i="11"/>
  <c r="E627" i="11"/>
  <c r="D627" i="11"/>
  <c r="C627" i="11"/>
  <c r="I626" i="11"/>
  <c r="F626" i="11"/>
  <c r="E626" i="11"/>
  <c r="D626" i="11"/>
  <c r="C626" i="11"/>
  <c r="I625" i="11"/>
  <c r="F625" i="11"/>
  <c r="E625" i="11"/>
  <c r="D625" i="11"/>
  <c r="C625" i="11"/>
  <c r="I624" i="11"/>
  <c r="F624" i="11"/>
  <c r="E624" i="11"/>
  <c r="D624" i="11"/>
  <c r="C624" i="11"/>
  <c r="I623" i="11"/>
  <c r="F623" i="11"/>
  <c r="E623" i="11"/>
  <c r="D623" i="11"/>
  <c r="C623" i="11"/>
  <c r="I622" i="11"/>
  <c r="F622" i="11"/>
  <c r="E622" i="11"/>
  <c r="D622" i="11"/>
  <c r="C622" i="11"/>
  <c r="I621" i="11"/>
  <c r="F621" i="11"/>
  <c r="E621" i="11"/>
  <c r="D621" i="11"/>
  <c r="C621" i="11"/>
  <c r="I620" i="11"/>
  <c r="F620" i="11"/>
  <c r="E620" i="11"/>
  <c r="D620" i="11"/>
  <c r="C620" i="11"/>
  <c r="I619" i="11"/>
  <c r="F619" i="11"/>
  <c r="E619" i="11"/>
  <c r="D619" i="11"/>
  <c r="C619" i="11"/>
  <c r="I618" i="11"/>
  <c r="F618" i="11"/>
  <c r="E618" i="11"/>
  <c r="D618" i="11"/>
  <c r="C618" i="11"/>
  <c r="I617" i="11"/>
  <c r="F617" i="11"/>
  <c r="E617" i="11"/>
  <c r="D617" i="11"/>
  <c r="C617" i="11"/>
  <c r="I616" i="11"/>
  <c r="F616" i="11"/>
  <c r="E616" i="11"/>
  <c r="D616" i="11"/>
  <c r="C616" i="11"/>
  <c r="I615" i="11"/>
  <c r="F615" i="11"/>
  <c r="E615" i="11"/>
  <c r="D615" i="11"/>
  <c r="C615" i="11"/>
  <c r="I614" i="11"/>
  <c r="F614" i="11"/>
  <c r="E614" i="11"/>
  <c r="D614" i="11"/>
  <c r="C614" i="11"/>
  <c r="I613" i="11"/>
  <c r="F613" i="11"/>
  <c r="E613" i="11"/>
  <c r="D613" i="11"/>
  <c r="C613" i="11"/>
  <c r="I612" i="11"/>
  <c r="F612" i="11"/>
  <c r="E612" i="11"/>
  <c r="D612" i="11"/>
  <c r="C612" i="11"/>
  <c r="I611" i="11"/>
  <c r="F611" i="11"/>
  <c r="E611" i="11"/>
  <c r="D611" i="11"/>
  <c r="C611" i="11"/>
  <c r="I610" i="11"/>
  <c r="F610" i="11"/>
  <c r="E610" i="11"/>
  <c r="D610" i="11"/>
  <c r="C610" i="11"/>
  <c r="I609" i="11"/>
  <c r="F609" i="11"/>
  <c r="E609" i="11"/>
  <c r="D609" i="11"/>
  <c r="C609" i="11"/>
  <c r="I608" i="11"/>
  <c r="F608" i="11"/>
  <c r="E608" i="11"/>
  <c r="D608" i="11"/>
  <c r="C608" i="11"/>
  <c r="I607" i="11"/>
  <c r="F607" i="11"/>
  <c r="E607" i="11"/>
  <c r="D607" i="11"/>
  <c r="C607" i="11"/>
  <c r="I606" i="11"/>
  <c r="F606" i="11"/>
  <c r="E606" i="11"/>
  <c r="D606" i="11"/>
  <c r="C606" i="11"/>
  <c r="I605" i="11"/>
  <c r="F605" i="11"/>
  <c r="E605" i="11"/>
  <c r="D605" i="11"/>
  <c r="C605" i="11"/>
  <c r="I604" i="11"/>
  <c r="F604" i="11"/>
  <c r="E604" i="11"/>
  <c r="D604" i="11"/>
  <c r="C604" i="11"/>
  <c r="I603" i="11"/>
  <c r="F603" i="11"/>
  <c r="E603" i="11"/>
  <c r="D603" i="11"/>
  <c r="C603" i="11"/>
  <c r="I602" i="11"/>
  <c r="F602" i="11"/>
  <c r="E602" i="11"/>
  <c r="D602" i="11"/>
  <c r="C602" i="11"/>
  <c r="I601" i="11"/>
  <c r="F601" i="11"/>
  <c r="E601" i="11"/>
  <c r="D601" i="11"/>
  <c r="C601" i="11"/>
  <c r="I600" i="11"/>
  <c r="F600" i="11"/>
  <c r="E600" i="11"/>
  <c r="D600" i="11"/>
  <c r="C600" i="11"/>
  <c r="I599" i="11"/>
  <c r="F599" i="11"/>
  <c r="E599" i="11"/>
  <c r="D599" i="11"/>
  <c r="C599" i="11"/>
  <c r="I598" i="11"/>
  <c r="F598" i="11"/>
  <c r="E598" i="11"/>
  <c r="D598" i="11"/>
  <c r="C598" i="11"/>
  <c r="I597" i="11"/>
  <c r="F597" i="11"/>
  <c r="E597" i="11"/>
  <c r="D597" i="11"/>
  <c r="C597" i="11"/>
  <c r="I596" i="11"/>
  <c r="F596" i="11"/>
  <c r="E596" i="11"/>
  <c r="D596" i="11"/>
  <c r="C596" i="11"/>
  <c r="I595" i="11"/>
  <c r="F595" i="11"/>
  <c r="E595" i="11"/>
  <c r="D595" i="11"/>
  <c r="C595" i="11"/>
  <c r="I594" i="11"/>
  <c r="F594" i="11"/>
  <c r="E594" i="11"/>
  <c r="D594" i="11"/>
  <c r="C594" i="11"/>
  <c r="I593" i="11"/>
  <c r="F593" i="11"/>
  <c r="E593" i="11"/>
  <c r="D593" i="11"/>
  <c r="C593" i="11"/>
  <c r="I592" i="11"/>
  <c r="F592" i="11"/>
  <c r="E592" i="11"/>
  <c r="D592" i="11"/>
  <c r="C592" i="11"/>
  <c r="I591" i="11"/>
  <c r="F591" i="11"/>
  <c r="E591" i="11"/>
  <c r="D591" i="11"/>
  <c r="C591" i="11"/>
  <c r="I590" i="11"/>
  <c r="F590" i="11"/>
  <c r="E590" i="11"/>
  <c r="D590" i="11"/>
  <c r="C590" i="11"/>
  <c r="I589" i="11"/>
  <c r="F589" i="11"/>
  <c r="E589" i="11"/>
  <c r="D589" i="11"/>
  <c r="C589" i="11"/>
  <c r="I588" i="11"/>
  <c r="F588" i="11"/>
  <c r="E588" i="11"/>
  <c r="D588" i="11"/>
  <c r="C588" i="11"/>
  <c r="I587" i="11"/>
  <c r="F587" i="11"/>
  <c r="E587" i="11"/>
  <c r="D587" i="11"/>
  <c r="C587" i="11"/>
  <c r="I586" i="11"/>
  <c r="F586" i="11"/>
  <c r="E586" i="11"/>
  <c r="D586" i="11"/>
  <c r="C586" i="11"/>
  <c r="I585" i="11"/>
  <c r="F585" i="11"/>
  <c r="E585" i="11"/>
  <c r="D585" i="11"/>
  <c r="C585" i="11"/>
  <c r="I584" i="11"/>
  <c r="F584" i="11"/>
  <c r="E584" i="11"/>
  <c r="D584" i="11"/>
  <c r="C584" i="11"/>
  <c r="I583" i="11"/>
  <c r="F583" i="11"/>
  <c r="E583" i="11"/>
  <c r="D583" i="11"/>
  <c r="C583" i="11"/>
  <c r="I582" i="11"/>
  <c r="F582" i="11"/>
  <c r="E582" i="11"/>
  <c r="D582" i="11"/>
  <c r="C582" i="11"/>
  <c r="I581" i="11"/>
  <c r="F581" i="11"/>
  <c r="E581" i="11"/>
  <c r="D581" i="11"/>
  <c r="C581" i="11"/>
  <c r="I580" i="11"/>
  <c r="F580" i="11"/>
  <c r="E580" i="11"/>
  <c r="D580" i="11"/>
  <c r="C580" i="11"/>
  <c r="I579" i="11"/>
  <c r="F579" i="11"/>
  <c r="E579" i="11"/>
  <c r="D579" i="11"/>
  <c r="C579" i="11"/>
  <c r="I578" i="11"/>
  <c r="F578" i="11"/>
  <c r="E578" i="11"/>
  <c r="D578" i="11"/>
  <c r="C578" i="11"/>
  <c r="I577" i="11"/>
  <c r="F577" i="11"/>
  <c r="E577" i="11"/>
  <c r="D577" i="11"/>
  <c r="C577" i="11"/>
  <c r="I576" i="11"/>
  <c r="F576" i="11"/>
  <c r="E576" i="11"/>
  <c r="D576" i="11"/>
  <c r="C576" i="11"/>
  <c r="I575" i="11"/>
  <c r="F575" i="11"/>
  <c r="E575" i="11"/>
  <c r="D575" i="11"/>
  <c r="C575" i="11"/>
  <c r="I574" i="11"/>
  <c r="F574" i="11"/>
  <c r="E574" i="11"/>
  <c r="D574" i="11"/>
  <c r="C574" i="11"/>
  <c r="I573" i="11"/>
  <c r="F573" i="11"/>
  <c r="E573" i="11"/>
  <c r="D573" i="11"/>
  <c r="C573" i="11"/>
  <c r="I572" i="11"/>
  <c r="F572" i="11"/>
  <c r="E572" i="11"/>
  <c r="D572" i="11"/>
  <c r="C572" i="11"/>
  <c r="I571" i="11"/>
  <c r="F571" i="11"/>
  <c r="E571" i="11"/>
  <c r="D571" i="11"/>
  <c r="C571" i="11"/>
  <c r="I570" i="11"/>
  <c r="F570" i="11"/>
  <c r="E570" i="11"/>
  <c r="D570" i="11"/>
  <c r="C570" i="11"/>
  <c r="I569" i="11"/>
  <c r="F569" i="11"/>
  <c r="E569" i="11"/>
  <c r="D569" i="11"/>
  <c r="C569" i="11"/>
  <c r="I568" i="11"/>
  <c r="F568" i="11"/>
  <c r="E568" i="11"/>
  <c r="D568" i="11"/>
  <c r="C568" i="11"/>
  <c r="I567" i="11"/>
  <c r="F567" i="11"/>
  <c r="E567" i="11"/>
  <c r="D567" i="11"/>
  <c r="C567" i="11"/>
  <c r="I566" i="11"/>
  <c r="F566" i="11"/>
  <c r="E566" i="11"/>
  <c r="D566" i="11"/>
  <c r="C566" i="11"/>
  <c r="I565" i="11"/>
  <c r="F565" i="11"/>
  <c r="E565" i="11"/>
  <c r="D565" i="11"/>
  <c r="C565" i="11"/>
  <c r="I564" i="11"/>
  <c r="F564" i="11"/>
  <c r="E564" i="11"/>
  <c r="D564" i="11"/>
  <c r="C564" i="11"/>
  <c r="I563" i="11"/>
  <c r="F563" i="11"/>
  <c r="E563" i="11"/>
  <c r="D563" i="11"/>
  <c r="C563" i="11"/>
  <c r="I562" i="11"/>
  <c r="F562" i="11"/>
  <c r="E562" i="11"/>
  <c r="D562" i="11"/>
  <c r="C562" i="11"/>
  <c r="I561" i="11"/>
  <c r="F561" i="11"/>
  <c r="E561" i="11"/>
  <c r="D561" i="11"/>
  <c r="C561" i="11"/>
  <c r="I560" i="11"/>
  <c r="F560" i="11"/>
  <c r="E560" i="11"/>
  <c r="D560" i="11"/>
  <c r="C560" i="11"/>
  <c r="I559" i="11"/>
  <c r="F559" i="11"/>
  <c r="E559" i="11"/>
  <c r="D559" i="11"/>
  <c r="C559" i="11"/>
  <c r="I558" i="11"/>
  <c r="F558" i="11"/>
  <c r="E558" i="11"/>
  <c r="D558" i="11"/>
  <c r="C558" i="11"/>
  <c r="I557" i="11"/>
  <c r="F557" i="11"/>
  <c r="E557" i="11"/>
  <c r="D557" i="11"/>
  <c r="C557" i="11"/>
  <c r="I556" i="11"/>
  <c r="F556" i="11"/>
  <c r="E556" i="11"/>
  <c r="D556" i="11"/>
  <c r="C556" i="11"/>
  <c r="I555" i="11"/>
  <c r="F555" i="11"/>
  <c r="E555" i="11"/>
  <c r="D555" i="11"/>
  <c r="C555" i="11"/>
  <c r="I554" i="11"/>
  <c r="F554" i="11"/>
  <c r="E554" i="11"/>
  <c r="D554" i="11"/>
  <c r="C554" i="11"/>
  <c r="I553" i="11"/>
  <c r="F553" i="11"/>
  <c r="E553" i="11"/>
  <c r="D553" i="11"/>
  <c r="C553" i="11"/>
  <c r="I552" i="11"/>
  <c r="F552" i="11"/>
  <c r="E552" i="11"/>
  <c r="D552" i="11"/>
  <c r="C552" i="11"/>
  <c r="I551" i="11"/>
  <c r="F551" i="11"/>
  <c r="E551" i="11"/>
  <c r="D551" i="11"/>
  <c r="C551" i="11"/>
  <c r="I550" i="11"/>
  <c r="F550" i="11"/>
  <c r="E550" i="11"/>
  <c r="D550" i="11"/>
  <c r="C550" i="11"/>
  <c r="I549" i="11"/>
  <c r="F549" i="11"/>
  <c r="E549" i="11"/>
  <c r="D549" i="11"/>
  <c r="C549" i="11"/>
  <c r="I548" i="11"/>
  <c r="F548" i="11"/>
  <c r="E548" i="11"/>
  <c r="D548" i="11"/>
  <c r="C548" i="11"/>
  <c r="I547" i="11"/>
  <c r="F547" i="11"/>
  <c r="E547" i="11"/>
  <c r="D547" i="11"/>
  <c r="C547" i="11"/>
  <c r="I546" i="11"/>
  <c r="F546" i="11"/>
  <c r="E546" i="11"/>
  <c r="D546" i="11"/>
  <c r="C546" i="11"/>
  <c r="I545" i="11"/>
  <c r="F545" i="11"/>
  <c r="E545" i="11"/>
  <c r="D545" i="11"/>
  <c r="C545" i="11"/>
  <c r="I544" i="11"/>
  <c r="F544" i="11"/>
  <c r="E544" i="11"/>
  <c r="D544" i="11"/>
  <c r="C544" i="11"/>
  <c r="I543" i="11"/>
  <c r="F543" i="11"/>
  <c r="E543" i="11"/>
  <c r="D543" i="11"/>
  <c r="C543" i="11"/>
  <c r="I542" i="11"/>
  <c r="F542" i="11"/>
  <c r="E542" i="11"/>
  <c r="D542" i="11"/>
  <c r="C542" i="11"/>
  <c r="I541" i="11"/>
  <c r="F541" i="11"/>
  <c r="E541" i="11"/>
  <c r="D541" i="11"/>
  <c r="C541" i="11"/>
  <c r="I540" i="11"/>
  <c r="F540" i="11"/>
  <c r="E540" i="11"/>
  <c r="D540" i="11"/>
  <c r="C540" i="11"/>
  <c r="I539" i="11"/>
  <c r="F539" i="11"/>
  <c r="E539" i="11"/>
  <c r="D539" i="11"/>
  <c r="C539" i="11"/>
  <c r="I538" i="11"/>
  <c r="F538" i="11"/>
  <c r="E538" i="11"/>
  <c r="D538" i="11"/>
  <c r="C538" i="11"/>
  <c r="I537" i="11"/>
  <c r="F537" i="11"/>
  <c r="E537" i="11"/>
  <c r="D537" i="11"/>
  <c r="C537" i="11"/>
  <c r="I536" i="11"/>
  <c r="F536" i="11"/>
  <c r="E536" i="11"/>
  <c r="D536" i="11"/>
  <c r="C536" i="11"/>
  <c r="I535" i="11"/>
  <c r="F535" i="11"/>
  <c r="E535" i="11"/>
  <c r="D535" i="11"/>
  <c r="C535" i="11"/>
  <c r="I534" i="11"/>
  <c r="F534" i="11"/>
  <c r="E534" i="11"/>
  <c r="D534" i="11"/>
  <c r="C534" i="11"/>
  <c r="I533" i="11"/>
  <c r="F533" i="11"/>
  <c r="E533" i="11"/>
  <c r="D533" i="11"/>
  <c r="C533" i="11"/>
  <c r="I532" i="11"/>
  <c r="F532" i="11"/>
  <c r="E532" i="11"/>
  <c r="D532" i="11"/>
  <c r="C532" i="11"/>
  <c r="I531" i="11"/>
  <c r="F531" i="11"/>
  <c r="E531" i="11"/>
  <c r="D531" i="11"/>
  <c r="C531" i="11"/>
  <c r="I530" i="11"/>
  <c r="F530" i="11"/>
  <c r="E530" i="11"/>
  <c r="D530" i="11"/>
  <c r="C530" i="11"/>
  <c r="I529" i="11"/>
  <c r="F529" i="11"/>
  <c r="E529" i="11"/>
  <c r="D529" i="11"/>
  <c r="C529" i="11"/>
  <c r="I528" i="11"/>
  <c r="F528" i="11"/>
  <c r="E528" i="11"/>
  <c r="D528" i="11"/>
  <c r="C528" i="11"/>
  <c r="I527" i="11"/>
  <c r="F527" i="11"/>
  <c r="E527" i="11"/>
  <c r="D527" i="11"/>
  <c r="C527" i="11"/>
  <c r="I526" i="11"/>
  <c r="F526" i="11"/>
  <c r="E526" i="11"/>
  <c r="D526" i="11"/>
  <c r="C526" i="11"/>
  <c r="I525" i="11"/>
  <c r="F525" i="11"/>
  <c r="E525" i="11"/>
  <c r="D525" i="11"/>
  <c r="C525" i="11"/>
  <c r="I524" i="11"/>
  <c r="F524" i="11"/>
  <c r="E524" i="11"/>
  <c r="D524" i="11"/>
  <c r="C524" i="11"/>
  <c r="I523" i="11"/>
  <c r="F523" i="11"/>
  <c r="E523" i="11"/>
  <c r="D523" i="11"/>
  <c r="C523" i="11"/>
  <c r="I522" i="11"/>
  <c r="F522" i="11"/>
  <c r="E522" i="11"/>
  <c r="D522" i="11"/>
  <c r="C522" i="11"/>
  <c r="I521" i="11"/>
  <c r="F521" i="11"/>
  <c r="E521" i="11"/>
  <c r="D521" i="11"/>
  <c r="C521" i="11"/>
  <c r="I520" i="11"/>
  <c r="F520" i="11"/>
  <c r="E520" i="11"/>
  <c r="D520" i="11"/>
  <c r="C520" i="11"/>
  <c r="I519" i="11"/>
  <c r="F519" i="11"/>
  <c r="E519" i="11"/>
  <c r="D519" i="11"/>
  <c r="C519" i="11"/>
  <c r="I518" i="11"/>
  <c r="F518" i="11"/>
  <c r="E518" i="11"/>
  <c r="D518" i="11"/>
  <c r="C518" i="11"/>
  <c r="I517" i="11"/>
  <c r="F517" i="11"/>
  <c r="E517" i="11"/>
  <c r="D517" i="11"/>
  <c r="C517" i="11"/>
  <c r="I516" i="11"/>
  <c r="F516" i="11"/>
  <c r="E516" i="11"/>
  <c r="D516" i="11"/>
  <c r="C516" i="11"/>
  <c r="I515" i="11"/>
  <c r="F515" i="11"/>
  <c r="E515" i="11"/>
  <c r="D515" i="11"/>
  <c r="C515" i="11"/>
  <c r="I514" i="11"/>
  <c r="F514" i="11"/>
  <c r="E514" i="11"/>
  <c r="D514" i="11"/>
  <c r="C514" i="11"/>
  <c r="I513" i="11"/>
  <c r="F513" i="11"/>
  <c r="E513" i="11"/>
  <c r="D513" i="11"/>
  <c r="C513" i="11"/>
  <c r="I512" i="11"/>
  <c r="F512" i="11"/>
  <c r="E512" i="11"/>
  <c r="D512" i="11"/>
  <c r="C512" i="11"/>
  <c r="I511" i="11"/>
  <c r="F511" i="11"/>
  <c r="E511" i="11"/>
  <c r="D511" i="11"/>
  <c r="C511" i="11"/>
  <c r="I510" i="11"/>
  <c r="F510" i="11"/>
  <c r="E510" i="11"/>
  <c r="D510" i="11"/>
  <c r="C510" i="11"/>
  <c r="I509" i="11"/>
  <c r="F509" i="11"/>
  <c r="E509" i="11"/>
  <c r="D509" i="11"/>
  <c r="C509" i="11"/>
  <c r="I508" i="11"/>
  <c r="F508" i="11"/>
  <c r="E508" i="11"/>
  <c r="D508" i="11"/>
  <c r="C508" i="11"/>
  <c r="I507" i="11"/>
  <c r="F507" i="11"/>
  <c r="E507" i="11"/>
  <c r="D507" i="11"/>
  <c r="C507" i="11"/>
  <c r="I506" i="11"/>
  <c r="F506" i="11"/>
  <c r="E506" i="11"/>
  <c r="D506" i="11"/>
  <c r="C506" i="11"/>
  <c r="I505" i="11"/>
  <c r="F505" i="11"/>
  <c r="E505" i="11"/>
  <c r="D505" i="11"/>
  <c r="C505" i="11"/>
  <c r="I504" i="11"/>
  <c r="F504" i="11"/>
  <c r="E504" i="11"/>
  <c r="D504" i="11"/>
  <c r="C504" i="11"/>
  <c r="I503" i="11"/>
  <c r="F503" i="11"/>
  <c r="E503" i="11"/>
  <c r="D503" i="11"/>
  <c r="C503" i="11"/>
  <c r="I502" i="11"/>
  <c r="F502" i="11"/>
  <c r="E502" i="11"/>
  <c r="D502" i="11"/>
  <c r="C502" i="11"/>
  <c r="I501" i="11"/>
  <c r="F501" i="11"/>
  <c r="E501" i="11"/>
  <c r="D501" i="11"/>
  <c r="C501" i="11"/>
  <c r="I500" i="11"/>
  <c r="F500" i="11"/>
  <c r="E500" i="11"/>
  <c r="D500" i="11"/>
  <c r="C500" i="11"/>
  <c r="I499" i="11"/>
  <c r="F499" i="11"/>
  <c r="E499" i="11"/>
  <c r="D499" i="11"/>
  <c r="C499" i="11"/>
  <c r="I498" i="11"/>
  <c r="F498" i="11"/>
  <c r="E498" i="11"/>
  <c r="D498" i="11"/>
  <c r="C498" i="11"/>
  <c r="I497" i="11"/>
  <c r="F497" i="11"/>
  <c r="E497" i="11"/>
  <c r="D497" i="11"/>
  <c r="C497" i="11"/>
  <c r="I496" i="11"/>
  <c r="F496" i="11"/>
  <c r="E496" i="11"/>
  <c r="D496" i="11"/>
  <c r="C496" i="11"/>
  <c r="I495" i="11"/>
  <c r="F495" i="11"/>
  <c r="E495" i="11"/>
  <c r="D495" i="11"/>
  <c r="C495" i="11"/>
  <c r="I494" i="11"/>
  <c r="F494" i="11"/>
  <c r="E494" i="11"/>
  <c r="D494" i="11"/>
  <c r="C494" i="11"/>
  <c r="I493" i="11"/>
  <c r="F493" i="11"/>
  <c r="E493" i="11"/>
  <c r="D493" i="11"/>
  <c r="C493" i="11"/>
  <c r="I492" i="11"/>
  <c r="F492" i="11"/>
  <c r="E492" i="11"/>
  <c r="D492" i="11"/>
  <c r="C492" i="11"/>
  <c r="I491" i="11"/>
  <c r="F491" i="11"/>
  <c r="E491" i="11"/>
  <c r="D491" i="11"/>
  <c r="C491" i="11"/>
  <c r="I490" i="11"/>
  <c r="F490" i="11"/>
  <c r="E490" i="11"/>
  <c r="D490" i="11"/>
  <c r="C490" i="11"/>
  <c r="I489" i="11"/>
  <c r="F489" i="11"/>
  <c r="E489" i="11"/>
  <c r="D489" i="11"/>
  <c r="C489" i="11"/>
  <c r="I488" i="11"/>
  <c r="F488" i="11"/>
  <c r="E488" i="11"/>
  <c r="D488" i="11"/>
  <c r="C488" i="11"/>
  <c r="I487" i="11"/>
  <c r="F487" i="11"/>
  <c r="E487" i="11"/>
  <c r="D487" i="11"/>
  <c r="C487" i="11"/>
  <c r="I486" i="11"/>
  <c r="F486" i="11"/>
  <c r="E486" i="11"/>
  <c r="D486" i="11"/>
  <c r="C486" i="11"/>
  <c r="I485" i="11"/>
  <c r="F485" i="11"/>
  <c r="E485" i="11"/>
  <c r="D485" i="11"/>
  <c r="C485" i="11"/>
  <c r="I484" i="11"/>
  <c r="F484" i="11"/>
  <c r="E484" i="11"/>
  <c r="D484" i="11"/>
  <c r="C484" i="11"/>
  <c r="I483" i="11"/>
  <c r="F483" i="11"/>
  <c r="E483" i="11"/>
  <c r="D483" i="11"/>
  <c r="C483" i="11"/>
  <c r="I482" i="11"/>
  <c r="F482" i="11"/>
  <c r="E482" i="11"/>
  <c r="D482" i="11"/>
  <c r="C482" i="11"/>
  <c r="I481" i="11"/>
  <c r="F481" i="11"/>
  <c r="E481" i="11"/>
  <c r="D481" i="11"/>
  <c r="C481" i="11"/>
  <c r="I480" i="11"/>
  <c r="F480" i="11"/>
  <c r="E480" i="11"/>
  <c r="D480" i="11"/>
  <c r="C480" i="11"/>
  <c r="I479" i="11"/>
  <c r="F479" i="11"/>
  <c r="E479" i="11"/>
  <c r="D479" i="11"/>
  <c r="C479" i="11"/>
  <c r="I478" i="11"/>
  <c r="F478" i="11"/>
  <c r="E478" i="11"/>
  <c r="D478" i="11"/>
  <c r="C478" i="11"/>
  <c r="I477" i="11"/>
  <c r="F477" i="11"/>
  <c r="E477" i="11"/>
  <c r="D477" i="11"/>
  <c r="C477" i="11"/>
  <c r="I476" i="11"/>
  <c r="F476" i="11"/>
  <c r="E476" i="11"/>
  <c r="D476" i="11"/>
  <c r="C476" i="11"/>
  <c r="I475" i="11"/>
  <c r="F475" i="11"/>
  <c r="E475" i="11"/>
  <c r="D475" i="11"/>
  <c r="C475" i="11"/>
  <c r="I474" i="11"/>
  <c r="F474" i="11"/>
  <c r="E474" i="11"/>
  <c r="D474" i="11"/>
  <c r="C474" i="11"/>
  <c r="I473" i="11"/>
  <c r="F473" i="11"/>
  <c r="E473" i="11"/>
  <c r="D473" i="11"/>
  <c r="C473" i="11"/>
  <c r="I472" i="11"/>
  <c r="F472" i="11"/>
  <c r="E472" i="11"/>
  <c r="D472" i="11"/>
  <c r="C472" i="11"/>
  <c r="I471" i="11"/>
  <c r="F471" i="11"/>
  <c r="E471" i="11"/>
  <c r="D471" i="11"/>
  <c r="C471" i="11"/>
  <c r="I470" i="11"/>
  <c r="F470" i="11"/>
  <c r="E470" i="11"/>
  <c r="D470" i="11"/>
  <c r="C470" i="11"/>
  <c r="I469" i="11"/>
  <c r="F469" i="11"/>
  <c r="E469" i="11"/>
  <c r="D469" i="11"/>
  <c r="C469" i="11"/>
  <c r="I468" i="11"/>
  <c r="F468" i="11"/>
  <c r="E468" i="11"/>
  <c r="D468" i="11"/>
  <c r="C468" i="11"/>
  <c r="I467" i="11"/>
  <c r="F467" i="11"/>
  <c r="E467" i="11"/>
  <c r="D467" i="11"/>
  <c r="C467" i="11"/>
  <c r="I466" i="11"/>
  <c r="F466" i="11"/>
  <c r="E466" i="11"/>
  <c r="D466" i="11"/>
  <c r="C466" i="11"/>
  <c r="I465" i="11"/>
  <c r="F465" i="11"/>
  <c r="E465" i="11"/>
  <c r="D465" i="11"/>
  <c r="C465" i="11"/>
  <c r="I464" i="11"/>
  <c r="F464" i="11"/>
  <c r="E464" i="11"/>
  <c r="D464" i="11"/>
  <c r="C464" i="11"/>
  <c r="I463" i="11"/>
  <c r="F463" i="11"/>
  <c r="E463" i="11"/>
  <c r="D463" i="11"/>
  <c r="C463" i="11"/>
  <c r="I462" i="11"/>
  <c r="F462" i="11"/>
  <c r="E462" i="11"/>
  <c r="D462" i="11"/>
  <c r="C462" i="11"/>
  <c r="I461" i="11"/>
  <c r="F461" i="11"/>
  <c r="E461" i="11"/>
  <c r="D461" i="11"/>
  <c r="C461" i="11"/>
  <c r="I460" i="11"/>
  <c r="F460" i="11"/>
  <c r="E460" i="11"/>
  <c r="D460" i="11"/>
  <c r="C460" i="11"/>
  <c r="I459" i="11"/>
  <c r="F459" i="11"/>
  <c r="E459" i="11"/>
  <c r="D459" i="11"/>
  <c r="C459" i="11"/>
  <c r="I458" i="11"/>
  <c r="F458" i="11"/>
  <c r="E458" i="11"/>
  <c r="D458" i="11"/>
  <c r="C458" i="11"/>
  <c r="I457" i="11"/>
  <c r="F457" i="11"/>
  <c r="E457" i="11"/>
  <c r="D457" i="11"/>
  <c r="C457" i="11"/>
  <c r="I456" i="11"/>
  <c r="F456" i="11"/>
  <c r="E456" i="11"/>
  <c r="D456" i="11"/>
  <c r="C456" i="11"/>
  <c r="I455" i="11"/>
  <c r="F455" i="11"/>
  <c r="E455" i="11"/>
  <c r="D455" i="11"/>
  <c r="C455" i="11"/>
  <c r="I454" i="11"/>
  <c r="F454" i="11"/>
  <c r="E454" i="11"/>
  <c r="D454" i="11"/>
  <c r="C454" i="11"/>
  <c r="I453" i="11"/>
  <c r="F453" i="11"/>
  <c r="E453" i="11"/>
  <c r="D453" i="11"/>
  <c r="C453" i="11"/>
  <c r="I452" i="11"/>
  <c r="F452" i="11"/>
  <c r="E452" i="11"/>
  <c r="D452" i="11"/>
  <c r="C452" i="11"/>
  <c r="I451" i="11"/>
  <c r="F451" i="11"/>
  <c r="E451" i="11"/>
  <c r="D451" i="11"/>
  <c r="C451" i="11"/>
  <c r="I450" i="11"/>
  <c r="F450" i="11"/>
  <c r="E450" i="11"/>
  <c r="D450" i="11"/>
  <c r="C450" i="11"/>
  <c r="I449" i="11"/>
  <c r="F449" i="11"/>
  <c r="E449" i="11"/>
  <c r="D449" i="11"/>
  <c r="C449" i="11"/>
  <c r="I448" i="11"/>
  <c r="F448" i="11"/>
  <c r="E448" i="11"/>
  <c r="D448" i="11"/>
  <c r="C448" i="11"/>
  <c r="I447" i="11"/>
  <c r="F447" i="11"/>
  <c r="E447" i="11"/>
  <c r="D447" i="11"/>
  <c r="C447" i="11"/>
  <c r="I446" i="11"/>
  <c r="F446" i="11"/>
  <c r="E446" i="11"/>
  <c r="D446" i="11"/>
  <c r="C446" i="11"/>
  <c r="I445" i="11"/>
  <c r="F445" i="11"/>
  <c r="E445" i="11"/>
  <c r="D445" i="11"/>
  <c r="C445" i="11"/>
  <c r="I444" i="11"/>
  <c r="F444" i="11"/>
  <c r="E444" i="11"/>
  <c r="D444" i="11"/>
  <c r="C444" i="11"/>
  <c r="I443" i="11"/>
  <c r="F443" i="11"/>
  <c r="E443" i="11"/>
  <c r="D443" i="11"/>
  <c r="C443" i="11"/>
  <c r="I442" i="11"/>
  <c r="F442" i="11"/>
  <c r="E442" i="11"/>
  <c r="D442" i="11"/>
  <c r="C442" i="11"/>
  <c r="I441" i="11"/>
  <c r="F441" i="11"/>
  <c r="E441" i="11"/>
  <c r="D441" i="11"/>
  <c r="C441" i="11"/>
  <c r="I440" i="11"/>
  <c r="F440" i="11"/>
  <c r="E440" i="11"/>
  <c r="D440" i="11"/>
  <c r="C440" i="11"/>
  <c r="I439" i="11"/>
  <c r="F439" i="11"/>
  <c r="E439" i="11"/>
  <c r="D439" i="11"/>
  <c r="C439" i="11"/>
  <c r="I438" i="11"/>
  <c r="F438" i="11"/>
  <c r="E438" i="11"/>
  <c r="D438" i="11"/>
  <c r="C438" i="11"/>
  <c r="I437" i="11"/>
  <c r="F437" i="11"/>
  <c r="E437" i="11"/>
  <c r="D437" i="11"/>
  <c r="C437" i="11"/>
  <c r="I436" i="11"/>
  <c r="F436" i="11"/>
  <c r="E436" i="11"/>
  <c r="D436" i="11"/>
  <c r="C436" i="11"/>
  <c r="I435" i="11"/>
  <c r="F435" i="11"/>
  <c r="E435" i="11"/>
  <c r="D435" i="11"/>
  <c r="C435" i="11"/>
  <c r="I434" i="11"/>
  <c r="F434" i="11"/>
  <c r="E434" i="11"/>
  <c r="D434" i="11"/>
  <c r="C434" i="11"/>
  <c r="I433" i="11"/>
  <c r="F433" i="11"/>
  <c r="E433" i="11"/>
  <c r="D433" i="11"/>
  <c r="C433" i="11"/>
  <c r="I432" i="11"/>
  <c r="F432" i="11"/>
  <c r="E432" i="11"/>
  <c r="D432" i="11"/>
  <c r="C432" i="11"/>
  <c r="I431" i="11"/>
  <c r="F431" i="11"/>
  <c r="E431" i="11"/>
  <c r="D431" i="11"/>
  <c r="C431" i="11"/>
  <c r="I430" i="11"/>
  <c r="F430" i="11"/>
  <c r="E430" i="11"/>
  <c r="D430" i="11"/>
  <c r="C430" i="11"/>
  <c r="I429" i="11"/>
  <c r="F429" i="11"/>
  <c r="E429" i="11"/>
  <c r="D429" i="11"/>
  <c r="C429" i="11"/>
  <c r="I428" i="11"/>
  <c r="F428" i="11"/>
  <c r="E428" i="11"/>
  <c r="D428" i="11"/>
  <c r="C428" i="11"/>
  <c r="I427" i="11"/>
  <c r="F427" i="11"/>
  <c r="E427" i="11"/>
  <c r="D427" i="11"/>
  <c r="C427" i="11"/>
  <c r="I426" i="11"/>
  <c r="F426" i="11"/>
  <c r="E426" i="11"/>
  <c r="D426" i="11"/>
  <c r="C426" i="11"/>
  <c r="I425" i="11"/>
  <c r="F425" i="11"/>
  <c r="E425" i="11"/>
  <c r="D425" i="11"/>
  <c r="C425" i="11"/>
  <c r="I424" i="11"/>
  <c r="F424" i="11"/>
  <c r="E424" i="11"/>
  <c r="D424" i="11"/>
  <c r="C424" i="11"/>
  <c r="I423" i="11"/>
  <c r="F423" i="11"/>
  <c r="E423" i="11"/>
  <c r="D423" i="11"/>
  <c r="C423" i="11"/>
  <c r="I422" i="11"/>
  <c r="F422" i="11"/>
  <c r="E422" i="11"/>
  <c r="D422" i="11"/>
  <c r="C422" i="11"/>
  <c r="I421" i="11"/>
  <c r="F421" i="11"/>
  <c r="E421" i="11"/>
  <c r="D421" i="11"/>
  <c r="C421" i="11"/>
  <c r="I420" i="11"/>
  <c r="F420" i="11"/>
  <c r="E420" i="11"/>
  <c r="D420" i="11"/>
  <c r="C420" i="11"/>
  <c r="I419" i="11"/>
  <c r="F419" i="11"/>
  <c r="E419" i="11"/>
  <c r="D419" i="11"/>
  <c r="C419" i="11"/>
  <c r="I418" i="11"/>
  <c r="F418" i="11"/>
  <c r="E418" i="11"/>
  <c r="D418" i="11"/>
  <c r="C418" i="11"/>
  <c r="I417" i="11"/>
  <c r="F417" i="11"/>
  <c r="E417" i="11"/>
  <c r="D417" i="11"/>
  <c r="C417" i="11"/>
  <c r="I416" i="11"/>
  <c r="F416" i="11"/>
  <c r="E416" i="11"/>
  <c r="D416" i="11"/>
  <c r="C416" i="11"/>
  <c r="I415" i="11"/>
  <c r="F415" i="11"/>
  <c r="E415" i="11"/>
  <c r="D415" i="11"/>
  <c r="C415" i="11"/>
  <c r="I414" i="11"/>
  <c r="F414" i="11"/>
  <c r="E414" i="11"/>
  <c r="D414" i="11"/>
  <c r="C414" i="11"/>
  <c r="I413" i="11"/>
  <c r="F413" i="11"/>
  <c r="E413" i="11"/>
  <c r="D413" i="11"/>
  <c r="C413" i="11"/>
  <c r="I412" i="11"/>
  <c r="F412" i="11"/>
  <c r="E412" i="11"/>
  <c r="D412" i="11"/>
  <c r="C412" i="11"/>
  <c r="I411" i="11"/>
  <c r="F411" i="11"/>
  <c r="E411" i="11"/>
  <c r="D411" i="11"/>
  <c r="C411" i="11"/>
  <c r="I410" i="11"/>
  <c r="F410" i="11"/>
  <c r="E410" i="11"/>
  <c r="D410" i="11"/>
  <c r="C410" i="11"/>
  <c r="I409" i="11"/>
  <c r="F409" i="11"/>
  <c r="E409" i="11"/>
  <c r="D409" i="11"/>
  <c r="C409" i="11"/>
  <c r="I408" i="11"/>
  <c r="F408" i="11"/>
  <c r="E408" i="11"/>
  <c r="D408" i="11"/>
  <c r="C408" i="11"/>
  <c r="I407" i="11"/>
  <c r="F407" i="11"/>
  <c r="E407" i="11"/>
  <c r="D407" i="11"/>
  <c r="C407" i="11"/>
  <c r="I406" i="11"/>
  <c r="F406" i="11"/>
  <c r="E406" i="11"/>
  <c r="D406" i="11"/>
  <c r="C406" i="11"/>
  <c r="I405" i="11"/>
  <c r="F405" i="11"/>
  <c r="E405" i="11"/>
  <c r="D405" i="11"/>
  <c r="C405" i="11"/>
  <c r="I404" i="11"/>
  <c r="F404" i="11"/>
  <c r="E404" i="11"/>
  <c r="D404" i="11"/>
  <c r="C404" i="11"/>
  <c r="I403" i="11"/>
  <c r="F403" i="11"/>
  <c r="E403" i="11"/>
  <c r="D403" i="11"/>
  <c r="C403" i="11"/>
  <c r="I402" i="11"/>
  <c r="F402" i="11"/>
  <c r="E402" i="11"/>
  <c r="D402" i="11"/>
  <c r="C402" i="11"/>
  <c r="I401" i="11"/>
  <c r="F401" i="11"/>
  <c r="E401" i="11"/>
  <c r="D401" i="11"/>
  <c r="C401" i="11"/>
  <c r="I400" i="11"/>
  <c r="F400" i="11"/>
  <c r="E400" i="11"/>
  <c r="D400" i="11"/>
  <c r="C400" i="11"/>
  <c r="I399" i="11"/>
  <c r="F399" i="11"/>
  <c r="E399" i="11"/>
  <c r="D399" i="11"/>
  <c r="C399" i="11"/>
  <c r="I398" i="11"/>
  <c r="F398" i="11"/>
  <c r="E398" i="11"/>
  <c r="D398" i="11"/>
  <c r="C398" i="11"/>
  <c r="I397" i="11"/>
  <c r="F397" i="11"/>
  <c r="E397" i="11"/>
  <c r="D397" i="11"/>
  <c r="C397" i="11"/>
  <c r="I396" i="11"/>
  <c r="F396" i="11"/>
  <c r="E396" i="11"/>
  <c r="D396" i="11"/>
  <c r="C396" i="11"/>
  <c r="I395" i="11"/>
  <c r="F395" i="11"/>
  <c r="E395" i="11"/>
  <c r="D395" i="11"/>
  <c r="C395" i="11"/>
  <c r="I394" i="11"/>
  <c r="F394" i="11"/>
  <c r="E394" i="11"/>
  <c r="D394" i="11"/>
  <c r="C394" i="11"/>
  <c r="I393" i="11"/>
  <c r="F393" i="11"/>
  <c r="E393" i="11"/>
  <c r="D393" i="11"/>
  <c r="C393" i="11"/>
  <c r="I392" i="11"/>
  <c r="F392" i="11"/>
  <c r="E392" i="11"/>
  <c r="D392" i="11"/>
  <c r="C392" i="11"/>
  <c r="I391" i="11"/>
  <c r="F391" i="11"/>
  <c r="E391" i="11"/>
  <c r="D391" i="11"/>
  <c r="C391" i="11"/>
  <c r="I390" i="11"/>
  <c r="F390" i="11"/>
  <c r="E390" i="11"/>
  <c r="D390" i="11"/>
  <c r="C390" i="11"/>
  <c r="I389" i="11"/>
  <c r="F389" i="11"/>
  <c r="E389" i="11"/>
  <c r="D389" i="11"/>
  <c r="C389" i="11"/>
  <c r="I388" i="11"/>
  <c r="F388" i="11"/>
  <c r="E388" i="11"/>
  <c r="D388" i="11"/>
  <c r="C388" i="11"/>
  <c r="I387" i="11"/>
  <c r="F387" i="11"/>
  <c r="E387" i="11"/>
  <c r="D387" i="11"/>
  <c r="C387" i="11"/>
  <c r="I386" i="11"/>
  <c r="F386" i="11"/>
  <c r="E386" i="11"/>
  <c r="D386" i="11"/>
  <c r="C386" i="11"/>
  <c r="I385" i="11"/>
  <c r="F385" i="11"/>
  <c r="E385" i="11"/>
  <c r="D385" i="11"/>
  <c r="C385" i="11"/>
  <c r="I384" i="11"/>
  <c r="F384" i="11"/>
  <c r="E384" i="11"/>
  <c r="D384" i="11"/>
  <c r="C384" i="11"/>
  <c r="I383" i="11"/>
  <c r="F383" i="11"/>
  <c r="E383" i="11"/>
  <c r="D383" i="11"/>
  <c r="C383" i="11"/>
  <c r="I382" i="11"/>
  <c r="F382" i="11"/>
  <c r="E382" i="11"/>
  <c r="D382" i="11"/>
  <c r="C382" i="11"/>
  <c r="I381" i="11"/>
  <c r="F381" i="11"/>
  <c r="E381" i="11"/>
  <c r="D381" i="11"/>
  <c r="C381" i="11"/>
  <c r="I380" i="11"/>
  <c r="F380" i="11"/>
  <c r="E380" i="11"/>
  <c r="D380" i="11"/>
  <c r="C380" i="11"/>
  <c r="I379" i="11"/>
  <c r="F379" i="11"/>
  <c r="E379" i="11"/>
  <c r="D379" i="11"/>
  <c r="C379" i="11"/>
  <c r="I378" i="11"/>
  <c r="F378" i="11"/>
  <c r="E378" i="11"/>
  <c r="D378" i="11"/>
  <c r="C378" i="11"/>
  <c r="I377" i="11"/>
  <c r="F377" i="11"/>
  <c r="E377" i="11"/>
  <c r="D377" i="11"/>
  <c r="C377" i="11"/>
  <c r="I376" i="11"/>
  <c r="F376" i="11"/>
  <c r="E376" i="11"/>
  <c r="D376" i="11"/>
  <c r="C376" i="11"/>
  <c r="I375" i="11"/>
  <c r="F375" i="11"/>
  <c r="E375" i="11"/>
  <c r="D375" i="11"/>
  <c r="C375" i="11"/>
  <c r="I374" i="11"/>
  <c r="F374" i="11"/>
  <c r="E374" i="11"/>
  <c r="D374" i="11"/>
  <c r="C374" i="11"/>
  <c r="I373" i="11"/>
  <c r="F373" i="11"/>
  <c r="E373" i="11"/>
  <c r="D373" i="11"/>
  <c r="C373" i="11"/>
  <c r="I372" i="11"/>
  <c r="F372" i="11"/>
  <c r="E372" i="11"/>
  <c r="D372" i="11"/>
  <c r="C372" i="11"/>
  <c r="I371" i="11"/>
  <c r="F371" i="11"/>
  <c r="E371" i="11"/>
  <c r="D371" i="11"/>
  <c r="C371" i="11"/>
  <c r="I370" i="11"/>
  <c r="F370" i="11"/>
  <c r="E370" i="11"/>
  <c r="D370" i="11"/>
  <c r="C370" i="11"/>
  <c r="I369" i="11"/>
  <c r="F369" i="11"/>
  <c r="E369" i="11"/>
  <c r="D369" i="11"/>
  <c r="C369" i="11"/>
  <c r="I368" i="11"/>
  <c r="F368" i="11"/>
  <c r="E368" i="11"/>
  <c r="D368" i="11"/>
  <c r="C368" i="11"/>
  <c r="I367" i="11"/>
  <c r="F367" i="11"/>
  <c r="E367" i="11"/>
  <c r="D367" i="11"/>
  <c r="C367" i="11"/>
  <c r="I366" i="11"/>
  <c r="F366" i="11"/>
  <c r="E366" i="11"/>
  <c r="D366" i="11"/>
  <c r="C366" i="11"/>
  <c r="I365" i="11"/>
  <c r="F365" i="11"/>
  <c r="E365" i="11"/>
  <c r="D365" i="11"/>
  <c r="C365" i="11"/>
  <c r="I364" i="11"/>
  <c r="F364" i="11"/>
  <c r="E364" i="11"/>
  <c r="D364" i="11"/>
  <c r="C364" i="11"/>
  <c r="I363" i="11"/>
  <c r="F363" i="11"/>
  <c r="E363" i="11"/>
  <c r="D363" i="11"/>
  <c r="C363" i="11"/>
  <c r="I362" i="11"/>
  <c r="F362" i="11"/>
  <c r="E362" i="11"/>
  <c r="D362" i="11"/>
  <c r="C362" i="11"/>
  <c r="I361" i="11"/>
  <c r="F361" i="11"/>
  <c r="E361" i="11"/>
  <c r="D361" i="11"/>
  <c r="C361" i="11"/>
  <c r="I360" i="11"/>
  <c r="F360" i="11"/>
  <c r="E360" i="11"/>
  <c r="D360" i="11"/>
  <c r="C360" i="11"/>
  <c r="I359" i="11"/>
  <c r="F359" i="11"/>
  <c r="E359" i="11"/>
  <c r="D359" i="11"/>
  <c r="C359" i="11"/>
  <c r="I358" i="11"/>
  <c r="F358" i="11"/>
  <c r="E358" i="11"/>
  <c r="D358" i="11"/>
  <c r="C358" i="11"/>
  <c r="I357" i="11"/>
  <c r="F357" i="11"/>
  <c r="E357" i="11"/>
  <c r="D357" i="11"/>
  <c r="C357" i="11"/>
  <c r="I356" i="11"/>
  <c r="F356" i="11"/>
  <c r="E356" i="11"/>
  <c r="D356" i="11"/>
  <c r="C356" i="11"/>
  <c r="I355" i="11"/>
  <c r="F355" i="11"/>
  <c r="E355" i="11"/>
  <c r="D355" i="11"/>
  <c r="C355" i="11"/>
  <c r="I354" i="11"/>
  <c r="F354" i="11"/>
  <c r="E354" i="11"/>
  <c r="D354" i="11"/>
  <c r="C354" i="11"/>
  <c r="I353" i="11"/>
  <c r="F353" i="11"/>
  <c r="E353" i="11"/>
  <c r="D353" i="11"/>
  <c r="C353" i="11"/>
  <c r="I352" i="11"/>
  <c r="F352" i="11"/>
  <c r="E352" i="11"/>
  <c r="D352" i="11"/>
  <c r="C352" i="11"/>
  <c r="I351" i="11"/>
  <c r="F351" i="11"/>
  <c r="E351" i="11"/>
  <c r="D351" i="11"/>
  <c r="C351" i="11"/>
  <c r="I350" i="11"/>
  <c r="F350" i="11"/>
  <c r="E350" i="11"/>
  <c r="D350" i="11"/>
  <c r="C350" i="11"/>
  <c r="I349" i="11"/>
  <c r="F349" i="11"/>
  <c r="E349" i="11"/>
  <c r="D349" i="11"/>
  <c r="C349" i="11"/>
  <c r="I348" i="11"/>
  <c r="F348" i="11"/>
  <c r="E348" i="11"/>
  <c r="D348" i="11"/>
  <c r="C348" i="11"/>
  <c r="I347" i="11"/>
  <c r="F347" i="11"/>
  <c r="E347" i="11"/>
  <c r="D347" i="11"/>
  <c r="C347" i="11"/>
  <c r="I346" i="11"/>
  <c r="F346" i="11"/>
  <c r="E346" i="11"/>
  <c r="D346" i="11"/>
  <c r="C346" i="11"/>
  <c r="I345" i="11"/>
  <c r="F345" i="11"/>
  <c r="E345" i="11"/>
  <c r="D345" i="11"/>
  <c r="C345" i="11"/>
  <c r="I344" i="11"/>
  <c r="F344" i="11"/>
  <c r="E344" i="11"/>
  <c r="D344" i="11"/>
  <c r="C344" i="11"/>
  <c r="I343" i="11"/>
  <c r="F343" i="11"/>
  <c r="E343" i="11"/>
  <c r="D343" i="11"/>
  <c r="C343" i="11"/>
  <c r="I342" i="11"/>
  <c r="F342" i="11"/>
  <c r="E342" i="11"/>
  <c r="D342" i="11"/>
  <c r="C342" i="11"/>
  <c r="I341" i="11"/>
  <c r="F341" i="11"/>
  <c r="E341" i="11"/>
  <c r="D341" i="11"/>
  <c r="C341" i="11"/>
  <c r="I340" i="11"/>
  <c r="F340" i="11"/>
  <c r="E340" i="11"/>
  <c r="D340" i="11"/>
  <c r="C340" i="11"/>
  <c r="I339" i="11"/>
  <c r="F339" i="11"/>
  <c r="E339" i="11"/>
  <c r="D339" i="11"/>
  <c r="C339" i="11"/>
  <c r="I338" i="11"/>
  <c r="F338" i="11"/>
  <c r="E338" i="11"/>
  <c r="D338" i="11"/>
  <c r="C338" i="11"/>
  <c r="I337" i="11"/>
  <c r="F337" i="11"/>
  <c r="E337" i="11"/>
  <c r="D337" i="11"/>
  <c r="C337" i="11"/>
  <c r="I336" i="11"/>
  <c r="F336" i="11"/>
  <c r="E336" i="11"/>
  <c r="D336" i="11"/>
  <c r="C336" i="11"/>
  <c r="I335" i="11"/>
  <c r="F335" i="11"/>
  <c r="E335" i="11"/>
  <c r="D335" i="11"/>
  <c r="C335" i="11"/>
  <c r="I334" i="11"/>
  <c r="F334" i="11"/>
  <c r="E334" i="11"/>
  <c r="D334" i="11"/>
  <c r="C334" i="11"/>
  <c r="I333" i="11"/>
  <c r="F333" i="11"/>
  <c r="E333" i="11"/>
  <c r="D333" i="11"/>
  <c r="C333" i="11"/>
  <c r="I332" i="11"/>
  <c r="F332" i="11"/>
  <c r="E332" i="11"/>
  <c r="D332" i="11"/>
  <c r="C332" i="11"/>
  <c r="I331" i="11"/>
  <c r="F331" i="11"/>
  <c r="E331" i="11"/>
  <c r="D331" i="11"/>
  <c r="C331" i="11"/>
  <c r="I330" i="11"/>
  <c r="F330" i="11"/>
  <c r="E330" i="11"/>
  <c r="D330" i="11"/>
  <c r="C330" i="11"/>
  <c r="I329" i="11"/>
  <c r="F329" i="11"/>
  <c r="E329" i="11"/>
  <c r="D329" i="11"/>
  <c r="C329" i="11"/>
  <c r="I328" i="11"/>
  <c r="F328" i="11"/>
  <c r="E328" i="11"/>
  <c r="D328" i="11"/>
  <c r="C328" i="11"/>
  <c r="I327" i="11"/>
  <c r="F327" i="11"/>
  <c r="E327" i="11"/>
  <c r="D327" i="11"/>
  <c r="C327" i="11"/>
  <c r="I326" i="11"/>
  <c r="F326" i="11"/>
  <c r="E326" i="11"/>
  <c r="D326" i="11"/>
  <c r="C326" i="11"/>
  <c r="I325" i="11"/>
  <c r="F325" i="11"/>
  <c r="E325" i="11"/>
  <c r="D325" i="11"/>
  <c r="C325" i="11"/>
  <c r="I324" i="11"/>
  <c r="F324" i="11"/>
  <c r="E324" i="11"/>
  <c r="D324" i="11"/>
  <c r="C324" i="11"/>
  <c r="I323" i="11"/>
  <c r="F323" i="11"/>
  <c r="E323" i="11"/>
  <c r="D323" i="11"/>
  <c r="C323" i="11"/>
  <c r="I322" i="11"/>
  <c r="F322" i="11"/>
  <c r="E322" i="11"/>
  <c r="D322" i="11"/>
  <c r="C322" i="11"/>
  <c r="I321" i="11"/>
  <c r="F321" i="11"/>
  <c r="E321" i="11"/>
  <c r="D321" i="11"/>
  <c r="C321" i="11"/>
  <c r="I320" i="11"/>
  <c r="F320" i="11"/>
  <c r="E320" i="11"/>
  <c r="D320" i="11"/>
  <c r="C320" i="11"/>
  <c r="I319" i="11"/>
  <c r="F319" i="11"/>
  <c r="E319" i="11"/>
  <c r="D319" i="11"/>
  <c r="C319" i="11"/>
  <c r="I318" i="11"/>
  <c r="F318" i="11"/>
  <c r="E318" i="11"/>
  <c r="D318" i="11"/>
  <c r="C318" i="11"/>
  <c r="I317" i="11"/>
  <c r="F317" i="11"/>
  <c r="E317" i="11"/>
  <c r="D317" i="11"/>
  <c r="C317" i="11"/>
  <c r="I316" i="11"/>
  <c r="F316" i="11"/>
  <c r="E316" i="11"/>
  <c r="D316" i="11"/>
  <c r="C316" i="11"/>
  <c r="I315" i="11"/>
  <c r="F315" i="11"/>
  <c r="E315" i="11"/>
  <c r="D315" i="11"/>
  <c r="C315" i="11"/>
  <c r="I314" i="11"/>
  <c r="F314" i="11"/>
  <c r="E314" i="11"/>
  <c r="D314" i="11"/>
  <c r="C314" i="11"/>
  <c r="I313" i="11"/>
  <c r="F313" i="11"/>
  <c r="E313" i="11"/>
  <c r="D313" i="11"/>
  <c r="C313" i="11"/>
  <c r="I312" i="11"/>
  <c r="F312" i="11"/>
  <c r="E312" i="11"/>
  <c r="D312" i="11"/>
  <c r="C312" i="11"/>
  <c r="I311" i="11"/>
  <c r="F311" i="11"/>
  <c r="E311" i="11"/>
  <c r="D311" i="11"/>
  <c r="C311" i="11"/>
  <c r="I310" i="11"/>
  <c r="F310" i="11"/>
  <c r="E310" i="11"/>
  <c r="D310" i="11"/>
  <c r="C310" i="11"/>
  <c r="I309" i="11"/>
  <c r="F309" i="11"/>
  <c r="E309" i="11"/>
  <c r="D309" i="11"/>
  <c r="C309" i="11"/>
  <c r="I308" i="11"/>
  <c r="F308" i="11"/>
  <c r="E308" i="11"/>
  <c r="D308" i="11"/>
  <c r="C308" i="11"/>
  <c r="I307" i="11"/>
  <c r="F307" i="11"/>
  <c r="E307" i="11"/>
  <c r="D307" i="11"/>
  <c r="C307" i="11"/>
  <c r="I306" i="11"/>
  <c r="F306" i="11"/>
  <c r="E306" i="11"/>
  <c r="D306" i="11"/>
  <c r="C306" i="11"/>
  <c r="I305" i="11"/>
  <c r="F305" i="11"/>
  <c r="E305" i="11"/>
  <c r="D305" i="11"/>
  <c r="C305" i="11"/>
  <c r="I304" i="11"/>
  <c r="F304" i="11"/>
  <c r="E304" i="11"/>
  <c r="D304" i="11"/>
  <c r="C304" i="11"/>
  <c r="I303" i="11"/>
  <c r="F303" i="11"/>
  <c r="E303" i="11"/>
  <c r="D303" i="11"/>
  <c r="C303" i="11"/>
  <c r="I302" i="11"/>
  <c r="F302" i="11"/>
  <c r="E302" i="11"/>
  <c r="D302" i="11"/>
  <c r="C302" i="11"/>
  <c r="I301" i="11"/>
  <c r="F301" i="11"/>
  <c r="E301" i="11"/>
  <c r="D301" i="11"/>
  <c r="C301" i="11"/>
  <c r="I300" i="11"/>
  <c r="F300" i="11"/>
  <c r="E300" i="11"/>
  <c r="D300" i="11"/>
  <c r="C300" i="11"/>
  <c r="I299" i="11"/>
  <c r="F299" i="11"/>
  <c r="E299" i="11"/>
  <c r="D299" i="11"/>
  <c r="C299" i="11"/>
  <c r="I298" i="11"/>
  <c r="F298" i="11"/>
  <c r="E298" i="11"/>
  <c r="D298" i="11"/>
  <c r="C298" i="11"/>
  <c r="I297" i="11"/>
  <c r="F297" i="11"/>
  <c r="E297" i="11"/>
  <c r="D297" i="11"/>
  <c r="C297" i="11"/>
  <c r="I296" i="11"/>
  <c r="F296" i="11"/>
  <c r="E296" i="11"/>
  <c r="D296" i="11"/>
  <c r="C296" i="11"/>
  <c r="I295" i="11"/>
  <c r="F295" i="11"/>
  <c r="E295" i="11"/>
  <c r="D295" i="11"/>
  <c r="C295" i="11"/>
  <c r="I294" i="11"/>
  <c r="F294" i="11"/>
  <c r="E294" i="11"/>
  <c r="D294" i="11"/>
  <c r="C294" i="11"/>
  <c r="I293" i="11"/>
  <c r="F293" i="11"/>
  <c r="E293" i="11"/>
  <c r="D293" i="11"/>
  <c r="C293" i="11"/>
  <c r="I292" i="11"/>
  <c r="F292" i="11"/>
  <c r="E292" i="11"/>
  <c r="D292" i="11"/>
  <c r="C292" i="11"/>
  <c r="I291" i="11"/>
  <c r="F291" i="11"/>
  <c r="E291" i="11"/>
  <c r="D291" i="11"/>
  <c r="C291" i="11"/>
  <c r="I290" i="11"/>
  <c r="F290" i="11"/>
  <c r="E290" i="11"/>
  <c r="D290" i="11"/>
  <c r="C290" i="11"/>
  <c r="I289" i="11"/>
  <c r="F289" i="11"/>
  <c r="E289" i="11"/>
  <c r="D289" i="11"/>
  <c r="C289" i="11"/>
  <c r="I288" i="11"/>
  <c r="F288" i="11"/>
  <c r="E288" i="11"/>
  <c r="D288" i="11"/>
  <c r="C288" i="11"/>
  <c r="I287" i="11"/>
  <c r="F287" i="11"/>
  <c r="E287" i="11"/>
  <c r="D287" i="11"/>
  <c r="C287" i="11"/>
  <c r="I286" i="11"/>
  <c r="F286" i="11"/>
  <c r="E286" i="11"/>
  <c r="D286" i="11"/>
  <c r="C286" i="11"/>
  <c r="I285" i="11"/>
  <c r="F285" i="11"/>
  <c r="E285" i="11"/>
  <c r="D285" i="11"/>
  <c r="C285" i="11"/>
  <c r="I284" i="11"/>
  <c r="F284" i="11"/>
  <c r="E284" i="11"/>
  <c r="D284" i="11"/>
  <c r="C284" i="11"/>
  <c r="I283" i="11"/>
  <c r="F283" i="11"/>
  <c r="E283" i="11"/>
  <c r="D283" i="11"/>
  <c r="C283" i="11"/>
  <c r="I282" i="11"/>
  <c r="F282" i="11"/>
  <c r="E282" i="11"/>
  <c r="D282" i="11"/>
  <c r="C282" i="11"/>
  <c r="I281" i="11"/>
  <c r="F281" i="11"/>
  <c r="E281" i="11"/>
  <c r="D281" i="11"/>
  <c r="C281" i="11"/>
  <c r="I280" i="11"/>
  <c r="F280" i="11"/>
  <c r="E280" i="11"/>
  <c r="D280" i="11"/>
  <c r="C280" i="11"/>
  <c r="I279" i="11"/>
  <c r="F279" i="11"/>
  <c r="E279" i="11"/>
  <c r="D279" i="11"/>
  <c r="C279" i="11"/>
  <c r="I278" i="11"/>
  <c r="F278" i="11"/>
  <c r="E278" i="11"/>
  <c r="D278" i="11"/>
  <c r="C278" i="11"/>
  <c r="I277" i="11"/>
  <c r="F277" i="11"/>
  <c r="E277" i="11"/>
  <c r="D277" i="11"/>
  <c r="C277" i="11"/>
  <c r="I276" i="11"/>
  <c r="F276" i="11"/>
  <c r="E276" i="11"/>
  <c r="D276" i="11"/>
  <c r="C276" i="11"/>
  <c r="I275" i="11"/>
  <c r="F275" i="11"/>
  <c r="E275" i="11"/>
  <c r="D275" i="11"/>
  <c r="C275" i="11"/>
  <c r="I274" i="11"/>
  <c r="F274" i="11"/>
  <c r="E274" i="11"/>
  <c r="D274" i="11"/>
  <c r="C274" i="11"/>
  <c r="I273" i="11"/>
  <c r="F273" i="11"/>
  <c r="E273" i="11"/>
  <c r="D273" i="11"/>
  <c r="C273" i="11"/>
  <c r="I272" i="11"/>
  <c r="F272" i="11"/>
  <c r="E272" i="11"/>
  <c r="D272" i="11"/>
  <c r="C272" i="11"/>
  <c r="I271" i="11"/>
  <c r="F271" i="11"/>
  <c r="E271" i="11"/>
  <c r="D271" i="11"/>
  <c r="C271" i="11"/>
  <c r="I270" i="11"/>
  <c r="F270" i="11"/>
  <c r="E270" i="11"/>
  <c r="D270" i="11"/>
  <c r="C270" i="11"/>
  <c r="I269" i="11"/>
  <c r="F269" i="11"/>
  <c r="E269" i="11"/>
  <c r="D269" i="11"/>
  <c r="C269" i="11"/>
  <c r="I268" i="11"/>
  <c r="F268" i="11"/>
  <c r="E268" i="11"/>
  <c r="D268" i="11"/>
  <c r="C268" i="11"/>
  <c r="I267" i="11"/>
  <c r="F267" i="11"/>
  <c r="E267" i="11"/>
  <c r="D267" i="11"/>
  <c r="C267" i="11"/>
  <c r="I266" i="11"/>
  <c r="F266" i="11"/>
  <c r="E266" i="11"/>
  <c r="D266" i="11"/>
  <c r="C266" i="11"/>
  <c r="I265" i="11"/>
  <c r="F265" i="11"/>
  <c r="E265" i="11"/>
  <c r="D265" i="11"/>
  <c r="C265" i="11"/>
  <c r="I264" i="11"/>
  <c r="F264" i="11"/>
  <c r="E264" i="11"/>
  <c r="D264" i="11"/>
  <c r="C264" i="11"/>
  <c r="I263" i="11"/>
  <c r="F263" i="11"/>
  <c r="E263" i="11"/>
  <c r="D263" i="11"/>
  <c r="C263" i="11"/>
  <c r="I262" i="11"/>
  <c r="F262" i="11"/>
  <c r="E262" i="11"/>
  <c r="D262" i="11"/>
  <c r="C262" i="11"/>
  <c r="I261" i="11"/>
  <c r="F261" i="11"/>
  <c r="E261" i="11"/>
  <c r="D261" i="11"/>
  <c r="C261" i="11"/>
  <c r="I260" i="11"/>
  <c r="F260" i="11"/>
  <c r="E260" i="11"/>
  <c r="D260" i="11"/>
  <c r="C260" i="11"/>
  <c r="I259" i="11"/>
  <c r="F259" i="11"/>
  <c r="E259" i="11"/>
  <c r="D259" i="11"/>
  <c r="C259" i="11"/>
  <c r="I258" i="11"/>
  <c r="F258" i="11"/>
  <c r="E258" i="11"/>
  <c r="D258" i="11"/>
  <c r="C258" i="11"/>
  <c r="I257" i="11"/>
  <c r="F257" i="11"/>
  <c r="E257" i="11"/>
  <c r="D257" i="11"/>
  <c r="C257" i="11"/>
  <c r="I256" i="11"/>
  <c r="F256" i="11"/>
  <c r="E256" i="11"/>
  <c r="D256" i="11"/>
  <c r="C256" i="11"/>
  <c r="I255" i="11"/>
  <c r="F255" i="11"/>
  <c r="E255" i="11"/>
  <c r="D255" i="11"/>
  <c r="C255" i="11"/>
  <c r="I254" i="11"/>
  <c r="F254" i="11"/>
  <c r="E254" i="11"/>
  <c r="D254" i="11"/>
  <c r="C254" i="11"/>
  <c r="I253" i="11"/>
  <c r="F253" i="11"/>
  <c r="E253" i="11"/>
  <c r="D253" i="11"/>
  <c r="C253" i="11"/>
  <c r="I252" i="11"/>
  <c r="F252" i="11"/>
  <c r="E252" i="11"/>
  <c r="D252" i="11"/>
  <c r="C252" i="11"/>
  <c r="I251" i="11"/>
  <c r="F251" i="11"/>
  <c r="E251" i="11"/>
  <c r="D251" i="11"/>
  <c r="C251" i="11"/>
  <c r="I250" i="11"/>
  <c r="F250" i="11"/>
  <c r="E250" i="11"/>
  <c r="D250" i="11"/>
  <c r="C250" i="11"/>
  <c r="I249" i="11"/>
  <c r="F249" i="11"/>
  <c r="E249" i="11"/>
  <c r="D249" i="11"/>
  <c r="C249" i="11"/>
  <c r="I248" i="11"/>
  <c r="F248" i="11"/>
  <c r="E248" i="11"/>
  <c r="D248" i="11"/>
  <c r="C248" i="11"/>
  <c r="I247" i="11"/>
  <c r="F247" i="11"/>
  <c r="E247" i="11"/>
  <c r="D247" i="11"/>
  <c r="C247" i="11"/>
  <c r="I246" i="11"/>
  <c r="F246" i="11"/>
  <c r="E246" i="11"/>
  <c r="D246" i="11"/>
  <c r="C246" i="11"/>
  <c r="I245" i="11"/>
  <c r="F245" i="11"/>
  <c r="E245" i="11"/>
  <c r="D245" i="11"/>
  <c r="C245" i="11"/>
  <c r="I244" i="11"/>
  <c r="F244" i="11"/>
  <c r="E244" i="11"/>
  <c r="D244" i="11"/>
  <c r="C244" i="11"/>
  <c r="I243" i="11"/>
  <c r="F243" i="11"/>
  <c r="E243" i="11"/>
  <c r="D243" i="11"/>
  <c r="C243" i="11"/>
  <c r="I242" i="11"/>
  <c r="F242" i="11"/>
  <c r="E242" i="11"/>
  <c r="D242" i="11"/>
  <c r="C242" i="11"/>
  <c r="I241" i="11"/>
  <c r="F241" i="11"/>
  <c r="E241" i="11"/>
  <c r="D241" i="11"/>
  <c r="C241" i="11"/>
  <c r="I240" i="11"/>
  <c r="F240" i="11"/>
  <c r="E240" i="11"/>
  <c r="D240" i="11"/>
  <c r="C240" i="11"/>
  <c r="I239" i="11"/>
  <c r="F239" i="11"/>
  <c r="E239" i="11"/>
  <c r="D239" i="11"/>
  <c r="C239" i="11"/>
  <c r="I238" i="11"/>
  <c r="F238" i="11"/>
  <c r="E238" i="11"/>
  <c r="D238" i="11"/>
  <c r="C238" i="11"/>
  <c r="I237" i="11"/>
  <c r="F237" i="11"/>
  <c r="E237" i="11"/>
  <c r="D237" i="11"/>
  <c r="C237" i="11"/>
  <c r="I236" i="11"/>
  <c r="F236" i="11"/>
  <c r="E236" i="11"/>
  <c r="D236" i="11"/>
  <c r="C236" i="11"/>
  <c r="I235" i="11"/>
  <c r="F235" i="11"/>
  <c r="E235" i="11"/>
  <c r="D235" i="11"/>
  <c r="C235" i="11"/>
  <c r="I234" i="11"/>
  <c r="F234" i="11"/>
  <c r="E234" i="11"/>
  <c r="D234" i="11"/>
  <c r="C234" i="11"/>
  <c r="I233" i="11"/>
  <c r="F233" i="11"/>
  <c r="E233" i="11"/>
  <c r="D233" i="11"/>
  <c r="C233" i="11"/>
  <c r="I232" i="11"/>
  <c r="F232" i="11"/>
  <c r="E232" i="11"/>
  <c r="D232" i="11"/>
  <c r="C232" i="11"/>
  <c r="I231" i="11"/>
  <c r="F231" i="11"/>
  <c r="E231" i="11"/>
  <c r="D231" i="11"/>
  <c r="C231" i="11"/>
  <c r="I230" i="11"/>
  <c r="F230" i="11"/>
  <c r="E230" i="11"/>
  <c r="D230" i="11"/>
  <c r="C230" i="11"/>
  <c r="I229" i="11"/>
  <c r="F229" i="11"/>
  <c r="E229" i="11"/>
  <c r="D229" i="11"/>
  <c r="C229" i="11"/>
  <c r="I228" i="11"/>
  <c r="F228" i="11"/>
  <c r="E228" i="11"/>
  <c r="D228" i="11"/>
  <c r="C228" i="11"/>
  <c r="I227" i="11"/>
  <c r="F227" i="11"/>
  <c r="E227" i="11"/>
  <c r="D227" i="11"/>
  <c r="C227" i="11"/>
  <c r="I226" i="11"/>
  <c r="F226" i="11"/>
  <c r="E226" i="11"/>
  <c r="D226" i="11"/>
  <c r="C226" i="11"/>
  <c r="I225" i="11"/>
  <c r="F225" i="11"/>
  <c r="E225" i="11"/>
  <c r="D225" i="11"/>
  <c r="C225" i="11"/>
  <c r="I224" i="11"/>
  <c r="F224" i="11"/>
  <c r="E224" i="11"/>
  <c r="D224" i="11"/>
  <c r="C224" i="11"/>
  <c r="I223" i="11"/>
  <c r="F223" i="11"/>
  <c r="E223" i="11"/>
  <c r="D223" i="11"/>
  <c r="C223" i="11"/>
  <c r="I222" i="11"/>
  <c r="F222" i="11"/>
  <c r="E222" i="11"/>
  <c r="D222" i="11"/>
  <c r="C222" i="11"/>
  <c r="I221" i="11"/>
  <c r="F221" i="11"/>
  <c r="E221" i="11"/>
  <c r="D221" i="11"/>
  <c r="C221" i="11"/>
  <c r="I220" i="11"/>
  <c r="F220" i="11"/>
  <c r="E220" i="11"/>
  <c r="D220" i="11"/>
  <c r="C220" i="11"/>
  <c r="I219" i="11"/>
  <c r="F219" i="11"/>
  <c r="E219" i="11"/>
  <c r="D219" i="11"/>
  <c r="C219" i="11"/>
  <c r="I218" i="11"/>
  <c r="F218" i="11"/>
  <c r="E218" i="11"/>
  <c r="D218" i="11"/>
  <c r="C218" i="11"/>
  <c r="I217" i="11"/>
  <c r="F217" i="11"/>
  <c r="E217" i="11"/>
  <c r="D217" i="11"/>
  <c r="C217" i="11"/>
  <c r="I216" i="11"/>
  <c r="F216" i="11"/>
  <c r="E216" i="11"/>
  <c r="D216" i="11"/>
  <c r="C216" i="11"/>
  <c r="I215" i="11"/>
  <c r="F215" i="11"/>
  <c r="E215" i="11"/>
  <c r="D215" i="11"/>
  <c r="C215" i="11"/>
  <c r="I214" i="11"/>
  <c r="F214" i="11"/>
  <c r="E214" i="11"/>
  <c r="D214" i="11"/>
  <c r="C214" i="11"/>
  <c r="I213" i="11"/>
  <c r="F213" i="11"/>
  <c r="E213" i="11"/>
  <c r="D213" i="11"/>
  <c r="C213" i="11"/>
  <c r="I212" i="11"/>
  <c r="F212" i="11"/>
  <c r="E212" i="11"/>
  <c r="D212" i="11"/>
  <c r="C212" i="11"/>
  <c r="I211" i="11"/>
  <c r="F211" i="11"/>
  <c r="E211" i="11"/>
  <c r="D211" i="11"/>
  <c r="C211" i="11"/>
  <c r="I210" i="11"/>
  <c r="F210" i="11"/>
  <c r="E210" i="11"/>
  <c r="D210" i="11"/>
  <c r="C210" i="11"/>
  <c r="I209" i="11"/>
  <c r="F209" i="11"/>
  <c r="E209" i="11"/>
  <c r="D209" i="11"/>
  <c r="C209" i="11"/>
  <c r="I208" i="11"/>
  <c r="F208" i="11"/>
  <c r="E208" i="11"/>
  <c r="D208" i="11"/>
  <c r="C208" i="11"/>
  <c r="I207" i="11"/>
  <c r="F207" i="11"/>
  <c r="E207" i="11"/>
  <c r="D207" i="11"/>
  <c r="C207" i="11"/>
  <c r="I206" i="11"/>
  <c r="F206" i="11"/>
  <c r="E206" i="11"/>
  <c r="D206" i="11"/>
  <c r="C206" i="11"/>
  <c r="I205" i="11"/>
  <c r="F205" i="11"/>
  <c r="E205" i="11"/>
  <c r="D205" i="11"/>
  <c r="C205" i="11"/>
  <c r="I204" i="11"/>
  <c r="F204" i="11"/>
  <c r="E204" i="11"/>
  <c r="D204" i="11"/>
  <c r="C204" i="11"/>
  <c r="I203" i="11"/>
  <c r="F203" i="11"/>
  <c r="E203" i="11"/>
  <c r="D203" i="11"/>
  <c r="C203" i="11"/>
  <c r="I202" i="11"/>
  <c r="F202" i="11"/>
  <c r="E202" i="11"/>
  <c r="D202" i="11"/>
  <c r="C202" i="11"/>
  <c r="I201" i="11"/>
  <c r="F201" i="11"/>
  <c r="E201" i="11"/>
  <c r="D201" i="11"/>
  <c r="C201" i="11"/>
  <c r="I200" i="11"/>
  <c r="F200" i="11"/>
  <c r="E200" i="11"/>
  <c r="D200" i="11"/>
  <c r="C200" i="11"/>
  <c r="I199" i="11"/>
  <c r="F199" i="11"/>
  <c r="E199" i="11"/>
  <c r="D199" i="11"/>
  <c r="C199" i="11"/>
  <c r="I198" i="11"/>
  <c r="F198" i="11"/>
  <c r="E198" i="11"/>
  <c r="D198" i="11"/>
  <c r="C198" i="11"/>
  <c r="I197" i="11"/>
  <c r="F197" i="11"/>
  <c r="E197" i="11"/>
  <c r="D197" i="11"/>
  <c r="C197" i="11"/>
  <c r="I196" i="11"/>
  <c r="F196" i="11"/>
  <c r="E196" i="11"/>
  <c r="D196" i="11"/>
  <c r="C196" i="11"/>
  <c r="I195" i="11"/>
  <c r="F195" i="11"/>
  <c r="E195" i="11"/>
  <c r="D195" i="11"/>
  <c r="C195" i="11"/>
  <c r="I194" i="11"/>
  <c r="F194" i="11"/>
  <c r="E194" i="11"/>
  <c r="D194" i="11"/>
  <c r="C194" i="11"/>
  <c r="I193" i="11"/>
  <c r="F193" i="11"/>
  <c r="E193" i="11"/>
  <c r="D193" i="11"/>
  <c r="C193" i="11"/>
  <c r="I192" i="11"/>
  <c r="F192" i="11"/>
  <c r="E192" i="11"/>
  <c r="D192" i="11"/>
  <c r="C192" i="11"/>
  <c r="I191" i="11"/>
  <c r="F191" i="11"/>
  <c r="E191" i="11"/>
  <c r="D191" i="11"/>
  <c r="C191" i="11"/>
  <c r="I190" i="11"/>
  <c r="F190" i="11"/>
  <c r="E190" i="11"/>
  <c r="D190" i="11"/>
  <c r="C190" i="11"/>
  <c r="I189" i="11"/>
  <c r="F189" i="11"/>
  <c r="E189" i="11"/>
  <c r="D189" i="11"/>
  <c r="C189" i="11"/>
  <c r="I188" i="11"/>
  <c r="F188" i="11"/>
  <c r="E188" i="11"/>
  <c r="D188" i="11"/>
  <c r="C188" i="11"/>
  <c r="I187" i="11"/>
  <c r="F187" i="11"/>
  <c r="E187" i="11"/>
  <c r="D187" i="11"/>
  <c r="C187" i="11"/>
  <c r="I186" i="11"/>
  <c r="F186" i="11"/>
  <c r="E186" i="11"/>
  <c r="D186" i="11"/>
  <c r="C186" i="11"/>
  <c r="I185" i="11"/>
  <c r="F185" i="11"/>
  <c r="E185" i="11"/>
  <c r="D185" i="11"/>
  <c r="C185" i="11"/>
  <c r="I184" i="11"/>
  <c r="F184" i="11"/>
  <c r="E184" i="11"/>
  <c r="D184" i="11"/>
  <c r="C184" i="11"/>
  <c r="I183" i="11"/>
  <c r="F183" i="11"/>
  <c r="E183" i="11"/>
  <c r="D183" i="11"/>
  <c r="C183" i="11"/>
  <c r="I182" i="11"/>
  <c r="F182" i="11"/>
  <c r="E182" i="11"/>
  <c r="D182" i="11"/>
  <c r="C182" i="11"/>
  <c r="I181" i="11"/>
  <c r="F181" i="11"/>
  <c r="E181" i="11"/>
  <c r="D181" i="11"/>
  <c r="C181" i="11"/>
  <c r="I180" i="11"/>
  <c r="F180" i="11"/>
  <c r="E180" i="11"/>
  <c r="D180" i="11"/>
  <c r="C180" i="11"/>
  <c r="I179" i="11"/>
  <c r="F179" i="11"/>
  <c r="E179" i="11"/>
  <c r="D179" i="11"/>
  <c r="C179" i="11"/>
  <c r="I178" i="11"/>
  <c r="F178" i="11"/>
  <c r="E178" i="11"/>
  <c r="D178" i="11"/>
  <c r="C178" i="11"/>
  <c r="I177" i="11"/>
  <c r="F177" i="11"/>
  <c r="E177" i="11"/>
  <c r="D177" i="11"/>
  <c r="C177" i="11"/>
  <c r="I176" i="11"/>
  <c r="F176" i="11"/>
  <c r="E176" i="11"/>
  <c r="D176" i="11"/>
  <c r="C176" i="11"/>
  <c r="I175" i="11"/>
  <c r="F175" i="11"/>
  <c r="E175" i="11"/>
  <c r="D175" i="11"/>
  <c r="C175" i="11"/>
  <c r="I174" i="11"/>
  <c r="F174" i="11"/>
  <c r="E174" i="11"/>
  <c r="D174" i="11"/>
  <c r="C174" i="11"/>
  <c r="I173" i="11"/>
  <c r="F173" i="11"/>
  <c r="E173" i="11"/>
  <c r="D173" i="11"/>
  <c r="C173" i="11"/>
  <c r="I172" i="11"/>
  <c r="F172" i="11"/>
  <c r="E172" i="11"/>
  <c r="D172" i="11"/>
  <c r="C172" i="11"/>
  <c r="I171" i="11"/>
  <c r="F171" i="11"/>
  <c r="E171" i="11"/>
  <c r="D171" i="11"/>
  <c r="C171" i="11"/>
  <c r="I170" i="11"/>
  <c r="F170" i="11"/>
  <c r="E170" i="11"/>
  <c r="D170" i="11"/>
  <c r="C170" i="11"/>
  <c r="I169" i="11"/>
  <c r="F169" i="11"/>
  <c r="E169" i="11"/>
  <c r="D169" i="11"/>
  <c r="C169" i="11"/>
  <c r="I168" i="11"/>
  <c r="F168" i="11"/>
  <c r="E168" i="11"/>
  <c r="D168" i="11"/>
  <c r="C168" i="11"/>
  <c r="I167" i="11"/>
  <c r="F167" i="11"/>
  <c r="E167" i="11"/>
  <c r="D167" i="11"/>
  <c r="C167" i="11"/>
  <c r="I166" i="11"/>
  <c r="F166" i="11"/>
  <c r="E166" i="11"/>
  <c r="D166" i="11"/>
  <c r="C166" i="11"/>
  <c r="I165" i="11"/>
  <c r="F165" i="11"/>
  <c r="E165" i="11"/>
  <c r="D165" i="11"/>
  <c r="C165" i="11"/>
  <c r="I164" i="11"/>
  <c r="F164" i="11"/>
  <c r="E164" i="11"/>
  <c r="D164" i="11"/>
  <c r="C164" i="11"/>
  <c r="I163" i="11"/>
  <c r="F163" i="11"/>
  <c r="E163" i="11"/>
  <c r="D163" i="11"/>
  <c r="C163" i="11"/>
  <c r="I162" i="11"/>
  <c r="F162" i="11"/>
  <c r="E162" i="11"/>
  <c r="D162" i="11"/>
  <c r="C162" i="11"/>
  <c r="I161" i="11"/>
  <c r="F161" i="11"/>
  <c r="E161" i="11"/>
  <c r="D161" i="11"/>
  <c r="C161" i="11"/>
  <c r="I160" i="11"/>
  <c r="F160" i="11"/>
  <c r="E160" i="11"/>
  <c r="D160" i="11"/>
  <c r="C160" i="11"/>
  <c r="I159" i="11"/>
  <c r="F159" i="11"/>
  <c r="E159" i="11"/>
  <c r="D159" i="11"/>
  <c r="C159" i="11"/>
  <c r="I158" i="11"/>
  <c r="F158" i="11"/>
  <c r="E158" i="11"/>
  <c r="D158" i="11"/>
  <c r="C158" i="11"/>
  <c r="I157" i="11"/>
  <c r="F157" i="11"/>
  <c r="E157" i="11"/>
  <c r="D157" i="11"/>
  <c r="C157" i="11"/>
  <c r="I156" i="11"/>
  <c r="F156" i="11"/>
  <c r="E156" i="11"/>
  <c r="D156" i="11"/>
  <c r="C156" i="11"/>
  <c r="I155" i="11"/>
  <c r="F155" i="11"/>
  <c r="E155" i="11"/>
  <c r="D155" i="11"/>
  <c r="C155" i="11"/>
  <c r="I154" i="11"/>
  <c r="F154" i="11"/>
  <c r="E154" i="11"/>
  <c r="D154" i="11"/>
  <c r="C154" i="11"/>
  <c r="I153" i="11"/>
  <c r="F153" i="11"/>
  <c r="E153" i="11"/>
  <c r="D153" i="11"/>
  <c r="C153" i="11"/>
  <c r="I152" i="11"/>
  <c r="F152" i="11"/>
  <c r="E152" i="11"/>
  <c r="D152" i="11"/>
  <c r="C152" i="11"/>
  <c r="I151" i="11"/>
  <c r="F151" i="11"/>
  <c r="E151" i="11"/>
  <c r="D151" i="11"/>
  <c r="C151" i="11"/>
  <c r="I150" i="11"/>
  <c r="F150" i="11"/>
  <c r="E150" i="11"/>
  <c r="D150" i="11"/>
  <c r="C150" i="11"/>
  <c r="I149" i="11"/>
  <c r="F149" i="11"/>
  <c r="E149" i="11"/>
  <c r="D149" i="11"/>
  <c r="C149" i="11"/>
  <c r="I148" i="11"/>
  <c r="F148" i="11"/>
  <c r="E148" i="11"/>
  <c r="D148" i="11"/>
  <c r="C148" i="11"/>
  <c r="I147" i="11"/>
  <c r="F147" i="11"/>
  <c r="E147" i="11"/>
  <c r="D147" i="11"/>
  <c r="C147" i="11"/>
  <c r="I146" i="11"/>
  <c r="F146" i="11"/>
  <c r="E146" i="11"/>
  <c r="D146" i="11"/>
  <c r="C146" i="11"/>
  <c r="I145" i="11"/>
  <c r="F145" i="11"/>
  <c r="E145" i="11"/>
  <c r="D145" i="11"/>
  <c r="C145" i="11"/>
  <c r="I144" i="11"/>
  <c r="F144" i="11"/>
  <c r="E144" i="11"/>
  <c r="D144" i="11"/>
  <c r="C144" i="11"/>
  <c r="I143" i="11"/>
  <c r="F143" i="11"/>
  <c r="E143" i="11"/>
  <c r="D143" i="11"/>
  <c r="C143" i="11"/>
  <c r="I142" i="11"/>
  <c r="F142" i="11"/>
  <c r="E142" i="11"/>
  <c r="D142" i="11"/>
  <c r="C142" i="11"/>
  <c r="I141" i="11"/>
  <c r="F141" i="11"/>
  <c r="E141" i="11"/>
  <c r="D141" i="11"/>
  <c r="C141" i="11"/>
  <c r="I140" i="11"/>
  <c r="F140" i="11"/>
  <c r="E140" i="11"/>
  <c r="D140" i="11"/>
  <c r="C140" i="11"/>
  <c r="I139" i="11"/>
  <c r="F139" i="11"/>
  <c r="E139" i="11"/>
  <c r="D139" i="11"/>
  <c r="C139" i="11"/>
  <c r="I138" i="11"/>
  <c r="F138" i="11"/>
  <c r="E138" i="11"/>
  <c r="D138" i="11"/>
  <c r="C138" i="11"/>
  <c r="I137" i="11"/>
  <c r="F137" i="11"/>
  <c r="E137" i="11"/>
  <c r="D137" i="11"/>
  <c r="C137" i="11"/>
  <c r="I136" i="11"/>
  <c r="F136" i="11"/>
  <c r="E136" i="11"/>
  <c r="D136" i="11"/>
  <c r="C136" i="11"/>
  <c r="I135" i="11"/>
  <c r="F135" i="11"/>
  <c r="E135" i="11"/>
  <c r="D135" i="11"/>
  <c r="C135" i="11"/>
  <c r="I134" i="11"/>
  <c r="F134" i="11"/>
  <c r="E134" i="11"/>
  <c r="D134" i="11"/>
  <c r="C134" i="11"/>
  <c r="I133" i="11"/>
  <c r="F133" i="11"/>
  <c r="E133" i="11"/>
  <c r="D133" i="11"/>
  <c r="C133" i="11"/>
  <c r="I132" i="11"/>
  <c r="F132" i="11"/>
  <c r="E132" i="11"/>
  <c r="D132" i="11"/>
  <c r="C132" i="11"/>
  <c r="I131" i="11"/>
  <c r="F131" i="11"/>
  <c r="E131" i="11"/>
  <c r="D131" i="11"/>
  <c r="C131" i="11"/>
  <c r="I130" i="11"/>
  <c r="F130" i="11"/>
  <c r="E130" i="11"/>
  <c r="D130" i="11"/>
  <c r="C130" i="11"/>
  <c r="I129" i="11"/>
  <c r="F129" i="11"/>
  <c r="E129" i="11"/>
  <c r="D129" i="11"/>
  <c r="C129" i="11"/>
  <c r="I128" i="11"/>
  <c r="F128" i="11"/>
  <c r="E128" i="11"/>
  <c r="D128" i="11"/>
  <c r="C128" i="11"/>
  <c r="I127" i="11"/>
  <c r="F127" i="11"/>
  <c r="E127" i="11"/>
  <c r="D127" i="11"/>
  <c r="C127" i="11"/>
  <c r="I126" i="11"/>
  <c r="F126" i="11"/>
  <c r="E126" i="11"/>
  <c r="D126" i="11"/>
  <c r="C126" i="11"/>
  <c r="I125" i="11"/>
  <c r="F125" i="11"/>
  <c r="E125" i="11"/>
  <c r="D125" i="11"/>
  <c r="C125" i="11"/>
  <c r="I124" i="11"/>
  <c r="F124" i="11"/>
  <c r="E124" i="11"/>
  <c r="D124" i="11"/>
  <c r="C124" i="11"/>
  <c r="I123" i="11"/>
  <c r="F123" i="11"/>
  <c r="E123" i="11"/>
  <c r="D123" i="11"/>
  <c r="C123" i="11"/>
  <c r="I122" i="11"/>
  <c r="F122" i="11"/>
  <c r="E122" i="11"/>
  <c r="D122" i="11"/>
  <c r="C122" i="11"/>
  <c r="I121" i="11"/>
  <c r="F121" i="11"/>
  <c r="E121" i="11"/>
  <c r="D121" i="11"/>
  <c r="C121" i="11"/>
  <c r="I120" i="11"/>
  <c r="F120" i="11"/>
  <c r="E120" i="11"/>
  <c r="D120" i="11"/>
  <c r="C120" i="11"/>
  <c r="I119" i="11"/>
  <c r="F119" i="11"/>
  <c r="E119" i="11"/>
  <c r="D119" i="11"/>
  <c r="C119" i="11"/>
  <c r="I118" i="11"/>
  <c r="F118" i="11"/>
  <c r="E118" i="11"/>
  <c r="D118" i="11"/>
  <c r="C118" i="11"/>
  <c r="I117" i="11"/>
  <c r="F117" i="11"/>
  <c r="E117" i="11"/>
  <c r="D117" i="11"/>
  <c r="C117" i="11"/>
  <c r="I116" i="11"/>
  <c r="F116" i="11"/>
  <c r="E116" i="11"/>
  <c r="D116" i="11"/>
  <c r="C116" i="11"/>
  <c r="I115" i="11"/>
  <c r="F115" i="11"/>
  <c r="E115" i="11"/>
  <c r="D115" i="11"/>
  <c r="C115" i="11"/>
  <c r="I114" i="11"/>
  <c r="F114" i="11"/>
  <c r="E114" i="11"/>
  <c r="D114" i="11"/>
  <c r="C114" i="11"/>
  <c r="I113" i="11"/>
  <c r="F113" i="11"/>
  <c r="E113" i="11"/>
  <c r="D113" i="11"/>
  <c r="C113" i="11"/>
  <c r="I112" i="11"/>
  <c r="F112" i="11"/>
  <c r="E112" i="11"/>
  <c r="D112" i="11"/>
  <c r="C112" i="11"/>
  <c r="I111" i="11"/>
  <c r="F111" i="11"/>
  <c r="E111" i="11"/>
  <c r="D111" i="11"/>
  <c r="C111" i="11"/>
  <c r="I110" i="11"/>
  <c r="F110" i="11"/>
  <c r="E110" i="11"/>
  <c r="D110" i="11"/>
  <c r="C110" i="11"/>
  <c r="I109" i="11"/>
  <c r="F109" i="11"/>
  <c r="E109" i="11"/>
  <c r="D109" i="11"/>
  <c r="C109" i="11"/>
  <c r="I108" i="11"/>
  <c r="F108" i="11"/>
  <c r="E108" i="11"/>
  <c r="D108" i="11"/>
  <c r="C108" i="11"/>
  <c r="I107" i="11"/>
  <c r="F107" i="11"/>
  <c r="E107" i="11"/>
  <c r="D107" i="11"/>
  <c r="C107" i="11"/>
  <c r="I106" i="11"/>
  <c r="F106" i="11"/>
  <c r="E106" i="11"/>
  <c r="D106" i="11"/>
  <c r="C106" i="11"/>
  <c r="I105" i="11"/>
  <c r="F105" i="11"/>
  <c r="E105" i="11"/>
  <c r="D105" i="11"/>
  <c r="C105" i="11"/>
  <c r="I104" i="11"/>
  <c r="F104" i="11"/>
  <c r="E104" i="11"/>
  <c r="D104" i="11"/>
  <c r="C104" i="11"/>
  <c r="T103" i="11"/>
  <c r="I103" i="11"/>
  <c r="F103" i="11"/>
  <c r="E103" i="11"/>
  <c r="D103" i="11"/>
  <c r="C103" i="11"/>
  <c r="T102" i="11"/>
  <c r="I102" i="11"/>
  <c r="F102" i="11"/>
  <c r="E102" i="11"/>
  <c r="D102" i="11"/>
  <c r="C102" i="11"/>
  <c r="T101" i="11"/>
  <c r="I101" i="11"/>
  <c r="F101" i="11"/>
  <c r="E101" i="11"/>
  <c r="D101" i="11"/>
  <c r="C101" i="11"/>
  <c r="T100" i="11"/>
  <c r="I100" i="11"/>
  <c r="F100" i="11"/>
  <c r="E100" i="11"/>
  <c r="D100" i="11"/>
  <c r="C100" i="11"/>
  <c r="T99" i="11"/>
  <c r="I99" i="11"/>
  <c r="F99" i="11"/>
  <c r="E99" i="11"/>
  <c r="D99" i="11"/>
  <c r="C99" i="11"/>
  <c r="T98" i="11"/>
  <c r="I98" i="11"/>
  <c r="F98" i="11"/>
  <c r="E98" i="11"/>
  <c r="D98" i="11"/>
  <c r="C98" i="11"/>
  <c r="T97" i="11"/>
  <c r="I97" i="11"/>
  <c r="F97" i="11"/>
  <c r="E97" i="11"/>
  <c r="D97" i="11"/>
  <c r="C97" i="11"/>
  <c r="T96" i="11"/>
  <c r="I96" i="11"/>
  <c r="F96" i="11"/>
  <c r="E96" i="11"/>
  <c r="D96" i="11"/>
  <c r="C96" i="11"/>
  <c r="T95" i="11"/>
  <c r="I95" i="11"/>
  <c r="F95" i="11"/>
  <c r="E95" i="11"/>
  <c r="D95" i="11"/>
  <c r="C95" i="11"/>
  <c r="T94" i="11"/>
  <c r="I94" i="11"/>
  <c r="F94" i="11"/>
  <c r="E94" i="11"/>
  <c r="D94" i="11"/>
  <c r="C94" i="11"/>
  <c r="T93" i="11"/>
  <c r="I93" i="11"/>
  <c r="F93" i="11"/>
  <c r="E93" i="11"/>
  <c r="D93" i="11"/>
  <c r="C93" i="11"/>
  <c r="T92" i="11"/>
  <c r="I92" i="11"/>
  <c r="F92" i="11"/>
  <c r="E92" i="11"/>
  <c r="D92" i="11"/>
  <c r="C92" i="11"/>
  <c r="T91" i="11"/>
  <c r="I91" i="11"/>
  <c r="F91" i="11"/>
  <c r="E91" i="11"/>
  <c r="D91" i="11"/>
  <c r="C91" i="11"/>
  <c r="T90" i="11"/>
  <c r="I90" i="11"/>
  <c r="F90" i="11"/>
  <c r="E90" i="11"/>
  <c r="D90" i="11"/>
  <c r="C90" i="11"/>
  <c r="T89" i="11"/>
  <c r="I89" i="11"/>
  <c r="F89" i="11"/>
  <c r="E89" i="11"/>
  <c r="D89" i="11"/>
  <c r="C89" i="11"/>
  <c r="T88" i="11"/>
  <c r="I88" i="11"/>
  <c r="F88" i="11"/>
  <c r="E88" i="11"/>
  <c r="D88" i="11"/>
  <c r="C88" i="11"/>
  <c r="T87" i="11"/>
  <c r="I87" i="11"/>
  <c r="F87" i="11"/>
  <c r="E87" i="11"/>
  <c r="D87" i="11"/>
  <c r="C87" i="11"/>
  <c r="T86" i="11"/>
  <c r="I86" i="11"/>
  <c r="F86" i="11"/>
  <c r="E86" i="11"/>
  <c r="D86" i="11"/>
  <c r="C86" i="11"/>
  <c r="T85" i="11"/>
  <c r="I85" i="11"/>
  <c r="F85" i="11"/>
  <c r="E85" i="11"/>
  <c r="D85" i="11"/>
  <c r="C85" i="11"/>
  <c r="T84" i="11"/>
  <c r="I84" i="11"/>
  <c r="F84" i="11"/>
  <c r="E84" i="11"/>
  <c r="D84" i="11"/>
  <c r="C84" i="11"/>
  <c r="T83" i="11"/>
  <c r="I83" i="11"/>
  <c r="F83" i="11"/>
  <c r="E83" i="11"/>
  <c r="D83" i="11"/>
  <c r="C83" i="11"/>
  <c r="T82" i="11"/>
  <c r="I82" i="11"/>
  <c r="F82" i="11"/>
  <c r="E82" i="11"/>
  <c r="D82" i="11"/>
  <c r="C82" i="11"/>
  <c r="T81" i="11"/>
  <c r="I81" i="11"/>
  <c r="F81" i="11"/>
  <c r="E81" i="11"/>
  <c r="D81" i="11"/>
  <c r="C81" i="11"/>
  <c r="T80" i="11"/>
  <c r="I80" i="11"/>
  <c r="F80" i="11"/>
  <c r="E80" i="11"/>
  <c r="D80" i="11"/>
  <c r="C80" i="11"/>
  <c r="T79" i="11"/>
  <c r="I79" i="11"/>
  <c r="F79" i="11"/>
  <c r="E79" i="11"/>
  <c r="D79" i="11"/>
  <c r="C79" i="11"/>
  <c r="T78" i="11"/>
  <c r="I78" i="11"/>
  <c r="F78" i="11"/>
  <c r="E78" i="11"/>
  <c r="D78" i="11"/>
  <c r="C78" i="11"/>
  <c r="T77" i="11"/>
  <c r="I77" i="11"/>
  <c r="F77" i="11"/>
  <c r="E77" i="11"/>
  <c r="D77" i="11"/>
  <c r="C77" i="11"/>
  <c r="T76" i="11"/>
  <c r="I76" i="11"/>
  <c r="F76" i="11"/>
  <c r="E76" i="11"/>
  <c r="D76" i="11"/>
  <c r="C76" i="11"/>
  <c r="T75" i="11"/>
  <c r="I75" i="11"/>
  <c r="F75" i="11"/>
  <c r="E75" i="11"/>
  <c r="D75" i="11"/>
  <c r="C75" i="11"/>
  <c r="T74" i="11"/>
  <c r="I74" i="11"/>
  <c r="F74" i="11"/>
  <c r="E74" i="11"/>
  <c r="D74" i="11"/>
  <c r="C74" i="11"/>
  <c r="T73" i="11"/>
  <c r="I73" i="11"/>
  <c r="F73" i="11"/>
  <c r="E73" i="11"/>
  <c r="D73" i="11"/>
  <c r="C73" i="11"/>
  <c r="T72" i="11"/>
  <c r="I72" i="11"/>
  <c r="F72" i="11"/>
  <c r="E72" i="11"/>
  <c r="D72" i="11"/>
  <c r="C72" i="11"/>
  <c r="T71" i="11"/>
  <c r="I71" i="11"/>
  <c r="F71" i="11"/>
  <c r="E71" i="11"/>
  <c r="D71" i="11"/>
  <c r="C71" i="11"/>
  <c r="T70" i="11"/>
  <c r="I70" i="11"/>
  <c r="F70" i="11"/>
  <c r="E70" i="11"/>
  <c r="D70" i="11"/>
  <c r="C70" i="11"/>
  <c r="T69" i="11"/>
  <c r="I69" i="11"/>
  <c r="F69" i="11"/>
  <c r="E69" i="11"/>
  <c r="D69" i="11"/>
  <c r="C69" i="11"/>
  <c r="T68" i="11"/>
  <c r="I68" i="11"/>
  <c r="F68" i="11"/>
  <c r="E68" i="11"/>
  <c r="D68" i="11"/>
  <c r="C68" i="11"/>
  <c r="T67" i="11"/>
  <c r="I67" i="11"/>
  <c r="F67" i="11"/>
  <c r="E67" i="11"/>
  <c r="D67" i="11"/>
  <c r="C67" i="11"/>
  <c r="T66" i="11"/>
  <c r="I66" i="11"/>
  <c r="F66" i="11"/>
  <c r="E66" i="11"/>
  <c r="D66" i="11"/>
  <c r="C66" i="11"/>
  <c r="T65" i="11"/>
  <c r="I65" i="11"/>
  <c r="F65" i="11"/>
  <c r="E65" i="11"/>
  <c r="D65" i="11"/>
  <c r="C65" i="11"/>
  <c r="T64" i="11"/>
  <c r="I64" i="11"/>
  <c r="F64" i="11"/>
  <c r="E64" i="11"/>
  <c r="D64" i="11"/>
  <c r="C64" i="11"/>
  <c r="T63" i="11"/>
  <c r="I63" i="11"/>
  <c r="F63" i="11"/>
  <c r="E63" i="11"/>
  <c r="D63" i="11"/>
  <c r="C63" i="11"/>
  <c r="T62" i="11"/>
  <c r="I62" i="11"/>
  <c r="F62" i="11"/>
  <c r="E62" i="11"/>
  <c r="D62" i="11"/>
  <c r="C62" i="11"/>
  <c r="T61" i="11"/>
  <c r="I61" i="11"/>
  <c r="F61" i="11"/>
  <c r="E61" i="11"/>
  <c r="D61" i="11"/>
  <c r="C61" i="11"/>
  <c r="T60" i="11"/>
  <c r="I60" i="11"/>
  <c r="F60" i="11"/>
  <c r="E60" i="11"/>
  <c r="D60" i="11"/>
  <c r="C60" i="11"/>
  <c r="T59" i="11"/>
  <c r="I59" i="11"/>
  <c r="F59" i="11"/>
  <c r="E59" i="11"/>
  <c r="D59" i="11"/>
  <c r="C59" i="11"/>
  <c r="T58" i="11"/>
  <c r="I58" i="11"/>
  <c r="F58" i="11"/>
  <c r="E58" i="11"/>
  <c r="D58" i="11"/>
  <c r="C58" i="11"/>
  <c r="T57" i="11"/>
  <c r="I57" i="11"/>
  <c r="F57" i="11"/>
  <c r="E57" i="11"/>
  <c r="D57" i="11"/>
  <c r="C57" i="11"/>
  <c r="T56" i="11"/>
  <c r="I56" i="11"/>
  <c r="F56" i="11"/>
  <c r="E56" i="11"/>
  <c r="D56" i="11"/>
  <c r="C56" i="11"/>
  <c r="T55" i="11"/>
  <c r="I55" i="11"/>
  <c r="F55" i="11"/>
  <c r="E55" i="11"/>
  <c r="D55" i="11"/>
  <c r="C55" i="11"/>
  <c r="T54" i="11"/>
  <c r="I54" i="11"/>
  <c r="F54" i="11"/>
  <c r="E54" i="11"/>
  <c r="D54" i="11"/>
  <c r="C54" i="11"/>
  <c r="T53" i="11"/>
  <c r="I53" i="11"/>
  <c r="F53" i="11"/>
  <c r="E53" i="11"/>
  <c r="D53" i="11"/>
  <c r="C53" i="11"/>
  <c r="T52" i="11"/>
  <c r="I52" i="11"/>
  <c r="F52" i="11"/>
  <c r="E52" i="11"/>
  <c r="D52" i="11"/>
  <c r="C52" i="11"/>
  <c r="T51" i="11"/>
  <c r="I51" i="11"/>
  <c r="F51" i="11"/>
  <c r="E51" i="11"/>
  <c r="D51" i="11"/>
  <c r="C51" i="11"/>
  <c r="T50" i="11"/>
  <c r="I50" i="11"/>
  <c r="F50" i="11"/>
  <c r="E50" i="11"/>
  <c r="D50" i="11"/>
  <c r="C50" i="11"/>
  <c r="T49" i="11"/>
  <c r="I49" i="11"/>
  <c r="F49" i="11"/>
  <c r="E49" i="11"/>
  <c r="D49" i="11"/>
  <c r="C49" i="11"/>
  <c r="T48" i="11"/>
  <c r="I48" i="11"/>
  <c r="F48" i="11"/>
  <c r="E48" i="11"/>
  <c r="D48" i="11"/>
  <c r="C48" i="11"/>
  <c r="T47" i="11"/>
  <c r="I47" i="11"/>
  <c r="F47" i="11"/>
  <c r="E47" i="11"/>
  <c r="D47" i="11"/>
  <c r="C47" i="11"/>
  <c r="T46" i="11"/>
  <c r="I46" i="11"/>
  <c r="F46" i="11"/>
  <c r="E46" i="11"/>
  <c r="D46" i="11"/>
  <c r="C46" i="11"/>
  <c r="T45" i="11"/>
  <c r="I45" i="11"/>
  <c r="F45" i="11"/>
  <c r="E45" i="11"/>
  <c r="D45" i="11"/>
  <c r="C45" i="11"/>
  <c r="T44" i="11"/>
  <c r="I44" i="11"/>
  <c r="F44" i="11"/>
  <c r="E44" i="11"/>
  <c r="D44" i="11"/>
  <c r="C44" i="11"/>
  <c r="T43" i="11"/>
  <c r="I43" i="11"/>
  <c r="F43" i="11"/>
  <c r="E43" i="11"/>
  <c r="D43" i="11"/>
  <c r="C43" i="11"/>
  <c r="T42" i="11"/>
  <c r="I42" i="11"/>
  <c r="F42" i="11"/>
  <c r="E42" i="11"/>
  <c r="D42" i="11"/>
  <c r="C42" i="11"/>
  <c r="T41" i="11"/>
  <c r="I41" i="11"/>
  <c r="F41" i="11"/>
  <c r="E41" i="11"/>
  <c r="D41" i="11"/>
  <c r="C41" i="11"/>
  <c r="T40" i="11"/>
  <c r="I40" i="11"/>
  <c r="F40" i="11"/>
  <c r="E40" i="11"/>
  <c r="D40" i="11"/>
  <c r="C40" i="11"/>
  <c r="T39" i="11"/>
  <c r="I39" i="11"/>
  <c r="F39" i="11"/>
  <c r="E39" i="11"/>
  <c r="D39" i="11"/>
  <c r="C39" i="11"/>
  <c r="T38" i="11"/>
  <c r="I38" i="11"/>
  <c r="F38" i="11"/>
  <c r="E38" i="11"/>
  <c r="D38" i="11"/>
  <c r="C38" i="11"/>
  <c r="T37" i="11"/>
  <c r="I37" i="11"/>
  <c r="F37" i="11"/>
  <c r="E37" i="11"/>
  <c r="D37" i="11"/>
  <c r="C37" i="11"/>
  <c r="T36" i="11"/>
  <c r="I36" i="11"/>
  <c r="F36" i="11"/>
  <c r="E36" i="11"/>
  <c r="D36" i="11"/>
  <c r="C36" i="11"/>
  <c r="T35" i="11"/>
  <c r="I35" i="11"/>
  <c r="F35" i="11"/>
  <c r="E35" i="11"/>
  <c r="D35" i="11"/>
  <c r="C35" i="11"/>
  <c r="T34" i="11"/>
  <c r="I34" i="11"/>
  <c r="F34" i="11"/>
  <c r="E34" i="11"/>
  <c r="D34" i="11"/>
  <c r="C34" i="11"/>
  <c r="T33" i="11"/>
  <c r="I33" i="11"/>
  <c r="F33" i="11"/>
  <c r="E33" i="11"/>
  <c r="D33" i="11"/>
  <c r="C33" i="11"/>
  <c r="T32" i="11"/>
  <c r="I32" i="11"/>
  <c r="F32" i="11"/>
  <c r="E32" i="11"/>
  <c r="D32" i="11"/>
  <c r="C32" i="11"/>
  <c r="T31" i="11"/>
  <c r="I31" i="11"/>
  <c r="F31" i="11"/>
  <c r="E31" i="11"/>
  <c r="D31" i="11"/>
  <c r="C31" i="11"/>
  <c r="T30" i="11"/>
  <c r="I30" i="11"/>
  <c r="F30" i="11"/>
  <c r="E30" i="11"/>
  <c r="D30" i="11"/>
  <c r="C30" i="11"/>
  <c r="T29" i="11"/>
  <c r="I29" i="11"/>
  <c r="F29" i="11"/>
  <c r="E29" i="11"/>
  <c r="D29" i="11"/>
  <c r="C29" i="11"/>
  <c r="T28" i="11"/>
  <c r="I28" i="11"/>
  <c r="F28" i="11"/>
  <c r="E28" i="11"/>
  <c r="D28" i="11"/>
  <c r="C28" i="11"/>
  <c r="T27" i="11"/>
  <c r="I27" i="11"/>
  <c r="F27" i="11"/>
  <c r="E27" i="11"/>
  <c r="D27" i="11"/>
  <c r="C27" i="11"/>
  <c r="T26" i="11"/>
  <c r="I26" i="11"/>
  <c r="F26" i="11"/>
  <c r="E26" i="11"/>
  <c r="D26" i="11"/>
  <c r="C26" i="11"/>
  <c r="T25" i="11"/>
  <c r="I25" i="11"/>
  <c r="F25" i="11"/>
  <c r="E25" i="11"/>
  <c r="D25" i="11"/>
  <c r="C25" i="11"/>
  <c r="T24" i="11"/>
  <c r="I24" i="11"/>
  <c r="F24" i="11"/>
  <c r="E24" i="11"/>
  <c r="D24" i="11"/>
  <c r="C24" i="11"/>
  <c r="T23" i="11"/>
  <c r="I23" i="11"/>
  <c r="F23" i="11"/>
  <c r="E23" i="11"/>
  <c r="D23" i="11"/>
  <c r="C23" i="11"/>
  <c r="T22" i="11"/>
  <c r="I22" i="11"/>
  <c r="F22" i="11"/>
  <c r="E22" i="11"/>
  <c r="D22" i="11"/>
  <c r="C22" i="11"/>
  <c r="C17" i="11"/>
  <c r="F17" i="11"/>
  <c r="T21" i="11"/>
  <c r="I21" i="11"/>
  <c r="F21" i="11"/>
  <c r="E21" i="11"/>
  <c r="D21" i="11"/>
  <c r="C21" i="11"/>
  <c r="J12" i="5"/>
  <c r="C12" i="5"/>
  <c r="D12" i="5"/>
  <c r="F12" i="5"/>
  <c r="G12" i="5"/>
  <c r="H12" i="5"/>
  <c r="I12" i="5"/>
  <c r="D16" i="5"/>
  <c r="D20" i="5"/>
  <c r="F20" i="5"/>
  <c r="N20" i="5" s="1"/>
  <c r="G20" i="5"/>
  <c r="H20" i="5"/>
  <c r="I20" i="5"/>
  <c r="Q20" i="5" s="1"/>
  <c r="C20" i="5"/>
  <c r="C16" i="5"/>
  <c r="I36" i="13"/>
  <c r="I40" i="13"/>
  <c r="R15" i="1"/>
  <c r="D15" i="1"/>
  <c r="E15" i="1"/>
  <c r="C15" i="1"/>
  <c r="J9" i="10"/>
  <c r="I45" i="10" s="1"/>
  <c r="J17" i="10"/>
  <c r="L9" i="10"/>
  <c r="L17" i="10"/>
  <c r="I93" i="10" s="1"/>
  <c r="M9" i="10"/>
  <c r="M13" i="10" s="1"/>
  <c r="M17" i="10"/>
  <c r="I113" i="10" s="1"/>
  <c r="K9" i="10"/>
  <c r="I65" i="10" s="1"/>
  <c r="K17" i="10"/>
  <c r="I73" i="10" s="1"/>
  <c r="N9" i="10"/>
  <c r="N17" i="10"/>
  <c r="I133" i="10" s="1"/>
  <c r="U9" i="10"/>
  <c r="U13" i="10" s="1"/>
  <c r="U17" i="10"/>
  <c r="I273" i="10" s="1"/>
  <c r="O9" i="10"/>
  <c r="I145" i="10" s="1"/>
  <c r="O17" i="10"/>
  <c r="I153" i="10"/>
  <c r="P9" i="10"/>
  <c r="P17" i="10"/>
  <c r="I173" i="10" s="1"/>
  <c r="J20" i="5"/>
  <c r="Q9" i="10"/>
  <c r="Q13" i="10" s="1"/>
  <c r="Q17" i="10"/>
  <c r="I193" i="10" s="1"/>
  <c r="F15" i="1"/>
  <c r="G15" i="1"/>
  <c r="H15" i="1"/>
  <c r="I15" i="1"/>
  <c r="S15" i="1"/>
  <c r="D16" i="11"/>
  <c r="E16" i="11"/>
  <c r="F16" i="11"/>
  <c r="G16" i="11"/>
  <c r="I16" i="11"/>
  <c r="J16" i="11"/>
  <c r="K16" i="11"/>
  <c r="L16" i="11"/>
  <c r="M16" i="11"/>
  <c r="N16" i="11"/>
  <c r="O16" i="11"/>
  <c r="P16" i="11"/>
  <c r="Q16" i="11"/>
  <c r="R16" i="11"/>
  <c r="S16" i="11"/>
  <c r="T16" i="11"/>
  <c r="U16" i="11"/>
  <c r="V16" i="11"/>
  <c r="W16" i="11"/>
  <c r="X16" i="11"/>
  <c r="Y16" i="11"/>
  <c r="Z16" i="11"/>
  <c r="AA16" i="11"/>
  <c r="AB16" i="11"/>
  <c r="AC16" i="11"/>
  <c r="AD16" i="11"/>
  <c r="AE16" i="11"/>
  <c r="AF16" i="11"/>
  <c r="AG16" i="11"/>
  <c r="AH16" i="11"/>
  <c r="AI16" i="11"/>
  <c r="AJ16" i="11"/>
  <c r="AK16" i="11"/>
  <c r="AL16" i="11"/>
  <c r="AM16" i="11"/>
  <c r="AN16" i="11"/>
  <c r="AO16" i="11"/>
  <c r="AP16" i="11"/>
  <c r="AQ16" i="11"/>
  <c r="AR16" i="11"/>
  <c r="AS16" i="11"/>
  <c r="AT16" i="11"/>
  <c r="AU16" i="11"/>
  <c r="AV16" i="11"/>
  <c r="AW16" i="11"/>
  <c r="AX16" i="11"/>
  <c r="AY16" i="11"/>
  <c r="AZ16" i="11"/>
  <c r="BA16" i="11"/>
  <c r="BB16" i="11"/>
  <c r="BC16" i="11"/>
  <c r="BD16" i="11"/>
  <c r="BE16" i="11"/>
  <c r="BF16" i="11"/>
  <c r="BG16" i="11"/>
  <c r="BH16" i="11"/>
  <c r="BI16" i="11"/>
  <c r="BJ16" i="11"/>
  <c r="BK16" i="11"/>
  <c r="BL16" i="11"/>
  <c r="BM16" i="11"/>
  <c r="BN16" i="11"/>
  <c r="BO16" i="11"/>
  <c r="BP16" i="11"/>
  <c r="BQ16" i="11"/>
  <c r="BR16" i="11"/>
  <c r="BS16" i="11"/>
  <c r="BT16" i="11"/>
  <c r="BU16" i="11"/>
  <c r="BV16" i="11"/>
  <c r="BW16" i="11"/>
  <c r="BX16" i="11"/>
  <c r="BY16" i="11"/>
  <c r="BZ16" i="11"/>
  <c r="CA16" i="11"/>
  <c r="CB16" i="11"/>
  <c r="CC16" i="11"/>
  <c r="CD16" i="11"/>
  <c r="C16" i="11"/>
  <c r="C13" i="6"/>
  <c r="B13" i="6"/>
  <c r="N25" i="28"/>
  <c r="N17" i="28"/>
  <c r="N9" i="28"/>
  <c r="N13" i="28" s="1"/>
  <c r="N27" i="28" s="1"/>
  <c r="G11" i="6"/>
  <c r="P15" i="1"/>
  <c r="AE15" i="1" s="1"/>
  <c r="O15" i="1"/>
  <c r="M15" i="1"/>
  <c r="L15" i="1"/>
  <c r="E1" i="13"/>
  <c r="I81" i="13"/>
  <c r="B2" i="13"/>
  <c r="E62" i="13" s="1"/>
  <c r="B1" i="13"/>
  <c r="C53" i="13" s="1"/>
  <c r="I80" i="13"/>
  <c r="I79" i="13"/>
  <c r="I78" i="13"/>
  <c r="I77" i="13"/>
  <c r="I76" i="13"/>
  <c r="I75" i="13"/>
  <c r="I74" i="13"/>
  <c r="I73" i="13"/>
  <c r="I72" i="13"/>
  <c r="I71" i="13"/>
  <c r="I70" i="13"/>
  <c r="I69" i="13"/>
  <c r="I68" i="13"/>
  <c r="I67" i="13"/>
  <c r="I66" i="13"/>
  <c r="I65" i="13"/>
  <c r="I64" i="13"/>
  <c r="I62" i="13"/>
  <c r="I60" i="13"/>
  <c r="I56" i="13"/>
  <c r="I55" i="13"/>
  <c r="I53" i="13"/>
  <c r="I49" i="13"/>
  <c r="I47" i="13"/>
  <c r="I45" i="13"/>
  <c r="I44" i="13"/>
  <c r="I43" i="13"/>
  <c r="I42" i="13"/>
  <c r="I41" i="13"/>
  <c r="I39" i="13"/>
  <c r="I38" i="13"/>
  <c r="I37" i="13"/>
  <c r="D58" i="1"/>
  <c r="N25" i="10"/>
  <c r="I140" i="10" s="1"/>
  <c r="Q15" i="1"/>
  <c r="AE26" i="10" s="1"/>
  <c r="N15" i="1"/>
  <c r="AD26" i="10"/>
  <c r="P12" i="13"/>
  <c r="P13" i="13"/>
  <c r="B15" i="7"/>
  <c r="B44" i="7"/>
  <c r="C15" i="7"/>
  <c r="N28" i="5" s="1"/>
  <c r="C44" i="7"/>
  <c r="F15" i="7"/>
  <c r="M20" i="5"/>
  <c r="F44" i="7"/>
  <c r="G15" i="7"/>
  <c r="G44" i="7"/>
  <c r="AJ26" i="10"/>
  <c r="AK26" i="10"/>
  <c r="AL26" i="10"/>
  <c r="D19" i="1"/>
  <c r="E19" i="1"/>
  <c r="F19" i="1"/>
  <c r="F51" i="1"/>
  <c r="G19" i="1"/>
  <c r="H19" i="1"/>
  <c r="I19" i="1"/>
  <c r="K48" i="1"/>
  <c r="R19" i="1"/>
  <c r="AG15" i="1" s="1"/>
  <c r="S19" i="1"/>
  <c r="S48" i="1"/>
  <c r="L426" i="1"/>
  <c r="D1" i="1"/>
  <c r="F1" i="1"/>
  <c r="L425" i="1"/>
  <c r="L424" i="1"/>
  <c r="L423" i="1"/>
  <c r="L422" i="1"/>
  <c r="L421" i="1"/>
  <c r="L420" i="1"/>
  <c r="L419" i="1"/>
  <c r="L418" i="1"/>
  <c r="L417" i="1"/>
  <c r="L416" i="1"/>
  <c r="L415" i="1"/>
  <c r="L414" i="1"/>
  <c r="L413" i="1"/>
  <c r="L412" i="1"/>
  <c r="L411" i="1"/>
  <c r="L410" i="1"/>
  <c r="L409" i="1"/>
  <c r="L408" i="1"/>
  <c r="L407" i="1"/>
  <c r="L406" i="1"/>
  <c r="L405" i="1"/>
  <c r="L404" i="1"/>
  <c r="L403" i="1"/>
  <c r="L402" i="1"/>
  <c r="L401" i="1"/>
  <c r="L400" i="1"/>
  <c r="L399" i="1"/>
  <c r="L398" i="1"/>
  <c r="L397" i="1"/>
  <c r="L396" i="1"/>
  <c r="L395" i="1"/>
  <c r="L394" i="1"/>
  <c r="L393" i="1"/>
  <c r="L392" i="1"/>
  <c r="L391" i="1"/>
  <c r="L390" i="1"/>
  <c r="L389" i="1"/>
  <c r="L388" i="1"/>
  <c r="L387" i="1"/>
  <c r="L386" i="1"/>
  <c r="L385" i="1"/>
  <c r="L384" i="1"/>
  <c r="L383" i="1"/>
  <c r="L382" i="1"/>
  <c r="L381" i="1"/>
  <c r="L380" i="1"/>
  <c r="L379" i="1"/>
  <c r="L378" i="1"/>
  <c r="L377" i="1"/>
  <c r="L376" i="1"/>
  <c r="L375" i="1"/>
  <c r="L374" i="1"/>
  <c r="L373" i="1"/>
  <c r="L372" i="1"/>
  <c r="L371" i="1"/>
  <c r="L370" i="1"/>
  <c r="L369" i="1"/>
  <c r="L368" i="1"/>
  <c r="L367" i="1"/>
  <c r="L366" i="1"/>
  <c r="L365" i="1"/>
  <c r="L364" i="1"/>
  <c r="L363" i="1"/>
  <c r="L362" i="1"/>
  <c r="L361" i="1"/>
  <c r="L360" i="1"/>
  <c r="L359" i="1"/>
  <c r="L358" i="1"/>
  <c r="L357" i="1"/>
  <c r="L356" i="1"/>
  <c r="L355" i="1"/>
  <c r="L354" i="1"/>
  <c r="L353" i="1"/>
  <c r="L352" i="1"/>
  <c r="L351" i="1"/>
  <c r="L350" i="1"/>
  <c r="L349" i="1"/>
  <c r="L348" i="1"/>
  <c r="L347" i="1"/>
  <c r="L346" i="1"/>
  <c r="L345" i="1"/>
  <c r="L344" i="1"/>
  <c r="L343" i="1"/>
  <c r="L342" i="1"/>
  <c r="L341" i="1"/>
  <c r="L340" i="1"/>
  <c r="L339" i="1"/>
  <c r="L338" i="1"/>
  <c r="L337" i="1"/>
  <c r="L336" i="1"/>
  <c r="L335" i="1"/>
  <c r="L334" i="1"/>
  <c r="L333" i="1"/>
  <c r="L332" i="1"/>
  <c r="L331" i="1"/>
  <c r="L330" i="1"/>
  <c r="L329" i="1"/>
  <c r="L328" i="1"/>
  <c r="L327" i="1"/>
  <c r="L326" i="1"/>
  <c r="L325" i="1"/>
  <c r="L324" i="1"/>
  <c r="L323" i="1"/>
  <c r="L322" i="1"/>
  <c r="L321" i="1"/>
  <c r="L320" i="1"/>
  <c r="L319" i="1"/>
  <c r="L318" i="1"/>
  <c r="L317" i="1"/>
  <c r="L316" i="1"/>
  <c r="L315" i="1"/>
  <c r="L314" i="1"/>
  <c r="L313" i="1"/>
  <c r="L312" i="1"/>
  <c r="L311" i="1"/>
  <c r="L310" i="1"/>
  <c r="L309" i="1"/>
  <c r="L308" i="1"/>
  <c r="L307" i="1"/>
  <c r="L306" i="1"/>
  <c r="L305" i="1"/>
  <c r="L304" i="1"/>
  <c r="L303" i="1"/>
  <c r="L302" i="1"/>
  <c r="L301" i="1"/>
  <c r="L300" i="1"/>
  <c r="L299" i="1"/>
  <c r="L298" i="1"/>
  <c r="L297" i="1"/>
  <c r="L296" i="1"/>
  <c r="L295" i="1"/>
  <c r="L294" i="1"/>
  <c r="L293" i="1"/>
  <c r="L292" i="1"/>
  <c r="L291" i="1"/>
  <c r="L290" i="1"/>
  <c r="L289" i="1"/>
  <c r="L288" i="1"/>
  <c r="L287" i="1"/>
  <c r="L286" i="1"/>
  <c r="L285" i="1"/>
  <c r="L284" i="1"/>
  <c r="L283" i="1"/>
  <c r="L282" i="1"/>
  <c r="L281" i="1"/>
  <c r="L280" i="1"/>
  <c r="L279" i="1"/>
  <c r="L278" i="1"/>
  <c r="L277" i="1"/>
  <c r="L276" i="1"/>
  <c r="L275" i="1"/>
  <c r="L274" i="1"/>
  <c r="L273" i="1"/>
  <c r="L272" i="1"/>
  <c r="L271" i="1"/>
  <c r="L270" i="1"/>
  <c r="L269" i="1"/>
  <c r="L268" i="1"/>
  <c r="L267" i="1"/>
  <c r="L266" i="1"/>
  <c r="L265" i="1"/>
  <c r="L264" i="1"/>
  <c r="L263" i="1"/>
  <c r="L262" i="1"/>
  <c r="L261" i="1"/>
  <c r="L260" i="1"/>
  <c r="L259" i="1"/>
  <c r="L258" i="1"/>
  <c r="L257" i="1"/>
  <c r="L256" i="1"/>
  <c r="L255" i="1"/>
  <c r="L254" i="1"/>
  <c r="L253" i="1"/>
  <c r="L252" i="1"/>
  <c r="L251" i="1"/>
  <c r="L250" i="1"/>
  <c r="L249" i="1"/>
  <c r="L248" i="1"/>
  <c r="L247" i="1"/>
  <c r="L246" i="1"/>
  <c r="L245" i="1"/>
  <c r="L244" i="1"/>
  <c r="L243" i="1"/>
  <c r="L242" i="1"/>
  <c r="L241" i="1"/>
  <c r="L240" i="1"/>
  <c r="L239" i="1"/>
  <c r="L238" i="1"/>
  <c r="L237" i="1"/>
  <c r="L236" i="1"/>
  <c r="L235" i="1"/>
  <c r="L234" i="1"/>
  <c r="L233" i="1"/>
  <c r="L232" i="1"/>
  <c r="L231" i="1"/>
  <c r="L230" i="1"/>
  <c r="L229" i="1"/>
  <c r="L228" i="1"/>
  <c r="L227" i="1"/>
  <c r="L226" i="1"/>
  <c r="L225" i="1"/>
  <c r="L224" i="1"/>
  <c r="L223" i="1"/>
  <c r="L222" i="1"/>
  <c r="L221" i="1"/>
  <c r="L220" i="1"/>
  <c r="L219" i="1"/>
  <c r="L218" i="1"/>
  <c r="L217" i="1"/>
  <c r="L216" i="1"/>
  <c r="L215" i="1"/>
  <c r="L214" i="1"/>
  <c r="L213" i="1"/>
  <c r="L212" i="1"/>
  <c r="L211" i="1"/>
  <c r="L210" i="1"/>
  <c r="L209" i="1"/>
  <c r="L208" i="1"/>
  <c r="L207" i="1"/>
  <c r="L206" i="1"/>
  <c r="L205" i="1"/>
  <c r="L204" i="1"/>
  <c r="L203" i="1"/>
  <c r="L202" i="1"/>
  <c r="L201" i="1"/>
  <c r="L200" i="1"/>
  <c r="L199" i="1"/>
  <c r="L198" i="1"/>
  <c r="L197" i="1"/>
  <c r="L196" i="1"/>
  <c r="L195" i="1"/>
  <c r="L194" i="1"/>
  <c r="L193" i="1"/>
  <c r="L192" i="1"/>
  <c r="L191" i="1"/>
  <c r="L190" i="1"/>
  <c r="L189" i="1"/>
  <c r="L188" i="1"/>
  <c r="L187" i="1"/>
  <c r="L186" i="1"/>
  <c r="L185" i="1"/>
  <c r="L184" i="1"/>
  <c r="L183" i="1"/>
  <c r="L182" i="1"/>
  <c r="L181" i="1"/>
  <c r="L180" i="1"/>
  <c r="L179" i="1"/>
  <c r="L178" i="1"/>
  <c r="L177" i="1"/>
  <c r="L176" i="1"/>
  <c r="L175" i="1"/>
  <c r="L174" i="1"/>
  <c r="L173" i="1"/>
  <c r="L172" i="1"/>
  <c r="L171" i="1"/>
  <c r="L170" i="1"/>
  <c r="L169" i="1"/>
  <c r="L168" i="1"/>
  <c r="L167" i="1"/>
  <c r="L166" i="1"/>
  <c r="L165" i="1"/>
  <c r="L164" i="1"/>
  <c r="L163" i="1"/>
  <c r="L162" i="1"/>
  <c r="L161" i="1"/>
  <c r="L160" i="1"/>
  <c r="L159" i="1"/>
  <c r="L158" i="1"/>
  <c r="L157" i="1"/>
  <c r="L156" i="1"/>
  <c r="L155" i="1"/>
  <c r="L154" i="1"/>
  <c r="L153" i="1"/>
  <c r="L152" i="1"/>
  <c r="L151" i="1"/>
  <c r="L150" i="1"/>
  <c r="L149" i="1"/>
  <c r="L148" i="1"/>
  <c r="L147" i="1"/>
  <c r="L146" i="1"/>
  <c r="L145" i="1"/>
  <c r="L144" i="1"/>
  <c r="L143" i="1"/>
  <c r="L142" i="1"/>
  <c r="L141" i="1"/>
  <c r="L140" i="1"/>
  <c r="L139" i="1"/>
  <c r="L138" i="1"/>
  <c r="L137" i="1"/>
  <c r="L136" i="1"/>
  <c r="L135" i="1"/>
  <c r="L134" i="1"/>
  <c r="L133" i="1"/>
  <c r="L132" i="1"/>
  <c r="L131" i="1"/>
  <c r="L130" i="1"/>
  <c r="L129" i="1"/>
  <c r="L128" i="1"/>
  <c r="L127" i="1"/>
  <c r="L126" i="1"/>
  <c r="L125" i="1"/>
  <c r="L124" i="1"/>
  <c r="L123" i="1"/>
  <c r="L122" i="1"/>
  <c r="L121" i="1"/>
  <c r="L120" i="1"/>
  <c r="L119" i="1"/>
  <c r="L118" i="1"/>
  <c r="L117" i="1"/>
  <c r="L116" i="1"/>
  <c r="L115" i="1"/>
  <c r="L114" i="1"/>
  <c r="L113" i="1"/>
  <c r="L112" i="1"/>
  <c r="L111" i="1"/>
  <c r="L110" i="1"/>
  <c r="L109" i="1"/>
  <c r="L108" i="1"/>
  <c r="L107" i="1"/>
  <c r="L106" i="1"/>
  <c r="L105" i="1"/>
  <c r="L104" i="1"/>
  <c r="L103" i="1"/>
  <c r="L102" i="1"/>
  <c r="L101" i="1"/>
  <c r="L100" i="1"/>
  <c r="L99" i="1"/>
  <c r="L98" i="1"/>
  <c r="L97" i="1"/>
  <c r="L96" i="1"/>
  <c r="L95" i="1"/>
  <c r="L94" i="1"/>
  <c r="L93" i="1"/>
  <c r="L92" i="1"/>
  <c r="L91" i="1"/>
  <c r="L90" i="1"/>
  <c r="L89" i="1"/>
  <c r="L88" i="1"/>
  <c r="L87" i="1"/>
  <c r="L86" i="1"/>
  <c r="L85" i="1"/>
  <c r="L84" i="1"/>
  <c r="L83" i="1"/>
  <c r="L82" i="1"/>
  <c r="L81" i="1"/>
  <c r="L80" i="1"/>
  <c r="L79" i="1"/>
  <c r="L78" i="1"/>
  <c r="L77" i="1"/>
  <c r="L76" i="1"/>
  <c r="L75" i="1"/>
  <c r="L74" i="1"/>
  <c r="L73" i="1"/>
  <c r="L72" i="1"/>
  <c r="L71" i="1"/>
  <c r="L70" i="1"/>
  <c r="L69" i="1"/>
  <c r="L68" i="1"/>
  <c r="L67" i="1"/>
  <c r="L66" i="1"/>
  <c r="L65" i="1"/>
  <c r="L64" i="1"/>
  <c r="L63" i="1"/>
  <c r="L62" i="1"/>
  <c r="L61" i="1"/>
  <c r="Q51" i="1"/>
  <c r="Q48" i="1"/>
  <c r="Q19" i="1"/>
  <c r="P19" i="1"/>
  <c r="N48" i="1"/>
  <c r="N19" i="1"/>
  <c r="M19" i="1"/>
  <c r="Y16" i="10"/>
  <c r="I356" i="10" s="1"/>
  <c r="J1" i="10"/>
  <c r="X1" i="10"/>
  <c r="D144" i="10"/>
  <c r="P1" i="10"/>
  <c r="C177" i="10" s="1"/>
  <c r="Y15" i="10"/>
  <c r="I355" i="10" s="1"/>
  <c r="Y14" i="10"/>
  <c r="I354" i="10" s="1"/>
  <c r="Y12" i="10"/>
  <c r="I353" i="10" s="1"/>
  <c r="Y11" i="10"/>
  <c r="I352" i="10" s="1"/>
  <c r="Y10" i="10"/>
  <c r="I351" i="10" s="1"/>
  <c r="Y8" i="10"/>
  <c r="I350" i="10" s="1"/>
  <c r="Y7" i="10"/>
  <c r="I349" i="10" s="1"/>
  <c r="Y6" i="10"/>
  <c r="I348" i="10" s="1"/>
  <c r="Y5" i="10"/>
  <c r="I347" i="10" s="1"/>
  <c r="X25" i="10"/>
  <c r="I340" i="10"/>
  <c r="I339" i="10"/>
  <c r="I338" i="10"/>
  <c r="I337" i="10"/>
  <c r="I336" i="10"/>
  <c r="I335" i="10"/>
  <c r="I334" i="10"/>
  <c r="X17" i="10"/>
  <c r="I333" i="10"/>
  <c r="I332" i="10"/>
  <c r="I331" i="10"/>
  <c r="I330" i="10"/>
  <c r="X9" i="10"/>
  <c r="I328" i="10"/>
  <c r="I327" i="10"/>
  <c r="I326" i="10"/>
  <c r="I324" i="10"/>
  <c r="I323" i="10"/>
  <c r="I322" i="10"/>
  <c r="I321" i="10"/>
  <c r="W25" i="10"/>
  <c r="I320" i="10" s="1"/>
  <c r="I319" i="10"/>
  <c r="I318" i="10"/>
  <c r="I317" i="10"/>
  <c r="I316" i="10"/>
  <c r="I315" i="10"/>
  <c r="I314" i="10"/>
  <c r="W17" i="10"/>
  <c r="I313" i="10" s="1"/>
  <c r="I312" i="10"/>
  <c r="I311" i="10"/>
  <c r="I310" i="10"/>
  <c r="W9" i="10"/>
  <c r="W13" i="10"/>
  <c r="I308" i="10"/>
  <c r="I307" i="10"/>
  <c r="I306" i="10"/>
  <c r="I304" i="10"/>
  <c r="I303" i="10"/>
  <c r="I302" i="10"/>
  <c r="I301" i="10"/>
  <c r="U25" i="10"/>
  <c r="I280" i="10" s="1"/>
  <c r="I279" i="10"/>
  <c r="I278" i="10"/>
  <c r="I277" i="10"/>
  <c r="I276" i="10"/>
  <c r="I275" i="10"/>
  <c r="I274" i="10"/>
  <c r="I272" i="10"/>
  <c r="I271" i="10"/>
  <c r="I270" i="10"/>
  <c r="I268" i="10"/>
  <c r="I267" i="10"/>
  <c r="I266" i="10"/>
  <c r="I264" i="10"/>
  <c r="I263" i="10"/>
  <c r="I262" i="10"/>
  <c r="I261" i="10"/>
  <c r="Q25" i="10"/>
  <c r="I200" i="10" s="1"/>
  <c r="I199" i="10"/>
  <c r="I198" i="10"/>
  <c r="I197" i="10"/>
  <c r="I196" i="10"/>
  <c r="I195" i="10"/>
  <c r="I194" i="10"/>
  <c r="I192" i="10"/>
  <c r="I191" i="10"/>
  <c r="I190" i="10"/>
  <c r="I188" i="10"/>
  <c r="I187" i="10"/>
  <c r="I186" i="10"/>
  <c r="I184" i="10"/>
  <c r="I183" i="10"/>
  <c r="I182" i="10"/>
  <c r="I181" i="10"/>
  <c r="P25" i="10"/>
  <c r="I180" i="10" s="1"/>
  <c r="I179" i="10"/>
  <c r="I178" i="10"/>
  <c r="I177" i="10"/>
  <c r="I176" i="10"/>
  <c r="I175" i="10"/>
  <c r="I174" i="10"/>
  <c r="I172" i="10"/>
  <c r="I171" i="10"/>
  <c r="I170" i="10"/>
  <c r="I168" i="10"/>
  <c r="I167" i="10"/>
  <c r="I166" i="10"/>
  <c r="I164" i="10"/>
  <c r="I163" i="10"/>
  <c r="I162" i="10"/>
  <c r="I161" i="10"/>
  <c r="O25" i="10"/>
  <c r="I160" i="10" s="1"/>
  <c r="I159" i="10"/>
  <c r="I158" i="10"/>
  <c r="I157" i="10"/>
  <c r="I156" i="10"/>
  <c r="I155" i="10"/>
  <c r="I154" i="10"/>
  <c r="I152" i="10"/>
  <c r="I151" i="10"/>
  <c r="I150" i="10"/>
  <c r="I148" i="10"/>
  <c r="I147" i="10"/>
  <c r="I146" i="10"/>
  <c r="I144" i="10"/>
  <c r="I143" i="10"/>
  <c r="I142" i="10"/>
  <c r="I141" i="10"/>
  <c r="I139" i="10"/>
  <c r="I138" i="10"/>
  <c r="I137" i="10"/>
  <c r="I136" i="10"/>
  <c r="I135" i="10"/>
  <c r="I134" i="10"/>
  <c r="I132" i="10"/>
  <c r="I131" i="10"/>
  <c r="I130" i="10"/>
  <c r="I128" i="10"/>
  <c r="I127" i="10"/>
  <c r="I126" i="10"/>
  <c r="I124" i="10"/>
  <c r="I123" i="10"/>
  <c r="I122" i="10"/>
  <c r="I121" i="10"/>
  <c r="M25" i="10"/>
  <c r="I120" i="10" s="1"/>
  <c r="I119" i="10"/>
  <c r="I118" i="10"/>
  <c r="I117" i="10"/>
  <c r="I116" i="10"/>
  <c r="I115" i="10"/>
  <c r="I114" i="10"/>
  <c r="I112" i="10"/>
  <c r="I111" i="10"/>
  <c r="I110" i="10"/>
  <c r="I108" i="10"/>
  <c r="I107" i="10"/>
  <c r="I106" i="10"/>
  <c r="I104" i="10"/>
  <c r="I103" i="10"/>
  <c r="I102" i="10"/>
  <c r="I101" i="10"/>
  <c r="L25" i="10"/>
  <c r="I100" i="10" s="1"/>
  <c r="I99" i="10"/>
  <c r="I98" i="10"/>
  <c r="I97" i="10"/>
  <c r="I96" i="10"/>
  <c r="I95" i="10"/>
  <c r="I94" i="10"/>
  <c r="I92" i="10"/>
  <c r="I91" i="10"/>
  <c r="I90" i="10"/>
  <c r="I88" i="10"/>
  <c r="I87" i="10"/>
  <c r="I86" i="10"/>
  <c r="I84" i="10"/>
  <c r="I83" i="10"/>
  <c r="I82" i="10"/>
  <c r="I81" i="10"/>
  <c r="K25" i="10"/>
  <c r="I80" i="10" s="1"/>
  <c r="I79" i="10"/>
  <c r="I78" i="10"/>
  <c r="I77" i="10"/>
  <c r="I76" i="10"/>
  <c r="I75" i="10"/>
  <c r="I74" i="10"/>
  <c r="I72" i="10"/>
  <c r="I71" i="10"/>
  <c r="I70" i="10"/>
  <c r="I68" i="10"/>
  <c r="I67" i="10"/>
  <c r="I66" i="10"/>
  <c r="I64" i="10"/>
  <c r="I63" i="10"/>
  <c r="I62" i="10"/>
  <c r="I61" i="10"/>
  <c r="J25" i="10"/>
  <c r="I60" i="10" s="1"/>
  <c r="I59" i="10"/>
  <c r="I58" i="10"/>
  <c r="I57" i="10"/>
  <c r="I56" i="10"/>
  <c r="I55" i="10"/>
  <c r="I54" i="10"/>
  <c r="I52" i="10"/>
  <c r="I51" i="10"/>
  <c r="I50" i="10"/>
  <c r="I48" i="10"/>
  <c r="I47" i="10"/>
  <c r="I46" i="10"/>
  <c r="I44" i="10"/>
  <c r="I43" i="10"/>
  <c r="I42" i="10"/>
  <c r="I41" i="10"/>
  <c r="CE4" i="11"/>
  <c r="J1" i="28"/>
  <c r="P1" i="28"/>
  <c r="L17" i="28"/>
  <c r="L9" i="28"/>
  <c r="L13" i="28" s="1"/>
  <c r="U5" i="28"/>
  <c r="U6" i="28"/>
  <c r="U7" i="28"/>
  <c r="U8" i="28"/>
  <c r="C9" i="28"/>
  <c r="C13" i="28" s="1"/>
  <c r="D9" i="28"/>
  <c r="D13" i="28" s="1"/>
  <c r="E9" i="28"/>
  <c r="E13" i="28" s="1"/>
  <c r="G9" i="28"/>
  <c r="G13" i="28" s="1"/>
  <c r="H9" i="28"/>
  <c r="H13" i="28" s="1"/>
  <c r="I9" i="28"/>
  <c r="I13" i="28" s="1"/>
  <c r="J9" i="28"/>
  <c r="K9" i="28"/>
  <c r="K13" i="28" s="1"/>
  <c r="K27" i="28" s="1"/>
  <c r="M9" i="28"/>
  <c r="M13" i="28" s="1"/>
  <c r="O9" i="28"/>
  <c r="O13" i="28" s="1"/>
  <c r="O27" i="28" s="1"/>
  <c r="O28" i="28" s="1"/>
  <c r="O29" i="28" s="1"/>
  <c r="O30" i="28" s="1"/>
  <c r="P9" i="28"/>
  <c r="P13" i="28" s="1"/>
  <c r="Q9" i="28"/>
  <c r="Q13" i="28" s="1"/>
  <c r="R9" i="28"/>
  <c r="R13" i="28"/>
  <c r="S9" i="28"/>
  <c r="S13" i="28"/>
  <c r="T9" i="28"/>
  <c r="T13" i="28" s="1"/>
  <c r="T27" i="28" s="1"/>
  <c r="U10" i="28"/>
  <c r="U11" i="28"/>
  <c r="U12" i="28"/>
  <c r="U14" i="28"/>
  <c r="U15" i="28"/>
  <c r="U16" i="28"/>
  <c r="J17" i="28"/>
  <c r="K17" i="28"/>
  <c r="M17" i="28"/>
  <c r="O17" i="28"/>
  <c r="P17" i="28"/>
  <c r="Q17" i="28"/>
  <c r="R17" i="28"/>
  <c r="S17" i="28"/>
  <c r="T17" i="28"/>
  <c r="C25" i="28"/>
  <c r="J25" i="28"/>
  <c r="K25" i="28"/>
  <c r="L25" i="28"/>
  <c r="M25" i="28"/>
  <c r="O25" i="28"/>
  <c r="P25" i="28"/>
  <c r="Q25" i="28"/>
  <c r="R25" i="28"/>
  <c r="S25" i="28"/>
  <c r="T25" i="28"/>
  <c r="H35" i="6"/>
  <c r="I11" i="6"/>
  <c r="D1" i="5"/>
  <c r="G1" i="5"/>
  <c r="P31" i="5"/>
  <c r="A25" i="5" s="1"/>
  <c r="I48" i="1"/>
  <c r="I51" i="1"/>
  <c r="N51" i="1"/>
  <c r="H1" i="1"/>
  <c r="M1" i="1" s="1"/>
  <c r="P1" i="1" s="1"/>
  <c r="CE9" i="11"/>
  <c r="CE8" i="11"/>
  <c r="CE7" i="11"/>
  <c r="CE6" i="11"/>
  <c r="CE5" i="11"/>
  <c r="L266" i="7"/>
  <c r="L265" i="7"/>
  <c r="L264" i="7"/>
  <c r="L263" i="7"/>
  <c r="L262" i="7"/>
  <c r="L261" i="7"/>
  <c r="L260" i="7"/>
  <c r="L259" i="7"/>
  <c r="L258" i="7"/>
  <c r="L257" i="7"/>
  <c r="L256" i="7"/>
  <c r="L255" i="7"/>
  <c r="L254" i="7"/>
  <c r="L253" i="7"/>
  <c r="L252" i="7"/>
  <c r="L251" i="7"/>
  <c r="L250" i="7"/>
  <c r="L249" i="7"/>
  <c r="L248" i="7"/>
  <c r="L247" i="7"/>
  <c r="L246" i="7"/>
  <c r="L245" i="7"/>
  <c r="L244" i="7"/>
  <c r="L243" i="7"/>
  <c r="L242" i="7"/>
  <c r="L241" i="7"/>
  <c r="L240" i="7"/>
  <c r="L239" i="7"/>
  <c r="L238" i="7"/>
  <c r="L237" i="7"/>
  <c r="L236" i="7"/>
  <c r="L235" i="7"/>
  <c r="L234" i="7"/>
  <c r="L233" i="7"/>
  <c r="L232" i="7"/>
  <c r="L231" i="7"/>
  <c r="L230" i="7"/>
  <c r="L229" i="7"/>
  <c r="L228" i="7"/>
  <c r="L227" i="7"/>
  <c r="L226" i="7"/>
  <c r="L225" i="7"/>
  <c r="L224" i="7"/>
  <c r="L223" i="7"/>
  <c r="L222" i="7"/>
  <c r="L221" i="7"/>
  <c r="L220" i="7"/>
  <c r="L219" i="7"/>
  <c r="L218" i="7"/>
  <c r="L217" i="7"/>
  <c r="L216" i="7"/>
  <c r="L215" i="7"/>
  <c r="L214" i="7"/>
  <c r="L213" i="7"/>
  <c r="L212" i="7"/>
  <c r="L211" i="7"/>
  <c r="L210" i="7"/>
  <c r="L209" i="7"/>
  <c r="L208" i="7"/>
  <c r="L207" i="7"/>
  <c r="L206" i="7"/>
  <c r="L205" i="7"/>
  <c r="L204" i="7"/>
  <c r="L203" i="7"/>
  <c r="L202" i="7"/>
  <c r="L201" i="7"/>
  <c r="L200" i="7"/>
  <c r="L199" i="7"/>
  <c r="L198" i="7"/>
  <c r="L197" i="7"/>
  <c r="L196" i="7"/>
  <c r="L195" i="7"/>
  <c r="L194" i="7"/>
  <c r="L193" i="7"/>
  <c r="L192" i="7"/>
  <c r="L191" i="7"/>
  <c r="L190" i="7"/>
  <c r="L189" i="7"/>
  <c r="L188" i="7"/>
  <c r="L187" i="7"/>
  <c r="L186" i="7"/>
  <c r="L185" i="7"/>
  <c r="L184" i="7"/>
  <c r="L183" i="7"/>
  <c r="L182" i="7"/>
  <c r="L181" i="7"/>
  <c r="L180" i="7"/>
  <c r="L179" i="7"/>
  <c r="L178" i="7"/>
  <c r="L177" i="7"/>
  <c r="L176" i="7"/>
  <c r="L175" i="7"/>
  <c r="L174" i="7"/>
  <c r="L173" i="7"/>
  <c r="L172" i="7"/>
  <c r="L171" i="7"/>
  <c r="L170" i="7"/>
  <c r="L169" i="7"/>
  <c r="L168" i="7"/>
  <c r="L167" i="7"/>
  <c r="L166" i="7"/>
  <c r="L165" i="7"/>
  <c r="L164" i="7"/>
  <c r="L163" i="7"/>
  <c r="L162" i="7"/>
  <c r="L161" i="7"/>
  <c r="L160" i="7"/>
  <c r="L159" i="7"/>
  <c r="L158" i="7"/>
  <c r="L157" i="7"/>
  <c r="L156" i="7"/>
  <c r="L155" i="7"/>
  <c r="L154" i="7"/>
  <c r="L153" i="7"/>
  <c r="L152" i="7"/>
  <c r="L151" i="7"/>
  <c r="L150" i="7"/>
  <c r="L149" i="7"/>
  <c r="L148" i="7"/>
  <c r="L147" i="7"/>
  <c r="L146" i="7"/>
  <c r="L145" i="7"/>
  <c r="L144" i="7"/>
  <c r="L143" i="7"/>
  <c r="L142" i="7"/>
  <c r="L141" i="7"/>
  <c r="L140" i="7"/>
  <c r="L139" i="7"/>
  <c r="L138" i="7"/>
  <c r="L137" i="7"/>
  <c r="L136" i="7"/>
  <c r="L135" i="7"/>
  <c r="L134" i="7"/>
  <c r="L133" i="7"/>
  <c r="L132" i="7"/>
  <c r="L131" i="7"/>
  <c r="L130" i="7"/>
  <c r="L129" i="7"/>
  <c r="L128" i="7"/>
  <c r="L127" i="7"/>
  <c r="L126" i="7"/>
  <c r="L125" i="7"/>
  <c r="L124" i="7"/>
  <c r="L123" i="7"/>
  <c r="L122" i="7"/>
  <c r="L121" i="7"/>
  <c r="L120" i="7"/>
  <c r="L119" i="7"/>
  <c r="L118" i="7"/>
  <c r="L117" i="7"/>
  <c r="L116" i="7"/>
  <c r="L115" i="7"/>
  <c r="L114" i="7"/>
  <c r="L113" i="7"/>
  <c r="L112" i="7"/>
  <c r="L111" i="7"/>
  <c r="L110" i="7"/>
  <c r="L109" i="7"/>
  <c r="L108" i="7"/>
  <c r="L107" i="7"/>
  <c r="L106" i="7"/>
  <c r="L105" i="7"/>
  <c r="L104" i="7"/>
  <c r="L103" i="7"/>
  <c r="L102" i="7"/>
  <c r="L101" i="7"/>
  <c r="L100" i="7"/>
  <c r="L99" i="7"/>
  <c r="L98" i="7"/>
  <c r="L97" i="7"/>
  <c r="L96" i="7"/>
  <c r="L95" i="7"/>
  <c r="L94" i="7"/>
  <c r="L93" i="7"/>
  <c r="L92" i="7"/>
  <c r="L91" i="7"/>
  <c r="L90" i="7"/>
  <c r="L89" i="7"/>
  <c r="L88" i="7"/>
  <c r="L87" i="7"/>
  <c r="L86" i="7"/>
  <c r="L85" i="7"/>
  <c r="L84" i="7"/>
  <c r="L83" i="7"/>
  <c r="L82" i="7"/>
  <c r="L81" i="7"/>
  <c r="L80" i="7"/>
  <c r="L79" i="7"/>
  <c r="L78" i="7"/>
  <c r="L77" i="7"/>
  <c r="L76" i="7"/>
  <c r="L75" i="7"/>
  <c r="L74" i="7"/>
  <c r="L73" i="7"/>
  <c r="L72" i="7"/>
  <c r="L71" i="7"/>
  <c r="L70" i="7"/>
  <c r="L69" i="7"/>
  <c r="L68" i="7"/>
  <c r="L67" i="7"/>
  <c r="L66" i="7"/>
  <c r="L65" i="7"/>
  <c r="L64" i="7"/>
  <c r="L63" i="7"/>
  <c r="L62" i="7"/>
  <c r="L61" i="7"/>
  <c r="L60" i="7"/>
  <c r="L59" i="7"/>
  <c r="L58" i="7"/>
  <c r="L57" i="7"/>
  <c r="L56" i="7"/>
  <c r="L55" i="7"/>
  <c r="L54" i="7"/>
  <c r="L53" i="7"/>
  <c r="L52" i="7"/>
  <c r="L51" i="7"/>
  <c r="G1" i="7"/>
  <c r="C58" i="7" s="1"/>
  <c r="I1" i="7"/>
  <c r="D103" i="7" s="1"/>
  <c r="D93" i="7"/>
  <c r="G2" i="7"/>
  <c r="E146" i="7" s="1"/>
  <c r="AN31" i="10"/>
  <c r="AN32" i="10"/>
  <c r="I10" i="6"/>
  <c r="J10" i="6" s="1"/>
  <c r="I12" i="6"/>
  <c r="J12" i="6" s="1"/>
  <c r="H34" i="6"/>
  <c r="H33" i="6"/>
  <c r="H32" i="6"/>
  <c r="H31" i="6"/>
  <c r="H30" i="6"/>
  <c r="H29" i="6"/>
  <c r="H28" i="6"/>
  <c r="H27" i="6"/>
  <c r="H26" i="6"/>
  <c r="H25" i="6"/>
  <c r="H24" i="6"/>
  <c r="H23" i="6"/>
  <c r="H22" i="6"/>
  <c r="H21" i="6"/>
  <c r="I4" i="6"/>
  <c r="K4" i="6"/>
  <c r="J4" i="6"/>
  <c r="F1" i="6"/>
  <c r="H1" i="6"/>
  <c r="C25" i="6"/>
  <c r="F2" i="6"/>
  <c r="P20" i="5"/>
  <c r="R9" i="5"/>
  <c r="O9" i="5" s="1"/>
  <c r="R17" i="5"/>
  <c r="R18" i="5"/>
  <c r="R19" i="5"/>
  <c r="R10" i="5"/>
  <c r="R11" i="5"/>
  <c r="J102" i="5"/>
  <c r="J101" i="5"/>
  <c r="J100" i="5"/>
  <c r="J99" i="5"/>
  <c r="J98" i="5"/>
  <c r="J97" i="5"/>
  <c r="J96" i="5"/>
  <c r="J95" i="5"/>
  <c r="J94" i="5"/>
  <c r="J93" i="5"/>
  <c r="J92" i="5"/>
  <c r="J91" i="5"/>
  <c r="J90" i="5"/>
  <c r="J89" i="5"/>
  <c r="J88" i="5"/>
  <c r="J87" i="5"/>
  <c r="J86" i="5"/>
  <c r="J85" i="5"/>
  <c r="J84" i="5"/>
  <c r="J83" i="5"/>
  <c r="J82" i="5"/>
  <c r="J81" i="5"/>
  <c r="J80" i="5"/>
  <c r="J79" i="5"/>
  <c r="J78" i="5"/>
  <c r="J77" i="5"/>
  <c r="J76" i="5"/>
  <c r="J75" i="5"/>
  <c r="J74" i="5"/>
  <c r="J73" i="5"/>
  <c r="J72" i="5"/>
  <c r="J71" i="5"/>
  <c r="J70" i="5"/>
  <c r="J69" i="5"/>
  <c r="J68" i="5"/>
  <c r="J67" i="5"/>
  <c r="J66" i="5"/>
  <c r="J65" i="5"/>
  <c r="J64" i="5"/>
  <c r="J63" i="5"/>
  <c r="J62" i="5"/>
  <c r="J61" i="5"/>
  <c r="J60" i="5"/>
  <c r="J59" i="5"/>
  <c r="J58" i="5"/>
  <c r="J57" i="5"/>
  <c r="J56" i="5"/>
  <c r="J55" i="5"/>
  <c r="J54" i="5"/>
  <c r="J53" i="5"/>
  <c r="J52" i="5"/>
  <c r="J51" i="5"/>
  <c r="J50" i="5"/>
  <c r="J49" i="5"/>
  <c r="J48" i="5"/>
  <c r="J47" i="5"/>
  <c r="J46" i="5"/>
  <c r="J45" i="5"/>
  <c r="J44" i="5"/>
  <c r="J43" i="5"/>
  <c r="J42" i="5"/>
  <c r="J41" i="5"/>
  <c r="J40" i="5"/>
  <c r="J39" i="5"/>
  <c r="J38" i="5"/>
  <c r="J37" i="5"/>
  <c r="J36" i="5"/>
  <c r="J35" i="5"/>
  <c r="J34" i="5"/>
  <c r="J33" i="5"/>
  <c r="J32" i="5"/>
  <c r="J31" i="5"/>
  <c r="O28" i="5"/>
  <c r="O30" i="5"/>
  <c r="L1" i="5"/>
  <c r="D17" i="11"/>
  <c r="E17" i="11"/>
  <c r="G17" i="11"/>
  <c r="H17" i="11"/>
  <c r="I17" i="11"/>
  <c r="J17" i="11"/>
  <c r="K17" i="11"/>
  <c r="L17" i="11"/>
  <c r="M17" i="11"/>
  <c r="N17" i="11"/>
  <c r="O17" i="11"/>
  <c r="P17" i="11"/>
  <c r="Q17" i="11"/>
  <c r="R17" i="11"/>
  <c r="S17" i="11"/>
  <c r="T17" i="11"/>
  <c r="U17" i="11"/>
  <c r="V17" i="11"/>
  <c r="W17" i="11"/>
  <c r="X17" i="11"/>
  <c r="Y17" i="11"/>
  <c r="Z17" i="11"/>
  <c r="AA17" i="11"/>
  <c r="AB17" i="11"/>
  <c r="AC17" i="11"/>
  <c r="AD17" i="11"/>
  <c r="AE17" i="11"/>
  <c r="AF17" i="11"/>
  <c r="AG17" i="11"/>
  <c r="AH17" i="11"/>
  <c r="AI17" i="11"/>
  <c r="AJ17" i="11"/>
  <c r="AK17" i="11"/>
  <c r="AL17" i="11"/>
  <c r="AM17" i="11"/>
  <c r="AN17" i="11"/>
  <c r="AO17" i="11"/>
  <c r="AP17" i="11"/>
  <c r="AQ17" i="11"/>
  <c r="AR17" i="11"/>
  <c r="AS17" i="11"/>
  <c r="AT17" i="11"/>
  <c r="AU17" i="11"/>
  <c r="AV17" i="11"/>
  <c r="AW17" i="11"/>
  <c r="AX17" i="11"/>
  <c r="AY17" i="11"/>
  <c r="AZ17" i="11"/>
  <c r="BA17" i="11"/>
  <c r="BB17" i="11"/>
  <c r="BC17" i="11"/>
  <c r="BD17" i="11"/>
  <c r="BE17" i="11"/>
  <c r="BF17" i="11"/>
  <c r="BG17" i="11"/>
  <c r="BH17" i="11"/>
  <c r="BI17" i="11"/>
  <c r="BJ17" i="11"/>
  <c r="BK17" i="11"/>
  <c r="BL17" i="11"/>
  <c r="BM17" i="11"/>
  <c r="BN17" i="11"/>
  <c r="BO17" i="11"/>
  <c r="BP17" i="11"/>
  <c r="BQ17" i="11"/>
  <c r="BR17" i="11"/>
  <c r="BS17" i="11"/>
  <c r="BT17" i="11"/>
  <c r="BU17" i="11"/>
  <c r="BV17" i="11"/>
  <c r="BW17" i="11"/>
  <c r="BX17" i="11"/>
  <c r="BY17" i="11"/>
  <c r="BZ17" i="11"/>
  <c r="CA17" i="11"/>
  <c r="CB17" i="11"/>
  <c r="CC17" i="11"/>
  <c r="CD17" i="11"/>
  <c r="C18" i="11"/>
  <c r="CE10" i="11"/>
  <c r="CE11" i="11"/>
  <c r="CE12" i="11"/>
  <c r="CE13" i="11"/>
  <c r="CE14" i="11"/>
  <c r="M10" i="6"/>
  <c r="D52" i="13"/>
  <c r="AL27" i="10"/>
  <c r="N18" i="7"/>
  <c r="I346" i="10"/>
  <c r="I185" i="10"/>
  <c r="D226" i="7"/>
  <c r="AC26" i="10"/>
  <c r="D140" i="29"/>
  <c r="D140" i="7"/>
  <c r="V15" i="29"/>
  <c r="D109" i="29"/>
  <c r="D125" i="29"/>
  <c r="D154" i="29"/>
  <c r="D135" i="29"/>
  <c r="D66" i="7"/>
  <c r="D235" i="7"/>
  <c r="D152" i="29"/>
  <c r="D64" i="29"/>
  <c r="D153" i="29"/>
  <c r="O20" i="5"/>
  <c r="N30" i="5"/>
  <c r="AI26" i="10"/>
  <c r="C81" i="29"/>
  <c r="D68" i="29"/>
  <c r="D116" i="29"/>
  <c r="D78" i="29"/>
  <c r="C34" i="6"/>
  <c r="H34" i="34"/>
  <c r="K34" i="34" s="1"/>
  <c r="G31" i="34"/>
  <c r="J31" i="34" s="1"/>
  <c r="F29" i="34"/>
  <c r="I29" i="34" s="1"/>
  <c r="G25" i="34"/>
  <c r="J25" i="34" s="1"/>
  <c r="H22" i="34"/>
  <c r="K22" i="34" s="1"/>
  <c r="G19" i="34"/>
  <c r="J19" i="34" s="1"/>
  <c r="G16" i="34"/>
  <c r="J16" i="34" s="1"/>
  <c r="F14" i="34"/>
  <c r="I14" i="34" s="1"/>
  <c r="F12" i="34"/>
  <c r="I12" i="34" s="1"/>
  <c r="F10" i="34"/>
  <c r="I10" i="34" s="1"/>
  <c r="F8" i="34"/>
  <c r="I8" i="34" s="1"/>
  <c r="N9" i="5"/>
  <c r="C27" i="6"/>
  <c r="C62" i="29"/>
  <c r="C71" i="29"/>
  <c r="C135" i="29"/>
  <c r="X15" i="1"/>
  <c r="V15" i="1"/>
  <c r="C139" i="29"/>
  <c r="C75" i="29"/>
  <c r="C66" i="29"/>
  <c r="C61" i="13"/>
  <c r="C169" i="29"/>
  <c r="C165" i="29"/>
  <c r="C132" i="29"/>
  <c r="H40" i="34"/>
  <c r="K40" i="34" s="1"/>
  <c r="H30" i="34"/>
  <c r="K30" i="34" s="1"/>
  <c r="G18" i="34"/>
  <c r="J18" i="34" s="1"/>
  <c r="H9" i="34"/>
  <c r="K9" i="34" s="1"/>
  <c r="F7" i="34"/>
  <c r="I7" i="34" s="1"/>
  <c r="F9" i="34"/>
  <c r="I9" i="34" s="1"/>
  <c r="F11" i="34"/>
  <c r="I11" i="34" s="1"/>
  <c r="F13" i="34"/>
  <c r="I13" i="34" s="1"/>
  <c r="F15" i="34"/>
  <c r="I15" i="34" s="1"/>
  <c r="H17" i="34"/>
  <c r="K17" i="34" s="1"/>
  <c r="G21" i="34"/>
  <c r="J21" i="34" s="1"/>
  <c r="H23" i="34"/>
  <c r="K23" i="34" s="1"/>
  <c r="G27" i="34"/>
  <c r="J27" i="34" s="1"/>
  <c r="F30" i="34"/>
  <c r="I30" i="34" s="1"/>
  <c r="G33" i="34"/>
  <c r="J33" i="34" s="1"/>
  <c r="F36" i="34"/>
  <c r="I36" i="34" s="1"/>
  <c r="H38" i="34"/>
  <c r="K38" i="34" s="1"/>
  <c r="F34" i="34"/>
  <c r="I34" i="34" s="1"/>
  <c r="G28" i="34"/>
  <c r="J28" i="34" s="1"/>
  <c r="F22" i="34"/>
  <c r="I22" i="34" s="1"/>
  <c r="H15" i="34"/>
  <c r="K15" i="34" s="1"/>
  <c r="H11" i="34"/>
  <c r="K11" i="34" s="1"/>
  <c r="H7" i="34"/>
  <c r="K7" i="34" s="1"/>
  <c r="F28" i="34"/>
  <c r="I28" i="34" s="1"/>
  <c r="H66" i="34"/>
  <c r="K66" i="34" s="1"/>
  <c r="F66" i="34"/>
  <c r="I66" i="34" s="1"/>
  <c r="H65" i="34"/>
  <c r="K65" i="34" s="1"/>
  <c r="F65" i="34"/>
  <c r="I65" i="34" s="1"/>
  <c r="H64" i="34"/>
  <c r="K64" i="34" s="1"/>
  <c r="F64" i="34"/>
  <c r="I64" i="34" s="1"/>
  <c r="H63" i="34"/>
  <c r="K63" i="34" s="1"/>
  <c r="F63" i="34"/>
  <c r="I63" i="34" s="1"/>
  <c r="H62" i="34"/>
  <c r="K62" i="34" s="1"/>
  <c r="F62" i="34"/>
  <c r="I62" i="34" s="1"/>
  <c r="H61" i="34"/>
  <c r="K61" i="34" s="1"/>
  <c r="F61" i="34"/>
  <c r="I61" i="34" s="1"/>
  <c r="H60" i="34"/>
  <c r="K60" i="34" s="1"/>
  <c r="F60" i="34"/>
  <c r="I60" i="34" s="1"/>
  <c r="H59" i="34"/>
  <c r="K59" i="34" s="1"/>
  <c r="F59" i="34"/>
  <c r="I59" i="34" s="1"/>
  <c r="H58" i="34"/>
  <c r="K58" i="34" s="1"/>
  <c r="F58" i="34"/>
  <c r="I58" i="34" s="1"/>
  <c r="H57" i="34"/>
  <c r="K57" i="34" s="1"/>
  <c r="F57" i="34"/>
  <c r="I57" i="34" s="1"/>
  <c r="H56" i="34"/>
  <c r="K56" i="34" s="1"/>
  <c r="F56" i="34"/>
  <c r="I56" i="34" s="1"/>
  <c r="H55" i="34"/>
  <c r="K55" i="34" s="1"/>
  <c r="F55" i="34"/>
  <c r="I55" i="34" s="1"/>
  <c r="H54" i="34"/>
  <c r="K54" i="34" s="1"/>
  <c r="F54" i="34"/>
  <c r="I54" i="34" s="1"/>
  <c r="H53" i="34"/>
  <c r="K53" i="34" s="1"/>
  <c r="F53" i="34"/>
  <c r="I53" i="34" s="1"/>
  <c r="H52" i="34"/>
  <c r="K52" i="34" s="1"/>
  <c r="F52" i="34"/>
  <c r="I52" i="34" s="1"/>
  <c r="H51" i="34"/>
  <c r="K51" i="34" s="1"/>
  <c r="F51" i="34"/>
  <c r="I51" i="34" s="1"/>
  <c r="H50" i="34"/>
  <c r="K50" i="34" s="1"/>
  <c r="F50" i="34"/>
  <c r="I50" i="34" s="1"/>
  <c r="H49" i="34"/>
  <c r="K49" i="34" s="1"/>
  <c r="F49" i="34"/>
  <c r="I49" i="34" s="1"/>
  <c r="H48" i="34"/>
  <c r="K48" i="34" s="1"/>
  <c r="F48" i="34"/>
  <c r="I48" i="34" s="1"/>
  <c r="H47" i="34"/>
  <c r="K47" i="34" s="1"/>
  <c r="F47" i="34"/>
  <c r="I47" i="34" s="1"/>
  <c r="H46" i="34"/>
  <c r="K46" i="34" s="1"/>
  <c r="F46" i="34"/>
  <c r="I46" i="34" s="1"/>
  <c r="H45" i="34"/>
  <c r="K45" i="34" s="1"/>
  <c r="F45" i="34"/>
  <c r="I45" i="34" s="1"/>
  <c r="H44" i="34"/>
  <c r="K44" i="34" s="1"/>
  <c r="F44" i="34"/>
  <c r="I44" i="34" s="1"/>
  <c r="H43" i="34"/>
  <c r="K43" i="34" s="1"/>
  <c r="F43" i="34"/>
  <c r="I43" i="34" s="1"/>
  <c r="H42" i="34"/>
  <c r="K42" i="34" s="1"/>
  <c r="H27" i="34"/>
  <c r="K27" i="34" s="1"/>
  <c r="F27" i="34"/>
  <c r="I27" i="34" s="1"/>
  <c r="H26" i="34"/>
  <c r="K26" i="34" s="1"/>
  <c r="F26" i="34"/>
  <c r="I26" i="34" s="1"/>
  <c r="H25" i="34"/>
  <c r="K25" i="34" s="1"/>
  <c r="F25" i="34"/>
  <c r="I25" i="34" s="1"/>
  <c r="H24" i="34"/>
  <c r="K24" i="34" s="1"/>
  <c r="F24" i="34"/>
  <c r="I24" i="34" s="1"/>
  <c r="G23" i="34"/>
  <c r="J23" i="34" s="1"/>
  <c r="G22" i="34"/>
  <c r="J22" i="34" s="1"/>
  <c r="H21" i="34"/>
  <c r="K21" i="34" s="1"/>
  <c r="F21" i="34"/>
  <c r="I21" i="34" s="1"/>
  <c r="H20" i="34"/>
  <c r="K20" i="34" s="1"/>
  <c r="F20" i="34"/>
  <c r="I20" i="34" s="1"/>
  <c r="H19" i="34"/>
  <c r="K19" i="34" s="1"/>
  <c r="F19" i="34"/>
  <c r="I19" i="34" s="1"/>
  <c r="H18" i="34"/>
  <c r="K18" i="34" s="1"/>
  <c r="F18" i="34"/>
  <c r="I18" i="34" s="1"/>
  <c r="G17" i="34"/>
  <c r="J17" i="34" s="1"/>
  <c r="H16" i="34"/>
  <c r="K16" i="34" s="1"/>
  <c r="F16" i="34"/>
  <c r="I16" i="34" s="1"/>
  <c r="G15" i="34"/>
  <c r="J15" i="34" s="1"/>
  <c r="G14" i="34"/>
  <c r="J14" i="34" s="1"/>
  <c r="G13" i="34"/>
  <c r="J13" i="34" s="1"/>
  <c r="G12" i="34"/>
  <c r="J12" i="34" s="1"/>
  <c r="G11" i="34"/>
  <c r="J11" i="34" s="1"/>
  <c r="G10" i="34"/>
  <c r="J10" i="34" s="1"/>
  <c r="G9" i="34"/>
  <c r="J9" i="34" s="1"/>
  <c r="G8" i="34"/>
  <c r="J8" i="34" s="1"/>
  <c r="G7" i="34"/>
  <c r="J7" i="34" s="1"/>
  <c r="F42" i="34"/>
  <c r="I42" i="34" s="1"/>
  <c r="F41" i="34"/>
  <c r="I41" i="34" s="1"/>
  <c r="F40" i="34"/>
  <c r="I40" i="34" s="1"/>
  <c r="F39" i="34"/>
  <c r="I39" i="34" s="1"/>
  <c r="F38" i="34"/>
  <c r="I38" i="34" s="1"/>
  <c r="F37" i="34"/>
  <c r="I37" i="34" s="1"/>
  <c r="H41" i="34"/>
  <c r="K41" i="34" s="1"/>
  <c r="G35" i="34"/>
  <c r="J35" i="34" s="1"/>
  <c r="F23" i="34"/>
  <c r="I23" i="34" s="1"/>
  <c r="H12" i="34"/>
  <c r="K12" i="34" s="1"/>
  <c r="F6" i="34"/>
  <c r="I6" i="34" s="1"/>
  <c r="G72" i="34"/>
  <c r="J72" i="34" s="1"/>
  <c r="G64" i="34"/>
  <c r="J64" i="34" s="1"/>
  <c r="G56" i="34"/>
  <c r="J56" i="34" s="1"/>
  <c r="G48" i="34"/>
  <c r="J48" i="34" s="1"/>
  <c r="G40" i="34"/>
  <c r="J40" i="34" s="1"/>
  <c r="H33" i="34"/>
  <c r="K33" i="34" s="1"/>
  <c r="H39" i="34"/>
  <c r="K39" i="34" s="1"/>
  <c r="F17" i="34"/>
  <c r="I17" i="34" s="1"/>
  <c r="G74" i="34"/>
  <c r="J74" i="34" s="1"/>
  <c r="G70" i="34"/>
  <c r="J70" i="34" s="1"/>
  <c r="G66" i="34"/>
  <c r="J66" i="34" s="1"/>
  <c r="G62" i="34"/>
  <c r="J62" i="34" s="1"/>
  <c r="G58" i="34"/>
  <c r="J58" i="34" s="1"/>
  <c r="G54" i="34"/>
  <c r="J54" i="34" s="1"/>
  <c r="G50" i="34"/>
  <c r="J50" i="34" s="1"/>
  <c r="G46" i="34"/>
  <c r="J46" i="34" s="1"/>
  <c r="G42" i="34"/>
  <c r="J42" i="34" s="1"/>
  <c r="G38" i="34"/>
  <c r="J38" i="34" s="1"/>
  <c r="F35" i="34"/>
  <c r="I35" i="34" s="1"/>
  <c r="H32" i="34"/>
  <c r="K32" i="34" s="1"/>
  <c r="G30" i="34"/>
  <c r="J30" i="34" s="1"/>
  <c r="G29" i="34"/>
  <c r="J29" i="34" s="1"/>
  <c r="F31" i="34"/>
  <c r="I31" i="34" s="1"/>
  <c r="F32" i="34"/>
  <c r="I32" i="34" s="1"/>
  <c r="F33" i="34"/>
  <c r="I33" i="34" s="1"/>
  <c r="G34" i="34"/>
  <c r="J34" i="34" s="1"/>
  <c r="H35" i="34"/>
  <c r="K35" i="34" s="1"/>
  <c r="G37" i="34"/>
  <c r="J37" i="34" s="1"/>
  <c r="G39" i="34"/>
  <c r="J39" i="34" s="1"/>
  <c r="G41" i="34"/>
  <c r="J41" i="34" s="1"/>
  <c r="G43" i="34"/>
  <c r="J43" i="34" s="1"/>
  <c r="G45" i="34"/>
  <c r="J45" i="34" s="1"/>
  <c r="G47" i="34"/>
  <c r="J47" i="34" s="1"/>
  <c r="G49" i="34"/>
  <c r="J49" i="34" s="1"/>
  <c r="G51" i="34"/>
  <c r="J51" i="34" s="1"/>
  <c r="G53" i="34"/>
  <c r="J53" i="34" s="1"/>
  <c r="G55" i="34"/>
  <c r="J55" i="34" s="1"/>
  <c r="G57" i="34"/>
  <c r="J57" i="34" s="1"/>
  <c r="G59" i="34"/>
  <c r="J59" i="34" s="1"/>
  <c r="G61" i="34"/>
  <c r="J61" i="34" s="1"/>
  <c r="G63" i="34"/>
  <c r="J63" i="34" s="1"/>
  <c r="G65" i="34"/>
  <c r="J65" i="34" s="1"/>
  <c r="G67" i="34"/>
  <c r="J67" i="34" s="1"/>
  <c r="G69" i="34"/>
  <c r="J69" i="34" s="1"/>
  <c r="G71" i="34"/>
  <c r="J71" i="34" s="1"/>
  <c r="G73" i="34"/>
  <c r="J73" i="34" s="1"/>
  <c r="G75" i="34"/>
  <c r="J75" i="34" s="1"/>
  <c r="G6" i="34"/>
  <c r="J6" i="34" s="1"/>
  <c r="H10" i="34"/>
  <c r="K10" i="34" s="1"/>
  <c r="H14" i="34"/>
  <c r="K14" i="34" s="1"/>
  <c r="G20" i="34"/>
  <c r="J20" i="34" s="1"/>
  <c r="G26" i="34"/>
  <c r="J26" i="34" s="1"/>
  <c r="G32" i="34"/>
  <c r="J32" i="34" s="1"/>
  <c r="H37" i="34"/>
  <c r="K37" i="34" s="1"/>
  <c r="H75" i="34"/>
  <c r="K75" i="34" s="1"/>
  <c r="F75" i="34"/>
  <c r="I75" i="34" s="1"/>
  <c r="H74" i="34"/>
  <c r="K74" i="34" s="1"/>
  <c r="F74" i="34"/>
  <c r="I74" i="34" s="1"/>
  <c r="H73" i="34"/>
  <c r="K73" i="34" s="1"/>
  <c r="F73" i="34"/>
  <c r="I73" i="34" s="1"/>
  <c r="H72" i="34"/>
  <c r="K72" i="34" s="1"/>
  <c r="F72" i="34"/>
  <c r="I72" i="34" s="1"/>
  <c r="H71" i="34"/>
  <c r="K71" i="34" s="1"/>
  <c r="F71" i="34"/>
  <c r="I71" i="34" s="1"/>
  <c r="H70" i="34"/>
  <c r="K70" i="34" s="1"/>
  <c r="F70" i="34"/>
  <c r="I70" i="34" s="1"/>
  <c r="H69" i="34"/>
  <c r="K69" i="34" s="1"/>
  <c r="F69" i="34"/>
  <c r="I69" i="34" s="1"/>
  <c r="H68" i="34"/>
  <c r="K68" i="34" s="1"/>
  <c r="F68" i="34"/>
  <c r="I68" i="34" s="1"/>
  <c r="H67" i="34"/>
  <c r="K67" i="34" s="1"/>
  <c r="F67" i="34"/>
  <c r="I67" i="34" s="1"/>
  <c r="E128" i="1"/>
  <c r="E52" i="13"/>
  <c r="AL31" i="10"/>
  <c r="AL32" i="10"/>
  <c r="K3" i="6"/>
  <c r="AK27" i="10"/>
  <c r="J3" i="6"/>
  <c r="AK32" i="10"/>
  <c r="AK33" i="10" s="1"/>
  <c r="AK31" i="10"/>
  <c r="AJ31" i="10"/>
  <c r="D98" i="5"/>
  <c r="D52" i="5"/>
  <c r="D210" i="7"/>
  <c r="D158" i="7"/>
  <c r="E259" i="1"/>
  <c r="E230" i="1"/>
  <c r="E146" i="1"/>
  <c r="E109" i="1"/>
  <c r="D172" i="29"/>
  <c r="D131" i="29"/>
  <c r="D133" i="29"/>
  <c r="D136" i="29"/>
  <c r="D75" i="29"/>
  <c r="D162" i="29"/>
  <c r="D82" i="29"/>
  <c r="D62" i="29"/>
  <c r="D117" i="29"/>
  <c r="D112" i="29"/>
  <c r="D63" i="29"/>
  <c r="D159" i="29"/>
  <c r="D141" i="29"/>
  <c r="D67" i="29"/>
  <c r="C75" i="5"/>
  <c r="C73" i="29"/>
  <c r="C140" i="29"/>
  <c r="C103" i="29"/>
  <c r="C145" i="29"/>
  <c r="C116" i="29"/>
  <c r="C141" i="29"/>
  <c r="C133" i="29"/>
  <c r="C120" i="29"/>
  <c r="C118" i="29"/>
  <c r="C63" i="29"/>
  <c r="C159" i="29"/>
  <c r="C124" i="29"/>
  <c r="C161" i="29"/>
  <c r="C70" i="29"/>
  <c r="C102" i="29"/>
  <c r="C166" i="29"/>
  <c r="C175" i="29"/>
  <c r="C173" i="29"/>
  <c r="C110" i="29"/>
  <c r="C119" i="29"/>
  <c r="C99" i="29"/>
  <c r="C67" i="29"/>
  <c r="C179" i="29"/>
  <c r="C176" i="29"/>
  <c r="C121" i="29"/>
  <c r="C148" i="29"/>
  <c r="C113" i="29"/>
  <c r="C142" i="29"/>
  <c r="C117" i="29"/>
  <c r="C115" i="29"/>
  <c r="C170" i="29"/>
  <c r="C80" i="29"/>
  <c r="C144" i="29"/>
  <c r="C89" i="29"/>
  <c r="C100" i="29"/>
  <c r="C68" i="29"/>
  <c r="C94" i="5"/>
  <c r="C82" i="29"/>
  <c r="C155" i="29"/>
  <c r="C158" i="29"/>
  <c r="C136" i="29"/>
  <c r="AJ32" i="10"/>
  <c r="AJ27" i="10"/>
  <c r="I3" i="6"/>
  <c r="I5" i="6" s="1"/>
  <c r="D16" i="39"/>
  <c r="D10" i="39"/>
  <c r="D12" i="39"/>
  <c r="D13" i="39"/>
  <c r="D9" i="39"/>
  <c r="AN33" i="10"/>
  <c r="I265" i="10"/>
  <c r="I105" i="10"/>
  <c r="C203" i="7"/>
  <c r="C138" i="7"/>
  <c r="C258" i="10"/>
  <c r="C312" i="10"/>
  <c r="C96" i="5"/>
  <c r="C69" i="5"/>
  <c r="E137" i="1"/>
  <c r="E364" i="1"/>
  <c r="E215" i="1"/>
  <c r="E95" i="1"/>
  <c r="E139" i="1"/>
  <c r="E162" i="1"/>
  <c r="E378" i="1"/>
  <c r="E125" i="1"/>
  <c r="E71" i="1"/>
  <c r="E191" i="1"/>
  <c r="E301" i="1"/>
  <c r="E279" i="1"/>
  <c r="E147" i="1"/>
  <c r="E98" i="1"/>
  <c r="E365" i="1"/>
  <c r="E190" i="1"/>
  <c r="E353" i="1"/>
  <c r="E335" i="1"/>
  <c r="E358" i="1"/>
  <c r="E225" i="1"/>
  <c r="E91" i="1"/>
  <c r="E263" i="1"/>
  <c r="E199" i="1"/>
  <c r="E110" i="1"/>
  <c r="E287" i="1"/>
  <c r="E165" i="1"/>
  <c r="E327" i="1"/>
  <c r="E401" i="1"/>
  <c r="E130" i="1"/>
  <c r="E309" i="1"/>
  <c r="E346" i="1"/>
  <c r="E369" i="1"/>
  <c r="E400" i="1"/>
  <c r="E380" i="1"/>
  <c r="E104" i="1"/>
  <c r="E300" i="1"/>
  <c r="E417" i="1"/>
  <c r="E132" i="1"/>
  <c r="E383" i="1"/>
  <c r="E116" i="1"/>
  <c r="E184" i="1"/>
  <c r="E318" i="1"/>
  <c r="E257" i="1"/>
  <c r="E376" i="1"/>
  <c r="E350" i="1"/>
  <c r="E326" i="1"/>
  <c r="E331" i="1"/>
  <c r="E171" i="1"/>
  <c r="E152" i="1"/>
  <c r="E172" i="1"/>
  <c r="E382" i="1"/>
  <c r="E97" i="1"/>
  <c r="E82" i="1"/>
  <c r="E409" i="1"/>
  <c r="E89" i="1"/>
  <c r="E77" i="1"/>
  <c r="E385" i="1"/>
  <c r="E73" i="1"/>
  <c r="E414" i="1"/>
  <c r="E289" i="1"/>
  <c r="E236" i="1"/>
  <c r="E127" i="1"/>
  <c r="E83" i="1"/>
  <c r="E384" i="1"/>
  <c r="E220" i="1"/>
  <c r="E142" i="1"/>
  <c r="E280" i="1"/>
  <c r="E272" i="1"/>
  <c r="E348" i="1"/>
  <c r="E179" i="1"/>
  <c r="E90" i="1"/>
  <c r="E209" i="1"/>
  <c r="E248" i="1"/>
  <c r="E99" i="29"/>
  <c r="E294" i="1"/>
  <c r="E396" i="1"/>
  <c r="E347" i="1"/>
  <c r="E418" i="1"/>
  <c r="E290" i="1"/>
  <c r="E349" i="1"/>
  <c r="E70" i="1"/>
  <c r="E398" i="1"/>
  <c r="E136" i="1"/>
  <c r="E319" i="1"/>
  <c r="E302" i="1"/>
  <c r="E200" i="1"/>
  <c r="E377" i="1"/>
  <c r="E402" i="1"/>
  <c r="E118" i="1"/>
  <c r="E373" i="1"/>
  <c r="E252" i="1"/>
  <c r="E395" i="1"/>
  <c r="E324" i="1"/>
  <c r="E397" i="1"/>
  <c r="E93" i="1"/>
  <c r="E197" i="1"/>
  <c r="E68" i="1"/>
  <c r="E185" i="1"/>
  <c r="E164" i="1"/>
  <c r="E206" i="1"/>
  <c r="E281" i="1"/>
  <c r="E286" i="1"/>
  <c r="E238" i="1"/>
  <c r="E247" i="1"/>
  <c r="E308" i="1"/>
  <c r="E213" i="1"/>
  <c r="E178" i="1"/>
  <c r="E75" i="1"/>
  <c r="E381" i="1"/>
  <c r="E96" i="1"/>
  <c r="E108" i="1"/>
  <c r="E186" i="1"/>
  <c r="E419" i="1"/>
  <c r="E150" i="1"/>
  <c r="E288" i="1"/>
  <c r="E100" i="1"/>
  <c r="E196" i="1"/>
  <c r="E103" i="1"/>
  <c r="E48" i="5"/>
  <c r="E44" i="10"/>
  <c r="E202" i="10"/>
  <c r="E107" i="10"/>
  <c r="E356" i="10"/>
  <c r="E60" i="5"/>
  <c r="E166" i="10"/>
  <c r="E91" i="7"/>
  <c r="E59" i="7"/>
  <c r="E130" i="7"/>
  <c r="E58" i="7"/>
  <c r="E255" i="7"/>
  <c r="E361" i="1"/>
  <c r="E63" i="1"/>
  <c r="E240" i="1"/>
  <c r="E371" i="1"/>
  <c r="E101" i="1"/>
  <c r="E407" i="1"/>
  <c r="E266" i="1"/>
  <c r="E255" i="1"/>
  <c r="E216" i="1"/>
  <c r="E267" i="1"/>
  <c r="E204" i="1"/>
  <c r="E79" i="1"/>
  <c r="E295" i="1"/>
  <c r="E339" i="1"/>
  <c r="E362" i="1"/>
  <c r="E333" i="1"/>
  <c r="E388" i="1"/>
  <c r="E222" i="1"/>
  <c r="E363" i="1"/>
  <c r="E330" i="1"/>
  <c r="E194" i="1"/>
  <c r="E328" i="1"/>
  <c r="E231" i="1"/>
  <c r="E410" i="1"/>
  <c r="E94" i="1"/>
  <c r="E310" i="1"/>
  <c r="E205" i="1"/>
  <c r="E64" i="1"/>
  <c r="E189" i="1"/>
  <c r="E265" i="1"/>
  <c r="E424" i="1"/>
  <c r="E195" i="1"/>
  <c r="E180" i="1"/>
  <c r="E387" i="1"/>
  <c r="E76" i="1"/>
  <c r="E123" i="1"/>
  <c r="E177" i="1"/>
  <c r="E341" i="1"/>
  <c r="E119" i="1"/>
  <c r="E218" i="1"/>
  <c r="G1" i="1"/>
  <c r="J1" i="1" s="1"/>
  <c r="E393" i="1"/>
  <c r="E173" i="1"/>
  <c r="E61" i="1"/>
  <c r="E188" i="1"/>
  <c r="E157" i="1"/>
  <c r="E67" i="1"/>
  <c r="E352" i="1"/>
  <c r="E375" i="1"/>
  <c r="E138" i="1"/>
  <c r="E306" i="1"/>
  <c r="E298" i="1"/>
  <c r="E198" i="1"/>
  <c r="E406" i="1"/>
  <c r="E149" i="1"/>
  <c r="E170" i="1"/>
  <c r="E251" i="1"/>
  <c r="E85" i="1"/>
  <c r="E412" i="1"/>
  <c r="E316" i="1"/>
  <c r="E78" i="1"/>
  <c r="E221" i="7"/>
  <c r="E273" i="1"/>
  <c r="E84" i="1"/>
  <c r="E413" i="1"/>
  <c r="E219" i="1"/>
  <c r="E391" i="1"/>
  <c r="E334" i="1"/>
  <c r="E322" i="1"/>
  <c r="E155" i="1"/>
  <c r="E232" i="1"/>
  <c r="E212" i="1"/>
  <c r="E210" i="1"/>
  <c r="E264" i="1"/>
  <c r="E405" i="1"/>
  <c r="E332" i="1"/>
  <c r="E117" i="1"/>
  <c r="E156" i="1"/>
  <c r="E253" i="1"/>
  <c r="E389" i="1"/>
  <c r="E113" i="1"/>
  <c r="E208" i="1"/>
  <c r="E244" i="1"/>
  <c r="E122" i="1"/>
  <c r="E115" i="1"/>
  <c r="E283" i="1"/>
  <c r="E243" i="1"/>
  <c r="E304" i="1"/>
  <c r="E342" i="1"/>
  <c r="E366" i="1"/>
  <c r="E284" i="1"/>
  <c r="E314" i="1"/>
  <c r="E242" i="1"/>
  <c r="E65" i="1"/>
  <c r="E69" i="1"/>
  <c r="E182" i="1"/>
  <c r="E107" i="1"/>
  <c r="E275" i="1"/>
  <c r="E249" i="1"/>
  <c r="E354" i="1"/>
  <c r="E368" i="1"/>
  <c r="E114" i="1"/>
  <c r="E320" i="1"/>
  <c r="E278" i="1"/>
  <c r="E260" i="1"/>
  <c r="E360" i="1"/>
  <c r="E74" i="1"/>
  <c r="E359" i="1"/>
  <c r="E344" i="1"/>
  <c r="E422" i="1"/>
  <c r="E399" i="1"/>
  <c r="E403" i="1"/>
  <c r="E276" i="1"/>
  <c r="E425" i="1"/>
  <c r="E187" i="1"/>
  <c r="E370" i="1"/>
  <c r="E228" i="1"/>
  <c r="E416" i="1"/>
  <c r="E176" i="1"/>
  <c r="E86" i="1"/>
  <c r="E233" i="1"/>
  <c r="E181" i="1"/>
  <c r="E372" i="1"/>
  <c r="E126" i="1"/>
  <c r="E277" i="1"/>
  <c r="E282" i="1"/>
  <c r="E224" i="1"/>
  <c r="E148" i="1"/>
  <c r="E140" i="1"/>
  <c r="E207" i="1"/>
  <c r="E193" i="1"/>
  <c r="E143" i="1"/>
  <c r="E121" i="1"/>
  <c r="E106" i="1"/>
  <c r="E390" i="1"/>
  <c r="E153" i="1"/>
  <c r="E307" i="1"/>
  <c r="E235" i="1"/>
  <c r="E305" i="1"/>
  <c r="E241" i="1"/>
  <c r="E81" i="1"/>
  <c r="E151" i="1"/>
  <c r="E297" i="1"/>
  <c r="E154" i="1"/>
  <c r="E135" i="1"/>
  <c r="E325" i="1"/>
  <c r="E256" i="1"/>
  <c r="E72" i="1"/>
  <c r="E270" i="1"/>
  <c r="E102" i="1"/>
  <c r="E357" i="1"/>
  <c r="E221" i="1"/>
  <c r="E87" i="1"/>
  <c r="E426" i="1"/>
  <c r="E163" i="1"/>
  <c r="E356" i="1"/>
  <c r="E261" i="1"/>
  <c r="E246" i="1"/>
  <c r="E404" i="1"/>
  <c r="E336" i="1"/>
  <c r="E134" i="1"/>
  <c r="E69" i="29"/>
  <c r="E137" i="29"/>
  <c r="E44" i="13"/>
  <c r="E53" i="13"/>
  <c r="E40" i="13"/>
  <c r="E295" i="10"/>
  <c r="E43" i="10"/>
  <c r="E332" i="10"/>
  <c r="E298" i="10"/>
  <c r="E334" i="10"/>
  <c r="E72" i="10"/>
  <c r="E159" i="10"/>
  <c r="E129" i="10"/>
  <c r="E235" i="10"/>
  <c r="E146" i="10"/>
  <c r="E291" i="10"/>
  <c r="E176" i="10"/>
  <c r="E308" i="10"/>
  <c r="E276" i="10"/>
  <c r="E120" i="10"/>
  <c r="E187" i="10"/>
  <c r="C270" i="10"/>
  <c r="C280" i="10"/>
  <c r="C302" i="10"/>
  <c r="C48" i="10"/>
  <c r="E220" i="10"/>
  <c r="E46" i="10"/>
  <c r="E197" i="10"/>
  <c r="E60" i="10"/>
  <c r="E229" i="10"/>
  <c r="C59" i="10"/>
  <c r="C198" i="10"/>
  <c r="C174" i="10"/>
  <c r="C50" i="10"/>
  <c r="C211" i="10"/>
  <c r="C129" i="10"/>
  <c r="E247" i="10"/>
  <c r="E222" i="10"/>
  <c r="E209" i="10"/>
  <c r="E315" i="10"/>
  <c r="E231" i="10"/>
  <c r="E55" i="10"/>
  <c r="E243" i="10"/>
  <c r="E267" i="10"/>
  <c r="E350" i="10"/>
  <c r="X13" i="10"/>
  <c r="AP31" i="10" s="1"/>
  <c r="I325" i="10"/>
  <c r="C147" i="10"/>
  <c r="C58" i="10"/>
  <c r="C250" i="10"/>
  <c r="C191" i="10"/>
  <c r="C202" i="10"/>
  <c r="C286" i="10"/>
  <c r="C351" i="10"/>
  <c r="C75" i="10"/>
  <c r="C77" i="10"/>
  <c r="C298" i="10"/>
  <c r="C322" i="10"/>
  <c r="C257" i="10"/>
  <c r="C195" i="10"/>
  <c r="C315" i="10"/>
  <c r="C133" i="10"/>
  <c r="C107" i="10"/>
  <c r="C112" i="10"/>
  <c r="C324" i="10"/>
  <c r="C278" i="10"/>
  <c r="C323" i="10"/>
  <c r="C158" i="10"/>
  <c r="C234" i="10"/>
  <c r="C293" i="10"/>
  <c r="C175" i="10"/>
  <c r="C120" i="10"/>
  <c r="C254" i="10"/>
  <c r="C225" i="10"/>
  <c r="C206" i="10"/>
  <c r="C240" i="10"/>
  <c r="C344" i="10"/>
  <c r="C251" i="10"/>
  <c r="C321" i="10"/>
  <c r="D92" i="10"/>
  <c r="I125" i="10"/>
  <c r="N13" i="10"/>
  <c r="N27" i="10" s="1"/>
  <c r="D206" i="10"/>
  <c r="D306" i="10"/>
  <c r="D45" i="10"/>
  <c r="D272" i="10"/>
  <c r="D260" i="10"/>
  <c r="D111" i="10"/>
  <c r="D244" i="10"/>
  <c r="D187" i="10"/>
  <c r="D152" i="10"/>
  <c r="D319" i="10"/>
  <c r="D59" i="10"/>
  <c r="D250" i="10"/>
  <c r="D102" i="10"/>
  <c r="D249" i="10"/>
  <c r="J13" i="10"/>
  <c r="AB31" i="10" s="1"/>
  <c r="O13" i="10"/>
  <c r="O27" i="10" s="1"/>
  <c r="O28" i="10" s="1"/>
  <c r="O29" i="10" s="1"/>
  <c r="O30" i="10" s="1"/>
  <c r="K13" i="10"/>
  <c r="AC31" i="10" s="1"/>
  <c r="D145" i="10"/>
  <c r="D56" i="10"/>
  <c r="D342" i="10"/>
  <c r="D288" i="10"/>
  <c r="D94" i="10"/>
  <c r="I53" i="10"/>
  <c r="D256" i="10"/>
  <c r="D225" i="10"/>
  <c r="D354" i="10"/>
  <c r="D159" i="10"/>
  <c r="D170" i="10"/>
  <c r="D47" i="10"/>
  <c r="D262" i="10"/>
  <c r="J13" i="28"/>
  <c r="G17" i="35"/>
  <c r="J17" i="35" s="1"/>
  <c r="H6" i="35"/>
  <c r="K6" i="35" s="1"/>
  <c r="F27" i="35"/>
  <c r="I27" i="35" s="1"/>
  <c r="G9" i="35"/>
  <c r="J9" i="35" s="1"/>
  <c r="F42" i="35"/>
  <c r="I42" i="35" s="1"/>
  <c r="F19" i="35"/>
  <c r="I19" i="35" s="1"/>
  <c r="G40" i="35"/>
  <c r="J40" i="35" s="1"/>
  <c r="G7" i="35"/>
  <c r="J7" i="35" s="1"/>
  <c r="F65" i="35"/>
  <c r="I65" i="35" s="1"/>
  <c r="F16" i="35"/>
  <c r="I16" i="35" s="1"/>
  <c r="F72" i="35"/>
  <c r="I72" i="35" s="1"/>
  <c r="F39" i="35"/>
  <c r="I39" i="35" s="1"/>
  <c r="F68" i="35"/>
  <c r="I68" i="35" s="1"/>
  <c r="F38" i="35"/>
  <c r="I38" i="35" s="1"/>
  <c r="F10" i="35"/>
  <c r="I10" i="35" s="1"/>
  <c r="F26" i="35"/>
  <c r="I26" i="35" s="1"/>
  <c r="G62" i="35"/>
  <c r="J62" i="35" s="1"/>
  <c r="H67" i="35"/>
  <c r="K67" i="35" s="1"/>
  <c r="F24" i="35"/>
  <c r="I24" i="35" s="1"/>
  <c r="F45" i="35"/>
  <c r="I45" i="35" s="1"/>
  <c r="F30" i="35"/>
  <c r="I30" i="35" s="1"/>
  <c r="F7" i="35"/>
  <c r="I7" i="35" s="1"/>
  <c r="F21" i="35"/>
  <c r="I21" i="35" s="1"/>
  <c r="F35" i="35"/>
  <c r="I35" i="35" s="1"/>
  <c r="G12" i="35"/>
  <c r="J12" i="35" s="1"/>
  <c r="F28" i="35"/>
  <c r="I28" i="35" s="1"/>
  <c r="H54" i="35"/>
  <c r="K54" i="35" s="1"/>
  <c r="G69" i="35"/>
  <c r="J69" i="35" s="1"/>
  <c r="H36" i="35"/>
  <c r="K36" i="35" s="1"/>
  <c r="H10" i="35"/>
  <c r="K10" i="35" s="1"/>
  <c r="G32" i="35"/>
  <c r="J32" i="35" s="1"/>
  <c r="H49" i="35"/>
  <c r="K49" i="35" s="1"/>
  <c r="H65" i="35"/>
  <c r="K65" i="35" s="1"/>
  <c r="F32" i="35"/>
  <c r="I32" i="35" s="1"/>
  <c r="H74" i="35"/>
  <c r="K74" i="35" s="1"/>
  <c r="F25" i="35"/>
  <c r="I25" i="35" s="1"/>
  <c r="H48" i="35"/>
  <c r="K48" i="35" s="1"/>
  <c r="H59" i="35"/>
  <c r="K59" i="35" s="1"/>
  <c r="H24" i="35"/>
  <c r="K24" i="35" s="1"/>
  <c r="G48" i="35"/>
  <c r="J48" i="35" s="1"/>
  <c r="H71" i="35"/>
  <c r="K71" i="35" s="1"/>
  <c r="G49" i="35"/>
  <c r="J49" i="35" s="1"/>
  <c r="F8" i="35"/>
  <c r="I8" i="35" s="1"/>
  <c r="F29" i="35"/>
  <c r="I29" i="35" s="1"/>
  <c r="F67" i="35"/>
  <c r="I67" i="35" s="1"/>
  <c r="F51" i="35"/>
  <c r="I51" i="35" s="1"/>
  <c r="G33" i="35"/>
  <c r="J33" i="35" s="1"/>
  <c r="G75" i="35"/>
  <c r="J75" i="35" s="1"/>
  <c r="F71" i="35"/>
  <c r="I71" i="35" s="1"/>
  <c r="G46" i="35"/>
  <c r="J46" i="35" s="1"/>
  <c r="G10" i="35"/>
  <c r="J10" i="35" s="1"/>
  <c r="G18" i="35"/>
  <c r="J18" i="35" s="1"/>
  <c r="C81" i="13"/>
  <c r="C63" i="13"/>
  <c r="C74" i="13"/>
  <c r="C57" i="13"/>
  <c r="C70" i="13"/>
  <c r="C69" i="13"/>
  <c r="C79" i="13"/>
  <c r="D160" i="10"/>
  <c r="D107" i="10"/>
  <c r="D314" i="10"/>
  <c r="D230" i="10"/>
  <c r="D172" i="10"/>
  <c r="D202" i="10"/>
  <c r="D91" i="10"/>
  <c r="D77" i="10"/>
  <c r="D53" i="10"/>
  <c r="D293" i="10"/>
  <c r="D73" i="10"/>
  <c r="D123" i="10"/>
  <c r="D223" i="10"/>
  <c r="D135" i="10"/>
  <c r="D127" i="10"/>
  <c r="D198" i="10"/>
  <c r="D290" i="10"/>
  <c r="D355" i="10"/>
  <c r="D130" i="10"/>
  <c r="D46" i="10"/>
  <c r="D270" i="10"/>
  <c r="D330" i="10"/>
  <c r="E87" i="5"/>
  <c r="E46" i="5"/>
  <c r="E40" i="5"/>
  <c r="E91" i="5"/>
  <c r="E78" i="5"/>
  <c r="E73" i="5"/>
  <c r="E82" i="5"/>
  <c r="E58" i="5"/>
  <c r="E62" i="5"/>
  <c r="E102" i="5"/>
  <c r="E83" i="5"/>
  <c r="E63" i="5"/>
  <c r="E45" i="5"/>
  <c r="E98" i="5"/>
  <c r="E44" i="5"/>
  <c r="E100" i="5"/>
  <c r="E38" i="5"/>
  <c r="E33" i="5"/>
  <c r="E35" i="5"/>
  <c r="E92" i="5"/>
  <c r="E59" i="5"/>
  <c r="E88" i="5"/>
  <c r="D192" i="1"/>
  <c r="D105" i="1"/>
  <c r="D239" i="1"/>
  <c r="D373" i="1"/>
  <c r="D374" i="1"/>
  <c r="D423" i="1"/>
  <c r="D203" i="1"/>
  <c r="D63" i="1"/>
  <c r="D425" i="1"/>
  <c r="D328" i="1"/>
  <c r="D398" i="1"/>
  <c r="D78" i="1"/>
  <c r="D68" i="1"/>
  <c r="D79" i="1"/>
  <c r="D233" i="1"/>
  <c r="D137" i="1"/>
  <c r="D390" i="1"/>
  <c r="D318" i="1"/>
  <c r="D143" i="1"/>
  <c r="D270" i="1"/>
  <c r="D148" i="1"/>
  <c r="D62" i="1"/>
  <c r="D202" i="1"/>
  <c r="D301" i="1"/>
  <c r="D208" i="1"/>
  <c r="D236" i="1"/>
  <c r="D120" i="1"/>
  <c r="D303" i="1"/>
  <c r="D308" i="1"/>
  <c r="D81" i="1"/>
  <c r="D397" i="1"/>
  <c r="D324" i="1"/>
  <c r="D307" i="1"/>
  <c r="D186" i="1"/>
  <c r="D158" i="1"/>
  <c r="D149" i="1"/>
  <c r="D248" i="1"/>
  <c r="D87" i="1"/>
  <c r="D315" i="1"/>
  <c r="D111" i="1"/>
  <c r="D205" i="1"/>
  <c r="D64" i="1"/>
  <c r="D326" i="1"/>
  <c r="D64" i="13"/>
  <c r="D71" i="13"/>
  <c r="D74" i="13"/>
  <c r="D53" i="13"/>
  <c r="D59" i="13"/>
  <c r="D69" i="13"/>
  <c r="D41" i="13"/>
  <c r="D50" i="13"/>
  <c r="D70" i="13"/>
  <c r="D55" i="13"/>
  <c r="D217" i="10"/>
  <c r="D66" i="10"/>
  <c r="D347" i="10"/>
  <c r="D273" i="10"/>
  <c r="D157" i="10"/>
  <c r="D233" i="10"/>
  <c r="D296" i="10"/>
  <c r="D188" i="10"/>
  <c r="D349" i="10"/>
  <c r="D211" i="10"/>
  <c r="D62" i="10"/>
  <c r="D204" i="10"/>
  <c r="D119" i="10"/>
  <c r="D238" i="10"/>
  <c r="D158" i="10"/>
  <c r="D301" i="10"/>
  <c r="D197" i="10"/>
  <c r="D93" i="10"/>
  <c r="D68" i="10"/>
  <c r="D234" i="10"/>
  <c r="D149" i="10"/>
  <c r="D335" i="10"/>
  <c r="D81" i="10"/>
  <c r="D331" i="10"/>
  <c r="D291" i="10"/>
  <c r="D120" i="10"/>
  <c r="D297" i="10"/>
  <c r="D222" i="10"/>
  <c r="D57" i="10"/>
  <c r="D313" i="10"/>
  <c r="D253" i="10"/>
  <c r="D42" i="10"/>
  <c r="D54" i="10"/>
  <c r="D140" i="10"/>
  <c r="D220" i="10"/>
  <c r="D100" i="10"/>
  <c r="D344" i="10"/>
  <c r="D312" i="10"/>
  <c r="D134" i="10"/>
  <c r="D228" i="10"/>
  <c r="D83" i="10"/>
  <c r="D352" i="10"/>
  <c r="D216" i="10"/>
  <c r="D232" i="10"/>
  <c r="D89" i="10"/>
  <c r="D218" i="10"/>
  <c r="D185" i="10"/>
  <c r="D208" i="10"/>
  <c r="D69" i="10"/>
  <c r="D294" i="10"/>
  <c r="D267" i="10"/>
  <c r="D194" i="10"/>
  <c r="D264" i="10"/>
  <c r="D286" i="10"/>
  <c r="D110" i="10"/>
  <c r="E77" i="10"/>
  <c r="E48" i="10"/>
  <c r="E273" i="10"/>
  <c r="E87" i="10"/>
  <c r="E318" i="10"/>
  <c r="E217" i="10"/>
  <c r="E51" i="10"/>
  <c r="E137" i="10"/>
  <c r="E183" i="10"/>
  <c r="E91" i="10"/>
  <c r="E226" i="10"/>
  <c r="E45" i="10"/>
  <c r="E340" i="10"/>
  <c r="E346" i="10"/>
  <c r="E181" i="10"/>
  <c r="E344" i="10"/>
  <c r="E154" i="10"/>
  <c r="E94" i="10"/>
  <c r="E36" i="5"/>
  <c r="E63" i="10"/>
  <c r="E336" i="10"/>
  <c r="E253" i="10"/>
  <c r="E68" i="5"/>
  <c r="E41" i="5"/>
  <c r="C69" i="7"/>
  <c r="C193" i="7"/>
  <c r="C78" i="7"/>
  <c r="C303" i="1"/>
  <c r="D90" i="1"/>
  <c r="D92" i="1"/>
  <c r="D379" i="1"/>
  <c r="D219" i="10"/>
  <c r="D289" i="10"/>
  <c r="D115" i="10"/>
  <c r="D251" i="10"/>
  <c r="D329" i="10"/>
  <c r="D190" i="10"/>
  <c r="D166" i="10"/>
  <c r="D348" i="10"/>
  <c r="D76" i="10"/>
  <c r="D337" i="10"/>
  <c r="D139" i="10"/>
  <c r="D201" i="10"/>
  <c r="D305" i="10"/>
  <c r="D147" i="10"/>
  <c r="D103" i="10"/>
  <c r="D317" i="10"/>
  <c r="D209" i="10"/>
  <c r="D284" i="10"/>
  <c r="D189" i="10"/>
  <c r="D279" i="10"/>
  <c r="D80" i="10"/>
  <c r="D63" i="10"/>
  <c r="D248" i="10"/>
  <c r="D307" i="10"/>
  <c r="D114" i="10"/>
  <c r="D235" i="10"/>
  <c r="D226" i="10"/>
  <c r="D321" i="10"/>
  <c r="D278" i="10"/>
  <c r="D327" i="10"/>
  <c r="D171" i="10"/>
  <c r="D302" i="10"/>
  <c r="D117" i="10"/>
  <c r="D315" i="10"/>
  <c r="D276" i="10"/>
  <c r="D146" i="10"/>
  <c r="D295" i="10"/>
  <c r="D106" i="10"/>
  <c r="D258" i="10"/>
  <c r="D199" i="10"/>
  <c r="D143" i="10"/>
  <c r="D277" i="10"/>
  <c r="D303" i="10"/>
  <c r="D137" i="10"/>
  <c r="D108" i="10"/>
  <c r="D274" i="10"/>
  <c r="D173" i="10"/>
  <c r="D79" i="10"/>
  <c r="D326" i="10"/>
  <c r="D97" i="10"/>
  <c r="D99" i="10"/>
  <c r="D333" i="10"/>
  <c r="D75" i="10"/>
  <c r="D227" i="10"/>
  <c r="D180" i="10"/>
  <c r="D356" i="10"/>
  <c r="D74" i="10"/>
  <c r="D343" i="10"/>
  <c r="D48" i="10"/>
  <c r="D212" i="10"/>
  <c r="D340" i="10"/>
  <c r="D161" i="10"/>
  <c r="D136" i="10"/>
  <c r="D195" i="10"/>
  <c r="D203" i="10"/>
  <c r="D334" i="10"/>
  <c r="D138" i="10"/>
  <c r="D64" i="10"/>
  <c r="D191" i="10"/>
  <c r="D132" i="10"/>
  <c r="D261" i="10"/>
  <c r="D242" i="10"/>
  <c r="D304" i="10"/>
  <c r="D252" i="10"/>
  <c r="D169" i="10"/>
  <c r="D109" i="10"/>
  <c r="D126" i="10"/>
  <c r="D192" i="10"/>
  <c r="D221" i="10"/>
  <c r="D175" i="10"/>
  <c r="D50" i="10"/>
  <c r="D41" i="10"/>
  <c r="D268" i="10"/>
  <c r="D153" i="10"/>
  <c r="D283" i="10"/>
  <c r="D200" i="10"/>
  <c r="D255" i="10"/>
  <c r="D353" i="10"/>
  <c r="D310" i="10"/>
  <c r="D104" i="10"/>
  <c r="D86" i="10"/>
  <c r="D280" i="10"/>
  <c r="D308" i="10"/>
  <c r="D237" i="10"/>
  <c r="D164" i="10"/>
  <c r="D309" i="10"/>
  <c r="D151" i="10"/>
  <c r="D95" i="10"/>
  <c r="D214" i="10"/>
  <c r="D318" i="10"/>
  <c r="D245" i="10"/>
  <c r="D320" i="10"/>
  <c r="D101" i="10"/>
  <c r="D163" i="10"/>
  <c r="D207" i="10"/>
  <c r="D141" i="10"/>
  <c r="D122" i="10"/>
  <c r="D78" i="10"/>
  <c r="D281" i="10"/>
  <c r="D345" i="10"/>
  <c r="D55" i="10"/>
  <c r="D49" i="10"/>
  <c r="D178" i="10"/>
  <c r="C233" i="7"/>
  <c r="C95" i="7"/>
  <c r="C97" i="7"/>
  <c r="C99" i="7"/>
  <c r="C139" i="7"/>
  <c r="C264" i="7"/>
  <c r="C125" i="7"/>
  <c r="C100" i="7"/>
  <c r="C240" i="7"/>
  <c r="C190" i="7"/>
  <c r="C112" i="7"/>
  <c r="C76" i="7"/>
  <c r="C61" i="7"/>
  <c r="C59" i="7"/>
  <c r="C108" i="7"/>
  <c r="C230" i="7"/>
  <c r="C157" i="7"/>
  <c r="C257" i="7"/>
  <c r="C205" i="7"/>
  <c r="C74" i="7"/>
  <c r="C71" i="7"/>
  <c r="C57" i="7"/>
  <c r="C119" i="7"/>
  <c r="C159" i="7"/>
  <c r="C141" i="7"/>
  <c r="C201" i="7"/>
  <c r="C167" i="7"/>
  <c r="C162" i="7"/>
  <c r="C164" i="7"/>
  <c r="C118" i="7"/>
  <c r="E167" i="10"/>
  <c r="E124" i="10"/>
  <c r="E349" i="10"/>
  <c r="E56" i="10"/>
  <c r="E90" i="10"/>
  <c r="E257" i="10"/>
  <c r="E317" i="10"/>
  <c r="E151" i="10"/>
  <c r="E224" i="10"/>
  <c r="E172" i="10"/>
  <c r="E157" i="10"/>
  <c r="E312" i="10"/>
  <c r="E134" i="10"/>
  <c r="E245" i="10"/>
  <c r="E238" i="10"/>
  <c r="E269" i="10"/>
  <c r="E145" i="10"/>
  <c r="E232" i="10"/>
  <c r="E294" i="10"/>
  <c r="E328" i="10"/>
  <c r="E182" i="10"/>
  <c r="E292" i="10"/>
  <c r="E206" i="10"/>
  <c r="E252" i="10"/>
  <c r="E74" i="10"/>
  <c r="E236" i="10"/>
  <c r="E47" i="10"/>
  <c r="E199" i="10"/>
  <c r="E42" i="10"/>
  <c r="E68" i="10"/>
  <c r="E193" i="10"/>
  <c r="E266" i="10"/>
  <c r="E108" i="10"/>
  <c r="E83" i="10"/>
  <c r="E299" i="10"/>
  <c r="E310" i="10"/>
  <c r="E155" i="10"/>
  <c r="E281" i="10"/>
  <c r="E327" i="10"/>
  <c r="E324" i="10"/>
  <c r="E153" i="10"/>
  <c r="E121" i="10"/>
  <c r="E244" i="10"/>
  <c r="E138" i="10"/>
  <c r="E218" i="10"/>
  <c r="E170" i="10"/>
  <c r="E70" i="10"/>
  <c r="E313" i="10"/>
  <c r="E341" i="10"/>
  <c r="E264" i="10"/>
  <c r="E201" i="10"/>
  <c r="E194" i="10"/>
  <c r="E270" i="10"/>
  <c r="E213" i="10"/>
  <c r="E278" i="10"/>
  <c r="E234" i="10"/>
  <c r="E241" i="10"/>
  <c r="E277" i="10"/>
  <c r="E185" i="10"/>
  <c r="E316" i="10"/>
  <c r="E190" i="10"/>
  <c r="E111" i="10"/>
  <c r="E143" i="10"/>
  <c r="E98" i="10"/>
  <c r="E279" i="10"/>
  <c r="E106" i="10"/>
  <c r="E41" i="10"/>
  <c r="E132" i="10"/>
  <c r="E297" i="10"/>
  <c r="E258" i="10"/>
  <c r="E283" i="10"/>
  <c r="E139" i="10"/>
  <c r="E321" i="10"/>
  <c r="E300" i="10"/>
  <c r="E274" i="10"/>
  <c r="E296" i="10"/>
  <c r="E99" i="10"/>
  <c r="E293" i="10"/>
  <c r="E58" i="10"/>
  <c r="E301" i="10"/>
  <c r="E348" i="10"/>
  <c r="E239" i="10"/>
  <c r="E263" i="10"/>
  <c r="E246" i="10"/>
  <c r="E322" i="10"/>
  <c r="E208" i="10"/>
  <c r="E188" i="10"/>
  <c r="E144" i="10"/>
  <c r="E126" i="10"/>
  <c r="E304" i="10"/>
  <c r="E89" i="10"/>
  <c r="E184" i="10"/>
  <c r="E237" i="10"/>
  <c r="C318" i="1"/>
  <c r="C114" i="1"/>
  <c r="C61" i="1"/>
  <c r="C324" i="1"/>
  <c r="C195" i="1"/>
  <c r="C67" i="1"/>
  <c r="C196" i="1"/>
  <c r="C378" i="1"/>
  <c r="C143" i="1"/>
  <c r="C212" i="1"/>
  <c r="C339" i="1"/>
  <c r="C301" i="1"/>
  <c r="C383" i="1"/>
  <c r="C334" i="1"/>
  <c r="C246" i="1"/>
  <c r="C297" i="1"/>
  <c r="C111" i="1"/>
  <c r="C230" i="1"/>
  <c r="C232" i="1"/>
  <c r="C414" i="1"/>
  <c r="C151" i="1"/>
  <c r="C166" i="1"/>
  <c r="C270" i="1"/>
  <c r="C77" i="1"/>
  <c r="C80" i="1"/>
  <c r="C153" i="1"/>
  <c r="C161" i="1"/>
  <c r="C139" i="1"/>
  <c r="C289" i="1"/>
  <c r="C245" i="1"/>
  <c r="C323" i="1"/>
  <c r="C183" i="1"/>
  <c r="C122" i="1"/>
  <c r="C220" i="1"/>
  <c r="C113" i="1"/>
  <c r="C62" i="1"/>
  <c r="C233" i="1"/>
  <c r="C86" i="1"/>
  <c r="D128" i="10"/>
  <c r="D156" i="10"/>
  <c r="D269" i="10"/>
  <c r="D338" i="10"/>
  <c r="D328" i="10"/>
  <c r="D254" i="10"/>
  <c r="D133" i="10"/>
  <c r="D131" i="10"/>
  <c r="D150" i="10"/>
  <c r="D311" i="10"/>
  <c r="D215" i="10"/>
  <c r="D210" i="10"/>
  <c r="D285" i="10"/>
  <c r="D44" i="10"/>
  <c r="D231" i="10"/>
  <c r="D90" i="10"/>
  <c r="D52" i="10"/>
  <c r="D58" i="10"/>
  <c r="D154" i="10"/>
  <c r="D181" i="10"/>
  <c r="D118" i="10"/>
  <c r="D229" i="10"/>
  <c r="D205" i="10"/>
  <c r="D129" i="10"/>
  <c r="D85" i="10"/>
  <c r="D265" i="10"/>
  <c r="D121" i="10"/>
  <c r="D112" i="10"/>
  <c r="D275" i="10"/>
  <c r="D243" i="10"/>
  <c r="D183" i="10"/>
  <c r="D300" i="10"/>
  <c r="D51" i="10"/>
  <c r="D96" i="10"/>
  <c r="D87" i="10"/>
  <c r="D65" i="10"/>
  <c r="D263" i="10"/>
  <c r="D61" i="10"/>
  <c r="D266" i="10"/>
  <c r="D341" i="10"/>
  <c r="D67" i="10"/>
  <c r="D316" i="10"/>
  <c r="D182" i="10"/>
  <c r="D298" i="10"/>
  <c r="D116" i="10"/>
  <c r="D60" i="10"/>
  <c r="D124" i="10"/>
  <c r="D70" i="10"/>
  <c r="D142" i="10"/>
  <c r="D246" i="10"/>
  <c r="D174" i="10"/>
  <c r="D240" i="10"/>
  <c r="D236" i="10"/>
  <c r="D82" i="10"/>
  <c r="D257" i="10"/>
  <c r="E240" i="10"/>
  <c r="E255" i="10"/>
  <c r="E53" i="10"/>
  <c r="E319" i="10"/>
  <c r="E81" i="10"/>
  <c r="E149" i="10"/>
  <c r="D351" i="10"/>
  <c r="E66" i="10"/>
  <c r="E142" i="10"/>
  <c r="E354" i="10"/>
  <c r="E265" i="10"/>
  <c r="E191" i="10"/>
  <c r="E305" i="10"/>
  <c r="E92" i="10"/>
  <c r="E268" i="10"/>
  <c r="E82" i="10"/>
  <c r="E250" i="10"/>
  <c r="E75" i="10"/>
  <c r="E200" i="10"/>
  <c r="E314" i="10"/>
  <c r="E284" i="10"/>
  <c r="E261" i="10"/>
  <c r="E162" i="10"/>
  <c r="E249" i="10"/>
  <c r="E158" i="10"/>
  <c r="E168" i="10"/>
  <c r="E140" i="10"/>
  <c r="E203" i="10"/>
  <c r="E103" i="10"/>
  <c r="E282" i="10"/>
  <c r="E254" i="10"/>
  <c r="E309" i="10"/>
  <c r="E212" i="10"/>
  <c r="E61" i="5"/>
  <c r="E66" i="5"/>
  <c r="E49" i="5"/>
  <c r="E43" i="5"/>
  <c r="C55" i="13"/>
  <c r="C64" i="13"/>
  <c r="C101" i="7"/>
  <c r="C70" i="1"/>
  <c r="C340" i="1"/>
  <c r="C358" i="1"/>
  <c r="D106" i="1"/>
  <c r="D147" i="1"/>
  <c r="D102" i="1"/>
  <c r="D316" i="1"/>
  <c r="D66" i="13"/>
  <c r="C21" i="6"/>
  <c r="C29" i="6"/>
  <c r="C32" i="6"/>
  <c r="C23" i="6"/>
  <c r="C28" i="6"/>
  <c r="C33" i="6"/>
  <c r="C26" i="6"/>
  <c r="C31" i="6"/>
  <c r="C35" i="6"/>
  <c r="C24" i="6"/>
  <c r="C22" i="6"/>
  <c r="C30" i="6"/>
  <c r="E127" i="29"/>
  <c r="E93" i="29"/>
  <c r="E114" i="29"/>
  <c r="E173" i="29"/>
  <c r="E72" i="29"/>
  <c r="E119" i="29"/>
  <c r="E103" i="29"/>
  <c r="E80" i="29"/>
  <c r="E95" i="29"/>
  <c r="E77" i="29"/>
  <c r="E117" i="29"/>
  <c r="C97" i="5"/>
  <c r="C87" i="5"/>
  <c r="C51" i="5"/>
  <c r="C80" i="5"/>
  <c r="C167" i="29"/>
  <c r="C146" i="29"/>
  <c r="C156" i="29"/>
  <c r="C101" i="29"/>
  <c r="C106" i="29"/>
  <c r="C147" i="29"/>
  <c r="C78" i="29"/>
  <c r="C172" i="29"/>
  <c r="C90" i="29"/>
  <c r="C131" i="29"/>
  <c r="C177" i="29"/>
  <c r="C79" i="29"/>
  <c r="C88" i="29"/>
  <c r="C64" i="29"/>
  <c r="C150" i="29"/>
  <c r="C129" i="29"/>
  <c r="C85" i="5"/>
  <c r="C178" i="29"/>
  <c r="C63" i="5"/>
  <c r="C67" i="5"/>
  <c r="C92" i="5"/>
  <c r="C64" i="5"/>
  <c r="D150" i="7"/>
  <c r="D199" i="7"/>
  <c r="D106" i="7"/>
  <c r="D107" i="7"/>
  <c r="C157" i="29"/>
  <c r="C98" i="29"/>
  <c r="C72" i="29"/>
  <c r="D51" i="7"/>
  <c r="D261" i="7"/>
  <c r="D166" i="7"/>
  <c r="D192" i="7"/>
  <c r="D216" i="7"/>
  <c r="D145" i="7"/>
  <c r="D101" i="7"/>
  <c r="D94" i="7"/>
  <c r="D108" i="7"/>
  <c r="D60" i="7"/>
  <c r="D102" i="7"/>
  <c r="D202" i="7"/>
  <c r="D95" i="7"/>
  <c r="D147" i="7"/>
  <c r="D99" i="7"/>
  <c r="D258" i="7"/>
  <c r="D78" i="7"/>
  <c r="D77" i="7"/>
  <c r="D115" i="7"/>
  <c r="D135" i="7"/>
  <c r="D159" i="7"/>
  <c r="D120" i="7"/>
  <c r="D238" i="7"/>
  <c r="D194" i="7"/>
  <c r="D180" i="7"/>
  <c r="D142" i="7"/>
  <c r="D193" i="7"/>
  <c r="D164" i="7"/>
  <c r="D124" i="7"/>
  <c r="D259" i="7"/>
  <c r="D100" i="7"/>
  <c r="D97" i="7"/>
  <c r="D90" i="7"/>
  <c r="D59" i="7"/>
  <c r="D75" i="7"/>
  <c r="D141" i="7"/>
  <c r="D157" i="7"/>
  <c r="D173" i="7"/>
  <c r="D146" i="7"/>
  <c r="D114" i="7"/>
  <c r="D91" i="7"/>
  <c r="D208" i="7"/>
  <c r="D198" i="7"/>
  <c r="D187" i="7"/>
  <c r="D176" i="7"/>
  <c r="D148" i="7"/>
  <c r="D229" i="7"/>
  <c r="D260" i="7"/>
  <c r="D253" i="7"/>
  <c r="D246" i="7"/>
  <c r="D250" i="7"/>
  <c r="D112" i="7"/>
  <c r="D84" i="7"/>
  <c r="D65" i="7"/>
  <c r="D143" i="7"/>
  <c r="D167" i="7"/>
  <c r="D72" i="7"/>
  <c r="D228" i="7"/>
  <c r="D212" i="7"/>
  <c r="D191" i="7"/>
  <c r="D168" i="7"/>
  <c r="D172" i="7"/>
  <c r="D110" i="7"/>
  <c r="D237" i="7"/>
  <c r="D257" i="7"/>
  <c r="D74" i="7"/>
  <c r="D82" i="7"/>
  <c r="D55" i="7"/>
  <c r="D117" i="7"/>
  <c r="D137" i="7"/>
  <c r="D161" i="7"/>
  <c r="D83" i="7"/>
  <c r="D122" i="7"/>
  <c r="D239" i="7"/>
  <c r="D224" i="7"/>
  <c r="D195" i="7"/>
  <c r="D182" i="7"/>
  <c r="D160" i="7"/>
  <c r="D225" i="7"/>
  <c r="D262" i="7"/>
  <c r="D254" i="7"/>
  <c r="D245" i="7"/>
  <c r="D241" i="7"/>
  <c r="D57" i="7"/>
  <c r="D139" i="7"/>
  <c r="D62" i="7"/>
  <c r="D61" i="7"/>
  <c r="D119" i="7"/>
  <c r="D151" i="7"/>
  <c r="D234" i="7"/>
  <c r="D204" i="7"/>
  <c r="D183" i="7"/>
  <c r="D209" i="7"/>
  <c r="D156" i="7"/>
  <c r="D240" i="7"/>
  <c r="D116" i="7"/>
  <c r="D63" i="7"/>
  <c r="D105" i="7"/>
  <c r="D133" i="7"/>
  <c r="D165" i="7"/>
  <c r="D138" i="7"/>
  <c r="D52" i="7"/>
  <c r="D222" i="7"/>
  <c r="D184" i="7"/>
  <c r="D132" i="7"/>
  <c r="D217" i="7"/>
  <c r="D256" i="7"/>
  <c r="D247" i="7"/>
  <c r="D243" i="7"/>
  <c r="D73" i="7"/>
  <c r="D231" i="7"/>
  <c r="D188" i="7"/>
  <c r="D181" i="7"/>
  <c r="C83" i="5"/>
  <c r="C73" i="5"/>
  <c r="C31" i="5"/>
  <c r="C49" i="5"/>
  <c r="C57" i="5"/>
  <c r="C54" i="5"/>
  <c r="C36" i="5"/>
  <c r="C38" i="5"/>
  <c r="C48" i="5"/>
  <c r="C68" i="5"/>
  <c r="C77" i="5"/>
  <c r="C46" i="5"/>
  <c r="C41" i="5"/>
  <c r="C40" i="5"/>
  <c r="C109" i="29"/>
  <c r="C126" i="29"/>
  <c r="C171" i="29"/>
  <c r="C162" i="29"/>
  <c r="C160" i="29"/>
  <c r="C69" i="29"/>
  <c r="C130" i="29"/>
  <c r="C96" i="29"/>
  <c r="C149" i="29"/>
  <c r="C93" i="29"/>
  <c r="C123" i="29"/>
  <c r="C94" i="29"/>
  <c r="C85" i="29"/>
  <c r="C86" i="29"/>
  <c r="C95" i="29"/>
  <c r="C77" i="29"/>
  <c r="C152" i="29"/>
  <c r="C134" i="29"/>
  <c r="C143" i="29"/>
  <c r="C168" i="29"/>
  <c r="C163" i="29"/>
  <c r="C154" i="29"/>
  <c r="C112" i="29"/>
  <c r="C92" i="29"/>
  <c r="C104" i="29"/>
  <c r="C151" i="29"/>
  <c r="C83" i="29"/>
  <c r="C74" i="29"/>
  <c r="C153" i="29"/>
  <c r="C76" i="29"/>
  <c r="C137" i="29"/>
  <c r="C91" i="29"/>
  <c r="D43" i="5"/>
  <c r="D97" i="5"/>
  <c r="D93" i="5"/>
  <c r="D173" i="29"/>
  <c r="D118" i="29"/>
  <c r="D150" i="29"/>
  <c r="D111" i="29"/>
  <c r="D171" i="29"/>
  <c r="D120" i="29"/>
  <c r="E121" i="7"/>
  <c r="E187" i="7"/>
  <c r="E88" i="7"/>
  <c r="E176" i="7"/>
  <c r="E63" i="7"/>
  <c r="E83" i="7"/>
  <c r="E144" i="7"/>
  <c r="E54" i="7"/>
  <c r="E160" i="7"/>
  <c r="E116" i="7"/>
  <c r="E216" i="7"/>
  <c r="E199" i="7"/>
  <c r="E204" i="7"/>
  <c r="E207" i="7"/>
  <c r="E206" i="7"/>
  <c r="E181" i="7"/>
  <c r="E222" i="7"/>
  <c r="E140" i="7"/>
  <c r="E186" i="7"/>
  <c r="E235" i="7"/>
  <c r="E227" i="7"/>
  <c r="E165" i="7"/>
  <c r="E223" i="7"/>
  <c r="E79" i="7"/>
  <c r="E247" i="7"/>
  <c r="E154" i="7"/>
  <c r="E132" i="7"/>
  <c r="E120" i="7"/>
  <c r="E62" i="7"/>
  <c r="E243" i="7"/>
  <c r="E95" i="7"/>
  <c r="E90" i="7"/>
  <c r="E200" i="7"/>
  <c r="E188" i="7"/>
  <c r="E231" i="7"/>
  <c r="E241" i="7"/>
  <c r="E202" i="7"/>
  <c r="E236" i="7"/>
  <c r="E93" i="7"/>
  <c r="E220" i="7"/>
  <c r="E189" i="7"/>
  <c r="E192" i="7"/>
  <c r="E173" i="7"/>
  <c r="E76" i="7"/>
  <c r="E134" i="7"/>
  <c r="E239" i="7"/>
  <c r="E98" i="7"/>
  <c r="E106" i="7"/>
  <c r="E137" i="7"/>
  <c r="E145" i="7"/>
  <c r="E56" i="7"/>
  <c r="E94" i="7"/>
  <c r="E180" i="7"/>
  <c r="E74" i="7"/>
  <c r="E135" i="7"/>
  <c r="E133" i="7"/>
  <c r="E211" i="7"/>
  <c r="E197" i="7"/>
  <c r="E219" i="7"/>
  <c r="E198" i="7"/>
  <c r="E72" i="7"/>
  <c r="E136" i="7"/>
  <c r="E127" i="7"/>
  <c r="E168" i="7"/>
  <c r="E263" i="7"/>
  <c r="E258" i="7"/>
  <c r="E111" i="7"/>
  <c r="E109" i="7"/>
  <c r="E114" i="7"/>
  <c r="E105" i="7"/>
  <c r="E64" i="7"/>
  <c r="E129" i="7"/>
  <c r="E242" i="7"/>
  <c r="E169" i="7"/>
  <c r="E249" i="7"/>
  <c r="E75" i="7"/>
  <c r="E61" i="7"/>
  <c r="E217" i="7"/>
  <c r="E163" i="7"/>
  <c r="E261" i="7"/>
  <c r="E122" i="7"/>
  <c r="E84" i="7"/>
  <c r="E229" i="7"/>
  <c r="E164" i="7"/>
  <c r="E264" i="7"/>
  <c r="E201" i="7"/>
  <c r="E92" i="7"/>
  <c r="E162" i="7"/>
  <c r="E101" i="7"/>
  <c r="E170" i="7"/>
  <c r="E225" i="7"/>
  <c r="E153" i="7"/>
  <c r="E178" i="7"/>
  <c r="E205" i="7"/>
  <c r="E155" i="7"/>
  <c r="E226" i="7"/>
  <c r="E71" i="7"/>
  <c r="E96" i="7"/>
  <c r="E73" i="7"/>
  <c r="E215" i="7"/>
  <c r="E51" i="7"/>
  <c r="E250" i="7"/>
  <c r="E228" i="7"/>
  <c r="E87" i="7"/>
  <c r="E203" i="7"/>
  <c r="E103" i="7"/>
  <c r="E128" i="7"/>
  <c r="E157" i="7"/>
  <c r="E265" i="7"/>
  <c r="E102" i="7"/>
  <c r="E77" i="7"/>
  <c r="E70" i="7"/>
  <c r="E117" i="7"/>
  <c r="E234" i="7"/>
  <c r="E167" i="7"/>
  <c r="E52" i="7"/>
  <c r="E113" i="7"/>
  <c r="E150" i="7"/>
  <c r="E218" i="7"/>
  <c r="E149" i="7"/>
  <c r="E125" i="7"/>
  <c r="E190" i="7"/>
  <c r="E245" i="7"/>
  <c r="E66" i="7"/>
  <c r="E152" i="7"/>
  <c r="E175" i="7"/>
  <c r="E55" i="7"/>
  <c r="E194" i="7"/>
  <c r="E85" i="7"/>
  <c r="E251" i="7"/>
  <c r="E118" i="7"/>
  <c r="E115" i="7"/>
  <c r="E262" i="7"/>
  <c r="E151" i="7"/>
  <c r="E224" i="7"/>
  <c r="E208" i="7"/>
  <c r="E86" i="7"/>
  <c r="E171" i="7"/>
  <c r="E80" i="7"/>
  <c r="E232" i="7"/>
  <c r="E81" i="7"/>
  <c r="E193" i="7"/>
  <c r="E237" i="7"/>
  <c r="E142" i="7"/>
  <c r="E143" i="7"/>
  <c r="E89" i="7"/>
  <c r="E259" i="7"/>
  <c r="E53" i="7"/>
  <c r="E138" i="7"/>
  <c r="E260" i="7"/>
  <c r="E107" i="7"/>
  <c r="E174" i="7"/>
  <c r="E177" i="7"/>
  <c r="C244" i="1"/>
  <c r="C423" i="1"/>
  <c r="C389" i="1"/>
  <c r="C279" i="1"/>
  <c r="C272" i="1"/>
  <c r="C347" i="1"/>
  <c r="C421" i="1"/>
  <c r="C160" i="1"/>
  <c r="C211" i="1"/>
  <c r="C326" i="1"/>
  <c r="C163" i="1"/>
  <c r="C66" i="1"/>
  <c r="C376" i="1"/>
  <c r="C87" i="1"/>
  <c r="C418" i="1"/>
  <c r="C266" i="1"/>
  <c r="C254" i="1"/>
  <c r="C200" i="1"/>
  <c r="C175" i="1"/>
  <c r="C282" i="1"/>
  <c r="C404" i="1"/>
  <c r="C307" i="1"/>
  <c r="C119" i="1"/>
  <c r="C320" i="1"/>
  <c r="C71" i="1"/>
  <c r="C384" i="1"/>
  <c r="C85" i="1"/>
  <c r="C90" i="1"/>
  <c r="C68" i="1"/>
  <c r="C234" i="1"/>
  <c r="C182" i="1"/>
  <c r="C121" i="1"/>
  <c r="C367" i="1"/>
  <c r="C145" i="1"/>
  <c r="C249" i="1"/>
  <c r="C265" i="1"/>
  <c r="C157" i="1"/>
  <c r="C227" i="1"/>
  <c r="C247" i="1"/>
  <c r="C129" i="1"/>
  <c r="C257" i="1"/>
  <c r="C304" i="1"/>
  <c r="C259" i="1"/>
  <c r="C348" i="1"/>
  <c r="C170" i="1"/>
  <c r="C96" i="1"/>
  <c r="C388" i="1"/>
  <c r="C240" i="1"/>
  <c r="C120" i="1"/>
  <c r="C128" i="1"/>
  <c r="C385" i="1"/>
  <c r="C351" i="1"/>
  <c r="C219" i="1"/>
  <c r="C238" i="1"/>
  <c r="C133" i="1"/>
  <c r="C308" i="1"/>
  <c r="C213" i="1"/>
  <c r="C365" i="1"/>
  <c r="C125" i="1"/>
  <c r="C412" i="1"/>
  <c r="C210" i="1"/>
  <c r="C180" i="1"/>
  <c r="C177" i="1"/>
  <c r="C396" i="1"/>
  <c r="C277" i="1"/>
  <c r="C426" i="1"/>
  <c r="C415" i="1"/>
  <c r="C419" i="1"/>
  <c r="C281" i="1"/>
  <c r="C140" i="1"/>
  <c r="C390" i="1"/>
  <c r="C295" i="1"/>
  <c r="C302" i="1"/>
  <c r="C344" i="1"/>
  <c r="C403" i="1"/>
  <c r="C299" i="1"/>
  <c r="C391" i="1"/>
  <c r="C158" i="1"/>
  <c r="C377" i="1"/>
  <c r="C381" i="1"/>
  <c r="D56" i="13"/>
  <c r="D49" i="13"/>
  <c r="D81" i="13"/>
  <c r="D60" i="13"/>
  <c r="D61" i="13"/>
  <c r="D37" i="13"/>
  <c r="D45" i="13"/>
  <c r="D38" i="13"/>
  <c r="D40" i="13"/>
  <c r="D72" i="13"/>
  <c r="D67" i="13"/>
  <c r="D78" i="13"/>
  <c r="D63" i="13"/>
  <c r="D79" i="13"/>
  <c r="D65" i="13"/>
  <c r="D51" i="13"/>
  <c r="D80" i="13"/>
  <c r="D42" i="13"/>
  <c r="D58" i="13"/>
  <c r="D68" i="13"/>
  <c r="D76" i="13"/>
  <c r="D77" i="13"/>
  <c r="D54" i="13"/>
  <c r="D57" i="13"/>
  <c r="E78" i="29"/>
  <c r="D25" i="6"/>
  <c r="E147" i="29"/>
  <c r="E107" i="29"/>
  <c r="E100" i="29"/>
  <c r="E172" i="29"/>
  <c r="C190" i="1"/>
  <c r="C74" i="1"/>
  <c r="C313" i="1"/>
  <c r="C294" i="1"/>
  <c r="C306" i="1"/>
  <c r="C372" i="1"/>
  <c r="C311" i="1"/>
  <c r="C208" i="1"/>
  <c r="C229" i="1"/>
  <c r="C395" i="1"/>
  <c r="C162" i="1"/>
  <c r="C241" i="1"/>
  <c r="C197" i="1"/>
  <c r="C110" i="1"/>
  <c r="C291" i="1"/>
  <c r="C226" i="1"/>
  <c r="C185" i="1"/>
  <c r="C355" i="1"/>
  <c r="C181" i="1"/>
  <c r="C416" i="1"/>
  <c r="I1" i="1"/>
  <c r="N1" i="1" s="1"/>
  <c r="Q1" i="1" s="1"/>
  <c r="S1" i="1" s="1"/>
  <c r="C366" i="1"/>
  <c r="C79" i="1"/>
  <c r="C138" i="1"/>
  <c r="C360" i="1"/>
  <c r="C350" i="1"/>
  <c r="C84" i="1"/>
  <c r="C237" i="1"/>
  <c r="C95" i="1"/>
  <c r="C107" i="1"/>
  <c r="C425" i="1"/>
  <c r="C252" i="1"/>
  <c r="C78" i="1"/>
  <c r="C221" i="1"/>
  <c r="C393" i="1"/>
  <c r="C263" i="1"/>
  <c r="D48" i="13"/>
  <c r="D47" i="13"/>
  <c r="D62" i="13"/>
  <c r="D44" i="13"/>
  <c r="D46" i="13"/>
  <c r="E68" i="29"/>
  <c r="E76" i="29"/>
  <c r="E139" i="29"/>
  <c r="E57" i="7"/>
  <c r="E126" i="7"/>
  <c r="E185" i="7"/>
  <c r="E166" i="7"/>
  <c r="E253" i="7"/>
  <c r="E78" i="7"/>
  <c r="E141" i="7"/>
  <c r="E108" i="7"/>
  <c r="E213" i="7"/>
  <c r="E82" i="7"/>
  <c r="E119" i="7"/>
  <c r="E230" i="7"/>
  <c r="E256" i="7"/>
  <c r="E214" i="7"/>
  <c r="E67" i="7"/>
  <c r="E158" i="7"/>
  <c r="E87" i="29"/>
  <c r="E69" i="7"/>
  <c r="E182" i="7"/>
  <c r="D27" i="6"/>
  <c r="D28" i="6"/>
  <c r="D22" i="6"/>
  <c r="D33" i="6"/>
  <c r="D30" i="6"/>
  <c r="D24" i="6"/>
  <c r="D23" i="6"/>
  <c r="E209" i="7"/>
  <c r="E183" i="7"/>
  <c r="E68" i="7"/>
  <c r="E233" i="7"/>
  <c r="E196" i="7"/>
  <c r="E240" i="7"/>
  <c r="E104" i="7"/>
  <c r="E99" i="7"/>
  <c r="D35" i="6"/>
  <c r="E165" i="29"/>
  <c r="E94" i="29"/>
  <c r="E133" i="29"/>
  <c r="E179" i="29"/>
  <c r="E125" i="29"/>
  <c r="E158" i="29"/>
  <c r="E129" i="29"/>
  <c r="E106" i="29"/>
  <c r="E91" i="29"/>
  <c r="E149" i="29"/>
  <c r="E177" i="29"/>
  <c r="E79" i="29"/>
  <c r="E81" i="29"/>
  <c r="E98" i="29"/>
  <c r="E164" i="29"/>
  <c r="E138" i="29"/>
  <c r="E130" i="29"/>
  <c r="E153" i="29"/>
  <c r="E132" i="29"/>
  <c r="E178" i="29"/>
  <c r="E144" i="29"/>
  <c r="E70" i="29"/>
  <c r="E151" i="29"/>
  <c r="E97" i="29"/>
  <c r="E73" i="29"/>
  <c r="E89" i="29"/>
  <c r="E143" i="29"/>
  <c r="E128" i="29"/>
  <c r="E142" i="29"/>
  <c r="E162" i="29"/>
  <c r="E122" i="29"/>
  <c r="E108" i="29"/>
  <c r="E66" i="29"/>
  <c r="E159" i="29"/>
  <c r="E105" i="29"/>
  <c r="E101" i="29"/>
  <c r="E82" i="29"/>
  <c r="E163" i="29"/>
  <c r="E90" i="29"/>
  <c r="E146" i="29"/>
  <c r="E166" i="29"/>
  <c r="E171" i="29"/>
  <c r="E71" i="29"/>
  <c r="E131" i="29"/>
  <c r="E155" i="29"/>
  <c r="E170" i="29"/>
  <c r="E84" i="29"/>
  <c r="E112" i="29"/>
  <c r="D29" i="6"/>
  <c r="E176" i="29"/>
  <c r="E141" i="29"/>
  <c r="E168" i="29"/>
  <c r="E111" i="29"/>
  <c r="C189" i="1"/>
  <c r="C137" i="1"/>
  <c r="C127" i="1"/>
  <c r="C135" i="1"/>
  <c r="C285" i="1"/>
  <c r="C352" i="1"/>
  <c r="C156" i="1"/>
  <c r="C178" i="1"/>
  <c r="C398" i="1"/>
  <c r="C147" i="1"/>
  <c r="C89" i="1"/>
  <c r="C399" i="1"/>
  <c r="C341" i="1"/>
  <c r="C179" i="1"/>
  <c r="C149" i="1"/>
  <c r="C109" i="1"/>
  <c r="C260" i="1"/>
  <c r="C75" i="1"/>
  <c r="C188" i="1"/>
  <c r="C375" i="1"/>
  <c r="C331" i="1"/>
  <c r="C327" i="1"/>
  <c r="C222" i="1"/>
  <c r="C224" i="1"/>
  <c r="C394" i="1"/>
  <c r="C420" i="1"/>
  <c r="C386" i="1"/>
  <c r="C283" i="1"/>
  <c r="C371" i="1"/>
  <c r="C325" i="1"/>
  <c r="C269" i="1"/>
  <c r="C290" i="1"/>
  <c r="C309" i="1"/>
  <c r="C359" i="1"/>
  <c r="C363" i="1"/>
  <c r="D43" i="13"/>
  <c r="D75" i="13"/>
  <c r="D73" i="13"/>
  <c r="D39" i="13"/>
  <c r="D36" i="13"/>
  <c r="E152" i="29"/>
  <c r="E96" i="29"/>
  <c r="E134" i="29"/>
  <c r="E172" i="7"/>
  <c r="E100" i="7"/>
  <c r="E246" i="7"/>
  <c r="E257" i="7"/>
  <c r="E184" i="7"/>
  <c r="E159" i="7"/>
  <c r="E60" i="7"/>
  <c r="E147" i="7"/>
  <c r="E161" i="7"/>
  <c r="E97" i="7"/>
  <c r="E248" i="7"/>
  <c r="E65" i="7"/>
  <c r="E148" i="7"/>
  <c r="E252" i="7"/>
  <c r="E110" i="7"/>
  <c r="E156" i="7"/>
  <c r="E238" i="7"/>
  <c r="D32" i="6"/>
  <c r="D26" i="6"/>
  <c r="E86" i="29"/>
  <c r="E109" i="29"/>
  <c r="E150" i="29"/>
  <c r="E136" i="29"/>
  <c r="E123" i="7"/>
  <c r="C209" i="1"/>
  <c r="C93" i="5"/>
  <c r="C55" i="5"/>
  <c r="C65" i="5"/>
  <c r="C102" i="5"/>
  <c r="C34" i="5"/>
  <c r="C78" i="5"/>
  <c r="C74" i="5"/>
  <c r="C58" i="5"/>
  <c r="C71" i="5"/>
  <c r="D216" i="1"/>
  <c r="D126" i="1"/>
  <c r="D403" i="1"/>
  <c r="D112" i="1"/>
  <c r="D383" i="1"/>
  <c r="D70" i="1"/>
  <c r="D73" i="1"/>
  <c r="D306" i="1"/>
  <c r="D331" i="1"/>
  <c r="D375" i="1"/>
  <c r="D334" i="1"/>
  <c r="D85" i="1"/>
  <c r="D298" i="1"/>
  <c r="D215" i="1"/>
  <c r="D273" i="1"/>
  <c r="D377" i="1"/>
  <c r="D83" i="1"/>
  <c r="D103" i="1"/>
  <c r="D67" i="1"/>
  <c r="D282" i="1"/>
  <c r="D199" i="1"/>
  <c r="D317" i="1"/>
  <c r="D372" i="1"/>
  <c r="D75" i="1"/>
  <c r="D275" i="1"/>
  <c r="D421" i="1"/>
  <c r="D174" i="1"/>
  <c r="D381" i="1"/>
  <c r="D119" i="1"/>
  <c r="D131" i="1"/>
  <c r="D204" i="1"/>
  <c r="D281" i="1"/>
  <c r="D309" i="1"/>
  <c r="D277" i="1"/>
  <c r="D366" i="1"/>
  <c r="D299" i="1"/>
  <c r="D162" i="1"/>
  <c r="D344" i="1"/>
  <c r="D128" i="1"/>
  <c r="D355" i="1"/>
  <c r="D171" i="1"/>
  <c r="D262" i="1"/>
  <c r="D300" i="1"/>
  <c r="D220" i="1"/>
  <c r="D341" i="1"/>
  <c r="C89" i="5"/>
  <c r="C59" i="5"/>
  <c r="C62" i="5"/>
  <c r="C72" i="5"/>
  <c r="C90" i="5"/>
  <c r="C60" i="5"/>
  <c r="D289" i="1"/>
  <c r="D385" i="1"/>
  <c r="D99" i="29"/>
  <c r="D134" i="29"/>
  <c r="D170" i="29"/>
  <c r="D103" i="29"/>
  <c r="D96" i="29"/>
  <c r="D105" i="29"/>
  <c r="D81" i="29"/>
  <c r="D101" i="29"/>
  <c r="D86" i="29"/>
  <c r="D97" i="29"/>
  <c r="D77" i="29"/>
  <c r="D69" i="29"/>
  <c r="D121" i="29"/>
  <c r="D119" i="29"/>
  <c r="D146" i="29"/>
  <c r="D157" i="29"/>
  <c r="D83" i="29"/>
  <c r="D73" i="29"/>
  <c r="D144" i="29"/>
  <c r="D158" i="29"/>
  <c r="D74" i="29"/>
  <c r="D124" i="29"/>
  <c r="D138" i="29"/>
  <c r="D167" i="29"/>
  <c r="D79" i="29"/>
  <c r="D88" i="29"/>
  <c r="D89" i="29"/>
  <c r="D177" i="29"/>
  <c r="D149" i="29"/>
  <c r="D110" i="29"/>
  <c r="D92" i="29"/>
  <c r="D102" i="29"/>
  <c r="D164" i="29"/>
  <c r="D72" i="29"/>
  <c r="D151" i="29"/>
  <c r="D130" i="29"/>
  <c r="D93" i="29"/>
  <c r="D148" i="29"/>
  <c r="D137" i="29"/>
  <c r="D176" i="29"/>
  <c r="D142" i="29"/>
  <c r="D85" i="5"/>
  <c r="D33" i="5"/>
  <c r="D64" i="5"/>
  <c r="D86" i="5"/>
  <c r="D87" i="5"/>
  <c r="D81" i="5"/>
  <c r="D31" i="5"/>
  <c r="D42" i="5"/>
  <c r="D54" i="5"/>
  <c r="D70" i="5"/>
  <c r="D72" i="5"/>
  <c r="D61" i="5"/>
  <c r="D92" i="5"/>
  <c r="D44" i="5"/>
  <c r="D83" i="5"/>
  <c r="D94" i="5"/>
  <c r="D53" i="5"/>
  <c r="D67" i="5"/>
  <c r="D77" i="5"/>
  <c r="D74" i="5"/>
  <c r="D100" i="5"/>
  <c r="D82" i="5"/>
  <c r="D75" i="5"/>
  <c r="D62" i="5"/>
  <c r="D58" i="5"/>
  <c r="D36" i="5"/>
  <c r="B35" i="6"/>
  <c r="C212" i="7"/>
  <c r="K1" i="1"/>
  <c r="B33" i="6"/>
  <c r="B23" i="6"/>
  <c r="B34" i="6"/>
  <c r="C66" i="13"/>
  <c r="C250" i="7"/>
  <c r="C195" i="7"/>
  <c r="C198" i="7"/>
  <c r="C248" i="7"/>
  <c r="C175" i="7"/>
  <c r="C92" i="7"/>
  <c r="C174" i="7"/>
  <c r="C192" i="7"/>
  <c r="C266" i="7"/>
  <c r="C94" i="7"/>
  <c r="C51" i="7"/>
  <c r="C225" i="7"/>
  <c r="C194" i="7"/>
  <c r="C132" i="7"/>
  <c r="C255" i="7"/>
  <c r="C251" i="7"/>
  <c r="C265" i="7"/>
  <c r="C181" i="7"/>
  <c r="C152" i="7"/>
  <c r="C65" i="7"/>
  <c r="C148" i="7"/>
  <c r="C238" i="7"/>
  <c r="C160" i="7"/>
  <c r="C64" i="7"/>
  <c r="C62" i="7"/>
  <c r="C129" i="7"/>
  <c r="C135" i="7"/>
  <c r="C196" i="7"/>
  <c r="C219" i="7"/>
  <c r="C131" i="7"/>
  <c r="C72" i="7"/>
  <c r="C79" i="7"/>
  <c r="C169" i="7"/>
  <c r="C44" i="13"/>
  <c r="C49" i="13"/>
  <c r="C46" i="13"/>
  <c r="C51" i="13"/>
  <c r="C50" i="13"/>
  <c r="C65" i="13"/>
  <c r="C146" i="7"/>
  <c r="C52" i="7"/>
  <c r="C133" i="7"/>
  <c r="B26" i="6"/>
  <c r="D38" i="5"/>
  <c r="D80" i="5"/>
  <c r="D59" i="5"/>
  <c r="D56" i="5"/>
  <c r="D101" i="5"/>
  <c r="D68" i="5"/>
  <c r="D34" i="5"/>
  <c r="D73" i="5"/>
  <c r="D48" i="5"/>
  <c r="D32" i="5"/>
  <c r="D57" i="5"/>
  <c r="D102" i="5"/>
  <c r="D90" i="5"/>
  <c r="D47" i="5"/>
  <c r="D71" i="5"/>
  <c r="D50" i="5"/>
  <c r="D76" i="5"/>
  <c r="D98" i="29"/>
  <c r="D143" i="29"/>
  <c r="D128" i="29"/>
  <c r="D85" i="29"/>
  <c r="D156" i="29"/>
  <c r="D70" i="29"/>
  <c r="D104" i="29"/>
  <c r="D178" i="29"/>
  <c r="D84" i="29"/>
  <c r="D123" i="29"/>
  <c r="D126" i="29"/>
  <c r="D179" i="29"/>
  <c r="D122" i="29"/>
  <c r="D71" i="29"/>
  <c r="D107" i="29"/>
  <c r="D165" i="29"/>
  <c r="D163" i="29"/>
  <c r="D100" i="29"/>
  <c r="D87" i="29"/>
  <c r="D76" i="29"/>
  <c r="D80" i="29"/>
  <c r="D174" i="29"/>
  <c r="E116" i="29"/>
  <c r="E160" i="29"/>
  <c r="E115" i="29"/>
  <c r="E65" i="29"/>
  <c r="C113" i="7"/>
  <c r="C256" i="7"/>
  <c r="C134" i="7"/>
  <c r="C216" i="7"/>
  <c r="C239" i="7"/>
  <c r="C204" i="7"/>
  <c r="C87" i="7"/>
  <c r="C176" i="7"/>
  <c r="C115" i="7"/>
  <c r="C124" i="7"/>
  <c r="C122" i="7"/>
  <c r="C200" i="7"/>
  <c r="C143" i="7"/>
  <c r="C120" i="7"/>
  <c r="C110" i="7"/>
  <c r="C53" i="7"/>
  <c r="C168" i="7"/>
  <c r="C105" i="7"/>
  <c r="C54" i="7"/>
  <c r="C184" i="7"/>
  <c r="C126" i="7"/>
  <c r="C182" i="7"/>
  <c r="C130" i="7"/>
  <c r="C155" i="7"/>
  <c r="C109" i="7"/>
  <c r="C242" i="7"/>
  <c r="C88" i="7"/>
  <c r="C249" i="7"/>
  <c r="C197" i="7"/>
  <c r="C259" i="7"/>
  <c r="C89" i="7"/>
  <c r="C202" i="7"/>
  <c r="C172" i="7"/>
  <c r="C165" i="7"/>
  <c r="C96" i="7"/>
  <c r="C217" i="7"/>
  <c r="C149" i="7"/>
  <c r="C213" i="7"/>
  <c r="C140" i="7"/>
  <c r="C70" i="7"/>
  <c r="C156" i="7"/>
  <c r="C191" i="7"/>
  <c r="C208" i="7"/>
  <c r="C261" i="7"/>
  <c r="C245" i="7"/>
  <c r="C166" i="7"/>
  <c r="C188" i="7"/>
  <c r="C75" i="7"/>
  <c r="C84" i="7"/>
  <c r="C68" i="7"/>
  <c r="C153" i="7"/>
  <c r="C189" i="7"/>
  <c r="C243" i="7"/>
  <c r="C263" i="7"/>
  <c r="C252" i="7"/>
  <c r="C254" i="7"/>
  <c r="C224" i="7"/>
  <c r="C228" i="7"/>
  <c r="C227" i="7"/>
  <c r="C60" i="13"/>
  <c r="C59" i="13"/>
  <c r="C77" i="13"/>
  <c r="C40" i="13"/>
  <c r="C37" i="13"/>
  <c r="C62" i="13"/>
  <c r="C67" i="13"/>
  <c r="C38" i="13"/>
  <c r="C39" i="13"/>
  <c r="C47" i="13"/>
  <c r="C48" i="13"/>
  <c r="C41" i="13"/>
  <c r="C42" i="13"/>
  <c r="C171" i="7"/>
  <c r="B31" i="6"/>
  <c r="C229" i="7"/>
  <c r="C232" i="7"/>
  <c r="C80" i="7"/>
  <c r="B22" i="6"/>
  <c r="B25" i="6"/>
  <c r="C218" i="7"/>
  <c r="C170" i="7"/>
  <c r="C116" i="7"/>
  <c r="C103" i="7"/>
  <c r="C128" i="7"/>
  <c r="C185" i="7"/>
  <c r="C211" i="7"/>
  <c r="C244" i="7"/>
  <c r="C121" i="7"/>
  <c r="C123" i="7"/>
  <c r="C178" i="7"/>
  <c r="C177" i="7"/>
  <c r="C117" i="7"/>
  <c r="C86" i="7"/>
  <c r="C145" i="7"/>
  <c r="C253" i="7"/>
  <c r="C183" i="7"/>
  <c r="C180" i="7"/>
  <c r="C173" i="7"/>
  <c r="C66" i="7"/>
  <c r="C150" i="7"/>
  <c r="C236" i="7"/>
  <c r="C246" i="7"/>
  <c r="C151" i="7"/>
  <c r="C231" i="7"/>
  <c r="C60" i="7"/>
  <c r="C220" i="7"/>
  <c r="C158" i="7"/>
  <c r="C262" i="7"/>
  <c r="C136" i="7"/>
  <c r="C77" i="7"/>
  <c r="C142" i="7"/>
  <c r="C207" i="7"/>
  <c r="C222" i="7"/>
  <c r="C187" i="7"/>
  <c r="C102" i="7"/>
  <c r="C54" i="13"/>
  <c r="C163" i="7"/>
  <c r="C75" i="13"/>
  <c r="C36" i="13"/>
  <c r="C45" i="13"/>
  <c r="C56" i="13"/>
  <c r="C43" i="13"/>
  <c r="C71" i="13"/>
  <c r="B30" i="6"/>
  <c r="C91" i="7"/>
  <c r="C111" i="7"/>
  <c r="C237" i="7"/>
  <c r="D88" i="5"/>
  <c r="D65" i="5"/>
  <c r="D40" i="5"/>
  <c r="D99" i="5"/>
  <c r="C98" i="5"/>
  <c r="C91" i="5"/>
  <c r="C33" i="5"/>
  <c r="C61" i="5"/>
  <c r="C52" i="5"/>
  <c r="C66" i="5"/>
  <c r="C76" i="5"/>
  <c r="C39" i="5"/>
  <c r="C32" i="5"/>
  <c r="D132" i="1"/>
  <c r="D399" i="1"/>
  <c r="D251" i="1"/>
  <c r="D345" i="1"/>
  <c r="D407" i="1"/>
  <c r="D138" i="1"/>
  <c r="D152" i="1"/>
  <c r="D177" i="1"/>
  <c r="D278" i="1"/>
  <c r="D238" i="1"/>
  <c r="D311" i="1"/>
  <c r="D240" i="1"/>
  <c r="D360" i="1"/>
  <c r="D349" i="1"/>
  <c r="D94" i="1"/>
  <c r="D134" i="1"/>
  <c r="D342" i="1"/>
  <c r="D66" i="1"/>
  <c r="D312" i="1"/>
  <c r="D176" i="1"/>
  <c r="D418" i="1"/>
  <c r="D371" i="1"/>
  <c r="D153" i="1"/>
  <c r="D218" i="1"/>
  <c r="D129" i="1"/>
  <c r="D313" i="1"/>
  <c r="D279" i="1"/>
  <c r="D77" i="1"/>
  <c r="D386" i="1"/>
  <c r="D101" i="1"/>
  <c r="D98" i="1"/>
  <c r="D296" i="1"/>
  <c r="D363" i="1"/>
  <c r="D322" i="1"/>
  <c r="D237" i="1"/>
  <c r="D368" i="1"/>
  <c r="D169" i="1"/>
  <c r="D354" i="1"/>
  <c r="D100" i="1"/>
  <c r="D321" i="1"/>
  <c r="D413" i="1"/>
  <c r="D378" i="1"/>
  <c r="D319" i="1"/>
  <c r="D329" i="1"/>
  <c r="D190" i="1"/>
  <c r="D320" i="1"/>
  <c r="D395" i="1"/>
  <c r="D426" i="1"/>
  <c r="D146" i="1"/>
  <c r="D173" i="1"/>
  <c r="D422" i="1"/>
  <c r="E59" i="13"/>
  <c r="E75" i="13"/>
  <c r="E49" i="13"/>
  <c r="E78" i="13"/>
  <c r="C210" i="7"/>
  <c r="B32" i="6"/>
  <c r="B29" i="6"/>
  <c r="D35" i="5"/>
  <c r="D91" i="5"/>
  <c r="D46" i="5"/>
  <c r="D41" i="5"/>
  <c r="D63" i="5"/>
  <c r="D60" i="5"/>
  <c r="D78" i="5"/>
  <c r="D79" i="5"/>
  <c r="D127" i="29"/>
  <c r="D94" i="29"/>
  <c r="D139" i="29"/>
  <c r="D108" i="29"/>
  <c r="D147" i="29"/>
  <c r="D160" i="29"/>
  <c r="D90" i="29"/>
  <c r="D95" i="29"/>
  <c r="D65" i="29"/>
  <c r="D168" i="29"/>
  <c r="D129" i="29"/>
  <c r="D132" i="29"/>
  <c r="D155" i="29"/>
  <c r="D66" i="29"/>
  <c r="C44" i="5"/>
  <c r="C42" i="5"/>
  <c r="D214" i="1"/>
  <c r="D247" i="1"/>
  <c r="D179" i="1"/>
  <c r="D241" i="1"/>
  <c r="D151" i="1"/>
  <c r="D255" i="1"/>
  <c r="D362" i="1"/>
  <c r="D408" i="1"/>
  <c r="D222" i="1"/>
  <c r="D249" i="1"/>
  <c r="D86" i="1"/>
  <c r="D268" i="1"/>
  <c r="D352" i="1"/>
  <c r="D327" i="1"/>
  <c r="D121" i="1"/>
  <c r="D141" i="1"/>
  <c r="D139" i="1"/>
  <c r="D409" i="1"/>
  <c r="D410" i="1"/>
  <c r="D358" i="1"/>
  <c r="C95" i="5"/>
  <c r="C86" i="5"/>
  <c r="C43" i="5"/>
  <c r="C56" i="5"/>
  <c r="E140" i="29"/>
  <c r="E88" i="29"/>
  <c r="E92" i="29"/>
  <c r="E74" i="29"/>
  <c r="E64" i="29"/>
  <c r="E123" i="29"/>
  <c r="E67" i="29"/>
  <c r="E104" i="29"/>
  <c r="E75" i="29"/>
  <c r="E154" i="29"/>
  <c r="E83" i="29"/>
  <c r="E121" i="29"/>
  <c r="E148" i="29"/>
  <c r="E161" i="29"/>
  <c r="E169" i="29"/>
  <c r="E102" i="29"/>
  <c r="E63" i="29"/>
  <c r="E145" i="29"/>
  <c r="E85" i="29"/>
  <c r="E174" i="29"/>
  <c r="D169" i="29"/>
  <c r="D175" i="29"/>
  <c r="D161" i="29"/>
  <c r="D89" i="5"/>
  <c r="C50" i="5"/>
  <c r="C37" i="5"/>
  <c r="C99" i="5"/>
  <c r="C45" i="5"/>
  <c r="C84" i="5"/>
  <c r="C82" i="5"/>
  <c r="C70" i="5"/>
  <c r="C88" i="5"/>
  <c r="E124" i="29"/>
  <c r="E62" i="29"/>
  <c r="E120" i="29"/>
  <c r="E126" i="29"/>
  <c r="D198" i="1"/>
  <c r="D116" i="1"/>
  <c r="D125" i="1"/>
  <c r="C206" i="7"/>
  <c r="C67" i="7"/>
  <c r="C58" i="13"/>
  <c r="C215" i="7"/>
  <c r="C147" i="7"/>
  <c r="C186" i="7"/>
  <c r="C73" i="7"/>
  <c r="C209" i="7"/>
  <c r="C82" i="7"/>
  <c r="C234" i="7"/>
  <c r="C83" i="7"/>
  <c r="C93" i="7"/>
  <c r="C85" i="7"/>
  <c r="C81" i="7"/>
  <c r="C55" i="7"/>
  <c r="C63" i="7"/>
  <c r="C161" i="7"/>
  <c r="C56" i="7"/>
  <c r="C226" i="7"/>
  <c r="C258" i="7"/>
  <c r="C90" i="7"/>
  <c r="C260" i="7"/>
  <c r="C199" i="7"/>
  <c r="C223" i="7"/>
  <c r="C241" i="7"/>
  <c r="C247" i="7"/>
  <c r="C98" i="7"/>
  <c r="C214" i="7"/>
  <c r="C221" i="7"/>
  <c r="C114" i="7"/>
  <c r="C137" i="7"/>
  <c r="C235" i="7"/>
  <c r="D294" i="1"/>
  <c r="D95" i="1"/>
  <c r="C127" i="7"/>
  <c r="C179" i="7"/>
  <c r="C80" i="13"/>
  <c r="D290" i="1"/>
  <c r="D297" i="1"/>
  <c r="D229" i="1"/>
  <c r="D325" i="1"/>
  <c r="D242" i="1"/>
  <c r="D230" i="1"/>
  <c r="D376" i="1"/>
  <c r="D305" i="1"/>
  <c r="D168" i="1"/>
  <c r="D359" i="1"/>
  <c r="D175" i="1"/>
  <c r="D256" i="1"/>
  <c r="D267" i="1"/>
  <c r="D231" i="1"/>
  <c r="D232" i="1"/>
  <c r="D339" i="1"/>
  <c r="D135" i="1"/>
  <c r="D250" i="1"/>
  <c r="D245" i="1"/>
  <c r="D361" i="1"/>
  <c r="D93" i="1"/>
  <c r="D393" i="1"/>
  <c r="D333" i="1"/>
  <c r="D401" i="1"/>
  <c r="D197" i="1"/>
  <c r="D194" i="1"/>
  <c r="D136" i="1"/>
  <c r="D424" i="1"/>
  <c r="D266" i="1"/>
  <c r="D61" i="1"/>
  <c r="D191" i="1"/>
  <c r="D211" i="1"/>
  <c r="D417" i="1"/>
  <c r="D180" i="1"/>
  <c r="D91" i="1"/>
  <c r="D167" i="1"/>
  <c r="D389" i="1"/>
  <c r="D71" i="1"/>
  <c r="D122" i="1"/>
  <c r="D414" i="1"/>
  <c r="C73" i="13"/>
  <c r="C68" i="13"/>
  <c r="C78" i="13"/>
  <c r="C76" i="13"/>
  <c r="C72" i="13"/>
  <c r="C52" i="13"/>
  <c r="E47" i="13"/>
  <c r="E48" i="13"/>
  <c r="E157" i="29"/>
  <c r="E135" i="29"/>
  <c r="B28" i="6"/>
  <c r="C79" i="5"/>
  <c r="C107" i="7"/>
  <c r="C104" i="7"/>
  <c r="C144" i="7"/>
  <c r="C106" i="7"/>
  <c r="C81" i="5"/>
  <c r="C53" i="5"/>
  <c r="D106" i="29"/>
  <c r="D113" i="29"/>
  <c r="D114" i="29"/>
  <c r="D145" i="29"/>
  <c r="E51" i="13"/>
  <c r="D49" i="5"/>
  <c r="D115" i="29"/>
  <c r="D39" i="5"/>
  <c r="D55" i="5"/>
  <c r="B21" i="6"/>
  <c r="D51" i="5"/>
  <c r="D91" i="29"/>
  <c r="D166" i="29"/>
  <c r="D92" i="7"/>
  <c r="D127" i="7"/>
  <c r="D128" i="7"/>
  <c r="D215" i="7"/>
  <c r="D126" i="7"/>
  <c r="D185" i="7"/>
  <c r="D251" i="7"/>
  <c r="D86" i="7"/>
  <c r="D113" i="7"/>
  <c r="D153" i="7"/>
  <c r="D80" i="7"/>
  <c r="D214" i="7"/>
  <c r="D179" i="7"/>
  <c r="D221" i="7"/>
  <c r="D263" i="7"/>
  <c r="D266" i="7"/>
  <c r="D54" i="7"/>
  <c r="D144" i="7"/>
  <c r="D178" i="7"/>
  <c r="D76" i="7"/>
  <c r="E226" i="1"/>
  <c r="E161" i="1"/>
  <c r="E269" i="1"/>
  <c r="E192" i="1"/>
  <c r="E329" i="1"/>
  <c r="C108" i="29"/>
  <c r="C107" i="29"/>
  <c r="C105" i="29"/>
  <c r="C114" i="29"/>
  <c r="C65" i="29"/>
  <c r="C127" i="29"/>
  <c r="C97" i="29"/>
  <c r="C111" i="29"/>
  <c r="C174" i="29"/>
  <c r="C122" i="29"/>
  <c r="C164" i="29"/>
  <c r="C87" i="29"/>
  <c r="C138" i="29"/>
  <c r="C125" i="29"/>
  <c r="C128" i="29"/>
  <c r="AB15" i="1"/>
  <c r="C277" i="10"/>
  <c r="C181" i="10"/>
  <c r="C130" i="10"/>
  <c r="C193" i="10"/>
  <c r="C92" i="10"/>
  <c r="C57" i="10"/>
  <c r="C310" i="10"/>
  <c r="C317" i="10"/>
  <c r="C305" i="10"/>
  <c r="C140" i="10"/>
  <c r="C289" i="10"/>
  <c r="C184" i="10"/>
  <c r="E64" i="13"/>
  <c r="E268" i="1"/>
  <c r="E271" i="1"/>
  <c r="E254" i="1"/>
  <c r="E174" i="1"/>
  <c r="E223" i="1"/>
  <c r="E315" i="1"/>
  <c r="E234" i="1"/>
  <c r="E340" i="1"/>
  <c r="E62" i="1"/>
  <c r="E355" i="1"/>
  <c r="E202" i="1"/>
  <c r="E374" i="1"/>
  <c r="E111" i="1"/>
  <c r="E311" i="1"/>
  <c r="E293" i="1"/>
  <c r="E338" i="1"/>
  <c r="E303" i="1"/>
  <c r="E214" i="1"/>
  <c r="E183" i="1"/>
  <c r="E129" i="1"/>
  <c r="E159" i="1"/>
  <c r="E321" i="1"/>
  <c r="E323" i="1"/>
  <c r="E237" i="1"/>
  <c r="E245" i="1"/>
  <c r="E80" i="1"/>
  <c r="E285" i="1"/>
  <c r="E408" i="1"/>
  <c r="E379" i="1"/>
  <c r="E120" i="1"/>
  <c r="E66" i="1"/>
  <c r="E131" i="1"/>
  <c r="E167" i="1"/>
  <c r="E141" i="1"/>
  <c r="E291" i="1"/>
  <c r="E258" i="1"/>
  <c r="E392" i="1"/>
  <c r="E345" i="1"/>
  <c r="E292" i="1"/>
  <c r="E317" i="1"/>
  <c r="E99" i="1"/>
  <c r="E411" i="1"/>
  <c r="E217" i="1"/>
  <c r="E394" i="1"/>
  <c r="E423" i="1"/>
  <c r="E124" i="1"/>
  <c r="E250" i="1"/>
  <c r="E211" i="1"/>
  <c r="E201" i="1"/>
  <c r="E158" i="1"/>
  <c r="E144" i="1"/>
  <c r="E274" i="1"/>
  <c r="E169" i="1"/>
  <c r="E312" i="1"/>
  <c r="E227" i="1"/>
  <c r="E160" i="1"/>
  <c r="E420" i="1"/>
  <c r="E229" i="1"/>
  <c r="E175" i="1"/>
  <c r="E112" i="1"/>
  <c r="E92" i="1"/>
  <c r="E133" i="1"/>
  <c r="E299" i="1"/>
  <c r="E145" i="1"/>
  <c r="E166" i="1"/>
  <c r="E351" i="1"/>
  <c r="E203" i="1"/>
  <c r="E262" i="1"/>
  <c r="E313" i="1"/>
  <c r="E386" i="1"/>
  <c r="E367" i="1"/>
  <c r="E105" i="1"/>
  <c r="E88" i="1"/>
  <c r="E421" i="1"/>
  <c r="E337" i="1"/>
  <c r="E343" i="1"/>
  <c r="E239" i="1"/>
  <c r="E415" i="1"/>
  <c r="E168" i="1"/>
  <c r="E296" i="1"/>
  <c r="C21" i="5"/>
  <c r="AG26" i="10"/>
  <c r="M12" i="5"/>
  <c r="H6" i="34"/>
  <c r="K6" i="34" s="1"/>
  <c r="H28" i="34"/>
  <c r="K28" i="34" s="1"/>
  <c r="G24" i="34"/>
  <c r="J24" i="34" s="1"/>
  <c r="G68" i="34"/>
  <c r="J68" i="34" s="1"/>
  <c r="G60" i="34"/>
  <c r="J60" i="34" s="1"/>
  <c r="G52" i="34"/>
  <c r="J52" i="34" s="1"/>
  <c r="G44" i="34"/>
  <c r="J44" i="34" s="1"/>
  <c r="G36" i="34"/>
  <c r="J36" i="34" s="1"/>
  <c r="H31" i="34"/>
  <c r="K31" i="34" s="1"/>
  <c r="H29" i="34"/>
  <c r="K29" i="34" s="1"/>
  <c r="H8" i="34"/>
  <c r="H13" i="34"/>
  <c r="K13" i="34" s="1"/>
  <c r="H36" i="34"/>
  <c r="K36" i="34" s="1"/>
  <c r="Y25" i="10"/>
  <c r="I345" i="10"/>
  <c r="X18" i="10"/>
  <c r="AP32" i="10" s="1"/>
  <c r="AP33" i="10" s="1"/>
  <c r="W18" i="10"/>
  <c r="AO32" i="10" s="1"/>
  <c r="AO33" i="10" s="1"/>
  <c r="I309" i="10"/>
  <c r="W27" i="10"/>
  <c r="W28" i="10"/>
  <c r="W29" i="10" s="1"/>
  <c r="W30" i="10" s="1"/>
  <c r="AO31" i="10"/>
  <c r="I305" i="10"/>
  <c r="AF31" i="10"/>
  <c r="I69" i="10"/>
  <c r="I85" i="10"/>
  <c r="L13" i="10"/>
  <c r="I89" i="10" s="1"/>
  <c r="Y9" i="10"/>
  <c r="E18" i="10"/>
  <c r="U17" i="28"/>
  <c r="R27" i="28"/>
  <c r="R28" i="28" s="1"/>
  <c r="R29" i="28" s="1"/>
  <c r="R30" i="28" s="1"/>
  <c r="R18" i="28"/>
  <c r="U20" i="29"/>
  <c r="X20" i="29" s="1"/>
  <c r="F19" i="29" s="1"/>
  <c r="U27" i="10"/>
  <c r="U28" i="10" s="1"/>
  <c r="U29" i="10" s="1"/>
  <c r="U30" i="10" s="1"/>
  <c r="I269" i="10"/>
  <c r="U18" i="10"/>
  <c r="AM32" i="10" s="1"/>
  <c r="AM31" i="10"/>
  <c r="O18" i="10"/>
  <c r="AG32" i="10" s="1"/>
  <c r="Y17" i="10"/>
  <c r="N28" i="10"/>
  <c r="N29" i="10" s="1"/>
  <c r="N30" i="10" s="1"/>
  <c r="I129" i="10"/>
  <c r="I149" i="10"/>
  <c r="AG31" i="10"/>
  <c r="N18" i="10"/>
  <c r="Y20" i="1" s="1"/>
  <c r="K28" i="28"/>
  <c r="K29" i="28" s="1"/>
  <c r="K30" i="28" s="1"/>
  <c r="N28" i="28"/>
  <c r="N29" i="28" s="1"/>
  <c r="N30" i="28" s="1"/>
  <c r="L27" i="28"/>
  <c r="L28" i="28" s="1"/>
  <c r="L29" i="28" s="1"/>
  <c r="L30" i="28" s="1"/>
  <c r="L18" i="28"/>
  <c r="Q27" i="28"/>
  <c r="Q28" i="28" s="1"/>
  <c r="Q29" i="28" s="1"/>
  <c r="Q30" i="28" s="1"/>
  <c r="Q18" i="28"/>
  <c r="G14" i="28"/>
  <c r="G17" i="28" s="1"/>
  <c r="S27" i="28"/>
  <c r="S28" i="28" s="1"/>
  <c r="S29" i="28" s="1"/>
  <c r="S30" i="28" s="1"/>
  <c r="S18" i="28"/>
  <c r="P27" i="28"/>
  <c r="P28" i="28" s="1"/>
  <c r="P29" i="28" s="1"/>
  <c r="P30" i="28" s="1"/>
  <c r="P18" i="28"/>
  <c r="I16" i="28"/>
  <c r="I17" i="28" s="1"/>
  <c r="K18" i="28"/>
  <c r="N18" i="28"/>
  <c r="H15" i="28"/>
  <c r="H17" i="28" s="1"/>
  <c r="J27" i="28"/>
  <c r="J28" i="28" s="1"/>
  <c r="J29" i="28" s="1"/>
  <c r="J30" i="28" s="1"/>
  <c r="J18" i="28"/>
  <c r="AB26" i="10"/>
  <c r="AF27" i="10"/>
  <c r="T18" i="28" l="1"/>
  <c r="U13" i="28"/>
  <c r="U27" i="28" s="1"/>
  <c r="U28" i="28" s="1"/>
  <c r="U29" i="28" s="1"/>
  <c r="U30" i="28" s="1"/>
  <c r="J18" i="10"/>
  <c r="U20" i="1" s="1"/>
  <c r="I49" i="10"/>
  <c r="Y22" i="1"/>
  <c r="AM33" i="10"/>
  <c r="O18" i="28"/>
  <c r="J27" i="10"/>
  <c r="J28" i="10" s="1"/>
  <c r="J29" i="10" s="1"/>
  <c r="J30" i="10" s="1"/>
  <c r="C296" i="1"/>
  <c r="C280" i="1"/>
  <c r="C101" i="1"/>
  <c r="C407" i="1"/>
  <c r="C167" i="1"/>
  <c r="C94" i="1"/>
  <c r="C104" i="1"/>
  <c r="C155" i="1"/>
  <c r="C142" i="1"/>
  <c r="C116" i="1"/>
  <c r="C124" i="1"/>
  <c r="C148" i="1"/>
  <c r="C261" i="1"/>
  <c r="C356" i="1"/>
  <c r="C410" i="1"/>
  <c r="C255" i="1"/>
  <c r="C268" i="1"/>
  <c r="C354" i="1"/>
  <c r="C228" i="1"/>
  <c r="C73" i="1"/>
  <c r="C264" i="1"/>
  <c r="C253" i="1"/>
  <c r="C397" i="1"/>
  <c r="C214" i="1"/>
  <c r="C353" i="1"/>
  <c r="C305" i="1"/>
  <c r="C235" i="1"/>
  <c r="C102" i="1"/>
  <c r="C65" i="1"/>
  <c r="C243" i="1"/>
  <c r="C258" i="1"/>
  <c r="C413" i="1"/>
  <c r="C198" i="1"/>
  <c r="C401" i="1"/>
  <c r="C106" i="1"/>
  <c r="C364" i="1"/>
  <c r="C400" i="1"/>
  <c r="C118" i="1"/>
  <c r="C92" i="1"/>
  <c r="C186" i="1"/>
  <c r="C316" i="1"/>
  <c r="C242" i="1"/>
  <c r="C199" i="1"/>
  <c r="C342" i="1"/>
  <c r="C373" i="1"/>
  <c r="C408" i="1"/>
  <c r="C239" i="1"/>
  <c r="C287" i="1"/>
  <c r="C322" i="1"/>
  <c r="C132" i="1"/>
  <c r="C330" i="1"/>
  <c r="C312" i="1"/>
  <c r="C411" i="1"/>
  <c r="C218" i="1"/>
  <c r="C76" i="1"/>
  <c r="C273" i="1"/>
  <c r="C126" i="1"/>
  <c r="C69" i="1"/>
  <c r="C422" i="1"/>
  <c r="C154" i="1"/>
  <c r="C97" i="1"/>
  <c r="C380" i="1"/>
  <c r="C203" i="1"/>
  <c r="C83" i="1"/>
  <c r="C146" i="1"/>
  <c r="C349" i="1"/>
  <c r="C64" i="1"/>
  <c r="C217" i="1"/>
  <c r="C336" i="1"/>
  <c r="C387" i="1"/>
  <c r="C192" i="1"/>
  <c r="C346" i="1"/>
  <c r="C108" i="1"/>
  <c r="C115" i="1"/>
  <c r="C141" i="1"/>
  <c r="C205" i="1"/>
  <c r="C194" i="1"/>
  <c r="C204" i="1"/>
  <c r="C332" i="1"/>
  <c r="C315" i="1"/>
  <c r="C275" i="1"/>
  <c r="C288" i="1"/>
  <c r="C105" i="1"/>
  <c r="C202" i="1"/>
  <c r="C292" i="1"/>
  <c r="C72" i="1"/>
  <c r="C81" i="1"/>
  <c r="C321" i="1"/>
  <c r="C112" i="1"/>
  <c r="C402" i="1"/>
  <c r="C276" i="1"/>
  <c r="C317" i="1"/>
  <c r="C225" i="1"/>
  <c r="C256" i="1"/>
  <c r="C215" i="1"/>
  <c r="C168" i="1"/>
  <c r="C314" i="1"/>
  <c r="C223" i="1"/>
  <c r="C63" i="1"/>
  <c r="C136" i="1"/>
  <c r="C300" i="1"/>
  <c r="C187" i="1"/>
  <c r="C82" i="1"/>
  <c r="C123" i="1"/>
  <c r="C88" i="1"/>
  <c r="C343" i="1"/>
  <c r="C328" i="1"/>
  <c r="C191" i="1"/>
  <c r="C409" i="1"/>
  <c r="C117" i="1"/>
  <c r="C184" i="1"/>
  <c r="C382" i="1"/>
  <c r="C284" i="1"/>
  <c r="C298" i="1"/>
  <c r="C174" i="1"/>
  <c r="C93" i="1"/>
  <c r="C319" i="1"/>
  <c r="C150" i="1"/>
  <c r="C374" i="1"/>
  <c r="C379" i="1"/>
  <c r="C392" i="1"/>
  <c r="C206" i="1"/>
  <c r="C293" i="1"/>
  <c r="C405" i="1"/>
  <c r="C406" i="1"/>
  <c r="C216" i="1"/>
  <c r="C329" i="1"/>
  <c r="C368" i="1"/>
  <c r="C417" i="1"/>
  <c r="C165" i="1"/>
  <c r="C99" i="1"/>
  <c r="C337" i="1"/>
  <c r="C271" i="1"/>
  <c r="C286" i="1"/>
  <c r="C335" i="1"/>
  <c r="C362" i="1"/>
  <c r="C267" i="1"/>
  <c r="C251" i="1"/>
  <c r="C424" i="1"/>
  <c r="C262" i="1"/>
  <c r="C248" i="1"/>
  <c r="C357" i="1"/>
  <c r="C130" i="1"/>
  <c r="C164" i="1"/>
  <c r="C338" i="1"/>
  <c r="C231" i="1"/>
  <c r="C369" i="1"/>
  <c r="C310" i="1"/>
  <c r="C144" i="1"/>
  <c r="C103" i="1"/>
  <c r="C274" i="1"/>
  <c r="C278" i="1"/>
  <c r="C250" i="1"/>
  <c r="C333" i="1"/>
  <c r="C201" i="1"/>
  <c r="C345" i="1"/>
  <c r="C207" i="1"/>
  <c r="C91" i="1"/>
  <c r="C236" i="1"/>
  <c r="C100" i="1"/>
  <c r="C370" i="1"/>
  <c r="C152" i="1"/>
  <c r="C176" i="1"/>
  <c r="C361" i="1"/>
  <c r="C169" i="1"/>
  <c r="C98" i="1"/>
  <c r="C131" i="1"/>
  <c r="C171" i="1"/>
  <c r="C134" i="1"/>
  <c r="C173" i="1"/>
  <c r="C172" i="1"/>
  <c r="C159" i="1"/>
  <c r="C193" i="1"/>
  <c r="D353" i="1"/>
  <c r="D254" i="1"/>
  <c r="D264" i="1"/>
  <c r="D365" i="1"/>
  <c r="D271" i="1"/>
  <c r="D181" i="1"/>
  <c r="D244" i="1"/>
  <c r="D161" i="1"/>
  <c r="D338" i="1"/>
  <c r="D140" i="1"/>
  <c r="D384" i="1"/>
  <c r="D74" i="1"/>
  <c r="D108" i="1"/>
  <c r="D130" i="1"/>
  <c r="D387" i="1"/>
  <c r="D184" i="1"/>
  <c r="D288" i="1"/>
  <c r="D196" i="1"/>
  <c r="D144" i="1"/>
  <c r="D142" i="1"/>
  <c r="D293" i="1"/>
  <c r="D80" i="1"/>
  <c r="D235" i="1"/>
  <c r="D82" i="1"/>
  <c r="D115" i="1"/>
  <c r="D124" i="1"/>
  <c r="D323" i="1"/>
  <c r="D335" i="1"/>
  <c r="D276" i="1"/>
  <c r="D160" i="1"/>
  <c r="D356" i="1"/>
  <c r="D163" i="1"/>
  <c r="D257" i="1"/>
  <c r="D195" i="1"/>
  <c r="D419" i="1"/>
  <c r="D72" i="1"/>
  <c r="D84" i="1"/>
  <c r="D133" i="1"/>
  <c r="D166" i="1"/>
  <c r="D99" i="1"/>
  <c r="D219" i="1"/>
  <c r="D104" i="1"/>
  <c r="D178" i="1"/>
  <c r="D351" i="1"/>
  <c r="D221" i="1"/>
  <c r="D336" i="1"/>
  <c r="D217" i="1"/>
  <c r="D284" i="1"/>
  <c r="D97" i="1"/>
  <c r="D96" i="1"/>
  <c r="D117" i="1"/>
  <c r="D394" i="1"/>
  <c r="D187" i="1"/>
  <c r="D302" i="1"/>
  <c r="D189" i="1"/>
  <c r="D304" i="1"/>
  <c r="D253" i="1"/>
  <c r="D400" i="1"/>
  <c r="D274" i="1"/>
  <c r="D207" i="1"/>
  <c r="D223" i="1"/>
  <c r="D188" i="1"/>
  <c r="D193" i="1"/>
  <c r="D110" i="1"/>
  <c r="D252" i="1"/>
  <c r="D213" i="1"/>
  <c r="D402" i="1"/>
  <c r="D406" i="1"/>
  <c r="D263" i="1"/>
  <c r="D347" i="1"/>
  <c r="D295" i="1"/>
  <c r="D209" i="1"/>
  <c r="D332" i="1"/>
  <c r="D200" i="1"/>
  <c r="D286" i="1"/>
  <c r="D159" i="1"/>
  <c r="D165" i="1"/>
  <c r="D350" i="1"/>
  <c r="D367" i="1"/>
  <c r="D225" i="1"/>
  <c r="D287" i="1"/>
  <c r="D343" i="1"/>
  <c r="D243" i="1"/>
  <c r="D405" i="1"/>
  <c r="D228" i="1"/>
  <c r="D314" i="1"/>
  <c r="D89" i="1"/>
  <c r="D65" i="1"/>
  <c r="D292" i="1"/>
  <c r="D283" i="1"/>
  <c r="D234" i="1"/>
  <c r="D107" i="1"/>
  <c r="D382" i="1"/>
  <c r="D201" i="1"/>
  <c r="D154" i="1"/>
  <c r="D291" i="1"/>
  <c r="D411" i="1"/>
  <c r="D210" i="1"/>
  <c r="D114" i="1"/>
  <c r="D261" i="1"/>
  <c r="D172" i="1"/>
  <c r="D224" i="1"/>
  <c r="D164" i="1"/>
  <c r="D272" i="1"/>
  <c r="D391" i="1"/>
  <c r="D340" i="1"/>
  <c r="D156" i="1"/>
  <c r="D404" i="1"/>
  <c r="D127" i="1"/>
  <c r="D369" i="1"/>
  <c r="D357" i="1"/>
  <c r="D412" i="1"/>
  <c r="D185" i="1"/>
  <c r="D170" i="1"/>
  <c r="D337" i="1"/>
  <c r="D118" i="1"/>
  <c r="D364" i="1"/>
  <c r="D150" i="1"/>
  <c r="D182" i="1"/>
  <c r="D123" i="1"/>
  <c r="D310" i="1"/>
  <c r="D380" i="1"/>
  <c r="D206" i="1"/>
  <c r="D348" i="1"/>
  <c r="D280" i="1"/>
  <c r="D76" i="1"/>
  <c r="D416" i="1"/>
  <c r="D183" i="1"/>
  <c r="D285" i="1"/>
  <c r="D259" i="1"/>
  <c r="D415" i="1"/>
  <c r="D396" i="1"/>
  <c r="D227" i="1"/>
  <c r="D226" i="1"/>
  <c r="D157" i="1"/>
  <c r="D330" i="1"/>
  <c r="D269" i="1"/>
  <c r="D388" i="1"/>
  <c r="D109" i="1"/>
  <c r="D346" i="1"/>
  <c r="D246" i="1"/>
  <c r="D113" i="1"/>
  <c r="D370" i="1"/>
  <c r="D392" i="1"/>
  <c r="D69" i="1"/>
  <c r="D212" i="1"/>
  <c r="D88" i="1"/>
  <c r="D265" i="1"/>
  <c r="D260" i="1"/>
  <c r="D145" i="1"/>
  <c r="D258" i="1"/>
  <c r="D420" i="1"/>
  <c r="D155" i="1"/>
  <c r="C348" i="10"/>
  <c r="C217" i="10"/>
  <c r="C128" i="10"/>
  <c r="C247" i="10"/>
  <c r="C85" i="10"/>
  <c r="C162" i="10"/>
  <c r="C149" i="10"/>
  <c r="C156" i="10"/>
  <c r="C337" i="10"/>
  <c r="C279" i="10"/>
  <c r="C306" i="10"/>
  <c r="C165" i="10"/>
  <c r="C261" i="10"/>
  <c r="C180" i="10"/>
  <c r="C245" i="10"/>
  <c r="C347" i="10"/>
  <c r="C271" i="10"/>
  <c r="C166" i="10"/>
  <c r="C72" i="10"/>
  <c r="C297" i="10"/>
  <c r="C109" i="10"/>
  <c r="C45" i="10"/>
  <c r="C262" i="10"/>
  <c r="C342" i="10"/>
  <c r="C98" i="10"/>
  <c r="C101" i="10"/>
  <c r="C190" i="10"/>
  <c r="C63" i="10"/>
  <c r="C151" i="10"/>
  <c r="Q12" i="5"/>
  <c r="C255" i="10"/>
  <c r="C260" i="10"/>
  <c r="C125" i="10"/>
  <c r="C272" i="10"/>
  <c r="C173" i="10"/>
  <c r="C108" i="10"/>
  <c r="C356" i="10"/>
  <c r="C106" i="10"/>
  <c r="C81" i="10"/>
  <c r="C218" i="10"/>
  <c r="C94" i="10"/>
  <c r="D130" i="7"/>
  <c r="E57" i="5"/>
  <c r="E74" i="5"/>
  <c r="E86" i="5"/>
  <c r="E70" i="5"/>
  <c r="E53" i="5"/>
  <c r="E75" i="5"/>
  <c r="E51" i="5"/>
  <c r="E65" i="5"/>
  <c r="E67" i="5"/>
  <c r="E93" i="5"/>
  <c r="E80" i="5"/>
  <c r="E84" i="5"/>
  <c r="E96" i="5"/>
  <c r="E101" i="5"/>
  <c r="E34" i="5"/>
  <c r="E54" i="5"/>
  <c r="E89" i="5"/>
  <c r="E85" i="5"/>
  <c r="E50" i="5"/>
  <c r="E99" i="5"/>
  <c r="E32" i="5"/>
  <c r="E81" i="5"/>
  <c r="E64" i="5"/>
  <c r="E37" i="5"/>
  <c r="E47" i="5"/>
  <c r="E97" i="5"/>
  <c r="E42" i="5"/>
  <c r="E71" i="5"/>
  <c r="E77" i="5"/>
  <c r="E90" i="5"/>
  <c r="E94" i="5"/>
  <c r="E79" i="5"/>
  <c r="E72" i="5"/>
  <c r="E76" i="5"/>
  <c r="E95" i="5"/>
  <c r="E69" i="5"/>
  <c r="E31" i="5"/>
  <c r="C214" i="10"/>
  <c r="C282" i="10"/>
  <c r="C187" i="10"/>
  <c r="C249" i="10"/>
  <c r="C114" i="10"/>
  <c r="C332" i="10"/>
  <c r="C343" i="10"/>
  <c r="C182" i="10"/>
  <c r="C311" i="10"/>
  <c r="C64" i="10"/>
  <c r="C134" i="10"/>
  <c r="C338" i="10"/>
  <c r="C102" i="10"/>
  <c r="C233" i="10"/>
  <c r="C123" i="10"/>
  <c r="C287" i="10"/>
  <c r="C223" i="10"/>
  <c r="C42" i="10"/>
  <c r="C142" i="10"/>
  <c r="C121" i="10"/>
  <c r="C68" i="10"/>
  <c r="C231" i="10"/>
  <c r="C232" i="10"/>
  <c r="C243" i="10"/>
  <c r="C352" i="10"/>
  <c r="C53" i="10"/>
  <c r="C78" i="10"/>
  <c r="C135" i="10"/>
  <c r="C111" i="10"/>
  <c r="C90" i="10"/>
  <c r="C99" i="10"/>
  <c r="C62" i="10"/>
  <c r="C100" i="10"/>
  <c r="C303" i="10"/>
  <c r="C83" i="10"/>
  <c r="C70" i="10"/>
  <c r="C330" i="10"/>
  <c r="C318" i="10"/>
  <c r="C110" i="10"/>
  <c r="C265" i="10"/>
  <c r="C304" i="10"/>
  <c r="C308" i="10"/>
  <c r="C143" i="10"/>
  <c r="C97" i="10"/>
  <c r="C253" i="10"/>
  <c r="C295" i="10"/>
  <c r="C84" i="10"/>
  <c r="C104" i="10"/>
  <c r="C154" i="10"/>
  <c r="C283" i="10"/>
  <c r="C131" i="10"/>
  <c r="C79" i="10"/>
  <c r="C137" i="10"/>
  <c r="C82" i="10"/>
  <c r="C292" i="10"/>
  <c r="C291" i="10"/>
  <c r="C309" i="10"/>
  <c r="C152" i="10"/>
  <c r="C266" i="10"/>
  <c r="C105" i="10"/>
  <c r="C66" i="10"/>
  <c r="C150" i="10"/>
  <c r="C284" i="10"/>
  <c r="C275" i="10"/>
  <c r="C67" i="10"/>
  <c r="C192" i="10"/>
  <c r="C239" i="10"/>
  <c r="C326" i="10"/>
  <c r="C224" i="10"/>
  <c r="C144" i="10"/>
  <c r="C88" i="10"/>
  <c r="C313" i="10"/>
  <c r="C132" i="10"/>
  <c r="C222" i="10"/>
  <c r="C355" i="10"/>
  <c r="C153" i="10"/>
  <c r="C268" i="10"/>
  <c r="C353" i="10"/>
  <c r="C333" i="10"/>
  <c r="C47" i="10"/>
  <c r="C71" i="10"/>
  <c r="C169" i="10"/>
  <c r="C328" i="10"/>
  <c r="C155" i="10"/>
  <c r="C274" i="10"/>
  <c r="C89" i="10"/>
  <c r="C244" i="10"/>
  <c r="C199" i="10"/>
  <c r="C203" i="10"/>
  <c r="C208" i="10"/>
  <c r="C189" i="10"/>
  <c r="C213" i="10"/>
  <c r="C340" i="10"/>
  <c r="C51" i="10"/>
  <c r="C339" i="10"/>
  <c r="C285" i="10"/>
  <c r="C290" i="10"/>
  <c r="C188" i="10"/>
  <c r="C86" i="10"/>
  <c r="C201" i="10"/>
  <c r="C65" i="10"/>
  <c r="C167" i="10"/>
  <c r="C196" i="10"/>
  <c r="C93" i="10"/>
  <c r="C236" i="10"/>
  <c r="C113" i="10"/>
  <c r="C246" i="10"/>
  <c r="C212" i="10"/>
  <c r="C336" i="10"/>
  <c r="C301" i="10"/>
  <c r="C87" i="10"/>
  <c r="C242" i="10"/>
  <c r="C118" i="10"/>
  <c r="C179" i="10"/>
  <c r="C115" i="10"/>
  <c r="C314" i="10"/>
  <c r="C235" i="10"/>
  <c r="C76" i="10"/>
  <c r="C164" i="10"/>
  <c r="C228" i="10"/>
  <c r="C44" i="10"/>
  <c r="C300" i="10"/>
  <c r="C288" i="10"/>
  <c r="C205" i="10"/>
  <c r="C269" i="10"/>
  <c r="C349" i="10"/>
  <c r="C96" i="10"/>
  <c r="C74" i="10"/>
  <c r="C49" i="10"/>
  <c r="C124" i="10"/>
  <c r="C294" i="10"/>
  <c r="C91" i="10"/>
  <c r="C194" i="10"/>
  <c r="C136" i="10"/>
  <c r="C329" i="10"/>
  <c r="C141" i="10"/>
  <c r="C207" i="10"/>
  <c r="C161" i="10"/>
  <c r="C346" i="10"/>
  <c r="C103" i="10"/>
  <c r="C73" i="10"/>
  <c r="C248" i="10"/>
  <c r="C80" i="10"/>
  <c r="C350" i="10"/>
  <c r="C197" i="10"/>
  <c r="C186" i="10"/>
  <c r="C116" i="10"/>
  <c r="C320" i="10"/>
  <c r="C237" i="10"/>
  <c r="C178" i="10"/>
  <c r="C334" i="10"/>
  <c r="C227" i="10"/>
  <c r="C145" i="10"/>
  <c r="C219" i="10"/>
  <c r="C263" i="10"/>
  <c r="C256" i="10"/>
  <c r="C273" i="10"/>
  <c r="C281" i="10"/>
  <c r="C296" i="10"/>
  <c r="C259" i="10"/>
  <c r="C117" i="10"/>
  <c r="C172" i="10"/>
  <c r="C61" i="10"/>
  <c r="C160" i="10"/>
  <c r="C216" i="10"/>
  <c r="C204" i="10"/>
  <c r="C119" i="10"/>
  <c r="C138" i="10"/>
  <c r="C54" i="10"/>
  <c r="C307" i="10"/>
  <c r="C148" i="10"/>
  <c r="C319" i="10"/>
  <c r="C316" i="10"/>
  <c r="C200" i="10"/>
  <c r="C226" i="10"/>
  <c r="C345" i="10"/>
  <c r="C238" i="10"/>
  <c r="C341" i="10"/>
  <c r="C221" i="10"/>
  <c r="C252" i="10"/>
  <c r="C139" i="10"/>
  <c r="C55" i="10"/>
  <c r="C159" i="10"/>
  <c r="C354" i="10"/>
  <c r="C170" i="10"/>
  <c r="C168" i="10"/>
  <c r="C41" i="10"/>
  <c r="C183" i="10"/>
  <c r="C215" i="10"/>
  <c r="C46" i="10"/>
  <c r="C60" i="10"/>
  <c r="C335" i="10"/>
  <c r="C210" i="10"/>
  <c r="C176" i="10"/>
  <c r="C299" i="10"/>
  <c r="C146" i="10"/>
  <c r="C122" i="10"/>
  <c r="C220" i="10"/>
  <c r="C230" i="10"/>
  <c r="C56" i="10"/>
  <c r="C331" i="10"/>
  <c r="C327" i="10"/>
  <c r="C171" i="10"/>
  <c r="C241" i="10"/>
  <c r="C95" i="10"/>
  <c r="C325" i="10"/>
  <c r="C69" i="10"/>
  <c r="X21" i="1"/>
  <c r="C209" i="10"/>
  <c r="C52" i="10"/>
  <c r="C126" i="10"/>
  <c r="C276" i="10"/>
  <c r="C229" i="10"/>
  <c r="C157" i="10"/>
  <c r="C264" i="10"/>
  <c r="C127" i="10"/>
  <c r="C163" i="10"/>
  <c r="C185" i="10"/>
  <c r="C267" i="10"/>
  <c r="C43" i="10"/>
  <c r="K18" i="7"/>
  <c r="AJ28" i="10"/>
  <c r="K5" i="6"/>
  <c r="B24" i="6"/>
  <c r="B27" i="6"/>
  <c r="D70" i="7"/>
  <c r="D218" i="7"/>
  <c r="D67" i="7"/>
  <c r="D206" i="7"/>
  <c r="D255" i="7"/>
  <c r="D104" i="7"/>
  <c r="D197" i="7"/>
  <c r="D186" i="7"/>
  <c r="D71" i="7"/>
  <c r="D200" i="7"/>
  <c r="D252" i="7"/>
  <c r="D88" i="7"/>
  <c r="D152" i="7"/>
  <c r="D174" i="7"/>
  <c r="D129" i="7"/>
  <c r="D190" i="7"/>
  <c r="D236" i="7"/>
  <c r="D123" i="7"/>
  <c r="D96" i="7"/>
  <c r="D56" i="7"/>
  <c r="D149" i="7"/>
  <c r="D244" i="7"/>
  <c r="D155" i="7"/>
  <c r="D69" i="7"/>
  <c r="D249" i="7"/>
  <c r="D169" i="7"/>
  <c r="D233" i="7"/>
  <c r="D87" i="7"/>
  <c r="D134" i="7"/>
  <c r="D98" i="7"/>
  <c r="D220" i="7"/>
  <c r="D232" i="7"/>
  <c r="D118" i="7"/>
  <c r="D163" i="7"/>
  <c r="D64" i="7"/>
  <c r="D189" i="7"/>
  <c r="D81" i="7"/>
  <c r="D223" i="7"/>
  <c r="D85" i="7"/>
  <c r="D109" i="7"/>
  <c r="D230" i="7"/>
  <c r="D213" i="7"/>
  <c r="D175" i="7"/>
  <c r="D265" i="7"/>
  <c r="D177" i="7"/>
  <c r="D162" i="7"/>
  <c r="D53" i="7"/>
  <c r="D207" i="7"/>
  <c r="D242" i="7"/>
  <c r="D125" i="7"/>
  <c r="D219" i="7"/>
  <c r="D264" i="7"/>
  <c r="D111" i="7"/>
  <c r="D205" i="7"/>
  <c r="D79" i="7"/>
  <c r="D211" i="7"/>
  <c r="D68" i="7"/>
  <c r="D136" i="7"/>
  <c r="D89" i="7"/>
  <c r="D203" i="7"/>
  <c r="D171" i="7"/>
  <c r="D84" i="5"/>
  <c r="D45" i="5"/>
  <c r="M27" i="28"/>
  <c r="M28" i="28" s="1"/>
  <c r="M29" i="28" s="1"/>
  <c r="M30" i="28" s="1"/>
  <c r="M18" i="28"/>
  <c r="U18" i="28" s="1"/>
  <c r="F23" i="28" s="1"/>
  <c r="D23" i="28" s="1"/>
  <c r="D25" i="28" s="1"/>
  <c r="E175" i="29"/>
  <c r="E167" i="29"/>
  <c r="E113" i="29"/>
  <c r="E156" i="29"/>
  <c r="E110" i="29"/>
  <c r="E118" i="29"/>
  <c r="C47" i="5"/>
  <c r="C100" i="5"/>
  <c r="C35" i="5"/>
  <c r="C101" i="5"/>
  <c r="W15" i="29"/>
  <c r="E191" i="7"/>
  <c r="E131" i="7"/>
  <c r="E179" i="7"/>
  <c r="E139" i="7"/>
  <c r="E266" i="7"/>
  <c r="E124" i="7"/>
  <c r="M11" i="6"/>
  <c r="J11" i="6"/>
  <c r="AF26" i="10"/>
  <c r="AF28" i="10" s="1"/>
  <c r="Y21" i="1"/>
  <c r="D18" i="39"/>
  <c r="D19" i="39" s="1"/>
  <c r="D21" i="39" s="1"/>
  <c r="D24" i="39" s="1"/>
  <c r="AK28" i="10"/>
  <c r="D98" i="10"/>
  <c r="D332" i="10"/>
  <c r="D247" i="10"/>
  <c r="D88" i="10"/>
  <c r="D113" i="10"/>
  <c r="D155" i="10"/>
  <c r="D339" i="10"/>
  <c r="D177" i="10"/>
  <c r="D324" i="10"/>
  <c r="D287" i="10"/>
  <c r="D271" i="10"/>
  <c r="D239" i="10"/>
  <c r="D184" i="10"/>
  <c r="D148" i="10"/>
  <c r="D325" i="10"/>
  <c r="D213" i="10"/>
  <c r="D350" i="10"/>
  <c r="D84" i="10"/>
  <c r="D167" i="10"/>
  <c r="D259" i="10"/>
  <c r="D105" i="10"/>
  <c r="D224" i="10"/>
  <c r="D336" i="10"/>
  <c r="D43" i="10"/>
  <c r="D196" i="10"/>
  <c r="D282" i="10"/>
  <c r="D322" i="10"/>
  <c r="D72" i="10"/>
  <c r="D323" i="10"/>
  <c r="D162" i="10"/>
  <c r="D168" i="10"/>
  <c r="D292" i="10"/>
  <c r="D299" i="10"/>
  <c r="D179" i="10"/>
  <c r="D71" i="10"/>
  <c r="D176" i="10"/>
  <c r="D241" i="10"/>
  <c r="D186" i="10"/>
  <c r="D346" i="10"/>
  <c r="D165" i="10"/>
  <c r="D125" i="10"/>
  <c r="D193" i="10"/>
  <c r="K10" i="6"/>
  <c r="I329" i="10"/>
  <c r="O18" i="7"/>
  <c r="D21" i="5"/>
  <c r="AL28" i="10"/>
  <c r="AC15" i="1"/>
  <c r="AH15" i="1"/>
  <c r="F45" i="40"/>
  <c r="F46" i="40" s="1"/>
  <c r="F9" i="28"/>
  <c r="F13" i="28" s="1"/>
  <c r="U25" i="28"/>
  <c r="H40" i="35"/>
  <c r="K40" i="35" s="1"/>
  <c r="G39" i="35"/>
  <c r="J39" i="35" s="1"/>
  <c r="H28" i="35"/>
  <c r="K28" i="35" s="1"/>
  <c r="F73" i="35"/>
  <c r="I73" i="35" s="1"/>
  <c r="G65" i="35"/>
  <c r="J65" i="35" s="1"/>
  <c r="G27" i="35"/>
  <c r="J27" i="35" s="1"/>
  <c r="F48" i="35"/>
  <c r="I48" i="35" s="1"/>
  <c r="F64" i="35"/>
  <c r="I64" i="35" s="1"/>
  <c r="F36" i="35"/>
  <c r="I36" i="35" s="1"/>
  <c r="F13" i="35"/>
  <c r="I13" i="35" s="1"/>
  <c r="G73" i="35"/>
  <c r="J73" i="35" s="1"/>
  <c r="F70" i="35"/>
  <c r="I70" i="35" s="1"/>
  <c r="G54" i="35"/>
  <c r="J54" i="35" s="1"/>
  <c r="H27" i="35"/>
  <c r="K27" i="35" s="1"/>
  <c r="F18" i="35"/>
  <c r="I18" i="35" s="1"/>
  <c r="H9" i="35"/>
  <c r="K9" i="35" s="1"/>
  <c r="G15" i="35"/>
  <c r="J15" i="35" s="1"/>
  <c r="G74" i="35"/>
  <c r="J74" i="35" s="1"/>
  <c r="G51" i="35"/>
  <c r="J51" i="35" s="1"/>
  <c r="G53" i="35"/>
  <c r="J53" i="35" s="1"/>
  <c r="H53" i="35"/>
  <c r="K53" i="35" s="1"/>
  <c r="H37" i="35"/>
  <c r="K37" i="35" s="1"/>
  <c r="H14" i="35"/>
  <c r="K14" i="35" s="1"/>
  <c r="G24" i="35"/>
  <c r="J24" i="35" s="1"/>
  <c r="H60" i="35"/>
  <c r="K60" i="35" s="1"/>
  <c r="G28" i="35"/>
  <c r="J28" i="35" s="1"/>
  <c r="G71" i="35"/>
  <c r="J71" i="35" s="1"/>
  <c r="F17" i="35"/>
  <c r="I17" i="35" s="1"/>
  <c r="H26" i="35"/>
  <c r="K26" i="35" s="1"/>
  <c r="G58" i="35"/>
  <c r="J58" i="35" s="1"/>
  <c r="F74" i="35"/>
  <c r="I74" i="35" s="1"/>
  <c r="F41" i="35"/>
  <c r="I41" i="35" s="1"/>
  <c r="F62" i="35"/>
  <c r="I62" i="35" s="1"/>
  <c r="H47" i="35"/>
  <c r="K47" i="35" s="1"/>
  <c r="H21" i="35"/>
  <c r="K21" i="35" s="1"/>
  <c r="F69" i="35"/>
  <c r="I69" i="35" s="1"/>
  <c r="G43" i="35"/>
  <c r="J43" i="35" s="1"/>
  <c r="G31" i="35"/>
  <c r="J31" i="35" s="1"/>
  <c r="F50" i="35"/>
  <c r="I50" i="35" s="1"/>
  <c r="F63" i="35"/>
  <c r="I63" i="35" s="1"/>
  <c r="F47" i="35"/>
  <c r="I47" i="35" s="1"/>
  <c r="G47" i="35"/>
  <c r="J47" i="35" s="1"/>
  <c r="H31" i="35"/>
  <c r="K31" i="35" s="1"/>
  <c r="H66" i="35"/>
  <c r="K66" i="35" s="1"/>
  <c r="H17" i="35"/>
  <c r="K17" i="35" s="1"/>
  <c r="H56" i="35"/>
  <c r="K56" i="35" s="1"/>
  <c r="F52" i="35"/>
  <c r="I52" i="35" s="1"/>
  <c r="F20" i="35"/>
  <c r="I20" i="35" s="1"/>
  <c r="G23" i="35"/>
  <c r="J23" i="35" s="1"/>
  <c r="G61" i="35"/>
  <c r="J61" i="35" s="1"/>
  <c r="F12" i="35"/>
  <c r="I12" i="35" s="1"/>
  <c r="H32" i="35"/>
  <c r="K32" i="35" s="1"/>
  <c r="H58" i="35"/>
  <c r="K58" i="35" s="1"/>
  <c r="G35" i="35"/>
  <c r="J35" i="35" s="1"/>
  <c r="H20" i="35"/>
  <c r="K20" i="35" s="1"/>
  <c r="G52" i="35"/>
  <c r="J52" i="35" s="1"/>
  <c r="H69" i="35"/>
  <c r="K69" i="35" s="1"/>
  <c r="F9" i="35"/>
  <c r="I9" i="35" s="1"/>
  <c r="F40" i="35"/>
  <c r="I40" i="35" s="1"/>
  <c r="F56" i="35"/>
  <c r="I56" i="35" s="1"/>
  <c r="G55" i="35"/>
  <c r="J55" i="35" s="1"/>
  <c r="H23" i="35"/>
  <c r="K23" i="35" s="1"/>
  <c r="G29" i="35"/>
  <c r="J29" i="35" s="1"/>
  <c r="F31" i="35"/>
  <c r="I31" i="35" s="1"/>
  <c r="G70" i="35"/>
  <c r="J70" i="35" s="1"/>
  <c r="G38" i="35"/>
  <c r="J38" i="35" s="1"/>
  <c r="H18" i="35"/>
  <c r="K18" i="35" s="1"/>
  <c r="H43" i="35"/>
  <c r="K43" i="35" s="1"/>
  <c r="H11" i="35"/>
  <c r="K11" i="35" s="1"/>
  <c r="G34" i="35"/>
  <c r="J34" i="35" s="1"/>
  <c r="H75" i="35"/>
  <c r="K75" i="35" s="1"/>
  <c r="G22" i="35"/>
  <c r="J22" i="35" s="1"/>
  <c r="H61" i="35"/>
  <c r="K61" i="35" s="1"/>
  <c r="H45" i="35"/>
  <c r="K45" i="35" s="1"/>
  <c r="G26" i="35"/>
  <c r="J26" i="35" s="1"/>
  <c r="G6" i="35"/>
  <c r="H44" i="35"/>
  <c r="K44" i="35" s="1"/>
  <c r="H7" i="35"/>
  <c r="K7" i="35" s="1"/>
  <c r="H38" i="35"/>
  <c r="K38" i="35" s="1"/>
  <c r="H62" i="35"/>
  <c r="K62" i="35" s="1"/>
  <c r="H55" i="35"/>
  <c r="K55" i="35" s="1"/>
  <c r="H19" i="35"/>
  <c r="K19" i="35" s="1"/>
  <c r="G68" i="35"/>
  <c r="J68" i="35" s="1"/>
  <c r="G63" i="35"/>
  <c r="J63" i="35" s="1"/>
  <c r="F14" i="35"/>
  <c r="I14" i="35" s="1"/>
  <c r="F37" i="35"/>
  <c r="I37" i="35" s="1"/>
  <c r="F66" i="35"/>
  <c r="I66" i="35" s="1"/>
  <c r="H64" i="35"/>
  <c r="K64" i="35" s="1"/>
  <c r="G30" i="35"/>
  <c r="J30" i="35" s="1"/>
  <c r="G72" i="35"/>
  <c r="J72" i="35" s="1"/>
  <c r="G21" i="35"/>
  <c r="J21" i="35" s="1"/>
  <c r="F55" i="35"/>
  <c r="I55" i="35" s="1"/>
  <c r="H73" i="35"/>
  <c r="K73" i="35" s="1"/>
  <c r="G25" i="35"/>
  <c r="J25" i="35" s="1"/>
  <c r="G50" i="35"/>
  <c r="J50" i="35" s="1"/>
  <c r="H51" i="35"/>
  <c r="K51" i="35" s="1"/>
  <c r="F53" i="35"/>
  <c r="I53" i="35" s="1"/>
  <c r="H35" i="35"/>
  <c r="K35" i="35" s="1"/>
  <c r="G8" i="35"/>
  <c r="J8" i="35" s="1"/>
  <c r="F33" i="35"/>
  <c r="I33" i="35" s="1"/>
  <c r="H34" i="35"/>
  <c r="K34" i="35" s="1"/>
  <c r="G66" i="35"/>
  <c r="J66" i="35" s="1"/>
  <c r="H29" i="35"/>
  <c r="K29" i="35" s="1"/>
  <c r="F60" i="35"/>
  <c r="I60" i="35" s="1"/>
  <c r="H68" i="35"/>
  <c r="K68" i="35" s="1"/>
  <c r="H12" i="35"/>
  <c r="F34" i="35"/>
  <c r="I34" i="35" s="1"/>
  <c r="H63" i="35"/>
  <c r="K63" i="35" s="1"/>
  <c r="H25" i="35"/>
  <c r="K25" i="35" s="1"/>
  <c r="G60" i="35"/>
  <c r="J60" i="35" s="1"/>
  <c r="G41" i="35"/>
  <c r="J41" i="35" s="1"/>
  <c r="H22" i="35"/>
  <c r="K22" i="35" s="1"/>
  <c r="F43" i="35"/>
  <c r="I43" i="35" s="1"/>
  <c r="F59" i="35"/>
  <c r="I59" i="35" s="1"/>
  <c r="G13" i="35"/>
  <c r="J13" i="35" s="1"/>
  <c r="G16" i="35"/>
  <c r="J16" i="35" s="1"/>
  <c r="F75" i="35"/>
  <c r="I75" i="35" s="1"/>
  <c r="H16" i="35"/>
  <c r="K16" i="35" s="1"/>
  <c r="G64" i="35"/>
  <c r="J64" i="35" s="1"/>
  <c r="H33" i="35"/>
  <c r="K33" i="35" s="1"/>
  <c r="G14" i="35"/>
  <c r="J14" i="35" s="1"/>
  <c r="F23" i="35"/>
  <c r="I23" i="35" s="1"/>
  <c r="H50" i="35"/>
  <c r="K50" i="35" s="1"/>
  <c r="G59" i="35"/>
  <c r="J59" i="35" s="1"/>
  <c r="F6" i="35"/>
  <c r="G11" i="35"/>
  <c r="J11" i="35" s="1"/>
  <c r="H57" i="35"/>
  <c r="K57" i="35" s="1"/>
  <c r="H41" i="35"/>
  <c r="K41" i="35" s="1"/>
  <c r="G20" i="35"/>
  <c r="J20" i="35" s="1"/>
  <c r="H13" i="35"/>
  <c r="K13" i="35" s="1"/>
  <c r="H52" i="35"/>
  <c r="K52" i="35" s="1"/>
  <c r="H15" i="35"/>
  <c r="K15" i="35" s="1"/>
  <c r="H46" i="35"/>
  <c r="K46" i="35" s="1"/>
  <c r="H30" i="35"/>
  <c r="K30" i="35" s="1"/>
  <c r="G37" i="35"/>
  <c r="J37" i="35" s="1"/>
  <c r="G42" i="35"/>
  <c r="J42" i="35" s="1"/>
  <c r="H70" i="35"/>
  <c r="K70" i="35" s="1"/>
  <c r="G19" i="35"/>
  <c r="J19" i="35" s="1"/>
  <c r="F54" i="35"/>
  <c r="I54" i="35" s="1"/>
  <c r="G45" i="35"/>
  <c r="J45" i="35" s="1"/>
  <c r="G67" i="35"/>
  <c r="J67" i="35" s="1"/>
  <c r="G44" i="35"/>
  <c r="J44" i="35" s="1"/>
  <c r="G57" i="35"/>
  <c r="J57" i="35" s="1"/>
  <c r="F46" i="35"/>
  <c r="I46" i="35" s="1"/>
  <c r="F58" i="35"/>
  <c r="I58" i="35" s="1"/>
  <c r="F57" i="35"/>
  <c r="I57" i="35" s="1"/>
  <c r="F11" i="35"/>
  <c r="I11" i="35" s="1"/>
  <c r="H8" i="35"/>
  <c r="K8" i="35" s="1"/>
  <c r="Q22" i="35" s="1"/>
  <c r="F44" i="35"/>
  <c r="I44" i="35" s="1"/>
  <c r="H72" i="35"/>
  <c r="K72" i="35" s="1"/>
  <c r="H39" i="35"/>
  <c r="K39" i="35" s="1"/>
  <c r="F61" i="35"/>
  <c r="I61" i="35" s="1"/>
  <c r="F15" i="35"/>
  <c r="I15" i="35" s="1"/>
  <c r="G36" i="35"/>
  <c r="J36" i="35" s="1"/>
  <c r="F22" i="35"/>
  <c r="I22" i="35" s="1"/>
  <c r="F49" i="35"/>
  <c r="I49" i="35" s="1"/>
  <c r="G56" i="35"/>
  <c r="J56" i="35" s="1"/>
  <c r="P15" i="34"/>
  <c r="P17" i="34"/>
  <c r="P16" i="34"/>
  <c r="K38" i="13"/>
  <c r="D23" i="39"/>
  <c r="D22" i="39"/>
  <c r="T28" i="28"/>
  <c r="T29" i="28" s="1"/>
  <c r="V26" i="28"/>
  <c r="C21" i="32"/>
  <c r="D21" i="32"/>
  <c r="K12" i="35"/>
  <c r="R16" i="34"/>
  <c r="R17" i="34"/>
  <c r="O36" i="34" s="1"/>
  <c r="Z15" i="1"/>
  <c r="W15" i="1"/>
  <c r="U15" i="1"/>
  <c r="U21" i="1"/>
  <c r="AM27" i="10"/>
  <c r="AM28" i="10" s="1"/>
  <c r="K27" i="10"/>
  <c r="K28" i="10" s="1"/>
  <c r="K29" i="10" s="1"/>
  <c r="K30" i="10" s="1"/>
  <c r="AG27" i="10"/>
  <c r="AG28" i="10" s="1"/>
  <c r="AB32" i="10"/>
  <c r="AB33" i="10" s="1"/>
  <c r="K18" i="10"/>
  <c r="M27" i="10"/>
  <c r="M28" i="10" s="1"/>
  <c r="M29" i="10" s="1"/>
  <c r="M30" i="10" s="1"/>
  <c r="I109" i="10"/>
  <c r="AE31" i="10"/>
  <c r="M18" i="10"/>
  <c r="AI31" i="10"/>
  <c r="Q27" i="10"/>
  <c r="Q28" i="10" s="1"/>
  <c r="Q29" i="10" s="1"/>
  <c r="Q30" i="10" s="1"/>
  <c r="I189" i="10"/>
  <c r="Q18" i="10"/>
  <c r="AG33" i="10"/>
  <c r="AF32" i="10"/>
  <c r="AF33" i="10" s="1"/>
  <c r="E60" i="13"/>
  <c r="E54" i="13"/>
  <c r="E76" i="13"/>
  <c r="E65" i="13"/>
  <c r="E63" i="13"/>
  <c r="E38" i="13"/>
  <c r="E77" i="13"/>
  <c r="E37" i="13"/>
  <c r="E71" i="13"/>
  <c r="E58" i="13"/>
  <c r="E79" i="13"/>
  <c r="E70" i="13"/>
  <c r="E39" i="13"/>
  <c r="E67" i="13"/>
  <c r="E36" i="13"/>
  <c r="E61" i="13"/>
  <c r="E72" i="13"/>
  <c r="E45" i="13"/>
  <c r="E69" i="13"/>
  <c r="E81" i="13"/>
  <c r="E43" i="13"/>
  <c r="E46" i="13"/>
  <c r="E41" i="13"/>
  <c r="E73" i="13"/>
  <c r="E50" i="13"/>
  <c r="E80" i="13"/>
  <c r="E74" i="13"/>
  <c r="E42" i="13"/>
  <c r="E68" i="13"/>
  <c r="E56" i="13"/>
  <c r="E66" i="13"/>
  <c r="E57" i="13"/>
  <c r="E55" i="13"/>
  <c r="K37" i="13"/>
  <c r="K39" i="13" s="1"/>
  <c r="L39" i="13" s="1"/>
  <c r="A17" i="13" s="1"/>
  <c r="Q16" i="34"/>
  <c r="K8" i="34"/>
  <c r="Q27" i="34" s="1"/>
  <c r="J21" i="7"/>
  <c r="L18" i="10"/>
  <c r="AD32" i="10" s="1"/>
  <c r="AB27" i="10"/>
  <c r="AJ33" i="10"/>
  <c r="Q9" i="5"/>
  <c r="M9" i="5"/>
  <c r="J15" i="6"/>
  <c r="K11" i="6"/>
  <c r="AD15" i="1"/>
  <c r="AF15" i="1"/>
  <c r="E55" i="1"/>
  <c r="L22" i="7"/>
  <c r="J18" i="7"/>
  <c r="N12" i="5"/>
  <c r="O12" i="5" s="1"/>
  <c r="J16" i="32"/>
  <c r="J20" i="32"/>
  <c r="P14" i="13"/>
  <c r="J5" i="6"/>
  <c r="L5" i="6" s="1"/>
  <c r="A15" i="6" s="1"/>
  <c r="AL33" i="10"/>
  <c r="P9" i="5"/>
  <c r="C154" i="7"/>
  <c r="C19" i="11"/>
  <c r="X15" i="29"/>
  <c r="Z15" i="29" s="1"/>
  <c r="F28" i="29" s="1"/>
  <c r="V21" i="1"/>
  <c r="P21" i="34"/>
  <c r="P22" i="34"/>
  <c r="P27" i="34"/>
  <c r="P28" i="34"/>
  <c r="D31" i="6"/>
  <c r="D34" i="6"/>
  <c r="D21" i="6"/>
  <c r="E352" i="10"/>
  <c r="E49" i="10"/>
  <c r="E285" i="10"/>
  <c r="E161" i="10"/>
  <c r="E338" i="10"/>
  <c r="E67" i="10"/>
  <c r="E57" i="10"/>
  <c r="E331" i="10"/>
  <c r="E104" i="10"/>
  <c r="E52" i="10"/>
  <c r="E175" i="10"/>
  <c r="E320" i="10"/>
  <c r="E306" i="10"/>
  <c r="E165" i="10"/>
  <c r="E135" i="10"/>
  <c r="E233" i="10"/>
  <c r="E125" i="10"/>
  <c r="E204" i="10"/>
  <c r="E198" i="10"/>
  <c r="E342" i="10"/>
  <c r="E150" i="10"/>
  <c r="E221" i="10"/>
  <c r="E69" i="10"/>
  <c r="E330" i="10"/>
  <c r="E353" i="10"/>
  <c r="E288" i="10"/>
  <c r="E123" i="10"/>
  <c r="E337" i="10"/>
  <c r="E189" i="10"/>
  <c r="E271" i="10"/>
  <c r="E210" i="10"/>
  <c r="E287" i="10"/>
  <c r="E119" i="10"/>
  <c r="E248" i="10"/>
  <c r="E289" i="10"/>
  <c r="E256" i="10"/>
  <c r="E109" i="10"/>
  <c r="E73" i="10"/>
  <c r="E205" i="10"/>
  <c r="E59" i="10"/>
  <c r="E96" i="10"/>
  <c r="E211" i="10"/>
  <c r="E192" i="10"/>
  <c r="E117" i="10"/>
  <c r="E174" i="10"/>
  <c r="E286" i="10"/>
  <c r="E78" i="10"/>
  <c r="E186" i="10"/>
  <c r="E323" i="10"/>
  <c r="E215" i="10"/>
  <c r="E85" i="10"/>
  <c r="E156" i="10"/>
  <c r="E116" i="10"/>
  <c r="E61" i="10"/>
  <c r="E290" i="10"/>
  <c r="E71" i="10"/>
  <c r="E169" i="10"/>
  <c r="E307" i="10"/>
  <c r="E227" i="10"/>
  <c r="E214" i="10"/>
  <c r="E118" i="10"/>
  <c r="E343" i="10"/>
  <c r="E112" i="10"/>
  <c r="E345" i="10"/>
  <c r="E127" i="10"/>
  <c r="E93" i="10"/>
  <c r="E105" i="10"/>
  <c r="E207" i="10"/>
  <c r="E196" i="10"/>
  <c r="E128" i="10"/>
  <c r="E339" i="10"/>
  <c r="E136" i="10"/>
  <c r="E79" i="10"/>
  <c r="E225" i="10"/>
  <c r="E122" i="10"/>
  <c r="E216" i="10"/>
  <c r="E177" i="10"/>
  <c r="E152" i="10"/>
  <c r="E259" i="10"/>
  <c r="E113" i="10"/>
  <c r="E173" i="10"/>
  <c r="E171" i="10"/>
  <c r="E262" i="10"/>
  <c r="E97" i="10"/>
  <c r="E219" i="10"/>
  <c r="E178" i="10"/>
  <c r="E147" i="10"/>
  <c r="E148" i="10"/>
  <c r="E179" i="10"/>
  <c r="E80" i="10"/>
  <c r="E260" i="10"/>
  <c r="E228" i="10"/>
  <c r="E302" i="10"/>
  <c r="E88" i="10"/>
  <c r="E275" i="10"/>
  <c r="E110" i="10"/>
  <c r="E131" i="10"/>
  <c r="E65" i="10"/>
  <c r="E326" i="10"/>
  <c r="E329" i="10"/>
  <c r="E223" i="10"/>
  <c r="E54" i="10"/>
  <c r="E115" i="10"/>
  <c r="E325" i="10"/>
  <c r="E101" i="10"/>
  <c r="E50" i="10"/>
  <c r="E114" i="10"/>
  <c r="E272" i="10"/>
  <c r="E355" i="10"/>
  <c r="E141" i="10"/>
  <c r="E251" i="10"/>
  <c r="E130" i="10"/>
  <c r="E163" i="10"/>
  <c r="E180" i="10"/>
  <c r="E62" i="10"/>
  <c r="E303" i="10"/>
  <c r="E230" i="10"/>
  <c r="E95" i="10"/>
  <c r="E160" i="10"/>
  <c r="E164" i="10"/>
  <c r="E351" i="10"/>
  <c r="E280" i="10"/>
  <c r="E335" i="10"/>
  <c r="E100" i="10"/>
  <c r="E311" i="10"/>
  <c r="E333" i="10"/>
  <c r="E195" i="10"/>
  <c r="E242" i="10"/>
  <c r="E84" i="10"/>
  <c r="E86" i="10"/>
  <c r="E347" i="10"/>
  <c r="E64" i="10"/>
  <c r="E133" i="10"/>
  <c r="E76" i="10"/>
  <c r="E102" i="10"/>
  <c r="W20" i="1"/>
  <c r="AD31" i="10"/>
  <c r="L27" i="10"/>
  <c r="L28" i="10" s="1"/>
  <c r="L29" i="10" s="1"/>
  <c r="L30" i="10" s="1"/>
  <c r="R15" i="34"/>
  <c r="Q17" i="34"/>
  <c r="O27" i="34"/>
  <c r="O21" i="34"/>
  <c r="Q15" i="34"/>
  <c r="L1" i="1"/>
  <c r="O1" i="1" s="1"/>
  <c r="R1" i="1" s="1"/>
  <c r="U9" i="28"/>
  <c r="E54" i="1"/>
  <c r="W21" i="1"/>
  <c r="Y15" i="1"/>
  <c r="E53" i="1"/>
  <c r="R20" i="5"/>
  <c r="K12" i="6"/>
  <c r="M12" i="6"/>
  <c r="E112" i="7"/>
  <c r="E254" i="7"/>
  <c r="E212" i="7"/>
  <c r="E195" i="7"/>
  <c r="E210" i="7"/>
  <c r="E244" i="7"/>
  <c r="P12" i="5"/>
  <c r="R12" i="5" s="1"/>
  <c r="J22" i="7"/>
  <c r="P13" i="10"/>
  <c r="I165" i="10"/>
  <c r="D69" i="5"/>
  <c r="D37" i="5"/>
  <c r="D95" i="5"/>
  <c r="D66" i="5"/>
  <c r="D96" i="5"/>
  <c r="R21" i="5"/>
  <c r="E55" i="5"/>
  <c r="E39" i="5"/>
  <c r="E56" i="5"/>
  <c r="E52" i="5"/>
  <c r="P15" i="13"/>
  <c r="A20" i="13" s="1"/>
  <c r="P18" i="7"/>
  <c r="H20" i="7" s="1"/>
  <c r="B23" i="39"/>
  <c r="B22" i="39"/>
  <c r="D248" i="7"/>
  <c r="D170" i="7"/>
  <c r="D227" i="7"/>
  <c r="D154" i="7"/>
  <c r="D121" i="7"/>
  <c r="D58" i="7"/>
  <c r="D201" i="7"/>
  <c r="D196" i="7"/>
  <c r="D131" i="7"/>
  <c r="AI15" i="1" l="1"/>
  <c r="C31" i="1" s="1"/>
  <c r="Q21" i="34"/>
  <c r="P34" i="34" s="1"/>
  <c r="R17" i="35"/>
  <c r="O36" i="35" s="1"/>
  <c r="Q28" i="34"/>
  <c r="R28" i="34" s="1"/>
  <c r="Q35" i="34" s="1"/>
  <c r="AD33" i="10"/>
  <c r="Q29" i="35"/>
  <c r="R29" i="35" s="1"/>
  <c r="Q36" i="35" s="1"/>
  <c r="P15" i="35"/>
  <c r="Q16" i="35"/>
  <c r="Q21" i="35"/>
  <c r="R15" i="35"/>
  <c r="P16" i="35"/>
  <c r="Q28" i="35"/>
  <c r="R16" i="35"/>
  <c r="Q23" i="35"/>
  <c r="P36" i="35" s="1"/>
  <c r="Q15" i="35"/>
  <c r="J6" i="35"/>
  <c r="Q17" i="35"/>
  <c r="Q27" i="35"/>
  <c r="I6" i="35"/>
  <c r="P17" i="35"/>
  <c r="R27" i="34"/>
  <c r="Q23" i="34"/>
  <c r="P36" i="34" s="1"/>
  <c r="Q29" i="34"/>
  <c r="R29" i="34" s="1"/>
  <c r="Q36" i="34" s="1"/>
  <c r="O35" i="34"/>
  <c r="Q22" i="34"/>
  <c r="P35" i="34" s="1"/>
  <c r="F25" i="28"/>
  <c r="AC32" i="10"/>
  <c r="AC33" i="10" s="1"/>
  <c r="AC27" i="10"/>
  <c r="AC28" i="10" s="1"/>
  <c r="V20" i="1"/>
  <c r="V22" i="1" s="1"/>
  <c r="J23" i="7"/>
  <c r="AI32" i="10"/>
  <c r="AI33" i="10" s="1"/>
  <c r="AI27" i="10"/>
  <c r="AI28" i="10" s="1"/>
  <c r="L21" i="7"/>
  <c r="L23" i="7" s="1"/>
  <c r="X20" i="1"/>
  <c r="X22" i="1" s="1"/>
  <c r="AE32" i="10"/>
  <c r="AE27" i="10"/>
  <c r="AE28" i="10" s="1"/>
  <c r="AE33" i="10"/>
  <c r="AD27" i="10"/>
  <c r="AD28" i="10" s="1"/>
  <c r="B24" i="39"/>
  <c r="J14" i="6"/>
  <c r="A17" i="6" s="1"/>
  <c r="O21" i="5"/>
  <c r="A24" i="5" s="1"/>
  <c r="O34" i="34"/>
  <c r="W22" i="1"/>
  <c r="W19" i="11"/>
  <c r="AH19" i="11"/>
  <c r="BO19" i="11"/>
  <c r="BY19" i="11"/>
  <c r="BD19" i="11"/>
  <c r="AS19" i="11"/>
  <c r="M19" i="11"/>
  <c r="AH31" i="10"/>
  <c r="P27" i="10"/>
  <c r="P28" i="10" s="1"/>
  <c r="P29" i="10" s="1"/>
  <c r="P30" i="10" s="1"/>
  <c r="Y13" i="10"/>
  <c r="Y27" i="10" s="1"/>
  <c r="Y28" i="10" s="1"/>
  <c r="Y29" i="10" s="1"/>
  <c r="Y30" i="10" s="1"/>
  <c r="P18" i="10"/>
  <c r="I169" i="10"/>
  <c r="Q34" i="34"/>
  <c r="O35" i="35" l="1"/>
  <c r="O34" i="35"/>
  <c r="O27" i="35"/>
  <c r="O21" i="35"/>
  <c r="P27" i="35"/>
  <c r="P28" i="35"/>
  <c r="R28" i="35" s="1"/>
  <c r="Q35" i="35" s="1"/>
  <c r="P21" i="35"/>
  <c r="P22" i="35"/>
  <c r="P35" i="35" s="1"/>
  <c r="R30" i="34"/>
  <c r="M23" i="7"/>
  <c r="H9" i="7" s="1"/>
  <c r="Z22" i="1"/>
  <c r="C23" i="1" s="1"/>
  <c r="AN28" i="10"/>
  <c r="J33" i="10" s="1"/>
  <c r="CE21" i="11"/>
  <c r="AH32" i="10"/>
  <c r="AH33" i="10" s="1"/>
  <c r="AQ33" i="10" s="1"/>
  <c r="J35" i="10" s="1"/>
  <c r="Y18" i="10"/>
  <c r="K21" i="7"/>
  <c r="AH27" i="10"/>
  <c r="R27" i="35" l="1"/>
  <c r="Q34" i="35" s="1"/>
  <c r="P34" i="35"/>
  <c r="R30" i="3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Daniel Aegerter</author>
  </authors>
  <commentList>
    <comment ref="U3" authorId="0" shapeId="0" xr:uid="{00000000-0006-0000-0F00-000001000000}">
      <text>
        <r>
          <rPr>
            <sz val="9"/>
            <color indexed="81"/>
            <rFont val="Tahoma"/>
            <family val="2"/>
          </rPr>
          <t>Dans les</t>
        </r>
        <r>
          <rPr>
            <b/>
            <sz val="9"/>
            <color indexed="81"/>
            <rFont val="Tahoma"/>
            <family val="2"/>
          </rPr>
          <t xml:space="preserve"> cellules</t>
        </r>
        <r>
          <rPr>
            <sz val="9"/>
            <color indexed="81"/>
            <rFont val="Tahoma"/>
            <family val="2"/>
          </rPr>
          <t xml:space="preserve"> à fond vert </t>
        </r>
        <r>
          <rPr>
            <b/>
            <sz val="9"/>
            <color indexed="81"/>
            <rFont val="Tahoma"/>
            <family val="2"/>
          </rPr>
          <t>(B6:D75),</t>
        </r>
        <r>
          <rPr>
            <sz val="9"/>
            <color indexed="81"/>
            <rFont val="Tahoma"/>
            <family val="2"/>
          </rPr>
          <t xml:space="preserve"> les coûts totaux ainsi que les coûts de mise en œuvre peuvent y être enregistrés. Au cas où les coûts de mise en œuvre sont connus, les frais indirects peuvent être saisis plus tard dans la </t>
        </r>
        <r>
          <rPr>
            <b/>
            <sz val="9"/>
            <color indexed="81"/>
            <rFont val="Tahoma"/>
            <family val="2"/>
          </rPr>
          <t>cellule Q5</t>
        </r>
        <r>
          <rPr>
            <sz val="9"/>
            <color indexed="81"/>
            <rFont val="Tahoma"/>
            <family val="2"/>
          </rPr>
          <t xml:space="preserve">. Dans les autres calculs, le supplément frais indirects sera automatiquement pris en compte. Dans le cas où la répartition des coûts indirects s'ensuit au travers de nombreux sous-contractants et comme alternative,  la méthode du pourcentage  peut être saisi dans la </t>
        </r>
        <r>
          <rPr>
            <b/>
            <sz val="9"/>
            <color indexed="81"/>
            <rFont val="Tahoma"/>
            <family val="2"/>
          </rPr>
          <t>cellule R6</t>
        </r>
        <r>
          <rPr>
            <sz val="9"/>
            <color indexed="81"/>
            <rFont val="Tahoma"/>
            <family val="2"/>
          </rPr>
          <t xml:space="preserve"> pour le calcul du supplément des des frais indirects..
Dans la </t>
        </r>
        <r>
          <rPr>
            <b/>
            <sz val="9"/>
            <color indexed="81"/>
            <rFont val="Tahoma"/>
            <family val="2"/>
          </rPr>
          <t>colonne E</t>
        </r>
        <r>
          <rPr>
            <sz val="9"/>
            <color indexed="81"/>
            <rFont val="Tahoma"/>
            <family val="2"/>
          </rPr>
          <t xml:space="preserve">, les journées-participant par cours peuvent y être saisies.
Les évaluations nécessaires pour le reporting seront automatiquement calculées, voir tableau indication pour le reporting. Lorsque le tableau a été rempli par tous les sous-contractants, les données reporting à l'OFAS doivent  impérativement être consolidées.
Le tableau est protégé contre toute modification.
</t>
        </r>
      </text>
    </comment>
    <comment ref="S19" authorId="0" shapeId="0" xr:uid="{00000000-0006-0000-0F00-000002000000}">
      <text>
        <r>
          <rPr>
            <b/>
            <sz val="9"/>
            <color indexed="81"/>
            <rFont val="Tahoma"/>
            <family val="2"/>
          </rPr>
          <t>Critère d'attribution pour les cours en bloc</t>
        </r>
        <r>
          <rPr>
            <sz val="9"/>
            <color indexed="81"/>
            <rFont val="Tahoma"/>
            <family val="2"/>
          </rPr>
          <t xml:space="preserve">
</t>
        </r>
        <r>
          <rPr>
            <b/>
            <sz val="9"/>
            <color indexed="81"/>
            <rFont val="Tahoma"/>
            <family val="2"/>
          </rPr>
          <t>A</t>
        </r>
        <r>
          <rPr>
            <sz val="9"/>
            <color indexed="81"/>
            <rFont val="Tahoma"/>
            <family val="2"/>
          </rPr>
          <t xml:space="preserve">
- Clé de répartition: 2:1 ou moins (ex: 1 personnel d'encadrement pour 2  participants handicapé ou plus)
et
- hébergement: aucun batiment particulièrement aménagé / chambre / WC nécessaire (particulièrement pas accessible en fauteuil roulant )
</t>
        </r>
        <r>
          <rPr>
            <b/>
            <sz val="9"/>
            <color indexed="81"/>
            <rFont val="Tahoma"/>
            <family val="2"/>
          </rPr>
          <t>B</t>
        </r>
        <r>
          <rPr>
            <sz val="9"/>
            <color indexed="81"/>
            <rFont val="Tahoma"/>
            <family val="2"/>
          </rPr>
          <t xml:space="preserve">
-Clé de répartition: 2:1 ou plus (ex: au moins 1 personnel d'encadrementpour 2 participants handicapés) 
et/ou
- besoin d'au moins de 2 spécialistes avec de hautes qualifications et   disposant plus particulièrement de compétences spécifiques relatives au handicap.
et/ou
- hébergement: Hôtel particulièrement adapté (pension) nécessaire, en particulier accessible en fauteuil roulant aussi pour fauteuils roulant électriques, lits et  wc spécialement aménagés, p.ex. pour les aveugles et les personnes malvoyantes utilisables de façon autonomes, Possibilités de retraite pour les personnes  souffrant d'un handicap cérébral ou psychiques
</t>
        </r>
        <r>
          <rPr>
            <b/>
            <sz val="9"/>
            <color indexed="81"/>
            <rFont val="Tahoma"/>
            <family val="2"/>
          </rPr>
          <t>C</t>
        </r>
        <r>
          <rPr>
            <sz val="9"/>
            <color indexed="81"/>
            <rFont val="Tahoma"/>
            <family val="2"/>
          </rPr>
          <t xml:space="preserve">
Clé de répartition: 1:1 ou plus durant le cours entier (ex:  au moins 1 personnel encadrant pour 1 participant handicapé), accompagnement systématique / soins ou contrôle durant la nuit, personnel qualifié (en particulier, cours orienté sur les handicaps lourds et mutiples) 
et/ou
- besoin d'au moins de 3 spécialistes avec de hautes qualifications et  disposant plus particulièrement de compétences spécifiques relatives au handicap.
et/ou
- hébergement: Hôtel particulièrement adapté (pension) nécessaire, en particulier accessible en fauteuil roulant, grandes chambres aussi pour fauteuils roulant électriques, lits et  wc spécialement aménagés, chaises de douche, Chambres pour les gardes de nuit, système d'alarme en cas d'urgence, etc (particulièrement pour les cours relevant des handicaps physiques lourds).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Daniel Aegerter</author>
  </authors>
  <commentList>
    <comment ref="U3" authorId="0" shapeId="0" xr:uid="{00000000-0006-0000-1000-000001000000}">
      <text>
        <r>
          <rPr>
            <sz val="9"/>
            <color indexed="81"/>
            <rFont val="Tahoma"/>
            <family val="2"/>
          </rPr>
          <t xml:space="preserve">Dans les </t>
        </r>
        <r>
          <rPr>
            <b/>
            <sz val="9"/>
            <color indexed="81"/>
            <rFont val="Tahoma"/>
            <family val="2"/>
          </rPr>
          <t>cellules</t>
        </r>
        <r>
          <rPr>
            <sz val="9"/>
            <color indexed="81"/>
            <rFont val="Tahoma"/>
            <family val="2"/>
          </rPr>
          <t xml:space="preserve"> à fond vert </t>
        </r>
        <r>
          <rPr>
            <b/>
            <sz val="9"/>
            <color indexed="81"/>
            <rFont val="Tahoma"/>
            <family val="2"/>
          </rPr>
          <t>(B6:D75)</t>
        </r>
        <r>
          <rPr>
            <sz val="9"/>
            <color indexed="81"/>
            <rFont val="Tahoma"/>
            <family val="2"/>
          </rPr>
          <t xml:space="preserve">, les coûts totaux ainsi que les coûts de mise en œuvre peuvent y être enregistrés. Au cas où les coûts de mise en œuvre sont connus, les frais indirects peuvent être saisis plus tard dans la cellule </t>
        </r>
        <r>
          <rPr>
            <b/>
            <sz val="9"/>
            <color indexed="81"/>
            <rFont val="Tahoma"/>
            <family val="2"/>
          </rPr>
          <t>Q5</t>
        </r>
        <r>
          <rPr>
            <sz val="9"/>
            <color indexed="81"/>
            <rFont val="Tahoma"/>
            <family val="2"/>
          </rPr>
          <t xml:space="preserve">. Dans les autres calculs, le supplément frais indirects sera automatiquement pris en compte. Dans le cas où la répartition des coûts indirects s'ensuit au travers de nombreux sous-contractants et comme alternative,  la méthode du pourcentage  peut être saisi dans la </t>
        </r>
        <r>
          <rPr>
            <b/>
            <sz val="9"/>
            <color indexed="81"/>
            <rFont val="Tahoma"/>
            <family val="2"/>
          </rPr>
          <t>cellule R6</t>
        </r>
        <r>
          <rPr>
            <sz val="9"/>
            <color indexed="81"/>
            <rFont val="Tahoma"/>
            <family val="2"/>
          </rPr>
          <t xml:space="preserve"> pour le calcul du supplément des des frais indirects..
Dans la colonne E, les journées-participant (non ayant droit inclus) par cours peuvent y être saisies.
Les évaluations nécessaires pour le reporting seront automatiquement calculées, voir tableau indication pour le reporting. Lorsque le tableau a été rempli par tous les sous-contractants, les données reporting à l'OFAS doivent  impérativement être consolidées.
Le tableau est protégé contre toute modification.
</t>
        </r>
      </text>
    </comment>
    <comment ref="S18" authorId="0" shapeId="0" xr:uid="{00000000-0006-0000-1000-000002000000}">
      <text>
        <r>
          <rPr>
            <b/>
            <sz val="9"/>
            <color indexed="81"/>
            <rFont val="Tahoma"/>
            <family val="2"/>
          </rPr>
          <t>Critère d'attribution pour les cours d'un jour</t>
        </r>
        <r>
          <rPr>
            <sz val="9"/>
            <color indexed="81"/>
            <rFont val="Tahoma"/>
            <family val="2"/>
          </rPr>
          <t xml:space="preserve">
</t>
        </r>
        <r>
          <rPr>
            <b/>
            <sz val="9"/>
            <color indexed="81"/>
            <rFont val="Tahoma"/>
            <family val="2"/>
          </rPr>
          <t>A</t>
        </r>
        <r>
          <rPr>
            <sz val="9"/>
            <color indexed="81"/>
            <rFont val="Tahoma"/>
            <family val="2"/>
          </rPr>
          <t xml:space="preserve">
- plusieurs fois ou des cours réguliers pour des groupes cibles avec un besoins d'encadrement bas (1 responsable de cours, 1-2 personnel d'encadrement  pour env. 10 participants)
- direction du cours au travers du personnel périodique, personnel fixé engagé (employé ou sur la base d'honoraires)
</t>
        </r>
        <r>
          <rPr>
            <b/>
            <sz val="9"/>
            <color indexed="81"/>
            <rFont val="Tahoma"/>
            <family val="2"/>
          </rPr>
          <t>B</t>
        </r>
        <r>
          <rPr>
            <sz val="9"/>
            <color indexed="81"/>
            <rFont val="Tahoma"/>
            <family val="2"/>
          </rPr>
          <t xml:space="preserve">
- Cours pour les groupes-cibles avec un haut degré d'encadrement (1 responsable, au moins 2 personnel d'accompagnement pour env. 10 participants) ou bien 2 spécialistes avec de hautes qualifications plus particulièrement disposant de compétences spécifiques relatives au handicap.
et/ou
- cours unique ou non-réguliers réalisé avec une grand préparation, direction du cours au travers de spécialistes disposant de très hautes compétences spécifiques.
</t>
        </r>
        <r>
          <rPr>
            <b/>
            <sz val="9"/>
            <color indexed="81"/>
            <rFont val="Tahoma"/>
            <family val="2"/>
          </rPr>
          <t>C</t>
        </r>
        <r>
          <rPr>
            <sz val="9"/>
            <color indexed="81"/>
            <rFont val="Tahoma"/>
            <family val="2"/>
          </rPr>
          <t xml:space="preserve">
- Cours pour les groupes-cibles avec un très haut degré d'encadrement (1 responsable et au moins 1 personnel d'accompagnement qualifié pour 2 participants handicapés, en partie 1:1 rapport d'accompagnement) ou bien 3 spécialistes avec de hautes qualifications et disposant plus particulièrement de compétences spécifiques relatives au handicap.
</t>
        </r>
      </text>
    </comment>
  </commentList>
</comments>
</file>

<file path=xl/sharedStrings.xml><?xml version="1.0" encoding="utf-8"?>
<sst xmlns="http://schemas.openxmlformats.org/spreadsheetml/2006/main" count="8136" uniqueCount="2782">
  <si>
    <t>Plusport Behindertensport Schweiz</t>
  </si>
  <si>
    <t>L16</t>
  </si>
  <si>
    <t>L19</t>
  </si>
  <si>
    <t>SBH - Sehbehindertenhilfe Basel, Basel</t>
  </si>
  <si>
    <t>Beratungsstelle für Gehörlose Luzern</t>
  </si>
  <si>
    <t>Vereinigung Cerebral Schweiz</t>
  </si>
  <si>
    <t>ZKBV - Zürcher Kantonaler Blindenfürsorge-Verein, Zürich</t>
  </si>
  <si>
    <t>Schweizerisches Epilepsie-Zentrum</t>
  </si>
  <si>
    <t xml:space="preserve">PAZH pro audito Zürich </t>
  </si>
  <si>
    <t>LuB Stiftung Landwirtschaft und Behinderte</t>
  </si>
  <si>
    <t>Gruppo sportivo integrato del Bellinzonese</t>
  </si>
  <si>
    <t>Sport Insieme Mendrisiotto</t>
  </si>
  <si>
    <t xml:space="preserve"> Association Cerebral Genève</t>
  </si>
  <si>
    <t>Antenne Handicap Mental</t>
  </si>
  <si>
    <t>Fondation Asile des Aveugles, Lausannne</t>
  </si>
  <si>
    <t>Fondazione STCA - INGRADO</t>
  </si>
  <si>
    <t>Procap Sport Neuchâtel</t>
  </si>
  <si>
    <t>FAS - Centre spécialisé pour handicapés de la vue, Peseux</t>
  </si>
  <si>
    <t>Rheumaliga Aargau</t>
  </si>
  <si>
    <t xml:space="preserve">Procap Sport Zug </t>
  </si>
  <si>
    <t>Procap Sport Gerlafingen</t>
  </si>
  <si>
    <t>Rheumaliga Glarus</t>
  </si>
  <si>
    <t>Procap Sport Grenchen und Umgebung</t>
  </si>
  <si>
    <t>Ligue valaisanne contre le rhumatisme</t>
  </si>
  <si>
    <t>Rheumaliga Bern</t>
  </si>
  <si>
    <t>Rheumaliga Zug</t>
  </si>
  <si>
    <t>Rheumaliga Luzern und Unterwalden</t>
  </si>
  <si>
    <t>Rheumaliga Solothurn</t>
  </si>
  <si>
    <t>Rheumaliga Zürich</t>
  </si>
  <si>
    <t>Rheumaliga Schweiz</t>
  </si>
  <si>
    <t>ELPOS Schweiz</t>
  </si>
  <si>
    <t>Rheumaliga Schaffhausen</t>
  </si>
  <si>
    <t>Rheumaliga Thurgau</t>
  </si>
  <si>
    <t>Procap Sport Bienne</t>
  </si>
  <si>
    <t>Procap Sport Le Locle</t>
  </si>
  <si>
    <t xml:space="preserve">Procap Sport Moutier </t>
  </si>
  <si>
    <t>insieme21</t>
  </si>
  <si>
    <t>Procap Sport Porrentruy</t>
  </si>
  <si>
    <t>Team Selbsthilfe Graubünden, Chur</t>
  </si>
  <si>
    <t>FS Bern Espace Mittelland, Kirchberg</t>
  </si>
  <si>
    <t>Epi-Suisse</t>
  </si>
  <si>
    <t>Atidu</t>
  </si>
  <si>
    <t>Vereinigung Insieme / Cerebral Glarus</t>
  </si>
  <si>
    <t>Kantonale Behindertenkonferenz Bern kbk</t>
  </si>
  <si>
    <t>Equilibrium Verein zur Bewältigung von Depressionen</t>
  </si>
  <si>
    <t>APhS Angst- und Panikhilfe Schweiz</t>
  </si>
  <si>
    <t>L20</t>
  </si>
  <si>
    <t>L21</t>
  </si>
  <si>
    <t>L22</t>
  </si>
  <si>
    <t>L23</t>
  </si>
  <si>
    <t>L24</t>
  </si>
  <si>
    <t>M15</t>
  </si>
  <si>
    <t>M16</t>
  </si>
  <si>
    <t>M17</t>
  </si>
  <si>
    <t>M19</t>
  </si>
  <si>
    <t>M20</t>
  </si>
  <si>
    <t>M21</t>
  </si>
  <si>
    <t>M22</t>
  </si>
  <si>
    <t>M23</t>
  </si>
  <si>
    <t>M24</t>
  </si>
  <si>
    <t>N15</t>
  </si>
  <si>
    <t>N16</t>
  </si>
  <si>
    <t>N17</t>
  </si>
  <si>
    <t>N19</t>
  </si>
  <si>
    <t>N20</t>
  </si>
  <si>
    <t>N21</t>
  </si>
  <si>
    <t>N22</t>
  </si>
  <si>
    <t>N23</t>
  </si>
  <si>
    <t>N24</t>
  </si>
  <si>
    <t>N25</t>
  </si>
  <si>
    <t>O15</t>
  </si>
  <si>
    <t>O16</t>
  </si>
  <si>
    <t>KOSTEN_DIREKT</t>
  </si>
  <si>
    <t>PERSONALUMLAGE</t>
  </si>
  <si>
    <t>RAUMUMLAGE</t>
  </si>
  <si>
    <t>VERWALTUNGSUMLAGE</t>
  </si>
  <si>
    <t>KOSTEN_INDIREKT</t>
  </si>
  <si>
    <t xml:space="preserve">PROCOM Stiftung Kommunikationshilfen für Hörgeschädigte </t>
  </si>
  <si>
    <t>Lungenliga Thurgau</t>
  </si>
  <si>
    <t>LEISTUNG_KATEGORIE_ZIELGRUPPE</t>
  </si>
  <si>
    <t>STUNDEN</t>
  </si>
  <si>
    <t>nach Zielgruppen: Zeilenweise von oben nach unten (Zeilen 7 bis 14)</t>
  </si>
  <si>
    <t>STUNDEN_GRUPPE</t>
  </si>
  <si>
    <t>ANZAHL_BEHINDERTE</t>
  </si>
  <si>
    <t>INSOS Soziale Institutionen für Menschen mit Behinderung Schweiz</t>
  </si>
  <si>
    <t xml:space="preserve"> D4</t>
  </si>
  <si>
    <t xml:space="preserve"> E4</t>
  </si>
  <si>
    <t xml:space="preserve"> F4</t>
  </si>
  <si>
    <t xml:space="preserve"> G4</t>
  </si>
  <si>
    <t xml:space="preserve"> H4</t>
  </si>
  <si>
    <t xml:space="preserve"> I4</t>
  </si>
  <si>
    <t xml:space="preserve"> J4</t>
  </si>
  <si>
    <t xml:space="preserve"> K4</t>
  </si>
  <si>
    <t xml:space="preserve"> C8</t>
  </si>
  <si>
    <t xml:space="preserve"> D8</t>
  </si>
  <si>
    <t xml:space="preserve"> E8</t>
  </si>
  <si>
    <t xml:space="preserve"> F8</t>
  </si>
  <si>
    <t xml:space="preserve"> G8</t>
  </si>
  <si>
    <t xml:space="preserve"> H8</t>
  </si>
  <si>
    <t xml:space="preserve"> I8</t>
  </si>
  <si>
    <t xml:space="preserve"> J8</t>
  </si>
  <si>
    <t xml:space="preserve"> K8</t>
  </si>
  <si>
    <t xml:space="preserve"> C12</t>
  </si>
  <si>
    <t xml:space="preserve"> D12</t>
  </si>
  <si>
    <t xml:space="preserve"> E12</t>
  </si>
  <si>
    <t xml:space="preserve"> F12</t>
  </si>
  <si>
    <t xml:space="preserve"> G12</t>
  </si>
  <si>
    <t xml:space="preserve"> H12</t>
  </si>
  <si>
    <t xml:space="preserve"> I12</t>
  </si>
  <si>
    <t xml:space="preserve"> J12</t>
  </si>
  <si>
    <t xml:space="preserve"> K12</t>
  </si>
  <si>
    <t xml:space="preserve"> C13</t>
  </si>
  <si>
    <t xml:space="preserve"> D13</t>
  </si>
  <si>
    <t>Schweizerische Fachstelle für behindertengerechtes Bauen</t>
  </si>
  <si>
    <t>Schweiz. Neurofibromatose-Vereinigung, Bern</t>
  </si>
  <si>
    <t xml:space="preserve">Verein Nordliecht, Treffpunkt Nordliecht Zürich </t>
  </si>
  <si>
    <t xml:space="preserve"> E13</t>
  </si>
  <si>
    <t xml:space="preserve"> F13</t>
  </si>
  <si>
    <t xml:space="preserve"> G13</t>
  </si>
  <si>
    <t xml:space="preserve"> H13</t>
  </si>
  <si>
    <t xml:space="preserve"> I13</t>
  </si>
  <si>
    <t xml:space="preserve"> J13</t>
  </si>
  <si>
    <t xml:space="preserve"> K13</t>
  </si>
  <si>
    <t>LV-Nr.</t>
  </si>
  <si>
    <t xml:space="preserve">Stiftung  Pro Mente Sana </t>
  </si>
  <si>
    <t xml:space="preserve">Schweiz. Bibliothek für Blinde und Sehbehinderte (SBS) </t>
  </si>
  <si>
    <t xml:space="preserve">ELPOS Zürich </t>
  </si>
  <si>
    <t xml:space="preserve">ELPOS Ostschweiz </t>
  </si>
  <si>
    <t>RC Oberwallis, Gampel</t>
  </si>
  <si>
    <t>HiKi: Hilfe für hirnverletzte Kinder, Zürich</t>
  </si>
  <si>
    <t xml:space="preserve">IGS Interessengemeinschaft Sozialpsychiatrie Bern </t>
  </si>
  <si>
    <t>Schwerhörigen-Verein Sarganserland-Werdenberg</t>
  </si>
  <si>
    <t>ELPOS Bern</t>
  </si>
  <si>
    <t>insieme Uri</t>
  </si>
  <si>
    <t>ASPEDAH</t>
  </si>
  <si>
    <t>Beitragsberechtigte 
Art. 74 IVG</t>
  </si>
  <si>
    <t>Plausibilisierung der Totale</t>
  </si>
  <si>
    <t>Plausibilisierung TeilnehmerInnentage/-stunden</t>
  </si>
  <si>
    <t>Feld für Text</t>
  </si>
  <si>
    <t>Plausibilisierung Anzahl TeilnehmerInnen:</t>
  </si>
  <si>
    <t>Semesterkurse</t>
  </si>
  <si>
    <t>KlientInnenstatistik</t>
  </si>
  <si>
    <t>Kurstypen</t>
  </si>
  <si>
    <t>Kontrolle</t>
  </si>
  <si>
    <t>Für den Text</t>
  </si>
  <si>
    <t>Plausibilisierung</t>
  </si>
  <si>
    <t>Kurse</t>
  </si>
  <si>
    <t>TeilneherInnen</t>
  </si>
  <si>
    <t>TeilnehmerInnentate</t>
  </si>
  <si>
    <t>Plausibilisierung Kostenträger Leistungsstatistik</t>
  </si>
  <si>
    <t>Beratung Beh</t>
  </si>
  <si>
    <t>Treffpunkte</t>
  </si>
  <si>
    <t xml:space="preserve">Bauberatung </t>
  </si>
  <si>
    <t>Blockkurse Beh</t>
  </si>
  <si>
    <t>Tageskurse Beh</t>
  </si>
  <si>
    <t>Semesterk. Beh</t>
  </si>
  <si>
    <t>Vermittlung von Betreuungs- und Dolmetschdiensten</t>
  </si>
  <si>
    <t>Beratung und Betreuung von Behinderten&amp;Angehörigen</t>
  </si>
  <si>
    <t>Vermittlung Betr</t>
  </si>
  <si>
    <t>Schweiz. Tinnitus-Liga</t>
  </si>
  <si>
    <t>Selbsthilfezentrum Region Winterthur</t>
  </si>
  <si>
    <t>Selbsthilfezentrum Zürcher Oberland, Uster</t>
  </si>
  <si>
    <t xml:space="preserve">Verein für Hörbehinderte  Baden und Umgebung </t>
  </si>
  <si>
    <t>Schwerhörigen-Verein Basel</t>
  </si>
  <si>
    <t>Verein Treffpunkt BUELI Kloten</t>
  </si>
  <si>
    <t>visioparents</t>
  </si>
  <si>
    <t>Genossenschaft Selbstbestimmtes Leben</t>
  </si>
  <si>
    <t>Bauberatung</t>
  </si>
  <si>
    <t>insieme Limmattal und Amt</t>
  </si>
  <si>
    <t>Schwerhörigen-Verein Deutsch-Freiburg</t>
  </si>
  <si>
    <t xml:space="preserve">insieme Kanton Bern </t>
  </si>
  <si>
    <t>Tageskurse</t>
  </si>
  <si>
    <t>-</t>
  </si>
  <si>
    <t>Angehörige</t>
  </si>
  <si>
    <t>Kurstyp</t>
  </si>
  <si>
    <t>Leistungskategorie</t>
  </si>
  <si>
    <t xml:space="preserve">Schwerhörigenverein Olten und Umgebung </t>
  </si>
  <si>
    <t xml:space="preserve">Solothurnische Beratungsstelle für Sehbehinderte, Olten </t>
  </si>
  <si>
    <t>Stiftung Arkadis Freizeitclub</t>
  </si>
  <si>
    <t>Schwerhörigen-Verein Romanshorn</t>
  </si>
  <si>
    <t>Schwerhörigen-Verein Schaffhausen und Umg.</t>
  </si>
  <si>
    <t>insieme Schaffhausen</t>
  </si>
  <si>
    <t xml:space="preserve">Verein Hörbehinderter Uri Altdorf </t>
  </si>
  <si>
    <t>insieme Innerschwyz</t>
  </si>
  <si>
    <t xml:space="preserve">pro audito, Schwerhörigen-Verein St.Gallen </t>
  </si>
  <si>
    <t>OBV - Beratungs - und Sozialdienst für Blinde und Sehbehinderte, St. Gallen</t>
  </si>
  <si>
    <t>insieme Ostschweiz</t>
  </si>
  <si>
    <t xml:space="preserve">Schwerhörigen-Verein Surental und Umg. </t>
  </si>
  <si>
    <t xml:space="preserve">Schwerhörigen-Verein Thun </t>
  </si>
  <si>
    <t>Q16</t>
  </si>
  <si>
    <t>Q17</t>
  </si>
  <si>
    <t>Q19</t>
  </si>
  <si>
    <t>Q20</t>
  </si>
  <si>
    <t>Q21</t>
  </si>
  <si>
    <t>Q22</t>
  </si>
  <si>
    <t>Q23</t>
  </si>
  <si>
    <t>Q24</t>
  </si>
  <si>
    <t>Q25</t>
  </si>
  <si>
    <t>R15</t>
  </si>
  <si>
    <t>R16</t>
  </si>
  <si>
    <t>R17</t>
  </si>
  <si>
    <t>R19</t>
  </si>
  <si>
    <t>R20</t>
  </si>
  <si>
    <t>R21</t>
  </si>
  <si>
    <t>R22</t>
  </si>
  <si>
    <t>R23</t>
  </si>
  <si>
    <t>R24</t>
  </si>
  <si>
    <t>S15</t>
  </si>
  <si>
    <t>S16</t>
  </si>
  <si>
    <t>S17</t>
  </si>
  <si>
    <t>S19</t>
  </si>
  <si>
    <t>S20</t>
  </si>
  <si>
    <t>S21</t>
  </si>
  <si>
    <t>S22</t>
  </si>
  <si>
    <t>S23</t>
  </si>
  <si>
    <t>S24</t>
  </si>
  <si>
    <t>S25</t>
  </si>
  <si>
    <t>T15</t>
  </si>
  <si>
    <t>T16</t>
  </si>
  <si>
    <t>T19</t>
  </si>
  <si>
    <t>T20</t>
  </si>
  <si>
    <t>T21</t>
  </si>
  <si>
    <t>T22</t>
  </si>
  <si>
    <t>T23</t>
  </si>
  <si>
    <t>T24</t>
  </si>
  <si>
    <t>U15</t>
  </si>
  <si>
    <t>U16</t>
  </si>
  <si>
    <t>U19</t>
  </si>
  <si>
    <t>U20</t>
  </si>
  <si>
    <t>U21</t>
  </si>
  <si>
    <t>U22</t>
  </si>
  <si>
    <t>U23</t>
  </si>
  <si>
    <t>U24</t>
  </si>
  <si>
    <t>V15</t>
  </si>
  <si>
    <t>V16</t>
  </si>
  <si>
    <t>V19</t>
  </si>
  <si>
    <t>V20</t>
  </si>
  <si>
    <t>V21</t>
  </si>
  <si>
    <t>V22</t>
  </si>
  <si>
    <t>V23</t>
  </si>
  <si>
    <t>V24</t>
  </si>
  <si>
    <t>W15</t>
  </si>
  <si>
    <t>W16</t>
  </si>
  <si>
    <t>W19</t>
  </si>
  <si>
    <t>W20</t>
  </si>
  <si>
    <t>W21</t>
  </si>
  <si>
    <t>W22</t>
  </si>
  <si>
    <t>W23</t>
  </si>
  <si>
    <t>W24</t>
  </si>
  <si>
    <t>X19</t>
  </si>
  <si>
    <t>X20</t>
  </si>
  <si>
    <t>X21</t>
  </si>
  <si>
    <t>X22</t>
  </si>
  <si>
    <t>X23</t>
  </si>
  <si>
    <t>X24</t>
  </si>
  <si>
    <t>X15</t>
  </si>
  <si>
    <t>X16</t>
  </si>
  <si>
    <t>C15</t>
  </si>
  <si>
    <t>D16</t>
  </si>
  <si>
    <t>D17</t>
  </si>
  <si>
    <t>D18</t>
  </si>
  <si>
    <t>D20</t>
  </si>
  <si>
    <t>E16</t>
  </si>
  <si>
    <t>E17</t>
  </si>
  <si>
    <t>E18</t>
  </si>
  <si>
    <t>E20</t>
  </si>
  <si>
    <t>F16</t>
  </si>
  <si>
    <t>F17</t>
  </si>
  <si>
    <t>F18</t>
  </si>
  <si>
    <t>F20</t>
  </si>
  <si>
    <t>G16</t>
  </si>
  <si>
    <t>G17</t>
  </si>
  <si>
    <t>G18</t>
  </si>
  <si>
    <t>G20</t>
  </si>
  <si>
    <t>H16</t>
  </si>
  <si>
    <t>H17</t>
  </si>
  <si>
    <t>H18</t>
  </si>
  <si>
    <t>H20</t>
  </si>
  <si>
    <t>I16</t>
  </si>
  <si>
    <t>I17</t>
  </si>
  <si>
    <t>I18</t>
  </si>
  <si>
    <t>I20</t>
  </si>
  <si>
    <t>J18</t>
  </si>
  <si>
    <t xml:space="preserve">Verein Reformierte Blindenpflege  für den Kanton Zürich, Schwerzenbach </t>
  </si>
  <si>
    <t xml:space="preserve">Behindertenkonferenz Kanton Zürich BKZ </t>
  </si>
  <si>
    <t>insieme Luzern</t>
  </si>
  <si>
    <t>I32</t>
  </si>
  <si>
    <t>I33</t>
  </si>
  <si>
    <t>I34</t>
  </si>
  <si>
    <t>I35</t>
  </si>
  <si>
    <t>I36</t>
  </si>
  <si>
    <t>I37</t>
  </si>
  <si>
    <t>I38</t>
  </si>
  <si>
    <t>I39</t>
  </si>
  <si>
    <t>I40</t>
  </si>
  <si>
    <t>I41</t>
  </si>
  <si>
    <t>I42</t>
  </si>
  <si>
    <t>I43</t>
  </si>
  <si>
    <t>I44</t>
  </si>
  <si>
    <t>I45</t>
  </si>
  <si>
    <t>I46</t>
  </si>
  <si>
    <t>I47</t>
  </si>
  <si>
    <t>K26</t>
  </si>
  <si>
    <t>K27</t>
  </si>
  <si>
    <t>K28</t>
  </si>
  <si>
    <t>K29</t>
  </si>
  <si>
    <t>K30</t>
  </si>
  <si>
    <t>K31</t>
  </si>
  <si>
    <t>K32</t>
  </si>
  <si>
    <t>K33</t>
  </si>
  <si>
    <t>K34</t>
  </si>
  <si>
    <t>K35</t>
  </si>
  <si>
    <t>K36</t>
  </si>
  <si>
    <t>K37</t>
  </si>
  <si>
    <t>K38</t>
  </si>
  <si>
    <t>K39</t>
  </si>
  <si>
    <t>K40</t>
  </si>
  <si>
    <t>K41</t>
  </si>
  <si>
    <t>K42</t>
  </si>
  <si>
    <t>K43</t>
  </si>
  <si>
    <t>K44</t>
  </si>
  <si>
    <t>K45</t>
  </si>
  <si>
    <t>K46</t>
  </si>
  <si>
    <t>K47</t>
  </si>
  <si>
    <t>insieme Rheinfelden</t>
  </si>
  <si>
    <t xml:space="preserve">Association romande Pro Mente Sana </t>
  </si>
  <si>
    <t>Fondation Estérelle-Arcadie</t>
  </si>
  <si>
    <t>ELPOS Aargau/Solothurn</t>
  </si>
  <si>
    <t>Hilfsverein für Psychischkranke Schaffhausen</t>
  </si>
  <si>
    <t>FS Basel, Kaiseraugst</t>
  </si>
  <si>
    <t>FS Genève, Tavannes</t>
  </si>
  <si>
    <t>FS Jura - AJTCC, Courtetelle</t>
  </si>
  <si>
    <t>FS St.Gallen, Goldach</t>
  </si>
  <si>
    <t>FS Sezione Ticino, Biasca</t>
  </si>
  <si>
    <t>FS VD/NE/FR - AVTCC, Lausanne</t>
  </si>
  <si>
    <t>FS ZH - ZVHM, Zürich</t>
  </si>
  <si>
    <t>IGGH</t>
  </si>
  <si>
    <t>Ligue genevoise contre le rhumatisme</t>
  </si>
  <si>
    <t>ABA - Association pour le bien des Aveugles et malvoyants (Bibliothèque Braille Romande et livre parlé)</t>
  </si>
  <si>
    <t>Caritas-Handicap</t>
  </si>
  <si>
    <t>CFR Genève, Genève</t>
  </si>
  <si>
    <t>AGM - Association Genevoise des Malentendants</t>
  </si>
  <si>
    <t>E31</t>
  </si>
  <si>
    <t>E32</t>
  </si>
  <si>
    <t>E33</t>
  </si>
  <si>
    <t>E34</t>
  </si>
  <si>
    <t>E35</t>
  </si>
  <si>
    <t>E36</t>
  </si>
  <si>
    <t>E37</t>
  </si>
  <si>
    <t>E38</t>
  </si>
  <si>
    <t>E39</t>
  </si>
  <si>
    <t>E40</t>
  </si>
  <si>
    <t>E41</t>
  </si>
  <si>
    <t>E42</t>
  </si>
  <si>
    <t>E43</t>
  </si>
  <si>
    <t>F19</t>
  </si>
  <si>
    <t>G19</t>
  </si>
  <si>
    <t>G21</t>
  </si>
  <si>
    <t>G22</t>
  </si>
  <si>
    <t>G23</t>
  </si>
  <si>
    <t>G24</t>
  </si>
  <si>
    <t>G25</t>
  </si>
  <si>
    <t>G26</t>
  </si>
  <si>
    <t>G27</t>
  </si>
  <si>
    <t>G28</t>
  </si>
  <si>
    <t>G29</t>
  </si>
  <si>
    <t>G30</t>
  </si>
  <si>
    <t>G31</t>
  </si>
  <si>
    <t>G32</t>
  </si>
  <si>
    <t>G33</t>
  </si>
  <si>
    <t>G34</t>
  </si>
  <si>
    <t>G35</t>
  </si>
  <si>
    <t>G36</t>
  </si>
  <si>
    <t>G37</t>
  </si>
  <si>
    <t>G38</t>
  </si>
  <si>
    <t>G39</t>
  </si>
  <si>
    <t>G40</t>
  </si>
  <si>
    <t>G41</t>
  </si>
  <si>
    <t>G42</t>
  </si>
  <si>
    <t>G43</t>
  </si>
  <si>
    <t>D15</t>
  </si>
  <si>
    <t>E15</t>
  </si>
  <si>
    <t>F15</t>
  </si>
  <si>
    <t>G15</t>
  </si>
  <si>
    <t>H15</t>
  </si>
  <si>
    <t>I15</t>
  </si>
  <si>
    <t>H19</t>
  </si>
  <si>
    <t>I19</t>
  </si>
  <si>
    <t>B5</t>
  </si>
  <si>
    <t>B6</t>
  </si>
  <si>
    <t>Procap Fribourg, 1700 Fribourg</t>
  </si>
  <si>
    <t>Procap Genève, 1211 Genève 4</t>
  </si>
  <si>
    <t>Procap La Chaux-de-Fonds, 2300 La Chaux-de-Fonds</t>
  </si>
  <si>
    <t>CFR de la Côte, Gland</t>
  </si>
  <si>
    <t>Association Cerebral Valais</t>
  </si>
  <si>
    <t>Association Cerebral Neuchâtel</t>
  </si>
  <si>
    <t>Procap Ticino, 6900 Lugano</t>
  </si>
  <si>
    <t>CFR Fribourg, Fribourg</t>
  </si>
  <si>
    <t>Procap Littoral Neuchâtelois, 2000 Neuchâtel</t>
  </si>
  <si>
    <t>Procap Nord vaudois, 1400 Yverdon</t>
  </si>
  <si>
    <t>Anyatas Association</t>
  </si>
  <si>
    <t>Procap March-Höfe, 8808 Pfäffikon SZ inkl. Schwyz</t>
  </si>
  <si>
    <t>Procap Oberwallis, 3900 Brig</t>
  </si>
  <si>
    <t>RC St.Gallen, St. Gallen</t>
  </si>
  <si>
    <t>Procap Grischun, 7000 Chur</t>
  </si>
  <si>
    <t>RC Aargau, Aarau</t>
  </si>
  <si>
    <t>Procap Luzern, 6003 Luzern</t>
  </si>
  <si>
    <t>RC Zentralschweiz, Kriens</t>
  </si>
  <si>
    <t>Procap - Schweizerischer Invaliden-Verband</t>
  </si>
  <si>
    <t>RC Solothurn, Oberbipp</t>
  </si>
  <si>
    <t>Procap Sargans-Werdenberg, 7320 Sargans</t>
  </si>
  <si>
    <t>Ostschweizerische Diabetes-Gesellschaft</t>
  </si>
  <si>
    <t>Procap St. Gallen-Appenzell, 9000 St. Gallen</t>
  </si>
  <si>
    <t>RC Chur, Chur</t>
  </si>
  <si>
    <t>RT Zürich (Taucher), Männedorf</t>
  </si>
  <si>
    <t>RC Zürich, Zürich</t>
  </si>
  <si>
    <t>Vereinigung Cerebral Zentralschweiz</t>
  </si>
  <si>
    <t>RSC Bern, Bern</t>
  </si>
  <si>
    <t>Vereinigung Cerebral Aargau</t>
  </si>
  <si>
    <t xml:space="preserve">BSZH Beratungsstelle für Gehörlose Zürich </t>
  </si>
  <si>
    <t>CFR Valais romand, Savièse</t>
  </si>
  <si>
    <t>RC Thurgau, Thurgau</t>
  </si>
  <si>
    <t>Vereinigung Cerebral Graubünden</t>
  </si>
  <si>
    <t>BSfHG Berufschule für Hörgeschädigte</t>
  </si>
  <si>
    <t>Vereinigung Cerebral Freiburg</t>
  </si>
  <si>
    <t>RCT Aargau (Tennis), Aarau</t>
  </si>
  <si>
    <t>Fondation A Capella</t>
  </si>
  <si>
    <t>Blockkurse für Behinderte und Angehörige</t>
  </si>
  <si>
    <t>Tageskurse für Behinderte und Angehörige</t>
  </si>
  <si>
    <t>Semester-/Jahreskurse für Behinderte und Angehörige</t>
  </si>
  <si>
    <t>Blockkurse zur Fortbildung von Fach- und Sekretariatspersonal</t>
  </si>
  <si>
    <t>Tageskurse zur Fortbildung von Fach- und Sekretariatspersonal</t>
  </si>
  <si>
    <t>Semester-/Jahreskurse zur Fortbildung von Fach- und Sekretariatspersonal</t>
  </si>
  <si>
    <t>Leistungen zur Unterstützung und Förderung der Eingliederung Behinderter</t>
  </si>
  <si>
    <t>Begleitetes Wohnen</t>
  </si>
  <si>
    <t>Mittelbeschaffung</t>
  </si>
  <si>
    <t>V</t>
  </si>
  <si>
    <t>Perioden ID</t>
  </si>
  <si>
    <t>BSV-Nr.</t>
  </si>
  <si>
    <t>P-ID</t>
  </si>
  <si>
    <t>Kurse zur Fortbildung von Fach- und Sekretariatspersonal für das Jahr</t>
  </si>
  <si>
    <t>VERTRAG_NR</t>
  </si>
  <si>
    <t>PERIODE_ID</t>
  </si>
  <si>
    <t>JAHR</t>
  </si>
  <si>
    <t>BSV_NR</t>
  </si>
  <si>
    <t>TABELLE</t>
  </si>
  <si>
    <t>FELD</t>
  </si>
  <si>
    <t>WERT</t>
  </si>
  <si>
    <t>ORGANISATIONSDATEN</t>
  </si>
  <si>
    <t>ANZ_MITARBEITER</t>
  </si>
  <si>
    <t>ANZ_MITARBEITER_BEHINDERT</t>
  </si>
  <si>
    <t>ANZ_MITARBEITER_FREIWILLIG</t>
  </si>
  <si>
    <t>ANZ_MA_FREIWILLIG_BEHINDERT</t>
  </si>
  <si>
    <t>ANZ_MITARBEITER_EHRENAMTLICH</t>
  </si>
  <si>
    <t>ANZ_MA_EHRENAMTLICH_BEHINDERT</t>
  </si>
  <si>
    <t>PERSONALAUFWAND</t>
  </si>
  <si>
    <t>BETRIEBSAUFWAND</t>
  </si>
  <si>
    <t>BETRIEBSERTRAG</t>
  </si>
  <si>
    <t>BEITRAG_IV</t>
  </si>
  <si>
    <t>Transportdienste</t>
  </si>
  <si>
    <t>BEITRAG_AHV</t>
  </si>
  <si>
    <t>KOSTENTRAEGER_ID</t>
  </si>
  <si>
    <t>KOSTENRECHNUNG_KOSTENTRAEGER</t>
  </si>
  <si>
    <t>LOHNAUFWAND</t>
  </si>
  <si>
    <t>Spaltenweise von links nach rechts</t>
  </si>
  <si>
    <t>VERSICHERUNGSAUFWAND</t>
  </si>
  <si>
    <t>PERSONALAUFWAND_REST</t>
  </si>
  <si>
    <t>HONORARE</t>
  </si>
  <si>
    <t>RAUMAUFWAND</t>
  </si>
  <si>
    <t>SACHAUFWAND_REST</t>
  </si>
  <si>
    <t>ABSCHREIBUNGEN</t>
  </si>
  <si>
    <t>ADRESSE</t>
  </si>
  <si>
    <t>C4</t>
  </si>
  <si>
    <t>C5</t>
  </si>
  <si>
    <t>C6</t>
  </si>
  <si>
    <t>C7</t>
  </si>
  <si>
    <t>C8</t>
  </si>
  <si>
    <t>C9</t>
  </si>
  <si>
    <t>C10</t>
  </si>
  <si>
    <t>C11</t>
  </si>
  <si>
    <t>C12</t>
  </si>
  <si>
    <t>C13</t>
  </si>
  <si>
    <t>C14</t>
  </si>
  <si>
    <t>D4</t>
  </si>
  <si>
    <t>D5</t>
  </si>
  <si>
    <t>D6</t>
  </si>
  <si>
    <t>D7</t>
  </si>
  <si>
    <t>D8</t>
  </si>
  <si>
    <t>D9</t>
  </si>
  <si>
    <t>D10</t>
  </si>
  <si>
    <t>D11</t>
  </si>
  <si>
    <t>D12</t>
  </si>
  <si>
    <t>D13</t>
  </si>
  <si>
    <t>D14</t>
  </si>
  <si>
    <t>E4</t>
  </si>
  <si>
    <t>E5</t>
  </si>
  <si>
    <t>E6</t>
  </si>
  <si>
    <t>E7</t>
  </si>
  <si>
    <t>E8</t>
  </si>
  <si>
    <t>E9</t>
  </si>
  <si>
    <t>E10</t>
  </si>
  <si>
    <t>E11</t>
  </si>
  <si>
    <t>E12</t>
  </si>
  <si>
    <t>E13</t>
  </si>
  <si>
    <t>E14</t>
  </si>
  <si>
    <t>F4</t>
  </si>
  <si>
    <t>F5</t>
  </si>
  <si>
    <t>F6</t>
  </si>
  <si>
    <t>F7</t>
  </si>
  <si>
    <t>F8</t>
  </si>
  <si>
    <t>F9</t>
  </si>
  <si>
    <t>F10</t>
  </si>
  <si>
    <t>F11</t>
  </si>
  <si>
    <t>F12</t>
  </si>
  <si>
    <t>F13</t>
  </si>
  <si>
    <t>F14</t>
  </si>
  <si>
    <t>G4</t>
  </si>
  <si>
    <t>G5</t>
  </si>
  <si>
    <t>G6</t>
  </si>
  <si>
    <t>G7</t>
  </si>
  <si>
    <t>G8</t>
  </si>
  <si>
    <t>G9</t>
  </si>
  <si>
    <t>G10</t>
  </si>
  <si>
    <t>G11</t>
  </si>
  <si>
    <t>G12</t>
  </si>
  <si>
    <t>G13</t>
  </si>
  <si>
    <t>G14</t>
  </si>
  <si>
    <t>H4</t>
  </si>
  <si>
    <t>H5</t>
  </si>
  <si>
    <t>H6</t>
  </si>
  <si>
    <t>H7</t>
  </si>
  <si>
    <t>H8</t>
  </si>
  <si>
    <t>H9</t>
  </si>
  <si>
    <t>H10</t>
  </si>
  <si>
    <t>H11</t>
  </si>
  <si>
    <t>H12</t>
  </si>
  <si>
    <t>H13</t>
  </si>
  <si>
    <t>H14</t>
  </si>
  <si>
    <t>I4</t>
  </si>
  <si>
    <t>I5</t>
  </si>
  <si>
    <t>I6</t>
  </si>
  <si>
    <t>I7</t>
  </si>
  <si>
    <t>I8</t>
  </si>
  <si>
    <t>I9</t>
  </si>
  <si>
    <t>I10</t>
  </si>
  <si>
    <t>I11</t>
  </si>
  <si>
    <t>I12</t>
  </si>
  <si>
    <t>I13</t>
  </si>
  <si>
    <t>I14</t>
  </si>
  <si>
    <t>J4</t>
  </si>
  <si>
    <t>J5</t>
  </si>
  <si>
    <t>J6</t>
  </si>
  <si>
    <t>J7</t>
  </si>
  <si>
    <t>J8</t>
  </si>
  <si>
    <t>J9</t>
  </si>
  <si>
    <t>J10</t>
  </si>
  <si>
    <t>J11</t>
  </si>
  <si>
    <t>J12</t>
  </si>
  <si>
    <t>J13</t>
  </si>
  <si>
    <t>J14</t>
  </si>
  <si>
    <t>K4</t>
  </si>
  <si>
    <t>K5</t>
  </si>
  <si>
    <t>K6</t>
  </si>
  <si>
    <t>K7</t>
  </si>
  <si>
    <t>K8</t>
  </si>
  <si>
    <t>K9</t>
  </si>
  <si>
    <t>K10</t>
  </si>
  <si>
    <t>K11</t>
  </si>
  <si>
    <t>K12</t>
  </si>
  <si>
    <t>K13</t>
  </si>
  <si>
    <t>K14</t>
  </si>
  <si>
    <t>L4</t>
  </si>
  <si>
    <t>L5</t>
  </si>
  <si>
    <t>L6</t>
  </si>
  <si>
    <t>L7</t>
  </si>
  <si>
    <t>L8</t>
  </si>
  <si>
    <t>L9</t>
  </si>
  <si>
    <t>L10</t>
  </si>
  <si>
    <t>L11</t>
  </si>
  <si>
    <t>L12</t>
  </si>
  <si>
    <t>L13</t>
  </si>
  <si>
    <t>L14</t>
  </si>
  <si>
    <t>M4</t>
  </si>
  <si>
    <t>M5</t>
  </si>
  <si>
    <t>M6</t>
  </si>
  <si>
    <t>M7</t>
  </si>
  <si>
    <t>M8</t>
  </si>
  <si>
    <t>M9</t>
  </si>
  <si>
    <t>M10</t>
  </si>
  <si>
    <t>M11</t>
  </si>
  <si>
    <t>M12</t>
  </si>
  <si>
    <t>M13</t>
  </si>
  <si>
    <t>M14</t>
  </si>
  <si>
    <t>N4</t>
  </si>
  <si>
    <t>N5</t>
  </si>
  <si>
    <t>N6</t>
  </si>
  <si>
    <t>N7</t>
  </si>
  <si>
    <t>N8</t>
  </si>
  <si>
    <t>N9</t>
  </si>
  <si>
    <t>N10</t>
  </si>
  <si>
    <t>N11</t>
  </si>
  <si>
    <t>N12</t>
  </si>
  <si>
    <t>N13</t>
  </si>
  <si>
    <t>N14</t>
  </si>
  <si>
    <t>O4</t>
  </si>
  <si>
    <t>O5</t>
  </si>
  <si>
    <t>O6</t>
  </si>
  <si>
    <t>O7</t>
  </si>
  <si>
    <t>O8</t>
  </si>
  <si>
    <t>O9</t>
  </si>
  <si>
    <t>O10</t>
  </si>
  <si>
    <t>O11</t>
  </si>
  <si>
    <t>O12</t>
  </si>
  <si>
    <t>O13</t>
  </si>
  <si>
    <t>O14</t>
  </si>
  <si>
    <t>P4</t>
  </si>
  <si>
    <t>P5</t>
  </si>
  <si>
    <t>P6</t>
  </si>
  <si>
    <t>P7</t>
  </si>
  <si>
    <t>P8</t>
  </si>
  <si>
    <t>P9</t>
  </si>
  <si>
    <t>P10</t>
  </si>
  <si>
    <t>P11</t>
  </si>
  <si>
    <t>P12</t>
  </si>
  <si>
    <t>P13</t>
  </si>
  <si>
    <t>P14</t>
  </si>
  <si>
    <t>Q4</t>
  </si>
  <si>
    <t>Q5</t>
  </si>
  <si>
    <t>Q6</t>
  </si>
  <si>
    <t>Q7</t>
  </si>
  <si>
    <t>Q8</t>
  </si>
  <si>
    <t>Q9</t>
  </si>
  <si>
    <t>Q10</t>
  </si>
  <si>
    <t>Q11</t>
  </si>
  <si>
    <t>Q12</t>
  </si>
  <si>
    <t>Q13</t>
  </si>
  <si>
    <t>Q14</t>
  </si>
  <si>
    <t>R4</t>
  </si>
  <si>
    <t>R5</t>
  </si>
  <si>
    <t>R6</t>
  </si>
  <si>
    <t>R7</t>
  </si>
  <si>
    <t>R8</t>
  </si>
  <si>
    <t>R9</t>
  </si>
  <si>
    <t>R10</t>
  </si>
  <si>
    <t>R11</t>
  </si>
  <si>
    <t>R12</t>
  </si>
  <si>
    <t>R13</t>
  </si>
  <si>
    <t>R14</t>
  </si>
  <si>
    <t>S4</t>
  </si>
  <si>
    <t>S5</t>
  </si>
  <si>
    <t>S6</t>
  </si>
  <si>
    <t>S7</t>
  </si>
  <si>
    <t>S8</t>
  </si>
  <si>
    <t>S9</t>
  </si>
  <si>
    <t>S10</t>
  </si>
  <si>
    <t>S11</t>
  </si>
  <si>
    <t>S12</t>
  </si>
  <si>
    <t>S13</t>
  </si>
  <si>
    <t>S14</t>
  </si>
  <si>
    <t>T4</t>
  </si>
  <si>
    <t>T5</t>
  </si>
  <si>
    <t>T6</t>
  </si>
  <si>
    <t>T7</t>
  </si>
  <si>
    <t>T8</t>
  </si>
  <si>
    <t>T9</t>
  </si>
  <si>
    <t>T10</t>
  </si>
  <si>
    <t>T11</t>
  </si>
  <si>
    <t>T12</t>
  </si>
  <si>
    <t>T13</t>
  </si>
  <si>
    <t>T14</t>
  </si>
  <si>
    <t>U4</t>
  </si>
  <si>
    <t>U5</t>
  </si>
  <si>
    <t>U6</t>
  </si>
  <si>
    <t>U7</t>
  </si>
  <si>
    <t>U8</t>
  </si>
  <si>
    <t>U9</t>
  </si>
  <si>
    <t>U10</t>
  </si>
  <si>
    <t>U11</t>
  </si>
  <si>
    <t>U12</t>
  </si>
  <si>
    <t>U13</t>
  </si>
  <si>
    <t>U14</t>
  </si>
  <si>
    <t>V4</t>
  </si>
  <si>
    <t>V5</t>
  </si>
  <si>
    <t>V6</t>
  </si>
  <si>
    <t>V7</t>
  </si>
  <si>
    <t>V8</t>
  </si>
  <si>
    <t>V9</t>
  </si>
  <si>
    <t>V10</t>
  </si>
  <si>
    <t>V11</t>
  </si>
  <si>
    <t>V12</t>
  </si>
  <si>
    <t>V13</t>
  </si>
  <si>
    <t>V14</t>
  </si>
  <si>
    <t>W4</t>
  </si>
  <si>
    <t>W5</t>
  </si>
  <si>
    <t>W6</t>
  </si>
  <si>
    <t>W7</t>
  </si>
  <si>
    <t>W8</t>
  </si>
  <si>
    <t>W9</t>
  </si>
  <si>
    <t>W10</t>
  </si>
  <si>
    <t>W11</t>
  </si>
  <si>
    <t>W12</t>
  </si>
  <si>
    <t>W13</t>
  </si>
  <si>
    <t>W14</t>
  </si>
  <si>
    <t>X4</t>
  </si>
  <si>
    <t>X5</t>
  </si>
  <si>
    <t>X6</t>
  </si>
  <si>
    <t>X7</t>
  </si>
  <si>
    <t>X8</t>
  </si>
  <si>
    <t>X9</t>
  </si>
  <si>
    <t>X10</t>
  </si>
  <si>
    <t>X11</t>
  </si>
  <si>
    <t>X12</t>
  </si>
  <si>
    <t>X13</t>
  </si>
  <si>
    <t>X14</t>
  </si>
  <si>
    <t>Y4</t>
  </si>
  <si>
    <t>Y5</t>
  </si>
  <si>
    <t>Y6</t>
  </si>
  <si>
    <t>Y7</t>
  </si>
  <si>
    <t>Y8</t>
  </si>
  <si>
    <t>Y9</t>
  </si>
  <si>
    <t>Y10</t>
  </si>
  <si>
    <t>Y11</t>
  </si>
  <si>
    <t>Y12</t>
  </si>
  <si>
    <t>Y13</t>
  </si>
  <si>
    <t>Y14</t>
  </si>
  <si>
    <t>Z4</t>
  </si>
  <si>
    <t>Z5</t>
  </si>
  <si>
    <t>Z6</t>
  </si>
  <si>
    <t>Z7</t>
  </si>
  <si>
    <t>Z8</t>
  </si>
  <si>
    <t>Z9</t>
  </si>
  <si>
    <t>Z10</t>
  </si>
  <si>
    <t>Z11</t>
  </si>
  <si>
    <t>Z12</t>
  </si>
  <si>
    <t>Z13</t>
  </si>
  <si>
    <t>Z14</t>
  </si>
  <si>
    <t>AA4</t>
  </si>
  <si>
    <t>AA5</t>
  </si>
  <si>
    <t>AA6</t>
  </si>
  <si>
    <t>AA7</t>
  </si>
  <si>
    <t>AA8</t>
  </si>
  <si>
    <t>AA9</t>
  </si>
  <si>
    <t>AA10</t>
  </si>
  <si>
    <t>AA11</t>
  </si>
  <si>
    <t>AA12</t>
  </si>
  <si>
    <t>AA13</t>
  </si>
  <si>
    <t>AA14</t>
  </si>
  <si>
    <t>AB4</t>
  </si>
  <si>
    <t>AB5</t>
  </si>
  <si>
    <t>AB6</t>
  </si>
  <si>
    <t>AB7</t>
  </si>
  <si>
    <t>AB8</t>
  </si>
  <si>
    <t>AB9</t>
  </si>
  <si>
    <t>AB10</t>
  </si>
  <si>
    <t>AB11</t>
  </si>
  <si>
    <t>AB12</t>
  </si>
  <si>
    <t>AB13</t>
  </si>
  <si>
    <t>AB14</t>
  </si>
  <si>
    <t>AC4</t>
  </si>
  <si>
    <t>AC5</t>
  </si>
  <si>
    <t>AC6</t>
  </si>
  <si>
    <t>AC7</t>
  </si>
  <si>
    <t>AC8</t>
  </si>
  <si>
    <t>AC9</t>
  </si>
  <si>
    <t>AC10</t>
  </si>
  <si>
    <t>AC11</t>
  </si>
  <si>
    <t>AC12</t>
  </si>
  <si>
    <t>AC13</t>
  </si>
  <si>
    <t>AC14</t>
  </si>
  <si>
    <t>AD4</t>
  </si>
  <si>
    <t>AD5</t>
  </si>
  <si>
    <t>AD6</t>
  </si>
  <si>
    <t>AD7</t>
  </si>
  <si>
    <t>AD8</t>
  </si>
  <si>
    <t>AD9</t>
  </si>
  <si>
    <t>AD10</t>
  </si>
  <si>
    <t>AD11</t>
  </si>
  <si>
    <t>AD12</t>
  </si>
  <si>
    <t>AD13</t>
  </si>
  <si>
    <t>AD14</t>
  </si>
  <si>
    <t>AE4</t>
  </si>
  <si>
    <t>AE5</t>
  </si>
  <si>
    <t>AE6</t>
  </si>
  <si>
    <t>AE7</t>
  </si>
  <si>
    <t>AE8</t>
  </si>
  <si>
    <t>AE9</t>
  </si>
  <si>
    <t>AE10</t>
  </si>
  <si>
    <t>AE11</t>
  </si>
  <si>
    <t>AE12</t>
  </si>
  <si>
    <t>AE13</t>
  </si>
  <si>
    <t>AE14</t>
  </si>
  <si>
    <t>AF4</t>
  </si>
  <si>
    <t>AF5</t>
  </si>
  <si>
    <t>AF6</t>
  </si>
  <si>
    <t>AF7</t>
  </si>
  <si>
    <t>AF8</t>
  </si>
  <si>
    <t>AF9</t>
  </si>
  <si>
    <t>AF10</t>
  </si>
  <si>
    <t>AF11</t>
  </si>
  <si>
    <t>AF12</t>
  </si>
  <si>
    <t>AF13</t>
  </si>
  <si>
    <t>C44</t>
  </si>
  <si>
    <t>C45</t>
  </si>
  <si>
    <t>C46</t>
  </si>
  <si>
    <t>D44</t>
  </si>
  <si>
    <t>D45</t>
  </si>
  <si>
    <t>D46</t>
  </si>
  <si>
    <t>E44</t>
  </si>
  <si>
    <t>E45</t>
  </si>
  <si>
    <t>E46</t>
  </si>
  <si>
    <t>AF14</t>
  </si>
  <si>
    <t>AG4</t>
  </si>
  <si>
    <t>AG5</t>
  </si>
  <si>
    <t>AG6</t>
  </si>
  <si>
    <t>AG7</t>
  </si>
  <si>
    <t>AG8</t>
  </si>
  <si>
    <t>AG9</t>
  </si>
  <si>
    <t>AG10</t>
  </si>
  <si>
    <t>AG11</t>
  </si>
  <si>
    <t>AG12</t>
  </si>
  <si>
    <t>AG13</t>
  </si>
  <si>
    <t>AG14</t>
  </si>
  <si>
    <t>AH4</t>
  </si>
  <si>
    <t>AH5</t>
  </si>
  <si>
    <t>AH6</t>
  </si>
  <si>
    <t>AH7</t>
  </si>
  <si>
    <t>AH8</t>
  </si>
  <si>
    <t>AH9</t>
  </si>
  <si>
    <t>AH10</t>
  </si>
  <si>
    <t>AH11</t>
  </si>
  <si>
    <t>AH12</t>
  </si>
  <si>
    <t>AH13</t>
  </si>
  <si>
    <t>AH14</t>
  </si>
  <si>
    <t>AI4</t>
  </si>
  <si>
    <t>AI5</t>
  </si>
  <si>
    <t>AI6</t>
  </si>
  <si>
    <t>AI7</t>
  </si>
  <si>
    <t>AI8</t>
  </si>
  <si>
    <t>AI9</t>
  </si>
  <si>
    <t>AI10</t>
  </si>
  <si>
    <t>AI11</t>
  </si>
  <si>
    <t>AI12</t>
  </si>
  <si>
    <t>AI13</t>
  </si>
  <si>
    <t>AI14</t>
  </si>
  <si>
    <t>AJ4</t>
  </si>
  <si>
    <t>AJ5</t>
  </si>
  <si>
    <t>AJ6</t>
  </si>
  <si>
    <t>AJ7</t>
  </si>
  <si>
    <t>AJ8</t>
  </si>
  <si>
    <t>AJ9</t>
  </si>
  <si>
    <t>AJ10</t>
  </si>
  <si>
    <t>AJ11</t>
  </si>
  <si>
    <t>AJ12</t>
  </si>
  <si>
    <t>AJ13</t>
  </si>
  <si>
    <t>AJ14</t>
  </si>
  <si>
    <t>AK4</t>
  </si>
  <si>
    <t>AK5</t>
  </si>
  <si>
    <t>AK6</t>
  </si>
  <si>
    <t>AK7</t>
  </si>
  <si>
    <t>AK8</t>
  </si>
  <si>
    <t>AK9</t>
  </si>
  <si>
    <t>AK10</t>
  </si>
  <si>
    <t>AK11</t>
  </si>
  <si>
    <t>AK12</t>
  </si>
  <si>
    <t>AK13</t>
  </si>
  <si>
    <t>AK14</t>
  </si>
  <si>
    <t>AL4</t>
  </si>
  <si>
    <t>AL5</t>
  </si>
  <si>
    <t>AL6</t>
  </si>
  <si>
    <t>AL7</t>
  </si>
  <si>
    <t>AL8</t>
  </si>
  <si>
    <t>AL9</t>
  </si>
  <si>
    <t>AL10</t>
  </si>
  <si>
    <t>AL11</t>
  </si>
  <si>
    <t>AL12</t>
  </si>
  <si>
    <t>AL13</t>
  </si>
  <si>
    <t>AL14</t>
  </si>
  <si>
    <t>AM4</t>
  </si>
  <si>
    <t>AM5</t>
  </si>
  <si>
    <t>AM6</t>
  </si>
  <si>
    <t>AM7</t>
  </si>
  <si>
    <t>AM8</t>
  </si>
  <si>
    <t>AM9</t>
  </si>
  <si>
    <t>AM10</t>
  </si>
  <si>
    <t>AM11</t>
  </si>
  <si>
    <t>AM12</t>
  </si>
  <si>
    <t>AM13</t>
  </si>
  <si>
    <t>AM14</t>
  </si>
  <si>
    <t>AN4</t>
  </si>
  <si>
    <t>AN5</t>
  </si>
  <si>
    <t>AN6</t>
  </si>
  <si>
    <t>AN7</t>
  </si>
  <si>
    <t>AN8</t>
  </si>
  <si>
    <t>AN9</t>
  </si>
  <si>
    <t>AN10</t>
  </si>
  <si>
    <t>AN11</t>
  </si>
  <si>
    <t>AN12</t>
  </si>
  <si>
    <t>AN13</t>
  </si>
  <si>
    <t>AN14</t>
  </si>
  <si>
    <t>AO4</t>
  </si>
  <si>
    <t>AO5</t>
  </si>
  <si>
    <t>AO6</t>
  </si>
  <si>
    <t>AO7</t>
  </si>
  <si>
    <t>AO8</t>
  </si>
  <si>
    <t>AO9</t>
  </si>
  <si>
    <t>AO10</t>
  </si>
  <si>
    <t>AO11</t>
  </si>
  <si>
    <t>AO12</t>
  </si>
  <si>
    <t>AO13</t>
  </si>
  <si>
    <t>AO14</t>
  </si>
  <si>
    <t>AP4</t>
  </si>
  <si>
    <t>AP5</t>
  </si>
  <si>
    <t>AP6</t>
  </si>
  <si>
    <t>AP7</t>
  </si>
  <si>
    <t>AP8</t>
  </si>
  <si>
    <t>AP9</t>
  </si>
  <si>
    <t>AP10</t>
  </si>
  <si>
    <t>AP11</t>
  </si>
  <si>
    <t>AP12</t>
  </si>
  <si>
    <t>AP13</t>
  </si>
  <si>
    <t>AP14</t>
  </si>
  <si>
    <t>AQ4</t>
  </si>
  <si>
    <t>AQ5</t>
  </si>
  <si>
    <t>AQ6</t>
  </si>
  <si>
    <t>AQ7</t>
  </si>
  <si>
    <t>AQ8</t>
  </si>
  <si>
    <t>AQ9</t>
  </si>
  <si>
    <t>AQ10</t>
  </si>
  <si>
    <t>AQ11</t>
  </si>
  <si>
    <t>AQ12</t>
  </si>
  <si>
    <t>AQ13</t>
  </si>
  <si>
    <t>AQ14</t>
  </si>
  <si>
    <t>AR4</t>
  </si>
  <si>
    <t>AR5</t>
  </si>
  <si>
    <t>AR6</t>
  </si>
  <si>
    <t>AR7</t>
  </si>
  <si>
    <t>AR8</t>
  </si>
  <si>
    <t>AR9</t>
  </si>
  <si>
    <t>AR10</t>
  </si>
  <si>
    <t>AR11</t>
  </si>
  <si>
    <t>AR12</t>
  </si>
  <si>
    <t>AR13</t>
  </si>
  <si>
    <t>AR14</t>
  </si>
  <si>
    <t>AS4</t>
  </si>
  <si>
    <t>AS5</t>
  </si>
  <si>
    <t>AS6</t>
  </si>
  <si>
    <t>AS7</t>
  </si>
  <si>
    <t>AS8</t>
  </si>
  <si>
    <t>AS9</t>
  </si>
  <si>
    <t>AS10</t>
  </si>
  <si>
    <t>AS11</t>
  </si>
  <si>
    <t>AS12</t>
  </si>
  <si>
    <t>AS13</t>
  </si>
  <si>
    <t>AS14</t>
  </si>
  <si>
    <t>AT4</t>
  </si>
  <si>
    <t>AT5</t>
  </si>
  <si>
    <t>AT6</t>
  </si>
  <si>
    <t>AT7</t>
  </si>
  <si>
    <t>AT8</t>
  </si>
  <si>
    <t>AT9</t>
  </si>
  <si>
    <t>AT10</t>
  </si>
  <si>
    <t>AT11</t>
  </si>
  <si>
    <t>AT12</t>
  </si>
  <si>
    <t>AT13</t>
  </si>
  <si>
    <t>AT14</t>
  </si>
  <si>
    <t>AU4</t>
  </si>
  <si>
    <t>AU5</t>
  </si>
  <si>
    <t>AU6</t>
  </si>
  <si>
    <t>AU7</t>
  </si>
  <si>
    <t>AU8</t>
  </si>
  <si>
    <t>AU9</t>
  </si>
  <si>
    <t>AU10</t>
  </si>
  <si>
    <t>AU11</t>
  </si>
  <si>
    <t>AU12</t>
  </si>
  <si>
    <t>AU13</t>
  </si>
  <si>
    <t>AU14</t>
  </si>
  <si>
    <t>AV4</t>
  </si>
  <si>
    <t>AV5</t>
  </si>
  <si>
    <t>AV6</t>
  </si>
  <si>
    <t>AV7</t>
  </si>
  <si>
    <t>AV8</t>
  </si>
  <si>
    <t>AV9</t>
  </si>
  <si>
    <t>AV10</t>
  </si>
  <si>
    <t>AV11</t>
  </si>
  <si>
    <t>AV12</t>
  </si>
  <si>
    <t>AV13</t>
  </si>
  <si>
    <t>AV14</t>
  </si>
  <si>
    <t>AW4</t>
  </si>
  <si>
    <t>AW5</t>
  </si>
  <si>
    <t>AW6</t>
  </si>
  <si>
    <t>AW7</t>
  </si>
  <si>
    <t>AW8</t>
  </si>
  <si>
    <t>AW9</t>
  </si>
  <si>
    <t>AW10</t>
  </si>
  <si>
    <t>AW11</t>
  </si>
  <si>
    <t>AW12</t>
  </si>
  <si>
    <t>AW13</t>
  </si>
  <si>
    <t>AW14</t>
  </si>
  <si>
    <t>AX4</t>
  </si>
  <si>
    <t>AX5</t>
  </si>
  <si>
    <t>AX6</t>
  </si>
  <si>
    <t>AX7</t>
  </si>
  <si>
    <t>AX8</t>
  </si>
  <si>
    <t>AX9</t>
  </si>
  <si>
    <t>AX10</t>
  </si>
  <si>
    <t>AX11</t>
  </si>
  <si>
    <t>AX12</t>
  </si>
  <si>
    <t>AX13</t>
  </si>
  <si>
    <t>AX14</t>
  </si>
  <si>
    <t>AY4</t>
  </si>
  <si>
    <t>AY5</t>
  </si>
  <si>
    <t>AY6</t>
  </si>
  <si>
    <t>AY7</t>
  </si>
  <si>
    <t>AY8</t>
  </si>
  <si>
    <t>AY9</t>
  </si>
  <si>
    <t>AY10</t>
  </si>
  <si>
    <t>AY11</t>
  </si>
  <si>
    <t>AY12</t>
  </si>
  <si>
    <t>AY13</t>
  </si>
  <si>
    <t>AY14</t>
  </si>
  <si>
    <t>AZ4</t>
  </si>
  <si>
    <t>AZ5</t>
  </si>
  <si>
    <t>AZ6</t>
  </si>
  <si>
    <t>AZ7</t>
  </si>
  <si>
    <t>AZ8</t>
  </si>
  <si>
    <t>BW</t>
  </si>
  <si>
    <t>AZ9</t>
  </si>
  <si>
    <t>AZ10</t>
  </si>
  <si>
    <t>AZ11</t>
  </si>
  <si>
    <t>Kore BW</t>
  </si>
  <si>
    <t>AZ12</t>
  </si>
  <si>
    <t>AZ13</t>
  </si>
  <si>
    <t>AZ14</t>
  </si>
  <si>
    <t>BA4</t>
  </si>
  <si>
    <t>BA5</t>
  </si>
  <si>
    <t>BA6</t>
  </si>
  <si>
    <t>BA7</t>
  </si>
  <si>
    <t>BA8</t>
  </si>
  <si>
    <t>BA9</t>
  </si>
  <si>
    <t>BA10</t>
  </si>
  <si>
    <t>BA11</t>
  </si>
  <si>
    <t>BA12</t>
  </si>
  <si>
    <t>BA13</t>
  </si>
  <si>
    <t>BA14</t>
  </si>
  <si>
    <t>BB4</t>
  </si>
  <si>
    <t>BB5</t>
  </si>
  <si>
    <t>BB6</t>
  </si>
  <si>
    <t>BB7</t>
  </si>
  <si>
    <t>BB8</t>
  </si>
  <si>
    <t>BB9</t>
  </si>
  <si>
    <t>BB10</t>
  </si>
  <si>
    <t>BB11</t>
  </si>
  <si>
    <t>BB12</t>
  </si>
  <si>
    <t>BB13</t>
  </si>
  <si>
    <t>BB14</t>
  </si>
  <si>
    <t>BC4</t>
  </si>
  <si>
    <t>BC5</t>
  </si>
  <si>
    <t>BC6</t>
  </si>
  <si>
    <t>BC7</t>
  </si>
  <si>
    <t>BC8</t>
  </si>
  <si>
    <t>BC9</t>
  </si>
  <si>
    <t>BC10</t>
  </si>
  <si>
    <t>BC11</t>
  </si>
  <si>
    <t>BC12</t>
  </si>
  <si>
    <t>BC13</t>
  </si>
  <si>
    <t>BC14</t>
  </si>
  <si>
    <t>BD4</t>
  </si>
  <si>
    <t>BD5</t>
  </si>
  <si>
    <t>BD6</t>
  </si>
  <si>
    <t>BD7</t>
  </si>
  <si>
    <t>BD8</t>
  </si>
  <si>
    <t>BD9</t>
  </si>
  <si>
    <t>BD10</t>
  </si>
  <si>
    <t>BD11</t>
  </si>
  <si>
    <t>BD12</t>
  </si>
  <si>
    <t>BD13</t>
  </si>
  <si>
    <t>BD14</t>
  </si>
  <si>
    <t>BE4</t>
  </si>
  <si>
    <t>BE5</t>
  </si>
  <si>
    <t>BE6</t>
  </si>
  <si>
    <t>BE7</t>
  </si>
  <si>
    <t>BE8</t>
  </si>
  <si>
    <t>BE9</t>
  </si>
  <si>
    <t>BE10</t>
  </si>
  <si>
    <t>BE11</t>
  </si>
  <si>
    <t>BE12</t>
  </si>
  <si>
    <t>BE13</t>
  </si>
  <si>
    <t>BE14</t>
  </si>
  <si>
    <t>BF4</t>
  </si>
  <si>
    <t>BF5</t>
  </si>
  <si>
    <t>BF6</t>
  </si>
  <si>
    <t>BF7</t>
  </si>
  <si>
    <t>BF8</t>
  </si>
  <si>
    <t>BF9</t>
  </si>
  <si>
    <t>BF10</t>
  </si>
  <si>
    <t>BF11</t>
  </si>
  <si>
    <t>BF12</t>
  </si>
  <si>
    <t>BF13</t>
  </si>
  <si>
    <t>BF14</t>
  </si>
  <si>
    <t>BG4</t>
  </si>
  <si>
    <t>BG5</t>
  </si>
  <si>
    <t>BG6</t>
  </si>
  <si>
    <t>BG7</t>
  </si>
  <si>
    <t>BG8</t>
  </si>
  <si>
    <t>BG9</t>
  </si>
  <si>
    <t>BG10</t>
  </si>
  <si>
    <t>BG11</t>
  </si>
  <si>
    <t>BG12</t>
  </si>
  <si>
    <t>BG13</t>
  </si>
  <si>
    <t>BG14</t>
  </si>
  <si>
    <t>BH4</t>
  </si>
  <si>
    <t>BH5</t>
  </si>
  <si>
    <t>BH6</t>
  </si>
  <si>
    <t>BH7</t>
  </si>
  <si>
    <t>BH8</t>
  </si>
  <si>
    <t>BH9</t>
  </si>
  <si>
    <t>BH10</t>
  </si>
  <si>
    <t>BH11</t>
  </si>
  <si>
    <t>BH12</t>
  </si>
  <si>
    <t>BH13</t>
  </si>
  <si>
    <t>BH14</t>
  </si>
  <si>
    <t>BI4</t>
  </si>
  <si>
    <t>BI5</t>
  </si>
  <si>
    <t>BI6</t>
  </si>
  <si>
    <t>BI7</t>
  </si>
  <si>
    <t>BI8</t>
  </si>
  <si>
    <t>BI9</t>
  </si>
  <si>
    <t>BI10</t>
  </si>
  <si>
    <t>BI11</t>
  </si>
  <si>
    <t>BI12</t>
  </si>
  <si>
    <t>BI13</t>
  </si>
  <si>
    <t>BI14</t>
  </si>
  <si>
    <t>BJ4</t>
  </si>
  <si>
    <t>BJ5</t>
  </si>
  <si>
    <t>BJ6</t>
  </si>
  <si>
    <t>BJ7</t>
  </si>
  <si>
    <t>BJ8</t>
  </si>
  <si>
    <t>BJ9</t>
  </si>
  <si>
    <t>BJ10</t>
  </si>
  <si>
    <t>BJ11</t>
  </si>
  <si>
    <t>BJ12</t>
  </si>
  <si>
    <t>BJ13</t>
  </si>
  <si>
    <t>BJ14</t>
  </si>
  <si>
    <t>BK4</t>
  </si>
  <si>
    <t>BK5</t>
  </si>
  <si>
    <t>BK6</t>
  </si>
  <si>
    <t>BK7</t>
  </si>
  <si>
    <t>BK8</t>
  </si>
  <si>
    <t>BK9</t>
  </si>
  <si>
    <t>BK10</t>
  </si>
  <si>
    <t>BK11</t>
  </si>
  <si>
    <t>BK12</t>
  </si>
  <si>
    <t>BK13</t>
  </si>
  <si>
    <t>BK14</t>
  </si>
  <si>
    <t>BL4</t>
  </si>
  <si>
    <t>BL5</t>
  </si>
  <si>
    <t>BL6</t>
  </si>
  <si>
    <t>BL7</t>
  </si>
  <si>
    <t>BL8</t>
  </si>
  <si>
    <t>BL9</t>
  </si>
  <si>
    <t>BL10</t>
  </si>
  <si>
    <t>BL11</t>
  </si>
  <si>
    <t>BL12</t>
  </si>
  <si>
    <t>BL13</t>
  </si>
  <si>
    <t>BL14</t>
  </si>
  <si>
    <t>BM4</t>
  </si>
  <si>
    <t>BM5</t>
  </si>
  <si>
    <t>BM6</t>
  </si>
  <si>
    <t>BM7</t>
  </si>
  <si>
    <t>BM8</t>
  </si>
  <si>
    <t>BM9</t>
  </si>
  <si>
    <t>BM10</t>
  </si>
  <si>
    <t>BM11</t>
  </si>
  <si>
    <t>BM12</t>
  </si>
  <si>
    <t>BM13</t>
  </si>
  <si>
    <t>BM14</t>
  </si>
  <si>
    <t>BN4</t>
  </si>
  <si>
    <t>BN5</t>
  </si>
  <si>
    <t>BN6</t>
  </si>
  <si>
    <t>BN7</t>
  </si>
  <si>
    <t>BN8</t>
  </si>
  <si>
    <t>BN9</t>
  </si>
  <si>
    <t>BN10</t>
  </si>
  <si>
    <t>BN11</t>
  </si>
  <si>
    <t>BN12</t>
  </si>
  <si>
    <t>BN13</t>
  </si>
  <si>
    <t>BN14</t>
  </si>
  <si>
    <t>BO4</t>
  </si>
  <si>
    <t>BO5</t>
  </si>
  <si>
    <t>BO6</t>
  </si>
  <si>
    <t>BO7</t>
  </si>
  <si>
    <t>BO8</t>
  </si>
  <si>
    <t>BO9</t>
  </si>
  <si>
    <t>BO10</t>
  </si>
  <si>
    <t>BO11</t>
  </si>
  <si>
    <t>BO12</t>
  </si>
  <si>
    <t>BO13</t>
  </si>
  <si>
    <t>BO14</t>
  </si>
  <si>
    <t>BP4</t>
  </si>
  <si>
    <t>BP5</t>
  </si>
  <si>
    <t>BP6</t>
  </si>
  <si>
    <t>BP7</t>
  </si>
  <si>
    <t>BP8</t>
  </si>
  <si>
    <t>BP9</t>
  </si>
  <si>
    <t>BP10</t>
  </si>
  <si>
    <t>BP11</t>
  </si>
  <si>
    <t>BP12</t>
  </si>
  <si>
    <t>BP13</t>
  </si>
  <si>
    <t>BP14</t>
  </si>
  <si>
    <t>BQ4</t>
  </si>
  <si>
    <t>BQ5</t>
  </si>
  <si>
    <t>BQ6</t>
  </si>
  <si>
    <t>BQ7</t>
  </si>
  <si>
    <t>BQ8</t>
  </si>
  <si>
    <t>BQ9</t>
  </si>
  <si>
    <t>BQ10</t>
  </si>
  <si>
    <t>BQ11</t>
  </si>
  <si>
    <t>BQ12</t>
  </si>
  <si>
    <t>BQ13</t>
  </si>
  <si>
    <t>BQ14</t>
  </si>
  <si>
    <t>BR4</t>
  </si>
  <si>
    <t>BR5</t>
  </si>
  <si>
    <t>BR6</t>
  </si>
  <si>
    <t>BR7</t>
  </si>
  <si>
    <t>BR8</t>
  </si>
  <si>
    <t>BR9</t>
  </si>
  <si>
    <t>BR10</t>
  </si>
  <si>
    <t>BR11</t>
  </si>
  <si>
    <t>BR12</t>
  </si>
  <si>
    <t>BR13</t>
  </si>
  <si>
    <t>BR14</t>
  </si>
  <si>
    <t>BS4</t>
  </si>
  <si>
    <t>BS5</t>
  </si>
  <si>
    <t>BS6</t>
  </si>
  <si>
    <t>BS7</t>
  </si>
  <si>
    <t>BS8</t>
  </si>
  <si>
    <t>BS9</t>
  </si>
  <si>
    <t>BS10</t>
  </si>
  <si>
    <t>BS11</t>
  </si>
  <si>
    <t>BS12</t>
  </si>
  <si>
    <t>BS13</t>
  </si>
  <si>
    <t>BS14</t>
  </si>
  <si>
    <t>BT4</t>
  </si>
  <si>
    <t>BT5</t>
  </si>
  <si>
    <t>BT6</t>
  </si>
  <si>
    <t>BT7</t>
  </si>
  <si>
    <t>BT8</t>
  </si>
  <si>
    <t>BT9</t>
  </si>
  <si>
    <t>BT10</t>
  </si>
  <si>
    <t>BT11</t>
  </si>
  <si>
    <t>BT12</t>
  </si>
  <si>
    <t>BT13</t>
  </si>
  <si>
    <t>BT14</t>
  </si>
  <si>
    <t>BU4</t>
  </si>
  <si>
    <t>BU5</t>
  </si>
  <si>
    <t>BU6</t>
  </si>
  <si>
    <t>BU7</t>
  </si>
  <si>
    <t>BU8</t>
  </si>
  <si>
    <t>BU9</t>
  </si>
  <si>
    <t>BU10</t>
  </si>
  <si>
    <t>BU11</t>
  </si>
  <si>
    <t>BU12</t>
  </si>
  <si>
    <t>BU13</t>
  </si>
  <si>
    <t>BU14</t>
  </si>
  <si>
    <t>BV4</t>
  </si>
  <si>
    <t>BV5</t>
  </si>
  <si>
    <t>BV6</t>
  </si>
  <si>
    <t>BV7</t>
  </si>
  <si>
    <t>BV8</t>
  </si>
  <si>
    <t>BV9</t>
  </si>
  <si>
    <t>BV10</t>
  </si>
  <si>
    <t>BV11</t>
  </si>
  <si>
    <t>BV12</t>
  </si>
  <si>
    <t>BV13</t>
  </si>
  <si>
    <t>BV14</t>
  </si>
  <si>
    <t>BW4</t>
  </si>
  <si>
    <t>BW5</t>
  </si>
  <si>
    <t>BW6</t>
  </si>
  <si>
    <t>BW7</t>
  </si>
  <si>
    <t>BW8</t>
  </si>
  <si>
    <t>BW9</t>
  </si>
  <si>
    <t>BW10</t>
  </si>
  <si>
    <t>BW11</t>
  </si>
  <si>
    <t>BW12</t>
  </si>
  <si>
    <t>BW13</t>
  </si>
  <si>
    <t>BW14</t>
  </si>
  <si>
    <t>BX4</t>
  </si>
  <si>
    <t>BX5</t>
  </si>
  <si>
    <t>BX6</t>
  </si>
  <si>
    <t>BX7</t>
  </si>
  <si>
    <t>BX8</t>
  </si>
  <si>
    <t>BX9</t>
  </si>
  <si>
    <t>BX10</t>
  </si>
  <si>
    <t>BX11</t>
  </si>
  <si>
    <t>BX12</t>
  </si>
  <si>
    <t>BX13</t>
  </si>
  <si>
    <t>BX14</t>
  </si>
  <si>
    <t>BY4</t>
  </si>
  <si>
    <t>BY5</t>
  </si>
  <si>
    <t>BY6</t>
  </si>
  <si>
    <t>BY7</t>
  </si>
  <si>
    <t>BY8</t>
  </si>
  <si>
    <t>BY9</t>
  </si>
  <si>
    <t>BY10</t>
  </si>
  <si>
    <t>BY11</t>
  </si>
  <si>
    <t>BY12</t>
  </si>
  <si>
    <t>BY13</t>
  </si>
  <si>
    <t>BY14</t>
  </si>
  <si>
    <t>BZ4</t>
  </si>
  <si>
    <t>BZ5</t>
  </si>
  <si>
    <t>BZ6</t>
  </si>
  <si>
    <t>BZ7</t>
  </si>
  <si>
    <t>BZ8</t>
  </si>
  <si>
    <t>BZ9</t>
  </si>
  <si>
    <t>BZ10</t>
  </si>
  <si>
    <t>BZ11</t>
  </si>
  <si>
    <t>BZ12</t>
  </si>
  <si>
    <t>BZ13</t>
  </si>
  <si>
    <t>BZ14</t>
  </si>
  <si>
    <t>CA4</t>
  </si>
  <si>
    <t>CA5</t>
  </si>
  <si>
    <t>CA6</t>
  </si>
  <si>
    <t>CA7</t>
  </si>
  <si>
    <t>CA8</t>
  </si>
  <si>
    <t>CA9</t>
  </si>
  <si>
    <t>CA10</t>
  </si>
  <si>
    <t>CA11</t>
  </si>
  <si>
    <t>CA12</t>
  </si>
  <si>
    <t>CA13</t>
  </si>
  <si>
    <t>CA14</t>
  </si>
  <si>
    <t>CB4</t>
  </si>
  <si>
    <t>CB5</t>
  </si>
  <si>
    <t>CB6</t>
  </si>
  <si>
    <t>CB7</t>
  </si>
  <si>
    <t>CB8</t>
  </si>
  <si>
    <t>CB9</t>
  </si>
  <si>
    <t>CB10</t>
  </si>
  <si>
    <t>CB11</t>
  </si>
  <si>
    <t>CB12</t>
  </si>
  <si>
    <t>CB13</t>
  </si>
  <si>
    <t>CB14</t>
  </si>
  <si>
    <t>CC4</t>
  </si>
  <si>
    <t>CC5</t>
  </si>
  <si>
    <t>CC6</t>
  </si>
  <si>
    <t>CC7</t>
  </si>
  <si>
    <t>CC8</t>
  </si>
  <si>
    <t>CC9</t>
  </si>
  <si>
    <t>CC10</t>
  </si>
  <si>
    <t>CC11</t>
  </si>
  <si>
    <t>CC12</t>
  </si>
  <si>
    <t>CC13</t>
  </si>
  <si>
    <t>CC14</t>
  </si>
  <si>
    <t>CD4</t>
  </si>
  <si>
    <t>CD5</t>
  </si>
  <si>
    <t>CD6</t>
  </si>
  <si>
    <t>CD7</t>
  </si>
  <si>
    <t>CD8</t>
  </si>
  <si>
    <t>CD9</t>
  </si>
  <si>
    <t>CD10</t>
  </si>
  <si>
    <t>CD11</t>
  </si>
  <si>
    <t>CD12</t>
  </si>
  <si>
    <t>CD13</t>
  </si>
  <si>
    <t>CD14</t>
  </si>
  <si>
    <t>J15</t>
  </si>
  <si>
    <t>J16</t>
  </si>
  <si>
    <t>J17</t>
  </si>
  <si>
    <t>J19</t>
  </si>
  <si>
    <t>J20</t>
  </si>
  <si>
    <t>J21</t>
  </si>
  <si>
    <t>J22</t>
  </si>
  <si>
    <t>J23</t>
  </si>
  <si>
    <t>J24</t>
  </si>
  <si>
    <t>K15</t>
  </si>
  <si>
    <t>K16</t>
  </si>
  <si>
    <t>K17</t>
  </si>
  <si>
    <t>K19</t>
  </si>
  <si>
    <t>K20</t>
  </si>
  <si>
    <t>K21</t>
  </si>
  <si>
    <t>K22</t>
  </si>
  <si>
    <t>K23</t>
  </si>
  <si>
    <t>K24</t>
  </si>
  <si>
    <t>K25</t>
  </si>
  <si>
    <t>L15</t>
  </si>
  <si>
    <r>
      <t xml:space="preserve">Blockkurse
</t>
    </r>
    <r>
      <rPr>
        <sz val="8"/>
        <rFont val="Arial"/>
        <family val="2"/>
      </rPr>
      <t>(TeilnehmerInnentage)</t>
    </r>
  </si>
  <si>
    <r>
      <t xml:space="preserve">Tageskurse
</t>
    </r>
    <r>
      <rPr>
        <sz val="8"/>
        <rFont val="Arial"/>
        <family val="2"/>
      </rPr>
      <t>(TeilnehmerInnentage)</t>
    </r>
  </si>
  <si>
    <r>
      <t xml:space="preserve">Semester- und Jahreskurse
</t>
    </r>
    <r>
      <rPr>
        <sz val="8"/>
        <rFont val="Arial"/>
        <family val="2"/>
      </rPr>
      <t>(TeilnehmerInnenstunden)</t>
    </r>
  </si>
  <si>
    <t>LEISTUNGSERTRAG</t>
  </si>
  <si>
    <t>BEITRAG_BUND</t>
  </si>
  <si>
    <t>BEITRAG_KANTON</t>
  </si>
  <si>
    <t>BEITRAG_GEMEINDE</t>
  </si>
  <si>
    <t>ERTRAG</t>
  </si>
  <si>
    <t>ZIELGRUPPE_ID</t>
  </si>
  <si>
    <t>LEISTUNGSKATEGORIE_ID</t>
  </si>
  <si>
    <t>KURSTYP_ID</t>
  </si>
  <si>
    <t>KANTON_ID</t>
  </si>
  <si>
    <t>LEISTUNG_KATEGORIE</t>
  </si>
  <si>
    <t>LUFEB_ZIELGRUPPE</t>
  </si>
  <si>
    <t xml:space="preserve"> C4</t>
  </si>
  <si>
    <t xml:space="preserve">Verein für Behindertengerechtes Bauen Ob- und Nidwalden </t>
  </si>
  <si>
    <t>Ligue vaudoise contre le rhumatisme</t>
  </si>
  <si>
    <t>STUNDEN_KURZ</t>
  </si>
  <si>
    <t>P18</t>
  </si>
  <si>
    <t>Q18</t>
  </si>
  <si>
    <t>R18</t>
  </si>
  <si>
    <t>S18</t>
  </si>
  <si>
    <t>N26</t>
  </si>
  <si>
    <t>N27</t>
  </si>
  <si>
    <t>N28</t>
  </si>
  <si>
    <t>N29</t>
  </si>
  <si>
    <t>N30</t>
  </si>
  <si>
    <t>N31</t>
  </si>
  <si>
    <t>N32</t>
  </si>
  <si>
    <t>N33</t>
  </si>
  <si>
    <t>N34</t>
  </si>
  <si>
    <t>N35</t>
  </si>
  <si>
    <t>N36</t>
  </si>
  <si>
    <t>N37</t>
  </si>
  <si>
    <t>N38</t>
  </si>
  <si>
    <t>N39</t>
  </si>
  <si>
    <t>N40</t>
  </si>
  <si>
    <t>N41</t>
  </si>
  <si>
    <t>N42</t>
  </si>
  <si>
    <t>N43</t>
  </si>
  <si>
    <t>N44</t>
  </si>
  <si>
    <t>N45</t>
  </si>
  <si>
    <t>N46</t>
  </si>
  <si>
    <t>N47</t>
  </si>
  <si>
    <t>Q26</t>
  </si>
  <si>
    <t>Q27</t>
  </si>
  <si>
    <t>Q28</t>
  </si>
  <si>
    <t>Q29</t>
  </si>
  <si>
    <t>Q30</t>
  </si>
  <si>
    <t>Q31</t>
  </si>
  <si>
    <t>Q32</t>
  </si>
  <si>
    <t>Q33</t>
  </si>
  <si>
    <t>Q34</t>
  </si>
  <si>
    <t>Q35</t>
  </si>
  <si>
    <t>Q36</t>
  </si>
  <si>
    <t>Q37</t>
  </si>
  <si>
    <t>Q38</t>
  </si>
  <si>
    <t>Q39</t>
  </si>
  <si>
    <t>Q40</t>
  </si>
  <si>
    <t>Q41</t>
  </si>
  <si>
    <t>Q42</t>
  </si>
  <si>
    <t>Q43</t>
  </si>
  <si>
    <t>Q44</t>
  </si>
  <si>
    <t>Q45</t>
  </si>
  <si>
    <t>Q46</t>
  </si>
  <si>
    <t>Q47</t>
  </si>
  <si>
    <t>S26</t>
  </si>
  <si>
    <t>S27</t>
  </si>
  <si>
    <t>S28</t>
  </si>
  <si>
    <t>S29</t>
  </si>
  <si>
    <t>S30</t>
  </si>
  <si>
    <t>S31</t>
  </si>
  <si>
    <t>S32</t>
  </si>
  <si>
    <t>S33</t>
  </si>
  <si>
    <t>S34</t>
  </si>
  <si>
    <t>S35</t>
  </si>
  <si>
    <t>S36</t>
  </si>
  <si>
    <t>S37</t>
  </si>
  <si>
    <t>S38</t>
  </si>
  <si>
    <t>S39</t>
  </si>
  <si>
    <t>S40</t>
  </si>
  <si>
    <t>S41</t>
  </si>
  <si>
    <t>S42</t>
  </si>
  <si>
    <t>S43</t>
  </si>
  <si>
    <t>S44</t>
  </si>
  <si>
    <t>S45</t>
  </si>
  <si>
    <t>S46</t>
  </si>
  <si>
    <t>S47</t>
  </si>
  <si>
    <t>N49</t>
  </si>
  <si>
    <t>N50</t>
  </si>
  <si>
    <t>Q49</t>
  </si>
  <si>
    <t>Q50</t>
  </si>
  <si>
    <t>S49</t>
  </si>
  <si>
    <t>S50</t>
  </si>
  <si>
    <t>KS</t>
  </si>
  <si>
    <t>KB</t>
  </si>
  <si>
    <t>KR</t>
  </si>
  <si>
    <t>Vermittlung</t>
  </si>
  <si>
    <t>Tatsächliche TeilnehmerInnentage resp. -stunden</t>
  </si>
  <si>
    <t>ANZAHL_ANGEHOERIGE</t>
  </si>
  <si>
    <t>STDN_MEHRFACH_BEHINDERT</t>
  </si>
  <si>
    <t>Beitragsberechtigte: Spaltenweise von links nach rechts (Spalten D bis O)</t>
  </si>
  <si>
    <t>STDN_BERECHTIGT_IVG</t>
  </si>
  <si>
    <t>STDN_BERECHTIGT_AHVG</t>
  </si>
  <si>
    <t>STDN_NICHT_BERECHTIGT</t>
  </si>
  <si>
    <t>STDN_MEHRFACH_BEH_GRUPPE</t>
  </si>
  <si>
    <t>STDN_BERECHTIGT_IVG_GRUPPE</t>
  </si>
  <si>
    <t>STDN_BERECHTIGT_AHVG_GRUPPE</t>
  </si>
  <si>
    <t>STDN_NICHT_BERECHTIGT_GRUPPE</t>
  </si>
  <si>
    <t>ANZ_MEHRFACH_BEHINDERT</t>
  </si>
  <si>
    <t>ANZ_BERECHTIGT_IVG</t>
  </si>
  <si>
    <t>ANZ_BERECHTIGT_AHVG</t>
  </si>
  <si>
    <t>ANZ_NICHT_BERECHTIGT</t>
  </si>
  <si>
    <t>Team Selbsthilfe Thurgau, Weinfelden</t>
  </si>
  <si>
    <t xml:space="preserve">insieme Brugg-Windisch </t>
  </si>
  <si>
    <t>LEISTUNG_KATEGORIE_KANTON</t>
  </si>
  <si>
    <t>nach Kantonen: Spaltenweise von links nach rechts (Spalten F, I, K, M, O)</t>
  </si>
  <si>
    <t>ANZ_NEU</t>
  </si>
  <si>
    <t>nach Eintrittsjahr: Spaltenweise von links nach rechts</t>
  </si>
  <si>
    <t>ANZ_VORJAHR</t>
  </si>
  <si>
    <t>ANZ_ANGEHOERIGE_MEHRFACH_BEH</t>
  </si>
  <si>
    <t>nach Kantonen: Spaltenweise von links nach rechts</t>
  </si>
  <si>
    <t>Mehrfachbehinderte: Zeile 16</t>
  </si>
  <si>
    <t>KURSFORM_ID</t>
  </si>
  <si>
    <t>LEISTUNG_KURS_BEHINDERTE</t>
  </si>
  <si>
    <t>ANZAHL_KURSE</t>
  </si>
  <si>
    <t>Zeilenweise von oben nach unten (jeweils ohne "Total")</t>
  </si>
  <si>
    <t>ANZAHL_TEILNEHMER</t>
  </si>
  <si>
    <t>PRAESENZ</t>
  </si>
  <si>
    <t>LEISTUNG_BEH_BERECHTIGT_IVG</t>
  </si>
  <si>
    <t>LEISTUNG_ANGEH_BERECHTIGT_IVG</t>
  </si>
  <si>
    <t>LEISTUNG_BEH_BERECHTIGT_AHVG</t>
  </si>
  <si>
    <t>LEISTUNG_ANGEH_BERECHTIGT_AHVG</t>
  </si>
  <si>
    <t>LEISTUNG_NICHT_BERECHTIGT</t>
  </si>
  <si>
    <t>LEISTUNG_KURS_FORTBILDUNG</t>
  </si>
  <si>
    <t>LEISTUNG_IVG_AHVG</t>
  </si>
  <si>
    <t>Nicht Beitrags-
berechtigte</t>
  </si>
  <si>
    <t>Kontaktstelle für Selbsthilfegruppen, St.Gallen</t>
  </si>
  <si>
    <t>Blockkurse F</t>
  </si>
  <si>
    <t>Tageskurse F</t>
  </si>
  <si>
    <t>Semesterk. F</t>
  </si>
  <si>
    <t>Plausibilisierung Direkte- Indirekte Kosten</t>
  </si>
  <si>
    <t>LUFEB</t>
  </si>
  <si>
    <t>BSV Nr.</t>
  </si>
  <si>
    <t>Name</t>
  </si>
  <si>
    <t>Rechtsberatung</t>
  </si>
  <si>
    <t>Behinderte</t>
  </si>
  <si>
    <t>Total</t>
  </si>
  <si>
    <t>ZH</t>
  </si>
  <si>
    <t>Leistungskategorien</t>
  </si>
  <si>
    <t>Präsenz</t>
  </si>
  <si>
    <t>Blockkurse</t>
  </si>
  <si>
    <t>insieme Solothurn</t>
  </si>
  <si>
    <t>insieme Region Bern</t>
  </si>
  <si>
    <t xml:space="preserve">Schwerhörigen-Verein Bern </t>
  </si>
  <si>
    <t>insieme Freiamt Wohlen</t>
  </si>
  <si>
    <t>Schwerhörigen-Verein Oberwallis</t>
  </si>
  <si>
    <t>Freizeitgruppe Burgdorf</t>
  </si>
  <si>
    <t xml:space="preserve">Verein für Hörbehinderte Chur und Umgebung </t>
  </si>
  <si>
    <t>Betreuung in Treffpunkten</t>
  </si>
  <si>
    <t>A</t>
  </si>
  <si>
    <t>Anzahl Kurse</t>
  </si>
  <si>
    <t>Anzahl TeilnehmerInnen1)</t>
  </si>
  <si>
    <t>O19</t>
  </si>
  <si>
    <t>O20</t>
  </si>
  <si>
    <t>O21</t>
  </si>
  <si>
    <t>O22</t>
  </si>
  <si>
    <t>O23</t>
  </si>
  <si>
    <t>O24</t>
  </si>
  <si>
    <t>P15</t>
  </si>
  <si>
    <t>P16</t>
  </si>
  <si>
    <t>P17</t>
  </si>
  <si>
    <t>P19</t>
  </si>
  <si>
    <t>P20</t>
  </si>
  <si>
    <t>P21</t>
  </si>
  <si>
    <t>P22</t>
  </si>
  <si>
    <t>P23</t>
  </si>
  <si>
    <t>P24</t>
  </si>
  <si>
    <t>Q15</t>
  </si>
  <si>
    <t>Schwerhörigen-Verein  Herisau und Umg.</t>
  </si>
  <si>
    <t xml:space="preserve">Schwerhörigen-Verein Horgen-Thalwil </t>
  </si>
  <si>
    <t>insieme Bezirk Horgen</t>
  </si>
  <si>
    <t>insieme Rapperswil-Jona</t>
  </si>
  <si>
    <t>insieme Region Zurzach</t>
  </si>
  <si>
    <t>insieme Lenzburg</t>
  </si>
  <si>
    <t>insieme Basel-Land</t>
  </si>
  <si>
    <t xml:space="preserve">Schwerhörigenverein Aarau &amp; Umgebung </t>
  </si>
  <si>
    <t xml:space="preserve">Schwerhörigen-Verein Zofingen und Umgebung </t>
  </si>
  <si>
    <t>K18</t>
  </si>
  <si>
    <t>M18</t>
  </si>
  <si>
    <t>N18</t>
  </si>
  <si>
    <t>F21</t>
  </si>
  <si>
    <t>F22</t>
  </si>
  <si>
    <t>F23</t>
  </si>
  <si>
    <t>F24</t>
  </si>
  <si>
    <t>F25</t>
  </si>
  <si>
    <t>F26</t>
  </si>
  <si>
    <t>F27</t>
  </si>
  <si>
    <t>F28</t>
  </si>
  <si>
    <t>F29</t>
  </si>
  <si>
    <t>F30</t>
  </si>
  <si>
    <t>F31</t>
  </si>
  <si>
    <t>F32</t>
  </si>
  <si>
    <t>F33</t>
  </si>
  <si>
    <t>F34</t>
  </si>
  <si>
    <t>F35</t>
  </si>
  <si>
    <t>F36</t>
  </si>
  <si>
    <t>F37</t>
  </si>
  <si>
    <t>F38</t>
  </si>
  <si>
    <t>F39</t>
  </si>
  <si>
    <t>F40</t>
  </si>
  <si>
    <t>F41</t>
  </si>
  <si>
    <t>F42</t>
  </si>
  <si>
    <t>F43</t>
  </si>
  <si>
    <t>F44</t>
  </si>
  <si>
    <t>F45</t>
  </si>
  <si>
    <t>F46</t>
  </si>
  <si>
    <t>F47</t>
  </si>
  <si>
    <t>I21</t>
  </si>
  <si>
    <t>I22</t>
  </si>
  <si>
    <t>I23</t>
  </si>
  <si>
    <t>I24</t>
  </si>
  <si>
    <t>I25</t>
  </si>
  <si>
    <t>I26</t>
  </si>
  <si>
    <t>I27</t>
  </si>
  <si>
    <t>I28</t>
  </si>
  <si>
    <t>I29</t>
  </si>
  <si>
    <t>I30</t>
  </si>
  <si>
    <t>I31</t>
  </si>
  <si>
    <t>ABV - Beratungsstelle für Sehbehinderte des Aarg. Blindenfürsorgevereins, Aarau</t>
  </si>
  <si>
    <t>insieme Zürcher Oberland</t>
  </si>
  <si>
    <t xml:space="preserve">Schwerhörigenverein Pfäffikon und Umgebung </t>
  </si>
  <si>
    <t>insieme Baden-Wettingen</t>
  </si>
  <si>
    <t xml:space="preserve">Schwerhörigen-Verein Winterthur </t>
  </si>
  <si>
    <t>insieme cerebral Winterthur</t>
  </si>
  <si>
    <t>Schwerhörigen-Verein des Kantons Zug</t>
  </si>
  <si>
    <t>F49</t>
  </si>
  <si>
    <t>F50</t>
  </si>
  <si>
    <t>I49</t>
  </si>
  <si>
    <t>I50</t>
  </si>
  <si>
    <t>K49</t>
  </si>
  <si>
    <t>K50</t>
  </si>
  <si>
    <t>B7</t>
  </si>
  <si>
    <t>B8</t>
  </si>
  <si>
    <t>B9</t>
  </si>
  <si>
    <t>B10</t>
  </si>
  <si>
    <t>B11</t>
  </si>
  <si>
    <t>B12</t>
  </si>
  <si>
    <t>B13</t>
  </si>
  <si>
    <t>B14</t>
  </si>
  <si>
    <t>B16</t>
  </si>
  <si>
    <t>C16</t>
  </si>
  <si>
    <t>B17</t>
  </si>
  <si>
    <t>B18</t>
  </si>
  <si>
    <t>B19</t>
  </si>
  <si>
    <t>B20</t>
  </si>
  <si>
    <t>B21</t>
  </si>
  <si>
    <t>B22</t>
  </si>
  <si>
    <t>B23</t>
  </si>
  <si>
    <t>B24</t>
  </si>
  <si>
    <t>B25</t>
  </si>
  <si>
    <t>B26</t>
  </si>
  <si>
    <t>B27</t>
  </si>
  <si>
    <t>B28</t>
  </si>
  <si>
    <t>B29</t>
  </si>
  <si>
    <t>B30</t>
  </si>
  <si>
    <t>B31</t>
  </si>
  <si>
    <t>B32</t>
  </si>
  <si>
    <t>B33</t>
  </si>
  <si>
    <t>B34</t>
  </si>
  <si>
    <t>B35</t>
  </si>
  <si>
    <t>B36</t>
  </si>
  <si>
    <t>B37</t>
  </si>
  <si>
    <t>B38</t>
  </si>
  <si>
    <t>B39</t>
  </si>
  <si>
    <t>B40</t>
  </si>
  <si>
    <t>B41</t>
  </si>
  <si>
    <t>B42</t>
  </si>
  <si>
    <t>B43</t>
  </si>
  <si>
    <t>C17</t>
  </si>
  <si>
    <t>C18</t>
  </si>
  <si>
    <t>C19</t>
  </si>
  <si>
    <t>C20</t>
  </si>
  <si>
    <t>C21</t>
  </si>
  <si>
    <t>C22</t>
  </si>
  <si>
    <t>C23</t>
  </si>
  <si>
    <t>C24</t>
  </si>
  <si>
    <t>C25</t>
  </si>
  <si>
    <t>C26</t>
  </si>
  <si>
    <t>C27</t>
  </si>
  <si>
    <t>C28</t>
  </si>
  <si>
    <t>C29</t>
  </si>
  <si>
    <t>C30</t>
  </si>
  <si>
    <t>C31</t>
  </si>
  <si>
    <t>C32</t>
  </si>
  <si>
    <t>C33</t>
  </si>
  <si>
    <t>C34</t>
  </si>
  <si>
    <t>C35</t>
  </si>
  <si>
    <t>C36</t>
  </si>
  <si>
    <t>C37</t>
  </si>
  <si>
    <t>C38</t>
  </si>
  <si>
    <t>C39</t>
  </si>
  <si>
    <t>C40</t>
  </si>
  <si>
    <t>C41</t>
  </si>
  <si>
    <t>C42</t>
  </si>
  <si>
    <t>C43</t>
  </si>
  <si>
    <t>D19</t>
  </si>
  <si>
    <t>D21</t>
  </si>
  <si>
    <t>D22</t>
  </si>
  <si>
    <t>D23</t>
  </si>
  <si>
    <t>D24</t>
  </si>
  <si>
    <t>D25</t>
  </si>
  <si>
    <t>D26</t>
  </si>
  <si>
    <t>D27</t>
  </si>
  <si>
    <t>D28</t>
  </si>
  <si>
    <t>D29</t>
  </si>
  <si>
    <t>D30</t>
  </si>
  <si>
    <t>D31</t>
  </si>
  <si>
    <t>D32</t>
  </si>
  <si>
    <t>D33</t>
  </si>
  <si>
    <t>D34</t>
  </si>
  <si>
    <t>D35</t>
  </si>
  <si>
    <t>D36</t>
  </si>
  <si>
    <t>D37</t>
  </si>
  <si>
    <t>D38</t>
  </si>
  <si>
    <t>D39</t>
  </si>
  <si>
    <t>D40</t>
  </si>
  <si>
    <t>D41</t>
  </si>
  <si>
    <t>D42</t>
  </si>
  <si>
    <t>D43</t>
  </si>
  <si>
    <t>E19</t>
  </si>
  <si>
    <t>E21</t>
  </si>
  <si>
    <t>E22</t>
  </si>
  <si>
    <t>E23</t>
  </si>
  <si>
    <t>E24</t>
  </si>
  <si>
    <t>E25</t>
  </si>
  <si>
    <t>E26</t>
  </si>
  <si>
    <t>E27</t>
  </si>
  <si>
    <t>E28</t>
  </si>
  <si>
    <t>E29</t>
  </si>
  <si>
    <t>Anzahl Teilnehmer-
Innen (Personen)</t>
  </si>
  <si>
    <t xml:space="preserve">Schwerhörigen-Verein Lenzburg </t>
  </si>
  <si>
    <t>insieme, Schweiz. Vereinigung der Elternvereine für Menschen mit geistiger Behinderung</t>
  </si>
  <si>
    <t>CCSI - Centre de Contact Suisses- Immigrés</t>
  </si>
  <si>
    <t>Vereinigung Cerebral Bern</t>
  </si>
  <si>
    <t>Vereinigung Cerebral Ostschweiz</t>
  </si>
  <si>
    <t>FS Aargau / Solothurn</t>
  </si>
  <si>
    <t>Aids-Hilfe Schweiz</t>
  </si>
  <si>
    <t>E30</t>
  </si>
  <si>
    <t>Lega ticinese contro il reumatismo</t>
  </si>
  <si>
    <t>AGILE, Behindertenselbsthilfe Schweiz</t>
  </si>
  <si>
    <t>Gruppo sportivo invalidi Tre Valli</t>
  </si>
  <si>
    <t>CFR Gruyère, Bulle</t>
  </si>
  <si>
    <t>Associazione Camminiamo insieme</t>
  </si>
  <si>
    <t>CFR Jura, Delémont</t>
  </si>
  <si>
    <t>insieme Fribourg</t>
  </si>
  <si>
    <t>Fondation Le Tremplin</t>
  </si>
  <si>
    <t>Fondation Cap Loisirs</t>
  </si>
  <si>
    <t>AG</t>
  </si>
  <si>
    <t>AI</t>
  </si>
  <si>
    <t>AR</t>
  </si>
  <si>
    <t>BE</t>
  </si>
  <si>
    <t>BL</t>
  </si>
  <si>
    <t>BS</t>
  </si>
  <si>
    <t>FR</t>
  </si>
  <si>
    <t>GE</t>
  </si>
  <si>
    <t>GL</t>
  </si>
  <si>
    <t>GR</t>
  </si>
  <si>
    <t>JU</t>
  </si>
  <si>
    <t>LU</t>
  </si>
  <si>
    <t>NE</t>
  </si>
  <si>
    <t>NW</t>
  </si>
  <si>
    <t>OW</t>
  </si>
  <si>
    <t>SG</t>
  </si>
  <si>
    <t>SH</t>
  </si>
  <si>
    <t>SO</t>
  </si>
  <si>
    <t>SZ</t>
  </si>
  <si>
    <t>TG</t>
  </si>
  <si>
    <t>TI</t>
  </si>
  <si>
    <t>UR</t>
  </si>
  <si>
    <t>VD</t>
  </si>
  <si>
    <t>VS</t>
  </si>
  <si>
    <t>ZG</t>
  </si>
  <si>
    <t>B</t>
  </si>
  <si>
    <t>C</t>
  </si>
  <si>
    <t>D</t>
  </si>
  <si>
    <t>E</t>
  </si>
  <si>
    <t>F</t>
  </si>
  <si>
    <t>G</t>
  </si>
  <si>
    <t>H</t>
  </si>
  <si>
    <t>I</t>
  </si>
  <si>
    <t>J</t>
  </si>
  <si>
    <t>K</t>
  </si>
  <si>
    <t>L</t>
  </si>
  <si>
    <t>M</t>
  </si>
  <si>
    <t>N</t>
  </si>
  <si>
    <t>O</t>
  </si>
  <si>
    <t>P</t>
  </si>
  <si>
    <t>Q</t>
  </si>
  <si>
    <t>R</t>
  </si>
  <si>
    <t>S</t>
  </si>
  <si>
    <t>T</t>
  </si>
  <si>
    <t>U</t>
  </si>
  <si>
    <t>W</t>
  </si>
  <si>
    <t>AVACAH - Ass. vaudoise pour  la construction adaptée aux handicapés</t>
  </si>
  <si>
    <t>Bibliothèque sonore romande (BSR)</t>
  </si>
  <si>
    <t>Solidarité-Handicap mental</t>
  </si>
  <si>
    <t>Association Cap-Contact</t>
  </si>
  <si>
    <t>CFR Lausanne, Ecublens</t>
  </si>
  <si>
    <t>insieme Vaud</t>
  </si>
  <si>
    <t>GRSA - Groupement romand  des skieurs aveugles et amblyopes</t>
  </si>
  <si>
    <t>Sport invalidi Lugano</t>
  </si>
  <si>
    <t>Vereinigung Cerebral Basel</t>
  </si>
  <si>
    <t>BSBS Beratungsstelle für Gehörlose Basel</t>
  </si>
  <si>
    <t>BSBE Beratungsstelle für Gehörlose Bern</t>
  </si>
  <si>
    <t xml:space="preserve"> PALU pro audito Luzern </t>
  </si>
  <si>
    <t>Vereinigung Cerebral Schaffhausen</t>
  </si>
  <si>
    <t>Vereinigung Cerebral Solothurn</t>
  </si>
  <si>
    <t xml:space="preserve">BSSG Beratungsstelle für Gehörlose St.Gallen </t>
  </si>
  <si>
    <t xml:space="preserve">Vereinigung Cerebral Zürich  </t>
  </si>
  <si>
    <t>pro audito schweiz</t>
  </si>
  <si>
    <t>GP Ticino, Bellinzona</t>
  </si>
  <si>
    <t>Association Cerebral Jura</t>
  </si>
  <si>
    <t>Association Cerebral Vaud</t>
  </si>
  <si>
    <t>Società invalidi sportivi del Locarnese</t>
  </si>
  <si>
    <t>Croix-Bleue neuchâteloise</t>
  </si>
  <si>
    <t>Fondation Romande des Malentendants - FoRoM écoute (SRLS)</t>
  </si>
  <si>
    <t>Fondation Pages Romandes</t>
  </si>
  <si>
    <t>insieme Valais romand</t>
  </si>
  <si>
    <t>insieme cerebral Jura bernois</t>
  </si>
  <si>
    <t>UNITAS, Associazione ciechi della Svizzera italiana (Biblioteca Braille e del Libro Parlato)</t>
  </si>
  <si>
    <t>UNITAS Associazione Ciechi della Svizzera Italiana</t>
  </si>
  <si>
    <t>CFR du Nord Vaudois, Yverdon-les-Bains</t>
  </si>
  <si>
    <t>sonos - Schweiz. Verband für das Gehörlosen- und Hörgeschädigten-Organisationen</t>
  </si>
  <si>
    <t>Association Le Copain</t>
  </si>
  <si>
    <t>Lungenliga Aargau</t>
  </si>
  <si>
    <t>Lungenliga Uri</t>
  </si>
  <si>
    <t>RC beider Basel, 4001 Basel</t>
  </si>
  <si>
    <t>Rheumaliga beider Basel</t>
  </si>
  <si>
    <t>Invaliden-Vereinigung beider Basel</t>
  </si>
  <si>
    <t>insieme Lebenshilfe Basel-Stadt</t>
  </si>
  <si>
    <t>Schweizerische Stiftung  für das cerebral gelähmte Kind</t>
  </si>
  <si>
    <t>STUNDEN_OEFFENTLICHKEITSARBEIT</t>
  </si>
  <si>
    <t>OEFFENTLICHKEITSARBEIT_ALLG</t>
  </si>
  <si>
    <t>PUBLIKATIONEN</t>
  </si>
  <si>
    <t>INFORMATIONSSTELLEN</t>
  </si>
  <si>
    <t>STUNDEN_DIENSTLEISTUNGEN</t>
  </si>
  <si>
    <t>INFORMATIONSMATERIALIEN</t>
  </si>
  <si>
    <t>BETREUUNGSDIENSTE</t>
  </si>
  <si>
    <t>DOLMETSCHDIENSTE</t>
  </si>
  <si>
    <t>STUNDEN_GRUNDLAGENARBEIT</t>
  </si>
  <si>
    <t>STUNDEN_FOERDERUNG_SELBSTHILFE</t>
  </si>
  <si>
    <t>KOSTENRECHNUNG</t>
  </si>
  <si>
    <t>ID</t>
  </si>
  <si>
    <t>VERTRAG</t>
  </si>
  <si>
    <t>H1</t>
  </si>
  <si>
    <t>K1</t>
  </si>
  <si>
    <t>D1</t>
  </si>
  <si>
    <t>ORGANISATION</t>
  </si>
  <si>
    <t>BSV_NR1</t>
  </si>
  <si>
    <t>C3</t>
  </si>
  <si>
    <t>BSV_NR2</t>
  </si>
  <si>
    <t>D3</t>
  </si>
  <si>
    <t>E3</t>
  </si>
  <si>
    <t>F3</t>
  </si>
  <si>
    <t>G3</t>
  </si>
  <si>
    <t>H3</t>
  </si>
  <si>
    <t>I3</t>
  </si>
  <si>
    <t>J3</t>
  </si>
  <si>
    <t>K3</t>
  </si>
  <si>
    <t>L3</t>
  </si>
  <si>
    <t>M3</t>
  </si>
  <si>
    <t>N3</t>
  </si>
  <si>
    <t>O3</t>
  </si>
  <si>
    <t>P3</t>
  </si>
  <si>
    <t>Q3</t>
  </si>
  <si>
    <t>R3</t>
  </si>
  <si>
    <t>S3</t>
  </si>
  <si>
    <t>T3</t>
  </si>
  <si>
    <t>U3</t>
  </si>
  <si>
    <t>V3</t>
  </si>
  <si>
    <t>W3</t>
  </si>
  <si>
    <t>X3</t>
  </si>
  <si>
    <t>Y3</t>
  </si>
  <si>
    <t>Z3</t>
  </si>
  <si>
    <t>AA3</t>
  </si>
  <si>
    <t>AB3</t>
  </si>
  <si>
    <t>AC3</t>
  </si>
  <si>
    <t>AD3</t>
  </si>
  <si>
    <t>AE3</t>
  </si>
  <si>
    <t>AF3</t>
  </si>
  <si>
    <t>AG3</t>
  </si>
  <si>
    <t>AH3</t>
  </si>
  <si>
    <t>AI3</t>
  </si>
  <si>
    <t>AJ3</t>
  </si>
  <si>
    <t>AK3</t>
  </si>
  <si>
    <t>AL3</t>
  </si>
  <si>
    <t>AM3</t>
  </si>
  <si>
    <t>AN3</t>
  </si>
  <si>
    <t>AO3</t>
  </si>
  <si>
    <t>AP3</t>
  </si>
  <si>
    <t>AQ3</t>
  </si>
  <si>
    <t>AR3</t>
  </si>
  <si>
    <t>AS3</t>
  </si>
  <si>
    <t>AT3</t>
  </si>
  <si>
    <t>AU3</t>
  </si>
  <si>
    <t>AV3</t>
  </si>
  <si>
    <t>AW3</t>
  </si>
  <si>
    <t>AX3</t>
  </si>
  <si>
    <t>AY3</t>
  </si>
  <si>
    <t>AZ3</t>
  </si>
  <si>
    <t>BA3</t>
  </si>
  <si>
    <t>BB3</t>
  </si>
  <si>
    <t>BC3</t>
  </si>
  <si>
    <t>BD3</t>
  </si>
  <si>
    <t>BE3</t>
  </si>
  <si>
    <t>BF3</t>
  </si>
  <si>
    <t>BG3</t>
  </si>
  <si>
    <t>BH3</t>
  </si>
  <si>
    <t>BI3</t>
  </si>
  <si>
    <t>BJ3</t>
  </si>
  <si>
    <t>BK3</t>
  </si>
  <si>
    <t>BL3</t>
  </si>
  <si>
    <t>BM3</t>
  </si>
  <si>
    <t>BN3</t>
  </si>
  <si>
    <t>BO3</t>
  </si>
  <si>
    <t>BP3</t>
  </si>
  <si>
    <t>BQ3</t>
  </si>
  <si>
    <t>BR3</t>
  </si>
  <si>
    <t>BS3</t>
  </si>
  <si>
    <t>BT3</t>
  </si>
  <si>
    <t>BU3</t>
  </si>
  <si>
    <t>BV3</t>
  </si>
  <si>
    <t>BW3</t>
  </si>
  <si>
    <t>BX3</t>
  </si>
  <si>
    <t>BY3</t>
  </si>
  <si>
    <t>BZ3</t>
  </si>
  <si>
    <t>CA3</t>
  </si>
  <si>
    <t>CB3</t>
  </si>
  <si>
    <t>CC3</t>
  </si>
  <si>
    <t>CD3</t>
  </si>
  <si>
    <t>BSV_NR3</t>
  </si>
  <si>
    <t>BSV_NR4</t>
  </si>
  <si>
    <t>BSV_NR5</t>
  </si>
  <si>
    <t>BSV_NR6</t>
  </si>
  <si>
    <t>BSV_NR7</t>
  </si>
  <si>
    <t>BSV_NR8</t>
  </si>
  <si>
    <t>BSV_NR9</t>
  </si>
  <si>
    <t>BSV_NR10</t>
  </si>
  <si>
    <t>BSV_NR11</t>
  </si>
  <si>
    <t>BSV_NR12</t>
  </si>
  <si>
    <t>BSV_NR13</t>
  </si>
  <si>
    <t>BSV_NR14</t>
  </si>
  <si>
    <t>BSV_NR15</t>
  </si>
  <si>
    <t>BSV_NR16</t>
  </si>
  <si>
    <t>BSV_NR17</t>
  </si>
  <si>
    <t>BSV_NR18</t>
  </si>
  <si>
    <t>BSV_NR19</t>
  </si>
  <si>
    <t>BSV_NR20</t>
  </si>
  <si>
    <t>BSV_NR21</t>
  </si>
  <si>
    <t>Nur KlientInnen angeben, die keine Hilflosenentschädigung für lebenspraktische Begleitung erhalten, jedoch gemäss Randziffer 1003 beitragsberechtigt sind</t>
  </si>
  <si>
    <t>Versichertennummer</t>
  </si>
  <si>
    <t>Wohnkanton</t>
  </si>
  <si>
    <t>Behinderungsart</t>
  </si>
  <si>
    <t>Behinderten Personen im Begleiteten Wohnen für das Jahr</t>
  </si>
  <si>
    <t>BSV-Nr. ULV-Nehmerin</t>
  </si>
  <si>
    <t>BSV_NR22</t>
  </si>
  <si>
    <t>BSV_NR23</t>
  </si>
  <si>
    <t>BSV_NR24</t>
  </si>
  <si>
    <t>BSV_NR25</t>
  </si>
  <si>
    <t>BSV_NR26</t>
  </si>
  <si>
    <t>BSV_NR27</t>
  </si>
  <si>
    <t>BSV_NR28</t>
  </si>
  <si>
    <t>BSV_NR29</t>
  </si>
  <si>
    <t>BSV_NR30</t>
  </si>
  <si>
    <t>BSV_NR31</t>
  </si>
  <si>
    <t>BSV_NR32</t>
  </si>
  <si>
    <t>BSV_NR33</t>
  </si>
  <si>
    <t>BSV_NR34</t>
  </si>
  <si>
    <t>BSV_NR35</t>
  </si>
  <si>
    <t>BSV_NR36</t>
  </si>
  <si>
    <t>BSV_NR37</t>
  </si>
  <si>
    <t>BSV_NR38</t>
  </si>
  <si>
    <t>BSV_NR39</t>
  </si>
  <si>
    <t>BSV_NR40</t>
  </si>
  <si>
    <t>BSV_NR41</t>
  </si>
  <si>
    <t>BSV_NR42</t>
  </si>
  <si>
    <t>BSV_NR43</t>
  </si>
  <si>
    <t>BSV_NR44</t>
  </si>
  <si>
    <t>BSV_NR45</t>
  </si>
  <si>
    <t>BSV_NR46</t>
  </si>
  <si>
    <t>BSV_NR47</t>
  </si>
  <si>
    <t>BSV_NR48</t>
  </si>
  <si>
    <t>BSV_NR49</t>
  </si>
  <si>
    <t>BSV_NR50</t>
  </si>
  <si>
    <t>BSV_NR51</t>
  </si>
  <si>
    <t>BSV_NR52</t>
  </si>
  <si>
    <t>BSV_NR53</t>
  </si>
  <si>
    <t>BSV_NR54</t>
  </si>
  <si>
    <t>BSV_NR55</t>
  </si>
  <si>
    <t>BSV_NR56</t>
  </si>
  <si>
    <t>BSV_NR57</t>
  </si>
  <si>
    <t>BSV_NR58</t>
  </si>
  <si>
    <t>BSV_NR59</t>
  </si>
  <si>
    <t>BSV_NR60</t>
  </si>
  <si>
    <t>BSV_NR61</t>
  </si>
  <si>
    <t>BSV_NR62</t>
  </si>
  <si>
    <t>BSV_NR63</t>
  </si>
  <si>
    <t>BSV_NR64</t>
  </si>
  <si>
    <t>BSV_NR65</t>
  </si>
  <si>
    <t>BSV_NR66</t>
  </si>
  <si>
    <t>BSV_NR67</t>
  </si>
  <si>
    <t>BSV_NR68</t>
  </si>
  <si>
    <t>BSV_NR69</t>
  </si>
  <si>
    <t>BSV_NR70</t>
  </si>
  <si>
    <t>BSV_NR71</t>
  </si>
  <si>
    <t>BSV_NR72</t>
  </si>
  <si>
    <t>BSV_NR73</t>
  </si>
  <si>
    <t>BSV_NR74</t>
  </si>
  <si>
    <t>BSV_NR75</t>
  </si>
  <si>
    <t>BSV_NR76</t>
  </si>
  <si>
    <t>BSV_NR77</t>
  </si>
  <si>
    <t>BSV_NR78</t>
  </si>
  <si>
    <t>BSV_NR79</t>
  </si>
  <si>
    <t>BSV_NR80</t>
  </si>
  <si>
    <t>ANZAHL_KLIENTEN</t>
  </si>
  <si>
    <t>BRSB - Beratungs - und Rehabilitationsstelle für Sehbehinderte u. Blinde des Kantons Bern</t>
  </si>
  <si>
    <t>Lungenliga Bern</t>
  </si>
  <si>
    <t>Lungenliga Graubünden</t>
  </si>
  <si>
    <t>Lungenliga Glarus</t>
  </si>
  <si>
    <t>Verein für behindertengerechtes Bauen Luzern</t>
  </si>
  <si>
    <t xml:space="preserve">ELPOS Zentralschweiz </t>
  </si>
  <si>
    <t>Lungenliga Schwyz</t>
  </si>
  <si>
    <t>ELPOS Nordwestschweiz</t>
  </si>
  <si>
    <t>Lungenliga Unterwalden</t>
  </si>
  <si>
    <t>Lungenliga Schaffhausen</t>
  </si>
  <si>
    <t>Lungenliga Solothurn</t>
  </si>
  <si>
    <t>E48</t>
  </si>
  <si>
    <t>E49</t>
  </si>
  <si>
    <t>E51</t>
  </si>
  <si>
    <t>E52</t>
  </si>
  <si>
    <t>SZB - Schweiz. Zentralverein für das Blindenwesen, St. Gallen</t>
  </si>
  <si>
    <t>BEGLEITETES_WOHNEN_ZIELGRUPPE</t>
  </si>
  <si>
    <t>BEGLEITSTUNDEN</t>
  </si>
  <si>
    <t>ANWESENHEITSWOCHEN</t>
  </si>
  <si>
    <t>BEGLEITETES_WOHNEN</t>
  </si>
  <si>
    <t>BEGL_STDN_MEHRFACH_BEHINDERT</t>
  </si>
  <si>
    <t>ANW_WOCHEN_MEHRFACH_BEHINDERT</t>
  </si>
  <si>
    <t>ANZ_KLIENTEN_MEHRFACH_BEH</t>
  </si>
  <si>
    <t>BEGL_STDN_BERECHTIGT_IVG</t>
  </si>
  <si>
    <t>ANW_WOCHEN_BERECHTIGT_IVG</t>
  </si>
  <si>
    <t>ANZ_KLIENTEN_BERECHTIGT_IVG</t>
  </si>
  <si>
    <t>BEGL_STDN_BERECHTIGT_AHVG</t>
  </si>
  <si>
    <t>ANW_WOCHEN_BERECHTIGT_AHVG</t>
  </si>
  <si>
    <t>ANZ_KLIENTEN_BERECHTIGT_AHVG</t>
  </si>
  <si>
    <t>BEGL_STDN_NICHT_BERECHTIGT</t>
  </si>
  <si>
    <t>ANW_WOCHEN_NICHT_BERECHTIGT</t>
  </si>
  <si>
    <t>ANZ_KLIENTEN_NICHT_BERECHTIGT</t>
  </si>
  <si>
    <t>BEGLEITETES_WOHNEN_KANTON</t>
  </si>
  <si>
    <t>ANZ_KLIENTEN_NEU</t>
  </si>
  <si>
    <t>ANZ_KLIENTEN_VORJAHR</t>
  </si>
  <si>
    <t>ANZ_KLIENTEN_AUS_HEIM</t>
  </si>
  <si>
    <t>ANZ_KLIENTEN_NEU_SELBST</t>
  </si>
  <si>
    <t>Zuordung Perioden_id</t>
  </si>
  <si>
    <t>Drahtzug BeWo</t>
  </si>
  <si>
    <t>St. Gallischer Hilfsverein für Gemütskranke</t>
  </si>
  <si>
    <t>Stiftung Phönix Zug (inkl. Stiftung Phönix Uri)</t>
  </si>
  <si>
    <t>Stiftung Phönix Schwyz</t>
  </si>
  <si>
    <t>Fondation de Vernand</t>
  </si>
  <si>
    <t xml:space="preserve">FRAGILE Suisse BW, Zürich </t>
  </si>
  <si>
    <t>Förderraum St. Gallen</t>
  </si>
  <si>
    <t>OVWB BW, St. Gallen</t>
  </si>
  <si>
    <t xml:space="preserve">Elternvereinigung für das herzkranke Kind </t>
  </si>
  <si>
    <t>PTA Pfadibewegung Schweiz PBS</t>
  </si>
  <si>
    <t>Stiftung WOHIN, Thun</t>
  </si>
  <si>
    <t>Thurgauische Arbeitsgruppe für Behinderte (Freizeit)</t>
  </si>
  <si>
    <t>TAB Thurgau Bildungsclub</t>
  </si>
  <si>
    <t>Solodaris Stiftung Solothurn</t>
  </si>
  <si>
    <t>insieme Neuchâtel</t>
  </si>
  <si>
    <t>Addiction Valais</t>
  </si>
  <si>
    <t>Bildungsclub Rütimattli</t>
  </si>
  <si>
    <t>SZH/CSPS - Stiftung Schweizer Zentrum für Heil- und Sonderpädagogik</t>
  </si>
  <si>
    <t>Fondation Neuchâtel Addictions</t>
  </si>
  <si>
    <t>insieme Biel-Seeland</t>
  </si>
  <si>
    <t>insieme Thun-Oberland</t>
  </si>
  <si>
    <t>Reporting:</t>
  </si>
  <si>
    <t>&lt; 442</t>
  </si>
  <si>
    <t>&lt; 341</t>
  </si>
  <si>
    <t>&gt; 643</t>
  </si>
  <si>
    <t>&gt; 475</t>
  </si>
  <si>
    <t>&gt; 642</t>
  </si>
  <si>
    <t>&lt;</t>
  </si>
  <si>
    <t>&gt;</t>
  </si>
  <si>
    <t>&gt; 474</t>
  </si>
  <si>
    <t xml:space="preserve">  </t>
  </si>
  <si>
    <t>Appenzellischer Hilfsverein für Psychischkranke BeWo</t>
  </si>
  <si>
    <t>APW - Arbeitsgemeinschaft für Probleme bei Wahrnehmungsstörungen</t>
  </si>
  <si>
    <t>Arbeitsgemeinschaft Ess-Störungen AES</t>
  </si>
  <si>
    <t>Beth Chana - Verein für jüdische Behinderte</t>
  </si>
  <si>
    <t>Caritas Zürich</t>
  </si>
  <si>
    <t>Centre de formation continue Fribourg</t>
  </si>
  <si>
    <t>DEBRA Schweiz</t>
  </si>
  <si>
    <t>Entlastungsdienst Aargau</t>
  </si>
  <si>
    <t>Entlastungsdienst Kanton Bern</t>
  </si>
  <si>
    <t>Entlastungsdienst Kanton Zürich</t>
  </si>
  <si>
    <t>Entlastungsdienst Thurgau (Übernahme durch PI per 2016 geplant)</t>
  </si>
  <si>
    <t>Fachstelle Autismushilfe Ostschweiz</t>
  </si>
  <si>
    <t>Fondation - Stiftung Emera</t>
  </si>
  <si>
    <t xml:space="preserve">Fondation des Lys BeWo </t>
  </si>
  <si>
    <t>Frauenzentrale des Kantons St.Gallen HED</t>
  </si>
  <si>
    <t>Freizeit- und Bildungsklub Thal-Gäu</t>
  </si>
  <si>
    <t>insieme Ausserschwyz ED mitenand</t>
  </si>
  <si>
    <t>insieme Genf SR</t>
  </si>
  <si>
    <t>insieme Graubünden ED</t>
  </si>
  <si>
    <t>insieme Innerschwyz ED Zyt ha</t>
  </si>
  <si>
    <t>Integras</t>
  </si>
  <si>
    <t>Les Etablissements publics pour l’intégration (EPI) BeWo</t>
  </si>
  <si>
    <t>Marfan Stiftung Schweiz</t>
  </si>
  <si>
    <t>Mobility International Schweiz</t>
  </si>
  <si>
    <t>Murg-Stiftung</t>
  </si>
  <si>
    <t>Nathalie Stiftung</t>
  </si>
  <si>
    <t>Noveos BeWo</t>
  </si>
  <si>
    <t>Pro Infirmis</t>
  </si>
  <si>
    <t>Stiftung Arkadis Bildungsklub</t>
  </si>
  <si>
    <t>Stiftung Kind und Autismus</t>
  </si>
  <si>
    <t>Stiftung Mosaik</t>
  </si>
  <si>
    <t>Stiftung wisli BeWo</t>
  </si>
  <si>
    <t>Töpferhaus Aarau BeWo</t>
  </si>
  <si>
    <t>traversa</t>
  </si>
  <si>
    <t>Verband Entlastungsdienst St.Gallen–Appenzell (VESA)</t>
  </si>
  <si>
    <t>Verein Begleitetes Wohnen Bürglen</t>
  </si>
  <si>
    <t>Verein Beratungsstellen Hohenrain LGB</t>
  </si>
  <si>
    <t>Verein für Sozialpsychiatrie (VSP) Thurgau BeWo</t>
  </si>
  <si>
    <t>Verein Interessengemeinschaft für Sozialpsychiatrie (IGSP) BeWo</t>
  </si>
  <si>
    <t>Zentrum Selbsthilfe</t>
  </si>
  <si>
    <t>SVEHK - ASPEDA</t>
  </si>
  <si>
    <t>SBH Schweiz. Verein. Zug. V. Pers. Mit…</t>
  </si>
  <si>
    <t>Schweizerische Gesellschaft für Muskelkranke SGMK</t>
  </si>
  <si>
    <t>Schweizerischer Gehörlosenbund SGB-FSS</t>
  </si>
  <si>
    <t>Stiftung Treffpunkt der Gehörlosen TdG</t>
  </si>
  <si>
    <t>FOCUSFIVE (Verein)</t>
  </si>
  <si>
    <t>ASRIM -Association de la Suisse  Romande et Italienne contre les Myopathies</t>
  </si>
  <si>
    <t>ASPr - Association suisse des Paralysés</t>
  </si>
  <si>
    <t>FTIA - Federazione ticinese integrazione andicap</t>
  </si>
  <si>
    <t>Società Epilettici della Svizzera italiana</t>
  </si>
  <si>
    <t>Associazione Malattie Genetiche Rare Bellinzona</t>
  </si>
  <si>
    <t>IPT</t>
  </si>
  <si>
    <t>Schweizer Paraplegiker Vereinigung</t>
  </si>
  <si>
    <t>RC Winterthur/SH, Winterthur</t>
  </si>
  <si>
    <t>RC Züri Oberland</t>
  </si>
  <si>
    <t>CFR Carouge, Carouge GE</t>
  </si>
  <si>
    <t>GC Insuperabili</t>
  </si>
  <si>
    <t>Aphasie suisse</t>
  </si>
  <si>
    <t>Schw. Gesellschaft Cystische Fibrose</t>
  </si>
  <si>
    <t>FRAGILE Suisse, Zürich</t>
  </si>
  <si>
    <t>FRAGILE Zentralschweizer, Luzern</t>
  </si>
  <si>
    <t>Selbsthilfezentrum ZH-Oberland, Uster</t>
  </si>
  <si>
    <t>MS Gesellschaft</t>
  </si>
  <si>
    <t>FST</t>
  </si>
  <si>
    <t>CRIAD</t>
  </si>
  <si>
    <t>Fondation Phénix</t>
  </si>
  <si>
    <t>Fondation Dépendances Jura Trans -AT</t>
  </si>
  <si>
    <t>Action Communautaire et Toxicomanie</t>
  </si>
  <si>
    <t>Fondation du Levant, CAP -</t>
  </si>
  <si>
    <t>Fondation Vaudoise contre l'Alcoolisme</t>
  </si>
  <si>
    <t>Fondation Les Oliviers</t>
  </si>
  <si>
    <t>Association Le Relais</t>
  </si>
  <si>
    <t>Antennes Sida du Valais</t>
  </si>
  <si>
    <t>Association de la Croix-Bleue romande</t>
  </si>
  <si>
    <t>CROEPI  VD</t>
  </si>
  <si>
    <t>GRAAP Groupe d'accueil et d'action psychiatrique VD</t>
  </si>
  <si>
    <t>ANAAP -Ass. neuchâteloise d'accueil et d'action psychiatrique Le Déclic NE</t>
  </si>
  <si>
    <t>AFAAP - Association fribourgeoise d'action et d'accompagnemenl psychiatrique  FR</t>
  </si>
  <si>
    <t xml:space="preserve">CORAASP Coordination romande des associations d'action pour la santé psychique </t>
  </si>
  <si>
    <t>ABA, association Boulimio et Anorexie  (VD)</t>
  </si>
  <si>
    <t>AVEP Association Valaisanne d'Entraide Psychiatrique</t>
  </si>
  <si>
    <t>ASA-Handicap mental</t>
  </si>
  <si>
    <t>AGIS - Association genevoise d'insertion sociale</t>
  </si>
  <si>
    <t>Autrement-Aujourd'hui</t>
  </si>
  <si>
    <t>ASA Valais</t>
  </si>
  <si>
    <t>Association Réseau Romand-ASA</t>
  </si>
  <si>
    <t>Project Association (ACTIFS)</t>
  </si>
  <si>
    <t xml:space="preserve">Schwerhörigen-Verein Solothurn u.Umgebung </t>
  </si>
  <si>
    <t xml:space="preserve">Schwerhörigen-Verein Wädenswil-Richters u.Umg. </t>
  </si>
  <si>
    <t xml:space="preserve">Schwerhörigenverein Bülach (Z. Unterland) </t>
  </si>
  <si>
    <t xml:space="preserve">Verein Hörbehinderter Entlebuch/Wolhusen </t>
  </si>
  <si>
    <t>Schweizerischer Blinden- und Sehbehindertenverband</t>
  </si>
  <si>
    <t>Behinderten Forum Dachorg. der Behinderten-Selbsthilfe Region Basel</t>
  </si>
  <si>
    <t>SEREI,  2300 La Chaux-de-Fonds</t>
  </si>
  <si>
    <t>Procap Valais romand, 1950 Sion</t>
  </si>
  <si>
    <t>Procap Bienne - Jura bernois, 2500 Bienne</t>
  </si>
  <si>
    <t>Procap Bern, 3007 Bern</t>
  </si>
  <si>
    <t xml:space="preserve">Procap Sport Olten </t>
  </si>
  <si>
    <t>Procap Sport Langenthal</t>
  </si>
  <si>
    <t>Procap Sport Burgdorf und Umgebung</t>
  </si>
  <si>
    <t>Procap Sport March- Höfe</t>
  </si>
  <si>
    <t>Procap Sport Basel und Umgebung</t>
  </si>
  <si>
    <t>Procap Nordwestschweiz, 4057 Basel</t>
  </si>
  <si>
    <t>Procap Sport Sargans-Werdenberg</t>
  </si>
  <si>
    <t>Procap Sport Thun und Umgebung</t>
  </si>
  <si>
    <t>Procap Sport Herzogenbuchsee</t>
  </si>
  <si>
    <t>Procap Zürich-Schaffhausen, 8820 Wädenswil</t>
  </si>
  <si>
    <t xml:space="preserve">Procap Lausanne, 1000 Lausanne </t>
  </si>
  <si>
    <t>Procap Sport Interlaken</t>
  </si>
  <si>
    <t>Procap Sport La Chaux-de-Fonds</t>
  </si>
  <si>
    <t>Procap Sport Delémont</t>
  </si>
  <si>
    <t>Procap Sport Franches-Montagnes</t>
  </si>
  <si>
    <t>Procap Sport Lausanne</t>
  </si>
  <si>
    <t>Procap Région Broye</t>
  </si>
  <si>
    <t>Procap Sport Vallée de Joux</t>
  </si>
  <si>
    <t>Procap Sport Val-de-Ruz</t>
  </si>
  <si>
    <t>Procap Sport Val-de-Travers</t>
  </si>
  <si>
    <t>Procap Sport Toggenburg</t>
  </si>
  <si>
    <t>Procap Sport Grischun</t>
  </si>
  <si>
    <t>Procap Sport Marly</t>
  </si>
  <si>
    <t>Glarner Fachstelle behindertengerechtes Bauen</t>
  </si>
  <si>
    <t>Bauberatungsstelle Uri</t>
  </si>
  <si>
    <t>Schweiz. Caritasaktion der Blinden CAB</t>
  </si>
  <si>
    <t>Schweizerischer Blindenbund (SBb)</t>
  </si>
  <si>
    <t xml:space="preserve">VERSTA - Vereinigung für Stotternde und Angehörige </t>
  </si>
  <si>
    <t>autismus schweiz</t>
  </si>
  <si>
    <t>autismus deutsche schweiz</t>
  </si>
  <si>
    <t>autisme suisse romande</t>
  </si>
  <si>
    <t>autismo svizzera italiana</t>
  </si>
  <si>
    <t>CENTRO AL DRAGONATO</t>
  </si>
  <si>
    <t>CULTURA E FORMAZIONE PER PERSONE INVALIDE</t>
  </si>
  <si>
    <t>UNITÀ DI LAVORO SOCIALE</t>
  </si>
  <si>
    <t>ATGABBES</t>
  </si>
  <si>
    <t>COMUNITÀ FAMILIARE</t>
  </si>
  <si>
    <t>ARES</t>
  </si>
  <si>
    <t>Schweizerische Hämophilie-Gesellschaft</t>
  </si>
  <si>
    <t>VASK Schweiz, Vereinigung der Angehörigen von Schizophrenie- / Psychisch-Kranken</t>
  </si>
  <si>
    <t>avanti donne, Kontaktstelle für behinderte 
Frauen und Mädchen</t>
  </si>
  <si>
    <t>fabs</t>
  </si>
  <si>
    <t xml:space="preserve">insieme-zwirniträff </t>
  </si>
  <si>
    <t>Freizeitclub der Region Zofingen* (5190.25)</t>
  </si>
  <si>
    <t>insieme Nidwalden</t>
  </si>
  <si>
    <t xml:space="preserve">insieme cerebral Zug </t>
  </si>
  <si>
    <t>insieme Zürich Stadt</t>
  </si>
  <si>
    <t>Bildungsclub Region Basel</t>
  </si>
  <si>
    <t xml:space="preserve">volkshochschule plus </t>
  </si>
  <si>
    <t>insieme Oberwallis</t>
  </si>
  <si>
    <t xml:space="preserve">Freizeittreff Aargau </t>
  </si>
  <si>
    <t>Bildungsclub Kt. Schwyz</t>
  </si>
  <si>
    <t>Associazione Comunità familiare - 
Antenne Icaro</t>
  </si>
  <si>
    <t>SGSV - Schweizerischer Gehörlosen-Sportverband</t>
  </si>
  <si>
    <t>Behinderten-Sportgruppe Aarau</t>
  </si>
  <si>
    <t>Behinderten-Sportgruppe Region Brugg</t>
  </si>
  <si>
    <t>Behinderten-Sportgruppe Fricktal</t>
  </si>
  <si>
    <t>Behinderten-Sportgruppe Wettingen</t>
  </si>
  <si>
    <t>Behinderten-Sportgruppe Wohlen-Lenzburg</t>
  </si>
  <si>
    <t>PLUSPORT Behindertensport Zofingen</t>
  </si>
  <si>
    <t>Behinderten-Sportgruppe Region Zurzach</t>
  </si>
  <si>
    <t>Behindertensport Appenzell-Sektion Innerhoden</t>
  </si>
  <si>
    <t>Behindertensport Appenzell-Sektion Vorderland</t>
  </si>
  <si>
    <t>Behindertensport Appenzell-Sektion Hinderland</t>
  </si>
  <si>
    <t>Behindertensport Appenzell-Sektion Mittelland (Teufen)</t>
  </si>
  <si>
    <t>PLUSPORT Behindertensport Basel</t>
  </si>
  <si>
    <t>PLUSPORT Behindertensport Kanton Bern</t>
  </si>
  <si>
    <t>PLUSPORT Behindertensport Biel-Seeland</t>
  </si>
  <si>
    <t>Sport-Handicap Fribourg</t>
  </si>
  <si>
    <t>PLUSPORT Sport handicap du sud fribourgeois</t>
  </si>
  <si>
    <t>Handisport - Genève</t>
  </si>
  <si>
    <t>PLUSPORT Behindertensport Glarus und Umgebung</t>
  </si>
  <si>
    <t>BTV Behindertensport Chur</t>
  </si>
  <si>
    <t>Behindertensportclub Luzern</t>
  </si>
  <si>
    <t>Behinderten-Sportgruppe Emmenbrücke</t>
  </si>
  <si>
    <t>PLUSPORT Behindertensport Sursee</t>
  </si>
  <si>
    <t>Behinderten-Sportgruppe Horw</t>
  </si>
  <si>
    <t>Behinderten-Sportgruppe Nidwalden</t>
  </si>
  <si>
    <t>Behinderten-Sportgruppe Obwalden</t>
  </si>
  <si>
    <t>PLUSPORT Behindertensport St. Gallen</t>
  </si>
  <si>
    <t>Behinderten-Sportgruppe des VGB Rorschach</t>
  </si>
  <si>
    <t>PLUSPORT Behindertensport Rheintal</t>
  </si>
  <si>
    <t>Behinderten-Sportverein Uzwil und Umgebung</t>
  </si>
  <si>
    <t>PLUSPORT Schaffhausen</t>
  </si>
  <si>
    <t>Behindertensportgruppe Olten und Umgebung</t>
  </si>
  <si>
    <t>PLUSPORT Behindertensport Solothurn</t>
  </si>
  <si>
    <t>PLUSPORT Behindertensport Schwyz</t>
  </si>
  <si>
    <t>PLUSPORT Behindertensport Thurgau</t>
  </si>
  <si>
    <t>Freizeitclub Oberthurgau</t>
  </si>
  <si>
    <t>Behinderten-Sportgruppe Amriswil</t>
  </si>
  <si>
    <t>PLUSPORT Behindertensport Frauenfeld</t>
  </si>
  <si>
    <t>PLUSPORT Behindertensport Kreuzlingen</t>
  </si>
  <si>
    <t>PLUSPORT Behindertensport Romanshorn</t>
  </si>
  <si>
    <t>PLUSPORT Behindertensport Weinfelden</t>
  </si>
  <si>
    <t>PLUSPORT Behindertensport Uri</t>
  </si>
  <si>
    <t>AS Fair Play</t>
  </si>
  <si>
    <t>PLUSPORT Sport  Handicap Yverdon</t>
  </si>
  <si>
    <t>Groupe Sportif des Handicapés de la Vue GSHV</t>
  </si>
  <si>
    <t>FC Elan</t>
  </si>
  <si>
    <t>ALOHA Sport - Riviera Chablais</t>
  </si>
  <si>
    <t>Sport Handicap Martigny et environs</t>
  </si>
  <si>
    <t>Sport Handicap Sion</t>
  </si>
  <si>
    <t>Sport Handciap Sierre</t>
  </si>
  <si>
    <t>Behindertensport Oberwallis BSOW</t>
  </si>
  <si>
    <t>Sport Handicap Monthey-Chablais</t>
  </si>
  <si>
    <t>Sport- und Freizeitclub für Behinderte Amt &amp; Limmattal</t>
  </si>
  <si>
    <t>PLUSPORT Behindertensport Bezirk Horgen</t>
  </si>
  <si>
    <t>PLUSPORT Zürisee</t>
  </si>
  <si>
    <t>PLUSPORT GLATTAL, Behindertensport Opfikon Wallisellen</t>
  </si>
  <si>
    <t>Behinderten-Sportclub Limmattal</t>
  </si>
  <si>
    <t>PLUSPORT Behindertensport Rümlang</t>
  </si>
  <si>
    <t>Behinderten-Sportgruppe Zimmerberg</t>
  </si>
  <si>
    <t>Behinderten-Sportgruppe Zürcher Oberland-Wetzkon</t>
  </si>
  <si>
    <t>Behinderten-Sportclub Winterthur</t>
  </si>
  <si>
    <t>PLUSPRT Behindertensport Tösstal</t>
  </si>
  <si>
    <t>Behinderten-Sport Club Zürich BSCZ</t>
  </si>
  <si>
    <t>Special Olympics Switzerland</t>
  </si>
  <si>
    <t>Behinderten-Sportgruppe Reinach</t>
  </si>
  <si>
    <t>Stiftung Pegasus Aarau</t>
  </si>
  <si>
    <t>SAHB - Hilfsmittelberatung für Behinderte</t>
  </si>
  <si>
    <t>Stiftung Selbsthilfe Schweiz, Basel</t>
  </si>
  <si>
    <t xml:space="preserve">Selbsthilfezentrum Bern, Thun </t>
  </si>
  <si>
    <t xml:space="preserve">Info Selbsthilfegruppen, Luzern </t>
  </si>
  <si>
    <t>Selbsthilfezentrum Aargau, Baden</t>
  </si>
  <si>
    <t>Kontaktstelle Solothurn, Olten</t>
  </si>
  <si>
    <t>Kontaktstelle Selbsthilfe Zug</t>
  </si>
  <si>
    <t xml:space="preserve">Selbsthilfezentrum Zürich </t>
  </si>
  <si>
    <t>Association Action Bénévole Lausanne</t>
  </si>
  <si>
    <t xml:space="preserve">Info-Entraide FR (zur Zeit inaktiv, 2014) </t>
  </si>
  <si>
    <t>LiZ Liga für Zeckenkranke Bern</t>
  </si>
  <si>
    <t>Conferenza del voletariato sociale, Lugano</t>
  </si>
  <si>
    <t xml:space="preserve">Info-Entraide Jura (zur Zeit im Aufbau, 2014) </t>
  </si>
  <si>
    <t>Info-Entraide NE, Neuchâtel</t>
  </si>
  <si>
    <t>Kontaktstelle Selbsthilfe Schwyz</t>
  </si>
  <si>
    <t>Schweizerische Diabetes-Gesellschaft</t>
  </si>
  <si>
    <t>Associazione Ticinese per i diabetici</t>
  </si>
  <si>
    <t>Associazione Génèvoise des diabétiques</t>
  </si>
  <si>
    <t>Association Neuchâteloise des Diabétiques</t>
  </si>
  <si>
    <t>Association Valaisanne du diabète</t>
  </si>
  <si>
    <t>Diabetes-Gesellschaft Region Basel</t>
  </si>
  <si>
    <t>Zentralschweizerische Diabetes-Gesellschaft</t>
  </si>
  <si>
    <t>Berner Diabetikerlager c/o Berner Diabetes-Stiftung</t>
  </si>
  <si>
    <t>Diabetes-Gesellschaft des Kantons Schaffhausen</t>
  </si>
  <si>
    <t>Zürcher Diabetes-Gesellschaft</t>
  </si>
  <si>
    <t>Association Vaudoise du Diabète</t>
  </si>
  <si>
    <t xml:space="preserve">Diabètefribourg-Diabetesfreiburg </t>
  </si>
  <si>
    <t>Association des Diabétiques du Jura bernois</t>
  </si>
  <si>
    <t>Fondation Diabète-Soleil-Enfant</t>
  </si>
  <si>
    <t>Solothurner Diabetes-Gesellschaft</t>
  </si>
  <si>
    <t>Aargauer Diabetes-Gesellschaft</t>
  </si>
  <si>
    <t>Diabetes-Gesellschaft GL - GR - FL</t>
  </si>
  <si>
    <t>IG Arbeit</t>
  </si>
  <si>
    <t>Profil - Arbeit &amp; Handicap</t>
  </si>
  <si>
    <t>Worktrain</t>
  </si>
  <si>
    <t>Akzent Prävention und Suchttherapie, Luzern</t>
  </si>
  <si>
    <t>Die Alternative, Ottenbach</t>
  </si>
  <si>
    <t>Arche Zürich</t>
  </si>
  <si>
    <t>Suchthilfe Region Basel,"Spektrum", Basel</t>
  </si>
  <si>
    <t>Suchthilfe Region Basel, Nachsorge "Step Out",  Basel</t>
  </si>
  <si>
    <t>Stiftung Terra Vecchia, Bern</t>
  </si>
  <si>
    <t>Rheumaliga Ausserhoden/Innerrohden</t>
  </si>
  <si>
    <t>Ligue fribourgeoise contre le rumatisme</t>
  </si>
  <si>
    <t>Ligue juraissienne contre le rhumatisme</t>
  </si>
  <si>
    <t>Ligue neuchâteloise contre le rhumatisme</t>
  </si>
  <si>
    <t>Rheumaliga St.Gallen, Graubünden und FL</t>
  </si>
  <si>
    <t>Rheumaliga Uri und Schwyz</t>
  </si>
  <si>
    <t>Association Suisse des Fibromyalgiques ASFM</t>
  </si>
  <si>
    <t>Schweizerische Polyarthritiker Vereinigung SPV</t>
  </si>
  <si>
    <t>Schweizerische Vereinigung Morbus Bechterew SVMB</t>
  </si>
  <si>
    <t>Schweizerische Vereinigung Osteogenesis inperfecta SVOI</t>
  </si>
  <si>
    <t>Integration Handicap, Zürich</t>
  </si>
  <si>
    <t>Lungenliga Appenzell Ausserrohden</t>
  </si>
  <si>
    <t>Lungenliga Beider Basel</t>
  </si>
  <si>
    <t>Ligue pulmonaire Fribourg</t>
  </si>
  <si>
    <t>Ligue pulmonaire Génève</t>
  </si>
  <si>
    <t>Ligue pulmonaire Jura</t>
  </si>
  <si>
    <t>Lungenliga Luzern-Zug</t>
  </si>
  <si>
    <t>Ligue pulmonaire neuchâtel</t>
  </si>
  <si>
    <t>Lungenliga St. Gallen</t>
  </si>
  <si>
    <t>Lega polmonare Ticino</t>
  </si>
  <si>
    <t>Ligue pulmonaire vaud</t>
  </si>
  <si>
    <t>Ligue pulmonaire valais</t>
  </si>
  <si>
    <t>Lungenliga Schweiz, Bern</t>
  </si>
  <si>
    <t>Stiftung aha! Allergiezentrum Schweiz</t>
  </si>
  <si>
    <t>SPVG Schweizerische Psoriasis- und Vitiligo-Gesellschaft</t>
  </si>
  <si>
    <t>ilco Schweiz</t>
  </si>
  <si>
    <t>Kinderkrebshilfe Schweiz</t>
  </si>
  <si>
    <t>KKO Regionalgruppe Bern</t>
  </si>
  <si>
    <t>Lega ticinese contre il cancro</t>
  </si>
  <si>
    <t>Association Parole GE</t>
  </si>
  <si>
    <t>Fondation Trajets GE</t>
  </si>
  <si>
    <t>Ligue vaudoise contre le cancer</t>
  </si>
  <si>
    <t>Krebsliga Wallis/Ligue valaisanne contre le cancer</t>
  </si>
  <si>
    <t>Ligue fribourgeoise contre le cancer/Krebsliga Freiburg</t>
  </si>
  <si>
    <t>Krebsliga Aargau</t>
  </si>
  <si>
    <t>Krebsliga beider Basel</t>
  </si>
  <si>
    <t>Krebsliga Schweiz</t>
  </si>
  <si>
    <t>Bernische Krebsliga/Ligue bernoise contre le cancer</t>
  </si>
  <si>
    <t>Krebsliga Graubünden</t>
  </si>
  <si>
    <t>Krebsliga Zentralschweiz</t>
  </si>
  <si>
    <t>Krebsliga Solothurn</t>
  </si>
  <si>
    <t>Krebsliga Ostschweiz</t>
  </si>
  <si>
    <t>Thurgauische Krebsliga</t>
  </si>
  <si>
    <t>Krebsliga Zug</t>
  </si>
  <si>
    <t>Krebsliga Zürich</t>
  </si>
  <si>
    <t>ARFEC</t>
  </si>
  <si>
    <t>SRK Schweizerisches Rotes Kreuz Basel  </t>
  </si>
  <si>
    <t>Krebsliga Schaffhausen</t>
  </si>
  <si>
    <t>GIST-Gruppe Schweiz</t>
  </si>
  <si>
    <t>Behinderten Sportgruppe Konolfingen (BSK)</t>
  </si>
  <si>
    <t>PLUSPORT Oberemmental-Langnau</t>
  </si>
  <si>
    <t>BSV Thun</t>
  </si>
  <si>
    <t>BSV Wittigkofen</t>
  </si>
  <si>
    <t>PLUSPORT Schwimmen Frutigland</t>
  </si>
  <si>
    <t>Behinderten-Schwimmgruppe Gstaad</t>
  </si>
  <si>
    <t>Behinderten-Sportverein Bödeli Interlaken</t>
  </si>
  <si>
    <t>Sehbehinderten-Tandemverein Bern</t>
  </si>
  <si>
    <t>TMSM Wittigkofen</t>
  </si>
  <si>
    <t>PLUSPORT Behindertensport Tscharni</t>
  </si>
  <si>
    <t>Instruction</t>
  </si>
  <si>
    <t xml:space="preserve">- Données des organisations (Informations de base) </t>
  </si>
  <si>
    <t>- Comptabilité analytique consolidée</t>
  </si>
  <si>
    <t>Nombre d'EPT des collaborateurs engagés dans l'exploitation au sens de l'art. 74 LAI</t>
  </si>
  <si>
    <t>Nombre total d'equivalents plein temps (EPT) des collaborateurs engagés dans toute l'organisation</t>
  </si>
  <si>
    <t>Nombre total d'EPT des bénévoles actifs (dans toute l'organisation,  ev. estimation)</t>
  </si>
  <si>
    <t>Nombre d’EPT des bénévoles actifs dans l’exploitation au sens de l’art. 74 LAI</t>
  </si>
  <si>
    <t>Nombre total d’EPT des personnes actives à titre honorifique (dans toute l’organisation, év. estimation)</t>
  </si>
  <si>
    <t>Nombre d’EPT des personnes actives à titre honorifique dans l’exploitation au sens de l’art. 74 LAI</t>
  </si>
  <si>
    <t>Substrat du capital relatif à l’art. 74 LAI</t>
  </si>
  <si>
    <r>
      <t xml:space="preserve">Total des charges sous l’angle de la comptabilité financière (CF)
</t>
    </r>
    <r>
      <rPr>
        <sz val="7"/>
        <rFont val="Arial"/>
        <family val="2"/>
      </rPr>
      <t>(CA sous-traitant cellule B11)</t>
    </r>
  </si>
  <si>
    <r>
      <t xml:space="preserve">Coûts complets de l’exploitation au sens de l’art. 74 LAI après répartition
</t>
    </r>
    <r>
      <rPr>
        <sz val="7"/>
        <rFont val="Arial"/>
        <family val="2"/>
      </rPr>
      <t>(CA sous-traitant cellule W16)</t>
    </r>
  </si>
  <si>
    <r>
      <t xml:space="preserve">Subvention AI
</t>
    </r>
    <r>
      <rPr>
        <sz val="7"/>
        <rFont val="Arial"/>
        <family val="2"/>
      </rPr>
      <t>(CA sous-traitant cellule W18)</t>
    </r>
  </si>
  <si>
    <r>
      <t xml:space="preserve">Contribution de couverture de l’AI 
</t>
    </r>
    <r>
      <rPr>
        <sz val="7"/>
        <rFont val="Arial"/>
        <family val="2"/>
      </rPr>
      <t>(CA sous-traitant cellule W28)</t>
    </r>
  </si>
  <si>
    <t>Données des organisations pour l'année:</t>
  </si>
  <si>
    <t>No de contrat:</t>
  </si>
  <si>
    <t>Cellules jaunes: No OFAS  de chaque organisation partie au contrat de prestations. Cellules vertes: Données des organisations</t>
  </si>
  <si>
    <r>
      <t>Nom de l'organisation
(</t>
    </r>
    <r>
      <rPr>
        <sz val="8"/>
        <rFont val="Arial"/>
        <family val="2"/>
      </rPr>
      <t>s'affiche avec l'insertion du n° OFAS)</t>
    </r>
  </si>
  <si>
    <r>
      <t>Attention en cas d'impression: le marquage en vert totalise 10 feuilles.</t>
    </r>
    <r>
      <rPr>
        <sz val="12"/>
        <rFont val="Arial"/>
        <family val="2"/>
      </rPr>
      <t xml:space="preserve"> </t>
    </r>
  </si>
  <si>
    <t>CA consolidée au niveau du mandataire (CP) pour l'année:</t>
  </si>
  <si>
    <r>
      <t xml:space="preserve">Genre de coûts
</t>
    </r>
    <r>
      <rPr>
        <sz val="10"/>
        <color indexed="10"/>
        <rFont val="Arial"/>
        <family val="2"/>
      </rPr>
      <t>(indiquer les chiffres de manière complète et non seulement par tranches de mille)</t>
    </r>
    <r>
      <rPr>
        <sz val="10"/>
        <rFont val="Arial"/>
        <family val="2"/>
      </rPr>
      <t xml:space="preserve">
</t>
    </r>
  </si>
  <si>
    <t>Salaires</t>
  </si>
  <si>
    <t>Charges sociales</t>
  </si>
  <si>
    <t>Autres charges de personnel</t>
  </si>
  <si>
    <t>Honoraires</t>
  </si>
  <si>
    <t xml:space="preserve">Total des charges de personnel/ Coûts
</t>
  </si>
  <si>
    <t>Frais de locaux</t>
  </si>
  <si>
    <t>Autres frais d'exploitation</t>
  </si>
  <si>
    <t>amortissements (immeubles exclus)</t>
  </si>
  <si>
    <t>Total charges/coûts</t>
  </si>
  <si>
    <t>Répartition charges de personnel</t>
  </si>
  <si>
    <t>Répartition frais de locaux</t>
  </si>
  <si>
    <t>Répartition direction/administration/
organes</t>
  </si>
  <si>
    <t>Total des répartitions</t>
  </si>
  <si>
    <t>coûts complets après répartition</t>
  </si>
  <si>
    <t>Produits des prestations</t>
  </si>
  <si>
    <t>Subventions AI (art. 74 LAI et art. 101bis LAVS)</t>
  </si>
  <si>
    <r>
      <t>Donations directes/ 
Autres produits art. 74 LAI</t>
    </r>
    <r>
      <rPr>
        <vertAlign val="superscript"/>
        <sz val="8"/>
        <rFont val="Arial"/>
        <family val="2"/>
      </rPr>
      <t>1)</t>
    </r>
  </si>
  <si>
    <r>
      <t xml:space="preserve">Donations directes/ autres produits hors Art. 74 LAI </t>
    </r>
    <r>
      <rPr>
        <vertAlign val="superscript"/>
        <sz val="8"/>
        <rFont val="Arial"/>
        <family val="2"/>
      </rPr>
      <t>3)</t>
    </r>
  </si>
  <si>
    <t>Total des produits</t>
  </si>
  <si>
    <t>Contribution de couverture III    ( Cc II + autres subventions Confédération, subventions des cantons et communes)</t>
  </si>
  <si>
    <t>Autres subventions de la confédération/
Subventions des cantons/communes</t>
  </si>
  <si>
    <t>Contribution de couverture IV   (Cc III + Subvention AI)</t>
  </si>
  <si>
    <t>1) Donations liées Art. 74 LAI, subventions, prestations de services, sponsoring pour l'art.74LAI</t>
  </si>
  <si>
    <t>3) Produits affectés hors art. 74 LAI</t>
  </si>
  <si>
    <t>Charges/Produits selon CF</t>
  </si>
  <si>
    <t>Délimitations CF-CA</t>
  </si>
  <si>
    <t>Délimitations des charges propres à la fonction d'organisation faîtière</t>
  </si>
  <si>
    <t>Charges/Produits selon CA</t>
  </si>
  <si>
    <t>Personnel</t>
  </si>
  <si>
    <t>Locaux</t>
  </si>
  <si>
    <t>Direction, administration et organes</t>
  </si>
  <si>
    <t>numéro de contrat</t>
  </si>
  <si>
    <t>CF-CA</t>
  </si>
  <si>
    <t>Conseil et aide aux handicapés et aux proches</t>
  </si>
  <si>
    <t>Aide dans les lieux d'accueil</t>
  </si>
  <si>
    <t>Conseil en matière de construction</t>
  </si>
  <si>
    <t>Conseil juridique</t>
  </si>
  <si>
    <t>Mise en relation avec des services d'aide et d'interprètes</t>
  </si>
  <si>
    <t>Cours en bloc pour handicapés et proches</t>
  </si>
  <si>
    <t>Cours d'un jour pour handicapés et proches</t>
  </si>
  <si>
    <t>Cours annuels et semestriels pour handicapés et proches</t>
  </si>
  <si>
    <t>Prestation ayant pour objet de soutenir et de promouvoir la réadaptation des handicapés</t>
  </si>
  <si>
    <t>Accompagnement à domicile</t>
  </si>
  <si>
    <t>Récolte de fonds</t>
  </si>
  <si>
    <t>Centre de coûts
(coûts indirects/-produits)</t>
  </si>
  <si>
    <t>Unités d'imputation
(Coûts directs/-produits + répartition de coûts indirects/-produits)</t>
  </si>
  <si>
    <t>Charges directes</t>
  </si>
  <si>
    <t>Frais généraux</t>
  </si>
  <si>
    <t>Conseil et aide pour l'année:</t>
  </si>
  <si>
    <t>Handic. mentaux/ayant des difficultés pour apprendre</t>
  </si>
  <si>
    <t>Handicapés de l'ouïe</t>
  </si>
  <si>
    <t>Handicapés physiques</t>
  </si>
  <si>
    <t>Handicapés par suite de maladie</t>
  </si>
  <si>
    <t>Handicapés psychiques</t>
  </si>
  <si>
    <t>Handicapés de la vue</t>
  </si>
  <si>
    <t>Handicapés du langage</t>
  </si>
  <si>
    <t>Handicapés par suite de dépendance</t>
  </si>
  <si>
    <t>subventionnés selon l'art. 74 LAI</t>
  </si>
  <si>
    <t>subventionnés selon l'art. 101bis LAVS</t>
  </si>
  <si>
    <t>Bref conseil social</t>
  </si>
  <si>
    <t>Nombre d'heures</t>
  </si>
  <si>
    <t>Autre provenance (ayants droit à une subvention)</t>
  </si>
  <si>
    <t>nouveaux clients</t>
  </si>
  <si>
    <t>repris de l'année précédente</t>
  </si>
  <si>
    <t>Conseil individuel</t>
  </si>
  <si>
    <t>Total
nombre de handicapés</t>
  </si>
  <si>
    <t>Conseil en groupe</t>
  </si>
  <si>
    <t>Conseil aux proches et
aux personnes de référence</t>
  </si>
  <si>
    <t>Contrat n°</t>
  </si>
  <si>
    <t>Mise en relation avec des services d'aide ou
d'interprète</t>
  </si>
  <si>
    <t>Nombre de proches et de pers. de réf. Conseillés.</t>
  </si>
  <si>
    <t>Bref conseil</t>
  </si>
  <si>
    <t>Conseil avec tenue de dossier</t>
  </si>
  <si>
    <t>Nombre d'heures d'aide</t>
  </si>
  <si>
    <t>Nombre de visites
(présences)</t>
  </si>
  <si>
    <t>Nombre de handicapés</t>
  </si>
  <si>
    <t>Nombre d'interventions</t>
  </si>
  <si>
    <t>Cours en bloc</t>
  </si>
  <si>
    <r>
      <t>Cours d’un jour</t>
    </r>
    <r>
      <rPr>
        <vertAlign val="superscript"/>
        <sz val="10"/>
        <rFont val="Arial"/>
        <family val="2"/>
      </rPr>
      <t>1)</t>
    </r>
  </si>
  <si>
    <t>Cours semestriels/annuels</t>
  </si>
  <si>
    <t>Nombre de handicapés
(personnes)</t>
  </si>
  <si>
    <t>Nombre de proches
(personnes)</t>
  </si>
  <si>
    <t>Statistique des bénéficiaires : cours pour les handicapés et leurs proches pour l’année</t>
  </si>
  <si>
    <t>(N’indiquer que les bénéficiaires reconnus)</t>
  </si>
  <si>
    <t>Autre provenance (seulement ayants droit)</t>
  </si>
  <si>
    <t>1) Les données clients concernant les cours d'un jour ne doivent pas être saisies.</t>
  </si>
  <si>
    <t>Handicapés mentaux ou ayant des difficultés d’apprentissage</t>
  </si>
  <si>
    <t>Handicapés de l’ouïe</t>
  </si>
  <si>
    <t>dont plurihandicapés</t>
  </si>
  <si>
    <t>Cours pour les handicapés et leurs proches pour l’année</t>
  </si>
  <si>
    <t>Contrat n°.</t>
  </si>
  <si>
    <t>Catégories de prestations</t>
  </si>
  <si>
    <t>Type de cours</t>
  </si>
  <si>
    <t>Nombre de cours</t>
  </si>
  <si>
    <t>Nombre de participants (personnes)</t>
  </si>
  <si>
    <t>Journées ou heures participant effectives</t>
  </si>
  <si>
    <t>Bénéficiaires reconnus au titre
de l'art. 74 LAI</t>
  </si>
  <si>
    <t>Bénéficiaires reconnus au titre
de l'art. 101bis LAVS</t>
  </si>
  <si>
    <t>Proches</t>
  </si>
  <si>
    <t>Handicapés/
personnes valides 1)</t>
  </si>
  <si>
    <t>Handicapés</t>
  </si>
  <si>
    <t>Bénéficiaires non reconnus</t>
  </si>
  <si>
    <r>
      <t>Cours en bloc</t>
    </r>
    <r>
      <rPr>
        <vertAlign val="superscript"/>
        <sz val="10"/>
        <rFont val="Arial"/>
        <family val="2"/>
      </rPr>
      <t xml:space="preserve">
</t>
    </r>
    <r>
      <rPr>
        <sz val="8"/>
        <rFont val="Arial"/>
        <family val="2"/>
      </rPr>
      <t>(journées participant)</t>
    </r>
  </si>
  <si>
    <r>
      <t>Cours d’un jour</t>
    </r>
    <r>
      <rPr>
        <vertAlign val="superscript"/>
        <sz val="10"/>
        <rFont val="Arial"/>
        <family val="2"/>
      </rPr>
      <t xml:space="preserve">
</t>
    </r>
    <r>
      <rPr>
        <sz val="8"/>
        <rFont val="Arial"/>
        <family val="2"/>
      </rPr>
      <t>(journées participant)</t>
    </r>
  </si>
  <si>
    <r>
      <t>Cours semestriels/ annuels</t>
    </r>
    <r>
      <rPr>
        <vertAlign val="superscript"/>
        <sz val="10"/>
        <rFont val="Arial"/>
        <family val="2"/>
      </rPr>
      <t xml:space="preserve">
</t>
    </r>
    <r>
      <rPr>
        <sz val="8"/>
        <rFont val="Arial"/>
        <family val="2"/>
      </rPr>
      <t>(heures participant)</t>
    </r>
  </si>
  <si>
    <t xml:space="preserve"> - Réadaptation</t>
  </si>
  <si>
    <t xml:space="preserve"> - Formation continue</t>
  </si>
  <si>
    <t xml:space="preserve"> - Loisirs et sport</t>
  </si>
  <si>
    <t>Catégorie 1</t>
  </si>
  <si>
    <t>Catégorie 2</t>
  </si>
  <si>
    <t>Catégorie 3</t>
  </si>
  <si>
    <t>Cours par type de cours pour l'année…</t>
  </si>
  <si>
    <t>Total des coûts complets</t>
  </si>
  <si>
    <t>Bénéficiaires reconnus selon
l'art. 101bis LAVS</t>
  </si>
  <si>
    <t>Bénéficaires non reconnus</t>
  </si>
  <si>
    <t>Handicapés /personnes valides 1)</t>
  </si>
  <si>
    <t>Cours en bloc
(journées participant)
nuitée à l'hôtel obligatoire</t>
  </si>
  <si>
    <t>Cours d'un jour
(journées participant)</t>
  </si>
  <si>
    <t>Cours semestriels/annuels
(heures participant)</t>
  </si>
  <si>
    <t>Total global</t>
  </si>
  <si>
    <t>1) Dans les cours d'un jour, les personnes non-handicapées (proches inclus) peuvent aussi être comptabilisées.</t>
  </si>
  <si>
    <t>Le mandataire indique dans le reporting les cours et les unités de prestation selon la catégorie de cours en tenant compte des coûts complets par UP et des critères d’attribution. L’affectation se fait selon les tableaux suivants :</t>
  </si>
  <si>
    <t>Coûts complets/UP</t>
  </si>
  <si>
    <t>Cat 1</t>
  </si>
  <si>
    <t>Cat 2</t>
  </si>
  <si>
    <t>Cat 3</t>
  </si>
  <si>
    <t>442 à 642</t>
  </si>
  <si>
    <t>341 à 475</t>
  </si>
  <si>
    <t>PROSPREH</t>
  </si>
  <si>
    <r>
      <t xml:space="preserve">Total heures </t>
    </r>
    <r>
      <rPr>
        <b/>
        <vertAlign val="superscript"/>
        <sz val="10"/>
        <rFont val="Arial"/>
        <family val="2"/>
      </rPr>
      <t>1)</t>
    </r>
  </si>
  <si>
    <t>Total PROSPREH</t>
  </si>
  <si>
    <t>Pluri-handicapés</t>
  </si>
  <si>
    <r>
      <t xml:space="preserve">Tâches générales d’information et de relations publiques </t>
    </r>
    <r>
      <rPr>
        <sz val="8"/>
        <rFont val="Arial"/>
        <family val="2"/>
      </rPr>
      <t>(GC B)</t>
    </r>
  </si>
  <si>
    <r>
      <t>Médias et publications du mandataire accessibles au public</t>
    </r>
    <r>
      <rPr>
        <sz val="8"/>
        <rFont val="Arial"/>
        <family val="2"/>
      </rPr>
      <t xml:space="preserve"> (GC C)</t>
    </r>
  </si>
  <si>
    <r>
      <t xml:space="preserve">Centre d’information et de documentation </t>
    </r>
    <r>
      <rPr>
        <sz val="8"/>
        <rFont val="Arial"/>
        <family val="2"/>
      </rPr>
      <t>(GC C)</t>
    </r>
  </si>
  <si>
    <r>
      <t xml:space="preserve">Développement, élaboration et diffusion de matériel d’information destiné aux handicapés sensoriels ou ayant des difficultés d’apprentissage </t>
    </r>
    <r>
      <rPr>
        <sz val="8"/>
        <rFont val="Arial"/>
        <family val="2"/>
      </rPr>
      <t>(GC C)</t>
    </r>
  </si>
  <si>
    <t>GC=Groupe de compensation</t>
  </si>
  <si>
    <t>Programme de travail PROSPREH réalisé pour l'année</t>
  </si>
  <si>
    <t>Tâches générales d’information et de relations publiques (groupe de compensation B)</t>
  </si>
  <si>
    <t>Prestations spécifiques PROSPREH (groupe de compensation C)</t>
  </si>
  <si>
    <t>Médias et publications de l’organisation accessibles au public</t>
  </si>
  <si>
    <t>Centre d’information et de documentation</t>
  </si>
  <si>
    <t>Développement, élaboration et diffusion de matériel d’information et de supports médiatiques à l’attention des handicapés sensoriels ou mentaux, ou ayant des difficultés d'apprentissage</t>
  </si>
  <si>
    <t>Travail de fond ou projets ayant pour objet un thème spécifique</t>
  </si>
  <si>
    <t xml:space="preserve">Prestations de base pour l'encouragement de l’entraide / conseil aux organisations et groupes d’entraide ainsi qu’aux particuliers </t>
  </si>
  <si>
    <t>Total groupe de compensation B</t>
  </si>
  <si>
    <t>Total groupe de compensation C</t>
  </si>
  <si>
    <t>Total Travail de fond ou projets ayant pour objet un thème spécifique</t>
  </si>
  <si>
    <t>Total  Développement, élaboration et diffusion de matériel d’information et de supports médiatiques à l’attention des handicapés sensoriels ou mentaux, ou ayant des difficultés d'apprentissage</t>
  </si>
  <si>
    <t>Total centre d’information et de documentation</t>
  </si>
  <si>
    <t xml:space="preserve"> Total médias et publications de l’organisation accessibles au public</t>
  </si>
  <si>
    <t xml:space="preserve">Total prestations de base pour l'encouragement de l’entraide / conseil aux organisations et groupes d’entraide ainsi qu’aux particuliers </t>
  </si>
  <si>
    <r>
      <t>Heures imputées</t>
    </r>
    <r>
      <rPr>
        <b/>
        <vertAlign val="superscript"/>
        <sz val="10"/>
        <rFont val="Arial"/>
        <family val="2"/>
      </rPr>
      <t>1)</t>
    </r>
  </si>
  <si>
    <t>Total heures PROSPREH</t>
  </si>
  <si>
    <t>Accompagnement à domicile de personnes handicapées</t>
  </si>
  <si>
    <t>Total d’heures d’accompagnement brutes</t>
  </si>
  <si>
    <t>Nombre de semaines de présence</t>
  </si>
  <si>
    <t>Nombre de bénéficiaires</t>
  </si>
  <si>
    <t>reconnus au titre de l'art. 74 LAI</t>
  </si>
  <si>
    <t>reconnus au titre de l'art.101bis LAVS</t>
  </si>
  <si>
    <t>Accompagnement pour l'année</t>
  </si>
  <si>
    <t>Total des bénéficiaires non reconnus</t>
  </si>
  <si>
    <t>Nouveaux bénéficiaires</t>
  </si>
  <si>
    <t>Bénéficiaires repris de l’année précédente</t>
  </si>
  <si>
    <r>
      <t xml:space="preserve">Nouveaux bénéficiaires sortis des homes </t>
    </r>
    <r>
      <rPr>
        <vertAlign val="superscript"/>
        <sz val="10"/>
        <rFont val="Arial"/>
        <family val="2"/>
      </rPr>
      <t>1)</t>
    </r>
  </si>
  <si>
    <t>2) Auto-déclaration des bénéficiaires</t>
  </si>
  <si>
    <r>
      <t>Bénéficiaires vivant de façon indépendante et qui n’ont plus besoin d’accompagnement</t>
    </r>
    <r>
      <rPr>
        <vertAlign val="superscript"/>
        <sz val="10"/>
        <rFont val="Arial"/>
        <family val="2"/>
      </rPr>
      <t xml:space="preserve"> 2)</t>
    </r>
  </si>
  <si>
    <t>Donations directes/ 
Autres produits art. 74 LAI1)</t>
  </si>
  <si>
    <t>Donations indirectes/ autres 
produits (clé de répartition) 2)</t>
  </si>
  <si>
    <t>Donations directes/ autres produits hors Art. 74 LAI 3)</t>
  </si>
  <si>
    <t>Résultat d'exploitation:</t>
  </si>
  <si>
    <t>Nom de l'organisation:</t>
  </si>
  <si>
    <t>Année:</t>
  </si>
  <si>
    <t>Exemple</t>
  </si>
  <si>
    <t>Remarques</t>
  </si>
  <si>
    <t>attribuée</t>
  </si>
  <si>
    <t>non-attribuée</t>
  </si>
  <si>
    <t>Total des charges selon comptabilité financière (CF)</t>
  </si>
  <si>
    <t>Total des coûts selon Art. 74 LAI (selon CA)</t>
  </si>
  <si>
    <t>Clé de répartition</t>
  </si>
  <si>
    <t>Autres remarques:</t>
  </si>
  <si>
    <t>+ Capital libéré de l'année précédente</t>
  </si>
  <si>
    <t>+ Capital libre généré (incl. Réserves libres et fonds libres) de l'année précédente</t>
  </si>
  <si>
    <t>+ Fonds lié art. 74 LAI de l'année précédente</t>
  </si>
  <si>
    <t>+/- Résultat annuel de l'année précédente</t>
  </si>
  <si>
    <t>+ Adaptations nécessaires de l'année précédente</t>
  </si>
  <si>
    <t>- Capital investi nécessaire au fonctionnement de l'exploitation Art.74 de l'année précédente</t>
  </si>
  <si>
    <t>+/- 50% du solde de la contribution de couverture de l'exploitation de l'art. 74 IVG (selon CA) au 31.12 de l'exercice</t>
  </si>
  <si>
    <t>+ Constitution/renflouement de fonds liés par des fonds libres au 31.12. l'année d'exercice, cf. annexe 9.7.4 CSOAPH</t>
  </si>
  <si>
    <t>- Montant libre (forfait)</t>
  </si>
  <si>
    <t>Substrat du capital art. 74 LAI</t>
  </si>
  <si>
    <r>
      <t>Facteur</t>
    </r>
    <r>
      <rPr>
        <sz val="10"/>
        <color indexed="8"/>
        <rFont val="Arial"/>
        <family val="2"/>
      </rPr>
      <t xml:space="preserve"> (substrat du capital relatif/Coûts totaux art.74)</t>
    </r>
  </si>
  <si>
    <t>Réduction de la subvention AI</t>
  </si>
  <si>
    <t>Subvention AI (selon contrat; en rapport avec les quantités fournies)</t>
  </si>
  <si>
    <t>Substrat du capital relatif diminué de 2x les coûts totaux de l'art.74</t>
  </si>
  <si>
    <t>Montant maximal de la réduction (50% Subv. AI)</t>
  </si>
  <si>
    <t>Montant de la réduction</t>
  </si>
  <si>
    <t>p.ex. changement des réserves pour fluctuations</t>
  </si>
  <si>
    <t>Analyse Cours en bloc</t>
  </si>
  <si>
    <t>Le fait de remplir ce tableau est à bien plaire</t>
  </si>
  <si>
    <t>Cours</t>
  </si>
  <si>
    <t>Critères d'attribution</t>
  </si>
  <si>
    <r>
      <t xml:space="preserve">Nombre journées participant(e)s </t>
    </r>
    <r>
      <rPr>
        <sz val="8"/>
        <color indexed="10"/>
        <rFont val="Arial"/>
        <family val="2"/>
      </rPr>
      <t>(ayants droit et non ayants droit)</t>
    </r>
  </si>
  <si>
    <t>Coûts totaux par journée-participant</t>
  </si>
  <si>
    <t>Affectation à une catégorie</t>
  </si>
  <si>
    <t>Coûts totaux/coûts de mise en oeuvre par cours</t>
  </si>
  <si>
    <t>Cacul du supplément frais indirects :</t>
  </si>
  <si>
    <t>supplément coûts indirects</t>
  </si>
  <si>
    <t>Total coûts indirects</t>
  </si>
  <si>
    <t>Coûts totaux/ unités de prestations.</t>
  </si>
  <si>
    <t>Critères d'attribution cours en bloc</t>
  </si>
  <si>
    <t>Cat1</t>
  </si>
  <si>
    <t>Cat2</t>
  </si>
  <si>
    <t>Cat3</t>
  </si>
  <si>
    <t>Journées-participants (JP) selon cat. et critères d'attribution.</t>
  </si>
  <si>
    <t>Données pour le reporting</t>
  </si>
  <si>
    <t>Statistique des cours</t>
  </si>
  <si>
    <t>Catégorie</t>
  </si>
  <si>
    <t>journées participant</t>
  </si>
  <si>
    <t>Coûts totaux</t>
  </si>
  <si>
    <t>Coûts totaux (CT) selon catégorie et critères d'imputation</t>
  </si>
  <si>
    <t>Journées-participants (JP) selon cat. et critères d'imputation.</t>
  </si>
  <si>
    <t>Critères d'attribution cours d'un jour</t>
  </si>
  <si>
    <t>Cacul du supplément frais indirects:</t>
  </si>
  <si>
    <t>Total des coûts de mise en œuvre</t>
  </si>
  <si>
    <t>Analyse Cours d'un jour</t>
  </si>
  <si>
    <t>Nombre journées participant(e)s (ayants droit et non ayants droit)</t>
  </si>
  <si>
    <r>
      <t xml:space="preserve">Travail de fonds sur des thèmes spécifiques / collaboration dans des projets </t>
    </r>
    <r>
      <rPr>
        <sz val="8"/>
        <rFont val="Arial"/>
        <family val="2"/>
      </rPr>
      <t>(GC C)</t>
    </r>
  </si>
  <si>
    <r>
      <t xml:space="preserve">Prestations de base pour l'encouragement de l'entraide / conseil aux organisations et groupes d'entraide </t>
    </r>
    <r>
      <rPr>
        <sz val="8"/>
        <rFont val="Arial"/>
        <family val="2"/>
      </rPr>
      <t>(GC C)</t>
    </r>
  </si>
  <si>
    <t>à</t>
  </si>
  <si>
    <t>341 à 474</t>
  </si>
  <si>
    <t>Facteur (B10/B12)</t>
  </si>
  <si>
    <t>1) Donations liées art. 74 LAI, subventions, prestations de services, sponsoring pour l'art.74 LAI</t>
  </si>
  <si>
    <r>
      <t>1) Dans les cours d'un jour, l</t>
    </r>
    <r>
      <rPr>
        <sz val="10"/>
        <color indexed="8"/>
        <rFont val="Arial"/>
        <family val="2"/>
      </rPr>
      <t>es personnes non-handicapées (proches inclus) peuvent aussi être comptabilisées.</t>
    </r>
  </si>
  <si>
    <t xml:space="preserve">Bénéficaires reconnus selon l'art. 74 LAI </t>
  </si>
  <si>
    <t>1) Le total des heures doit être réparti autant que possible sur les différents groupes de personnes handicapés.</t>
  </si>
  <si>
    <r>
      <t xml:space="preserve">Prestations effectives réalisées selon l'annexe 9.3 CSOAPH à décompter pour l'OFAS
</t>
    </r>
    <r>
      <rPr>
        <sz val="11"/>
        <rFont val="Arial"/>
        <family val="2"/>
      </rPr>
      <t>Liste des différentes activités à introduire dans les champs jaunes. Au besoin, insérez-y des lignes supplémentaires.</t>
    </r>
    <r>
      <rPr>
        <b/>
        <sz val="10"/>
        <rFont val="Arial"/>
        <family val="2"/>
      </rPr>
      <t/>
    </r>
  </si>
  <si>
    <t>1) y compris les heures fournies sur la base des honoraires</t>
  </si>
  <si>
    <t>Bénéficiaires reconnus</t>
  </si>
  <si>
    <t>Centre de coûts
(coûts indirects)</t>
  </si>
  <si>
    <t>Unités d'imputation
(coûts directs + répartition des coûts indirects)</t>
  </si>
  <si>
    <t>CA de toute organisation partie à un contrat en tant que mandataire ou sous-traitant</t>
  </si>
  <si>
    <t>N° sous-traitant:</t>
  </si>
  <si>
    <t xml:space="preserve">prestations dès 2015 : </t>
  </si>
  <si>
    <t>N° sous-traitant</t>
  </si>
  <si>
    <t>SVP, veuillez prendre note des adaptations de tableaux suivants concernant la saisie des</t>
  </si>
  <si>
    <r>
      <rPr>
        <b/>
        <sz val="11"/>
        <rFont val="Arial"/>
        <family val="2"/>
      </rPr>
      <t>- Statistique consolidée des bénéficiaires et types de cours</t>
    </r>
    <r>
      <rPr>
        <sz val="10"/>
        <rFont val="Arial"/>
        <family val="2"/>
      </rPr>
      <t xml:space="preserve">
   Pour les champs en fond gris, les données ne sont plus nécessaires.</t>
    </r>
  </si>
  <si>
    <t>Nouveaux tableaux pour la saisie des prestations:</t>
  </si>
  <si>
    <t>2) Tous autres produits non affectés / donations  /héritages, cotisations des membres, résultat financier,
     produits extraordinaires etc. sont délimités selon clé de répartition et attribués à l'activité Art. 74 LAI.</t>
  </si>
  <si>
    <r>
      <t xml:space="preserve">Donations indirectes/ autres produits (clé de répartition) </t>
    </r>
    <r>
      <rPr>
        <vertAlign val="superscript"/>
        <sz val="8"/>
        <rFont val="Arial"/>
        <family val="2"/>
      </rPr>
      <t>2)</t>
    </r>
  </si>
  <si>
    <t>Contribution de couverture (Cc) I      (Produit des prestations - Coûts directs)</t>
  </si>
  <si>
    <t>Contribution de couverture II     ( Cc I - coûts indirects + Donations directes/ Autres produits Art.74 LAI + Donations indirectes, Autres produits (clé de répartition))</t>
  </si>
  <si>
    <t>Conseil social + aide 
aux handicapés</t>
  </si>
  <si>
    <t>1) Par ex. Clinique, écoles d'autonomie, internats, foyers d'accueil pour adultes</t>
  </si>
  <si>
    <t>Données sur la charge d'heures effectives doivent être insérées dans les champs en vert.</t>
  </si>
  <si>
    <t>2) Tous autres produits non affectés/donations/héritages, cotisations des membres, résultat financier,
      produits extraordinaires etc. sont délimités selon clé de répartition et attribués à l'activité Art. 74 LAI.</t>
  </si>
  <si>
    <t>Contribution de couverture II     ( Cc I - Coûts indirects + Donations directes/ Autres produits Art.74 LAI
                                           + Donations indirectes, Autres produits (clé de répartition))</t>
  </si>
  <si>
    <t>Contribution de couverture III    ( Cc II + Autres subventions Confédération, Subventions des cantons et communes)</t>
  </si>
  <si>
    <t>Amortissements (immeubles exclus)</t>
  </si>
  <si>
    <t>Stiftung Rheinleben</t>
  </si>
  <si>
    <t>y19</t>
  </si>
  <si>
    <t>y20</t>
  </si>
  <si>
    <t>y21</t>
  </si>
  <si>
    <t>y22</t>
  </si>
  <si>
    <t>y23</t>
  </si>
  <si>
    <t>touché.ch</t>
  </si>
  <si>
    <t>Bündner Hilfsverein für psychisch kranke Menschen BEWO</t>
  </si>
  <si>
    <t>Farah DOGS</t>
  </si>
  <si>
    <t>Stiftung Zürcher Diabetes</t>
  </si>
  <si>
    <t>Diabetes Biel-Bienne</t>
  </si>
  <si>
    <t>Insieme Bildungsklub Aargau (insieme Baden-Wettingen)</t>
  </si>
  <si>
    <t>Art.74 Dachorganisation der Suchthilfe</t>
  </si>
  <si>
    <t>Prière  de ne pas modifier les tableaux. Merci d'avance</t>
  </si>
  <si>
    <t>Art.74 LAI: Dossier dès 2015 pour la saisie des données</t>
  </si>
  <si>
    <t>Les champs en jaune énumèrent les diverses prestations et activités.</t>
  </si>
  <si>
    <t>Les champs en vert indiquent les heures effectives déclarées.</t>
  </si>
  <si>
    <t xml:space="preserve">Les champs en orange sont réservés à l’évaluation de l'atteinte des objectifs et à la description des mesures concrètes/ réorientations prévues pour l’année ou la période contractuelle suivante. </t>
  </si>
  <si>
    <t>Le mandataire a documenté la planification des activités PROSPREH dans le plan des PROSPREH lors de de la conclusion du contrat. La mise en œuvre des activités PROSPREH prévues a lieu dans l’année sous revue.  A la fin de l’année, le mandataire évalue les activités PROSPREH afin d’en contrôler l'atteinte des objectifs/résultats.
L’évaluation de l'atteinte des objectifs a pour but de montrer quelles PROSPREH ont été fournies pour atteindre quels objectifs. A cet effet, la référence au plan des PROSPREH est importante.</t>
  </si>
  <si>
    <r>
      <t>Il n’est pas nécessaire d’évaluer les résultats obtenus pour toutes les prestations. L’évaluation doit porter à chaque mandataire, sur 5 à 10 prestations de manière consolidée</t>
    </r>
    <r>
      <rPr>
        <sz val="12"/>
        <rFont val="Arial"/>
        <family val="2"/>
      </rPr>
      <t>. L’accent est mis sur les prestations qui nécessitent un grand nombre d’heures et effectuées à l’initiative du mandataire. Il s’agit d’activités essentiels, comme les exemples de bonnes pratiques. Les prestations que l'organisation ne peut contrôler, comme les réponses aux médias ou la diffusion d’information, ne vont pas être évaluées. Là où il n’y a pas d’évaluation, il faut l’indiquer en inscrivant « Pas d’évaluation ». Dans ce cas précis, aucune autre justification n’est demandée.</t>
    </r>
  </si>
  <si>
    <t>La colonne Mesures/réorientations indique les mesures ou les réorientations adoptées ; autrement dit, elle vise ce qui est prévu pour l’année ou la période contractuelle suivante lorsqu’un objectif n’a pas été atteint, ou atteint partiellement, ou lorsque l’objectif a été redéfini. Cela correspond au cycle de conduite : plan =&gt; do =&gt; check =&gt; act.</t>
  </si>
  <si>
    <t>Le degré de précision des mesures prévues ou des réorientations peut varier en fonction du degré d'influence de facteurs externes non prises en compte sur une activité ou un projet . Pour chaque mesure, des objectifs partiels  doivent également être formulés pour des activités ou projets d’envergure.</t>
  </si>
  <si>
    <t xml:space="preserve">La feuille du tableau « Exemple de programme de travail PROSPREH réalisé » contient divers exemples pour l’évaluation des objectifs qui ont été élaborés par le groupe d’échange d’expériences relatif à l’art. 74 LAI. </t>
  </si>
  <si>
    <t>Rapport sur les PROSPREH : instructions</t>
  </si>
  <si>
    <t>Les données suivantes peuvent être résumées pour chaque sous-catégorie de prestations 
ou présentées en détail pour toutes les activités exercées. Nombre d’évaluations requises : de 5 à 10</t>
  </si>
  <si>
    <r>
      <rPr>
        <b/>
        <sz val="10"/>
        <rFont val="Arial"/>
        <family val="2"/>
      </rPr>
      <t>Résultat visé selon le plan</t>
    </r>
  </si>
  <si>
    <r>
      <rPr>
        <b/>
        <sz val="10"/>
        <color indexed="8"/>
        <rFont val="Arial"/>
        <family val="2"/>
      </rPr>
      <t xml:space="preserve">Mesures / réorientations
</t>
    </r>
    <r>
      <rPr>
        <sz val="10"/>
        <color indexed="8"/>
        <rFont val="Arial"/>
        <family val="2"/>
      </rPr>
      <t>(brève description, le reste est à indiquer sous planification, évt délai prévu)</t>
    </r>
  </si>
  <si>
    <r>
      <rPr>
        <sz val="10"/>
        <rFont val="Arial"/>
        <family val="2"/>
      </rPr>
      <t>.</t>
    </r>
  </si>
  <si>
    <r>
      <rPr>
        <b/>
        <sz val="11"/>
        <rFont val="Arial"/>
        <family val="2"/>
      </rPr>
      <t>Programme de travail PROSPREH réalisé (consolidé au niveau du mandataire principal) pour l’année</t>
    </r>
  </si>
  <si>
    <r>
      <rPr>
        <b/>
        <sz val="11"/>
        <rFont val="Arial"/>
        <family val="2"/>
      </rPr>
      <t>Numéro de contrat</t>
    </r>
  </si>
  <si>
    <r>
      <t>Prestations fournies conformément à l’annexe 9.3 CSOAPH pour lesquelles vous voulez décompter avec l’OFAS</t>
    </r>
    <r>
      <rPr>
        <sz val="10"/>
        <rFont val="Arial"/>
        <family val="2"/>
      </rPr>
      <t xml:space="preserve"> 
</t>
    </r>
    <r>
      <rPr>
        <sz val="10"/>
        <color indexed="8"/>
        <rFont val="Arial"/>
        <family val="2"/>
      </rPr>
      <t>Énumérer les activités dans les champs en jaune. Au besoin, ajouter des lignes supplémentaires.
Prestations / activités</t>
    </r>
  </si>
  <si>
    <r>
      <rPr>
        <b/>
        <sz val="10"/>
        <color indexed="8"/>
        <rFont val="Arial"/>
        <family val="2"/>
      </rPr>
      <t>Mesures / réorientations</t>
    </r>
    <r>
      <rPr>
        <sz val="10"/>
        <color indexed="8"/>
        <rFont val="Arial"/>
        <family val="2"/>
      </rPr>
      <t xml:space="preserve"> 
(brève description, le reste est à indiquer sous planification, évt délai prévu)</t>
    </r>
  </si>
  <si>
    <r>
      <rPr>
        <b/>
        <sz val="10"/>
        <rFont val="Arial"/>
        <family val="2"/>
      </rPr>
      <t>Tâches générales d’information et de relations publiques (groupe de compensation B)</t>
    </r>
  </si>
  <si>
    <r>
      <rPr>
        <b/>
        <sz val="10"/>
        <rFont val="Arial"/>
        <family val="2"/>
      </rPr>
      <t xml:space="preserve">Heures effectuées </t>
    </r>
    <r>
      <rPr>
        <b/>
        <vertAlign val="superscript"/>
        <sz val="10"/>
        <color indexed="8"/>
        <rFont val="Arial"/>
        <family val="2"/>
      </rPr>
      <t>1)</t>
    </r>
  </si>
  <si>
    <r>
      <rPr>
        <sz val="10"/>
        <rFont val="Arial"/>
        <family val="2"/>
      </rPr>
      <t>Diffusion d’informations et tri</t>
    </r>
  </si>
  <si>
    <r>
      <rPr>
        <b/>
        <sz val="10"/>
        <color indexed="62"/>
        <rFont val="Arial"/>
        <family val="2"/>
      </rPr>
      <t>Pas d’évaluation</t>
    </r>
  </si>
  <si>
    <r>
      <rPr>
        <sz val="10"/>
        <rFont val="Arial"/>
        <family val="2"/>
      </rPr>
      <t>Campagnes de sensibilisation</t>
    </r>
  </si>
  <si>
    <r>
      <rPr>
        <sz val="10"/>
        <rFont val="Arial"/>
        <family val="2"/>
      </rPr>
      <t>Relations médias</t>
    </r>
  </si>
  <si>
    <r>
      <rPr>
        <sz val="10"/>
        <rFont val="Arial"/>
        <family val="2"/>
      </rPr>
      <t>Exposés et conférences</t>
    </r>
  </si>
  <si>
    <r>
      <rPr>
        <b/>
        <sz val="10"/>
        <rFont val="Arial"/>
        <family val="2"/>
      </rPr>
      <t>Total du groupe de compensation B</t>
    </r>
  </si>
  <si>
    <r>
      <rPr>
        <b/>
        <sz val="10"/>
        <rFont val="Arial"/>
        <family val="2"/>
      </rPr>
      <t>Heures effectuées</t>
    </r>
    <r>
      <rPr>
        <b/>
        <vertAlign val="superscript"/>
        <sz val="10"/>
        <color indexed="8"/>
        <rFont val="Arial"/>
        <family val="2"/>
      </rPr>
      <t>1)</t>
    </r>
  </si>
  <si>
    <r>
      <rPr>
        <b/>
        <sz val="10"/>
        <rFont val="Arial"/>
        <family val="2"/>
      </rPr>
      <t>Médias et publications du mandataire accessibles au public</t>
    </r>
  </si>
  <si>
    <r>
      <rPr>
        <sz val="10"/>
        <rFont val="Arial"/>
        <family val="2"/>
      </rPr>
      <t>Sites Internet</t>
    </r>
  </si>
  <si>
    <r>
      <rPr>
        <sz val="10"/>
        <rFont val="Arial"/>
        <family val="2"/>
      </rPr>
      <t>En 2016, il est prévu d’adresser un questionnaire à nos clients pour connaître le besoin des utilisateurs du site web.</t>
    </r>
  </si>
  <si>
    <r>
      <rPr>
        <sz val="10"/>
        <rFont val="Arial"/>
        <family val="2"/>
      </rPr>
      <t>Exemple 1 de journaux appartenant au mandataire :
publications périodiques de l’organisation ou collaboration à une revue publiée en commun avec d’autres organisations de l’aide privée aux personnes handicapées</t>
    </r>
  </si>
  <si>
    <r>
      <rPr>
        <sz val="10"/>
        <rFont val="Arial"/>
        <family val="2"/>
      </rPr>
      <t>Exemple 2 de journaux appartenant au mandataire :
publications périodiques de l’organisation ou collaboration à une revue publiée en commun avec d’autres organisations de l’aide privée aux personnes handicapées</t>
    </r>
  </si>
  <si>
    <r>
      <rPr>
        <b/>
        <sz val="10"/>
        <color indexed="62"/>
        <rFont val="Arial"/>
        <family val="2"/>
      </rPr>
      <t>Appréciation qualitative et mesures ou réorientations</t>
    </r>
    <r>
      <rPr>
        <sz val="10"/>
        <color indexed="8"/>
        <rFont val="Arial"/>
        <family val="2"/>
      </rPr>
      <t xml:space="preserve">
En automne 2015, nous avons demandé à nos membres de répondre à un questionnaire. Les résultats très satisfaisants dans l’ensemble sont pour nous un sujet de fierté car ils montrent que nous sommes sur le bon chemin.
Les moyens de communication sont également bien appréciés. Par exemple, la revue Paracontact est très consulté.Les lecteurs y consacrent entre une demi-heure et une heure. La proportion des personnes qui n’y prêtent aucune attention est de seulement xx %.</t>
    </r>
  </si>
  <si>
    <r>
      <rPr>
        <sz val="10"/>
        <rFont val="Arial"/>
        <family val="2"/>
      </rPr>
      <t>Notre revue de sport sera publiée en tant que lettre d’information électronique à partir du second semestre 2016. Cela permettra à nos clients de la recevoir plus vite et plus souvent, tout en supprimant les coûts d’impression et d’expédition.</t>
    </r>
  </si>
  <si>
    <r>
      <rPr>
        <b/>
        <sz val="10"/>
        <rFont val="Arial"/>
        <family val="2"/>
      </rPr>
      <t xml:space="preserve"> Total Médias et publications du mandataire accessibles au public</t>
    </r>
  </si>
  <si>
    <r>
      <rPr>
        <b/>
        <sz val="10"/>
        <rFont val="Arial"/>
        <family val="2"/>
      </rPr>
      <t>Service d’information et de documentation</t>
    </r>
  </si>
  <si>
    <r>
      <rPr>
        <b/>
        <sz val="10"/>
        <rFont val="Arial"/>
        <family val="2"/>
      </rPr>
      <t>Total Service d’information et de documentation</t>
    </r>
  </si>
  <si>
    <r>
      <rPr>
        <b/>
        <sz val="10"/>
        <rFont val="Arial"/>
        <family val="2"/>
      </rPr>
      <t xml:space="preserve">Développement, élaboration et diffusion de matériel d’information et de supports médiatiques destinés aux handicapés sensoriels ou mentaux, ou ayant des difficultés d’apprentissage </t>
    </r>
  </si>
  <si>
    <r>
      <rPr>
        <b/>
        <sz val="10"/>
        <rFont val="Arial"/>
        <family val="2"/>
      </rPr>
      <t xml:space="preserve">Total Développement, élaboration et diffusion de matériel d’information et de supports médiatiques destinés aux handicapés sensoriels ou mentaux, ou ayant des difficultés d’apprentissage </t>
    </r>
  </si>
  <si>
    <t xml:space="preserve">Travail de fond ou projets ayant pour objet un thème spécifique
</t>
  </si>
  <si>
    <r>
      <rPr>
        <sz val="10"/>
        <rFont val="Arial"/>
        <family val="2"/>
      </rPr>
      <t>Eurokey</t>
    </r>
  </si>
  <si>
    <r>
      <rPr>
        <sz val="10"/>
        <rFont val="Arial"/>
        <family val="2"/>
      </rPr>
      <t>Participation aux procédures de consultation</t>
    </r>
  </si>
  <si>
    <r>
      <rPr>
        <sz val="10"/>
        <rFont val="Arial"/>
        <family val="2"/>
      </rPr>
      <t xml:space="preserve">Participation aux groupes, groupes de travail, commissions techniques ou commissions d’experts </t>
    </r>
  </si>
  <si>
    <r>
      <rPr>
        <sz val="10"/>
        <rFont val="Arial"/>
        <family val="2"/>
      </rPr>
      <t>Représentation</t>
    </r>
  </si>
  <si>
    <r>
      <rPr>
        <sz val="10"/>
        <rFont val="Arial"/>
        <family val="2"/>
      </rPr>
      <t>Proches aidants (soins ou accompagnement)</t>
    </r>
  </si>
  <si>
    <r>
      <rPr>
        <sz val="10"/>
        <rFont val="Arial"/>
        <family val="2"/>
      </rPr>
      <t>Nous encourageons l’accessibilité dans l’espace public et publions des informations.</t>
    </r>
  </si>
  <si>
    <r>
      <rPr>
        <sz val="10"/>
        <rFont val="Arial"/>
        <family val="2"/>
      </rPr>
      <t>xxxxx   xxx xxx</t>
    </r>
  </si>
  <si>
    <r>
      <rPr>
        <b/>
        <sz val="10"/>
        <rFont val="Arial"/>
        <family val="2"/>
      </rPr>
      <t>Total Travail de fond ou projets ayant pour objet un thème spécifique</t>
    </r>
  </si>
  <si>
    <r>
      <rPr>
        <b/>
        <sz val="10"/>
        <rFont val="Arial"/>
        <family val="2"/>
      </rPr>
      <t xml:space="preserve">Prestations de base pour l’encouragement de l’entraide ou conseil aux organisations et groupes d’entraide ainsi qu’aux particuliers </t>
    </r>
  </si>
  <si>
    <r>
      <rPr>
        <sz val="10"/>
        <rFont val="Arial"/>
        <family val="2"/>
      </rPr>
      <t>Soutien, conseil et suivi professionnel en faveur d’organisations et de groupes d’entraide</t>
    </r>
  </si>
  <si>
    <r>
      <rPr>
        <sz val="10"/>
        <rFont val="Arial"/>
        <family val="2"/>
      </rPr>
      <t>Planification, organisation et tenue de réunions informelles de personnes handicapées et de proches de telles personnes à des fins d’échange d’opinions et d’expériences</t>
    </r>
  </si>
  <si>
    <r>
      <rPr>
        <sz val="10"/>
        <rFont val="Arial"/>
        <family val="2"/>
      </rPr>
      <t xml:space="preserve">Les parents d’enfants handicapés se rassemblent pour parler de leurs expériences, de leurs difficultés et des prestations auxquelles ils recourent. 
</t>
    </r>
  </si>
  <si>
    <r>
      <rPr>
        <sz val="10"/>
        <rFont val="Arial"/>
        <family val="2"/>
      </rPr>
      <t xml:space="preserve">Le soutien à ce projet se poursuivra en 2016. </t>
    </r>
  </si>
  <si>
    <r>
      <rPr>
        <b/>
        <sz val="10"/>
        <rFont val="Arial"/>
        <family val="2"/>
      </rPr>
      <t>Total du groupe de compensation C</t>
    </r>
  </si>
  <si>
    <r>
      <rPr>
        <b/>
        <sz val="10"/>
        <rFont val="Arial"/>
        <family val="2"/>
      </rPr>
      <t>Total des heures PROSPREH</t>
    </r>
  </si>
  <si>
    <r>
      <rPr>
        <b/>
        <sz val="10"/>
        <rFont val="Arial"/>
        <family val="2"/>
      </rPr>
      <t>1) y c. heures effectuées sur la base d’honoraires</t>
    </r>
  </si>
  <si>
    <r>
      <t>Ce classeur contient les tableaux suivants (voir marquage</t>
    </r>
    <r>
      <rPr>
        <sz val="11"/>
        <color indexed="8"/>
        <rFont val="Arial"/>
        <family val="2"/>
      </rPr>
      <t xml:space="preserve"> des onglets</t>
    </r>
    <r>
      <rPr>
        <sz val="11"/>
        <rFont val="Arial"/>
        <family val="2"/>
      </rPr>
      <t xml:space="preserve"> en couleur):</t>
    </r>
  </si>
  <si>
    <r>
      <t xml:space="preserve">Tableaux obligatoires pour la saisie des coûts et des prestations </t>
    </r>
    <r>
      <rPr>
        <sz val="8"/>
        <color indexed="8"/>
        <rFont val="Arial"/>
        <family val="2"/>
      </rPr>
      <t>(à remplir impérativement pour le décompte OFAS)</t>
    </r>
  </si>
  <si>
    <r>
      <t xml:space="preserve">Modèle pour la CA en tant que sous-traitant UVN et le calcul du substrat du capital
</t>
    </r>
    <r>
      <rPr>
        <sz val="11"/>
        <color indexed="8"/>
        <rFont val="Arial"/>
        <family val="2"/>
      </rPr>
      <t xml:space="preserve">ainsi qu'un exemple du programme de travail PROSPREH réalisé </t>
    </r>
    <r>
      <rPr>
        <sz val="8"/>
        <color indexed="8"/>
        <rFont val="Arial"/>
        <family val="2"/>
      </rPr>
      <t>(Bsp. Real. Arbeitsprog. LUFEB)</t>
    </r>
  </si>
  <si>
    <r>
      <rPr>
        <sz val="11"/>
        <rFont val="Arial"/>
        <family val="2"/>
      </rPr>
      <t>Outils d'évaluation pour cours en bloc et cours d'un jour</t>
    </r>
    <r>
      <rPr>
        <sz val="8"/>
        <rFont val="Arial"/>
        <family val="2"/>
      </rPr>
      <t xml:space="preserve"> "Auswertungstool Blockkkurse und Auswertungstool Tageskurse" (utilisation à bien plaire)</t>
    </r>
  </si>
  <si>
    <t>Evaluation de l'atteinte des objectifs</t>
  </si>
  <si>
    <r>
      <rPr>
        <b/>
        <sz val="10"/>
        <color indexed="8"/>
        <rFont val="Arial"/>
        <family val="2"/>
      </rPr>
      <t xml:space="preserve">Evaluation de l'atteinte des objectifs
</t>
    </r>
    <r>
      <rPr>
        <sz val="10"/>
        <color indexed="8"/>
        <rFont val="Arial"/>
        <family val="2"/>
      </rPr>
      <t>(par rapport au résultat visé)</t>
    </r>
  </si>
  <si>
    <r>
      <t xml:space="preserve">- Programme de travail PROSPREH réalisé avec l'évaluation de l'atteinte des objectifs </t>
    </r>
    <r>
      <rPr>
        <sz val="11"/>
        <rFont val="Arial"/>
        <family val="2"/>
      </rPr>
      <t xml:space="preserve">
  </t>
    </r>
    <r>
      <rPr>
        <sz val="9"/>
        <rFont val="Arial"/>
        <family val="2"/>
      </rPr>
      <t xml:space="preserve"> Relevé d'heures pour les prestations PROSPREH effectuées, voir Ch. 3021 CSOAPH</t>
    </r>
    <r>
      <rPr>
        <sz val="11"/>
        <rFont val="Arial"/>
        <family val="2"/>
      </rPr>
      <t xml:space="preserve">           </t>
    </r>
  </si>
  <si>
    <r>
      <t>- Catégories de cours</t>
    </r>
    <r>
      <rPr>
        <sz val="11"/>
        <rFont val="Arial"/>
        <family val="2"/>
      </rPr>
      <t xml:space="preserve">
   </t>
    </r>
    <r>
      <rPr>
        <sz val="9"/>
        <rFont val="Arial"/>
        <family val="2"/>
      </rPr>
      <t xml:space="preserve">Ce tableau sera nécessaire au cas où des cours dans diverses catégories seront proposés 
    voir annexe 9.2 CSOAPH </t>
    </r>
  </si>
  <si>
    <r>
      <rPr>
        <b/>
        <sz val="12"/>
        <rFont val="Arial"/>
        <family val="2"/>
      </rPr>
      <t>Evaluation de l'atteinte des objectifs</t>
    </r>
    <r>
      <rPr>
        <b/>
        <sz val="10"/>
        <rFont val="Arial"/>
        <family val="2"/>
      </rPr>
      <t xml:space="preserve">
Les données suivantes peuvent être résumées pour chaque sous-catégorie de prestations 
ou présentées en détail pour toutes les activités exercées. Nombre d’évaluations requises : de 5 à 10</t>
    </r>
  </si>
  <si>
    <r>
      <t xml:space="preserve">Evaluation de l'atteinte des objectifs
</t>
    </r>
    <r>
      <rPr>
        <sz val="10"/>
        <color indexed="8"/>
        <rFont val="Arial"/>
        <family val="2"/>
      </rPr>
      <t>(par rapport au résultat visé)</t>
    </r>
  </si>
  <si>
    <t>EXEMPLE de reporting PROSPREH</t>
  </si>
  <si>
    <t xml:space="preserve">Nombre d’heures effectives dans les champs en vert </t>
  </si>
  <si>
    <t>Les exposés, conférences, débats politiques et autres rencontres permettent d'approfondir l'information envers le public et les professionnels. Les exposés, conférences et autres rencontres portent sur des sujets politiques du handicap actuels.</t>
  </si>
  <si>
    <t>Prestations spécifiques PROSPREH (groupe de compensation C)</t>
  </si>
  <si>
    <t>Le site Internet est un excellent instrument pour l’entraide. Le site Internet est actualisé en permanence.
Objectif: Le nombre de visiteurs et d’informations postées augmente par rapport à l’année précédente.
Exploitation des sites suivants :
www.xxxxx.ch
www.xxxxxx.ch
www.xxxxxxxxxxxx.ch
www.xxxxxxxxxxxx.ch
www.xxxx.ch</t>
  </si>
  <si>
    <t>Thèmes principaux : participation politique et vie autonome
Le magazine xx paraît 4 fois par année en version allemande et en version française et italienne (mélangée).
En tant que publication destinée aux membres et consacrée à des sujets spécifiques, il doit répondre au besoin d’information, de conseil et de soutien. 
Il sensibilise le public à l’actualité politique qui nous concerne. 
Le magazine s’adresse à quelque 22 000 membres comprenant des personnes handicapées, des leaders d’opinion, des personnes relais et des professionnels qualifiés.</t>
  </si>
  <si>
    <t xml:space="preserve">En 2016, les sujets suivants sur l’inclusion sont prévus :
- Quel est l’accès des personnes handicapées dans le domaine de la santé ?
- Mobilité, exemples tirés du domaine de la construction soulignant par ex. les entraves créées dans des grands projets
- Recours aux animaux, bénévolat
</t>
  </si>
  <si>
    <t>Publications
Les deux publications, xxxx et yyyy, tentent de couvrir de manière intéressante et instructive autant de sujets pertinents que possible. Les relations publiques sont en outre menées de manière intensive et les mesures de marketing sont produites à l'interne autant de fois que cela paraît utile et nécessaire.
La publication de nos revues, feuilles d’information et autres vecteurs se caractérise par sa grande qualité et constance (respect des délais).</t>
  </si>
  <si>
    <r>
      <rPr>
        <b/>
        <sz val="10"/>
        <color indexed="62"/>
        <rFont val="Arial"/>
        <family val="2"/>
      </rPr>
      <t>Bilan de l'évaluation</t>
    </r>
    <r>
      <rPr>
        <sz val="10"/>
        <color indexed="8"/>
        <rFont val="Arial"/>
        <family val="2"/>
      </rPr>
      <t xml:space="preserve">
Le mandataire principal est intervenu par le biais des exposés, conférences et autres rencontres dans tous les cantons. Les rencontres suivantes méritent d’être relevées. 
</t>
    </r>
    <r>
      <rPr>
        <i/>
        <sz val="10"/>
        <color indexed="8"/>
        <rFont val="Arial"/>
        <family val="2"/>
      </rPr>
      <t>Ct VD :</t>
    </r>
    <r>
      <rPr>
        <sz val="10"/>
        <color indexed="8"/>
        <rFont val="Arial"/>
        <family val="2"/>
      </rPr>
      <t xml:space="preserve"> C’est le première fois qu’un débat a été organisé sur le sujet xxxxx.
</t>
    </r>
    <r>
      <rPr>
        <i/>
        <sz val="10"/>
        <color indexed="8"/>
        <rFont val="Arial"/>
        <family val="2"/>
      </rPr>
      <t>Ct BE :</t>
    </r>
    <r>
      <rPr>
        <sz val="10"/>
        <color indexed="8"/>
        <rFont val="Arial"/>
        <family val="2"/>
      </rPr>
      <t xml:space="preserve"> Colloque sur la convention de l’ONU relative aux droits des personnes handicapées, mis sur pied avec deux autres organisations
</t>
    </r>
    <r>
      <rPr>
        <i/>
        <sz val="10"/>
        <color indexed="8"/>
        <rFont val="Arial"/>
        <family val="2"/>
      </rPr>
      <t>Ct TG :</t>
    </r>
    <r>
      <rPr>
        <sz val="10"/>
        <color indexed="8"/>
        <rFont val="Arial"/>
        <family val="2"/>
      </rPr>
      <t xml:space="preserve"> Rencontre sur le thème xxxxx réunissant quelque 200 personnes
La rencontre sur le sujet xxxxx a eu une bonne couverture médiatique. X articles sont parus dans la presse. 
De notre point de vue, l’objectif est atteint.
Les exposés, conférences et autres rencontres ont également eu une certaine efficacité dans l’opinion publique. Pour les grandes occasions, nous collaborons de plus en plus souvent avec d’autres organisations.
</t>
    </r>
  </si>
  <si>
    <r>
      <rPr>
        <b/>
        <sz val="10"/>
        <color indexed="62"/>
        <rFont val="Arial"/>
        <family val="2"/>
      </rPr>
      <t xml:space="preserve">Evaluation qualitative et quantitative
</t>
    </r>
    <r>
      <rPr>
        <sz val="10"/>
        <color indexed="8"/>
        <rFont val="Arial"/>
        <family val="2"/>
      </rPr>
      <t xml:space="preserve">Vu les échos nombreux que nous avons enregistrés, nous considérons que l’objectif est atteint.
</t>
    </r>
    <r>
      <rPr>
        <b/>
        <sz val="10"/>
        <color indexed="8"/>
        <rFont val="Arial"/>
        <family val="2"/>
      </rPr>
      <t>Dossiers principaux en 2015</t>
    </r>
    <r>
      <rPr>
        <sz val="10"/>
        <color indexed="8"/>
        <rFont val="Arial"/>
        <family val="2"/>
      </rPr>
      <t xml:space="preserve">
1/15 : Participation politique
3/15 : Sensibilisation
4/15 : Vivre de manière autonome</t>
    </r>
    <r>
      <rPr>
        <sz val="10"/>
        <rFont val="Arial"/>
        <family val="2"/>
      </rPr>
      <t xml:space="preserve">
</t>
    </r>
    <r>
      <rPr>
        <sz val="10"/>
        <color indexed="8"/>
        <rFont val="Arial"/>
        <family val="2"/>
      </rPr>
      <t>Les feed-back reçus sur les numéros parus proviennent de certains membres ou d’organisations partenaires. Le magazine est bien considéré par les leaders d’opinions. Le numéro 1/15, qui portait sur la participation politique des personnes handicapées, a donné lieu à une manifestation devant le palais fédéral avec la présence des présidents du national et des états. Objectifs : les personnes handicapées doivent être mises sur un pied d’égalité et pouvoir participer à la vie politique et à la vie publique. Les personnes avec un handicap sont clairement sous-représentées tant au Parlement fédéral que dans les parlements cantonaux.
Le magazine en ligne a l’audience suivante :
Indications quantitatives
Nombre de visites sur le site : 838
Nombre d’exemplaires imprimés : 9267</t>
    </r>
  </si>
  <si>
    <r>
      <rPr>
        <b/>
        <sz val="10"/>
        <color indexed="62"/>
        <rFont val="Arial"/>
        <family val="2"/>
      </rPr>
      <t>Evaluation quantitative</t>
    </r>
    <r>
      <rPr>
        <sz val="10"/>
        <color indexed="8"/>
        <rFont val="Arial"/>
        <family val="2"/>
      </rPr>
      <t xml:space="preserve">
Le nombre de visiteurs a été supérieur à l’année précédente</t>
    </r>
    <r>
      <rPr>
        <sz val="10"/>
        <color indexed="10"/>
        <rFont val="Arial"/>
        <family val="2"/>
      </rPr>
      <t xml:space="preserve">.
</t>
    </r>
    <r>
      <rPr>
        <sz val="10"/>
        <rFont val="Arial"/>
        <family val="2"/>
      </rPr>
      <t>2015 : xxxxx, 2016 : xxxxx 
Nous fournissons chaque semaine des informations à nos principaux partenaires sous la forme d’une lettre d’information.</t>
    </r>
    <r>
      <rPr>
        <sz val="10"/>
        <color indexed="8"/>
        <rFont val="Arial"/>
        <family val="2"/>
      </rPr>
      <t xml:space="preserve"> Pour répondre à l’intérêt grandissant pour les nouveautés et les tendances en cours, nous avons élargi la palette des sujets et publiés xx informations, ce qui correspond à une augmentation de xx % par rapport à l’année précédente (xx informations).</t>
    </r>
  </si>
  <si>
    <t xml:space="preserve">D’autres mesures a priori nécessaires seront examinées en 2016 : la création d’aides financières incitant à édicter des normes légales obligeant à vérifier, à l’occasion d’une rénovation de bâtiment, que les parties construites non concernées ne présentent pas d’obstacle architectonique, ou incitant à modifier des normes de sorte que les projets de rénovation de moindre importance comprennent systématiquement des adaptations en faveur des personnes à mobilité réduite. </t>
  </si>
  <si>
    <t xml:space="preserve">Absence de barrières/Accessibilité dans l’espace public </t>
  </si>
  <si>
    <t>Habitation accessible</t>
  </si>
  <si>
    <r>
      <t xml:space="preserve">Bilan de l’appréciation
</t>
    </r>
    <r>
      <rPr>
        <sz val="10"/>
        <color indexed="8"/>
        <rFont val="Arial"/>
        <family val="2"/>
      </rPr>
      <t xml:space="preserve">Projets concernant l’habitation accessible menés dans plusieurs cantons et étude sur l’habitat sans obstacle architectonique
</t>
    </r>
    <r>
      <rPr>
        <i/>
        <sz val="10"/>
        <color indexed="8"/>
        <rFont val="Arial"/>
        <family val="2"/>
      </rPr>
      <t>Brève description de l’étude</t>
    </r>
    <r>
      <rPr>
        <sz val="10"/>
        <color indexed="8"/>
        <rFont val="Arial"/>
        <family val="2"/>
      </rPr>
      <t xml:space="preserve">
Présenter l’évolution actuelle de la société en vue de montrer qu’il faudrait désormais construire de plus en plus de bâtiments sans obstacle architectonique. Pro Infirmis a donc demandé à l’Institut d’architecture de la Haute école spécialisée de la Suisse du Nord-Ouest de réaliser une étude qui examine les bâtiments d’habitation du canton de Bâle-Ville sous l’angle de leur potentiel de rénovation. L’étude a été publiée en 2015. 
</t>
    </r>
    <r>
      <rPr>
        <i/>
        <sz val="10"/>
        <color indexed="8"/>
        <rFont val="Arial"/>
        <family val="2"/>
      </rPr>
      <t xml:space="preserve">Ct Xy, Projet xxxxx </t>
    </r>
    <r>
      <rPr>
        <sz val="10"/>
        <color indexed="8"/>
        <rFont val="Arial"/>
        <family val="2"/>
      </rPr>
      <t xml:space="preserve">
Principaux objectifs : xxxxxxxx Projet achevé en 2015.
</t>
    </r>
  </si>
  <si>
    <t>Soutien en faveur de clubs de personnes en fauteuils roulants
Ces clubs sont animés par des bénévoles. Il est par conséquent important que leurs comités soient soutenus et défrayés autant que possible. 
Sur demande de ces clubs, l’ASP s'occupe de l’expédition du courrier adressé à leurs membres.</t>
  </si>
  <si>
    <r>
      <rPr>
        <b/>
        <sz val="10"/>
        <color indexed="62"/>
        <rFont val="Arial"/>
        <family val="2"/>
      </rPr>
      <t>Evaluation de certaines activités</t>
    </r>
    <r>
      <rPr>
        <sz val="10"/>
        <color indexed="8"/>
        <rFont val="Arial"/>
        <family val="2"/>
      </rPr>
      <t xml:space="preserve">
En 2015, nous avons pu effectuer l’expédition du courrier adressé aux membres de xx des 27 clubs, soit xx expéditions au total (contre xx l’année précédente).</t>
    </r>
  </si>
  <si>
    <r>
      <rPr>
        <b/>
        <sz val="10"/>
        <color indexed="62"/>
        <rFont val="Arial"/>
        <family val="2"/>
      </rPr>
      <t>Evaluation de certaines activités</t>
    </r>
    <r>
      <rPr>
        <sz val="10"/>
        <color indexed="8"/>
        <rFont val="Arial"/>
        <family val="2"/>
      </rPr>
      <t xml:space="preserve">
Quatre rencontres ont eu lieu en 2015, rassemblant en moyenne 15 à 20 personnes. Sujets abordés : mesures d’économies, décharge, assistance, offres de vacances et pour les week-ends, formes de logement, questions d’ordre médical et échanges.
Mise en œuvre sur le terrain des sujets de discussion : 
Demande faite à une institution quant à la possibilité de louer des locaux le week-end. L'idée est née d'organiser un week-end en dehors du domicile avec l'aide d'assistants.</t>
    </r>
  </si>
  <si>
    <t>En 2016, nous participerons à la délégation suisse de la conférence des Etats parties à la convention de l’ONU relative aux droits des personnes handicapées qui se tiendra à New York.
Le sujet principal de la conférence de 2016 est la mise en œuvre de l’agenda 2030 de l’ONU pour un développement durable en faveur de toutes les personnes handicapées.</t>
  </si>
  <si>
    <r>
      <t xml:space="preserve">Bilan de l'évaluation
</t>
    </r>
    <r>
      <rPr>
        <sz val="10"/>
        <color indexed="8"/>
        <rFont val="Arial"/>
        <family val="2"/>
      </rPr>
      <t xml:space="preserve">Des projets ont été lancés dans plusieurs cantons, avec le concours d’autres organisations. On relèvera notamment :
</t>
    </r>
    <r>
      <rPr>
        <i/>
        <sz val="10"/>
        <color indexed="8"/>
        <rFont val="Arial"/>
        <family val="2"/>
      </rPr>
      <t>Ct XY, parcours de mobilité</t>
    </r>
    <r>
      <rPr>
        <sz val="10"/>
        <color indexed="8"/>
        <rFont val="Arial"/>
        <family val="2"/>
      </rPr>
      <t xml:space="preserve">
Il s'agit d’un parcours parsemés de huit obstacles en bois différents. Le but est de suivre ce parcours en fauteuil roulant ou avec les moyens auxiliaires des aveugles et malvoyants pour faire l’expérience des obstacles que rencontrent quotidiennement les personnes handicapées. Ce parcours est destiné à toutes les personnes intéressées à organiser des cours, une formation continue ou une rencontre sur le thème des personnes à mobilité réduite. 
</t>
    </r>
    <r>
      <rPr>
        <i/>
        <sz val="10"/>
        <color indexed="8"/>
        <rFont val="Arial"/>
        <family val="2"/>
      </rPr>
      <t xml:space="preserve">Ct XY, Projet de tourisme accessible
</t>
    </r>
    <r>
      <rPr>
        <sz val="10"/>
        <color indexed="8"/>
        <rFont val="Arial"/>
        <family val="2"/>
      </rPr>
      <t>Principaux objectifs : présenter une définition du tourisme accessible, faire connaître les offres touristiques accessibles, mettre en réseau des prestataires institutionnels en vue d’organiser une région de vacances répondant à cette exigence d’accès. Le projet ne vise pas uniquement les hôtels et restaurants, mais aussi les offres de loisirs au sens large.</t>
    </r>
  </si>
  <si>
    <r>
      <t xml:space="preserve">
</t>
    </r>
    <r>
      <rPr>
        <i/>
        <sz val="10"/>
        <color indexed="8"/>
        <rFont val="Arial"/>
        <family val="2"/>
      </rPr>
      <t xml:space="preserve">Parcours de mobilité
</t>
    </r>
    <r>
      <rPr>
        <sz val="10"/>
        <color indexed="8"/>
        <rFont val="Arial"/>
        <family val="2"/>
      </rPr>
      <t xml:space="preserve">A partir de 2016, nous analyserons les demandes concernant le parcours de mobilité à l’aide d’un monitoring, afin d’ajuster notre offre à l’évolution.
</t>
    </r>
    <r>
      <rPr>
        <i/>
        <sz val="10"/>
        <color indexed="8"/>
        <rFont val="Arial"/>
        <family val="2"/>
      </rPr>
      <t xml:space="preserve">Tourisme accessible
</t>
    </r>
    <r>
      <rPr>
        <sz val="10"/>
        <color indexed="8"/>
        <rFont val="Arial"/>
        <family val="2"/>
      </rPr>
      <t>Nous prendrons contact avec d’autres régions de vacances, dans le but de les encourager à pratiquer un tourisme accessible.</t>
    </r>
  </si>
  <si>
    <t>Les bulletins d'information des associations régionales sont dans la langue locales et abordent les thèmes chers aux membres ciblés</t>
  </si>
  <si>
    <t xml:space="preserve">Appréciation des résulats </t>
  </si>
  <si>
    <t>Les groupes cibles connaissent les prestations et les produits de l'association Cerebral Suisse, et sont toujours tenus au courant des dernières nouveautés</t>
  </si>
  <si>
    <t>Valais</t>
  </si>
  <si>
    <t>Renseignements généraux (3158 VS)</t>
  </si>
  <si>
    <t>Bulletion Connaître (3158 VS)</t>
  </si>
  <si>
    <t>Site internet et page Facebook (3158 VS)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</si>
</sst>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 #,##0.00_ ;_ * \-#,##0.00_ ;_ * &quot;-&quot;??_ ;_ @_ "/>
    <numFmt numFmtId="165" formatCode="_-* #,##0.00_-;\-* #,##0.00_-;_-* &quot;-&quot;??_-;_-@_-"/>
    <numFmt numFmtId="166" formatCode="_-* #,##0_-;\-* #,##0_-;_-* &quot;-&quot;??_-;_-@_-"/>
    <numFmt numFmtId="167" formatCode="#,##0_ ;\-#,##0\ "/>
    <numFmt numFmtId="168" formatCode="_ * #,##0_ ;_ * \-#,##0_ ;_ * &quot;-&quot;??_ ;_ @_ "/>
  </numFmts>
  <fonts count="93">
    <font>
      <sz val="12"/>
      <name val="Arial"/>
    </font>
    <font>
      <b/>
      <sz val="12"/>
      <name val="Arial"/>
      <family val="2"/>
    </font>
    <font>
      <sz val="12"/>
      <name val="Arial"/>
      <family val="2"/>
    </font>
    <font>
      <b/>
      <sz val="12"/>
      <name val="Arial"/>
      <family val="2"/>
    </font>
    <font>
      <sz val="10"/>
      <name val="Arial"/>
      <family val="2"/>
    </font>
    <font>
      <sz val="11"/>
      <name val="Arial"/>
      <family val="2"/>
    </font>
    <font>
      <b/>
      <sz val="10"/>
      <name val="Arial"/>
      <family val="2"/>
    </font>
    <font>
      <vertAlign val="superscript"/>
      <sz val="10"/>
      <name val="Arial"/>
      <family val="2"/>
    </font>
    <font>
      <sz val="12"/>
      <name val="Arial"/>
      <family val="2"/>
    </font>
    <font>
      <sz val="9"/>
      <name val="Arial"/>
      <family val="2"/>
    </font>
    <font>
      <sz val="10"/>
      <name val="Arial"/>
      <family val="2"/>
    </font>
    <font>
      <sz val="8"/>
      <name val="Arial"/>
      <family val="2"/>
    </font>
    <font>
      <sz val="8.5"/>
      <name val="Arial"/>
      <family val="2"/>
    </font>
    <font>
      <sz val="6"/>
      <name val="Arial"/>
      <family val="2"/>
    </font>
    <font>
      <b/>
      <sz val="8"/>
      <name val="Arial"/>
      <family val="2"/>
    </font>
    <font>
      <b/>
      <sz val="10"/>
      <color indexed="10"/>
      <name val="Arial"/>
      <family val="2"/>
    </font>
    <font>
      <b/>
      <sz val="16"/>
      <color indexed="10"/>
      <name val="Arial"/>
      <family val="2"/>
    </font>
    <font>
      <b/>
      <sz val="12"/>
      <color indexed="10"/>
      <name val="Arial"/>
      <family val="2"/>
    </font>
    <font>
      <b/>
      <sz val="12"/>
      <color indexed="12"/>
      <name val="Arial"/>
      <family val="2"/>
    </font>
    <font>
      <b/>
      <sz val="14"/>
      <color indexed="12"/>
      <name val="Arial"/>
      <family val="2"/>
    </font>
    <font>
      <b/>
      <sz val="14"/>
      <color indexed="10"/>
      <name val="Arial"/>
      <family val="2"/>
    </font>
    <font>
      <b/>
      <sz val="14"/>
      <name val="Arial"/>
      <family val="2"/>
    </font>
    <font>
      <b/>
      <sz val="13"/>
      <color indexed="10"/>
      <name val="Arial"/>
      <family val="2"/>
    </font>
    <font>
      <b/>
      <sz val="13"/>
      <color indexed="12"/>
      <name val="Arial"/>
      <family val="2"/>
    </font>
    <font>
      <b/>
      <sz val="12"/>
      <color indexed="14"/>
      <name val="Arial"/>
      <family val="2"/>
    </font>
    <font>
      <sz val="7"/>
      <name val="Arial"/>
      <family val="2"/>
    </font>
    <font>
      <b/>
      <sz val="7"/>
      <name val="Arial"/>
      <family val="2"/>
    </font>
    <font>
      <b/>
      <sz val="6"/>
      <name val="Arial"/>
      <family val="2"/>
    </font>
    <font>
      <b/>
      <sz val="14"/>
      <color indexed="14"/>
      <name val="Arial"/>
      <family val="2"/>
    </font>
    <font>
      <sz val="10"/>
      <color indexed="10"/>
      <name val="Arial"/>
      <family val="2"/>
    </font>
    <font>
      <sz val="12"/>
      <color indexed="10"/>
      <name val="Arial"/>
      <family val="2"/>
    </font>
    <font>
      <sz val="10"/>
      <color indexed="9"/>
      <name val="Arial"/>
      <family val="2"/>
    </font>
    <font>
      <sz val="12"/>
      <color indexed="9"/>
      <name val="Arial"/>
      <family val="2"/>
    </font>
    <font>
      <sz val="8"/>
      <color indexed="10"/>
      <name val="Arial"/>
      <family val="2"/>
    </font>
    <font>
      <sz val="8"/>
      <name val="Arial"/>
      <family val="2"/>
    </font>
    <font>
      <sz val="12"/>
      <color indexed="10"/>
      <name val="Arial"/>
      <family val="2"/>
    </font>
    <font>
      <b/>
      <sz val="7"/>
      <color indexed="9"/>
      <name val="Arial"/>
      <family val="2"/>
    </font>
    <font>
      <b/>
      <sz val="12"/>
      <color indexed="53"/>
      <name val="Arial"/>
      <family val="2"/>
    </font>
    <font>
      <b/>
      <vertAlign val="superscript"/>
      <sz val="10"/>
      <name val="Arial"/>
      <family val="2"/>
    </font>
    <font>
      <b/>
      <sz val="9"/>
      <name val="Arial"/>
      <family val="2"/>
    </font>
    <font>
      <sz val="12"/>
      <name val="Arial"/>
      <family val="2"/>
    </font>
    <font>
      <sz val="8"/>
      <color indexed="12"/>
      <name val="Arial"/>
      <family val="2"/>
    </font>
    <font>
      <sz val="10"/>
      <color indexed="12"/>
      <name val="Arial"/>
      <family val="2"/>
    </font>
    <font>
      <strike/>
      <sz val="10"/>
      <name val="Arial"/>
      <family val="2"/>
    </font>
    <font>
      <b/>
      <sz val="8"/>
      <color indexed="12"/>
      <name val="Arial"/>
      <family val="2"/>
    </font>
    <font>
      <b/>
      <sz val="14"/>
      <color indexed="20"/>
      <name val="Arial"/>
      <family val="2"/>
    </font>
    <font>
      <sz val="8"/>
      <color indexed="9"/>
      <name val="Arial"/>
      <family val="2"/>
    </font>
    <font>
      <b/>
      <sz val="11"/>
      <name val="Arial"/>
      <family val="2"/>
    </font>
    <font>
      <b/>
      <sz val="10"/>
      <color indexed="12"/>
      <name val="Arial"/>
      <family val="2"/>
    </font>
    <font>
      <sz val="20"/>
      <color indexed="10"/>
      <name val="Arial"/>
      <family val="2"/>
    </font>
    <font>
      <sz val="12"/>
      <name val="55 Helvetica Roman"/>
    </font>
    <font>
      <sz val="11"/>
      <name val="Arial"/>
      <family val="2"/>
    </font>
    <font>
      <sz val="10"/>
      <color indexed="8"/>
      <name val="Arial"/>
      <family val="2"/>
    </font>
    <font>
      <sz val="9"/>
      <color indexed="81"/>
      <name val="Tahoma"/>
      <family val="2"/>
    </font>
    <font>
      <b/>
      <sz val="9"/>
      <color indexed="81"/>
      <name val="Tahoma"/>
      <family val="2"/>
    </font>
    <font>
      <sz val="12"/>
      <name val="Arial"/>
      <family val="2"/>
    </font>
    <font>
      <b/>
      <u/>
      <sz val="12"/>
      <name val="Arial"/>
      <family val="2"/>
    </font>
    <font>
      <vertAlign val="superscript"/>
      <sz val="8"/>
      <name val="Arial"/>
      <family val="2"/>
    </font>
    <font>
      <b/>
      <sz val="9"/>
      <color indexed="10"/>
      <name val="Arial"/>
      <family val="2"/>
    </font>
    <font>
      <b/>
      <sz val="10"/>
      <color indexed="8"/>
      <name val="Arial"/>
      <family val="2"/>
    </font>
    <font>
      <u/>
      <sz val="11"/>
      <name val="Arial"/>
      <family val="2"/>
    </font>
    <font>
      <b/>
      <u/>
      <sz val="11"/>
      <name val="Arial"/>
      <family val="2"/>
    </font>
    <font>
      <b/>
      <sz val="10"/>
      <color indexed="62"/>
      <name val="Arial"/>
      <family val="2"/>
    </font>
    <font>
      <sz val="20"/>
      <name val="Arial"/>
      <family val="2"/>
    </font>
    <font>
      <b/>
      <vertAlign val="superscript"/>
      <sz val="10"/>
      <color indexed="8"/>
      <name val="Arial"/>
      <family val="2"/>
    </font>
    <font>
      <i/>
      <sz val="10"/>
      <color indexed="8"/>
      <name val="Arial"/>
      <family val="2"/>
    </font>
    <font>
      <sz val="11"/>
      <color indexed="8"/>
      <name val="Arial"/>
      <family val="2"/>
    </font>
    <font>
      <sz val="8"/>
      <color indexed="8"/>
      <name val="Arial"/>
      <family val="2"/>
    </font>
    <font>
      <sz val="11"/>
      <color theme="1"/>
      <name val="Arial"/>
      <family val="2"/>
    </font>
    <font>
      <b/>
      <sz val="11"/>
      <color theme="1"/>
      <name val="Arial"/>
      <family val="2"/>
    </font>
    <font>
      <sz val="11"/>
      <color rgb="FFFF0000"/>
      <name val="Arial"/>
      <family val="2"/>
    </font>
    <font>
      <sz val="12"/>
      <color theme="0"/>
      <name val="Arial"/>
      <family val="2"/>
    </font>
    <font>
      <sz val="10"/>
      <color theme="1"/>
      <name val="Arial"/>
      <family val="2"/>
    </font>
    <font>
      <b/>
      <sz val="11"/>
      <color rgb="FFFF0000"/>
      <name val="Arial"/>
      <family val="2"/>
    </font>
    <font>
      <b/>
      <i/>
      <sz val="11"/>
      <color theme="1"/>
      <name val="Arial"/>
      <family val="2"/>
    </font>
    <font>
      <i/>
      <sz val="11"/>
      <color theme="4" tint="-0.249977111117893"/>
      <name val="Arial"/>
      <family val="2"/>
    </font>
    <font>
      <u/>
      <sz val="11"/>
      <color theme="1"/>
      <name val="Arial"/>
      <family val="2"/>
    </font>
    <font>
      <sz val="10"/>
      <color theme="0" tint="-0.14999847407452621"/>
      <name val="Arial"/>
      <family val="2"/>
    </font>
    <font>
      <b/>
      <sz val="10"/>
      <color theme="0" tint="-0.14999847407452621"/>
      <name val="Arial"/>
      <family val="2"/>
    </font>
    <font>
      <sz val="10"/>
      <color rgb="FF000000"/>
      <name val="Arial"/>
      <family val="2"/>
    </font>
    <font>
      <b/>
      <sz val="10"/>
      <color rgb="FF000000"/>
      <name val="Arial"/>
      <family val="2"/>
    </font>
    <font>
      <i/>
      <sz val="10"/>
      <color rgb="FF000000"/>
      <name val="Arial"/>
      <family val="2"/>
    </font>
    <font>
      <b/>
      <sz val="10"/>
      <color theme="4" tint="-0.249977111117893"/>
      <name val="Arial"/>
      <family val="2"/>
    </font>
    <font>
      <b/>
      <i/>
      <sz val="10"/>
      <color theme="4" tint="-0.249977111117893"/>
      <name val="Arial"/>
      <family val="2"/>
    </font>
    <font>
      <b/>
      <sz val="10"/>
      <color rgb="FFFF0000"/>
      <name val="Arial"/>
      <family val="2"/>
    </font>
    <font>
      <sz val="10"/>
      <color theme="4" tint="-0.249977111117893"/>
      <name val="Arial"/>
      <family val="2"/>
    </font>
    <font>
      <sz val="8"/>
      <color theme="1"/>
      <name val="Arial"/>
      <family val="2"/>
    </font>
    <font>
      <sz val="11"/>
      <color rgb="FF000000"/>
      <name val="Arial"/>
      <family val="2"/>
    </font>
    <font>
      <b/>
      <sz val="11"/>
      <color rgb="FF000000"/>
      <name val="Arial"/>
      <family val="2"/>
    </font>
    <font>
      <sz val="7"/>
      <color rgb="FF000000"/>
      <name val="Arial"/>
      <family val="2"/>
    </font>
    <font>
      <sz val="11"/>
      <color theme="4" tint="-0.249977111117893"/>
      <name val="Arial"/>
      <family val="2"/>
    </font>
    <font>
      <b/>
      <sz val="10"/>
      <color rgb="FF7030A0"/>
      <name val="Arial"/>
      <family val="2"/>
    </font>
    <font>
      <b/>
      <sz val="10"/>
      <color rgb="FF0070C0"/>
      <name val="Arial"/>
      <family val="2"/>
    </font>
  </fonts>
  <fills count="28">
    <fill>
      <patternFill patternType="none"/>
    </fill>
    <fill>
      <patternFill patternType="gray125"/>
    </fill>
    <fill>
      <patternFill patternType="solid">
        <fgColor indexed="22"/>
        <bgColor indexed="64"/>
      </patternFill>
    </fill>
    <fill>
      <patternFill patternType="solid">
        <fgColor indexed="45"/>
        <bgColor indexed="64"/>
      </patternFill>
    </fill>
    <fill>
      <patternFill patternType="solid">
        <fgColor indexed="9"/>
        <bgColor indexed="64"/>
      </patternFill>
    </fill>
    <fill>
      <patternFill patternType="solid">
        <fgColor indexed="43"/>
        <bgColor indexed="64"/>
      </patternFill>
    </fill>
    <fill>
      <patternFill patternType="solid">
        <fgColor indexed="42"/>
        <bgColor indexed="64"/>
      </patternFill>
    </fill>
    <fill>
      <patternFill patternType="solid">
        <fgColor indexed="47"/>
        <bgColor indexed="64"/>
      </patternFill>
    </fill>
    <fill>
      <patternFill patternType="solid">
        <fgColor indexed="51"/>
        <bgColor indexed="64"/>
      </patternFill>
    </fill>
    <fill>
      <patternFill patternType="solid">
        <fgColor indexed="13"/>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theme="5" tint="0.79998168889431442"/>
        <bgColor indexed="64"/>
      </patternFill>
    </fill>
    <fill>
      <patternFill patternType="solid">
        <fgColor theme="0" tint="-0.249977111117893"/>
        <bgColor indexed="64"/>
      </patternFill>
    </fill>
    <fill>
      <patternFill patternType="solid">
        <fgColor rgb="FFE6E6E6"/>
        <bgColor indexed="64"/>
      </patternFill>
    </fill>
    <fill>
      <patternFill patternType="solid">
        <fgColor theme="6" tint="0.59999389629810485"/>
        <bgColor indexed="64"/>
      </patternFill>
    </fill>
    <fill>
      <patternFill patternType="solid">
        <fgColor rgb="FFCCFFCC"/>
        <bgColor indexed="64"/>
      </patternFill>
    </fill>
    <fill>
      <patternFill patternType="solid">
        <fgColor theme="5" tint="0.59999389629810485"/>
        <bgColor indexed="64"/>
      </patternFill>
    </fill>
    <fill>
      <patternFill patternType="solid">
        <fgColor rgb="FF92D050"/>
        <bgColor indexed="64"/>
      </patternFill>
    </fill>
    <fill>
      <patternFill patternType="solid">
        <fgColor theme="3" tint="0.59999389629810485"/>
        <bgColor indexed="64"/>
      </patternFill>
    </fill>
    <fill>
      <patternFill patternType="solid">
        <fgColor theme="9" tint="0.59999389629810485"/>
        <bgColor indexed="64"/>
      </patternFill>
    </fill>
    <fill>
      <patternFill patternType="solid">
        <fgColor theme="9" tint="-0.249977111117893"/>
        <bgColor indexed="64"/>
      </patternFill>
    </fill>
    <fill>
      <patternFill patternType="solid">
        <fgColor rgb="FFFFFF99"/>
        <bgColor indexed="64"/>
      </patternFill>
    </fill>
    <fill>
      <patternFill patternType="solid">
        <fgColor theme="9" tint="0.39997558519241921"/>
        <bgColor indexed="64"/>
      </patternFill>
    </fill>
    <fill>
      <patternFill patternType="solid">
        <fgColor rgb="FFFFC000"/>
        <bgColor indexed="64"/>
      </patternFill>
    </fill>
  </fills>
  <borders count="84">
    <border>
      <left/>
      <right/>
      <top/>
      <bottom/>
      <diagonal/>
    </border>
    <border>
      <left style="medium">
        <color indexed="64"/>
      </left>
      <right style="thin">
        <color indexed="64"/>
      </right>
      <top style="medium">
        <color indexed="64"/>
      </top>
      <bottom/>
      <diagonal/>
    </border>
    <border>
      <left/>
      <right/>
      <top style="thin">
        <color indexed="64"/>
      </top>
      <bottom style="thin">
        <color indexed="64"/>
      </bottom>
      <diagonal/>
    </border>
    <border>
      <left/>
      <right/>
      <top/>
      <bottom style="thin">
        <color indexed="64"/>
      </bottom>
      <diagonal/>
    </border>
    <border>
      <left style="medium">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right style="thin">
        <color indexed="64"/>
      </right>
      <top/>
      <bottom style="medium">
        <color indexed="64"/>
      </bottom>
      <diagonal/>
    </border>
    <border>
      <left style="medium">
        <color indexed="64"/>
      </left>
      <right style="thin">
        <color indexed="64"/>
      </right>
      <top style="thin">
        <color indexed="64"/>
      </top>
      <bottom/>
      <diagonal/>
    </border>
    <border>
      <left style="medium">
        <color indexed="64"/>
      </left>
      <right/>
      <top/>
      <bottom style="medium">
        <color indexed="64"/>
      </bottom>
      <diagonal/>
    </border>
    <border>
      <left/>
      <right style="medium">
        <color indexed="64"/>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right style="medium">
        <color indexed="64"/>
      </right>
      <top/>
      <bottom style="medium">
        <color indexed="64"/>
      </bottom>
      <diagonal/>
    </border>
    <border>
      <left style="thin">
        <color indexed="64"/>
      </left>
      <right/>
      <top style="thin">
        <color indexed="64"/>
      </top>
      <bottom/>
      <diagonal/>
    </border>
    <border>
      <left style="thin">
        <color indexed="64"/>
      </left>
      <right/>
      <top/>
      <bottom style="thin">
        <color indexed="64"/>
      </bottom>
      <diagonal/>
    </border>
    <border>
      <left/>
      <right/>
      <top style="medium">
        <color indexed="64"/>
      </top>
      <bottom/>
      <diagonal/>
    </border>
    <border>
      <left/>
      <right style="medium">
        <color indexed="64"/>
      </right>
      <top style="medium">
        <color indexed="64"/>
      </top>
      <bottom/>
      <diagonal/>
    </border>
    <border>
      <left/>
      <right style="thin">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top style="thin">
        <color indexed="64"/>
      </top>
      <bottom/>
      <diagonal/>
    </border>
    <border>
      <left style="medium">
        <color indexed="64"/>
      </left>
      <right style="medium">
        <color indexed="64"/>
      </right>
      <top style="medium">
        <color indexed="64"/>
      </top>
      <bottom style="thin">
        <color indexed="64"/>
      </bottom>
      <diagonal/>
    </border>
    <border>
      <left style="thin">
        <color indexed="64"/>
      </left>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right style="medium">
        <color indexed="64"/>
      </right>
      <top/>
      <bottom/>
      <diagonal/>
    </border>
    <border>
      <left/>
      <right style="thin">
        <color indexed="64"/>
      </right>
      <top/>
      <bottom/>
      <diagonal/>
    </border>
    <border>
      <left style="thin">
        <color indexed="64"/>
      </left>
      <right style="thin">
        <color indexed="64"/>
      </right>
      <top/>
      <bottom/>
      <diagonal/>
    </border>
    <border>
      <left style="medium">
        <color indexed="64"/>
      </left>
      <right style="thin">
        <color indexed="64"/>
      </right>
      <top/>
      <bottom/>
      <diagonal/>
    </border>
    <border>
      <left style="medium">
        <color indexed="64"/>
      </left>
      <right/>
      <top style="thin">
        <color indexed="64"/>
      </top>
      <bottom/>
      <diagonal/>
    </border>
    <border>
      <left style="medium">
        <color indexed="64"/>
      </left>
      <right style="medium">
        <color indexed="64"/>
      </right>
      <top style="medium">
        <color indexed="64"/>
      </top>
      <bottom/>
      <diagonal/>
    </border>
    <border>
      <left/>
      <right/>
      <top/>
      <bottom style="medium">
        <color indexed="64"/>
      </bottom>
      <diagonal/>
    </border>
    <border>
      <left style="medium">
        <color indexed="64"/>
      </left>
      <right/>
      <top/>
      <bottom style="thin">
        <color indexed="64"/>
      </bottom>
      <diagonal/>
    </border>
    <border>
      <left style="medium">
        <color indexed="64"/>
      </left>
      <right/>
      <top style="medium">
        <color indexed="64"/>
      </top>
      <bottom/>
      <diagonal/>
    </border>
    <border>
      <left style="thin">
        <color indexed="64"/>
      </left>
      <right style="medium">
        <color indexed="64"/>
      </right>
      <top/>
      <bottom/>
      <diagonal/>
    </border>
    <border>
      <left/>
      <right style="thick">
        <color indexed="48"/>
      </right>
      <top style="thick">
        <color indexed="48"/>
      </top>
      <bottom/>
      <diagonal/>
    </border>
    <border>
      <left/>
      <right style="thick">
        <color indexed="48"/>
      </right>
      <top/>
      <bottom/>
      <diagonal/>
    </border>
    <border>
      <left/>
      <right style="thick">
        <color indexed="48"/>
      </right>
      <top/>
      <bottom style="thick">
        <color indexed="48"/>
      </bottom>
      <diagonal/>
    </border>
    <border>
      <left/>
      <right style="medium">
        <color indexed="57"/>
      </right>
      <top style="medium">
        <color indexed="57"/>
      </top>
      <bottom/>
      <diagonal/>
    </border>
    <border>
      <left/>
      <right style="medium">
        <color indexed="57"/>
      </right>
      <top/>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thin">
        <color indexed="64"/>
      </left>
      <right/>
      <top/>
      <bottom/>
      <diagonal/>
    </border>
    <border>
      <left style="thin">
        <color indexed="64"/>
      </left>
      <right style="medium">
        <color indexed="64"/>
      </right>
      <top style="medium">
        <color indexed="64"/>
      </top>
      <bottom/>
      <diagonal/>
    </border>
    <border>
      <left style="thin">
        <color indexed="64"/>
      </left>
      <right/>
      <top style="thin">
        <color indexed="64"/>
      </top>
      <bottom style="medium">
        <color indexed="64"/>
      </bottom>
      <diagonal/>
    </border>
  </borders>
  <cellStyleXfs count="9">
    <xf numFmtId="0" fontId="0" fillId="0" borderId="0"/>
    <xf numFmtId="165" fontId="2" fillId="0" borderId="0" applyFont="0" applyFill="0" applyBorder="0" applyAlignment="0" applyProtection="0"/>
    <xf numFmtId="165" fontId="2" fillId="0" borderId="0" applyFont="0" applyFill="0" applyBorder="0" applyAlignment="0" applyProtection="0"/>
    <xf numFmtId="9" fontId="2" fillId="0" borderId="0" applyFont="0" applyFill="0" applyBorder="0" applyAlignment="0" applyProtection="0"/>
    <xf numFmtId="0" fontId="2" fillId="0" borderId="0"/>
    <xf numFmtId="0" fontId="2" fillId="0" borderId="0"/>
    <xf numFmtId="0" fontId="10" fillId="0" borderId="0"/>
    <xf numFmtId="0" fontId="50" fillId="0" borderId="0"/>
    <xf numFmtId="0" fontId="10" fillId="0" borderId="0"/>
  </cellStyleXfs>
  <cellXfs count="1400">
    <xf numFmtId="0" fontId="0" fillId="0" borderId="0" xfId="0"/>
    <xf numFmtId="0" fontId="4" fillId="0" borderId="0" xfId="0" applyFont="1" applyAlignment="1">
      <alignment vertical="top" wrapText="1"/>
    </xf>
    <xf numFmtId="0" fontId="4" fillId="0" borderId="0" xfId="0" applyFont="1"/>
    <xf numFmtId="0" fontId="6" fillId="0" borderId="0" xfId="0" applyFont="1" applyAlignment="1">
      <alignment vertical="top"/>
    </xf>
    <xf numFmtId="0" fontId="4" fillId="0" borderId="0" xfId="0" applyFont="1" applyAlignment="1">
      <alignment vertical="top"/>
    </xf>
    <xf numFmtId="0" fontId="4" fillId="0" borderId="0" xfId="0" applyFont="1" applyBorder="1" applyAlignment="1">
      <alignment vertical="top" wrapText="1"/>
    </xf>
    <xf numFmtId="0" fontId="4" fillId="0" borderId="1" xfId="0" applyFont="1" applyBorder="1" applyAlignment="1">
      <alignment vertical="top" wrapText="1"/>
    </xf>
    <xf numFmtId="11" fontId="4" fillId="0" borderId="0" xfId="0" applyNumberFormat="1" applyFont="1" applyAlignment="1">
      <alignment vertical="top" wrapText="1"/>
    </xf>
    <xf numFmtId="0" fontId="4" fillId="0" borderId="2" xfId="0" applyFont="1" applyBorder="1" applyAlignment="1">
      <alignment vertical="top" wrapText="1"/>
    </xf>
    <xf numFmtId="0" fontId="4" fillId="0" borderId="3" xfId="0" applyFont="1" applyBorder="1" applyAlignment="1">
      <alignment vertical="top" wrapText="1"/>
    </xf>
    <xf numFmtId="0" fontId="4" fillId="0" borderId="0" xfId="0" applyFont="1" applyFill="1" applyBorder="1" applyAlignment="1">
      <alignment vertical="top" wrapText="1"/>
    </xf>
    <xf numFmtId="0" fontId="8" fillId="0" borderId="0" xfId="0" applyFont="1"/>
    <xf numFmtId="0" fontId="8" fillId="0" borderId="0" xfId="0" applyFont="1" applyAlignment="1">
      <alignment vertical="top" wrapText="1"/>
    </xf>
    <xf numFmtId="0" fontId="8" fillId="0" borderId="0" xfId="0" applyFont="1" applyBorder="1" applyAlignment="1">
      <alignment vertical="top" wrapText="1"/>
    </xf>
    <xf numFmtId="0" fontId="6" fillId="0" borderId="4" xfId="0" applyFont="1" applyBorder="1" applyAlignment="1">
      <alignment vertical="top" wrapText="1"/>
    </xf>
    <xf numFmtId="0" fontId="4" fillId="0" borderId="0" xfId="6" applyFont="1" applyBorder="1"/>
    <xf numFmtId="0" fontId="4" fillId="0" borderId="3" xfId="6" applyFont="1" applyBorder="1"/>
    <xf numFmtId="0" fontId="4" fillId="0" borderId="2" xfId="6" applyFont="1" applyBorder="1" applyAlignment="1">
      <alignment horizontal="center" textRotation="90" wrapText="1"/>
    </xf>
    <xf numFmtId="0" fontId="4" fillId="0" borderId="0" xfId="6" applyFont="1"/>
    <xf numFmtId="0" fontId="6" fillId="0" borderId="0" xfId="6" applyFont="1"/>
    <xf numFmtId="0" fontId="6" fillId="2" borderId="2" xfId="6" applyFont="1" applyFill="1" applyBorder="1"/>
    <xf numFmtId="0" fontId="4" fillId="0" borderId="0" xfId="6" applyFont="1" applyFill="1" applyBorder="1" applyAlignment="1">
      <alignment horizontal="center"/>
    </xf>
    <xf numFmtId="0" fontId="4" fillId="0" borderId="0" xfId="6" applyFont="1" applyFill="1" applyBorder="1"/>
    <xf numFmtId="4" fontId="4" fillId="0" borderId="0" xfId="0" applyNumberFormat="1" applyFont="1" applyAlignment="1">
      <alignment vertical="top" wrapText="1"/>
    </xf>
    <xf numFmtId="0" fontId="4" fillId="0" borderId="0" xfId="0" applyFont="1" applyAlignment="1">
      <alignment vertical="center" wrapText="1"/>
    </xf>
    <xf numFmtId="0" fontId="3" fillId="0" borderId="0" xfId="0" applyFont="1" applyAlignment="1">
      <alignment vertical="center"/>
    </xf>
    <xf numFmtId="0" fontId="8" fillId="0" borderId="0" xfId="0" applyFont="1" applyAlignment="1">
      <alignment vertical="center" wrapText="1"/>
    </xf>
    <xf numFmtId="0" fontId="8" fillId="0" borderId="0" xfId="0" applyFont="1" applyAlignment="1">
      <alignment horizontal="right" vertical="center" wrapText="1"/>
    </xf>
    <xf numFmtId="0" fontId="8" fillId="0" borderId="5" xfId="0" applyFont="1" applyBorder="1" applyAlignment="1">
      <alignment horizontal="center" vertical="center" wrapText="1"/>
    </xf>
    <xf numFmtId="0" fontId="8" fillId="0" borderId="0" xfId="0" applyFont="1" applyAlignment="1">
      <alignment vertical="center"/>
    </xf>
    <xf numFmtId="0" fontId="8" fillId="0" borderId="0" xfId="0" applyFont="1" applyAlignment="1">
      <alignment horizontal="right" vertical="center"/>
    </xf>
    <xf numFmtId="0" fontId="8" fillId="0" borderId="6" xfId="0" applyFont="1" applyBorder="1" applyAlignment="1">
      <alignment horizontal="center" vertical="center"/>
    </xf>
    <xf numFmtId="0" fontId="4" fillId="0" borderId="0" xfId="0" applyFont="1" applyBorder="1" applyAlignment="1">
      <alignment vertical="center" wrapText="1"/>
    </xf>
    <xf numFmtId="3" fontId="4" fillId="0" borderId="0" xfId="0" applyNumberFormat="1" applyFont="1" applyAlignment="1">
      <alignment vertical="top" wrapText="1"/>
    </xf>
    <xf numFmtId="0" fontId="13" fillId="0" borderId="0" xfId="0" applyFont="1" applyBorder="1"/>
    <xf numFmtId="0" fontId="13" fillId="0" borderId="0" xfId="6" applyFont="1" applyBorder="1"/>
    <xf numFmtId="4" fontId="4" fillId="0" borderId="0" xfId="0" applyNumberFormat="1" applyFont="1" applyBorder="1" applyAlignment="1">
      <alignment vertical="top" wrapText="1"/>
    </xf>
    <xf numFmtId="3" fontId="4" fillId="0" borderId="0" xfId="0" applyNumberFormat="1" applyFont="1" applyBorder="1" applyAlignment="1">
      <alignment vertical="top" wrapText="1"/>
    </xf>
    <xf numFmtId="3" fontId="6" fillId="0" borderId="0" xfId="0" applyNumberFormat="1" applyFont="1" applyBorder="1" applyAlignment="1">
      <alignment vertical="top" wrapText="1"/>
    </xf>
    <xf numFmtId="0" fontId="4" fillId="0" borderId="0" xfId="0" applyFont="1" applyBorder="1" applyAlignment="1">
      <alignment horizontal="center" vertical="center" textRotation="90" wrapText="1"/>
    </xf>
    <xf numFmtId="0" fontId="11" fillId="0" borderId="0" xfId="0" applyFont="1"/>
    <xf numFmtId="0" fontId="4" fillId="0" borderId="7" xfId="0" applyFont="1" applyBorder="1" applyAlignment="1">
      <alignment vertical="center" wrapText="1"/>
    </xf>
    <xf numFmtId="0" fontId="4" fillId="0" borderId="8" xfId="0" applyFont="1" applyBorder="1" applyAlignment="1">
      <alignment vertical="center" wrapText="1"/>
    </xf>
    <xf numFmtId="4" fontId="8" fillId="0" borderId="0" xfId="0" applyNumberFormat="1" applyFont="1"/>
    <xf numFmtId="0" fontId="4" fillId="0" borderId="9" xfId="6" applyFont="1" applyBorder="1" applyAlignment="1">
      <alignment horizontal="center" textRotation="90" wrapText="1"/>
    </xf>
    <xf numFmtId="0" fontId="4" fillId="0" borderId="0" xfId="0" applyFont="1" applyProtection="1"/>
    <xf numFmtId="0" fontId="0" fillId="0" borderId="0" xfId="0" applyProtection="1"/>
    <xf numFmtId="0" fontId="3" fillId="0" borderId="6" xfId="0" applyFont="1" applyBorder="1" applyAlignment="1" applyProtection="1">
      <alignment horizontal="left" vertical="center" wrapText="1"/>
    </xf>
    <xf numFmtId="0" fontId="6" fillId="3" borderId="10" xfId="0" applyFont="1" applyFill="1" applyBorder="1" applyAlignment="1" applyProtection="1">
      <alignment horizontal="center" vertical="center"/>
    </xf>
    <xf numFmtId="0" fontId="4" fillId="0" borderId="3" xfId="0" applyFont="1" applyBorder="1" applyProtection="1"/>
    <xf numFmtId="0" fontId="4" fillId="0" borderId="2" xfId="0" applyFont="1" applyBorder="1" applyProtection="1"/>
    <xf numFmtId="0" fontId="0" fillId="0" borderId="2" xfId="0" applyBorder="1" applyProtection="1"/>
    <xf numFmtId="0" fontId="0" fillId="0" borderId="3" xfId="0" applyBorder="1" applyProtection="1"/>
    <xf numFmtId="0" fontId="0" fillId="0" borderId="10" xfId="0" applyBorder="1" applyProtection="1"/>
    <xf numFmtId="0" fontId="4" fillId="0" borderId="5" xfId="0" applyFont="1" applyBorder="1" applyAlignment="1" applyProtection="1">
      <alignment horizontal="left" vertical="center" wrapText="1"/>
    </xf>
    <xf numFmtId="0" fontId="6" fillId="3" borderId="10" xfId="0" applyFont="1" applyFill="1" applyBorder="1" applyAlignment="1" applyProtection="1">
      <alignment horizontal="center"/>
    </xf>
    <xf numFmtId="0" fontId="3" fillId="0" borderId="5" xfId="0" applyFont="1" applyBorder="1" applyProtection="1"/>
    <xf numFmtId="0" fontId="12" fillId="4" borderId="5" xfId="0" applyFont="1" applyFill="1" applyBorder="1" applyAlignment="1" applyProtection="1">
      <alignment wrapText="1"/>
    </xf>
    <xf numFmtId="2" fontId="4" fillId="3" borderId="5" xfId="0" applyNumberFormat="1" applyFont="1" applyFill="1" applyBorder="1" applyAlignment="1" applyProtection="1">
      <alignment vertical="center"/>
    </xf>
    <xf numFmtId="0" fontId="12" fillId="4" borderId="11" xfId="0" applyFont="1" applyFill="1" applyBorder="1" applyAlignment="1" applyProtection="1">
      <alignment wrapText="1"/>
    </xf>
    <xf numFmtId="0" fontId="6" fillId="5" borderId="5" xfId="0" applyFont="1" applyFill="1" applyBorder="1" applyAlignment="1" applyProtection="1">
      <alignment vertical="center"/>
      <protection locked="0"/>
    </xf>
    <xf numFmtId="0" fontId="3" fillId="6" borderId="12" xfId="0" applyFont="1" applyFill="1" applyBorder="1" applyAlignment="1" applyProtection="1">
      <alignment vertical="center"/>
      <protection locked="0"/>
    </xf>
    <xf numFmtId="4" fontId="4" fillId="6" borderId="5" xfId="0" applyNumberFormat="1" applyFont="1" applyFill="1" applyBorder="1" applyAlignment="1" applyProtection="1">
      <alignment vertical="center" wrapText="1"/>
      <protection locked="0"/>
    </xf>
    <xf numFmtId="3" fontId="4" fillId="6" borderId="13" xfId="0" applyNumberFormat="1" applyFont="1" applyFill="1" applyBorder="1" applyAlignment="1" applyProtection="1">
      <alignment vertical="center" wrapText="1"/>
      <protection locked="0"/>
    </xf>
    <xf numFmtId="3" fontId="4" fillId="6" borderId="5" xfId="0" applyNumberFormat="1" applyFont="1" applyFill="1" applyBorder="1" applyAlignment="1" applyProtection="1">
      <alignment vertical="center" wrapText="1"/>
      <protection locked="0"/>
    </xf>
    <xf numFmtId="3" fontId="4" fillId="6" borderId="6" xfId="0" applyNumberFormat="1" applyFont="1" applyFill="1" applyBorder="1" applyAlignment="1" applyProtection="1">
      <alignment vertical="center" wrapText="1"/>
      <protection locked="0"/>
    </xf>
    <xf numFmtId="0" fontId="4" fillId="0" borderId="7" xfId="0" applyFont="1" applyBorder="1" applyAlignment="1">
      <alignment vertical="center"/>
    </xf>
    <xf numFmtId="3" fontId="4" fillId="6" borderId="14" xfId="0" applyNumberFormat="1" applyFont="1" applyFill="1" applyBorder="1" applyAlignment="1" applyProtection="1">
      <alignment vertical="center" wrapText="1"/>
      <protection locked="0"/>
    </xf>
    <xf numFmtId="4" fontId="4" fillId="6" borderId="14" xfId="0" applyNumberFormat="1" applyFont="1" applyFill="1" applyBorder="1" applyAlignment="1" applyProtection="1">
      <alignment vertical="center" wrapText="1"/>
      <protection locked="0"/>
    </xf>
    <xf numFmtId="4" fontId="4" fillId="6" borderId="15" xfId="0" applyNumberFormat="1" applyFont="1" applyFill="1" applyBorder="1" applyAlignment="1" applyProtection="1">
      <alignment vertical="center" wrapText="1"/>
      <protection locked="0"/>
    </xf>
    <xf numFmtId="4" fontId="4" fillId="6" borderId="13" xfId="0" applyNumberFormat="1" applyFont="1" applyFill="1" applyBorder="1" applyAlignment="1" applyProtection="1">
      <alignment vertical="center" wrapText="1"/>
      <protection locked="0"/>
    </xf>
    <xf numFmtId="0" fontId="4" fillId="0" borderId="16" xfId="0" applyFont="1" applyBorder="1" applyAlignment="1">
      <alignment vertical="center" wrapText="1"/>
    </xf>
    <xf numFmtId="0" fontId="5" fillId="0" borderId="0" xfId="0" applyFont="1" applyAlignment="1">
      <alignment vertical="top" wrapText="1"/>
    </xf>
    <xf numFmtId="0" fontId="5" fillId="0" borderId="0" xfId="0" applyFont="1" applyBorder="1" applyAlignment="1">
      <alignment vertical="top" wrapText="1"/>
    </xf>
    <xf numFmtId="11" fontId="8" fillId="0" borderId="5" xfId="0" applyNumberFormat="1" applyFont="1" applyFill="1" applyBorder="1" applyAlignment="1">
      <alignment vertical="top" wrapText="1"/>
    </xf>
    <xf numFmtId="0" fontId="8" fillId="0" borderId="5" xfId="0" applyFont="1" applyFill="1" applyBorder="1" applyAlignment="1">
      <alignment vertical="top" wrapText="1"/>
    </xf>
    <xf numFmtId="11" fontId="8" fillId="0" borderId="14" xfId="0" applyNumberFormat="1" applyFont="1" applyFill="1" applyBorder="1" applyAlignment="1">
      <alignment vertical="top" wrapText="1"/>
    </xf>
    <xf numFmtId="11" fontId="8" fillId="0" borderId="17" xfId="0" applyNumberFormat="1" applyFont="1" applyFill="1" applyBorder="1" applyAlignment="1">
      <alignment vertical="top" wrapText="1"/>
    </xf>
    <xf numFmtId="11" fontId="8" fillId="0" borderId="7" xfId="0" applyNumberFormat="1" applyFont="1" applyFill="1" applyBorder="1" applyAlignment="1">
      <alignment vertical="top" wrapText="1"/>
    </xf>
    <xf numFmtId="0" fontId="8" fillId="0" borderId="7" xfId="0" applyFont="1" applyFill="1" applyBorder="1" applyAlignment="1">
      <alignment vertical="top" wrapText="1"/>
    </xf>
    <xf numFmtId="0" fontId="3" fillId="0" borderId="0" xfId="0" applyFont="1" applyAlignment="1">
      <alignment horizontal="right" vertical="center" wrapText="1"/>
    </xf>
    <xf numFmtId="0" fontId="3" fillId="7" borderId="18" xfId="0" applyFont="1" applyFill="1" applyBorder="1" applyAlignment="1">
      <alignment vertical="center" wrapText="1"/>
    </xf>
    <xf numFmtId="0" fontId="3" fillId="7" borderId="19" xfId="0" applyFont="1" applyFill="1" applyBorder="1" applyAlignment="1">
      <alignment vertical="center" wrapText="1"/>
    </xf>
    <xf numFmtId="0" fontId="3" fillId="7" borderId="20" xfId="0" applyFont="1" applyFill="1" applyBorder="1" applyAlignment="1">
      <alignment vertical="top" wrapText="1"/>
    </xf>
    <xf numFmtId="0" fontId="3" fillId="7" borderId="20" xfId="0" applyFont="1" applyFill="1" applyBorder="1" applyAlignment="1">
      <alignment vertical="center" wrapText="1"/>
    </xf>
    <xf numFmtId="0" fontId="4" fillId="0" borderId="17" xfId="0" applyFont="1" applyBorder="1" applyAlignment="1">
      <alignment vertical="center" wrapText="1"/>
    </xf>
    <xf numFmtId="3" fontId="4" fillId="6" borderId="15" xfId="0" applyNumberFormat="1" applyFont="1" applyFill="1" applyBorder="1" applyAlignment="1" applyProtection="1">
      <alignment vertical="center" wrapText="1"/>
      <protection locked="0"/>
    </xf>
    <xf numFmtId="0" fontId="6" fillId="7" borderId="7" xfId="0" applyFont="1" applyFill="1" applyBorder="1" applyAlignment="1">
      <alignment vertical="center" wrapText="1"/>
    </xf>
    <xf numFmtId="3" fontId="4" fillId="6" borderId="21" xfId="0" applyNumberFormat="1" applyFont="1" applyFill="1" applyBorder="1" applyAlignment="1" applyProtection="1">
      <alignment vertical="center" wrapText="1"/>
      <protection locked="0"/>
    </xf>
    <xf numFmtId="3" fontId="4" fillId="6" borderId="22" xfId="0" applyNumberFormat="1" applyFont="1" applyFill="1" applyBorder="1" applyAlignment="1" applyProtection="1">
      <alignment vertical="center" wrapText="1"/>
      <protection locked="0"/>
    </xf>
    <xf numFmtId="0" fontId="4" fillId="0" borderId="17" xfId="0" applyFont="1" applyBorder="1" applyAlignment="1">
      <alignment vertical="center"/>
    </xf>
    <xf numFmtId="3" fontId="4" fillId="6" borderId="23" xfId="0" applyNumberFormat="1" applyFont="1" applyFill="1" applyBorder="1" applyAlignment="1" applyProtection="1">
      <alignment vertical="center" wrapText="1"/>
      <protection locked="0"/>
    </xf>
    <xf numFmtId="0" fontId="6" fillId="7" borderId="19" xfId="0" applyFont="1" applyFill="1" applyBorder="1" applyAlignment="1">
      <alignment vertical="center" wrapText="1"/>
    </xf>
    <xf numFmtId="3" fontId="6" fillId="7" borderId="20" xfId="0" applyNumberFormat="1" applyFont="1" applyFill="1" applyBorder="1" applyAlignment="1">
      <alignment vertical="center" wrapText="1"/>
    </xf>
    <xf numFmtId="0" fontId="6" fillId="7" borderId="20" xfId="0" applyFont="1" applyFill="1" applyBorder="1" applyAlignment="1">
      <alignment horizontal="center" vertical="center" wrapText="1"/>
    </xf>
    <xf numFmtId="4" fontId="6" fillId="7" borderId="20" xfId="0" applyNumberFormat="1" applyFont="1" applyFill="1" applyBorder="1" applyAlignment="1">
      <alignment vertical="center" wrapText="1"/>
    </xf>
    <xf numFmtId="4" fontId="6" fillId="7" borderId="24" xfId="0" applyNumberFormat="1" applyFont="1" applyFill="1" applyBorder="1" applyAlignment="1">
      <alignment vertical="center" wrapText="1"/>
    </xf>
    <xf numFmtId="3" fontId="4" fillId="6" borderId="11" xfId="0" applyNumberFormat="1" applyFont="1" applyFill="1" applyBorder="1" applyAlignment="1" applyProtection="1">
      <alignment vertical="center" wrapText="1"/>
      <protection locked="0"/>
    </xf>
    <xf numFmtId="0" fontId="8" fillId="0" borderId="0" xfId="0" applyFont="1" applyBorder="1"/>
    <xf numFmtId="11" fontId="22" fillId="0" borderId="0" xfId="0" applyNumberFormat="1" applyFont="1" applyBorder="1" applyAlignment="1">
      <alignment horizontal="left" vertical="top" wrapText="1"/>
    </xf>
    <xf numFmtId="0" fontId="8" fillId="0" borderId="6" xfId="0" applyFont="1" applyBorder="1" applyAlignment="1" applyProtection="1">
      <alignment horizontal="center" vertical="center"/>
    </xf>
    <xf numFmtId="0" fontId="21" fillId="0" borderId="0" xfId="0" applyFont="1" applyAlignment="1" applyProtection="1">
      <alignment vertical="center"/>
    </xf>
    <xf numFmtId="0" fontId="8" fillId="0" borderId="6" xfId="0" applyFont="1" applyBorder="1" applyAlignment="1" applyProtection="1">
      <alignment horizontal="center" vertical="center" wrapText="1"/>
    </xf>
    <xf numFmtId="0" fontId="0" fillId="0" borderId="0" xfId="0" applyAlignment="1" applyProtection="1">
      <alignment wrapText="1"/>
    </xf>
    <xf numFmtId="166" fontId="0" fillId="0" borderId="0" xfId="0" applyNumberFormat="1" applyProtection="1"/>
    <xf numFmtId="0" fontId="8" fillId="0" borderId="0" xfId="0" applyFont="1" applyFill="1"/>
    <xf numFmtId="0" fontId="4" fillId="0" borderId="0" xfId="0" applyFont="1" applyFill="1" applyBorder="1" applyAlignment="1">
      <alignment horizontal="center" vertical="top" wrapText="1"/>
    </xf>
    <xf numFmtId="0" fontId="4" fillId="0" borderId="0" xfId="0" applyFont="1" applyFill="1" applyAlignment="1">
      <alignment vertical="top" wrapText="1"/>
    </xf>
    <xf numFmtId="0" fontId="21" fillId="0" borderId="0" xfId="0" applyFont="1" applyProtection="1"/>
    <xf numFmtId="0" fontId="8" fillId="0" borderId="6" xfId="0" applyFont="1" applyBorder="1" applyAlignment="1">
      <alignment horizontal="center" vertical="center" wrapText="1"/>
    </xf>
    <xf numFmtId="0" fontId="3" fillId="0" borderId="5" xfId="0" applyFont="1" applyBorder="1" applyAlignment="1">
      <alignment horizontal="center" vertical="center" wrapText="1"/>
    </xf>
    <xf numFmtId="3" fontId="4" fillId="6" borderId="24" xfId="0" applyNumberFormat="1" applyFont="1" applyFill="1" applyBorder="1" applyAlignment="1" applyProtection="1">
      <alignment vertical="center" wrapText="1"/>
      <protection locked="0"/>
    </xf>
    <xf numFmtId="0" fontId="8" fillId="0" borderId="0" xfId="0" applyFont="1" applyProtection="1"/>
    <xf numFmtId="0" fontId="19" fillId="0" borderId="0" xfId="0" applyFont="1" applyProtection="1"/>
    <xf numFmtId="0" fontId="20" fillId="0" borderId="0" xfId="0" applyFont="1" applyProtection="1"/>
    <xf numFmtId="0" fontId="11" fillId="0" borderId="0" xfId="0" applyFont="1" applyAlignment="1">
      <alignment vertical="top"/>
    </xf>
    <xf numFmtId="3" fontId="4" fillId="0" borderId="0" xfId="6" applyNumberFormat="1" applyFont="1" applyBorder="1"/>
    <xf numFmtId="3" fontId="25" fillId="6" borderId="17" xfId="6" applyNumberFormat="1" applyFont="1" applyFill="1" applyBorder="1" applyAlignment="1" applyProtection="1">
      <alignment vertical="center"/>
      <protection locked="0"/>
    </xf>
    <xf numFmtId="3" fontId="25" fillId="6" borderId="14" xfId="6" applyNumberFormat="1" applyFont="1" applyFill="1" applyBorder="1" applyAlignment="1" applyProtection="1">
      <alignment vertical="center"/>
      <protection locked="0"/>
    </xf>
    <xf numFmtId="3" fontId="25" fillId="6" borderId="7" xfId="6" applyNumberFormat="1" applyFont="1" applyFill="1" applyBorder="1" applyAlignment="1" applyProtection="1">
      <alignment vertical="center"/>
      <protection locked="0"/>
    </xf>
    <xf numFmtId="3" fontId="25" fillId="6" borderId="5" xfId="6" applyNumberFormat="1" applyFont="1" applyFill="1" applyBorder="1" applyAlignment="1" applyProtection="1">
      <alignment vertical="center"/>
      <protection locked="0"/>
    </xf>
    <xf numFmtId="0" fontId="4" fillId="0" borderId="0" xfId="6" applyFont="1" applyBorder="1" applyAlignment="1">
      <alignment horizontal="left"/>
    </xf>
    <xf numFmtId="3" fontId="6" fillId="7" borderId="10" xfId="0" applyNumberFormat="1" applyFont="1" applyFill="1" applyBorder="1" applyAlignment="1">
      <alignment vertical="center" wrapText="1"/>
    </xf>
    <xf numFmtId="3" fontId="6" fillId="7" borderId="25" xfId="0" applyNumberFormat="1" applyFont="1" applyFill="1" applyBorder="1" applyAlignment="1">
      <alignment vertical="center" wrapText="1"/>
    </xf>
    <xf numFmtId="4" fontId="4" fillId="7" borderId="26" xfId="2" applyNumberFormat="1" applyFont="1" applyFill="1" applyBorder="1" applyAlignment="1" applyProtection="1">
      <alignment horizontal="right" vertical="center"/>
    </xf>
    <xf numFmtId="0" fontId="0" fillId="0" borderId="0" xfId="0" applyBorder="1"/>
    <xf numFmtId="0" fontId="11" fillId="0" borderId="0" xfId="0" applyFont="1" applyBorder="1" applyAlignment="1">
      <alignment horizontal="left"/>
    </xf>
    <xf numFmtId="3" fontId="11" fillId="0" borderId="0" xfId="0" applyNumberFormat="1" applyFont="1"/>
    <xf numFmtId="3" fontId="4" fillId="3" borderId="5" xfId="0" applyNumberFormat="1" applyFont="1" applyFill="1" applyBorder="1" applyAlignment="1" applyProtection="1">
      <alignment vertical="center"/>
    </xf>
    <xf numFmtId="2" fontId="9" fillId="6" borderId="5" xfId="0" applyNumberFormat="1" applyFont="1" applyFill="1" applyBorder="1" applyAlignment="1" applyProtection="1">
      <alignment vertical="center"/>
      <protection locked="0"/>
    </xf>
    <xf numFmtId="2" fontId="9" fillId="0" borderId="5" xfId="0" applyNumberFormat="1" applyFont="1" applyBorder="1" applyAlignment="1" applyProtection="1">
      <alignment vertical="center"/>
    </xf>
    <xf numFmtId="3" fontId="9" fillId="6" borderId="5" xfId="0" applyNumberFormat="1" applyFont="1" applyFill="1" applyBorder="1" applyAlignment="1" applyProtection="1">
      <alignment vertical="center"/>
      <protection locked="0"/>
    </xf>
    <xf numFmtId="4" fontId="4" fillId="6" borderId="17" xfId="0" applyNumberFormat="1" applyFont="1" applyFill="1" applyBorder="1" applyAlignment="1" applyProtection="1">
      <alignment vertical="center" wrapText="1"/>
      <protection locked="0"/>
    </xf>
    <xf numFmtId="4" fontId="4" fillId="6" borderId="7" xfId="0" applyNumberFormat="1" applyFont="1" applyFill="1" applyBorder="1" applyAlignment="1" applyProtection="1">
      <alignment vertical="center" wrapText="1"/>
      <protection locked="0"/>
    </xf>
    <xf numFmtId="4" fontId="6" fillId="7" borderId="10" xfId="0" applyNumberFormat="1" applyFont="1" applyFill="1" applyBorder="1" applyAlignment="1">
      <alignment vertical="center" wrapText="1"/>
    </xf>
    <xf numFmtId="4" fontId="4" fillId="6" borderId="20" xfId="0" applyNumberFormat="1" applyFont="1" applyFill="1" applyBorder="1" applyAlignment="1" applyProtection="1">
      <alignment vertical="center" wrapText="1"/>
      <protection locked="0"/>
    </xf>
    <xf numFmtId="4" fontId="4" fillId="6" borderId="19" xfId="0" applyNumberFormat="1" applyFont="1" applyFill="1" applyBorder="1" applyAlignment="1" applyProtection="1">
      <alignment vertical="center" wrapText="1"/>
      <protection locked="0"/>
    </xf>
    <xf numFmtId="4" fontId="4" fillId="6" borderId="27" xfId="0" applyNumberFormat="1" applyFont="1" applyFill="1" applyBorder="1" applyAlignment="1" applyProtection="1">
      <alignment vertical="center" wrapText="1"/>
      <protection locked="0"/>
    </xf>
    <xf numFmtId="4" fontId="4" fillId="6" borderId="10" xfId="0" applyNumberFormat="1" applyFont="1" applyFill="1" applyBorder="1" applyAlignment="1" applyProtection="1">
      <alignment vertical="center" wrapText="1"/>
      <protection locked="0"/>
    </xf>
    <xf numFmtId="4" fontId="6" fillId="7" borderId="28" xfId="0" applyNumberFormat="1" applyFont="1" applyFill="1" applyBorder="1" applyAlignment="1">
      <alignment vertical="center" wrapText="1"/>
    </xf>
    <xf numFmtId="3" fontId="6" fillId="7" borderId="29" xfId="0" applyNumberFormat="1" applyFont="1" applyFill="1" applyBorder="1" applyAlignment="1">
      <alignment vertical="center" wrapText="1"/>
    </xf>
    <xf numFmtId="4" fontId="4" fillId="6" borderId="30" xfId="0" applyNumberFormat="1" applyFont="1" applyFill="1" applyBorder="1" applyAlignment="1" applyProtection="1">
      <alignment vertical="center" wrapText="1"/>
      <protection locked="0"/>
    </xf>
    <xf numFmtId="3" fontId="4" fillId="6" borderId="26" xfId="0" applyNumberFormat="1" applyFont="1" applyFill="1" applyBorder="1" applyAlignment="1" applyProtection="1">
      <alignment vertical="center" wrapText="1"/>
      <protection locked="0"/>
    </xf>
    <xf numFmtId="4" fontId="4" fillId="6" borderId="31" xfId="0" applyNumberFormat="1" applyFont="1" applyFill="1" applyBorder="1" applyAlignment="1" applyProtection="1">
      <alignment vertical="center" wrapText="1"/>
      <protection locked="0"/>
    </xf>
    <xf numFmtId="4" fontId="4" fillId="6" borderId="32" xfId="0" applyNumberFormat="1" applyFont="1" applyFill="1" applyBorder="1" applyAlignment="1" applyProtection="1">
      <alignment vertical="center" wrapText="1"/>
      <protection locked="0"/>
    </xf>
    <xf numFmtId="3" fontId="4" fillId="6" borderId="13" xfId="0" quotePrefix="1" applyNumberFormat="1" applyFont="1" applyFill="1" applyBorder="1" applyAlignment="1" applyProtection="1">
      <alignment vertical="center" wrapText="1"/>
      <protection locked="0"/>
    </xf>
    <xf numFmtId="0" fontId="32" fillId="0" borderId="0" xfId="0" applyFont="1" applyProtection="1"/>
    <xf numFmtId="0" fontId="32" fillId="0" borderId="0" xfId="0" applyFont="1" applyBorder="1" applyAlignment="1" applyProtection="1">
      <alignment horizontal="center" vertical="center" wrapText="1"/>
    </xf>
    <xf numFmtId="0" fontId="32" fillId="0" borderId="0" xfId="0" applyFont="1" applyAlignment="1" applyProtection="1">
      <alignment vertical="center" wrapText="1"/>
    </xf>
    <xf numFmtId="0" fontId="0" fillId="7" borderId="0" xfId="0" applyFill="1" applyBorder="1"/>
    <xf numFmtId="0" fontId="35" fillId="0" borderId="0" xfId="0" applyFont="1"/>
    <xf numFmtId="0" fontId="36" fillId="0" borderId="0" xfId="0" applyFont="1" applyAlignment="1">
      <alignment vertical="top" wrapText="1"/>
    </xf>
    <xf numFmtId="0" fontId="37" fillId="0" borderId="0" xfId="0" applyFont="1"/>
    <xf numFmtId="3" fontId="4" fillId="6" borderId="33" xfId="0" applyNumberFormat="1" applyFont="1" applyFill="1" applyBorder="1" applyAlignment="1" applyProtection="1">
      <alignment vertical="center" wrapText="1"/>
      <protection locked="0"/>
    </xf>
    <xf numFmtId="0" fontId="0" fillId="0" borderId="0" xfId="0" applyAlignment="1">
      <alignment horizontal="right"/>
    </xf>
    <xf numFmtId="0" fontId="4" fillId="0" borderId="0" xfId="0" applyFont="1" applyFill="1" applyBorder="1" applyAlignment="1" applyProtection="1">
      <alignment vertical="top" wrapText="1"/>
    </xf>
    <xf numFmtId="0" fontId="4" fillId="0" borderId="0" xfId="0" applyFont="1" applyAlignment="1" applyProtection="1">
      <alignment vertical="top" wrapText="1"/>
    </xf>
    <xf numFmtId="0" fontId="4" fillId="0" borderId="0" xfId="0" applyFont="1" applyBorder="1" applyAlignment="1" applyProtection="1">
      <alignment vertical="top" wrapText="1"/>
    </xf>
    <xf numFmtId="11" fontId="4" fillId="0" borderId="0" xfId="0" applyNumberFormat="1" applyFont="1" applyAlignment="1" applyProtection="1">
      <alignment vertical="top" wrapText="1"/>
    </xf>
    <xf numFmtId="4" fontId="4" fillId="0" borderId="0" xfId="0" applyNumberFormat="1" applyFont="1" applyAlignment="1" applyProtection="1">
      <alignment vertical="top" wrapText="1"/>
    </xf>
    <xf numFmtId="0" fontId="0" fillId="4" borderId="0" xfId="0" applyFill="1" applyProtection="1"/>
    <xf numFmtId="0" fontId="21" fillId="0" borderId="0" xfId="0" applyFont="1" applyAlignment="1" applyProtection="1">
      <alignment horizontal="left" vertical="top" wrapText="1"/>
    </xf>
    <xf numFmtId="2" fontId="4" fillId="0" borderId="0" xfId="0" applyNumberFormat="1" applyFont="1" applyProtection="1"/>
    <xf numFmtId="0" fontId="4" fillId="0" borderId="0" xfId="0" applyFont="1" applyProtection="1">
      <protection locked="0"/>
    </xf>
    <xf numFmtId="2" fontId="8" fillId="0" borderId="0" xfId="0" applyNumberFormat="1" applyFont="1" applyProtection="1"/>
    <xf numFmtId="166" fontId="30" fillId="0" borderId="5" xfId="0" applyNumberFormat="1" applyFont="1" applyBorder="1" applyProtection="1"/>
    <xf numFmtId="3" fontId="11" fillId="0" borderId="0" xfId="0" applyNumberFormat="1" applyFont="1" applyAlignment="1">
      <alignment horizontal="right" vertical="top"/>
    </xf>
    <xf numFmtId="0" fontId="4" fillId="0" borderId="0" xfId="0" applyFont="1" applyBorder="1" applyAlignment="1">
      <alignment horizontal="left" vertical="top"/>
    </xf>
    <xf numFmtId="0" fontId="8" fillId="4" borderId="0" xfId="0" applyFont="1" applyFill="1" applyAlignment="1">
      <alignment vertical="center" wrapText="1"/>
    </xf>
    <xf numFmtId="0" fontId="4" fillId="4" borderId="0" xfId="0" applyFont="1" applyFill="1" applyAlignment="1">
      <alignment vertical="top" wrapText="1"/>
    </xf>
    <xf numFmtId="0" fontId="4" fillId="4" borderId="0" xfId="0" applyFont="1" applyFill="1" applyBorder="1" applyAlignment="1">
      <alignment vertical="top" wrapText="1"/>
    </xf>
    <xf numFmtId="0" fontId="8" fillId="4" borderId="0" xfId="0" applyFont="1" applyFill="1" applyAlignment="1">
      <alignment vertical="top" wrapText="1"/>
    </xf>
    <xf numFmtId="0" fontId="8" fillId="4" borderId="0" xfId="0" applyFont="1" applyFill="1" applyBorder="1" applyAlignment="1">
      <alignment vertical="top" wrapText="1"/>
    </xf>
    <xf numFmtId="0" fontId="5" fillId="4" borderId="0" xfId="0" applyFont="1" applyFill="1" applyAlignment="1">
      <alignment vertical="top" wrapText="1"/>
    </xf>
    <xf numFmtId="0" fontId="5" fillId="4" borderId="0" xfId="0" applyFont="1" applyFill="1" applyBorder="1" applyAlignment="1">
      <alignment vertical="top" wrapText="1"/>
    </xf>
    <xf numFmtId="0" fontId="4" fillId="4" borderId="0" xfId="0" applyFont="1" applyFill="1" applyBorder="1" applyAlignment="1">
      <alignment horizontal="right" vertical="top" wrapText="1"/>
    </xf>
    <xf numFmtId="4" fontId="4" fillId="4" borderId="0" xfId="0" applyNumberFormat="1" applyFont="1" applyFill="1" applyBorder="1" applyAlignment="1">
      <alignment vertical="top" wrapText="1"/>
    </xf>
    <xf numFmtId="3" fontId="4" fillId="0" borderId="0" xfId="0" applyNumberFormat="1" applyFont="1" applyFill="1" applyBorder="1" applyAlignment="1">
      <alignment vertical="top" wrapText="1"/>
    </xf>
    <xf numFmtId="3" fontId="4" fillId="4" borderId="0" xfId="0" applyNumberFormat="1" applyFont="1" applyFill="1" applyBorder="1" applyAlignment="1">
      <alignment vertical="top" wrapText="1"/>
    </xf>
    <xf numFmtId="11" fontId="4" fillId="4" borderId="0" xfId="0" applyNumberFormat="1" applyFont="1" applyFill="1" applyAlignment="1">
      <alignment vertical="top" wrapText="1"/>
    </xf>
    <xf numFmtId="4" fontId="4" fillId="4" borderId="0" xfId="0" applyNumberFormat="1" applyFont="1" applyFill="1" applyAlignment="1">
      <alignment vertical="top" wrapText="1"/>
    </xf>
    <xf numFmtId="3" fontId="4" fillId="4" borderId="0" xfId="0" applyNumberFormat="1" applyFont="1" applyFill="1" applyAlignment="1">
      <alignment vertical="top" wrapText="1"/>
    </xf>
    <xf numFmtId="0" fontId="4" fillId="4" borderId="0" xfId="0" applyFont="1" applyFill="1" applyBorder="1" applyAlignment="1">
      <alignment vertical="center" wrapText="1"/>
    </xf>
    <xf numFmtId="0" fontId="4" fillId="4" borderId="0" xfId="0" applyFont="1" applyFill="1" applyAlignment="1">
      <alignment vertical="center" wrapText="1"/>
    </xf>
    <xf numFmtId="11" fontId="4" fillId="4" borderId="0" xfId="0" applyNumberFormat="1" applyFont="1" applyFill="1" applyBorder="1" applyAlignment="1">
      <alignment vertical="top" wrapText="1"/>
    </xf>
    <xf numFmtId="0" fontId="8" fillId="0" borderId="0" xfId="0" applyFont="1" applyBorder="1" applyAlignment="1">
      <alignment horizontal="right" vertical="center" wrapText="1"/>
    </xf>
    <xf numFmtId="0" fontId="11" fillId="0" borderId="0" xfId="0" applyFont="1" applyAlignment="1">
      <alignment vertical="top" wrapText="1"/>
    </xf>
    <xf numFmtId="0" fontId="4" fillId="0" borderId="0" xfId="0" applyFont="1" applyBorder="1" applyAlignment="1">
      <alignment horizontal="center" vertical="top" wrapText="1"/>
    </xf>
    <xf numFmtId="0" fontId="4" fillId="0" borderId="0" xfId="0" applyFont="1" applyFill="1" applyBorder="1" applyAlignment="1">
      <alignment horizontal="left" vertical="top"/>
    </xf>
    <xf numFmtId="0" fontId="4" fillId="0" borderId="0" xfId="0" applyFont="1" applyBorder="1" applyAlignment="1">
      <alignment horizontal="right" vertical="top" wrapText="1"/>
    </xf>
    <xf numFmtId="0" fontId="11" fillId="0" borderId="0" xfId="0" applyFont="1" applyBorder="1" applyAlignment="1">
      <alignment horizontal="right"/>
    </xf>
    <xf numFmtId="3" fontId="8" fillId="0" borderId="0" xfId="0" applyNumberFormat="1" applyFont="1" applyBorder="1"/>
    <xf numFmtId="4" fontId="8" fillId="0" borderId="0" xfId="0" applyNumberFormat="1" applyFont="1" applyBorder="1"/>
    <xf numFmtId="0" fontId="8" fillId="0" borderId="0" xfId="0" applyFont="1" applyBorder="1" applyAlignment="1">
      <alignment horizontal="right"/>
    </xf>
    <xf numFmtId="4" fontId="11" fillId="0" borderId="0" xfId="0" applyNumberFormat="1" applyFont="1"/>
    <xf numFmtId="0" fontId="8" fillId="0" borderId="0" xfId="0" applyFont="1" applyFill="1" applyBorder="1"/>
    <xf numFmtId="3" fontId="8" fillId="0" borderId="0" xfId="0" applyNumberFormat="1" applyFont="1"/>
    <xf numFmtId="2" fontId="11" fillId="0" borderId="0" xfId="0" applyNumberFormat="1" applyFont="1"/>
    <xf numFmtId="0" fontId="2" fillId="0" borderId="0" xfId="0" applyFont="1" applyProtection="1"/>
    <xf numFmtId="0" fontId="2" fillId="0" borderId="0" xfId="0" applyFont="1" applyAlignment="1" applyProtection="1">
      <alignment wrapText="1"/>
    </xf>
    <xf numFmtId="0" fontId="34" fillId="0" borderId="0" xfId="0" applyFont="1" applyAlignment="1" applyProtection="1">
      <alignment vertical="top"/>
    </xf>
    <xf numFmtId="0" fontId="34" fillId="0" borderId="0" xfId="0" applyFont="1" applyAlignment="1" applyProtection="1">
      <alignment horizontal="right" vertical="top"/>
    </xf>
    <xf numFmtId="0" fontId="40" fillId="0" borderId="0" xfId="0" applyFont="1" applyProtection="1"/>
    <xf numFmtId="0" fontId="40" fillId="0" borderId="0" xfId="0" applyFont="1" applyAlignment="1" applyProtection="1">
      <alignment wrapText="1"/>
    </xf>
    <xf numFmtId="0" fontId="33" fillId="0" borderId="0" xfId="0" applyFont="1" applyAlignment="1">
      <alignment vertical="top"/>
    </xf>
    <xf numFmtId="3" fontId="33" fillId="0" borderId="0" xfId="0" applyNumberFormat="1" applyFont="1" applyAlignment="1">
      <alignment horizontal="right" vertical="top"/>
    </xf>
    <xf numFmtId="0" fontId="29" fillId="0" borderId="0" xfId="0" applyFont="1" applyBorder="1" applyAlignment="1">
      <alignment horizontal="left" vertical="top"/>
    </xf>
    <xf numFmtId="0" fontId="41" fillId="0" borderId="0" xfId="0" applyFont="1" applyAlignment="1">
      <alignment vertical="top"/>
    </xf>
    <xf numFmtId="3" fontId="41" fillId="0" borderId="0" xfId="0" applyNumberFormat="1" applyFont="1" applyAlignment="1">
      <alignment horizontal="right" vertical="top"/>
    </xf>
    <xf numFmtId="0" fontId="42" fillId="0" borderId="0" xfId="0" applyFont="1" applyBorder="1" applyAlignment="1">
      <alignment horizontal="left" vertical="top"/>
    </xf>
    <xf numFmtId="0" fontId="6" fillId="7" borderId="19" xfId="0" applyFont="1" applyFill="1" applyBorder="1" applyAlignment="1">
      <alignment horizontal="center" vertical="top" wrapText="1"/>
    </xf>
    <xf numFmtId="0" fontId="4" fillId="7" borderId="31" xfId="0" applyFont="1" applyFill="1" applyBorder="1" applyAlignment="1">
      <alignment horizontal="center" vertical="center" wrapText="1"/>
    </xf>
    <xf numFmtId="4" fontId="4" fillId="6" borderId="34" xfId="0" applyNumberFormat="1" applyFont="1" applyFill="1" applyBorder="1" applyAlignment="1" applyProtection="1">
      <alignment vertical="center" wrapText="1"/>
      <protection locked="0"/>
    </xf>
    <xf numFmtId="4" fontId="4" fillId="6" borderId="28" xfId="0" applyNumberFormat="1" applyFont="1" applyFill="1" applyBorder="1" applyAlignment="1" applyProtection="1">
      <alignment vertical="center" wrapText="1"/>
      <protection locked="0"/>
    </xf>
    <xf numFmtId="11" fontId="8" fillId="0" borderId="27" xfId="0" applyNumberFormat="1" applyFont="1" applyFill="1" applyBorder="1" applyAlignment="1">
      <alignment vertical="top" wrapText="1"/>
    </xf>
    <xf numFmtId="11" fontId="8" fillId="0" borderId="10" xfId="0" applyNumberFormat="1" applyFont="1" applyFill="1" applyBorder="1" applyAlignment="1">
      <alignment vertical="top" wrapText="1"/>
    </xf>
    <xf numFmtId="0" fontId="8" fillId="0" borderId="10" xfId="0" applyFont="1" applyFill="1" applyBorder="1" applyAlignment="1">
      <alignment vertical="top" wrapText="1"/>
    </xf>
    <xf numFmtId="0" fontId="3" fillId="7" borderId="28" xfId="0" applyFont="1" applyFill="1" applyBorder="1" applyAlignment="1">
      <alignment vertical="center" wrapText="1"/>
    </xf>
    <xf numFmtId="0" fontId="5" fillId="0" borderId="17" xfId="0" applyFont="1" applyBorder="1" applyAlignment="1">
      <alignment horizontal="center" vertical="center" wrapText="1"/>
    </xf>
    <xf numFmtId="0" fontId="4" fillId="7" borderId="19" xfId="0" applyFont="1" applyFill="1" applyBorder="1" applyAlignment="1">
      <alignment vertical="top" wrapText="1"/>
    </xf>
    <xf numFmtId="0" fontId="4" fillId="7" borderId="17" xfId="0" applyFont="1" applyFill="1" applyBorder="1" applyAlignment="1">
      <alignment horizontal="center" vertical="top" wrapText="1"/>
    </xf>
    <xf numFmtId="0" fontId="4" fillId="7" borderId="7" xfId="0" applyFont="1" applyFill="1" applyBorder="1" applyAlignment="1">
      <alignment horizontal="center" vertical="top" wrapText="1"/>
    </xf>
    <xf numFmtId="4" fontId="4" fillId="6" borderId="34" xfId="0" quotePrefix="1" applyNumberFormat="1" applyFont="1" applyFill="1" applyBorder="1" applyAlignment="1" applyProtection="1">
      <alignment vertical="center" wrapText="1"/>
      <protection locked="0"/>
    </xf>
    <xf numFmtId="4" fontId="4" fillId="6" borderId="10" xfId="0" quotePrefix="1" applyNumberFormat="1" applyFont="1" applyFill="1" applyBorder="1" applyAlignment="1" applyProtection="1">
      <alignment vertical="center" wrapText="1"/>
      <protection locked="0"/>
    </xf>
    <xf numFmtId="3" fontId="6" fillId="7" borderId="13" xfId="0" applyNumberFormat="1" applyFont="1" applyFill="1" applyBorder="1" applyAlignment="1">
      <alignment vertical="center" wrapText="1"/>
    </xf>
    <xf numFmtId="4" fontId="4" fillId="6" borderId="35" xfId="0" applyNumberFormat="1" applyFont="1" applyFill="1" applyBorder="1" applyAlignment="1" applyProtection="1">
      <alignment vertical="center" wrapText="1"/>
      <protection locked="0"/>
    </xf>
    <xf numFmtId="3" fontId="6" fillId="7" borderId="24" xfId="0" applyNumberFormat="1" applyFont="1" applyFill="1" applyBorder="1" applyAlignment="1">
      <alignment vertical="center" wrapText="1"/>
    </xf>
    <xf numFmtId="0" fontId="4" fillId="7" borderId="16" xfId="0" applyFont="1" applyFill="1" applyBorder="1" applyAlignment="1">
      <alignment horizontal="center" vertical="center" wrapText="1"/>
    </xf>
    <xf numFmtId="4" fontId="4" fillId="6" borderId="36" xfId="0" applyNumberFormat="1" applyFont="1" applyFill="1" applyBorder="1" applyAlignment="1" applyProtection="1">
      <alignment vertical="center" wrapText="1"/>
      <protection locked="0"/>
    </xf>
    <xf numFmtId="0" fontId="4" fillId="7" borderId="37" xfId="0" applyFont="1" applyFill="1" applyBorder="1" applyAlignment="1">
      <alignment vertical="top" wrapText="1"/>
    </xf>
    <xf numFmtId="0" fontId="33" fillId="0" borderId="0" xfId="0" applyFont="1" applyAlignment="1">
      <alignment vertical="top" wrapText="1"/>
    </xf>
    <xf numFmtId="0" fontId="33" fillId="8" borderId="0" xfId="0" applyFont="1" applyFill="1" applyAlignment="1">
      <alignment vertical="top" wrapText="1"/>
    </xf>
    <xf numFmtId="0" fontId="33" fillId="8" borderId="0" xfId="0" applyFont="1" applyFill="1" applyAlignment="1">
      <alignment vertical="top"/>
    </xf>
    <xf numFmtId="0" fontId="29" fillId="0" borderId="0" xfId="0" applyFont="1" applyAlignment="1">
      <alignment horizontal="left" vertical="top" wrapText="1"/>
    </xf>
    <xf numFmtId="0" fontId="29" fillId="0" borderId="0" xfId="0" applyFont="1" applyAlignment="1">
      <alignment vertical="top" wrapText="1"/>
    </xf>
    <xf numFmtId="4" fontId="29" fillId="0" borderId="0" xfId="0" applyNumberFormat="1" applyFont="1" applyAlignment="1">
      <alignment vertical="top" wrapText="1"/>
    </xf>
    <xf numFmtId="0" fontId="29" fillId="0" borderId="0" xfId="0" applyFont="1" applyFill="1" applyAlignment="1">
      <alignment horizontal="left" vertical="top" wrapText="1"/>
    </xf>
    <xf numFmtId="0" fontId="29" fillId="0" borderId="0" xfId="0" applyFont="1" applyFill="1" applyBorder="1" applyAlignment="1">
      <alignment horizontal="left" vertical="top"/>
    </xf>
    <xf numFmtId="2" fontId="4" fillId="0" borderId="0" xfId="0" applyNumberFormat="1" applyFont="1" applyAlignment="1">
      <alignment vertical="top" wrapText="1"/>
    </xf>
    <xf numFmtId="0" fontId="29" fillId="0" borderId="0" xfId="0" applyFont="1" applyBorder="1" applyAlignment="1">
      <alignment vertical="top" wrapText="1"/>
    </xf>
    <xf numFmtId="3" fontId="29" fillId="0" borderId="0" xfId="0" applyNumberFormat="1" applyFont="1" applyBorder="1" applyAlignment="1">
      <alignment vertical="top" wrapText="1"/>
    </xf>
    <xf numFmtId="0" fontId="29" fillId="0" borderId="0" xfId="0" applyFont="1" applyBorder="1" applyAlignment="1">
      <alignment horizontal="center" vertical="center" textRotation="90" wrapText="1"/>
    </xf>
    <xf numFmtId="0" fontId="29" fillId="0" borderId="0" xfId="0" applyFont="1" applyAlignment="1">
      <alignment horizontal="right" vertical="top" wrapText="1"/>
    </xf>
    <xf numFmtId="3" fontId="4" fillId="7" borderId="14" xfId="0" applyNumberFormat="1" applyFont="1" applyFill="1" applyBorder="1" applyAlignment="1" applyProtection="1">
      <alignment vertical="center" wrapText="1"/>
      <protection locked="0"/>
    </xf>
    <xf numFmtId="3" fontId="4" fillId="7" borderId="11" xfId="0" applyNumberFormat="1" applyFont="1" applyFill="1" applyBorder="1" applyAlignment="1" applyProtection="1">
      <alignment vertical="center" wrapText="1"/>
      <protection locked="0"/>
    </xf>
    <xf numFmtId="4" fontId="4" fillId="7" borderId="30" xfId="2" applyNumberFormat="1" applyFont="1" applyFill="1" applyBorder="1" applyAlignment="1" applyProtection="1">
      <alignment horizontal="right" vertical="center"/>
    </xf>
    <xf numFmtId="4" fontId="2" fillId="0" borderId="0" xfId="0" applyNumberFormat="1" applyFont="1" applyProtection="1"/>
    <xf numFmtId="0" fontId="10" fillId="0" borderId="0" xfId="0" applyFont="1" applyAlignment="1" applyProtection="1">
      <alignment vertical="top" wrapText="1"/>
    </xf>
    <xf numFmtId="3" fontId="10" fillId="0" borderId="0" xfId="0" applyNumberFormat="1" applyFont="1" applyAlignment="1" applyProtection="1">
      <alignment vertical="top" wrapText="1"/>
    </xf>
    <xf numFmtId="0" fontId="2" fillId="0" borderId="0" xfId="0" applyFont="1" applyAlignment="1" applyProtection="1">
      <alignment horizontal="right"/>
    </xf>
    <xf numFmtId="1" fontId="2" fillId="0" borderId="0" xfId="0" applyNumberFormat="1" applyFont="1" applyAlignment="1" applyProtection="1">
      <alignment horizontal="right"/>
    </xf>
    <xf numFmtId="0" fontId="35" fillId="0" borderId="0" xfId="0" applyFont="1" applyAlignment="1" applyProtection="1">
      <alignment wrapText="1"/>
    </xf>
    <xf numFmtId="0" fontId="35" fillId="0" borderId="0" xfId="0" applyFont="1" applyProtection="1"/>
    <xf numFmtId="0" fontId="35" fillId="8" borderId="0" xfId="0" applyFont="1" applyFill="1" applyProtection="1"/>
    <xf numFmtId="0" fontId="35" fillId="0" borderId="0" xfId="0" applyFont="1" applyAlignment="1" applyProtection="1">
      <alignment horizontal="left"/>
    </xf>
    <xf numFmtId="1" fontId="35" fillId="0" borderId="0" xfId="0" applyNumberFormat="1" applyFont="1" applyAlignment="1" applyProtection="1">
      <alignment horizontal="right"/>
    </xf>
    <xf numFmtId="1" fontId="35" fillId="0" borderId="0" xfId="0" applyNumberFormat="1" applyFont="1" applyAlignment="1" applyProtection="1">
      <alignment horizontal="left"/>
    </xf>
    <xf numFmtId="1" fontId="35" fillId="8" borderId="0" xfId="0" applyNumberFormat="1" applyFont="1" applyFill="1" applyAlignment="1" applyProtection="1">
      <alignment horizontal="left"/>
    </xf>
    <xf numFmtId="0" fontId="4" fillId="0" borderId="17" xfId="0" applyFont="1" applyBorder="1" applyAlignment="1">
      <alignment vertical="top" wrapText="1"/>
    </xf>
    <xf numFmtId="0" fontId="4" fillId="0" borderId="7" xfId="0" applyFont="1" applyBorder="1" applyAlignment="1">
      <alignment vertical="top" wrapText="1"/>
    </xf>
    <xf numFmtId="0" fontId="4" fillId="0" borderId="8" xfId="0" applyFont="1" applyBorder="1" applyAlignment="1">
      <alignment vertical="top" wrapText="1"/>
    </xf>
    <xf numFmtId="0" fontId="6" fillId="7" borderId="38" xfId="0" applyFont="1" applyFill="1" applyBorder="1"/>
    <xf numFmtId="0" fontId="6" fillId="7" borderId="16" xfId="0" applyFont="1" applyFill="1" applyBorder="1" applyAlignment="1">
      <alignment vertical="top" wrapText="1"/>
    </xf>
    <xf numFmtId="0" fontId="6" fillId="7" borderId="19" xfId="0" applyFont="1" applyFill="1" applyBorder="1" applyAlignment="1">
      <alignment vertical="top" wrapText="1"/>
    </xf>
    <xf numFmtId="0" fontId="0" fillId="7" borderId="5" xfId="0" applyFill="1" applyBorder="1"/>
    <xf numFmtId="3" fontId="6" fillId="7" borderId="28" xfId="0" applyNumberFormat="1" applyFont="1" applyFill="1" applyBorder="1" applyAlignment="1">
      <alignment vertical="center" wrapText="1"/>
    </xf>
    <xf numFmtId="0" fontId="20" fillId="0" borderId="0" xfId="0" applyFont="1" applyAlignment="1" applyProtection="1">
      <alignment wrapText="1"/>
    </xf>
    <xf numFmtId="0" fontId="4" fillId="0" borderId="7" xfId="0" applyFont="1" applyFill="1" applyBorder="1" applyAlignment="1" applyProtection="1">
      <alignment horizontal="left" vertical="center" wrapText="1"/>
    </xf>
    <xf numFmtId="0" fontId="3" fillId="7" borderId="31" xfId="0" applyFont="1" applyFill="1" applyBorder="1" applyAlignment="1" applyProtection="1">
      <alignment horizontal="left" vertical="center" wrapText="1"/>
    </xf>
    <xf numFmtId="0" fontId="8" fillId="0" borderId="0" xfId="0" applyFont="1" applyAlignment="1">
      <alignment horizontal="center"/>
    </xf>
    <xf numFmtId="0" fontId="4" fillId="0" borderId="37" xfId="0" applyFont="1" applyBorder="1" applyAlignment="1">
      <alignment vertical="center" wrapText="1"/>
    </xf>
    <xf numFmtId="0" fontId="6" fillId="7" borderId="31" xfId="0" applyFont="1" applyFill="1" applyBorder="1" applyAlignment="1">
      <alignment vertical="top"/>
    </xf>
    <xf numFmtId="3" fontId="6" fillId="7" borderId="30" xfId="0" applyNumberFormat="1" applyFont="1" applyFill="1" applyBorder="1" applyAlignment="1">
      <alignment vertical="top" wrapText="1"/>
    </xf>
    <xf numFmtId="0" fontId="6" fillId="7" borderId="30" xfId="0" applyFont="1" applyFill="1" applyBorder="1" applyAlignment="1">
      <alignment horizontal="right" vertical="center"/>
    </xf>
    <xf numFmtId="0" fontId="6" fillId="7" borderId="30" xfId="0" applyFont="1" applyFill="1" applyBorder="1" applyAlignment="1">
      <alignment horizontal="right" vertical="center" wrapText="1"/>
    </xf>
    <xf numFmtId="0" fontId="6" fillId="7" borderId="26" xfId="0" applyFont="1" applyFill="1" applyBorder="1" applyAlignment="1">
      <alignment horizontal="right" vertical="center" wrapText="1"/>
    </xf>
    <xf numFmtId="4" fontId="4" fillId="6" borderId="6" xfId="0" applyNumberFormat="1" applyFont="1" applyFill="1" applyBorder="1" applyAlignment="1" applyProtection="1">
      <alignment vertical="center" wrapText="1"/>
      <protection locked="0"/>
    </xf>
    <xf numFmtId="4" fontId="4" fillId="6" borderId="23" xfId="0" applyNumberFormat="1" applyFont="1" applyFill="1" applyBorder="1" applyAlignment="1" applyProtection="1">
      <alignment vertical="center" wrapText="1"/>
      <protection locked="0"/>
    </xf>
    <xf numFmtId="0" fontId="46" fillId="0" borderId="0" xfId="0" applyFont="1" applyAlignment="1" applyProtection="1">
      <alignment horizontal="right"/>
    </xf>
    <xf numFmtId="0" fontId="31" fillId="0" borderId="0" xfId="6" applyFont="1" applyBorder="1"/>
    <xf numFmtId="0" fontId="32" fillId="0" borderId="0" xfId="0" applyFont="1" applyBorder="1" applyAlignment="1">
      <alignment horizontal="center" vertical="center" wrapText="1"/>
    </xf>
    <xf numFmtId="0" fontId="32" fillId="0" borderId="0" xfId="0" applyFont="1" applyAlignment="1">
      <alignment horizontal="right" vertical="center" wrapText="1"/>
    </xf>
    <xf numFmtId="0" fontId="8" fillId="0" borderId="0" xfId="0" applyFont="1" applyAlignment="1">
      <alignment horizontal="right" vertical="top" wrapText="1"/>
    </xf>
    <xf numFmtId="4" fontId="4" fillId="6" borderId="8" xfId="0" applyNumberFormat="1" applyFont="1" applyFill="1" applyBorder="1" applyAlignment="1" applyProtection="1">
      <alignment vertical="center" wrapText="1"/>
      <protection locked="0"/>
    </xf>
    <xf numFmtId="4" fontId="6" fillId="7" borderId="7" xfId="0" applyNumberFormat="1" applyFont="1" applyFill="1" applyBorder="1" applyAlignment="1">
      <alignment vertical="center" wrapText="1"/>
    </xf>
    <xf numFmtId="0" fontId="3" fillId="7" borderId="37" xfId="0" applyFont="1" applyFill="1" applyBorder="1" applyAlignment="1">
      <alignment vertical="center" wrapText="1"/>
    </xf>
    <xf numFmtId="0" fontId="3" fillId="7" borderId="35" xfId="0" applyFont="1" applyFill="1" applyBorder="1" applyAlignment="1">
      <alignment vertical="center" wrapText="1"/>
    </xf>
    <xf numFmtId="3" fontId="6" fillId="7" borderId="39" xfId="0" applyNumberFormat="1" applyFont="1" applyFill="1" applyBorder="1" applyAlignment="1">
      <alignment vertical="center" wrapText="1"/>
    </xf>
    <xf numFmtId="4" fontId="4" fillId="6" borderId="8" xfId="0" quotePrefix="1" applyNumberFormat="1" applyFont="1" applyFill="1" applyBorder="1" applyAlignment="1" applyProtection="1">
      <alignment vertical="center" wrapText="1"/>
      <protection locked="0"/>
    </xf>
    <xf numFmtId="4" fontId="4" fillId="6" borderId="7" xfId="0" quotePrefix="1" applyNumberFormat="1" applyFont="1" applyFill="1" applyBorder="1" applyAlignment="1" applyProtection="1">
      <alignment vertical="center" wrapText="1"/>
      <protection locked="0"/>
    </xf>
    <xf numFmtId="3" fontId="6" fillId="7" borderId="40" xfId="0" applyNumberFormat="1" applyFont="1" applyFill="1" applyBorder="1" applyAlignment="1">
      <alignment vertical="center" wrapText="1"/>
    </xf>
    <xf numFmtId="3" fontId="6" fillId="7" borderId="41" xfId="0" applyNumberFormat="1" applyFont="1" applyFill="1" applyBorder="1" applyAlignment="1">
      <alignment vertical="center" wrapText="1"/>
    </xf>
    <xf numFmtId="0" fontId="4" fillId="7" borderId="19" xfId="0" quotePrefix="1" applyFont="1" applyFill="1" applyBorder="1" applyAlignment="1">
      <alignment horizontal="center" vertical="top" wrapText="1"/>
    </xf>
    <xf numFmtId="1" fontId="4" fillId="0" borderId="0" xfId="0" applyNumberFormat="1" applyFont="1" applyBorder="1" applyAlignment="1">
      <alignment horizontal="right"/>
    </xf>
    <xf numFmtId="1" fontId="4" fillId="0" borderId="0" xfId="0" applyNumberFormat="1" applyFont="1" applyFill="1" applyBorder="1" applyAlignment="1">
      <alignment horizontal="right"/>
    </xf>
    <xf numFmtId="0" fontId="4" fillId="0" borderId="0" xfId="0" applyFont="1" applyBorder="1" applyAlignment="1"/>
    <xf numFmtId="0" fontId="4" fillId="0" borderId="0" xfId="0" applyFont="1" applyFill="1" applyBorder="1" applyAlignment="1"/>
    <xf numFmtId="1" fontId="4" fillId="0" borderId="0" xfId="0" applyNumberFormat="1" applyFont="1" applyFill="1" applyBorder="1" applyAlignment="1" applyProtection="1">
      <alignment horizontal="right"/>
    </xf>
    <xf numFmtId="0" fontId="4" fillId="0" borderId="0" xfId="0" applyFont="1" applyFill="1" applyBorder="1" applyAlignment="1" applyProtection="1"/>
    <xf numFmtId="3" fontId="4" fillId="6" borderId="42" xfId="0" applyNumberFormat="1" applyFont="1" applyFill="1" applyBorder="1" applyAlignment="1" applyProtection="1">
      <alignment vertical="center" wrapText="1"/>
      <protection locked="0"/>
    </xf>
    <xf numFmtId="3" fontId="4" fillId="6" borderId="43" xfId="0" applyNumberFormat="1" applyFont="1" applyFill="1" applyBorder="1" applyAlignment="1" applyProtection="1">
      <alignment vertical="center" wrapText="1"/>
      <protection locked="0"/>
    </xf>
    <xf numFmtId="3" fontId="4" fillId="6" borderId="43" xfId="0" quotePrefix="1" applyNumberFormat="1" applyFont="1" applyFill="1" applyBorder="1" applyAlignment="1" applyProtection="1">
      <alignment vertical="center" wrapText="1"/>
      <protection locked="0"/>
    </xf>
    <xf numFmtId="3" fontId="4" fillId="6" borderId="44" xfId="0" applyNumberFormat="1" applyFont="1" applyFill="1" applyBorder="1" applyAlignment="1" applyProtection="1">
      <alignment vertical="center" wrapText="1"/>
      <protection locked="0"/>
    </xf>
    <xf numFmtId="3" fontId="4" fillId="6" borderId="25" xfId="0" applyNumberFormat="1" applyFont="1" applyFill="1" applyBorder="1" applyAlignment="1" applyProtection="1">
      <alignment vertical="center" wrapText="1"/>
      <protection locked="0"/>
    </xf>
    <xf numFmtId="3" fontId="4" fillId="6" borderId="25" xfId="0" quotePrefix="1" applyNumberFormat="1" applyFont="1" applyFill="1" applyBorder="1" applyAlignment="1" applyProtection="1">
      <alignment vertical="center" wrapText="1"/>
      <protection locked="0"/>
    </xf>
    <xf numFmtId="3" fontId="4" fillId="6" borderId="45" xfId="0" applyNumberFormat="1" applyFont="1" applyFill="1" applyBorder="1" applyAlignment="1" applyProtection="1">
      <alignment vertical="center" wrapText="1"/>
      <protection locked="0"/>
    </xf>
    <xf numFmtId="3" fontId="4" fillId="6" borderId="46" xfId="0" applyNumberFormat="1" applyFont="1" applyFill="1" applyBorder="1" applyAlignment="1" applyProtection="1">
      <alignment vertical="center" wrapText="1"/>
      <protection locked="0"/>
    </xf>
    <xf numFmtId="3" fontId="4" fillId="6" borderId="5" xfId="0" quotePrefix="1" applyNumberFormat="1" applyFont="1" applyFill="1" applyBorder="1" applyAlignment="1" applyProtection="1">
      <alignment vertical="center" wrapText="1"/>
      <protection locked="0"/>
    </xf>
    <xf numFmtId="3" fontId="4" fillId="6" borderId="47" xfId="0" applyNumberFormat="1" applyFont="1" applyFill="1" applyBorder="1" applyAlignment="1" applyProtection="1">
      <alignment vertical="center" wrapText="1"/>
      <protection locked="0"/>
    </xf>
    <xf numFmtId="3" fontId="4" fillId="6" borderId="39" xfId="0" applyNumberFormat="1" applyFont="1" applyFill="1" applyBorder="1" applyAlignment="1" applyProtection="1">
      <alignment vertical="center" wrapText="1"/>
      <protection locked="0"/>
    </xf>
    <xf numFmtId="3" fontId="4" fillId="6" borderId="48" xfId="0" applyNumberFormat="1" applyFont="1" applyFill="1" applyBorder="1" applyAlignment="1" applyProtection="1">
      <alignment vertical="center" wrapText="1"/>
      <protection locked="0"/>
    </xf>
    <xf numFmtId="0" fontId="0" fillId="0" borderId="0" xfId="0" applyAlignment="1"/>
    <xf numFmtId="0" fontId="3" fillId="0" borderId="0" xfId="7" applyFont="1" applyBorder="1" applyProtection="1"/>
    <xf numFmtId="0" fontId="10" fillId="0" borderId="0" xfId="8" applyBorder="1"/>
    <xf numFmtId="0" fontId="10" fillId="0" borderId="0" xfId="7" applyFont="1" applyBorder="1" applyProtection="1">
      <protection locked="0"/>
    </xf>
    <xf numFmtId="0" fontId="9" fillId="0" borderId="5" xfId="7" applyFont="1" applyFill="1" applyBorder="1" applyAlignment="1" applyProtection="1">
      <alignment horizontal="center" vertical="center" wrapText="1"/>
    </xf>
    <xf numFmtId="0" fontId="8" fillId="0" borderId="0" xfId="0" applyFont="1" applyFill="1" applyBorder="1" applyAlignment="1"/>
    <xf numFmtId="0" fontId="0" fillId="0" borderId="0" xfId="0" applyFill="1" applyBorder="1" applyAlignment="1"/>
    <xf numFmtId="0" fontId="8" fillId="0" borderId="0" xfId="0" applyFont="1" applyFill="1" applyBorder="1" applyAlignment="1">
      <alignment horizontal="left"/>
    </xf>
    <xf numFmtId="0" fontId="0" fillId="0" borderId="0" xfId="0" applyFill="1" applyBorder="1" applyAlignment="1" applyProtection="1">
      <protection locked="0"/>
    </xf>
    <xf numFmtId="0" fontId="51" fillId="6" borderId="5" xfId="7" applyFont="1" applyFill="1" applyBorder="1" applyProtection="1">
      <protection locked="0"/>
    </xf>
    <xf numFmtId="0" fontId="4" fillId="6" borderId="44" xfId="0" applyFont="1" applyFill="1" applyBorder="1" applyAlignment="1" applyProtection="1">
      <alignment vertical="top" wrapText="1"/>
      <protection locked="0"/>
    </xf>
    <xf numFmtId="0" fontId="6" fillId="0" borderId="5" xfId="0" applyFont="1" applyBorder="1" applyAlignment="1" applyProtection="1">
      <alignment horizontal="center" vertical="center" wrapText="1"/>
    </xf>
    <xf numFmtId="0" fontId="4" fillId="0" borderId="0" xfId="0" applyFont="1" applyAlignment="1" applyProtection="1">
      <alignment horizontal="right" vertical="center" wrapText="1"/>
    </xf>
    <xf numFmtId="0" fontId="4" fillId="0" borderId="0" xfId="0" applyFont="1" applyAlignment="1" applyProtection="1">
      <alignment vertical="center" wrapText="1"/>
    </xf>
    <xf numFmtId="0" fontId="4" fillId="4" borderId="0" xfId="0" applyFont="1" applyFill="1" applyAlignment="1" applyProtection="1">
      <alignment vertical="center" wrapText="1"/>
    </xf>
    <xf numFmtId="0" fontId="6" fillId="0" borderId="0" xfId="0" applyFont="1" applyAlignment="1" applyProtection="1">
      <alignment vertical="top"/>
    </xf>
    <xf numFmtId="0" fontId="4" fillId="0" borderId="0" xfId="0" applyFont="1" applyFill="1" applyAlignment="1" applyProtection="1">
      <alignment vertical="top" wrapText="1"/>
    </xf>
    <xf numFmtId="0" fontId="4" fillId="4" borderId="0" xfId="0" applyFont="1" applyFill="1" applyAlignment="1" applyProtection="1">
      <alignment vertical="top" wrapText="1"/>
    </xf>
    <xf numFmtId="0" fontId="4" fillId="4" borderId="0" xfId="0" applyFont="1" applyFill="1" applyBorder="1" applyAlignment="1" applyProtection="1">
      <alignment vertical="top" wrapText="1"/>
    </xf>
    <xf numFmtId="0" fontId="3" fillId="0" borderId="0" xfId="0" applyFont="1" applyFill="1" applyBorder="1" applyAlignment="1" applyProtection="1">
      <alignment horizontal="center" vertical="center" wrapText="1"/>
    </xf>
    <xf numFmtId="0" fontId="8" fillId="0" borderId="0" xfId="0" applyFont="1" applyAlignment="1" applyProtection="1">
      <alignment vertical="top" wrapText="1"/>
    </xf>
    <xf numFmtId="0" fontId="8" fillId="4" borderId="0" xfId="0" applyFont="1" applyFill="1" applyAlignment="1" applyProtection="1">
      <alignment vertical="top" wrapText="1"/>
    </xf>
    <xf numFmtId="0" fontId="8" fillId="4" borderId="0" xfId="0" applyFont="1" applyFill="1" applyBorder="1" applyAlignment="1" applyProtection="1">
      <alignment vertical="top" wrapText="1"/>
    </xf>
    <xf numFmtId="0" fontId="8" fillId="0" borderId="0" xfId="0" applyFont="1" applyBorder="1" applyAlignment="1" applyProtection="1">
      <alignment vertical="top" wrapText="1"/>
    </xf>
    <xf numFmtId="0" fontId="4" fillId="0" borderId="0" xfId="0" applyFont="1" applyFill="1" applyBorder="1" applyAlignment="1" applyProtection="1">
      <alignment horizontal="center" vertical="center" wrapText="1"/>
    </xf>
    <xf numFmtId="0" fontId="4" fillId="0" borderId="8" xfId="0" applyFont="1" applyBorder="1" applyAlignment="1" applyProtection="1">
      <alignment vertical="center" wrapText="1"/>
    </xf>
    <xf numFmtId="3" fontId="4" fillId="0" borderId="0" xfId="0" applyNumberFormat="1" applyFont="1" applyFill="1" applyBorder="1" applyAlignment="1" applyProtection="1">
      <alignment vertical="center" wrapText="1"/>
    </xf>
    <xf numFmtId="4" fontId="4" fillId="0" borderId="0" xfId="0" applyNumberFormat="1" applyFont="1" applyFill="1" applyBorder="1" applyAlignment="1" applyProtection="1">
      <alignment vertical="center" wrapText="1"/>
    </xf>
    <xf numFmtId="4" fontId="4" fillId="0" borderId="0" xfId="0" quotePrefix="1" applyNumberFormat="1" applyFont="1" applyFill="1" applyBorder="1" applyAlignment="1" applyProtection="1">
      <alignment vertical="center" wrapText="1"/>
    </xf>
    <xf numFmtId="0" fontId="4" fillId="0" borderId="7" xfId="0" applyFont="1" applyBorder="1" applyAlignment="1" applyProtection="1">
      <alignment vertical="center" wrapText="1"/>
    </xf>
    <xf numFmtId="0" fontId="4" fillId="4" borderId="0" xfId="0" applyFont="1" applyFill="1" applyBorder="1" applyAlignment="1" applyProtection="1">
      <alignment horizontal="right" vertical="top" wrapText="1"/>
    </xf>
    <xf numFmtId="0" fontId="6" fillId="7" borderId="18" xfId="0" applyFont="1" applyFill="1" applyBorder="1" applyAlignment="1" applyProtection="1">
      <alignment vertical="center" wrapText="1"/>
    </xf>
    <xf numFmtId="3" fontId="6" fillId="0" borderId="0" xfId="0" applyNumberFormat="1" applyFont="1" applyFill="1" applyBorder="1" applyAlignment="1" applyProtection="1">
      <alignment vertical="center" wrapText="1"/>
    </xf>
    <xf numFmtId="4" fontId="6" fillId="0" borderId="0" xfId="0" applyNumberFormat="1" applyFont="1" applyFill="1" applyBorder="1" applyAlignment="1" applyProtection="1">
      <alignment vertical="center" wrapText="1"/>
    </xf>
    <xf numFmtId="4" fontId="4" fillId="4" borderId="0" xfId="0" applyNumberFormat="1" applyFont="1" applyFill="1" applyBorder="1" applyAlignment="1" applyProtection="1">
      <alignment vertical="top" wrapText="1"/>
    </xf>
    <xf numFmtId="3" fontId="4" fillId="0" borderId="0" xfId="0" applyNumberFormat="1" applyFont="1" applyFill="1" applyBorder="1" applyAlignment="1" applyProtection="1">
      <alignment vertical="top" wrapText="1"/>
    </xf>
    <xf numFmtId="3" fontId="4" fillId="4" borderId="0" xfId="0" applyNumberFormat="1" applyFont="1" applyFill="1" applyBorder="1" applyAlignment="1" applyProtection="1">
      <alignment vertical="top" wrapText="1"/>
    </xf>
    <xf numFmtId="0" fontId="4" fillId="0" borderId="37" xfId="0" applyFont="1" applyFill="1" applyBorder="1" applyAlignment="1" applyProtection="1">
      <alignment vertical="center" wrapText="1"/>
    </xf>
    <xf numFmtId="11" fontId="4" fillId="4" borderId="0" xfId="0" applyNumberFormat="1" applyFont="1" applyFill="1" applyAlignment="1" applyProtection="1">
      <alignment vertical="top" wrapText="1"/>
    </xf>
    <xf numFmtId="0" fontId="4" fillId="0" borderId="2" xfId="0" applyFont="1" applyBorder="1" applyAlignment="1" applyProtection="1">
      <alignment vertical="top" wrapText="1"/>
    </xf>
    <xf numFmtId="0" fontId="4" fillId="0" borderId="17" xfId="0" applyFont="1" applyBorder="1" applyAlignment="1" applyProtection="1">
      <alignment vertical="center" wrapText="1"/>
    </xf>
    <xf numFmtId="0" fontId="4" fillId="0" borderId="0" xfId="0" applyFont="1" applyFill="1" applyBorder="1" applyAlignment="1" applyProtection="1">
      <alignment horizontal="center" vertical="top" wrapText="1"/>
    </xf>
    <xf numFmtId="0" fontId="6" fillId="7" borderId="19" xfId="0" applyFont="1" applyFill="1" applyBorder="1" applyAlignment="1" applyProtection="1">
      <alignment vertical="center" wrapText="1"/>
    </xf>
    <xf numFmtId="0" fontId="6" fillId="0" borderId="0" xfId="0" applyFont="1" applyFill="1" applyBorder="1" applyAlignment="1" applyProtection="1">
      <alignment horizontal="center" vertical="top" wrapText="1"/>
    </xf>
    <xf numFmtId="0" fontId="4" fillId="0" borderId="3" xfId="0" applyFont="1" applyBorder="1" applyAlignment="1" applyProtection="1">
      <alignment vertical="top" wrapText="1"/>
    </xf>
    <xf numFmtId="0" fontId="4" fillId="0" borderId="34" xfId="0" applyFont="1" applyBorder="1" applyAlignment="1" applyProtection="1">
      <alignment vertical="center"/>
    </xf>
    <xf numFmtId="11" fontId="4" fillId="0" borderId="0" xfId="0" applyNumberFormat="1" applyFont="1" applyFill="1" applyBorder="1" applyAlignment="1" applyProtection="1">
      <alignment vertical="top" wrapText="1"/>
    </xf>
    <xf numFmtId="3" fontId="4" fillId="4" borderId="0" xfId="0" applyNumberFormat="1" applyFont="1" applyFill="1" applyAlignment="1" applyProtection="1">
      <alignment vertical="top" wrapText="1"/>
    </xf>
    <xf numFmtId="0" fontId="4" fillId="0" borderId="10" xfId="0" applyFont="1" applyBorder="1" applyAlignment="1" applyProtection="1">
      <alignment vertical="center"/>
    </xf>
    <xf numFmtId="11" fontId="4" fillId="4" borderId="0" xfId="0" applyNumberFormat="1" applyFont="1" applyFill="1" applyBorder="1" applyAlignment="1" applyProtection="1">
      <alignment vertical="top" wrapText="1"/>
    </xf>
    <xf numFmtId="3" fontId="4" fillId="0" borderId="0" xfId="0" quotePrefix="1" applyNumberFormat="1" applyFont="1" applyFill="1" applyBorder="1" applyAlignment="1" applyProtection="1">
      <alignment vertical="center" wrapText="1"/>
    </xf>
    <xf numFmtId="0" fontId="6" fillId="7" borderId="35" xfId="0" applyFont="1" applyFill="1" applyBorder="1" applyAlignment="1" applyProtection="1">
      <alignment vertical="center" wrapText="1"/>
    </xf>
    <xf numFmtId="0" fontId="4" fillId="0" borderId="17" xfId="0" applyFont="1" applyFill="1" applyBorder="1" applyAlignment="1" applyProtection="1">
      <alignment vertical="center" wrapText="1"/>
    </xf>
    <xf numFmtId="0" fontId="4" fillId="0" borderId="42" xfId="0" applyFont="1" applyFill="1" applyBorder="1" applyAlignment="1" applyProtection="1">
      <alignment vertical="top" wrapText="1"/>
    </xf>
    <xf numFmtId="0" fontId="4" fillId="0" borderId="14" xfId="0" applyFont="1" applyFill="1" applyBorder="1" applyAlignment="1" applyProtection="1">
      <alignment vertical="top" wrapText="1"/>
    </xf>
    <xf numFmtId="0" fontId="6" fillId="0" borderId="0" xfId="0" applyFont="1" applyFill="1" applyBorder="1" applyAlignment="1" applyProtection="1">
      <alignment vertical="center" wrapText="1"/>
    </xf>
    <xf numFmtId="0" fontId="4" fillId="0" borderId="0" xfId="0" quotePrefix="1" applyFont="1" applyFill="1" applyBorder="1" applyAlignment="1" applyProtection="1">
      <alignment horizontal="center" vertical="top" wrapText="1"/>
    </xf>
    <xf numFmtId="3" fontId="4" fillId="0" borderId="43" xfId="0" applyNumberFormat="1" applyFont="1" applyFill="1" applyBorder="1" applyAlignment="1" applyProtection="1">
      <alignment vertical="center" wrapText="1"/>
    </xf>
    <xf numFmtId="3" fontId="4" fillId="0" borderId="5" xfId="0" applyNumberFormat="1" applyFont="1" applyFill="1" applyBorder="1" applyAlignment="1" applyProtection="1">
      <alignment vertical="center" wrapText="1"/>
    </xf>
    <xf numFmtId="0" fontId="6" fillId="7" borderId="1" xfId="0" applyFont="1" applyFill="1" applyBorder="1" applyAlignment="1" applyProtection="1">
      <alignment vertical="top" wrapText="1"/>
    </xf>
    <xf numFmtId="3" fontId="6" fillId="7" borderId="49" xfId="0" applyNumberFormat="1" applyFont="1" applyFill="1" applyBorder="1" applyAlignment="1" applyProtection="1">
      <alignment vertical="center" wrapText="1"/>
    </xf>
    <xf numFmtId="3" fontId="6" fillId="7" borderId="9" xfId="0" applyNumberFormat="1" applyFont="1" applyFill="1" applyBorder="1" applyAlignment="1" applyProtection="1">
      <alignment vertical="center" wrapText="1"/>
    </xf>
    <xf numFmtId="0" fontId="9" fillId="0" borderId="49" xfId="0" applyFont="1" applyBorder="1" applyAlignment="1" applyProtection="1">
      <alignment horizontal="left"/>
    </xf>
    <xf numFmtId="0" fontId="8" fillId="0" borderId="49" xfId="0" applyFont="1" applyBorder="1" applyAlignment="1" applyProtection="1">
      <alignment horizontal="left" wrapText="1"/>
    </xf>
    <xf numFmtId="0" fontId="4" fillId="0" borderId="0" xfId="0" applyFont="1" applyAlignment="1" applyProtection="1">
      <alignment horizontal="left" vertical="top" wrapText="1"/>
    </xf>
    <xf numFmtId="0" fontId="4" fillId="0" borderId="0" xfId="0" applyFont="1" applyFill="1" applyAlignment="1" applyProtection="1">
      <alignment horizontal="left" vertical="top" wrapText="1"/>
    </xf>
    <xf numFmtId="0" fontId="9" fillId="0" borderId="0" xfId="0" applyFont="1" applyBorder="1" applyAlignment="1" applyProtection="1">
      <alignment horizontal="left"/>
    </xf>
    <xf numFmtId="0" fontId="29" fillId="0" borderId="0" xfId="0" applyFont="1" applyAlignment="1" applyProtection="1">
      <alignment horizontal="right" vertical="top" wrapText="1"/>
    </xf>
    <xf numFmtId="0" fontId="29" fillId="0" borderId="0" xfId="0" applyFont="1" applyAlignment="1" applyProtection="1">
      <alignment horizontal="left" vertical="top" wrapText="1"/>
    </xf>
    <xf numFmtId="0" fontId="13" fillId="0" borderId="0" xfId="0" applyFont="1" applyBorder="1" applyProtection="1"/>
    <xf numFmtId="0" fontId="13" fillId="0" borderId="0" xfId="6" applyFont="1" applyBorder="1" applyProtection="1"/>
    <xf numFmtId="4" fontId="4" fillId="0" borderId="0" xfId="0" applyNumberFormat="1" applyFont="1" applyBorder="1" applyAlignment="1" applyProtection="1">
      <alignment vertical="top" wrapText="1"/>
    </xf>
    <xf numFmtId="0" fontId="8" fillId="9" borderId="0" xfId="0" applyFont="1" applyFill="1" applyAlignment="1" applyProtection="1">
      <alignment horizontal="right" vertical="center" wrapText="1"/>
    </xf>
    <xf numFmtId="0" fontId="8" fillId="9" borderId="0" xfId="0" applyFont="1" applyFill="1" applyBorder="1" applyAlignment="1" applyProtection="1">
      <alignment horizontal="right" vertical="center" wrapText="1"/>
    </xf>
    <xf numFmtId="0" fontId="4" fillId="9" borderId="0" xfId="0" applyFont="1" applyFill="1" applyBorder="1" applyAlignment="1" applyProtection="1">
      <alignment vertical="top" wrapText="1"/>
    </xf>
    <xf numFmtId="4" fontId="4" fillId="9" borderId="0" xfId="0" applyNumberFormat="1" applyFont="1" applyFill="1" applyBorder="1" applyAlignment="1" applyProtection="1">
      <alignment vertical="top" wrapText="1"/>
    </xf>
    <xf numFmtId="0" fontId="4" fillId="9" borderId="0" xfId="0" applyFont="1" applyFill="1" applyBorder="1" applyAlignment="1" applyProtection="1">
      <alignment horizontal="center" vertical="center" textRotation="90" wrapText="1"/>
    </xf>
    <xf numFmtId="0" fontId="4" fillId="9" borderId="0" xfId="0" applyFont="1" applyFill="1" applyAlignment="1" applyProtection="1">
      <alignment vertical="top" wrapText="1"/>
    </xf>
    <xf numFmtId="0" fontId="11" fillId="9" borderId="0" xfId="0" applyFont="1" applyFill="1" applyAlignment="1" applyProtection="1">
      <alignment vertical="top" wrapText="1"/>
    </xf>
    <xf numFmtId="0" fontId="11" fillId="9" borderId="0" xfId="0" applyFont="1" applyFill="1" applyAlignment="1" applyProtection="1">
      <alignment vertical="top"/>
    </xf>
    <xf numFmtId="0" fontId="33" fillId="0" borderId="0" xfId="0" applyFont="1" applyAlignment="1" applyProtection="1">
      <alignment vertical="top" wrapText="1"/>
    </xf>
    <xf numFmtId="0" fontId="4" fillId="0" borderId="0" xfId="0" applyFont="1" applyBorder="1" applyAlignment="1" applyProtection="1">
      <alignment horizontal="left" vertical="top"/>
    </xf>
    <xf numFmtId="0" fontId="29" fillId="0" borderId="0" xfId="0" applyFont="1" applyAlignment="1" applyProtection="1">
      <alignment vertical="top" wrapText="1"/>
    </xf>
    <xf numFmtId="0" fontId="4" fillId="0" borderId="0" xfId="0" applyFont="1" applyBorder="1" applyAlignment="1" applyProtection="1">
      <alignment horizontal="center" vertical="top"/>
    </xf>
    <xf numFmtId="3" fontId="4" fillId="0" borderId="0" xfId="0" applyNumberFormat="1" applyFont="1" applyAlignment="1" applyProtection="1">
      <alignment vertical="top" wrapText="1"/>
    </xf>
    <xf numFmtId="0" fontId="4" fillId="0" borderId="0" xfId="0" applyFont="1" applyFill="1" applyBorder="1" applyAlignment="1" applyProtection="1">
      <alignment horizontal="left" vertical="top"/>
    </xf>
    <xf numFmtId="4" fontId="4" fillId="0" borderId="0" xfId="0" applyNumberFormat="1" applyFont="1" applyFill="1" applyAlignment="1" applyProtection="1">
      <alignment vertical="top" wrapText="1"/>
    </xf>
    <xf numFmtId="0" fontId="29" fillId="0" borderId="0" xfId="0" applyFont="1" applyFill="1" applyAlignment="1" applyProtection="1">
      <alignment horizontal="left" vertical="top" wrapText="1"/>
    </xf>
    <xf numFmtId="0" fontId="4" fillId="0" borderId="0" xfId="0" applyFont="1" applyBorder="1" applyAlignment="1" applyProtection="1">
      <alignment horizontal="center" vertical="top" wrapText="1"/>
    </xf>
    <xf numFmtId="0" fontId="4" fillId="0" borderId="0" xfId="0" applyFont="1" applyFill="1" applyBorder="1" applyAlignment="1" applyProtection="1">
      <alignment horizontal="center" vertical="top"/>
    </xf>
    <xf numFmtId="0" fontId="4" fillId="0" borderId="9" xfId="6" applyFont="1" applyFill="1" applyBorder="1" applyAlignment="1">
      <alignment horizontal="center" textRotation="90" wrapText="1"/>
    </xf>
    <xf numFmtId="0" fontId="11" fillId="0" borderId="0" xfId="0" applyFont="1" applyFill="1" applyAlignment="1" applyProtection="1">
      <alignment vertical="top"/>
    </xf>
    <xf numFmtId="3" fontId="4" fillId="0" borderId="0" xfId="0" applyNumberFormat="1" applyFont="1" applyFill="1" applyAlignment="1" applyProtection="1">
      <alignment vertical="top" wrapText="1"/>
    </xf>
    <xf numFmtId="0" fontId="71" fillId="0" borderId="0" xfId="0" applyFont="1" applyBorder="1" applyAlignment="1" applyProtection="1">
      <alignment horizontal="center"/>
      <protection locked="0"/>
    </xf>
    <xf numFmtId="0" fontId="3" fillId="0" borderId="0" xfId="0" applyFont="1" applyBorder="1" applyAlignment="1">
      <alignment horizontal="left"/>
    </xf>
    <xf numFmtId="0" fontId="4" fillId="0" borderId="0" xfId="4" applyFont="1" applyFill="1" applyAlignment="1" applyProtection="1">
      <alignment vertical="center" wrapText="1"/>
    </xf>
    <xf numFmtId="0" fontId="4" fillId="0" borderId="0" xfId="6" applyFont="1" applyFill="1" applyBorder="1" applyAlignment="1" applyProtection="1">
      <alignment vertical="center"/>
    </xf>
    <xf numFmtId="0" fontId="6" fillId="0" borderId="5" xfId="6" quotePrefix="1" applyFont="1" applyFill="1" applyBorder="1" applyAlignment="1">
      <alignment horizontal="center" vertical="center"/>
    </xf>
    <xf numFmtId="0" fontId="4" fillId="0" borderId="1" xfId="6" applyFont="1" applyBorder="1" applyAlignment="1">
      <alignment horizontal="center" textRotation="90" wrapText="1"/>
    </xf>
    <xf numFmtId="0" fontId="4" fillId="0" borderId="50" xfId="6" applyFont="1" applyBorder="1" applyAlignment="1">
      <alignment horizontal="center" textRotation="90" wrapText="1"/>
    </xf>
    <xf numFmtId="0" fontId="4" fillId="0" borderId="5" xfId="6" quotePrefix="1" applyFont="1" applyFill="1" applyBorder="1" applyAlignment="1">
      <alignment horizontal="center" vertical="center"/>
    </xf>
    <xf numFmtId="0" fontId="4" fillId="0" borderId="5" xfId="6" applyFont="1" applyFill="1" applyBorder="1" applyAlignment="1">
      <alignment horizontal="center" vertical="center"/>
    </xf>
    <xf numFmtId="3" fontId="25" fillId="6" borderId="15" xfId="6" applyNumberFormat="1" applyFont="1" applyFill="1" applyBorder="1" applyAlignment="1" applyProtection="1">
      <alignment vertical="center"/>
      <protection locked="0"/>
    </xf>
    <xf numFmtId="3" fontId="25" fillId="6" borderId="13" xfId="6" applyNumberFormat="1" applyFont="1" applyFill="1" applyBorder="1" applyAlignment="1" applyProtection="1">
      <alignment vertical="center"/>
      <protection locked="0"/>
    </xf>
    <xf numFmtId="3" fontId="25" fillId="6" borderId="25" xfId="6" applyNumberFormat="1" applyFont="1" applyFill="1" applyBorder="1" applyAlignment="1" applyProtection="1">
      <alignment vertical="center"/>
      <protection locked="0"/>
    </xf>
    <xf numFmtId="0" fontId="11" fillId="0" borderId="40" xfId="6" applyFont="1" applyBorder="1" applyAlignment="1">
      <alignment vertical="center"/>
    </xf>
    <xf numFmtId="0" fontId="11" fillId="0" borderId="40" xfId="6" applyFont="1" applyBorder="1" applyAlignment="1">
      <alignment vertical="center" wrapText="1"/>
    </xf>
    <xf numFmtId="0" fontId="11" fillId="0" borderId="41" xfId="6" applyFont="1" applyBorder="1" applyAlignment="1">
      <alignment vertical="center" wrapText="1"/>
    </xf>
    <xf numFmtId="0" fontId="4" fillId="0" borderId="43" xfId="6" quotePrefix="1" applyFont="1" applyFill="1" applyBorder="1" applyAlignment="1">
      <alignment horizontal="center" vertical="center"/>
    </xf>
    <xf numFmtId="0" fontId="4" fillId="0" borderId="43" xfId="6" applyFont="1" applyFill="1" applyBorder="1" applyAlignment="1">
      <alignment horizontal="center" vertical="center"/>
    </xf>
    <xf numFmtId="0" fontId="6" fillId="0" borderId="43" xfId="6" quotePrefix="1" applyFont="1" applyFill="1" applyBorder="1" applyAlignment="1">
      <alignment horizontal="center" vertical="center"/>
    </xf>
    <xf numFmtId="0" fontId="4" fillId="0" borderId="1" xfId="6" applyFont="1" applyFill="1" applyBorder="1" applyAlignment="1">
      <alignment horizontal="center" textRotation="90" wrapText="1"/>
    </xf>
    <xf numFmtId="0" fontId="4" fillId="0" borderId="51" xfId="6" applyFont="1" applyBorder="1" applyAlignment="1">
      <alignment horizontal="center" textRotation="90" wrapText="1"/>
    </xf>
    <xf numFmtId="0" fontId="4" fillId="0" borderId="50" xfId="6" applyFont="1" applyFill="1" applyBorder="1" applyAlignment="1">
      <alignment horizontal="center" textRotation="90" wrapText="1"/>
    </xf>
    <xf numFmtId="0" fontId="4" fillId="0" borderId="7" xfId="6" quotePrefix="1" applyFont="1" applyFill="1" applyBorder="1" applyAlignment="1">
      <alignment horizontal="center" vertical="center"/>
    </xf>
    <xf numFmtId="0" fontId="4" fillId="0" borderId="7" xfId="6" applyFont="1" applyFill="1" applyBorder="1" applyAlignment="1">
      <alignment horizontal="center" vertical="center"/>
    </xf>
    <xf numFmtId="0" fontId="6" fillId="0" borderId="7" xfId="6" quotePrefix="1" applyFont="1" applyFill="1" applyBorder="1" applyAlignment="1">
      <alignment horizontal="center" vertical="center"/>
    </xf>
    <xf numFmtId="3" fontId="4" fillId="10" borderId="5" xfId="0" applyNumberFormat="1" applyFont="1" applyFill="1" applyBorder="1" applyAlignment="1" applyProtection="1">
      <alignment horizontal="right" vertical="center" wrapText="1"/>
      <protection locked="0"/>
    </xf>
    <xf numFmtId="3" fontId="4" fillId="10" borderId="6" xfId="0" applyNumberFormat="1" applyFont="1" applyFill="1" applyBorder="1" applyAlignment="1" applyProtection="1">
      <alignment horizontal="right" vertical="center" wrapText="1"/>
      <protection locked="0"/>
    </xf>
    <xf numFmtId="3" fontId="4" fillId="10" borderId="14" xfId="0" applyNumberFormat="1" applyFont="1" applyFill="1" applyBorder="1" applyAlignment="1" applyProtection="1">
      <alignment horizontal="right" vertical="center" wrapText="1"/>
      <protection locked="0"/>
    </xf>
    <xf numFmtId="3" fontId="4" fillId="10" borderId="20" xfId="0" applyNumberFormat="1" applyFont="1" applyFill="1" applyBorder="1" applyAlignment="1" applyProtection="1">
      <alignment horizontal="right" vertical="center" wrapText="1"/>
      <protection locked="0"/>
    </xf>
    <xf numFmtId="0" fontId="72" fillId="0" borderId="0" xfId="0" applyFont="1" applyAlignment="1">
      <alignment horizontal="left"/>
    </xf>
    <xf numFmtId="3" fontId="6" fillId="7" borderId="30" xfId="0" applyNumberFormat="1" applyFont="1" applyFill="1" applyBorder="1" applyAlignment="1">
      <alignment vertical="center" wrapText="1"/>
    </xf>
    <xf numFmtId="0" fontId="6" fillId="7" borderId="30" xfId="0" applyFont="1" applyFill="1" applyBorder="1" applyAlignment="1">
      <alignment horizontal="center" vertical="center" wrapText="1"/>
    </xf>
    <xf numFmtId="4" fontId="6" fillId="7" borderId="30" xfId="0" applyNumberFormat="1" applyFont="1" applyFill="1" applyBorder="1" applyAlignment="1">
      <alignment horizontal="right" vertical="center" wrapText="1"/>
    </xf>
    <xf numFmtId="4" fontId="6" fillId="7" borderId="26" xfId="0" applyNumberFormat="1" applyFont="1" applyFill="1" applyBorder="1" applyAlignment="1">
      <alignment horizontal="right" vertical="center" wrapText="1"/>
    </xf>
    <xf numFmtId="0" fontId="4" fillId="0" borderId="17" xfId="4" applyFont="1" applyBorder="1" applyAlignment="1">
      <alignment vertical="top" wrapText="1"/>
    </xf>
    <xf numFmtId="0" fontId="4" fillId="0" borderId="7" xfId="4" applyFont="1" applyBorder="1" applyAlignment="1">
      <alignment vertical="top" wrapText="1"/>
    </xf>
    <xf numFmtId="4" fontId="6" fillId="11" borderId="20" xfId="4" applyNumberFormat="1" applyFont="1" applyFill="1" applyBorder="1" applyAlignment="1">
      <alignment vertical="center" wrapText="1"/>
    </xf>
    <xf numFmtId="4" fontId="6" fillId="11" borderId="24" xfId="4" applyNumberFormat="1" applyFont="1" applyFill="1" applyBorder="1" applyAlignment="1">
      <alignment vertical="center" wrapText="1"/>
    </xf>
    <xf numFmtId="0" fontId="2" fillId="0" borderId="0" xfId="4" applyFont="1"/>
    <xf numFmtId="0" fontId="5" fillId="0" borderId="0" xfId="4" applyFont="1"/>
    <xf numFmtId="0" fontId="2" fillId="0" borderId="5" xfId="4" applyFont="1" applyBorder="1"/>
    <xf numFmtId="0" fontId="3" fillId="0" borderId="0" xfId="4" applyFont="1" applyAlignment="1">
      <alignment vertical="center"/>
    </xf>
    <xf numFmtId="4" fontId="6" fillId="11" borderId="28" xfId="4" applyNumberFormat="1" applyFont="1" applyFill="1" applyBorder="1" applyAlignment="1">
      <alignment vertical="center" wrapText="1"/>
    </xf>
    <xf numFmtId="0" fontId="73" fillId="12" borderId="52" xfId="0" applyFont="1" applyFill="1" applyBorder="1"/>
    <xf numFmtId="0" fontId="0" fillId="12" borderId="53" xfId="0" applyFill="1" applyBorder="1"/>
    <xf numFmtId="0" fontId="0" fillId="12" borderId="54" xfId="0" applyFill="1" applyBorder="1"/>
    <xf numFmtId="0" fontId="5" fillId="11" borderId="5" xfId="4" applyFont="1" applyFill="1" applyBorder="1" applyAlignment="1">
      <alignment horizontal="left"/>
    </xf>
    <xf numFmtId="0" fontId="68" fillId="11" borderId="5" xfId="0" applyFont="1" applyFill="1" applyBorder="1"/>
    <xf numFmtId="0" fontId="68" fillId="0" borderId="0" xfId="0" applyFont="1"/>
    <xf numFmtId="0" fontId="2" fillId="11" borderId="5" xfId="4" applyFont="1" applyFill="1" applyBorder="1"/>
    <xf numFmtId="0" fontId="72" fillId="0" borderId="0" xfId="0" applyFont="1" applyBorder="1" applyAlignment="1">
      <alignment horizontal="center" wrapText="1"/>
    </xf>
    <xf numFmtId="168" fontId="68" fillId="11" borderId="6" xfId="0" applyNumberFormat="1" applyFont="1" applyFill="1" applyBorder="1" applyAlignment="1"/>
    <xf numFmtId="0" fontId="2" fillId="11" borderId="5" xfId="4" applyFont="1" applyFill="1" applyBorder="1" applyAlignment="1">
      <alignment horizontal="right"/>
    </xf>
    <xf numFmtId="0" fontId="68" fillId="11" borderId="5" xfId="0" applyFont="1" applyFill="1" applyBorder="1" applyAlignment="1">
      <alignment horizontal="left"/>
    </xf>
    <xf numFmtId="0" fontId="68" fillId="11" borderId="43" xfId="0" applyFont="1" applyFill="1" applyBorder="1" applyAlignment="1">
      <alignment horizontal="left"/>
    </xf>
    <xf numFmtId="0" fontId="68" fillId="13" borderId="12" xfId="0" applyFont="1" applyFill="1" applyBorder="1" applyAlignment="1" applyProtection="1">
      <protection locked="0"/>
    </xf>
    <xf numFmtId="168" fontId="4" fillId="11" borderId="5" xfId="2" applyNumberFormat="1" applyFont="1" applyFill="1" applyBorder="1" applyAlignment="1">
      <alignment horizontal="right"/>
    </xf>
    <xf numFmtId="0" fontId="0" fillId="11" borderId="5" xfId="0" applyNumberFormat="1" applyFill="1" applyBorder="1"/>
    <xf numFmtId="0" fontId="0" fillId="0" borderId="0" xfId="0" applyNumberFormat="1" applyBorder="1"/>
    <xf numFmtId="9" fontId="68" fillId="11" borderId="48" xfId="3" applyFont="1" applyFill="1" applyBorder="1" applyAlignment="1"/>
    <xf numFmtId="9" fontId="68" fillId="13" borderId="12" xfId="3" applyFont="1" applyFill="1" applyBorder="1" applyProtection="1">
      <protection locked="0"/>
    </xf>
    <xf numFmtId="0" fontId="5" fillId="11" borderId="5" xfId="4" applyFont="1" applyFill="1" applyBorder="1"/>
    <xf numFmtId="0" fontId="5" fillId="12" borderId="5" xfId="4" applyFont="1" applyFill="1" applyBorder="1"/>
    <xf numFmtId="0" fontId="5" fillId="14" borderId="5" xfId="4" applyFont="1" applyFill="1" applyBorder="1"/>
    <xf numFmtId="0" fontId="5" fillId="15" borderId="5" xfId="4" applyFont="1" applyFill="1" applyBorder="1"/>
    <xf numFmtId="0" fontId="5" fillId="11" borderId="5" xfId="4" applyFont="1" applyFill="1" applyBorder="1" applyAlignment="1">
      <alignment horizontal="right"/>
    </xf>
    <xf numFmtId="0" fontId="68" fillId="11" borderId="10" xfId="0" applyFont="1" applyFill="1" applyBorder="1" applyAlignment="1">
      <alignment horizontal="left"/>
    </xf>
    <xf numFmtId="168" fontId="68" fillId="12" borderId="5" xfId="0" applyNumberFormat="1" applyFont="1" applyFill="1" applyBorder="1"/>
    <xf numFmtId="0" fontId="68" fillId="11" borderId="43" xfId="0" applyFont="1" applyFill="1" applyBorder="1" applyAlignment="1">
      <alignment horizontal="right"/>
    </xf>
    <xf numFmtId="0" fontId="0" fillId="11" borderId="2" xfId="0" applyFill="1" applyBorder="1" applyAlignment="1">
      <alignment horizontal="left"/>
    </xf>
    <xf numFmtId="168" fontId="68" fillId="14" borderId="5" xfId="0" applyNumberFormat="1" applyFont="1" applyFill="1" applyBorder="1"/>
    <xf numFmtId="168" fontId="68" fillId="15" borderId="5" xfId="0" applyNumberFormat="1" applyFont="1" applyFill="1" applyBorder="1"/>
    <xf numFmtId="0" fontId="68" fillId="0" borderId="0" xfId="0" applyNumberFormat="1" applyFont="1" applyBorder="1"/>
    <xf numFmtId="0" fontId="68" fillId="11" borderId="5" xfId="0" applyNumberFormat="1" applyFont="1" applyFill="1" applyBorder="1"/>
    <xf numFmtId="0" fontId="68" fillId="12" borderId="5" xfId="0" applyNumberFormat="1" applyFont="1" applyFill="1" applyBorder="1"/>
    <xf numFmtId="168" fontId="55" fillId="16" borderId="5" xfId="2" applyNumberFormat="1" applyFont="1" applyFill="1" applyBorder="1" applyAlignment="1">
      <alignment horizontal="center"/>
    </xf>
    <xf numFmtId="0" fontId="68" fillId="14" borderId="5" xfId="0" applyNumberFormat="1" applyFont="1" applyFill="1" applyBorder="1"/>
    <xf numFmtId="0" fontId="68" fillId="15" borderId="5" xfId="0" applyFont="1" applyFill="1" applyBorder="1"/>
    <xf numFmtId="168" fontId="68" fillId="12" borderId="5" xfId="2" applyNumberFormat="1" applyFont="1" applyFill="1" applyBorder="1"/>
    <xf numFmtId="168" fontId="68" fillId="14" borderId="5" xfId="2" applyNumberFormat="1" applyFont="1" applyFill="1" applyBorder="1"/>
    <xf numFmtId="168" fontId="68" fillId="15" borderId="5" xfId="2" applyNumberFormat="1" applyFont="1" applyFill="1" applyBorder="1"/>
    <xf numFmtId="168" fontId="68" fillId="11" borderId="5" xfId="0" applyNumberFormat="1" applyFont="1" applyFill="1" applyBorder="1"/>
    <xf numFmtId="0" fontId="68" fillId="11" borderId="11" xfId="0" applyFont="1" applyFill="1" applyBorder="1" applyAlignment="1">
      <alignment horizontal="left"/>
    </xf>
    <xf numFmtId="0" fontId="5" fillId="12" borderId="5" xfId="4" applyFont="1" applyFill="1" applyBorder="1" applyAlignment="1">
      <alignment horizontal="center"/>
    </xf>
    <xf numFmtId="168" fontId="5" fillId="12" borderId="5" xfId="4" applyNumberFormat="1" applyFont="1" applyFill="1" applyBorder="1" applyAlignment="1">
      <alignment horizontal="left"/>
    </xf>
    <xf numFmtId="0" fontId="68" fillId="12" borderId="5" xfId="0" applyFont="1" applyFill="1" applyBorder="1"/>
    <xf numFmtId="0" fontId="5" fillId="14" borderId="5" xfId="4" applyFont="1" applyFill="1" applyBorder="1" applyAlignment="1">
      <alignment horizontal="center"/>
    </xf>
    <xf numFmtId="168" fontId="5" fillId="14" borderId="5" xfId="4" applyNumberFormat="1" applyFont="1" applyFill="1" applyBorder="1" applyAlignment="1">
      <alignment horizontal="left"/>
    </xf>
    <xf numFmtId="0" fontId="68" fillId="14" borderId="5" xfId="0" applyFont="1" applyFill="1" applyBorder="1"/>
    <xf numFmtId="0" fontId="68" fillId="11" borderId="8" xfId="0" applyFont="1" applyFill="1" applyBorder="1" applyAlignment="1">
      <alignment horizontal="left"/>
    </xf>
    <xf numFmtId="0" fontId="5" fillId="12" borderId="7" xfId="4" applyFont="1" applyFill="1" applyBorder="1" applyAlignment="1">
      <alignment horizontal="center"/>
    </xf>
    <xf numFmtId="168" fontId="68" fillId="12" borderId="13" xfId="0" applyNumberFormat="1" applyFont="1" applyFill="1" applyBorder="1"/>
    <xf numFmtId="0" fontId="5" fillId="14" borderId="7" xfId="4" applyFont="1" applyFill="1" applyBorder="1" applyAlignment="1">
      <alignment horizontal="center"/>
    </xf>
    <xf numFmtId="168" fontId="68" fillId="14" borderId="13" xfId="0" applyNumberFormat="1" applyFont="1" applyFill="1" applyBorder="1"/>
    <xf numFmtId="0" fontId="68" fillId="15" borderId="19" xfId="0" applyFont="1" applyFill="1" applyBorder="1" applyAlignment="1">
      <alignment horizontal="center"/>
    </xf>
    <xf numFmtId="0" fontId="68" fillId="15" borderId="20" xfId="0" applyFont="1" applyFill="1" applyBorder="1" applyAlignment="1">
      <alignment horizontal="center"/>
    </xf>
    <xf numFmtId="168" fontId="5" fillId="15" borderId="20" xfId="4" applyNumberFormat="1" applyFont="1" applyFill="1" applyBorder="1" applyAlignment="1">
      <alignment horizontal="left"/>
    </xf>
    <xf numFmtId="0" fontId="68" fillId="15" borderId="20" xfId="0" applyFont="1" applyFill="1" applyBorder="1"/>
    <xf numFmtId="168" fontId="68" fillId="15" borderId="24" xfId="0" applyNumberFormat="1" applyFont="1" applyFill="1" applyBorder="1"/>
    <xf numFmtId="2" fontId="9" fillId="0" borderId="0" xfId="0" applyNumberFormat="1" applyFont="1" applyBorder="1" applyAlignment="1" applyProtection="1">
      <alignment vertical="center"/>
    </xf>
    <xf numFmtId="0" fontId="4" fillId="0" borderId="0" xfId="6" applyFont="1" applyAlignment="1">
      <alignment vertical="top"/>
    </xf>
    <xf numFmtId="3" fontId="13" fillId="11" borderId="0" xfId="6" applyNumberFormat="1" applyFont="1" applyFill="1" applyBorder="1" applyAlignment="1" applyProtection="1">
      <alignment horizontal="right"/>
    </xf>
    <xf numFmtId="3" fontId="27" fillId="11" borderId="0" xfId="6" applyNumberFormat="1" applyFont="1" applyFill="1" applyBorder="1" applyAlignment="1" applyProtection="1">
      <alignment horizontal="right"/>
    </xf>
    <xf numFmtId="0" fontId="4" fillId="0" borderId="17" xfId="6" quotePrefix="1" applyFont="1" applyFill="1" applyBorder="1" applyAlignment="1">
      <alignment horizontal="center" vertical="center"/>
    </xf>
    <xf numFmtId="0" fontId="4" fillId="0" borderId="42" xfId="6" quotePrefix="1" applyFont="1" applyFill="1" applyBorder="1" applyAlignment="1">
      <alignment horizontal="center" vertical="center"/>
    </xf>
    <xf numFmtId="0" fontId="4" fillId="0" borderId="14" xfId="6" quotePrefix="1" applyFont="1" applyFill="1" applyBorder="1" applyAlignment="1">
      <alignment horizontal="center" vertical="center"/>
    </xf>
    <xf numFmtId="0" fontId="6" fillId="0" borderId="16" xfId="6" applyFont="1" applyFill="1" applyBorder="1" applyAlignment="1">
      <alignment horizontal="center" vertical="center"/>
    </xf>
    <xf numFmtId="0" fontId="6" fillId="0" borderId="55" xfId="6" applyFont="1" applyFill="1" applyBorder="1" applyAlignment="1">
      <alignment horizontal="center" vertical="center"/>
    </xf>
    <xf numFmtId="0" fontId="6" fillId="0" borderId="21" xfId="6" applyFont="1" applyFill="1" applyBorder="1" applyAlignment="1">
      <alignment horizontal="center" vertical="center"/>
    </xf>
    <xf numFmtId="0" fontId="8" fillId="0" borderId="56" xfId="0" applyFont="1" applyBorder="1" applyAlignment="1">
      <alignment vertical="center" wrapText="1"/>
    </xf>
    <xf numFmtId="0" fontId="8" fillId="0" borderId="18" xfId="0" applyFont="1" applyBorder="1" applyAlignment="1">
      <alignment vertical="center" wrapText="1"/>
    </xf>
    <xf numFmtId="0" fontId="3" fillId="7" borderId="57" xfId="0" applyFont="1" applyFill="1" applyBorder="1" applyAlignment="1">
      <alignment vertical="center" wrapText="1"/>
    </xf>
    <xf numFmtId="0" fontId="4" fillId="7" borderId="16" xfId="0" applyFont="1" applyFill="1" applyBorder="1" applyAlignment="1">
      <alignment vertical="top" wrapText="1"/>
    </xf>
    <xf numFmtId="0" fontId="8" fillId="0" borderId="56" xfId="0" applyFont="1" applyBorder="1" applyAlignment="1">
      <alignment vertical="center"/>
    </xf>
    <xf numFmtId="0" fontId="8" fillId="0" borderId="18" xfId="0" applyFont="1" applyBorder="1" applyAlignment="1">
      <alignment vertical="center"/>
    </xf>
    <xf numFmtId="11" fontId="8" fillId="0" borderId="56" xfId="0" applyNumberFormat="1" applyFont="1" applyBorder="1" applyAlignment="1">
      <alignment vertical="center" wrapText="1"/>
    </xf>
    <xf numFmtId="11" fontId="8" fillId="0" borderId="17" xfId="0" quotePrefix="1" applyNumberFormat="1" applyFont="1" applyBorder="1" applyAlignment="1">
      <alignment vertical="top" wrapText="1"/>
    </xf>
    <xf numFmtId="11" fontId="8" fillId="0" borderId="7" xfId="0" quotePrefix="1" applyNumberFormat="1" applyFont="1" applyBorder="1" applyAlignment="1">
      <alignment vertical="top" wrapText="1"/>
    </xf>
    <xf numFmtId="0" fontId="8" fillId="0" borderId="7" xfId="0" applyFont="1" applyBorder="1" applyAlignment="1">
      <alignment vertical="top" wrapText="1"/>
    </xf>
    <xf numFmtId="0" fontId="3" fillId="7" borderId="19" xfId="0" applyFont="1" applyFill="1" applyBorder="1" applyAlignment="1">
      <alignment vertical="top" wrapText="1"/>
    </xf>
    <xf numFmtId="11" fontId="8" fillId="0" borderId="17" xfId="0" applyNumberFormat="1" applyFont="1" applyBorder="1" applyAlignment="1">
      <alignment vertical="top" wrapText="1"/>
    </xf>
    <xf numFmtId="0" fontId="6" fillId="17" borderId="37" xfId="4" applyFont="1" applyFill="1" applyBorder="1"/>
    <xf numFmtId="4" fontId="6" fillId="17" borderId="6" xfId="4" applyNumberFormat="1" applyFont="1" applyFill="1" applyBorder="1" applyAlignment="1">
      <alignment vertical="center" wrapText="1"/>
    </xf>
    <xf numFmtId="4" fontId="6" fillId="17" borderId="23" xfId="4" applyNumberFormat="1" applyFont="1" applyFill="1" applyBorder="1" applyAlignment="1">
      <alignment vertical="center" wrapText="1"/>
    </xf>
    <xf numFmtId="4" fontId="6" fillId="17" borderId="35" xfId="4" applyNumberFormat="1" applyFont="1" applyFill="1" applyBorder="1" applyAlignment="1">
      <alignment vertical="center" wrapText="1"/>
    </xf>
    <xf numFmtId="4" fontId="6" fillId="17" borderId="45" xfId="4" applyNumberFormat="1" applyFont="1" applyFill="1" applyBorder="1"/>
    <xf numFmtId="4" fontId="6" fillId="17" borderId="25" xfId="4" applyNumberFormat="1" applyFont="1" applyFill="1" applyBorder="1"/>
    <xf numFmtId="4" fontId="6" fillId="17" borderId="29" xfId="4" applyNumberFormat="1" applyFont="1" applyFill="1" applyBorder="1"/>
    <xf numFmtId="0" fontId="6" fillId="17" borderId="37" xfId="4" applyFont="1" applyFill="1" applyBorder="1" applyAlignment="1">
      <alignment vertical="top" wrapText="1"/>
    </xf>
    <xf numFmtId="3" fontId="6" fillId="17" borderId="21" xfId="4" applyNumberFormat="1" applyFont="1" applyFill="1" applyBorder="1" applyAlignment="1">
      <alignment vertical="center" wrapText="1"/>
    </xf>
    <xf numFmtId="3" fontId="6" fillId="17" borderId="22" xfId="4" applyNumberFormat="1" applyFont="1" applyFill="1" applyBorder="1" applyAlignment="1">
      <alignment vertical="center" wrapText="1"/>
    </xf>
    <xf numFmtId="4" fontId="6" fillId="17" borderId="36" xfId="4" applyNumberFormat="1" applyFont="1" applyFill="1" applyBorder="1" applyAlignment="1">
      <alignment horizontal="right" vertical="center" wrapText="1"/>
    </xf>
    <xf numFmtId="4" fontId="6" fillId="17" borderId="21" xfId="4" applyNumberFormat="1" applyFont="1" applyFill="1" applyBorder="1" applyAlignment="1">
      <alignment horizontal="right" vertical="center" wrapText="1"/>
    </xf>
    <xf numFmtId="4" fontId="6" fillId="17" borderId="22" xfId="4" applyNumberFormat="1" applyFont="1" applyFill="1" applyBorder="1" applyAlignment="1">
      <alignment horizontal="right" vertical="center" wrapText="1"/>
    </xf>
    <xf numFmtId="0" fontId="11" fillId="0" borderId="0" xfId="0" applyFont="1" applyBorder="1" applyAlignment="1">
      <alignment vertical="top"/>
    </xf>
    <xf numFmtId="3" fontId="25" fillId="6" borderId="19" xfId="6" applyNumberFormat="1" applyFont="1" applyFill="1" applyBorder="1" applyAlignment="1" applyProtection="1">
      <alignment vertical="center"/>
      <protection locked="0"/>
    </xf>
    <xf numFmtId="3" fontId="4" fillId="6" borderId="7" xfId="6" quotePrefix="1" applyNumberFormat="1" applyFont="1" applyFill="1" applyBorder="1" applyAlignment="1" applyProtection="1">
      <alignment horizontal="center" vertical="center"/>
      <protection locked="0"/>
    </xf>
    <xf numFmtId="3" fontId="4" fillId="10" borderId="5" xfId="5" applyNumberFormat="1" applyFont="1" applyFill="1" applyBorder="1" applyAlignment="1" applyProtection="1">
      <alignment vertical="center"/>
    </xf>
    <xf numFmtId="165" fontId="9" fillId="10" borderId="5" xfId="2" applyFont="1" applyFill="1" applyBorder="1" applyAlignment="1" applyProtection="1">
      <alignment vertical="center"/>
    </xf>
    <xf numFmtId="4" fontId="4" fillId="10" borderId="11" xfId="0" applyNumberFormat="1" applyFont="1" applyFill="1" applyBorder="1" applyAlignment="1" applyProtection="1">
      <alignment vertical="center" wrapText="1"/>
    </xf>
    <xf numFmtId="4" fontId="4" fillId="10" borderId="33" xfId="0" applyNumberFormat="1" applyFont="1" applyFill="1" applyBorder="1" applyAlignment="1" applyProtection="1">
      <alignment vertical="center" wrapText="1"/>
    </xf>
    <xf numFmtId="4" fontId="4" fillId="10" borderId="5" xfId="0" applyNumberFormat="1" applyFont="1" applyFill="1" applyBorder="1" applyAlignment="1" applyProtection="1">
      <alignment vertical="center" wrapText="1"/>
    </xf>
    <xf numFmtId="4" fontId="4" fillId="10" borderId="13" xfId="0" applyNumberFormat="1" applyFont="1" applyFill="1" applyBorder="1" applyAlignment="1" applyProtection="1">
      <alignment vertical="center" wrapText="1"/>
    </xf>
    <xf numFmtId="4" fontId="6" fillId="10" borderId="20" xfId="0" applyNumberFormat="1" applyFont="1" applyFill="1" applyBorder="1" applyAlignment="1" applyProtection="1">
      <alignment vertical="center" wrapText="1"/>
    </xf>
    <xf numFmtId="4" fontId="6" fillId="10" borderId="24" xfId="0" applyNumberFormat="1" applyFont="1" applyFill="1" applyBorder="1" applyAlignment="1" applyProtection="1">
      <alignment vertical="center" wrapText="1"/>
    </xf>
    <xf numFmtId="4" fontId="4" fillId="17" borderId="14" xfId="4" applyNumberFormat="1" applyFont="1" applyFill="1" applyBorder="1" applyAlignment="1" applyProtection="1">
      <alignment vertical="center" wrapText="1"/>
    </xf>
    <xf numFmtId="4" fontId="4" fillId="17" borderId="15" xfId="4" applyNumberFormat="1" applyFont="1" applyFill="1" applyBorder="1" applyAlignment="1" applyProtection="1">
      <alignment vertical="center" wrapText="1"/>
    </xf>
    <xf numFmtId="4" fontId="4" fillId="17" borderId="5" xfId="4" applyNumberFormat="1" applyFont="1" applyFill="1" applyBorder="1" applyAlignment="1" applyProtection="1">
      <alignment vertical="center" wrapText="1"/>
    </xf>
    <xf numFmtId="4" fontId="4" fillId="17" borderId="13" xfId="4" applyNumberFormat="1" applyFont="1" applyFill="1" applyBorder="1" applyAlignment="1" applyProtection="1">
      <alignment vertical="center" wrapText="1"/>
    </xf>
    <xf numFmtId="3" fontId="6" fillId="7" borderId="2" xfId="0" applyNumberFormat="1" applyFont="1" applyFill="1" applyBorder="1" applyAlignment="1" applyProtection="1">
      <alignment vertical="center" wrapText="1"/>
    </xf>
    <xf numFmtId="3" fontId="6" fillId="7" borderId="5" xfId="0" applyNumberFormat="1" applyFont="1" applyFill="1" applyBorder="1" applyAlignment="1" applyProtection="1">
      <alignment vertical="center" wrapText="1"/>
    </xf>
    <xf numFmtId="3" fontId="6" fillId="7" borderId="25" xfId="0" applyNumberFormat="1" applyFont="1" applyFill="1" applyBorder="1" applyAlignment="1" applyProtection="1">
      <alignment vertical="center" wrapText="1"/>
    </xf>
    <xf numFmtId="3" fontId="6" fillId="7" borderId="58" xfId="0" applyNumberFormat="1" applyFont="1" applyFill="1" applyBorder="1" applyAlignment="1" applyProtection="1">
      <alignment vertical="center" wrapText="1"/>
    </xf>
    <xf numFmtId="3" fontId="6" fillId="7" borderId="20" xfId="0" applyNumberFormat="1" applyFont="1" applyFill="1" applyBorder="1" applyAlignment="1" applyProtection="1">
      <alignment vertical="center" wrapText="1"/>
    </xf>
    <xf numFmtId="3" fontId="6" fillId="7" borderId="29" xfId="0" applyNumberFormat="1" applyFont="1" applyFill="1" applyBorder="1" applyAlignment="1" applyProtection="1">
      <alignment vertical="center" wrapText="1"/>
    </xf>
    <xf numFmtId="3" fontId="6" fillId="7" borderId="59" xfId="0" applyNumberFormat="1" applyFont="1" applyFill="1" applyBorder="1" applyAlignment="1" applyProtection="1">
      <alignment vertical="center" wrapText="1"/>
    </xf>
    <xf numFmtId="3" fontId="6" fillId="7" borderId="6" xfId="0" applyNumberFormat="1" applyFont="1" applyFill="1" applyBorder="1" applyAlignment="1" applyProtection="1">
      <alignment vertical="center" wrapText="1"/>
    </xf>
    <xf numFmtId="3" fontId="6" fillId="7" borderId="39" xfId="0" applyNumberFormat="1" applyFont="1" applyFill="1" applyBorder="1" applyAlignment="1" applyProtection="1">
      <alignment vertical="center" wrapText="1"/>
    </xf>
    <xf numFmtId="3" fontId="6" fillId="7" borderId="50" xfId="0" applyNumberFormat="1" applyFont="1" applyFill="1" applyBorder="1" applyAlignment="1" applyProtection="1">
      <alignment vertical="center" wrapText="1"/>
    </xf>
    <xf numFmtId="0" fontId="0" fillId="0" borderId="0" xfId="0" applyAlignment="1" applyProtection="1">
      <protection locked="0"/>
    </xf>
    <xf numFmtId="0" fontId="2" fillId="0" borderId="0" xfId="0" applyFont="1" applyFill="1" applyBorder="1" applyAlignment="1" applyProtection="1">
      <protection locked="0"/>
    </xf>
    <xf numFmtId="0" fontId="1" fillId="0" borderId="0" xfId="0" applyFont="1" applyFill="1" applyBorder="1" applyAlignment="1" applyProtection="1">
      <alignment horizontal="right"/>
      <protection locked="0"/>
    </xf>
    <xf numFmtId="0" fontId="8" fillId="0" borderId="0" xfId="0" applyFont="1" applyFill="1" applyBorder="1" applyAlignment="1" applyProtection="1">
      <alignment horizontal="left"/>
      <protection locked="0"/>
    </xf>
    <xf numFmtId="0" fontId="8" fillId="0" borderId="0" xfId="0" applyFont="1" applyFill="1" applyBorder="1" applyAlignment="1" applyProtection="1">
      <protection locked="0"/>
    </xf>
    <xf numFmtId="0" fontId="2" fillId="0" borderId="0" xfId="4" applyProtection="1"/>
    <xf numFmtId="0" fontId="2" fillId="0" borderId="0" xfId="4" applyFill="1" applyProtection="1"/>
    <xf numFmtId="0" fontId="6" fillId="11" borderId="5" xfId="4" applyFont="1" applyFill="1" applyBorder="1" applyAlignment="1" applyProtection="1">
      <alignment horizontal="center" vertical="center" wrapText="1"/>
    </xf>
    <xf numFmtId="3" fontId="3" fillId="6" borderId="5" xfId="4" applyNumberFormat="1" applyFont="1" applyFill="1" applyBorder="1" applyAlignment="1" applyProtection="1">
      <alignment horizontal="center" vertical="center"/>
      <protection locked="0"/>
    </xf>
    <xf numFmtId="0" fontId="2" fillId="0" borderId="0" xfId="4" applyProtection="1">
      <protection locked="0"/>
    </xf>
    <xf numFmtId="3" fontId="47" fillId="11" borderId="5" xfId="4" applyNumberFormat="1" applyFont="1" applyFill="1" applyBorder="1" applyAlignment="1" applyProtection="1">
      <alignment horizontal="right" vertical="top" wrapText="1"/>
    </xf>
    <xf numFmtId="0" fontId="2" fillId="0" borderId="0" xfId="4" applyBorder="1" applyProtection="1"/>
    <xf numFmtId="0" fontId="2" fillId="0" borderId="0" xfId="4" applyBorder="1" applyProtection="1">
      <protection locked="0"/>
    </xf>
    <xf numFmtId="0" fontId="2" fillId="0" borderId="0" xfId="4" applyFont="1" applyBorder="1" applyAlignment="1">
      <alignment wrapText="1"/>
    </xf>
    <xf numFmtId="3" fontId="47" fillId="11" borderId="5" xfId="4" applyNumberFormat="1" applyFont="1" applyFill="1" applyBorder="1" applyAlignment="1" applyProtection="1">
      <alignment horizontal="right" vertical="center" wrapText="1"/>
      <protection locked="0"/>
    </xf>
    <xf numFmtId="0" fontId="3" fillId="0" borderId="0" xfId="4" applyFont="1" applyAlignment="1" applyProtection="1">
      <alignment horizontal="left"/>
    </xf>
    <xf numFmtId="0" fontId="2" fillId="0" borderId="0" xfId="4" applyFont="1" applyFill="1" applyProtection="1"/>
    <xf numFmtId="0" fontId="2" fillId="0" borderId="0" xfId="4" applyFont="1" applyAlignment="1" applyProtection="1">
      <alignment horizontal="right"/>
    </xf>
    <xf numFmtId="0" fontId="2" fillId="0" borderId="12" xfId="4" applyFont="1" applyFill="1" applyBorder="1" applyAlignment="1" applyProtection="1">
      <alignment horizontal="right"/>
    </xf>
    <xf numFmtId="0" fontId="2" fillId="0" borderId="12" xfId="4" applyFont="1" applyFill="1" applyBorder="1" applyProtection="1">
      <protection locked="0"/>
    </xf>
    <xf numFmtId="0" fontId="2" fillId="0" borderId="0" xfId="7" applyFont="1" applyBorder="1" applyProtection="1"/>
    <xf numFmtId="0" fontId="2" fillId="0" borderId="0" xfId="0" applyFont="1"/>
    <xf numFmtId="0" fontId="2" fillId="0" borderId="5" xfId="0" applyFont="1" applyBorder="1" applyAlignment="1">
      <alignment horizontal="left"/>
    </xf>
    <xf numFmtId="0" fontId="2" fillId="0" borderId="0" xfId="0" applyFont="1" applyAlignment="1">
      <alignment horizontal="right"/>
    </xf>
    <xf numFmtId="0" fontId="2" fillId="0" borderId="5" xfId="0" applyFont="1" applyBorder="1"/>
    <xf numFmtId="0" fontId="2" fillId="0" borderId="0" xfId="4"/>
    <xf numFmtId="165" fontId="4" fillId="10" borderId="5" xfId="2" applyFont="1" applyFill="1" applyBorder="1" applyAlignment="1" applyProtection="1">
      <alignment vertical="center"/>
    </xf>
    <xf numFmtId="3" fontId="13" fillId="10" borderId="27" xfId="6" applyNumberFormat="1" applyFont="1" applyFill="1" applyBorder="1" applyAlignment="1" applyProtection="1">
      <alignment horizontal="right"/>
    </xf>
    <xf numFmtId="3" fontId="13" fillId="10" borderId="14" xfId="6" applyNumberFormat="1" applyFont="1" applyFill="1" applyBorder="1" applyAlignment="1" applyProtection="1">
      <alignment horizontal="right"/>
    </xf>
    <xf numFmtId="3" fontId="13" fillId="10" borderId="15" xfId="6" applyNumberFormat="1" applyFont="1" applyFill="1" applyBorder="1" applyAlignment="1" applyProtection="1">
      <alignment horizontal="right"/>
    </xf>
    <xf numFmtId="3" fontId="13" fillId="10" borderId="60" xfId="6" applyNumberFormat="1" applyFont="1" applyFill="1" applyBorder="1" applyAlignment="1" applyProtection="1">
      <alignment horizontal="right"/>
    </xf>
    <xf numFmtId="3" fontId="13" fillId="10" borderId="10" xfId="6" applyNumberFormat="1" applyFont="1" applyFill="1" applyBorder="1" applyAlignment="1" applyProtection="1">
      <alignment horizontal="right"/>
    </xf>
    <xf numFmtId="3" fontId="13" fillId="10" borderId="5" xfId="6" applyNumberFormat="1" applyFont="1" applyFill="1" applyBorder="1" applyAlignment="1" applyProtection="1">
      <alignment horizontal="right"/>
    </xf>
    <xf numFmtId="3" fontId="13" fillId="10" borderId="13" xfId="6" applyNumberFormat="1" applyFont="1" applyFill="1" applyBorder="1" applyAlignment="1" applyProtection="1">
      <alignment horizontal="right"/>
    </xf>
    <xf numFmtId="3" fontId="13" fillId="10" borderId="40" xfId="6" applyNumberFormat="1" applyFont="1" applyFill="1" applyBorder="1" applyAlignment="1" applyProtection="1">
      <alignment horizontal="right"/>
    </xf>
    <xf numFmtId="3" fontId="13" fillId="10" borderId="28" xfId="6" applyNumberFormat="1" applyFont="1" applyFill="1" applyBorder="1" applyAlignment="1" applyProtection="1">
      <alignment horizontal="right"/>
    </xf>
    <xf numFmtId="3" fontId="13" fillId="10" borderId="20" xfId="6" applyNumberFormat="1" applyFont="1" applyFill="1" applyBorder="1" applyAlignment="1" applyProtection="1">
      <alignment horizontal="right"/>
    </xf>
    <xf numFmtId="3" fontId="13" fillId="10" borderId="24" xfId="6" applyNumberFormat="1" applyFont="1" applyFill="1" applyBorder="1" applyAlignment="1" applyProtection="1">
      <alignment horizontal="center"/>
    </xf>
    <xf numFmtId="3" fontId="13" fillId="10" borderId="41" xfId="6" applyNumberFormat="1" applyFont="1" applyFill="1" applyBorder="1" applyAlignment="1" applyProtection="1">
      <alignment horizontal="right"/>
    </xf>
    <xf numFmtId="0" fontId="9" fillId="0" borderId="0" xfId="6" applyFont="1" applyFill="1" applyBorder="1" applyAlignment="1" applyProtection="1">
      <alignment vertical="center"/>
    </xf>
    <xf numFmtId="3" fontId="13" fillId="10" borderId="17" xfId="6" applyNumberFormat="1" applyFont="1" applyFill="1" applyBorder="1" applyAlignment="1" applyProtection="1">
      <alignment horizontal="right"/>
    </xf>
    <xf numFmtId="3" fontId="13" fillId="10" borderId="7" xfId="6" applyNumberFormat="1" applyFont="1" applyFill="1" applyBorder="1" applyAlignment="1" applyProtection="1">
      <alignment horizontal="right"/>
    </xf>
    <xf numFmtId="3" fontId="13" fillId="10" borderId="19" xfId="6" applyNumberFormat="1" applyFont="1" applyFill="1" applyBorder="1" applyAlignment="1" applyProtection="1">
      <alignment horizontal="right"/>
    </xf>
    <xf numFmtId="168" fontId="4" fillId="18" borderId="5" xfId="2" applyNumberFormat="1" applyFont="1" applyFill="1" applyBorder="1" applyAlignment="1" applyProtection="1">
      <alignment horizontal="right"/>
      <protection locked="0"/>
    </xf>
    <xf numFmtId="0" fontId="0" fillId="18" borderId="5" xfId="0" applyFill="1" applyBorder="1" applyProtection="1">
      <protection locked="0"/>
    </xf>
    <xf numFmtId="0" fontId="69" fillId="0" borderId="0" xfId="4" applyFont="1" applyFill="1" applyAlignment="1" applyProtection="1">
      <alignment horizontal="right" vertical="center"/>
    </xf>
    <xf numFmtId="0" fontId="5" fillId="0" borderId="0" xfId="4" applyFont="1" applyFill="1" applyProtection="1"/>
    <xf numFmtId="0" fontId="69" fillId="0" borderId="0" xfId="4" applyFont="1" applyFill="1" applyAlignment="1" applyProtection="1">
      <alignment horizontal="right"/>
    </xf>
    <xf numFmtId="0" fontId="69" fillId="10" borderId="5" xfId="4" applyFont="1" applyFill="1" applyBorder="1" applyAlignment="1" applyProtection="1">
      <alignment vertical="center"/>
    </xf>
    <xf numFmtId="0" fontId="74" fillId="10" borderId="5" xfId="4" applyFont="1" applyFill="1" applyBorder="1" applyAlignment="1" applyProtection="1">
      <alignment horizontal="center" vertical="center"/>
    </xf>
    <xf numFmtId="0" fontId="69" fillId="10" borderId="5" xfId="4" applyFont="1" applyFill="1" applyBorder="1" applyAlignment="1" applyProtection="1">
      <alignment horizontal="center" vertical="center" wrapText="1"/>
    </xf>
    <xf numFmtId="0" fontId="74" fillId="0" borderId="0" xfId="4" applyFont="1" applyFill="1" applyAlignment="1" applyProtection="1">
      <alignment horizontal="center"/>
    </xf>
    <xf numFmtId="0" fontId="69" fillId="0" borderId="0" xfId="4" applyFont="1" applyFill="1" applyProtection="1"/>
    <xf numFmtId="168" fontId="5" fillId="0" borderId="0" xfId="4" applyNumberFormat="1" applyFont="1" applyFill="1" applyProtection="1"/>
    <xf numFmtId="168" fontId="5" fillId="0" borderId="0" xfId="2" applyNumberFormat="1" applyFont="1" applyFill="1" applyProtection="1"/>
    <xf numFmtId="0" fontId="75" fillId="0" borderId="0" xfId="4" applyFont="1" applyFill="1" applyProtection="1"/>
    <xf numFmtId="0" fontId="70" fillId="0" borderId="0" xfId="4" applyFont="1" applyFill="1" applyProtection="1"/>
    <xf numFmtId="0" fontId="76" fillId="0" borderId="0" xfId="4" applyFont="1" applyFill="1" applyProtection="1"/>
    <xf numFmtId="0" fontId="68" fillId="0" borderId="0" xfId="4" applyFont="1" applyFill="1" applyAlignment="1" applyProtection="1">
      <alignment vertical="center"/>
    </xf>
    <xf numFmtId="0" fontId="68" fillId="0" borderId="0" xfId="4" applyFont="1" applyFill="1" applyProtection="1"/>
    <xf numFmtId="0" fontId="5" fillId="0" borderId="0" xfId="4" applyFont="1" applyFill="1" applyAlignment="1" applyProtection="1">
      <alignment vertical="center"/>
    </xf>
    <xf numFmtId="0" fontId="4" fillId="0" borderId="11" xfId="0" applyFont="1" applyBorder="1" applyAlignment="1">
      <alignment horizontal="center" vertical="center" wrapText="1"/>
    </xf>
    <xf numFmtId="0" fontId="4" fillId="0" borderId="14" xfId="0" applyFont="1" applyBorder="1" applyAlignment="1">
      <alignment horizontal="center" vertical="center" wrapText="1"/>
    </xf>
    <xf numFmtId="4" fontId="4" fillId="6" borderId="11" xfId="0" applyNumberFormat="1" applyFont="1" applyFill="1" applyBorder="1" applyAlignment="1" applyProtection="1">
      <alignment vertical="center" wrapText="1"/>
      <protection locked="0"/>
    </xf>
    <xf numFmtId="0" fontId="4" fillId="0" borderId="17" xfId="0" applyFont="1" applyBorder="1" applyAlignment="1">
      <alignment horizontal="center" vertical="center"/>
    </xf>
    <xf numFmtId="0" fontId="4" fillId="0" borderId="14" xfId="0" applyFont="1" applyBorder="1" applyAlignment="1">
      <alignment horizontal="center" vertical="center"/>
    </xf>
    <xf numFmtId="0" fontId="2" fillId="0" borderId="18" xfId="0" applyFont="1" applyBorder="1" applyAlignment="1">
      <alignment vertical="center" wrapText="1"/>
    </xf>
    <xf numFmtId="0" fontId="4" fillId="0" borderId="8" xfId="0" applyFont="1" applyBorder="1" applyAlignment="1">
      <alignment horizontal="center" vertical="center"/>
    </xf>
    <xf numFmtId="0" fontId="3" fillId="0" borderId="0" xfId="0" applyFont="1" applyFill="1" applyAlignment="1">
      <alignment horizontal="right" vertical="center" wrapText="1"/>
    </xf>
    <xf numFmtId="0" fontId="47" fillId="0" borderId="0" xfId="0" applyFont="1" applyAlignment="1">
      <alignment vertical="center"/>
    </xf>
    <xf numFmtId="0" fontId="47" fillId="0" borderId="0" xfId="0" applyFont="1" applyAlignment="1">
      <alignment horizontal="right" vertical="center" wrapText="1"/>
    </xf>
    <xf numFmtId="0" fontId="6" fillId="0" borderId="0" xfId="0" applyFont="1" applyAlignment="1">
      <alignment horizontal="right" vertical="center" wrapText="1"/>
    </xf>
    <xf numFmtId="4" fontId="77" fillId="10" borderId="5" xfId="0" applyNumberFormat="1" applyFont="1" applyFill="1" applyBorder="1" applyAlignment="1" applyProtection="1">
      <alignment horizontal="right" vertical="center"/>
    </xf>
    <xf numFmtId="4" fontId="4" fillId="6" borderId="5" xfId="2" applyNumberFormat="1" applyFont="1" applyFill="1" applyBorder="1" applyAlignment="1" applyProtection="1">
      <alignment horizontal="right" vertical="center"/>
      <protection locked="0"/>
    </xf>
    <xf numFmtId="0" fontId="4" fillId="0" borderId="17" xfId="0" applyFont="1" applyBorder="1" applyAlignment="1" applyProtection="1">
      <alignment horizontal="center" wrapText="1"/>
    </xf>
    <xf numFmtId="0" fontId="6" fillId="0" borderId="14" xfId="0" applyFont="1" applyBorder="1" applyAlignment="1" applyProtection="1">
      <alignment horizontal="center" vertical="center" wrapText="1"/>
    </xf>
    <xf numFmtId="0" fontId="78" fillId="10" borderId="7" xfId="0" applyFont="1" applyFill="1" applyBorder="1" applyAlignment="1" applyProtection="1">
      <alignment horizontal="left" vertical="center" wrapText="1"/>
    </xf>
    <xf numFmtId="0" fontId="47" fillId="0" borderId="0" xfId="0" applyFont="1" applyAlignment="1" applyProtection="1">
      <alignment horizontal="right" vertical="center"/>
    </xf>
    <xf numFmtId="0" fontId="4" fillId="0" borderId="37" xfId="0" applyFont="1" applyFill="1" applyBorder="1" applyAlignment="1" applyProtection="1">
      <alignment horizontal="left" vertical="center" wrapText="1"/>
    </xf>
    <xf numFmtId="4" fontId="4" fillId="6" borderId="6" xfId="2" applyNumberFormat="1" applyFont="1" applyFill="1" applyBorder="1" applyAlignment="1" applyProtection="1">
      <alignment horizontal="right" vertical="center"/>
      <protection locked="0"/>
    </xf>
    <xf numFmtId="0" fontId="47" fillId="0" borderId="0" xfId="0" applyFont="1" applyAlignment="1" applyProtection="1">
      <alignment horizontal="right" vertical="center" wrapText="1"/>
    </xf>
    <xf numFmtId="0" fontId="33" fillId="0" borderId="0" xfId="0" applyFont="1" applyAlignment="1" applyProtection="1">
      <alignment vertical="top"/>
    </xf>
    <xf numFmtId="0" fontId="4" fillId="0" borderId="0" xfId="0" applyFont="1" applyBorder="1" applyAlignment="1" applyProtection="1">
      <alignment horizontal="right" vertical="center" wrapText="1"/>
    </xf>
    <xf numFmtId="11" fontId="4" fillId="0" borderId="0" xfId="0" applyNumberFormat="1" applyFont="1" applyBorder="1" applyAlignment="1" applyProtection="1">
      <alignment vertical="top" wrapText="1"/>
    </xf>
    <xf numFmtId="0" fontId="11" fillId="9" borderId="0" xfId="0" applyFont="1" applyFill="1" applyBorder="1" applyAlignment="1" applyProtection="1">
      <alignment vertical="top"/>
    </xf>
    <xf numFmtId="0" fontId="11" fillId="0" borderId="0" xfId="0" applyFont="1" applyFill="1" applyBorder="1" applyAlignment="1" applyProtection="1">
      <alignment vertical="top" wrapText="1"/>
    </xf>
    <xf numFmtId="0" fontId="11" fillId="0" borderId="0" xfId="0" applyFont="1" applyFill="1" applyBorder="1" applyAlignment="1" applyProtection="1">
      <alignment vertical="top"/>
    </xf>
    <xf numFmtId="0" fontId="33" fillId="0" borderId="0" xfId="0" applyFont="1" applyBorder="1" applyAlignment="1" applyProtection="1">
      <alignment vertical="top" wrapText="1"/>
    </xf>
    <xf numFmtId="0" fontId="4" fillId="0" borderId="0" xfId="0" applyFont="1" applyBorder="1" applyAlignment="1" applyProtection="1">
      <alignment vertical="top"/>
    </xf>
    <xf numFmtId="0" fontId="4" fillId="0" borderId="0" xfId="0" applyFont="1" applyAlignment="1" applyProtection="1">
      <alignment vertical="top"/>
    </xf>
    <xf numFmtId="3" fontId="4" fillId="0" borderId="0" xfId="0" applyNumberFormat="1" applyFont="1" applyFill="1" applyBorder="1" applyAlignment="1" applyProtection="1">
      <alignment vertical="center"/>
    </xf>
    <xf numFmtId="4" fontId="4" fillId="0" borderId="0" xfId="0" applyNumberFormat="1" applyFont="1" applyFill="1" applyBorder="1" applyAlignment="1" applyProtection="1">
      <alignment vertical="center"/>
    </xf>
    <xf numFmtId="3" fontId="6" fillId="0" borderId="0" xfId="0" applyNumberFormat="1" applyFont="1" applyFill="1" applyBorder="1" applyAlignment="1" applyProtection="1">
      <alignment vertical="center"/>
    </xf>
    <xf numFmtId="4" fontId="6" fillId="0" borderId="0" xfId="0" applyNumberFormat="1" applyFont="1" applyFill="1" applyBorder="1" applyAlignment="1" applyProtection="1">
      <alignment vertical="center"/>
    </xf>
    <xf numFmtId="0" fontId="4" fillId="0" borderId="0" xfId="0" applyFont="1" applyFill="1" applyBorder="1" applyAlignment="1" applyProtection="1">
      <alignment vertical="top"/>
    </xf>
    <xf numFmtId="0" fontId="3" fillId="10" borderId="0" xfId="4" applyFont="1" applyFill="1"/>
    <xf numFmtId="0" fontId="2" fillId="10" borderId="0" xfId="4" applyFill="1"/>
    <xf numFmtId="3" fontId="25" fillId="10" borderId="24" xfId="6" quotePrefix="1" applyNumberFormat="1" applyFont="1" applyFill="1" applyBorder="1" applyAlignment="1" applyProtection="1">
      <alignment horizontal="center" vertical="center"/>
      <protection locked="0"/>
    </xf>
    <xf numFmtId="3" fontId="27" fillId="10" borderId="46" xfId="6" applyNumberFormat="1" applyFont="1" applyFill="1" applyBorder="1" applyAlignment="1" applyProtection="1">
      <alignment vertical="center"/>
    </xf>
    <xf numFmtId="3" fontId="25" fillId="10" borderId="13" xfId="6" applyNumberFormat="1" applyFont="1" applyFill="1" applyBorder="1" applyAlignment="1" applyProtection="1">
      <alignment vertical="center"/>
    </xf>
    <xf numFmtId="3" fontId="25" fillId="10" borderId="13" xfId="6" applyNumberFormat="1" applyFont="1" applyFill="1" applyBorder="1" applyAlignment="1" applyProtection="1">
      <alignment horizontal="center" vertical="center"/>
    </xf>
    <xf numFmtId="3" fontId="27" fillId="10" borderId="16" xfId="6" applyNumberFormat="1" applyFont="1" applyFill="1" applyBorder="1" applyAlignment="1" applyProtection="1">
      <alignment vertical="center"/>
    </xf>
    <xf numFmtId="3" fontId="27" fillId="10" borderId="36" xfId="6" applyNumberFormat="1" applyFont="1" applyFill="1" applyBorder="1" applyAlignment="1" applyProtection="1">
      <alignment vertical="center"/>
    </xf>
    <xf numFmtId="3" fontId="26" fillId="10" borderId="31" xfId="6" quotePrefix="1" applyNumberFormat="1" applyFont="1" applyFill="1" applyBorder="1" applyAlignment="1" applyProtection="1">
      <alignment horizontal="center" vertical="center"/>
    </xf>
    <xf numFmtId="3" fontId="26" fillId="10" borderId="30" xfId="6" quotePrefix="1" applyNumberFormat="1" applyFont="1" applyFill="1" applyBorder="1" applyAlignment="1" applyProtection="1">
      <alignment horizontal="center" vertical="center"/>
    </xf>
    <xf numFmtId="3" fontId="26" fillId="10" borderId="61" xfId="6" quotePrefix="1" applyNumberFormat="1" applyFont="1" applyFill="1" applyBorder="1" applyAlignment="1" applyProtection="1">
      <alignment horizontal="center" vertical="center"/>
    </xf>
    <xf numFmtId="3" fontId="27" fillId="10" borderId="21" xfId="6" applyNumberFormat="1" applyFont="1" applyFill="1" applyBorder="1" applyAlignment="1" applyProtection="1">
      <alignment vertical="center"/>
    </xf>
    <xf numFmtId="3" fontId="27" fillId="10" borderId="12" xfId="6" applyNumberFormat="1" applyFont="1" applyFill="1" applyBorder="1" applyAlignment="1" applyProtection="1">
      <alignment vertical="center"/>
    </xf>
    <xf numFmtId="3" fontId="25" fillId="10" borderId="19" xfId="6" quotePrefix="1" applyNumberFormat="1" applyFont="1" applyFill="1" applyBorder="1" applyAlignment="1" applyProtection="1">
      <alignment horizontal="center" vertical="center"/>
      <protection locked="0"/>
    </xf>
    <xf numFmtId="3" fontId="25" fillId="10" borderId="20" xfId="6" quotePrefix="1" applyNumberFormat="1" applyFont="1" applyFill="1" applyBorder="1" applyAlignment="1" applyProtection="1">
      <alignment horizontal="center" vertical="center"/>
      <protection locked="0"/>
    </xf>
    <xf numFmtId="3" fontId="26" fillId="10" borderId="39" xfId="6" applyNumberFormat="1" applyFont="1" applyFill="1" applyBorder="1" applyAlignment="1" applyProtection="1">
      <alignment horizontal="right" vertical="center"/>
      <protection locked="0"/>
    </xf>
    <xf numFmtId="0" fontId="4" fillId="0" borderId="0" xfId="0" applyFont="1" applyFill="1" applyBorder="1" applyAlignment="1">
      <alignment horizontal="right" vertical="center"/>
    </xf>
    <xf numFmtId="0" fontId="4" fillId="0" borderId="0" xfId="0" applyFont="1" applyFill="1" applyBorder="1" applyAlignment="1">
      <alignment vertical="center"/>
    </xf>
    <xf numFmtId="0" fontId="4" fillId="0" borderId="0" xfId="2" applyNumberFormat="1" applyFont="1" applyFill="1" applyBorder="1" applyAlignment="1">
      <alignment horizontal="right" vertical="center"/>
    </xf>
    <xf numFmtId="0" fontId="4" fillId="0" borderId="0" xfId="0" applyFont="1" applyFill="1" applyBorder="1" applyAlignment="1" applyProtection="1">
      <alignment horizontal="right" vertical="center"/>
      <protection locked="0"/>
    </xf>
    <xf numFmtId="0" fontId="4" fillId="0" borderId="0" xfId="0" applyFont="1" applyFill="1" applyBorder="1" applyAlignment="1" applyProtection="1">
      <alignment vertical="center"/>
      <protection locked="0"/>
    </xf>
    <xf numFmtId="0" fontId="52" fillId="0" borderId="0" xfId="0" applyFont="1" applyFill="1" applyBorder="1" applyAlignment="1">
      <alignment vertical="center"/>
    </xf>
    <xf numFmtId="0" fontId="52" fillId="0" borderId="0" xfId="0" applyFont="1" applyFill="1" applyBorder="1" applyAlignment="1">
      <alignment horizontal="right" vertical="center"/>
    </xf>
    <xf numFmtId="0" fontId="72" fillId="0" borderId="0" xfId="0" applyFont="1" applyBorder="1" applyAlignment="1">
      <alignment horizontal="right"/>
    </xf>
    <xf numFmtId="0" fontId="72" fillId="0" borderId="0" xfId="0" applyFont="1" applyBorder="1" applyAlignment="1"/>
    <xf numFmtId="0" fontId="25" fillId="10" borderId="5" xfId="0" applyFont="1" applyFill="1" applyBorder="1" applyAlignment="1" applyProtection="1">
      <alignment horizontal="right" vertical="top" wrapText="1"/>
    </xf>
    <xf numFmtId="3" fontId="6" fillId="7" borderId="58" xfId="0" applyNumberFormat="1" applyFont="1" applyFill="1" applyBorder="1" applyAlignment="1">
      <alignment vertical="center" wrapText="1"/>
    </xf>
    <xf numFmtId="0" fontId="4" fillId="7" borderId="37" xfId="0" quotePrefix="1" applyFont="1" applyFill="1" applyBorder="1" applyAlignment="1">
      <alignment horizontal="center" vertical="top" wrapText="1"/>
    </xf>
    <xf numFmtId="11" fontId="4" fillId="0" borderId="17" xfId="0" applyNumberFormat="1" applyFont="1" applyBorder="1" applyAlignment="1">
      <alignment vertical="top" wrapText="1"/>
    </xf>
    <xf numFmtId="0" fontId="4" fillId="7" borderId="15" xfId="0" applyFont="1" applyFill="1" applyBorder="1" applyAlignment="1">
      <alignment horizontal="center" vertical="top" wrapText="1"/>
    </xf>
    <xf numFmtId="0" fontId="4" fillId="7" borderId="13" xfId="0" applyFont="1" applyFill="1" applyBorder="1" applyAlignment="1">
      <alignment horizontal="center" vertical="top" wrapText="1"/>
    </xf>
    <xf numFmtId="0" fontId="4" fillId="7" borderId="24" xfId="0" quotePrefix="1" applyFont="1" applyFill="1" applyBorder="1" applyAlignment="1">
      <alignment horizontal="center" vertical="top" wrapText="1"/>
    </xf>
    <xf numFmtId="4" fontId="4" fillId="17" borderId="10" xfId="4" applyNumberFormat="1" applyFont="1" applyFill="1" applyBorder="1" applyAlignment="1" applyProtection="1">
      <alignment vertical="center" wrapText="1"/>
    </xf>
    <xf numFmtId="4" fontId="6" fillId="17" borderId="25" xfId="4" applyNumberFormat="1" applyFont="1" applyFill="1" applyBorder="1" applyProtection="1"/>
    <xf numFmtId="0" fontId="4" fillId="0" borderId="27" xfId="4" applyFont="1" applyBorder="1" applyAlignment="1">
      <alignment vertical="top" wrapText="1"/>
    </xf>
    <xf numFmtId="0" fontId="6" fillId="11" borderId="28" xfId="4" applyFont="1" applyFill="1" applyBorder="1" applyAlignment="1">
      <alignment vertical="top" wrapText="1"/>
    </xf>
    <xf numFmtId="3" fontId="13" fillId="10" borderId="15" xfId="6" applyNumberFormat="1" applyFont="1" applyFill="1" applyBorder="1" applyAlignment="1" applyProtection="1">
      <alignment horizontal="center"/>
    </xf>
    <xf numFmtId="3" fontId="13" fillId="10" borderId="13" xfId="6" applyNumberFormat="1" applyFont="1" applyFill="1" applyBorder="1" applyAlignment="1" applyProtection="1">
      <alignment horizontal="center"/>
    </xf>
    <xf numFmtId="3" fontId="25" fillId="19" borderId="5" xfId="6" applyNumberFormat="1" applyFont="1" applyFill="1" applyBorder="1" applyAlignment="1" applyProtection="1">
      <alignment vertical="center"/>
      <protection locked="0"/>
    </xf>
    <xf numFmtId="3" fontId="25" fillId="19" borderId="27" xfId="6" applyNumberFormat="1" applyFont="1" applyFill="1" applyBorder="1" applyAlignment="1" applyProtection="1">
      <alignment vertical="center"/>
      <protection locked="0"/>
    </xf>
    <xf numFmtId="3" fontId="25" fillId="19" borderId="14" xfId="6" applyNumberFormat="1" applyFont="1" applyFill="1" applyBorder="1" applyAlignment="1" applyProtection="1">
      <alignment vertical="center"/>
      <protection locked="0"/>
    </xf>
    <xf numFmtId="3" fontId="25" fillId="19" borderId="42" xfId="6" applyNumberFormat="1" applyFont="1" applyFill="1" applyBorder="1" applyAlignment="1" applyProtection="1">
      <alignment vertical="center"/>
      <protection locked="0"/>
    </xf>
    <xf numFmtId="3" fontId="25" fillId="19" borderId="10" xfId="6" applyNumberFormat="1" applyFont="1" applyFill="1" applyBorder="1" applyAlignment="1" applyProtection="1">
      <alignment vertical="center"/>
      <protection locked="0"/>
    </xf>
    <xf numFmtId="3" fontId="25" fillId="19" borderId="43" xfId="6" applyNumberFormat="1" applyFont="1" applyFill="1" applyBorder="1" applyAlignment="1" applyProtection="1">
      <alignment vertical="center"/>
      <protection locked="0"/>
    </xf>
    <xf numFmtId="3" fontId="25" fillId="19" borderId="6" xfId="6" applyNumberFormat="1" applyFont="1" applyFill="1" applyBorder="1" applyAlignment="1" applyProtection="1">
      <alignment vertical="center"/>
      <protection locked="0"/>
    </xf>
    <xf numFmtId="3" fontId="25" fillId="19" borderId="47" xfId="6" applyNumberFormat="1" applyFont="1" applyFill="1" applyBorder="1" applyAlignment="1" applyProtection="1">
      <alignment vertical="center"/>
      <protection locked="0"/>
    </xf>
    <xf numFmtId="3" fontId="25" fillId="19" borderId="7" xfId="6" applyNumberFormat="1" applyFont="1" applyFill="1" applyBorder="1" applyAlignment="1" applyProtection="1">
      <alignment vertical="center"/>
      <protection locked="0"/>
    </xf>
    <xf numFmtId="3" fontId="25" fillId="19" borderId="13" xfId="6" applyNumberFormat="1" applyFont="1" applyFill="1" applyBorder="1" applyAlignment="1" applyProtection="1">
      <alignment vertical="center"/>
      <protection locked="0"/>
    </xf>
    <xf numFmtId="0" fontId="79" fillId="0" borderId="5" xfId="4" applyFont="1" applyFill="1" applyBorder="1" applyAlignment="1" applyProtection="1">
      <alignment horizontal="left" vertical="center" wrapText="1" readingOrder="1"/>
    </xf>
    <xf numFmtId="168" fontId="79" fillId="10" borderId="5" xfId="2" applyNumberFormat="1" applyFont="1" applyFill="1" applyBorder="1" applyAlignment="1" applyProtection="1">
      <alignment vertical="center" wrapText="1"/>
    </xf>
    <xf numFmtId="168" fontId="79" fillId="18" borderId="5" xfId="2" applyNumberFormat="1" applyFont="1" applyFill="1" applyBorder="1" applyAlignment="1" applyProtection="1">
      <alignment horizontal="center" vertical="center" wrapText="1" readingOrder="1"/>
      <protection locked="0"/>
    </xf>
    <xf numFmtId="168" fontId="79" fillId="10" borderId="43" xfId="2" applyNumberFormat="1" applyFont="1" applyFill="1" applyBorder="1" applyAlignment="1" applyProtection="1">
      <alignment horizontal="center" vertical="center" wrapText="1" readingOrder="1"/>
    </xf>
    <xf numFmtId="0" fontId="80" fillId="0" borderId="5" xfId="4" applyFont="1" applyFill="1" applyBorder="1" applyAlignment="1" applyProtection="1">
      <alignment horizontal="left" vertical="center" wrapText="1" readingOrder="1"/>
    </xf>
    <xf numFmtId="164" fontId="80" fillId="10" borderId="5" xfId="2" applyNumberFormat="1" applyFont="1" applyFill="1" applyBorder="1" applyAlignment="1" applyProtection="1">
      <alignment vertical="center" wrapText="1"/>
    </xf>
    <xf numFmtId="164" fontId="80" fillId="10" borderId="5" xfId="2" applyNumberFormat="1" applyFont="1" applyFill="1" applyBorder="1" applyAlignment="1" applyProtection="1">
      <alignment horizontal="center" vertical="center" wrapText="1" readingOrder="1"/>
    </xf>
    <xf numFmtId="164" fontId="80" fillId="10" borderId="43" xfId="2" applyNumberFormat="1" applyFont="1" applyFill="1" applyBorder="1" applyAlignment="1" applyProtection="1">
      <alignment horizontal="center" vertical="center" wrapText="1" readingOrder="1"/>
    </xf>
    <xf numFmtId="0" fontId="79" fillId="0" borderId="5" xfId="4" quotePrefix="1" applyFont="1" applyFill="1" applyBorder="1" applyAlignment="1" applyProtection="1">
      <alignment horizontal="left" vertical="center" wrapText="1" readingOrder="1"/>
    </xf>
    <xf numFmtId="168" fontId="79" fillId="18" borderId="5" xfId="2" quotePrefix="1" applyNumberFormat="1" applyFont="1" applyFill="1" applyBorder="1" applyAlignment="1" applyProtection="1">
      <alignment horizontal="left" vertical="center" wrapText="1" readingOrder="1"/>
      <protection locked="0"/>
    </xf>
    <xf numFmtId="168" fontId="81" fillId="10" borderId="5" xfId="2" applyNumberFormat="1" applyFont="1" applyFill="1" applyBorder="1" applyAlignment="1" applyProtection="1">
      <alignment horizontal="center" vertical="center" wrapText="1" readingOrder="1"/>
    </xf>
    <xf numFmtId="0" fontId="82" fillId="0" borderId="5" xfId="4" applyFont="1" applyFill="1" applyBorder="1" applyAlignment="1" applyProtection="1">
      <alignment horizontal="left" vertical="center" wrapText="1" readingOrder="1"/>
    </xf>
    <xf numFmtId="168" fontId="80" fillId="10" borderId="5" xfId="2" applyNumberFormat="1" applyFont="1" applyFill="1" applyBorder="1" applyAlignment="1" applyProtection="1">
      <alignment vertical="center" wrapText="1"/>
    </xf>
    <xf numFmtId="168" fontId="83" fillId="10" borderId="5" xfId="2" applyNumberFormat="1" applyFont="1" applyFill="1" applyBorder="1" applyAlignment="1" applyProtection="1">
      <alignment horizontal="center" vertical="center" wrapText="1" readingOrder="1"/>
    </xf>
    <xf numFmtId="168" fontId="82" fillId="10" borderId="43" xfId="2" applyNumberFormat="1" applyFont="1" applyFill="1" applyBorder="1" applyAlignment="1" applyProtection="1">
      <alignment horizontal="center" vertical="center" wrapText="1" readingOrder="1"/>
    </xf>
    <xf numFmtId="164" fontId="84" fillId="10" borderId="5" xfId="2" applyNumberFormat="1" applyFont="1" applyFill="1" applyBorder="1" applyAlignment="1" applyProtection="1">
      <alignment horizontal="center" vertical="center" wrapText="1"/>
    </xf>
    <xf numFmtId="164" fontId="84" fillId="0" borderId="5" xfId="2" applyNumberFormat="1" applyFont="1" applyFill="1" applyBorder="1" applyAlignment="1" applyProtection="1">
      <alignment horizontal="center" vertical="center" wrapText="1" readingOrder="1"/>
    </xf>
    <xf numFmtId="164" fontId="84" fillId="10" borderId="43" xfId="2" applyNumberFormat="1" applyFont="1" applyFill="1" applyBorder="1" applyAlignment="1" applyProtection="1">
      <alignment horizontal="center" vertical="center" wrapText="1" readingOrder="1"/>
    </xf>
    <xf numFmtId="168" fontId="85" fillId="0" borderId="5" xfId="2" applyNumberFormat="1" applyFont="1" applyFill="1" applyBorder="1" applyAlignment="1" applyProtection="1">
      <alignment horizontal="center" vertical="center" wrapText="1" readingOrder="1"/>
    </xf>
    <xf numFmtId="168" fontId="79" fillId="18" borderId="43" xfId="2" applyNumberFormat="1" applyFont="1" applyFill="1" applyBorder="1" applyAlignment="1" applyProtection="1">
      <alignment horizontal="center" vertical="center" wrapText="1" readingOrder="1"/>
      <protection locked="0"/>
    </xf>
    <xf numFmtId="168" fontId="79" fillId="10" borderId="5" xfId="2" applyNumberFormat="1" applyFont="1" applyFill="1" applyBorder="1" applyAlignment="1" applyProtection="1">
      <alignment horizontal="center" vertical="center" wrapText="1"/>
    </xf>
    <xf numFmtId="168" fontId="79" fillId="0" borderId="5" xfId="2" applyNumberFormat="1" applyFont="1" applyFill="1" applyBorder="1" applyAlignment="1" applyProtection="1">
      <alignment horizontal="center" vertical="center" wrapText="1" readingOrder="1"/>
    </xf>
    <xf numFmtId="168" fontId="79" fillId="10" borderId="47" xfId="2" applyNumberFormat="1" applyFont="1" applyFill="1" applyBorder="1" applyAlignment="1" applyProtection="1">
      <alignment horizontal="center" vertical="center" wrapText="1" readingOrder="1"/>
    </xf>
    <xf numFmtId="168" fontId="79" fillId="0" borderId="43" xfId="2" applyNumberFormat="1" applyFont="1" applyFill="1" applyBorder="1" applyAlignment="1" applyProtection="1">
      <alignment horizontal="center" vertical="center" wrapText="1" readingOrder="1"/>
    </xf>
    <xf numFmtId="168" fontId="79" fillId="10" borderId="56" xfId="2" applyNumberFormat="1" applyFont="1" applyFill="1" applyBorder="1" applyAlignment="1" applyProtection="1">
      <alignment horizontal="center" vertical="center" wrapText="1" readingOrder="1"/>
    </xf>
    <xf numFmtId="168" fontId="79" fillId="10" borderId="18" xfId="2" applyNumberFormat="1" applyFont="1" applyFill="1" applyBorder="1" applyAlignment="1" applyProtection="1">
      <alignment horizontal="center" vertical="center" wrapText="1" readingOrder="1"/>
    </xf>
    <xf numFmtId="0" fontId="84" fillId="0" borderId="5" xfId="4" applyFont="1" applyFill="1" applyBorder="1" applyAlignment="1" applyProtection="1">
      <alignment horizontal="left" vertical="center" wrapText="1" readingOrder="1"/>
    </xf>
    <xf numFmtId="168" fontId="84" fillId="10" borderId="5" xfId="2" applyNumberFormat="1" applyFont="1" applyFill="1" applyBorder="1" applyAlignment="1" applyProtection="1">
      <alignment horizontal="center" vertical="center" wrapText="1"/>
    </xf>
    <xf numFmtId="168" fontId="84" fillId="0" borderId="43" xfId="2" applyNumberFormat="1" applyFont="1" applyFill="1" applyBorder="1" applyAlignment="1" applyProtection="1">
      <alignment horizontal="center" vertical="center" wrapText="1" readingOrder="1"/>
    </xf>
    <xf numFmtId="168" fontId="84" fillId="10" borderId="57" xfId="2" applyNumberFormat="1" applyFont="1" applyFill="1" applyBorder="1" applyAlignment="1" applyProtection="1">
      <alignment horizontal="center" vertical="center" wrapText="1" readingOrder="1"/>
    </xf>
    <xf numFmtId="167" fontId="79" fillId="10" borderId="43" xfId="2" applyNumberFormat="1" applyFont="1" applyFill="1" applyBorder="1" applyAlignment="1" applyProtection="1">
      <alignment horizontal="center" vertical="center" wrapText="1" readingOrder="1"/>
    </xf>
    <xf numFmtId="0" fontId="4" fillId="5" borderId="43" xfId="4" applyFont="1" applyFill="1" applyBorder="1" applyAlignment="1" applyProtection="1">
      <alignment horizontal="left" vertical="top" wrapText="1"/>
      <protection locked="0"/>
    </xf>
    <xf numFmtId="0" fontId="4" fillId="5" borderId="2" xfId="4" applyFont="1" applyFill="1" applyBorder="1" applyAlignment="1" applyProtection="1">
      <alignment horizontal="left" vertical="top" wrapText="1"/>
      <protection locked="0"/>
    </xf>
    <xf numFmtId="0" fontId="4" fillId="5" borderId="10" xfId="4" applyFont="1" applyFill="1" applyBorder="1" applyAlignment="1" applyProtection="1">
      <alignment horizontal="left" vertical="top" wrapText="1"/>
      <protection locked="0"/>
    </xf>
    <xf numFmtId="4" fontId="4" fillId="13" borderId="5" xfId="0" quotePrefix="1" applyNumberFormat="1" applyFont="1" applyFill="1" applyBorder="1" applyAlignment="1" applyProtection="1">
      <alignment horizontal="center" vertical="center"/>
      <protection locked="0"/>
    </xf>
    <xf numFmtId="4" fontId="4" fillId="13" borderId="13" xfId="0" quotePrefix="1" applyNumberFormat="1" applyFont="1" applyFill="1" applyBorder="1" applyAlignment="1" applyProtection="1">
      <alignment horizontal="center" vertical="center"/>
      <protection locked="0"/>
    </xf>
    <xf numFmtId="4" fontId="4" fillId="13" borderId="5" xfId="2" applyNumberFormat="1" applyFont="1" applyFill="1" applyBorder="1" applyAlignment="1" applyProtection="1">
      <alignment horizontal="right" vertical="center"/>
      <protection locked="0"/>
    </xf>
    <xf numFmtId="4" fontId="4" fillId="13" borderId="13" xfId="2" applyNumberFormat="1" applyFont="1" applyFill="1" applyBorder="1" applyAlignment="1" applyProtection="1">
      <alignment horizontal="right" vertical="center"/>
      <protection locked="0"/>
    </xf>
    <xf numFmtId="4" fontId="4" fillId="13" borderId="6" xfId="2" applyNumberFormat="1" applyFont="1" applyFill="1" applyBorder="1" applyAlignment="1" applyProtection="1">
      <alignment horizontal="right" vertical="center"/>
      <protection locked="0"/>
    </xf>
    <xf numFmtId="4" fontId="4" fillId="13" borderId="23" xfId="2" applyNumberFormat="1" applyFont="1" applyFill="1" applyBorder="1" applyAlignment="1" applyProtection="1">
      <alignment horizontal="right" vertical="center"/>
      <protection locked="0"/>
    </xf>
    <xf numFmtId="0" fontId="78" fillId="10" borderId="5" xfId="0" applyFont="1" applyFill="1" applyBorder="1" applyAlignment="1" applyProtection="1">
      <alignment horizontal="left" vertical="center" wrapText="1"/>
    </xf>
    <xf numFmtId="0" fontId="4" fillId="0" borderId="0" xfId="6" applyFont="1" applyBorder="1" applyAlignment="1">
      <alignment horizontal="center"/>
    </xf>
    <xf numFmtId="3" fontId="27" fillId="10" borderId="5" xfId="6" applyNumberFormat="1" applyFont="1" applyFill="1" applyBorder="1" applyAlignment="1">
      <alignment vertical="center"/>
    </xf>
    <xf numFmtId="3" fontId="27" fillId="10" borderId="5" xfId="6" applyNumberFormat="1" applyFont="1" applyFill="1" applyBorder="1" applyAlignment="1">
      <alignment vertical="center" wrapText="1"/>
    </xf>
    <xf numFmtId="3" fontId="25" fillId="10" borderId="5" xfId="6" applyNumberFormat="1" applyFont="1" applyFill="1" applyBorder="1" applyAlignment="1">
      <alignment horizontal="right" vertical="center" wrapText="1"/>
    </xf>
    <xf numFmtId="3" fontId="27" fillId="10" borderId="20" xfId="6" applyNumberFormat="1" applyFont="1" applyFill="1" applyBorder="1" applyAlignment="1">
      <alignment vertical="center"/>
    </xf>
    <xf numFmtId="3" fontId="27" fillId="10" borderId="0" xfId="6" applyNumberFormat="1" applyFont="1" applyFill="1" applyBorder="1" applyAlignment="1">
      <alignment vertical="center"/>
    </xf>
    <xf numFmtId="0" fontId="4" fillId="10" borderId="12" xfId="0" applyFont="1" applyFill="1" applyBorder="1" applyAlignment="1">
      <alignment vertical="top" wrapText="1"/>
    </xf>
    <xf numFmtId="0" fontId="6" fillId="10" borderId="32" xfId="6" applyFont="1" applyFill="1" applyBorder="1" applyAlignment="1">
      <alignment horizontal="center"/>
    </xf>
    <xf numFmtId="0" fontId="6" fillId="10" borderId="30" xfId="6" applyFont="1" applyFill="1" applyBorder="1" applyAlignment="1">
      <alignment horizontal="center"/>
    </xf>
    <xf numFmtId="0" fontId="6" fillId="10" borderId="26" xfId="6" applyFont="1" applyFill="1" applyBorder="1" applyAlignment="1">
      <alignment horizontal="center"/>
    </xf>
    <xf numFmtId="0" fontId="6" fillId="10" borderId="62" xfId="6" applyFont="1" applyFill="1" applyBorder="1" applyAlignment="1">
      <alignment horizontal="center" vertical="center"/>
    </xf>
    <xf numFmtId="0" fontId="6" fillId="10" borderId="40" xfId="6" applyFont="1" applyFill="1" applyBorder="1" applyAlignment="1">
      <alignment horizontal="center" vertical="center"/>
    </xf>
    <xf numFmtId="0" fontId="6" fillId="10" borderId="41" xfId="6" applyFont="1" applyFill="1" applyBorder="1" applyAlignment="1">
      <alignment horizontal="center" vertical="center"/>
    </xf>
    <xf numFmtId="0" fontId="6" fillId="10" borderId="18" xfId="6" applyFont="1" applyFill="1" applyBorder="1" applyAlignment="1">
      <alignment horizontal="center" vertical="center"/>
    </xf>
    <xf numFmtId="0" fontId="14" fillId="10" borderId="63" xfId="6" applyFont="1" applyFill="1" applyBorder="1" applyAlignment="1">
      <alignment vertical="center"/>
    </xf>
    <xf numFmtId="0" fontId="14" fillId="10" borderId="52" xfId="6" applyFont="1" applyFill="1" applyBorder="1" applyAlignment="1">
      <alignment vertical="center"/>
    </xf>
    <xf numFmtId="0" fontId="6" fillId="10" borderId="53" xfId="6" applyFont="1" applyFill="1" applyBorder="1" applyAlignment="1">
      <alignment horizontal="center" vertical="center"/>
    </xf>
    <xf numFmtId="3" fontId="26" fillId="10" borderId="53" xfId="6" quotePrefix="1" applyNumberFormat="1" applyFont="1" applyFill="1" applyBorder="1" applyAlignment="1">
      <alignment horizontal="center" vertical="center"/>
    </xf>
    <xf numFmtId="3" fontId="26" fillId="10" borderId="53" xfId="6" applyNumberFormat="1" applyFont="1" applyFill="1" applyBorder="1" applyAlignment="1">
      <alignment horizontal="center" vertical="center"/>
    </xf>
    <xf numFmtId="3" fontId="27" fillId="10" borderId="50" xfId="6" applyNumberFormat="1" applyFont="1" applyFill="1" applyBorder="1" applyAlignment="1" applyProtection="1">
      <alignment vertical="center"/>
    </xf>
    <xf numFmtId="3" fontId="25" fillId="10" borderId="7" xfId="6" applyNumberFormat="1" applyFont="1" applyFill="1" applyBorder="1" applyAlignment="1">
      <alignment horizontal="right" vertical="center" wrapText="1"/>
    </xf>
    <xf numFmtId="3" fontId="25" fillId="10" borderId="13" xfId="6" applyNumberFormat="1" applyFont="1" applyFill="1" applyBorder="1" applyAlignment="1">
      <alignment horizontal="right" vertical="center" wrapText="1"/>
    </xf>
    <xf numFmtId="3" fontId="27" fillId="10" borderId="25" xfId="6" applyNumberFormat="1" applyFont="1" applyFill="1" applyBorder="1" applyAlignment="1" applyProtection="1">
      <alignment horizontal="center" vertical="center"/>
    </xf>
    <xf numFmtId="3" fontId="27" fillId="10" borderId="19" xfId="6" applyNumberFormat="1" applyFont="1" applyFill="1" applyBorder="1" applyAlignment="1">
      <alignment vertical="center"/>
    </xf>
    <xf numFmtId="3" fontId="27" fillId="10" borderId="24" xfId="6" applyNumberFormat="1" applyFont="1" applyFill="1" applyBorder="1" applyAlignment="1">
      <alignment vertical="center"/>
    </xf>
    <xf numFmtId="3" fontId="27" fillId="10" borderId="39" xfId="6" applyNumberFormat="1" applyFont="1" applyFill="1" applyBorder="1" applyAlignment="1" applyProtection="1">
      <alignment vertical="center"/>
    </xf>
    <xf numFmtId="0" fontId="14" fillId="10" borderId="40" xfId="6" applyFont="1" applyFill="1" applyBorder="1" applyAlignment="1">
      <alignment vertical="center"/>
    </xf>
    <xf numFmtId="3" fontId="27" fillId="10" borderId="7" xfId="6" applyNumberFormat="1" applyFont="1" applyFill="1" applyBorder="1" applyAlignment="1">
      <alignment vertical="center"/>
    </xf>
    <xf numFmtId="3" fontId="27" fillId="10" borderId="13" xfId="6" applyNumberFormat="1" applyFont="1" applyFill="1" applyBorder="1" applyAlignment="1">
      <alignment vertical="center"/>
    </xf>
    <xf numFmtId="3" fontId="27" fillId="10" borderId="25" xfId="6" applyNumberFormat="1" applyFont="1" applyFill="1" applyBorder="1" applyAlignment="1" applyProtection="1">
      <alignment vertical="center"/>
    </xf>
    <xf numFmtId="3" fontId="27" fillId="10" borderId="7" xfId="6" applyNumberFormat="1" applyFont="1" applyFill="1" applyBorder="1" applyAlignment="1">
      <alignment vertical="center" wrapText="1"/>
    </xf>
    <xf numFmtId="3" fontId="27" fillId="10" borderId="13" xfId="6" applyNumberFormat="1" applyFont="1" applyFill="1" applyBorder="1" applyAlignment="1">
      <alignment vertical="center" wrapText="1"/>
    </xf>
    <xf numFmtId="3" fontId="27" fillId="10" borderId="44" xfId="6" applyNumberFormat="1" applyFont="1" applyFill="1" applyBorder="1" applyAlignment="1" applyProtection="1">
      <alignment vertical="center"/>
    </xf>
    <xf numFmtId="3" fontId="27" fillId="10" borderId="64" xfId="6" quotePrefix="1" applyNumberFormat="1" applyFont="1" applyFill="1" applyBorder="1" applyAlignment="1" applyProtection="1">
      <alignment vertical="center"/>
    </xf>
    <xf numFmtId="3" fontId="27" fillId="10" borderId="25" xfId="6" quotePrefix="1" applyNumberFormat="1" applyFont="1" applyFill="1" applyBorder="1" applyAlignment="1" applyProtection="1">
      <alignment vertical="center"/>
    </xf>
    <xf numFmtId="0" fontId="14" fillId="10" borderId="40" xfId="6" applyFont="1" applyFill="1" applyBorder="1" applyAlignment="1">
      <alignment vertical="center" wrapText="1"/>
    </xf>
    <xf numFmtId="0" fontId="4" fillId="10" borderId="9" xfId="6" applyFont="1" applyFill="1" applyBorder="1" applyAlignment="1" applyProtection="1">
      <alignment horizontal="center" textRotation="90" wrapText="1"/>
    </xf>
    <xf numFmtId="3" fontId="25" fillId="10" borderId="14" xfId="6" applyNumberFormat="1" applyFont="1" applyFill="1" applyBorder="1" applyAlignment="1" applyProtection="1">
      <alignment vertical="center"/>
    </xf>
    <xf numFmtId="3" fontId="25" fillId="10" borderId="5" xfId="6" applyNumberFormat="1" applyFont="1" applyFill="1" applyBorder="1" applyAlignment="1" applyProtection="1">
      <alignment vertical="center"/>
    </xf>
    <xf numFmtId="3" fontId="27" fillId="10" borderId="5" xfId="6" applyNumberFormat="1" applyFont="1" applyFill="1" applyBorder="1" applyAlignment="1" applyProtection="1">
      <alignment vertical="center"/>
    </xf>
    <xf numFmtId="3" fontId="27" fillId="10" borderId="5" xfId="6" applyNumberFormat="1" applyFont="1" applyFill="1" applyBorder="1" applyAlignment="1" applyProtection="1">
      <alignment vertical="center" wrapText="1"/>
    </xf>
    <xf numFmtId="3" fontId="25" fillId="10" borderId="5" xfId="6" applyNumberFormat="1" applyFont="1" applyFill="1" applyBorder="1" applyAlignment="1" applyProtection="1">
      <alignment horizontal="right" vertical="center" wrapText="1"/>
    </xf>
    <xf numFmtId="3" fontId="27" fillId="10" borderId="20" xfId="6" applyNumberFormat="1" applyFont="1" applyFill="1" applyBorder="1" applyAlignment="1" applyProtection="1">
      <alignment vertical="center"/>
    </xf>
    <xf numFmtId="3" fontId="27" fillId="10" borderId="0" xfId="6" applyNumberFormat="1" applyFont="1" applyFill="1" applyBorder="1" applyAlignment="1" applyProtection="1">
      <alignment vertical="center"/>
    </xf>
    <xf numFmtId="0" fontId="14" fillId="10" borderId="52" xfId="6" applyFont="1" applyFill="1" applyBorder="1" applyAlignment="1" applyProtection="1">
      <alignment vertical="center"/>
    </xf>
    <xf numFmtId="0" fontId="6" fillId="10" borderId="53" xfId="6" applyFont="1" applyFill="1" applyBorder="1" applyAlignment="1" applyProtection="1">
      <alignment horizontal="center" vertical="center"/>
    </xf>
    <xf numFmtId="3" fontId="26" fillId="10" borderId="53" xfId="6" quotePrefix="1" applyNumberFormat="1" applyFont="1" applyFill="1" applyBorder="1" applyAlignment="1" applyProtection="1">
      <alignment horizontal="center" vertical="center"/>
    </xf>
    <xf numFmtId="3" fontId="26" fillId="10" borderId="53" xfId="6" applyNumberFormat="1" applyFont="1" applyFill="1" applyBorder="1" applyAlignment="1" applyProtection="1">
      <alignment horizontal="center" vertical="center"/>
    </xf>
    <xf numFmtId="3" fontId="27" fillId="10" borderId="53" xfId="6" applyNumberFormat="1" applyFont="1" applyFill="1" applyBorder="1" applyAlignment="1" applyProtection="1">
      <alignment vertical="center"/>
    </xf>
    <xf numFmtId="3" fontId="27" fillId="10" borderId="54" xfId="6" applyNumberFormat="1" applyFont="1" applyFill="1" applyBorder="1" applyAlignment="1" applyProtection="1">
      <alignment vertical="center"/>
    </xf>
    <xf numFmtId="3" fontId="26" fillId="10" borderId="13" xfId="6" quotePrefix="1" applyNumberFormat="1" applyFont="1" applyFill="1" applyBorder="1" applyAlignment="1" applyProtection="1">
      <alignment horizontal="center" vertical="center"/>
    </xf>
    <xf numFmtId="3" fontId="27" fillId="10" borderId="2" xfId="6" applyNumberFormat="1" applyFont="1" applyFill="1" applyBorder="1" applyAlignment="1" applyProtection="1">
      <alignment vertical="center"/>
    </xf>
    <xf numFmtId="3" fontId="27" fillId="10" borderId="7" xfId="6" applyNumberFormat="1" applyFont="1" applyFill="1" applyBorder="1" applyAlignment="1" applyProtection="1">
      <alignment vertical="center"/>
    </xf>
    <xf numFmtId="3" fontId="27" fillId="10" borderId="13" xfId="6" applyNumberFormat="1" applyFont="1" applyFill="1" applyBorder="1" applyAlignment="1" applyProtection="1">
      <alignment vertical="center"/>
    </xf>
    <xf numFmtId="3" fontId="27" fillId="10" borderId="7" xfId="6" applyNumberFormat="1" applyFont="1" applyFill="1" applyBorder="1" applyAlignment="1" applyProtection="1">
      <alignment vertical="center" wrapText="1"/>
    </xf>
    <xf numFmtId="3" fontId="27" fillId="10" borderId="13" xfId="6" applyNumberFormat="1" applyFont="1" applyFill="1" applyBorder="1" applyAlignment="1" applyProtection="1">
      <alignment vertical="center" wrapText="1"/>
    </xf>
    <xf numFmtId="3" fontId="27" fillId="10" borderId="10" xfId="6" applyNumberFormat="1" applyFont="1" applyFill="1" applyBorder="1" applyAlignment="1" applyProtection="1">
      <alignment vertical="center"/>
    </xf>
    <xf numFmtId="3" fontId="27" fillId="10" borderId="43" xfId="6" applyNumberFormat="1" applyFont="1" applyFill="1" applyBorder="1" applyAlignment="1" applyProtection="1">
      <alignment vertical="center"/>
    </xf>
    <xf numFmtId="3" fontId="4" fillId="10" borderId="7" xfId="6" quotePrefix="1" applyNumberFormat="1" applyFont="1" applyFill="1" applyBorder="1" applyAlignment="1" applyProtection="1">
      <alignment horizontal="center" vertical="center"/>
      <protection locked="0"/>
    </xf>
    <xf numFmtId="3" fontId="4" fillId="10" borderId="5" xfId="6" applyNumberFormat="1" applyFont="1" applyFill="1" applyBorder="1" applyAlignment="1" applyProtection="1">
      <alignment horizontal="center" vertical="center"/>
      <protection locked="0"/>
    </xf>
    <xf numFmtId="3" fontId="25" fillId="10" borderId="5" xfId="6" quotePrefix="1" applyNumberFormat="1" applyFont="1" applyFill="1" applyBorder="1" applyAlignment="1" applyProtection="1">
      <alignment horizontal="center" vertical="center"/>
      <protection locked="0"/>
    </xf>
    <xf numFmtId="3" fontId="25" fillId="10" borderId="13" xfId="6" quotePrefix="1" applyNumberFormat="1" applyFont="1" applyFill="1" applyBorder="1" applyAlignment="1" applyProtection="1">
      <alignment horizontal="center" vertical="center"/>
    </xf>
    <xf numFmtId="3" fontId="4" fillId="10" borderId="7" xfId="6" applyNumberFormat="1" applyFont="1" applyFill="1" applyBorder="1" applyAlignment="1" applyProtection="1">
      <alignment horizontal="center" vertical="center"/>
      <protection locked="0"/>
    </xf>
    <xf numFmtId="3" fontId="13" fillId="10" borderId="10" xfId="6" quotePrefix="1" applyNumberFormat="1" applyFont="1" applyFill="1" applyBorder="1" applyAlignment="1" applyProtection="1">
      <alignment horizontal="center" vertical="center"/>
      <protection locked="0"/>
    </xf>
    <xf numFmtId="3" fontId="25" fillId="10" borderId="15" xfId="6" applyNumberFormat="1" applyFont="1" applyFill="1" applyBorder="1" applyAlignment="1" applyProtection="1">
      <alignment vertical="center"/>
    </xf>
    <xf numFmtId="3" fontId="25" fillId="10" borderId="24" xfId="6" quotePrefix="1" applyNumberFormat="1" applyFont="1" applyFill="1" applyBorder="1" applyAlignment="1" applyProtection="1">
      <alignment horizontal="center" vertical="center"/>
    </xf>
    <xf numFmtId="3" fontId="25" fillId="10" borderId="65" xfId="6" quotePrefix="1" applyNumberFormat="1" applyFont="1" applyFill="1" applyBorder="1" applyAlignment="1" applyProtection="1">
      <alignment horizontal="center" vertical="center"/>
      <protection locked="0"/>
    </xf>
    <xf numFmtId="3" fontId="25" fillId="10" borderId="0" xfId="6" quotePrefix="1" applyNumberFormat="1" applyFont="1" applyFill="1" applyBorder="1" applyAlignment="1" applyProtection="1">
      <alignment horizontal="center" vertical="center"/>
      <protection locked="0"/>
    </xf>
    <xf numFmtId="3" fontId="25" fillId="10" borderId="10" xfId="6" quotePrefix="1" applyNumberFormat="1" applyFont="1" applyFill="1" applyBorder="1" applyAlignment="1" applyProtection="1">
      <alignment horizontal="center" vertical="center"/>
      <protection locked="0"/>
    </xf>
    <xf numFmtId="3" fontId="25" fillId="10" borderId="43" xfId="6" quotePrefix="1" applyNumberFormat="1" applyFont="1" applyFill="1" applyBorder="1" applyAlignment="1" applyProtection="1">
      <alignment horizontal="center" vertical="center"/>
      <protection locked="0"/>
    </xf>
    <xf numFmtId="3" fontId="25" fillId="10" borderId="13" xfId="6" applyNumberFormat="1" applyFont="1" applyFill="1" applyBorder="1" applyAlignment="1" applyProtection="1">
      <alignment horizontal="right" vertical="center"/>
    </xf>
    <xf numFmtId="0" fontId="4" fillId="0" borderId="0" xfId="0" applyFont="1" applyFill="1" applyBorder="1" applyAlignment="1" applyProtection="1">
      <alignment vertical="top" wrapText="1"/>
      <protection locked="0"/>
    </xf>
    <xf numFmtId="0" fontId="4" fillId="0" borderId="0" xfId="6" applyFont="1" applyBorder="1" applyProtection="1">
      <protection locked="0"/>
    </xf>
    <xf numFmtId="0" fontId="4" fillId="0" borderId="0" xfId="0" applyFont="1" applyAlignment="1" applyProtection="1">
      <alignment vertical="top" wrapText="1"/>
      <protection locked="0"/>
    </xf>
    <xf numFmtId="0" fontId="4" fillId="10" borderId="12" xfId="0" applyFont="1" applyFill="1" applyBorder="1" applyAlignment="1" applyProtection="1">
      <alignment vertical="top" wrapText="1"/>
      <protection locked="0"/>
    </xf>
    <xf numFmtId="0" fontId="6" fillId="10" borderId="32" xfId="6" applyFont="1" applyFill="1" applyBorder="1" applyAlignment="1" applyProtection="1">
      <alignment horizontal="center"/>
      <protection locked="0"/>
    </xf>
    <xf numFmtId="0" fontId="6" fillId="10" borderId="30" xfId="6" applyFont="1" applyFill="1" applyBorder="1" applyAlignment="1" applyProtection="1">
      <alignment horizontal="center"/>
      <protection locked="0"/>
    </xf>
    <xf numFmtId="0" fontId="6" fillId="10" borderId="62" xfId="6" applyFont="1" applyFill="1" applyBorder="1" applyAlignment="1" applyProtection="1">
      <alignment horizontal="center" vertical="center"/>
      <protection locked="0"/>
    </xf>
    <xf numFmtId="0" fontId="4" fillId="0" borderId="3" xfId="6" applyFont="1" applyBorder="1" applyProtection="1">
      <protection locked="0"/>
    </xf>
    <xf numFmtId="0" fontId="6" fillId="10" borderId="40" xfId="6" applyFont="1" applyFill="1" applyBorder="1" applyAlignment="1" applyProtection="1">
      <alignment horizontal="center" vertical="center"/>
      <protection locked="0"/>
    </xf>
    <xf numFmtId="0" fontId="4" fillId="0" borderId="65" xfId="6" applyFont="1" applyFill="1" applyBorder="1" applyAlignment="1" applyProtection="1">
      <alignment horizontal="center" textRotation="90" wrapText="1"/>
      <protection locked="0"/>
    </xf>
    <xf numFmtId="0" fontId="4" fillId="0" borderId="65" xfId="6" applyFont="1" applyBorder="1" applyAlignment="1" applyProtection="1">
      <alignment horizontal="center" textRotation="90" wrapText="1"/>
      <protection locked="0"/>
    </xf>
    <xf numFmtId="0" fontId="4" fillId="0" borderId="66" xfId="6" applyFont="1" applyFill="1" applyBorder="1" applyAlignment="1" applyProtection="1">
      <alignment horizontal="center" textRotation="90" wrapText="1"/>
      <protection locked="0"/>
    </xf>
    <xf numFmtId="0" fontId="4" fillId="0" borderId="64" xfId="6" applyFont="1" applyFill="1" applyBorder="1" applyAlignment="1" applyProtection="1">
      <alignment horizontal="center" textRotation="90" wrapText="1"/>
      <protection locked="0"/>
    </xf>
    <xf numFmtId="0" fontId="4" fillId="0" borderId="31" xfId="6" applyFont="1" applyBorder="1" applyAlignment="1" applyProtection="1">
      <alignment horizontal="center" textRotation="90" wrapText="1"/>
      <protection locked="0"/>
    </xf>
    <xf numFmtId="0" fontId="4" fillId="0" borderId="30" xfId="6" applyFont="1" applyBorder="1" applyAlignment="1" applyProtection="1">
      <alignment horizontal="center" textRotation="90" wrapText="1"/>
      <protection locked="0"/>
    </xf>
    <xf numFmtId="0" fontId="4" fillId="0" borderId="54" xfId="6" applyFont="1" applyBorder="1" applyAlignment="1" applyProtection="1">
      <alignment horizontal="center" textRotation="90" wrapText="1"/>
      <protection locked="0"/>
    </xf>
    <xf numFmtId="0" fontId="4" fillId="0" borderId="67" xfId="6" applyFont="1" applyBorder="1" applyAlignment="1" applyProtection="1">
      <alignment horizontal="center" textRotation="90" wrapText="1"/>
      <protection locked="0"/>
    </xf>
    <xf numFmtId="0" fontId="4" fillId="0" borderId="66" xfId="6" applyFont="1" applyBorder="1" applyAlignment="1" applyProtection="1">
      <alignment horizontal="center" textRotation="90" wrapText="1"/>
      <protection locked="0"/>
    </xf>
    <xf numFmtId="0" fontId="4" fillId="0" borderId="9" xfId="6" applyFont="1" applyBorder="1" applyAlignment="1" applyProtection="1">
      <alignment horizontal="center" textRotation="90" wrapText="1"/>
      <protection locked="0"/>
    </xf>
    <xf numFmtId="0" fontId="4" fillId="0" borderId="0" xfId="6" applyFont="1" applyBorder="1" applyAlignment="1" applyProtection="1">
      <alignment horizontal="center" textRotation="90" wrapText="1"/>
      <protection locked="0"/>
    </xf>
    <xf numFmtId="0" fontId="4" fillId="0" borderId="0" xfId="0" applyFont="1" applyBorder="1" applyAlignment="1" applyProtection="1">
      <alignment vertical="top" wrapText="1"/>
      <protection locked="0"/>
    </xf>
    <xf numFmtId="0" fontId="4" fillId="0" borderId="2" xfId="6" applyFont="1" applyBorder="1" applyAlignment="1" applyProtection="1">
      <alignment horizontal="center" textRotation="90" wrapText="1"/>
      <protection locked="0"/>
    </xf>
    <xf numFmtId="0" fontId="11" fillId="0" borderId="18" xfId="6" applyFont="1" applyBorder="1" applyAlignment="1" applyProtection="1">
      <alignment vertical="center"/>
      <protection locked="0"/>
    </xf>
    <xf numFmtId="0" fontId="4" fillId="0" borderId="0" xfId="6" applyFont="1" applyProtection="1">
      <protection locked="0"/>
    </xf>
    <xf numFmtId="0" fontId="14" fillId="10" borderId="18" xfId="6" applyFont="1" applyFill="1" applyBorder="1" applyAlignment="1" applyProtection="1">
      <alignment vertical="center" wrapText="1"/>
      <protection locked="0"/>
    </xf>
    <xf numFmtId="0" fontId="6" fillId="0" borderId="0" xfId="6" applyFont="1" applyProtection="1">
      <protection locked="0"/>
    </xf>
    <xf numFmtId="0" fontId="11" fillId="0" borderId="18" xfId="6" applyFont="1" applyBorder="1" applyAlignment="1" applyProtection="1">
      <alignment vertical="center" wrapText="1"/>
      <protection locked="0"/>
    </xf>
    <xf numFmtId="0" fontId="14" fillId="10" borderId="18" xfId="6" applyFont="1" applyFill="1" applyBorder="1" applyAlignment="1" applyProtection="1">
      <alignment vertical="center"/>
      <protection locked="0"/>
    </xf>
    <xf numFmtId="0" fontId="6" fillId="2" borderId="2" xfId="6" applyFont="1" applyFill="1" applyBorder="1" applyProtection="1">
      <protection locked="0"/>
    </xf>
    <xf numFmtId="0" fontId="11" fillId="11" borderId="18" xfId="6" applyFont="1" applyFill="1" applyBorder="1" applyAlignment="1" applyProtection="1">
      <alignment vertical="center"/>
      <protection locked="0"/>
    </xf>
    <xf numFmtId="0" fontId="6" fillId="10" borderId="7" xfId="6" quotePrefix="1" applyFont="1" applyFill="1" applyBorder="1" applyAlignment="1" applyProtection="1">
      <alignment horizontal="center" vertical="center"/>
      <protection locked="0"/>
    </xf>
    <xf numFmtId="0" fontId="6" fillId="10" borderId="5" xfId="6" quotePrefix="1" applyFont="1" applyFill="1" applyBorder="1" applyAlignment="1" applyProtection="1">
      <alignment horizontal="center" vertical="center"/>
      <protection locked="0"/>
    </xf>
    <xf numFmtId="3" fontId="26" fillId="10" borderId="5" xfId="6" quotePrefix="1" applyNumberFormat="1" applyFont="1" applyFill="1" applyBorder="1" applyAlignment="1" applyProtection="1">
      <alignment horizontal="center" vertical="center"/>
      <protection locked="0"/>
    </xf>
    <xf numFmtId="3" fontId="26" fillId="10" borderId="10" xfId="6" quotePrefix="1" applyNumberFormat="1" applyFont="1" applyFill="1" applyBorder="1" applyAlignment="1" applyProtection="1">
      <alignment horizontal="center" vertical="center"/>
      <protection locked="0"/>
    </xf>
    <xf numFmtId="3" fontId="26" fillId="10" borderId="43" xfId="6" quotePrefix="1" applyNumberFormat="1" applyFont="1" applyFill="1" applyBorder="1" applyAlignment="1" applyProtection="1">
      <alignment horizontal="center" vertical="center"/>
      <protection locked="0"/>
    </xf>
    <xf numFmtId="11" fontId="4" fillId="0" borderId="0" xfId="0" applyNumberFormat="1" applyFont="1" applyAlignment="1" applyProtection="1">
      <alignment vertical="top" wrapText="1"/>
      <protection locked="0"/>
    </xf>
    <xf numFmtId="4" fontId="4" fillId="0" borderId="0" xfId="0" applyNumberFormat="1" applyFont="1" applyAlignment="1" applyProtection="1">
      <alignment vertical="top" wrapText="1"/>
      <protection locked="0"/>
    </xf>
    <xf numFmtId="0" fontId="11" fillId="0" borderId="68" xfId="6" applyFont="1" applyBorder="1" applyAlignment="1" applyProtection="1">
      <alignment vertical="center" wrapText="1"/>
      <protection locked="0"/>
    </xf>
    <xf numFmtId="0" fontId="14" fillId="10" borderId="12" xfId="6" applyFont="1" applyFill="1" applyBorder="1" applyAlignment="1" applyProtection="1">
      <alignment vertical="center"/>
      <protection locked="0"/>
    </xf>
    <xf numFmtId="0" fontId="9" fillId="0" borderId="0" xfId="6" applyFont="1" applyFill="1" applyBorder="1" applyAlignment="1" applyProtection="1">
      <alignment vertical="center"/>
      <protection locked="0"/>
    </xf>
    <xf numFmtId="0" fontId="4" fillId="0" borderId="0" xfId="4" applyFont="1" applyFill="1" applyAlignment="1" applyProtection="1">
      <alignment vertical="center" wrapText="1"/>
      <protection locked="0"/>
    </xf>
    <xf numFmtId="0" fontId="4" fillId="0" borderId="0" xfId="6" applyFont="1" applyFill="1" applyBorder="1" applyAlignment="1" applyProtection="1">
      <alignment vertical="center"/>
      <protection locked="0"/>
    </xf>
    <xf numFmtId="0" fontId="4" fillId="0" borderId="0" xfId="6" applyFont="1" applyFill="1" applyBorder="1" applyAlignment="1" applyProtection="1">
      <alignment horizontal="center"/>
      <protection locked="0"/>
    </xf>
    <xf numFmtId="0" fontId="6" fillId="0" borderId="0" xfId="6" applyFont="1" applyFill="1" applyBorder="1" applyProtection="1">
      <protection locked="0"/>
    </xf>
    <xf numFmtId="0" fontId="28" fillId="0" borderId="0" xfId="6" applyFont="1" applyFill="1" applyBorder="1" applyAlignment="1" applyProtection="1">
      <alignment horizontal="left"/>
      <protection locked="0"/>
    </xf>
    <xf numFmtId="0" fontId="6" fillId="0" borderId="0" xfId="6" applyFont="1" applyFill="1" applyBorder="1" applyAlignment="1" applyProtection="1">
      <alignment horizontal="center"/>
      <protection locked="0"/>
    </xf>
    <xf numFmtId="0" fontId="4" fillId="0" borderId="0" xfId="6" applyFont="1" applyFill="1" applyBorder="1" applyProtection="1">
      <protection locked="0"/>
    </xf>
    <xf numFmtId="0" fontId="13" fillId="0" borderId="0" xfId="6" applyFont="1" applyBorder="1" applyProtection="1">
      <protection locked="0"/>
    </xf>
    <xf numFmtId="3" fontId="13" fillId="10" borderId="65" xfId="6" quotePrefix="1" applyNumberFormat="1" applyFont="1" applyFill="1" applyBorder="1" applyAlignment="1" applyProtection="1">
      <alignment vertical="center"/>
    </xf>
    <xf numFmtId="3" fontId="13" fillId="10" borderId="5" xfId="6" quotePrefix="1" applyNumberFormat="1" applyFont="1" applyFill="1" applyBorder="1" applyAlignment="1" applyProtection="1">
      <alignment horizontal="center" vertical="center"/>
    </xf>
    <xf numFmtId="3" fontId="13" fillId="10" borderId="5" xfId="6" quotePrefix="1" applyNumberFormat="1" applyFont="1" applyFill="1" applyBorder="1" applyAlignment="1" applyProtection="1">
      <alignment vertical="center"/>
    </xf>
    <xf numFmtId="3" fontId="13" fillId="10" borderId="43" xfId="6" quotePrefix="1" applyNumberFormat="1" applyFont="1" applyFill="1" applyBorder="1" applyAlignment="1" applyProtection="1">
      <alignment vertical="center"/>
    </xf>
    <xf numFmtId="0" fontId="58" fillId="0" borderId="43" xfId="0" applyFont="1" applyBorder="1" applyAlignment="1" applyProtection="1">
      <alignment vertical="center"/>
    </xf>
    <xf numFmtId="0" fontId="4" fillId="0" borderId="17" xfId="0" quotePrefix="1" applyFont="1" applyBorder="1" applyAlignment="1">
      <alignment vertical="top" wrapText="1"/>
    </xf>
    <xf numFmtId="0" fontId="12" fillId="0" borderId="14" xfId="0" applyFont="1" applyBorder="1" applyAlignment="1" applyProtection="1">
      <alignment horizontal="center" vertical="center" wrapText="1"/>
    </xf>
    <xf numFmtId="0" fontId="12" fillId="0" borderId="15" xfId="0" applyFont="1" applyBorder="1" applyAlignment="1" applyProtection="1">
      <alignment horizontal="center" vertical="center" wrapText="1"/>
    </xf>
    <xf numFmtId="0" fontId="86" fillId="11" borderId="11" xfId="0" applyFont="1" applyFill="1" applyBorder="1"/>
    <xf numFmtId="0" fontId="2" fillId="11" borderId="2" xfId="0" applyFont="1" applyFill="1" applyBorder="1" applyAlignment="1">
      <alignment horizontal="left"/>
    </xf>
    <xf numFmtId="0" fontId="12" fillId="4" borderId="11" xfId="0" quotePrefix="1" applyFont="1" applyFill="1" applyBorder="1" applyAlignment="1" applyProtection="1">
      <alignment wrapText="1"/>
    </xf>
    <xf numFmtId="0" fontId="2" fillId="0" borderId="57" xfId="0" applyFont="1" applyFill="1" applyBorder="1" applyAlignment="1">
      <alignment vertical="center" wrapText="1"/>
    </xf>
    <xf numFmtId="0" fontId="86" fillId="11" borderId="13" xfId="0" applyFont="1" applyFill="1" applyBorder="1"/>
    <xf numFmtId="0" fontId="4" fillId="7" borderId="68" xfId="0" applyFont="1" applyFill="1" applyBorder="1" applyAlignment="1">
      <alignment vertical="top" wrapText="1"/>
    </xf>
    <xf numFmtId="0" fontId="4" fillId="7" borderId="23" xfId="0" applyFont="1" applyFill="1" applyBorder="1" applyAlignment="1">
      <alignment vertical="top" wrapText="1"/>
    </xf>
    <xf numFmtId="0" fontId="6" fillId="7" borderId="24" xfId="0" applyFont="1" applyFill="1" applyBorder="1" applyAlignment="1">
      <alignment horizontal="center" vertical="top" wrapText="1"/>
    </xf>
    <xf numFmtId="0" fontId="4" fillId="7" borderId="38" xfId="0" applyFont="1" applyFill="1" applyBorder="1" applyAlignment="1">
      <alignment horizontal="center" vertical="center" wrapText="1"/>
    </xf>
    <xf numFmtId="0" fontId="4" fillId="7" borderId="22" xfId="0" applyFont="1" applyFill="1" applyBorder="1" applyAlignment="1">
      <alignment horizontal="center" vertical="center" wrapText="1"/>
    </xf>
    <xf numFmtId="0" fontId="4" fillId="7" borderId="60" xfId="0" applyFont="1" applyFill="1" applyBorder="1" applyAlignment="1">
      <alignment horizontal="center" vertical="top" wrapText="1"/>
    </xf>
    <xf numFmtId="0" fontId="4" fillId="7" borderId="40" xfId="0" applyFont="1" applyFill="1" applyBorder="1" applyAlignment="1">
      <alignment horizontal="center" vertical="top" wrapText="1"/>
    </xf>
    <xf numFmtId="0" fontId="6" fillId="7" borderId="41" xfId="0" applyFont="1" applyFill="1" applyBorder="1" applyAlignment="1">
      <alignment horizontal="center" vertical="top" wrapText="1"/>
    </xf>
    <xf numFmtId="3" fontId="25" fillId="10" borderId="20" xfId="6" applyNumberFormat="1" applyFont="1" applyFill="1" applyBorder="1" applyAlignment="1" applyProtection="1">
      <alignment vertical="center"/>
    </xf>
    <xf numFmtId="3" fontId="25" fillId="10" borderId="20" xfId="6" quotePrefix="1" applyNumberFormat="1" applyFont="1" applyFill="1" applyBorder="1" applyAlignment="1" applyProtection="1">
      <alignment horizontal="center" vertical="center"/>
    </xf>
    <xf numFmtId="3" fontId="26" fillId="6" borderId="40" xfId="6" applyNumberFormat="1" applyFont="1" applyFill="1" applyBorder="1" applyAlignment="1" applyProtection="1">
      <alignment vertical="center"/>
      <protection locked="0"/>
    </xf>
    <xf numFmtId="3" fontId="25" fillId="10" borderId="43" xfId="6" applyNumberFormat="1" applyFont="1" applyFill="1" applyBorder="1" applyAlignment="1" applyProtection="1">
      <alignment horizontal="center" vertical="center"/>
      <protection locked="0"/>
    </xf>
    <xf numFmtId="0" fontId="6" fillId="11" borderId="5" xfId="4" applyFont="1" applyFill="1" applyBorder="1" applyAlignment="1" applyProtection="1">
      <alignment horizontal="right" vertical="top" wrapText="1"/>
    </xf>
    <xf numFmtId="168" fontId="87" fillId="0" borderId="5" xfId="2" applyNumberFormat="1" applyFont="1" applyFill="1" applyBorder="1" applyAlignment="1" applyProtection="1">
      <alignment horizontal="center" vertical="top" wrapText="1" readingOrder="1"/>
      <protection locked="0"/>
    </xf>
    <xf numFmtId="164" fontId="88" fillId="0" borderId="5" xfId="2" applyNumberFormat="1" applyFont="1" applyFill="1" applyBorder="1" applyAlignment="1" applyProtection="1">
      <alignment horizontal="center" vertical="top" wrapText="1" readingOrder="1"/>
      <protection locked="0"/>
    </xf>
    <xf numFmtId="168" fontId="89" fillId="0" borderId="5" xfId="2" applyNumberFormat="1" applyFont="1" applyFill="1" applyBorder="1" applyAlignment="1" applyProtection="1">
      <alignment horizontal="center" vertical="top" wrapText="1" readingOrder="1"/>
      <protection locked="0"/>
    </xf>
    <xf numFmtId="168" fontId="88" fillId="0" borderId="5" xfId="2" applyNumberFormat="1" applyFont="1" applyFill="1" applyBorder="1" applyAlignment="1" applyProtection="1">
      <alignment horizontal="center" vertical="top" wrapText="1" readingOrder="1"/>
      <protection locked="0"/>
    </xf>
    <xf numFmtId="164" fontId="47" fillId="0" borderId="5" xfId="2" applyNumberFormat="1" applyFont="1" applyFill="1" applyBorder="1" applyAlignment="1" applyProtection="1">
      <alignment horizontal="center" vertical="top" wrapText="1" readingOrder="1"/>
      <protection locked="0"/>
    </xf>
    <xf numFmtId="168" fontId="90" fillId="0" borderId="5" xfId="2" applyNumberFormat="1" applyFont="1" applyFill="1" applyBorder="1" applyAlignment="1" applyProtection="1">
      <alignment horizontal="center" vertical="center" wrapText="1" readingOrder="1"/>
      <protection locked="0"/>
    </xf>
    <xf numFmtId="168" fontId="87" fillId="0" borderId="5" xfId="2" applyNumberFormat="1" applyFont="1" applyFill="1" applyBorder="1" applyAlignment="1" applyProtection="1">
      <alignment horizontal="center" vertical="center" wrapText="1" readingOrder="1"/>
      <protection locked="0"/>
    </xf>
    <xf numFmtId="168" fontId="73" fillId="0" borderId="5" xfId="2" applyNumberFormat="1" applyFont="1" applyFill="1" applyBorder="1" applyAlignment="1" applyProtection="1">
      <alignment horizontal="center" vertical="center" wrapText="1" readingOrder="1"/>
      <protection locked="0"/>
    </xf>
    <xf numFmtId="0" fontId="2" fillId="0" borderId="0" xfId="4" applyFill="1"/>
    <xf numFmtId="0" fontId="5" fillId="0" borderId="0" xfId="4" applyFont="1" applyFill="1"/>
    <xf numFmtId="0" fontId="5" fillId="0" borderId="0" xfId="4" applyFont="1" applyFill="1" applyAlignment="1">
      <alignment horizontal="left" wrapText="1"/>
    </xf>
    <xf numFmtId="0" fontId="47" fillId="0" borderId="0" xfId="4" applyFont="1" applyFill="1" applyAlignment="1">
      <alignment wrapText="1"/>
    </xf>
    <xf numFmtId="0" fontId="4" fillId="0" borderId="0" xfId="4" applyFont="1" applyFill="1" applyAlignment="1">
      <alignment wrapText="1"/>
    </xf>
    <xf numFmtId="0" fontId="5" fillId="0" borderId="0" xfId="4" applyFont="1" applyFill="1" applyAlignment="1">
      <alignment wrapText="1"/>
    </xf>
    <xf numFmtId="0" fontId="4" fillId="20" borderId="5" xfId="4" applyFont="1" applyFill="1" applyBorder="1" applyAlignment="1" applyProtection="1">
      <alignment horizontal="left" vertical="top" wrapText="1"/>
      <protection locked="0"/>
    </xf>
    <xf numFmtId="0" fontId="91" fillId="20" borderId="5" xfId="4" applyFont="1" applyFill="1" applyBorder="1" applyAlignment="1" applyProtection="1">
      <alignment vertical="center" wrapText="1"/>
      <protection locked="0"/>
    </xf>
    <xf numFmtId="0" fontId="4" fillId="20" borderId="5" xfId="4" applyFont="1" applyFill="1" applyBorder="1" applyAlignment="1" applyProtection="1">
      <alignment vertical="top" wrapText="1"/>
      <protection locked="0"/>
    </xf>
    <xf numFmtId="0" fontId="4" fillId="20" borderId="10" xfId="4" applyFont="1" applyFill="1" applyBorder="1" applyAlignment="1" applyProtection="1">
      <alignment horizontal="left" vertical="center" wrapText="1"/>
      <protection locked="0"/>
    </xf>
    <xf numFmtId="0" fontId="4" fillId="20" borderId="5" xfId="4" applyFont="1" applyFill="1" applyBorder="1" applyAlignment="1" applyProtection="1">
      <alignment vertical="center" wrapText="1"/>
      <protection locked="0"/>
    </xf>
    <xf numFmtId="0" fontId="6" fillId="20" borderId="5" xfId="4" applyFont="1" applyFill="1" applyBorder="1" applyAlignment="1" applyProtection="1">
      <alignment horizontal="right" vertical="top" wrapText="1"/>
    </xf>
    <xf numFmtId="0" fontId="4" fillId="20" borderId="5" xfId="4" applyFont="1" applyFill="1" applyBorder="1" applyAlignment="1">
      <alignment vertical="top"/>
    </xf>
    <xf numFmtId="0" fontId="6" fillId="20" borderId="5" xfId="4" applyFont="1" applyFill="1" applyBorder="1" applyAlignment="1" applyProtection="1">
      <alignment horizontal="left" vertical="center" wrapText="1"/>
    </xf>
    <xf numFmtId="0" fontId="6" fillId="20" borderId="5" xfId="4" applyFont="1" applyFill="1" applyBorder="1" applyAlignment="1" applyProtection="1">
      <alignment horizontal="left" vertical="top" wrapText="1"/>
    </xf>
    <xf numFmtId="0" fontId="4" fillId="20" borderId="5" xfId="4" applyFont="1" applyFill="1" applyBorder="1" applyAlignment="1" applyProtection="1">
      <alignment vertical="top"/>
    </xf>
    <xf numFmtId="0" fontId="4" fillId="20" borderId="5" xfId="4" applyFont="1" applyFill="1" applyBorder="1" applyAlignment="1" applyProtection="1">
      <alignment horizontal="left" vertical="center" wrapText="1"/>
      <protection locked="0"/>
    </xf>
    <xf numFmtId="0" fontId="6" fillId="20" borderId="5" xfId="4" applyFont="1" applyFill="1" applyBorder="1" applyAlignment="1" applyProtection="1">
      <alignment vertical="top" wrapText="1"/>
    </xf>
    <xf numFmtId="0" fontId="4" fillId="20" borderId="5" xfId="4" applyFont="1" applyFill="1" applyBorder="1" applyAlignment="1" applyProtection="1">
      <alignment vertical="top" wrapText="1"/>
    </xf>
    <xf numFmtId="3" fontId="6" fillId="20" borderId="5" xfId="4" applyNumberFormat="1" applyFont="1" applyFill="1" applyBorder="1" applyAlignment="1" applyProtection="1">
      <alignment horizontal="right" vertical="top" wrapText="1"/>
    </xf>
    <xf numFmtId="0" fontId="4" fillId="20" borderId="5" xfId="4" applyFont="1" applyFill="1" applyBorder="1" applyAlignment="1" applyProtection="1">
      <alignment horizontal="center" vertical="top" wrapText="1"/>
      <protection locked="0"/>
    </xf>
    <xf numFmtId="3" fontId="6" fillId="11" borderId="5" xfId="4" applyNumberFormat="1" applyFont="1" applyFill="1" applyBorder="1" applyAlignment="1" applyProtection="1">
      <alignment horizontal="right" vertical="top" wrapText="1"/>
    </xf>
    <xf numFmtId="0" fontId="6" fillId="0" borderId="0" xfId="4" applyFont="1" applyFill="1" applyBorder="1" applyAlignment="1" applyProtection="1">
      <alignment horizontal="right" vertical="top" wrapText="1"/>
    </xf>
    <xf numFmtId="3" fontId="6" fillId="0" borderId="0" xfId="4" applyNumberFormat="1" applyFont="1" applyFill="1" applyBorder="1" applyAlignment="1" applyProtection="1">
      <alignment horizontal="right" vertical="top" wrapText="1"/>
    </xf>
    <xf numFmtId="0" fontId="80" fillId="20" borderId="5" xfId="4" applyFont="1" applyFill="1" applyBorder="1" applyAlignment="1">
      <alignment horizontal="left" vertical="center" wrapText="1"/>
    </xf>
    <xf numFmtId="0" fontId="63" fillId="21" borderId="0" xfId="4" applyFont="1" applyFill="1" applyAlignment="1" applyProtection="1">
      <alignment horizontal="left"/>
    </xf>
    <xf numFmtId="0" fontId="2" fillId="21" borderId="0" xfId="4" applyFill="1" applyAlignment="1" applyProtection="1">
      <alignment horizontal="left"/>
    </xf>
    <xf numFmtId="0" fontId="2" fillId="0" borderId="0" xfId="4" applyAlignment="1" applyProtection="1">
      <alignment horizontal="right"/>
    </xf>
    <xf numFmtId="0" fontId="2" fillId="0" borderId="0" xfId="4" applyAlignment="1" applyProtection="1">
      <alignment vertical="top"/>
    </xf>
    <xf numFmtId="0" fontId="47" fillId="0" borderId="0" xfId="4" applyFont="1" applyAlignment="1" applyProtection="1">
      <alignment horizontal="left" wrapText="1"/>
    </xf>
    <xf numFmtId="0" fontId="47" fillId="0" borderId="69" xfId="4" applyFont="1" applyFill="1" applyBorder="1" applyAlignment="1" applyProtection="1">
      <alignment horizontal="left" wrapText="1"/>
    </xf>
    <xf numFmtId="0" fontId="2" fillId="0" borderId="69" xfId="4" applyFont="1" applyFill="1" applyBorder="1" applyAlignment="1" applyProtection="1">
      <alignment horizontal="center" wrapText="1"/>
      <protection locked="0"/>
    </xf>
    <xf numFmtId="0" fontId="3" fillId="0" borderId="0" xfId="4" applyFont="1" applyAlignment="1" applyProtection="1">
      <alignment wrapText="1"/>
    </xf>
    <xf numFmtId="0" fontId="6" fillId="11" borderId="5" xfId="4" applyFont="1" applyFill="1" applyBorder="1" applyAlignment="1" applyProtection="1">
      <alignment horizontal="right" vertical="center" wrapText="1"/>
    </xf>
    <xf numFmtId="0" fontId="6" fillId="11" borderId="5" xfId="4" applyFont="1" applyFill="1" applyBorder="1" applyAlignment="1" applyProtection="1">
      <alignment horizontal="left" vertical="center" wrapText="1"/>
    </xf>
    <xf numFmtId="0" fontId="4" fillId="11" borderId="5" xfId="4" applyFont="1" applyFill="1" applyBorder="1"/>
    <xf numFmtId="0" fontId="4" fillId="11" borderId="5" xfId="4" applyFont="1" applyFill="1" applyBorder="1" applyAlignment="1">
      <alignment vertical="top"/>
    </xf>
    <xf numFmtId="3" fontId="6" fillId="6" borderId="5" xfId="4" applyNumberFormat="1" applyFont="1" applyFill="1" applyBorder="1" applyAlignment="1" applyProtection="1">
      <alignment horizontal="right" vertical="center"/>
      <protection locked="0"/>
    </xf>
    <xf numFmtId="0" fontId="91" fillId="20" borderId="5" xfId="4" applyFont="1" applyFill="1" applyBorder="1" applyAlignment="1" applyProtection="1">
      <alignment vertical="top" wrapText="1"/>
      <protection locked="0"/>
    </xf>
    <xf numFmtId="0" fontId="4" fillId="20" borderId="10" xfId="4" applyFont="1" applyFill="1" applyBorder="1" applyAlignment="1" applyProtection="1">
      <alignment horizontal="left" vertical="top" wrapText="1"/>
      <protection locked="0"/>
    </xf>
    <xf numFmtId="3" fontId="6" fillId="6" borderId="5" xfId="4" applyNumberFormat="1" applyFont="1" applyFill="1" applyBorder="1" applyAlignment="1" applyProtection="1">
      <alignment horizontal="right" vertical="top"/>
      <protection locked="0"/>
    </xf>
    <xf numFmtId="3" fontId="4" fillId="6" borderId="5" xfId="4" applyNumberFormat="1" applyFont="1" applyFill="1" applyBorder="1" applyAlignment="1" applyProtection="1">
      <alignment horizontal="right"/>
    </xf>
    <xf numFmtId="0" fontId="4" fillId="20" borderId="5" xfId="4" applyFont="1" applyFill="1" applyBorder="1" applyAlignment="1">
      <alignment vertical="top" wrapText="1"/>
    </xf>
    <xf numFmtId="0" fontId="85" fillId="20" borderId="5" xfId="4" applyFont="1" applyFill="1" applyBorder="1" applyAlignment="1" applyProtection="1">
      <alignment vertical="top" wrapText="1"/>
      <protection locked="0"/>
    </xf>
    <xf numFmtId="3" fontId="6" fillId="11" borderId="5" xfId="4" applyNumberFormat="1" applyFont="1" applyFill="1" applyBorder="1" applyAlignment="1" applyProtection="1">
      <alignment horizontal="right" vertical="center" wrapText="1"/>
      <protection locked="0"/>
    </xf>
    <xf numFmtId="0" fontId="6" fillId="0" borderId="0" xfId="4" applyFont="1" applyAlignment="1" applyProtection="1">
      <alignment horizontal="left"/>
    </xf>
    <xf numFmtId="0" fontId="4" fillId="0" borderId="0" xfId="4" applyFont="1" applyAlignment="1" applyProtection="1">
      <alignment horizontal="right"/>
    </xf>
    <xf numFmtId="0" fontId="4" fillId="0" borderId="0" xfId="4" applyFont="1" applyProtection="1"/>
    <xf numFmtId="0" fontId="4" fillId="0" borderId="0" xfId="4" applyFont="1" applyAlignment="1" applyProtection="1">
      <alignment vertical="top"/>
    </xf>
    <xf numFmtId="0" fontId="2" fillId="0" borderId="0" xfId="4" applyAlignment="1" applyProtection="1">
      <alignment horizontal="left"/>
    </xf>
    <xf numFmtId="0" fontId="2" fillId="21" borderId="0" xfId="4" applyFill="1" applyProtection="1"/>
    <xf numFmtId="0" fontId="56" fillId="10" borderId="0" xfId="4" applyFont="1" applyFill="1"/>
    <xf numFmtId="0" fontId="5" fillId="10" borderId="0" xfId="4" applyFont="1" applyFill="1"/>
    <xf numFmtId="0" fontId="5" fillId="10" borderId="0" xfId="4" quotePrefix="1" applyFont="1" applyFill="1"/>
    <xf numFmtId="0" fontId="5" fillId="10" borderId="0" xfId="4" quotePrefix="1" applyFont="1" applyFill="1" applyAlignment="1">
      <alignment wrapText="1"/>
    </xf>
    <xf numFmtId="0" fontId="73" fillId="10" borderId="0" xfId="4" quotePrefix="1" applyFont="1" applyFill="1"/>
    <xf numFmtId="0" fontId="73" fillId="10" borderId="0" xfId="4" applyFont="1" applyFill="1"/>
    <xf numFmtId="0" fontId="5" fillId="10" borderId="0" xfId="4" applyFont="1" applyFill="1" applyAlignment="1">
      <alignment horizontal="left" vertical="top" wrapText="1"/>
    </xf>
    <xf numFmtId="0" fontId="2" fillId="22" borderId="0" xfId="4" applyFont="1" applyFill="1"/>
    <xf numFmtId="0" fontId="2" fillId="23" borderId="0" xfId="4" applyFont="1" applyFill="1"/>
    <xf numFmtId="0" fontId="2" fillId="24" borderId="0" xfId="4" applyFont="1" applyFill="1"/>
    <xf numFmtId="0" fontId="11" fillId="10" borderId="0" xfId="4" quotePrefix="1" applyFont="1" applyFill="1"/>
    <xf numFmtId="0" fontId="59" fillId="20" borderId="5" xfId="4" applyFont="1" applyFill="1" applyBorder="1" applyAlignment="1">
      <alignment horizontal="left" vertical="center" wrapText="1"/>
    </xf>
    <xf numFmtId="0" fontId="5" fillId="25" borderId="0" xfId="4" applyFont="1" applyFill="1" applyAlignment="1">
      <alignment horizontal="left" vertical="top" wrapText="1"/>
    </xf>
    <xf numFmtId="3" fontId="3" fillId="6" borderId="0" xfId="4" applyNumberFormat="1" applyFont="1" applyFill="1" applyBorder="1" applyAlignment="1" applyProtection="1">
      <alignment horizontal="right" vertical="top"/>
      <protection locked="0"/>
    </xf>
    <xf numFmtId="0" fontId="4" fillId="20" borderId="0" xfId="4" applyFont="1" applyFill="1" applyBorder="1" applyAlignment="1" applyProtection="1">
      <alignment horizontal="left" vertical="top" wrapText="1"/>
      <protection locked="0"/>
    </xf>
    <xf numFmtId="0" fontId="6" fillId="20" borderId="5" xfId="4" applyFont="1" applyFill="1" applyBorder="1" applyAlignment="1" applyProtection="1">
      <alignment horizontal="right" vertical="top" wrapText="1"/>
      <protection locked="0"/>
    </xf>
    <xf numFmtId="0" fontId="4" fillId="20" borderId="5" xfId="4" applyFont="1" applyFill="1" applyBorder="1" applyProtection="1">
      <protection locked="0"/>
    </xf>
    <xf numFmtId="0" fontId="4" fillId="20" borderId="5" xfId="4" applyFont="1" applyFill="1" applyBorder="1" applyAlignment="1" applyProtection="1">
      <alignment vertical="top"/>
      <protection locked="0"/>
    </xf>
    <xf numFmtId="0" fontId="6" fillId="20" borderId="5" xfId="4" applyFont="1" applyFill="1" applyBorder="1" applyAlignment="1" applyProtection="1">
      <alignment horizontal="left" vertical="center" wrapText="1"/>
      <protection locked="0"/>
    </xf>
    <xf numFmtId="0" fontId="6" fillId="20" borderId="5" xfId="4" applyFont="1" applyFill="1" applyBorder="1" applyAlignment="1" applyProtection="1">
      <alignment horizontal="left" vertical="top" wrapText="1"/>
      <protection locked="0"/>
    </xf>
    <xf numFmtId="0" fontId="6" fillId="20" borderId="5" xfId="4" applyFont="1" applyFill="1" applyBorder="1" applyAlignment="1" applyProtection="1">
      <alignment vertical="top" wrapText="1"/>
      <protection locked="0"/>
    </xf>
    <xf numFmtId="0" fontId="4" fillId="20" borderId="5" xfId="4" applyFont="1" applyFill="1" applyBorder="1" applyAlignment="1" applyProtection="1">
      <alignment wrapText="1"/>
      <protection locked="0"/>
    </xf>
    <xf numFmtId="3" fontId="6" fillId="20" borderId="5" xfId="4" applyNumberFormat="1" applyFont="1" applyFill="1" applyBorder="1" applyAlignment="1" applyProtection="1">
      <alignment horizontal="right" vertical="top" wrapText="1"/>
      <protection locked="0"/>
    </xf>
    <xf numFmtId="3" fontId="6" fillId="20" borderId="5" xfId="4" applyNumberFormat="1" applyFont="1" applyFill="1" applyBorder="1" applyAlignment="1" applyProtection="1">
      <alignment vertical="top" wrapText="1"/>
      <protection locked="0"/>
    </xf>
    <xf numFmtId="3" fontId="25" fillId="10" borderId="5" xfId="6" applyNumberFormat="1" applyFont="1" applyFill="1" applyBorder="1" applyAlignment="1" applyProtection="1">
      <alignment vertical="center"/>
      <protection locked="0"/>
    </xf>
    <xf numFmtId="0" fontId="5" fillId="10" borderId="0" xfId="4" applyFont="1" applyFill="1" applyAlignment="1">
      <alignment horizontal="left" vertical="top" wrapText="1"/>
    </xf>
    <xf numFmtId="0" fontId="0" fillId="10" borderId="0" xfId="0" applyFill="1" applyAlignment="1">
      <alignment horizontal="left" vertical="top" wrapText="1"/>
    </xf>
    <xf numFmtId="0" fontId="60" fillId="10" borderId="0" xfId="4" applyFont="1" applyFill="1" applyAlignment="1">
      <alignment wrapText="1"/>
    </xf>
    <xf numFmtId="0" fontId="68" fillId="10" borderId="0" xfId="0" applyFont="1" applyFill="1" applyAlignment="1"/>
    <xf numFmtId="0" fontId="5" fillId="10" borderId="0" xfId="4" applyFont="1" applyFill="1" applyAlignment="1">
      <alignment vertical="top" wrapText="1"/>
    </xf>
    <xf numFmtId="0" fontId="5" fillId="10" borderId="0" xfId="0" applyFont="1" applyFill="1" applyAlignment="1">
      <alignment vertical="top" wrapText="1"/>
    </xf>
    <xf numFmtId="0" fontId="5" fillId="10" borderId="0" xfId="0" applyFont="1" applyFill="1" applyAlignment="1">
      <alignment horizontal="left" vertical="top" wrapText="1"/>
    </xf>
    <xf numFmtId="0" fontId="61" fillId="10" borderId="0" xfId="4" quotePrefix="1" applyFont="1" applyFill="1" applyAlignment="1">
      <alignment horizontal="left" wrapText="1"/>
    </xf>
    <xf numFmtId="0" fontId="47" fillId="10" borderId="0" xfId="4" quotePrefix="1" applyFont="1" applyFill="1" applyAlignment="1">
      <alignment horizontal="left" wrapText="1"/>
    </xf>
    <xf numFmtId="0" fontId="5" fillId="10" borderId="0" xfId="4" quotePrefix="1" applyFont="1" applyFill="1" applyAlignment="1">
      <alignment horizontal="left" wrapText="1"/>
    </xf>
    <xf numFmtId="0" fontId="3" fillId="0" borderId="3" xfId="0" applyFont="1" applyBorder="1" applyAlignment="1" applyProtection="1">
      <alignment horizontal="left"/>
    </xf>
    <xf numFmtId="0" fontId="3" fillId="0" borderId="3" xfId="0" applyFont="1" applyBorder="1" applyAlignment="1" applyProtection="1">
      <alignment horizontal="right"/>
    </xf>
    <xf numFmtId="0" fontId="3" fillId="0" borderId="45" xfId="0" applyFont="1" applyBorder="1" applyAlignment="1" applyProtection="1">
      <alignment horizontal="right"/>
    </xf>
    <xf numFmtId="0" fontId="3" fillId="0" borderId="59" xfId="0" applyFont="1" applyBorder="1" applyAlignment="1" applyProtection="1">
      <alignment horizontal="left" vertical="top" wrapText="1"/>
    </xf>
    <xf numFmtId="0" fontId="3" fillId="0" borderId="0" xfId="0" applyFont="1" applyBorder="1" applyAlignment="1" applyProtection="1">
      <alignment horizontal="left" vertical="top" wrapText="1"/>
    </xf>
    <xf numFmtId="0" fontId="4" fillId="10" borderId="43" xfId="0" applyFont="1" applyFill="1" applyBorder="1" applyAlignment="1" applyProtection="1">
      <alignment horizontal="left" vertical="center" wrapText="1"/>
    </xf>
    <xf numFmtId="0" fontId="4" fillId="10" borderId="10" xfId="0" applyFont="1" applyFill="1" applyBorder="1" applyAlignment="1" applyProtection="1">
      <alignment horizontal="left" vertical="center" wrapText="1"/>
    </xf>
    <xf numFmtId="0" fontId="4" fillId="0" borderId="65" xfId="0" applyFont="1" applyBorder="1" applyAlignment="1">
      <alignment horizontal="center" vertical="top" textRotation="180"/>
    </xf>
    <xf numFmtId="0" fontId="4" fillId="0" borderId="6" xfId="6" applyFont="1" applyBorder="1" applyAlignment="1">
      <alignment horizontal="center" textRotation="180"/>
    </xf>
    <xf numFmtId="0" fontId="4" fillId="0" borderId="66" xfId="6" applyFont="1" applyBorder="1" applyAlignment="1">
      <alignment horizontal="center" textRotation="180"/>
    </xf>
    <xf numFmtId="0" fontId="4" fillId="0" borderId="11" xfId="6" applyFont="1" applyBorder="1" applyAlignment="1">
      <alignment horizontal="center" textRotation="180"/>
    </xf>
    <xf numFmtId="0" fontId="4" fillId="0" borderId="6" xfId="6" applyFont="1" applyBorder="1" applyAlignment="1">
      <alignment horizontal="center" vertical="center" textRotation="180"/>
    </xf>
    <xf numFmtId="0" fontId="4" fillId="0" borderId="66" xfId="6" applyFont="1" applyBorder="1" applyAlignment="1">
      <alignment horizontal="center" vertical="center" textRotation="180"/>
    </xf>
    <xf numFmtId="0" fontId="4" fillId="0" borderId="11" xfId="6" applyFont="1" applyBorder="1" applyAlignment="1">
      <alignment horizontal="center" vertical="center" textRotation="180"/>
    </xf>
    <xf numFmtId="0" fontId="29" fillId="0" borderId="6" xfId="6" applyFont="1" applyBorder="1" applyAlignment="1">
      <alignment horizontal="center" vertical="center" textRotation="180"/>
    </xf>
    <xf numFmtId="0" fontId="29" fillId="0" borderId="66" xfId="6" applyFont="1" applyBorder="1" applyAlignment="1">
      <alignment horizontal="center" vertical="center" textRotation="180"/>
    </xf>
    <xf numFmtId="0" fontId="29" fillId="0" borderId="11" xfId="6" applyFont="1" applyBorder="1" applyAlignment="1">
      <alignment horizontal="center" vertical="center" textRotation="180"/>
    </xf>
    <xf numFmtId="0" fontId="42" fillId="0" borderId="6" xfId="6" applyFont="1" applyBorder="1" applyAlignment="1">
      <alignment horizontal="center" vertical="center" textRotation="180"/>
    </xf>
    <xf numFmtId="0" fontId="42" fillId="0" borderId="66" xfId="6" applyFont="1" applyBorder="1" applyAlignment="1">
      <alignment horizontal="center" vertical="center" textRotation="180"/>
    </xf>
    <xf numFmtId="0" fontId="42" fillId="0" borderId="11" xfId="6" applyFont="1" applyBorder="1" applyAlignment="1">
      <alignment horizontal="center" vertical="center" textRotation="180"/>
    </xf>
    <xf numFmtId="0" fontId="6" fillId="0" borderId="69" xfId="6" applyFont="1" applyBorder="1" applyAlignment="1">
      <alignment horizontal="left" wrapText="1"/>
    </xf>
    <xf numFmtId="0" fontId="6" fillId="0" borderId="62" xfId="6" applyFont="1" applyBorder="1" applyAlignment="1">
      <alignment horizontal="left"/>
    </xf>
    <xf numFmtId="0" fontId="6" fillId="0" borderId="0" xfId="6" applyFont="1" applyBorder="1" applyAlignment="1">
      <alignment horizontal="left"/>
    </xf>
    <xf numFmtId="0" fontId="6" fillId="10" borderId="53" xfId="0" applyFont="1" applyFill="1" applyBorder="1" applyAlignment="1">
      <alignment horizontal="center" vertical="top" wrapText="1"/>
    </xf>
    <xf numFmtId="0" fontId="8" fillId="10" borderId="54" xfId="0" applyFont="1" applyFill="1" applyBorder="1" applyAlignment="1">
      <alignment vertical="top" wrapText="1"/>
    </xf>
    <xf numFmtId="0" fontId="6" fillId="0" borderId="47" xfId="6" applyFont="1" applyFill="1" applyBorder="1" applyAlignment="1">
      <alignment horizontal="center"/>
    </xf>
    <xf numFmtId="0" fontId="6" fillId="0" borderId="35" xfId="6" applyFont="1" applyFill="1" applyBorder="1" applyAlignment="1">
      <alignment horizontal="center"/>
    </xf>
    <xf numFmtId="0" fontId="4" fillId="0" borderId="0" xfId="6" applyFont="1" applyBorder="1" applyAlignment="1">
      <alignment horizontal="right"/>
    </xf>
    <xf numFmtId="0" fontId="4" fillId="0" borderId="47" xfId="6" applyFont="1" applyBorder="1" applyAlignment="1">
      <alignment horizontal="center"/>
    </xf>
    <xf numFmtId="0" fontId="4" fillId="0" borderId="35" xfId="6" applyFont="1" applyBorder="1" applyAlignment="1">
      <alignment horizontal="center"/>
    </xf>
    <xf numFmtId="0" fontId="6" fillId="4" borderId="70" xfId="6" applyFont="1" applyFill="1" applyBorder="1" applyAlignment="1">
      <alignment horizontal="center" vertical="center" wrapText="1"/>
    </xf>
    <xf numFmtId="0" fontId="8" fillId="0" borderId="70" xfId="0" applyFont="1" applyBorder="1" applyAlignment="1">
      <alignment horizontal="center" vertical="center"/>
    </xf>
    <xf numFmtId="0" fontId="8" fillId="0" borderId="46" xfId="0" applyFont="1" applyBorder="1" applyAlignment="1">
      <alignment horizontal="center" vertical="center"/>
    </xf>
    <xf numFmtId="0" fontId="39" fillId="4" borderId="38" xfId="6" applyFont="1" applyFill="1" applyBorder="1" applyAlignment="1">
      <alignment horizontal="left" wrapText="1"/>
    </xf>
    <xf numFmtId="0" fontId="9" fillId="0" borderId="70" xfId="0" applyFont="1" applyBorder="1" applyAlignment="1"/>
    <xf numFmtId="0" fontId="9" fillId="0" borderId="46" xfId="0" applyFont="1" applyBorder="1" applyAlignment="1"/>
    <xf numFmtId="0" fontId="6" fillId="10" borderId="0" xfId="6" applyFont="1" applyFill="1" applyBorder="1" applyAlignment="1">
      <alignment horizontal="center" textRotation="90" wrapText="1"/>
    </xf>
    <xf numFmtId="0" fontId="8" fillId="10" borderId="64" xfId="0" applyFont="1" applyFill="1" applyBorder="1" applyAlignment="1"/>
    <xf numFmtId="0" fontId="8" fillId="10" borderId="70" xfId="0" applyFont="1" applyFill="1" applyBorder="1" applyAlignment="1"/>
    <xf numFmtId="0" fontId="8" fillId="10" borderId="46" xfId="0" applyFont="1" applyFill="1" applyBorder="1" applyAlignment="1"/>
    <xf numFmtId="0" fontId="6" fillId="4" borderId="38" xfId="6" applyFont="1" applyFill="1" applyBorder="1" applyAlignment="1">
      <alignment horizontal="left" wrapText="1"/>
    </xf>
    <xf numFmtId="0" fontId="8" fillId="0" borderId="70" xfId="0" applyFont="1" applyBorder="1" applyAlignment="1"/>
    <xf numFmtId="0" fontId="8" fillId="0" borderId="46" xfId="0" applyFont="1" applyBorder="1" applyAlignment="1"/>
    <xf numFmtId="0" fontId="4" fillId="0" borderId="0" xfId="0" applyFont="1" applyAlignment="1">
      <alignment horizontal="center" vertical="top" wrapText="1"/>
    </xf>
    <xf numFmtId="0" fontId="15" fillId="0" borderId="0" xfId="6" applyFont="1" applyAlignment="1">
      <alignment horizontal="left" wrapText="1"/>
    </xf>
    <xf numFmtId="0" fontId="92" fillId="0" borderId="0" xfId="6" applyFont="1" applyFill="1" applyBorder="1" applyAlignment="1">
      <alignment horizontal="left" vertical="top" wrapText="1"/>
    </xf>
    <xf numFmtId="0" fontId="11" fillId="10" borderId="64" xfId="0" applyFont="1" applyFill="1" applyBorder="1" applyAlignment="1">
      <alignment vertical="center" textRotation="90" wrapText="1"/>
    </xf>
    <xf numFmtId="0" fontId="11" fillId="10" borderId="46" xfId="0" applyFont="1" applyFill="1" applyBorder="1" applyAlignment="1">
      <alignment vertical="center" textRotation="90" wrapText="1"/>
    </xf>
    <xf numFmtId="0" fontId="4" fillId="10" borderId="17" xfId="6" applyFont="1" applyFill="1" applyBorder="1" applyAlignment="1" applyProtection="1">
      <alignment horizontal="left" vertical="center" wrapText="1"/>
    </xf>
    <xf numFmtId="0" fontId="4" fillId="10" borderId="14" xfId="6" applyFont="1" applyFill="1" applyBorder="1" applyAlignment="1" applyProtection="1">
      <alignment horizontal="left" vertical="center" wrapText="1"/>
    </xf>
    <xf numFmtId="0" fontId="4" fillId="10" borderId="15" xfId="6" applyFont="1" applyFill="1" applyBorder="1" applyAlignment="1" applyProtection="1">
      <alignment horizontal="left" vertical="center" wrapText="1"/>
    </xf>
    <xf numFmtId="0" fontId="4" fillId="10" borderId="7" xfId="6" applyFont="1" applyFill="1" applyBorder="1" applyAlignment="1" applyProtection="1">
      <alignment horizontal="left" vertical="center" wrapText="1"/>
    </xf>
    <xf numFmtId="0" fontId="4" fillId="10" borderId="5" xfId="6" applyFont="1" applyFill="1" applyBorder="1" applyAlignment="1" applyProtection="1">
      <alignment horizontal="left" vertical="center" wrapText="1"/>
    </xf>
    <xf numFmtId="0" fontId="4" fillId="10" borderId="13" xfId="6" applyFont="1" applyFill="1" applyBorder="1" applyAlignment="1" applyProtection="1">
      <alignment horizontal="left" vertical="center" wrapText="1"/>
    </xf>
    <xf numFmtId="0" fontId="4" fillId="10" borderId="19" xfId="6" applyFont="1" applyFill="1" applyBorder="1" applyAlignment="1" applyProtection="1">
      <alignment horizontal="left" vertical="center" wrapText="1"/>
    </xf>
    <xf numFmtId="0" fontId="4" fillId="10" borderId="20" xfId="6" applyFont="1" applyFill="1" applyBorder="1" applyAlignment="1" applyProtection="1">
      <alignment horizontal="left" vertical="center" wrapText="1"/>
    </xf>
    <xf numFmtId="0" fontId="4" fillId="10" borderId="24" xfId="6" applyFont="1" applyFill="1" applyBorder="1" applyAlignment="1" applyProtection="1">
      <alignment horizontal="left" vertical="center" wrapText="1"/>
    </xf>
    <xf numFmtId="0" fontId="9" fillId="0" borderId="0" xfId="4" applyFont="1" applyFill="1" applyBorder="1" applyAlignment="1" applyProtection="1">
      <alignment horizontal="left" vertical="center"/>
    </xf>
    <xf numFmtId="0" fontId="9" fillId="0" borderId="0" xfId="6" applyFont="1" applyFill="1" applyBorder="1" applyAlignment="1" applyProtection="1">
      <alignment horizontal="left" vertical="center" wrapText="1"/>
    </xf>
    <xf numFmtId="0" fontId="11" fillId="10" borderId="50" xfId="0" applyFont="1" applyFill="1" applyBorder="1" applyAlignment="1">
      <alignment vertical="center" textRotation="90" wrapText="1"/>
    </xf>
    <xf numFmtId="0" fontId="5" fillId="0" borderId="15" xfId="0" applyFont="1" applyBorder="1" applyAlignment="1">
      <alignment horizontal="center" vertical="center" wrapText="1"/>
    </xf>
    <xf numFmtId="0" fontId="0" fillId="0" borderId="13" xfId="0" applyBorder="1" applyAlignment="1">
      <alignment horizontal="center" vertical="center"/>
    </xf>
    <xf numFmtId="0" fontId="0" fillId="0" borderId="24" xfId="0" applyBorder="1" applyAlignment="1">
      <alignment horizontal="center" vertical="center"/>
    </xf>
    <xf numFmtId="0" fontId="3" fillId="0" borderId="72" xfId="0" applyFont="1" applyBorder="1" applyAlignment="1">
      <alignment horizontal="center" vertical="center" wrapText="1"/>
    </xf>
    <xf numFmtId="0" fontId="3" fillId="0" borderId="49" xfId="0" applyFont="1" applyBorder="1" applyAlignment="1">
      <alignment horizontal="center" vertical="center" wrapText="1"/>
    </xf>
    <xf numFmtId="0" fontId="3" fillId="0" borderId="50" xfId="0" applyFont="1" applyBorder="1" applyAlignment="1">
      <alignment horizontal="center" vertical="center" wrapText="1"/>
    </xf>
    <xf numFmtId="0" fontId="5" fillId="0" borderId="7" xfId="0" applyFont="1" applyBorder="1" applyAlignment="1">
      <alignment horizontal="center" vertical="center" wrapText="1"/>
    </xf>
    <xf numFmtId="0" fontId="0" fillId="0" borderId="19" xfId="0" applyBorder="1" applyAlignment="1">
      <alignment horizontal="center" vertical="center"/>
    </xf>
    <xf numFmtId="0" fontId="5" fillId="0" borderId="19" xfId="0" applyFont="1" applyBorder="1" applyAlignment="1">
      <alignment horizontal="center" vertical="center" wrapText="1"/>
    </xf>
    <xf numFmtId="0" fontId="4" fillId="4" borderId="0" xfId="0" applyFont="1" applyFill="1" applyBorder="1" applyAlignment="1">
      <alignment horizontal="center" vertical="top" wrapText="1"/>
    </xf>
    <xf numFmtId="0" fontId="3" fillId="0" borderId="52" xfId="0" applyFont="1" applyBorder="1" applyAlignment="1">
      <alignment horizontal="center" vertical="center"/>
    </xf>
    <xf numFmtId="0" fontId="3" fillId="0" borderId="54" xfId="0" applyFont="1" applyBorder="1" applyAlignment="1">
      <alignment horizontal="center" vertical="center"/>
    </xf>
    <xf numFmtId="0" fontId="5" fillId="0" borderId="67" xfId="0" applyFont="1" applyBorder="1" applyAlignment="1">
      <alignment horizontal="center" vertical="center" wrapText="1"/>
    </xf>
    <xf numFmtId="0" fontId="5" fillId="0" borderId="16" xfId="0" applyFont="1" applyBorder="1" applyAlignment="1">
      <alignment horizontal="center" vertical="center" wrapText="1"/>
    </xf>
    <xf numFmtId="0" fontId="5" fillId="0" borderId="73" xfId="0" applyFont="1" applyBorder="1" applyAlignment="1">
      <alignment horizontal="center" vertical="center" wrapText="1"/>
    </xf>
    <xf numFmtId="0" fontId="5" fillId="0" borderId="22" xfId="0" applyFont="1" applyBorder="1" applyAlignment="1">
      <alignment horizontal="center" vertical="center" wrapText="1"/>
    </xf>
    <xf numFmtId="0" fontId="3" fillId="0" borderId="53" xfId="0" applyFont="1" applyBorder="1" applyAlignment="1">
      <alignment horizontal="center" vertical="center"/>
    </xf>
    <xf numFmtId="0" fontId="5" fillId="0" borderId="14" xfId="0" applyFont="1" applyBorder="1" applyAlignment="1">
      <alignment horizontal="center" vertical="center" wrapText="1"/>
    </xf>
    <xf numFmtId="0" fontId="5" fillId="0" borderId="5" xfId="0" applyFont="1" applyBorder="1" applyAlignment="1">
      <alignment horizontal="center" vertical="center" wrapText="1"/>
    </xf>
    <xf numFmtId="0" fontId="5" fillId="0" borderId="20" xfId="0" applyFont="1" applyBorder="1" applyAlignment="1">
      <alignment horizontal="center" vertical="center" wrapText="1"/>
    </xf>
    <xf numFmtId="0" fontId="5" fillId="0" borderId="13" xfId="0" applyFont="1" applyBorder="1" applyAlignment="1">
      <alignment horizontal="center" vertical="center" wrapText="1"/>
    </xf>
    <xf numFmtId="0" fontId="5" fillId="0" borderId="24" xfId="0" applyFont="1" applyBorder="1" applyAlignment="1">
      <alignment horizontal="center" vertical="center" wrapText="1"/>
    </xf>
    <xf numFmtId="0" fontId="4" fillId="4" borderId="0" xfId="0" applyFont="1" applyFill="1" applyAlignment="1">
      <alignment horizontal="center" vertical="top" wrapText="1"/>
    </xf>
    <xf numFmtId="11" fontId="19" fillId="0" borderId="68" xfId="0" quotePrefix="1" applyNumberFormat="1" applyFont="1" applyBorder="1" applyAlignment="1">
      <alignment horizontal="left" vertical="top" wrapText="1"/>
    </xf>
    <xf numFmtId="11" fontId="19" fillId="0" borderId="59" xfId="0" quotePrefix="1" applyNumberFormat="1" applyFont="1" applyBorder="1" applyAlignment="1">
      <alignment horizontal="left" vertical="top" wrapText="1"/>
    </xf>
    <xf numFmtId="11" fontId="19" fillId="0" borderId="35" xfId="0" quotePrefix="1" applyNumberFormat="1" applyFont="1" applyBorder="1" applyAlignment="1">
      <alignment horizontal="left" vertical="top" wrapText="1"/>
    </xf>
    <xf numFmtId="11" fontId="19" fillId="0" borderId="4" xfId="0" quotePrefix="1" applyNumberFormat="1" applyFont="1" applyBorder="1" applyAlignment="1">
      <alignment horizontal="left" vertical="top" wrapText="1"/>
    </xf>
    <xf numFmtId="11" fontId="19" fillId="0" borderId="0" xfId="0" quotePrefix="1" applyNumberFormat="1" applyFont="1" applyBorder="1" applyAlignment="1">
      <alignment horizontal="left" vertical="top" wrapText="1"/>
    </xf>
    <xf numFmtId="11" fontId="19" fillId="0" borderId="65" xfId="0" quotePrefix="1" applyNumberFormat="1" applyFont="1" applyBorder="1" applyAlignment="1">
      <alignment horizontal="left" vertical="top" wrapText="1"/>
    </xf>
    <xf numFmtId="11" fontId="19" fillId="0" borderId="71" xfId="0" quotePrefix="1" applyNumberFormat="1" applyFont="1" applyBorder="1" applyAlignment="1">
      <alignment horizontal="left" vertical="top" wrapText="1"/>
    </xf>
    <xf numFmtId="11" fontId="19" fillId="0" borderId="3" xfId="0" quotePrefix="1" applyNumberFormat="1" applyFont="1" applyBorder="1" applyAlignment="1">
      <alignment horizontal="left" vertical="top" wrapText="1"/>
    </xf>
    <xf numFmtId="11" fontId="19" fillId="0" borderId="34" xfId="0" quotePrefix="1" applyNumberFormat="1" applyFont="1" applyBorder="1" applyAlignment="1">
      <alignment horizontal="left" vertical="top" wrapText="1"/>
    </xf>
    <xf numFmtId="0" fontId="4" fillId="0" borderId="0" xfId="0" applyFont="1" applyBorder="1" applyAlignment="1">
      <alignment horizontal="center" vertical="top" wrapText="1"/>
    </xf>
    <xf numFmtId="0" fontId="3" fillId="0" borderId="0" xfId="0" applyFont="1" applyAlignment="1">
      <alignment horizontal="left" vertical="center" wrapText="1"/>
    </xf>
    <xf numFmtId="0" fontId="2" fillId="0" borderId="4" xfId="0" applyFont="1" applyBorder="1" applyAlignment="1">
      <alignment horizontal="center" vertical="center" textRotation="90" wrapText="1"/>
    </xf>
    <xf numFmtId="0" fontId="8" fillId="0" borderId="4" xfId="0" applyFont="1" applyBorder="1" applyAlignment="1">
      <alignment horizontal="center" vertical="center" textRotation="90" wrapText="1"/>
    </xf>
    <xf numFmtId="0" fontId="8" fillId="0" borderId="38" xfId="0" applyFont="1" applyBorder="1" applyAlignment="1">
      <alignment horizontal="center" vertical="center" textRotation="90" wrapText="1"/>
    </xf>
    <xf numFmtId="0" fontId="2" fillId="7" borderId="52" xfId="0" applyFont="1" applyFill="1" applyBorder="1" applyAlignment="1">
      <alignment horizontal="left" vertical="center" wrapText="1"/>
    </xf>
    <xf numFmtId="0" fontId="8" fillId="7" borderId="54" xfId="0" applyFont="1" applyFill="1" applyBorder="1" applyAlignment="1">
      <alignment horizontal="left" vertical="center" wrapText="1"/>
    </xf>
    <xf numFmtId="11" fontId="16" fillId="0" borderId="68" xfId="0" quotePrefix="1" applyNumberFormat="1" applyFont="1" applyBorder="1" applyAlignment="1">
      <alignment horizontal="left" vertical="top" wrapText="1"/>
    </xf>
    <xf numFmtId="11" fontId="16" fillId="0" borderId="59" xfId="0" quotePrefix="1" applyNumberFormat="1" applyFont="1" applyBorder="1" applyAlignment="1">
      <alignment horizontal="left" vertical="top" wrapText="1"/>
    </xf>
    <xf numFmtId="11" fontId="16" fillId="0" borderId="35" xfId="0" quotePrefix="1" applyNumberFormat="1" applyFont="1" applyBorder="1" applyAlignment="1">
      <alignment horizontal="left" vertical="top" wrapText="1"/>
    </xf>
    <xf numFmtId="11" fontId="16" fillId="0" borderId="4" xfId="0" quotePrefix="1" applyNumberFormat="1" applyFont="1" applyBorder="1" applyAlignment="1">
      <alignment horizontal="left" vertical="top" wrapText="1"/>
    </xf>
    <xf numFmtId="11" fontId="16" fillId="0" borderId="0" xfId="0" quotePrefix="1" applyNumberFormat="1" applyFont="1" applyBorder="1" applyAlignment="1">
      <alignment horizontal="left" vertical="top" wrapText="1"/>
    </xf>
    <xf numFmtId="11" fontId="16" fillId="0" borderId="65" xfId="0" quotePrefix="1" applyNumberFormat="1" applyFont="1" applyBorder="1" applyAlignment="1">
      <alignment horizontal="left" vertical="top" wrapText="1"/>
    </xf>
    <xf numFmtId="11" fontId="16" fillId="0" borderId="71" xfId="0" quotePrefix="1" applyNumberFormat="1" applyFont="1" applyBorder="1" applyAlignment="1">
      <alignment horizontal="left" vertical="top" wrapText="1"/>
    </xf>
    <xf numFmtId="11" fontId="16" fillId="0" borderId="3" xfId="0" quotePrefix="1" applyNumberFormat="1" applyFont="1" applyBorder="1" applyAlignment="1">
      <alignment horizontal="left" vertical="top" wrapText="1"/>
    </xf>
    <xf numFmtId="11" fontId="16" fillId="0" borderId="34" xfId="0" quotePrefix="1" applyNumberFormat="1" applyFont="1" applyBorder="1" applyAlignment="1">
      <alignment horizontal="left" vertical="top" wrapText="1"/>
    </xf>
    <xf numFmtId="0" fontId="0" fillId="0" borderId="20" xfId="0" applyBorder="1" applyAlignment="1">
      <alignment horizontal="center" vertical="center"/>
    </xf>
    <xf numFmtId="0" fontId="5" fillId="0" borderId="37" xfId="0" applyFont="1" applyBorder="1" applyAlignment="1">
      <alignment horizontal="center" vertical="center" wrapText="1"/>
    </xf>
    <xf numFmtId="0" fontId="0" fillId="0" borderId="16" xfId="0" applyBorder="1" applyAlignment="1">
      <alignment horizontal="center" vertical="center"/>
    </xf>
    <xf numFmtId="0" fontId="5" fillId="0" borderId="6" xfId="0" applyFont="1" applyBorder="1" applyAlignment="1">
      <alignment horizontal="center" vertical="center" wrapText="1"/>
    </xf>
    <xf numFmtId="0" fontId="5" fillId="0" borderId="21" xfId="0" applyFont="1" applyBorder="1" applyAlignment="1">
      <alignment horizontal="center" vertical="center" wrapText="1"/>
    </xf>
    <xf numFmtId="0" fontId="9" fillId="0" borderId="0" xfId="0" applyFont="1" applyBorder="1" applyAlignment="1">
      <alignment wrapText="1"/>
    </xf>
    <xf numFmtId="0" fontId="8" fillId="0" borderId="0" xfId="0" applyFont="1" applyBorder="1" applyAlignment="1">
      <alignment wrapText="1"/>
    </xf>
    <xf numFmtId="0" fontId="4" fillId="0" borderId="72" xfId="0" applyFont="1" applyBorder="1" applyAlignment="1">
      <alignment horizontal="center" vertical="top" wrapText="1"/>
    </xf>
    <xf numFmtId="0" fontId="4" fillId="0" borderId="49" xfId="0" applyFont="1" applyBorder="1" applyAlignment="1">
      <alignment horizontal="center" vertical="top" wrapText="1"/>
    </xf>
    <xf numFmtId="0" fontId="4" fillId="0" borderId="4" xfId="0" applyFont="1" applyBorder="1" applyAlignment="1">
      <alignment horizontal="center" vertical="top" wrapText="1"/>
    </xf>
    <xf numFmtId="0" fontId="4" fillId="0" borderId="38" xfId="0" applyFont="1" applyBorder="1" applyAlignment="1">
      <alignment horizontal="center" vertical="top" wrapText="1"/>
    </xf>
    <xf numFmtId="0" fontId="4" fillId="0" borderId="70" xfId="0" applyFont="1" applyBorder="1" applyAlignment="1">
      <alignment horizontal="center" vertical="top" wrapText="1"/>
    </xf>
    <xf numFmtId="0" fontId="3" fillId="0" borderId="52" xfId="0" applyFont="1" applyBorder="1" applyAlignment="1">
      <alignment horizontal="center" vertical="center" wrapText="1"/>
    </xf>
    <xf numFmtId="0" fontId="3" fillId="0" borderId="53" xfId="0" applyFont="1" applyBorder="1" applyAlignment="1">
      <alignment horizontal="center" vertical="center" wrapText="1"/>
    </xf>
    <xf numFmtId="0" fontId="3" fillId="0" borderId="54" xfId="0" applyFont="1" applyBorder="1" applyAlignment="1">
      <alignment horizontal="center" vertical="center" wrapText="1"/>
    </xf>
    <xf numFmtId="0" fontId="4" fillId="0" borderId="73" xfId="0" applyFont="1" applyBorder="1" applyAlignment="1">
      <alignment horizontal="center" vertical="center" wrapText="1"/>
    </xf>
    <xf numFmtId="0" fontId="4" fillId="0" borderId="73" xfId="0" applyFont="1" applyBorder="1" applyAlignment="1">
      <alignment horizontal="center" vertical="center"/>
    </xf>
    <xf numFmtId="0" fontId="4" fillId="0" borderId="22" xfId="0" applyFont="1" applyBorder="1" applyAlignment="1">
      <alignment horizontal="center" vertical="center"/>
    </xf>
    <xf numFmtId="0" fontId="4" fillId="0" borderId="0" xfId="0" applyFont="1" applyFill="1" applyBorder="1" applyAlignment="1">
      <alignment horizontal="center" vertical="top" wrapText="1"/>
    </xf>
    <xf numFmtId="0" fontId="3" fillId="0" borderId="31" xfId="0" applyFont="1" applyBorder="1" applyAlignment="1">
      <alignment horizontal="center" vertical="center" wrapText="1"/>
    </xf>
    <xf numFmtId="0" fontId="3" fillId="0" borderId="26" xfId="0" applyFont="1" applyBorder="1" applyAlignment="1">
      <alignment horizontal="center" vertical="center"/>
    </xf>
    <xf numFmtId="0" fontId="5" fillId="0" borderId="17" xfId="0" applyFont="1" applyBorder="1" applyAlignment="1">
      <alignment horizontal="center" vertical="center" wrapText="1"/>
    </xf>
    <xf numFmtId="0" fontId="4" fillId="0" borderId="23" xfId="0" applyFont="1" applyBorder="1" applyAlignment="1">
      <alignment horizontal="center" vertical="top" wrapText="1"/>
    </xf>
    <xf numFmtId="0" fontId="4" fillId="0" borderId="73" xfId="0" applyFont="1" applyBorder="1" applyAlignment="1">
      <alignment horizontal="center" vertical="top" wrapText="1"/>
    </xf>
    <xf numFmtId="0" fontId="9" fillId="0" borderId="49" xfId="0" applyFont="1" applyBorder="1" applyAlignment="1">
      <alignment horizontal="left" wrapText="1"/>
    </xf>
    <xf numFmtId="0" fontId="29" fillId="0" borderId="70" xfId="0" applyFont="1" applyBorder="1" applyAlignment="1">
      <alignment horizontal="left" vertical="top" wrapText="1"/>
    </xf>
    <xf numFmtId="0" fontId="6" fillId="0" borderId="42" xfId="0" applyFont="1" applyBorder="1" applyAlignment="1">
      <alignment horizontal="center" vertical="top"/>
    </xf>
    <xf numFmtId="0" fontId="6" fillId="0" borderId="27" xfId="0" applyFont="1" applyBorder="1" applyAlignment="1">
      <alignment horizontal="center" vertical="top"/>
    </xf>
    <xf numFmtId="0" fontId="6" fillId="10" borderId="42" xfId="0" applyFont="1" applyFill="1" applyBorder="1" applyAlignment="1">
      <alignment horizontal="center" vertical="top"/>
    </xf>
    <xf numFmtId="0" fontId="6" fillId="10" borderId="27" xfId="0" applyFont="1" applyFill="1" applyBorder="1" applyAlignment="1">
      <alignment horizontal="center" vertical="top"/>
    </xf>
    <xf numFmtId="0" fontId="4" fillId="0" borderId="74" xfId="0" applyFont="1" applyFill="1" applyBorder="1" applyAlignment="1">
      <alignment horizontal="center" vertical="top" wrapText="1"/>
    </xf>
    <xf numFmtId="0" fontId="4" fillId="0" borderId="75" xfId="0" applyFont="1" applyFill="1" applyBorder="1" applyAlignment="1">
      <alignment horizontal="center" vertical="top" wrapText="1"/>
    </xf>
    <xf numFmtId="0" fontId="4" fillId="0" borderId="76" xfId="0" applyFont="1" applyFill="1" applyBorder="1" applyAlignment="1">
      <alignment horizontal="center" vertical="top" wrapText="1"/>
    </xf>
    <xf numFmtId="0" fontId="4" fillId="0" borderId="77" xfId="0" applyFont="1" applyFill="1" applyBorder="1" applyAlignment="1">
      <alignment horizontal="center" vertical="top" wrapText="1"/>
    </xf>
    <xf numFmtId="0" fontId="4" fillId="0" borderId="78" xfId="0" applyFont="1" applyFill="1" applyBorder="1" applyAlignment="1">
      <alignment horizontal="center" vertical="top" wrapText="1"/>
    </xf>
    <xf numFmtId="11" fontId="16" fillId="0" borderId="0" xfId="0" applyNumberFormat="1" applyFont="1" applyBorder="1" applyAlignment="1">
      <alignment horizontal="left" vertical="top" wrapText="1"/>
    </xf>
    <xf numFmtId="11" fontId="4" fillId="0" borderId="0" xfId="0" applyNumberFormat="1" applyFont="1" applyAlignment="1">
      <alignment horizontal="center" vertical="top" wrapText="1"/>
    </xf>
    <xf numFmtId="0" fontId="6" fillId="0" borderId="44" xfId="0" applyFont="1" applyBorder="1" applyAlignment="1">
      <alignment horizontal="center" vertical="top"/>
    </xf>
    <xf numFmtId="11" fontId="23" fillId="0" borderId="0" xfId="0" applyNumberFormat="1" applyFont="1" applyBorder="1" applyAlignment="1">
      <alignment horizontal="left" vertical="top" wrapText="1"/>
    </xf>
    <xf numFmtId="0" fontId="4" fillId="0" borderId="6" xfId="0" applyFont="1" applyBorder="1" applyAlignment="1">
      <alignment horizontal="center" vertical="top" wrapText="1"/>
    </xf>
    <xf numFmtId="0" fontId="4" fillId="0" borderId="66" xfId="0" applyFont="1" applyBorder="1" applyAlignment="1">
      <alignment horizontal="center" vertical="top" wrapText="1"/>
    </xf>
    <xf numFmtId="0" fontId="8" fillId="0" borderId="0" xfId="0" applyFont="1" applyBorder="1" applyAlignment="1">
      <alignment horizontal="center"/>
    </xf>
    <xf numFmtId="0" fontId="6" fillId="7" borderId="52" xfId="0" applyFont="1" applyFill="1" applyBorder="1" applyAlignment="1">
      <alignment horizontal="left" vertical="top" wrapText="1"/>
    </xf>
    <xf numFmtId="0" fontId="6" fillId="7" borderId="32" xfId="0" applyFont="1" applyFill="1" applyBorder="1" applyAlignment="1">
      <alignment horizontal="left" vertical="top" wrapText="1"/>
    </xf>
    <xf numFmtId="0" fontId="4" fillId="0" borderId="23" xfId="0" applyFont="1" applyBorder="1" applyAlignment="1">
      <alignment horizontal="center" vertical="center" wrapText="1"/>
    </xf>
    <xf numFmtId="0" fontId="4" fillId="0" borderId="22" xfId="0" applyFont="1" applyBorder="1" applyAlignment="1">
      <alignment horizontal="center" vertical="center" wrapText="1"/>
    </xf>
    <xf numFmtId="0" fontId="4" fillId="0" borderId="47" xfId="0" applyFont="1" applyBorder="1" applyAlignment="1">
      <alignment horizontal="center" vertical="center" wrapText="1"/>
    </xf>
    <xf numFmtId="0" fontId="4" fillId="0" borderId="35" xfId="0" applyFont="1" applyBorder="1" applyAlignment="1">
      <alignment horizontal="center" vertical="center"/>
    </xf>
    <xf numFmtId="0" fontId="4" fillId="0" borderId="48" xfId="0" applyFont="1" applyBorder="1" applyAlignment="1">
      <alignment horizontal="center" vertical="center"/>
    </xf>
    <xf numFmtId="0" fontId="4" fillId="0" borderId="34" xfId="0" applyFont="1" applyBorder="1" applyAlignment="1">
      <alignment horizontal="center" vertical="center"/>
    </xf>
    <xf numFmtId="0" fontId="4" fillId="0" borderId="9" xfId="0" applyFont="1" applyBorder="1" applyAlignment="1">
      <alignment horizontal="center" vertical="center" wrapText="1"/>
    </xf>
    <xf numFmtId="0" fontId="4" fillId="0" borderId="66" xfId="0" applyFont="1" applyBorder="1" applyAlignment="1">
      <alignment horizontal="center" vertical="center" wrapText="1"/>
    </xf>
    <xf numFmtId="0" fontId="4" fillId="0" borderId="21" xfId="0" applyFont="1" applyBorder="1" applyAlignment="1">
      <alignment horizontal="center" vertical="center" wrapText="1"/>
    </xf>
    <xf numFmtId="0" fontId="4" fillId="0" borderId="9" xfId="0" applyFont="1" applyBorder="1" applyAlignment="1">
      <alignment vertical="center" wrapText="1"/>
    </xf>
    <xf numFmtId="0" fontId="4" fillId="0" borderId="66" xfId="0" applyFont="1" applyBorder="1" applyAlignment="1">
      <alignment vertical="center" wrapText="1"/>
    </xf>
    <xf numFmtId="0" fontId="4" fillId="0" borderId="21" xfId="0" applyFont="1" applyBorder="1" applyAlignment="1">
      <alignment vertical="center" wrapText="1"/>
    </xf>
    <xf numFmtId="0" fontId="4" fillId="0" borderId="4" xfId="0" applyFont="1" applyBorder="1" applyAlignment="1">
      <alignment vertical="center" wrapText="1"/>
    </xf>
    <xf numFmtId="0" fontId="4" fillId="0" borderId="38" xfId="0" applyFont="1" applyBorder="1" applyAlignment="1">
      <alignment vertical="center" wrapText="1"/>
    </xf>
    <xf numFmtId="0" fontId="9" fillId="0" borderId="6" xfId="0" applyFont="1" applyBorder="1" applyAlignment="1">
      <alignment horizontal="center" vertical="center" wrapText="1"/>
    </xf>
    <xf numFmtId="0" fontId="9" fillId="0" borderId="66" xfId="0" applyFont="1" applyBorder="1" applyAlignment="1">
      <alignment horizontal="center" vertical="center"/>
    </xf>
    <xf numFmtId="0" fontId="9" fillId="0" borderId="21" xfId="0" applyFont="1" applyBorder="1" applyAlignment="1">
      <alignment horizontal="center" vertical="center"/>
    </xf>
    <xf numFmtId="0" fontId="11" fillId="0" borderId="0" xfId="0" applyFont="1" applyBorder="1" applyAlignment="1">
      <alignment horizontal="center" vertical="top" wrapText="1"/>
    </xf>
    <xf numFmtId="0" fontId="4" fillId="0" borderId="72" xfId="0" applyFont="1" applyBorder="1" applyAlignment="1">
      <alignment vertical="center" wrapText="1"/>
    </xf>
    <xf numFmtId="0" fontId="4" fillId="7" borderId="9" xfId="0" applyFont="1" applyFill="1" applyBorder="1" applyAlignment="1">
      <alignment horizontal="center" vertical="center" wrapText="1"/>
    </xf>
    <xf numFmtId="0" fontId="4" fillId="7" borderId="66" xfId="0" applyFont="1" applyFill="1" applyBorder="1" applyAlignment="1">
      <alignment horizontal="center" vertical="center" wrapText="1"/>
    </xf>
    <xf numFmtId="0" fontId="4" fillId="7" borderId="21" xfId="0" applyFont="1" applyFill="1" applyBorder="1" applyAlignment="1">
      <alignment horizontal="center" vertical="center" wrapText="1"/>
    </xf>
    <xf numFmtId="0" fontId="4" fillId="0" borderId="1" xfId="0" applyFont="1" applyBorder="1" applyAlignment="1">
      <alignment vertical="center" wrapText="1"/>
    </xf>
    <xf numFmtId="0" fontId="4" fillId="0" borderId="67" xfId="0" applyFont="1" applyBorder="1" applyAlignment="1">
      <alignment vertical="center" wrapText="1"/>
    </xf>
    <xf numFmtId="0" fontId="4" fillId="0" borderId="16" xfId="0" applyFont="1" applyBorder="1" applyAlignment="1">
      <alignment vertical="center" wrapText="1"/>
    </xf>
    <xf numFmtId="0" fontId="6" fillId="0" borderId="42" xfId="0" applyFont="1" applyBorder="1" applyAlignment="1">
      <alignment horizontal="center" vertical="center"/>
    </xf>
    <xf numFmtId="0" fontId="6" fillId="0" borderId="79" xfId="0" applyFont="1" applyBorder="1" applyAlignment="1">
      <alignment horizontal="center" vertical="center"/>
    </xf>
    <xf numFmtId="0" fontId="6" fillId="0" borderId="44" xfId="0" applyFont="1" applyBorder="1" applyAlignment="1">
      <alignment horizontal="center" vertical="center"/>
    </xf>
    <xf numFmtId="0" fontId="24" fillId="0" borderId="0" xfId="0" applyFont="1" applyAlignment="1">
      <alignment horizontal="left" wrapText="1"/>
    </xf>
    <xf numFmtId="0" fontId="17" fillId="0" borderId="0" xfId="0" applyFont="1" applyAlignment="1">
      <alignment horizontal="left" wrapText="1"/>
    </xf>
    <xf numFmtId="0" fontId="4" fillId="0" borderId="8" xfId="0" applyFont="1" applyBorder="1" applyAlignment="1">
      <alignment vertical="center" wrapText="1"/>
    </xf>
    <xf numFmtId="0" fontId="4" fillId="0" borderId="11" xfId="0" applyFont="1" applyBorder="1" applyAlignment="1">
      <alignment vertical="center" wrapText="1"/>
    </xf>
    <xf numFmtId="0" fontId="43" fillId="7" borderId="9" xfId="0" applyFont="1" applyFill="1" applyBorder="1" applyAlignment="1">
      <alignment horizontal="center" vertical="center" wrapText="1"/>
    </xf>
    <xf numFmtId="0" fontId="43" fillId="7" borderId="66" xfId="0" applyFont="1" applyFill="1" applyBorder="1" applyAlignment="1">
      <alignment horizontal="center" vertical="center" wrapText="1"/>
    </xf>
    <xf numFmtId="0" fontId="8" fillId="0" borderId="0" xfId="0" applyFont="1" applyAlignment="1">
      <alignment horizontal="center"/>
    </xf>
    <xf numFmtId="0" fontId="18" fillId="0" borderId="0" xfId="0" applyFont="1" applyAlignment="1">
      <alignment horizontal="left" wrapText="1"/>
    </xf>
    <xf numFmtId="0" fontId="4" fillId="0" borderId="6"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33" xfId="0" applyFont="1" applyBorder="1" applyAlignment="1">
      <alignment horizontal="center" vertical="center" wrapText="1"/>
    </xf>
    <xf numFmtId="0" fontId="44" fillId="0" borderId="4" xfId="0" applyFont="1" applyBorder="1" applyAlignment="1">
      <alignment horizontal="left" wrapText="1"/>
    </xf>
    <xf numFmtId="0" fontId="44" fillId="0" borderId="0" xfId="0" applyFont="1" applyAlignment="1">
      <alignment horizontal="left" wrapText="1"/>
    </xf>
    <xf numFmtId="0" fontId="4" fillId="0" borderId="1" xfId="4" applyFont="1" applyBorder="1" applyAlignment="1">
      <alignment vertical="center" wrapText="1"/>
    </xf>
    <xf numFmtId="0" fontId="4" fillId="0" borderId="67" xfId="4" applyFont="1" applyBorder="1" applyAlignment="1">
      <alignment vertical="center" wrapText="1"/>
    </xf>
    <xf numFmtId="0" fontId="4" fillId="0" borderId="16" xfId="4" applyFont="1" applyBorder="1" applyAlignment="1">
      <alignment vertical="center" wrapText="1"/>
    </xf>
    <xf numFmtId="0" fontId="4" fillId="0" borderId="9" xfId="4" applyFont="1" applyBorder="1" applyAlignment="1">
      <alignment vertical="center" wrapText="1"/>
    </xf>
    <xf numFmtId="0" fontId="4" fillId="0" borderId="66" xfId="4" applyFont="1" applyBorder="1" applyAlignment="1">
      <alignment vertical="center" wrapText="1"/>
    </xf>
    <xf numFmtId="0" fontId="4" fillId="0" borderId="9" xfId="4" applyFont="1" applyBorder="1" applyAlignment="1">
      <alignment horizontal="center" vertical="center" wrapText="1"/>
    </xf>
    <xf numFmtId="0" fontId="4" fillId="0" borderId="66" xfId="4" applyFont="1" applyBorder="1" applyAlignment="1">
      <alignment horizontal="center" vertical="center" wrapText="1"/>
    </xf>
    <xf numFmtId="0" fontId="4" fillId="0" borderId="82" xfId="4" applyFont="1" applyBorder="1" applyAlignment="1">
      <alignment horizontal="center" vertical="center" wrapText="1"/>
    </xf>
    <xf numFmtId="0" fontId="4" fillId="0" borderId="73" xfId="4" applyFont="1" applyBorder="1" applyAlignment="1">
      <alignment horizontal="center" vertical="center" wrapText="1"/>
    </xf>
    <xf numFmtId="0" fontId="9" fillId="0" borderId="6" xfId="4" applyFont="1" applyBorder="1" applyAlignment="1">
      <alignment horizontal="center" vertical="center" wrapText="1"/>
    </xf>
    <xf numFmtId="0" fontId="9" fillId="0" borderId="66" xfId="4" applyFont="1" applyBorder="1" applyAlignment="1">
      <alignment horizontal="center" vertical="center"/>
    </xf>
    <xf numFmtId="0" fontId="6" fillId="0" borderId="79" xfId="4" applyFont="1" applyBorder="1" applyAlignment="1">
      <alignment horizontal="center" vertical="center"/>
    </xf>
    <xf numFmtId="0" fontId="2" fillId="0" borderId="15" xfId="4" applyFont="1" applyBorder="1" applyAlignment="1">
      <alignment horizontal="center" vertical="center"/>
    </xf>
    <xf numFmtId="0" fontId="2" fillId="0" borderId="13" xfId="4" applyFont="1" applyBorder="1" applyAlignment="1">
      <alignment horizontal="center" vertical="center"/>
    </xf>
    <xf numFmtId="0" fontId="2" fillId="0" borderId="24" xfId="4" applyFont="1" applyBorder="1" applyAlignment="1">
      <alignment horizontal="center" vertical="center"/>
    </xf>
    <xf numFmtId="0" fontId="4" fillId="0" borderId="59" xfId="4" applyFont="1" applyBorder="1" applyAlignment="1">
      <alignment horizontal="center" vertical="center" wrapText="1"/>
    </xf>
    <xf numFmtId="0" fontId="4" fillId="0" borderId="35" xfId="4" applyFont="1" applyBorder="1" applyAlignment="1">
      <alignment horizontal="center" vertical="center"/>
    </xf>
    <xf numFmtId="0" fontId="4" fillId="0" borderId="3" xfId="4" applyFont="1" applyBorder="1" applyAlignment="1">
      <alignment horizontal="center" vertical="center"/>
    </xf>
    <xf numFmtId="0" fontId="4" fillId="0" borderId="34" xfId="4" applyFont="1" applyBorder="1" applyAlignment="1">
      <alignment horizontal="center" vertical="center"/>
    </xf>
    <xf numFmtId="0" fontId="4" fillId="0" borderId="47" xfId="4" applyFont="1" applyBorder="1" applyAlignment="1">
      <alignment horizontal="center" vertical="center" wrapText="1"/>
    </xf>
    <xf numFmtId="0" fontId="4" fillId="0" borderId="48" xfId="4" applyFont="1" applyBorder="1" applyAlignment="1">
      <alignment horizontal="center" vertical="center"/>
    </xf>
    <xf numFmtId="0" fontId="4" fillId="0" borderId="81" xfId="4" applyFont="1" applyBorder="1" applyAlignment="1">
      <alignment horizontal="center" vertical="center" wrapText="1"/>
    </xf>
    <xf numFmtId="0" fontId="9" fillId="0" borderId="35" xfId="4" applyFont="1" applyBorder="1" applyAlignment="1">
      <alignment horizontal="center" vertical="center" wrapText="1"/>
    </xf>
    <xf numFmtId="0" fontId="9" fillId="0" borderId="65" xfId="4" applyFont="1" applyBorder="1" applyAlignment="1">
      <alignment horizontal="center" vertical="center"/>
    </xf>
    <xf numFmtId="0" fontId="2" fillId="0" borderId="5" xfId="4" applyFont="1" applyBorder="1" applyAlignment="1">
      <alignment horizontal="left"/>
    </xf>
    <xf numFmtId="0" fontId="5" fillId="0" borderId="0" xfId="4" applyFont="1" applyAlignment="1">
      <alignment horizontal="left" vertical="top" wrapText="1"/>
    </xf>
    <xf numFmtId="0" fontId="2" fillId="0" borderId="5" xfId="4" applyFont="1" applyBorder="1" applyAlignment="1">
      <alignment horizontal="left" vertical="center"/>
    </xf>
    <xf numFmtId="0" fontId="4" fillId="0" borderId="72" xfId="4" applyFont="1" applyBorder="1" applyAlignment="1">
      <alignment vertical="center" wrapText="1"/>
    </xf>
    <xf numFmtId="0" fontId="4" fillId="0" borderId="4" xfId="4" applyFont="1" applyBorder="1" applyAlignment="1">
      <alignment vertical="center" wrapText="1"/>
    </xf>
    <xf numFmtId="0" fontId="4" fillId="0" borderId="38" xfId="4" applyFont="1" applyBorder="1" applyAlignment="1">
      <alignment vertical="center" wrapText="1"/>
    </xf>
    <xf numFmtId="0" fontId="4" fillId="0" borderId="5" xfId="4" applyFont="1" applyBorder="1" applyAlignment="1">
      <alignment horizontal="center"/>
    </xf>
    <xf numFmtId="0" fontId="2" fillId="0" borderId="5" xfId="4" applyFont="1" applyBorder="1" applyAlignment="1">
      <alignment horizontal="center"/>
    </xf>
    <xf numFmtId="0" fontId="2" fillId="0" borderId="47" xfId="4" applyFont="1" applyBorder="1" applyAlignment="1">
      <alignment horizontal="left" vertical="center"/>
    </xf>
    <xf numFmtId="0" fontId="2" fillId="0" borderId="35" xfId="4" applyFont="1" applyBorder="1" applyAlignment="1">
      <alignment horizontal="left" vertical="center"/>
    </xf>
    <xf numFmtId="0" fontId="2" fillId="0" borderId="48" xfId="4" applyFont="1" applyBorder="1" applyAlignment="1">
      <alignment horizontal="left" vertical="center"/>
    </xf>
    <xf numFmtId="0" fontId="2" fillId="0" borderId="34" xfId="4" applyFont="1" applyBorder="1" applyAlignment="1">
      <alignment horizontal="left" vertical="center"/>
    </xf>
    <xf numFmtId="0" fontId="4" fillId="0" borderId="43" xfId="4" applyFont="1" applyBorder="1" applyAlignment="1">
      <alignment horizontal="center"/>
    </xf>
    <xf numFmtId="0" fontId="4" fillId="0" borderId="2" xfId="4" applyFont="1" applyBorder="1" applyAlignment="1">
      <alignment horizontal="center"/>
    </xf>
    <xf numFmtId="0" fontId="4" fillId="0" borderId="10" xfId="4" applyFont="1" applyBorder="1" applyAlignment="1">
      <alignment horizontal="center"/>
    </xf>
    <xf numFmtId="0" fontId="4" fillId="0" borderId="69" xfId="4" applyFont="1" applyBorder="1" applyAlignment="1">
      <alignment vertical="center" wrapText="1"/>
    </xf>
    <xf numFmtId="0" fontId="4" fillId="0" borderId="63" xfId="4" applyFont="1" applyBorder="1" applyAlignment="1">
      <alignment vertical="center" wrapText="1"/>
    </xf>
    <xf numFmtId="0" fontId="4" fillId="0" borderId="80" xfId="4" applyFont="1" applyBorder="1" applyAlignment="1">
      <alignment vertical="center" wrapText="1"/>
    </xf>
    <xf numFmtId="0" fontId="6" fillId="17" borderId="52" xfId="4" applyFont="1" applyFill="1" applyBorder="1" applyAlignment="1">
      <alignment horizontal="left" vertical="top" wrapText="1"/>
    </xf>
    <xf numFmtId="0" fontId="6" fillId="17" borderId="46" xfId="4" applyFont="1" applyFill="1" applyBorder="1" applyAlignment="1">
      <alignment horizontal="left" vertical="top" wrapText="1"/>
    </xf>
    <xf numFmtId="0" fontId="4" fillId="0" borderId="0" xfId="0" applyFont="1" applyBorder="1" applyAlignment="1" applyProtection="1">
      <alignment horizontal="left" wrapText="1"/>
    </xf>
    <xf numFmtId="0" fontId="11" fillId="0" borderId="0" xfId="0" applyFont="1" applyAlignment="1" applyProtection="1">
      <alignment horizontal="left" wrapText="1"/>
    </xf>
    <xf numFmtId="0" fontId="19" fillId="0" borderId="0" xfId="0" applyFont="1" applyAlignment="1" applyProtection="1">
      <alignment horizontal="left" wrapText="1"/>
    </xf>
    <xf numFmtId="0" fontId="45" fillId="0" borderId="0" xfId="0" applyFont="1" applyAlignment="1" applyProtection="1">
      <alignment horizontal="left" wrapText="1"/>
    </xf>
    <xf numFmtId="0" fontId="47" fillId="0" borderId="0" xfId="0" applyFont="1" applyAlignment="1" applyProtection="1">
      <alignment horizontal="left" vertical="center" wrapText="1"/>
    </xf>
    <xf numFmtId="0" fontId="47" fillId="0" borderId="42" xfId="0" applyFont="1" applyBorder="1" applyAlignment="1" applyProtection="1">
      <alignment horizontal="center" vertical="center" wrapText="1"/>
    </xf>
    <xf numFmtId="0" fontId="47" fillId="0" borderId="79" xfId="0" applyFont="1" applyBorder="1" applyAlignment="1" applyProtection="1">
      <alignment horizontal="center" vertical="center" wrapText="1"/>
    </xf>
    <xf numFmtId="0" fontId="47" fillId="0" borderId="44" xfId="0" applyFont="1" applyBorder="1" applyAlignment="1" applyProtection="1">
      <alignment horizontal="center" vertical="center" wrapText="1"/>
    </xf>
    <xf numFmtId="0" fontId="3" fillId="0" borderId="0" xfId="0" applyFont="1" applyFill="1" applyBorder="1" applyAlignment="1" applyProtection="1">
      <alignment horizontal="center" vertical="center"/>
    </xf>
    <xf numFmtId="0" fontId="4" fillId="0" borderId="72" xfId="0" applyFont="1" applyBorder="1" applyAlignment="1" applyProtection="1">
      <alignment horizontal="center" vertical="top" wrapText="1"/>
    </xf>
    <xf numFmtId="0" fontId="4" fillId="0" borderId="51" xfId="0" applyFont="1" applyBorder="1" applyAlignment="1" applyProtection="1">
      <alignment horizontal="center" vertical="top" wrapText="1"/>
    </xf>
    <xf numFmtId="0" fontId="4" fillId="0" borderId="4" xfId="0" applyFont="1" applyBorder="1" applyAlignment="1" applyProtection="1">
      <alignment horizontal="center" vertical="top" wrapText="1"/>
    </xf>
    <xf numFmtId="0" fontId="4" fillId="0" borderId="65" xfId="0" applyFont="1" applyBorder="1" applyAlignment="1" applyProtection="1">
      <alignment horizontal="center" vertical="top" wrapText="1"/>
    </xf>
    <xf numFmtId="0" fontId="4" fillId="0" borderId="38" xfId="0" applyFont="1" applyBorder="1" applyAlignment="1" applyProtection="1">
      <alignment horizontal="center" vertical="top" wrapText="1"/>
    </xf>
    <xf numFmtId="0" fontId="4" fillId="0" borderId="36" xfId="0" applyFont="1" applyBorder="1" applyAlignment="1" applyProtection="1">
      <alignment horizontal="center" vertical="top" wrapText="1"/>
    </xf>
    <xf numFmtId="0" fontId="4" fillId="0" borderId="6" xfId="0" applyFont="1" applyBorder="1" applyAlignment="1" applyProtection="1">
      <alignment horizontal="center" vertical="center" wrapText="1"/>
    </xf>
    <xf numFmtId="0" fontId="4" fillId="0" borderId="66" xfId="0" applyFont="1" applyBorder="1" applyAlignment="1" applyProtection="1">
      <alignment horizontal="center" vertical="center" wrapText="1"/>
    </xf>
    <xf numFmtId="0" fontId="4" fillId="0" borderId="21" xfId="0" applyFont="1" applyBorder="1" applyAlignment="1" applyProtection="1">
      <alignment horizontal="center" vertical="center" wrapText="1"/>
    </xf>
    <xf numFmtId="0" fontId="4" fillId="0" borderId="0" xfId="0" applyFont="1" applyFill="1" applyBorder="1" applyAlignment="1" applyProtection="1">
      <alignment horizontal="center" vertical="center" wrapText="1"/>
    </xf>
    <xf numFmtId="0" fontId="4" fillId="0" borderId="0" xfId="0" applyFont="1" applyFill="1" applyBorder="1" applyAlignment="1" applyProtection="1">
      <alignment horizontal="center" vertical="center"/>
    </xf>
    <xf numFmtId="0" fontId="4" fillId="0" borderId="23" xfId="0" applyFont="1" applyBorder="1" applyAlignment="1" applyProtection="1">
      <alignment horizontal="center" vertical="center" wrapText="1"/>
    </xf>
    <xf numFmtId="0" fontId="4" fillId="0" borderId="73" xfId="0" applyFont="1" applyBorder="1" applyAlignment="1" applyProtection="1">
      <alignment horizontal="center" vertical="center"/>
    </xf>
    <xf numFmtId="0" fontId="4" fillId="0" borderId="22" xfId="0" applyFont="1" applyBorder="1" applyAlignment="1" applyProtection="1">
      <alignment horizontal="center" vertical="center"/>
    </xf>
    <xf numFmtId="0" fontId="4" fillId="4" borderId="0" xfId="0" applyFont="1" applyFill="1" applyAlignment="1" applyProtection="1">
      <alignment horizontal="center" vertical="top" wrapText="1"/>
    </xf>
    <xf numFmtId="0" fontId="4" fillId="4" borderId="0" xfId="0" applyFont="1" applyFill="1" applyBorder="1" applyAlignment="1" applyProtection="1">
      <alignment horizontal="center" vertical="top" wrapText="1"/>
    </xf>
    <xf numFmtId="0" fontId="3" fillId="0" borderId="0" xfId="0" applyFont="1" applyFill="1" applyBorder="1" applyAlignment="1" applyProtection="1">
      <alignment horizontal="center" vertical="center" wrapText="1"/>
    </xf>
    <xf numFmtId="0" fontId="49" fillId="0" borderId="0" xfId="0" applyFont="1" applyBorder="1" applyAlignment="1" applyProtection="1">
      <alignment horizontal="left" vertical="top" wrapText="1"/>
    </xf>
    <xf numFmtId="11" fontId="48" fillId="0" borderId="0" xfId="0" quotePrefix="1" applyNumberFormat="1" applyFont="1" applyBorder="1" applyAlignment="1" applyProtection="1">
      <alignment horizontal="left" vertical="top" wrapText="1"/>
    </xf>
    <xf numFmtId="0" fontId="4" fillId="0" borderId="0" xfId="0" applyFont="1" applyBorder="1" applyAlignment="1" applyProtection="1">
      <alignment horizontal="left" vertical="top" wrapText="1"/>
    </xf>
    <xf numFmtId="11" fontId="15" fillId="0" borderId="0" xfId="0" quotePrefix="1" applyNumberFormat="1" applyFont="1" applyBorder="1" applyAlignment="1" applyProtection="1">
      <alignment horizontal="left" vertical="top" wrapText="1"/>
    </xf>
    <xf numFmtId="0" fontId="4" fillId="0" borderId="19" xfId="0" applyFont="1" applyBorder="1" applyAlignment="1" applyProtection="1">
      <alignment horizontal="left" vertical="center" wrapText="1"/>
    </xf>
    <xf numFmtId="0" fontId="4" fillId="0" borderId="20" xfId="0" applyFont="1" applyBorder="1" applyAlignment="1" applyProtection="1">
      <alignment horizontal="left" vertical="center" wrapText="1"/>
    </xf>
    <xf numFmtId="0" fontId="2" fillId="7" borderId="52" xfId="0" applyFont="1" applyFill="1" applyBorder="1" applyAlignment="1" applyProtection="1">
      <alignment horizontal="left" vertical="center" wrapText="1"/>
    </xf>
    <xf numFmtId="0" fontId="8" fillId="7" borderId="32" xfId="0" applyFont="1" applyFill="1" applyBorder="1" applyAlignment="1" applyProtection="1">
      <alignment horizontal="left" vertical="center" wrapText="1"/>
    </xf>
    <xf numFmtId="0" fontId="4" fillId="0" borderId="17" xfId="0" applyFont="1" applyBorder="1" applyAlignment="1" applyProtection="1">
      <alignment horizontal="left" vertical="center" wrapText="1"/>
    </xf>
    <xf numFmtId="0" fontId="4" fillId="0" borderId="14" xfId="0" applyFont="1" applyBorder="1" applyAlignment="1" applyProtection="1">
      <alignment horizontal="left" vertical="center" wrapText="1"/>
    </xf>
    <xf numFmtId="0" fontId="4" fillId="0" borderId="69" xfId="0" applyFont="1" applyBorder="1" applyAlignment="1" applyProtection="1">
      <alignment horizontal="center" vertical="center" textRotation="90" wrapText="1"/>
    </xf>
    <xf numFmtId="0" fontId="4" fillId="0" borderId="63" xfId="0" applyFont="1" applyBorder="1" applyAlignment="1" applyProtection="1">
      <alignment horizontal="center" vertical="center" textRotation="90" wrapText="1"/>
    </xf>
    <xf numFmtId="0" fontId="4" fillId="5" borderId="5" xfId="4" applyFont="1" applyFill="1" applyBorder="1" applyAlignment="1" applyProtection="1">
      <alignment horizontal="left" vertical="top" wrapText="1"/>
      <protection locked="0"/>
    </xf>
    <xf numFmtId="0" fontId="39" fillId="11" borderId="5" xfId="4" applyFont="1" applyFill="1" applyBorder="1" applyAlignment="1" applyProtection="1">
      <alignment horizontal="right" vertical="top" wrapText="1"/>
    </xf>
    <xf numFmtId="0" fontId="47" fillId="9" borderId="47" xfId="4" applyFont="1" applyFill="1" applyBorder="1" applyAlignment="1" applyProtection="1">
      <alignment horizontal="left" vertical="top" wrapText="1"/>
    </xf>
    <xf numFmtId="0" fontId="47" fillId="9" borderId="59" xfId="4" applyFont="1" applyFill="1" applyBorder="1" applyAlignment="1" applyProtection="1">
      <alignment horizontal="left" vertical="top" wrapText="1"/>
    </xf>
    <xf numFmtId="0" fontId="47" fillId="9" borderId="35" xfId="4" applyFont="1" applyFill="1" applyBorder="1" applyAlignment="1" applyProtection="1">
      <alignment horizontal="left" vertical="top" wrapText="1"/>
    </xf>
    <xf numFmtId="0" fontId="47" fillId="9" borderId="48" xfId="4" applyFont="1" applyFill="1" applyBorder="1" applyAlignment="1" applyProtection="1">
      <alignment horizontal="left" vertical="top" wrapText="1"/>
    </xf>
    <xf numFmtId="0" fontId="47" fillId="9" borderId="3" xfId="4" applyFont="1" applyFill="1" applyBorder="1" applyAlignment="1" applyProtection="1">
      <alignment horizontal="left" vertical="top" wrapText="1"/>
    </xf>
    <xf numFmtId="0" fontId="47" fillId="9" borderId="34" xfId="4" applyFont="1" applyFill="1" applyBorder="1" applyAlignment="1" applyProtection="1">
      <alignment horizontal="left" vertical="top" wrapText="1"/>
    </xf>
    <xf numFmtId="0" fontId="47" fillId="11" borderId="43" xfId="4" applyFont="1" applyFill="1" applyBorder="1" applyAlignment="1" applyProtection="1">
      <alignment horizontal="left" vertical="center" wrapText="1"/>
    </xf>
    <xf numFmtId="0" fontId="47" fillId="11" borderId="2" xfId="4" applyFont="1" applyFill="1" applyBorder="1" applyAlignment="1" applyProtection="1">
      <alignment horizontal="left" vertical="center" wrapText="1"/>
    </xf>
    <xf numFmtId="0" fontId="47" fillId="11" borderId="10" xfId="4" applyFont="1" applyFill="1" applyBorder="1" applyAlignment="1" applyProtection="1">
      <alignment horizontal="left" vertical="center" wrapText="1"/>
    </xf>
    <xf numFmtId="0" fontId="3" fillId="11" borderId="43" xfId="4" applyFont="1" applyFill="1" applyBorder="1" applyAlignment="1" applyProtection="1">
      <alignment horizontal="left" vertical="center" wrapText="1"/>
    </xf>
    <xf numFmtId="0" fontId="3" fillId="11" borderId="2" xfId="4" applyFont="1" applyFill="1" applyBorder="1" applyAlignment="1" applyProtection="1">
      <alignment horizontal="left" vertical="center" wrapText="1"/>
    </xf>
    <xf numFmtId="0" fontId="3" fillId="11" borderId="10" xfId="4" applyFont="1" applyFill="1" applyBorder="1" applyAlignment="1" applyProtection="1">
      <alignment horizontal="left" vertical="center" wrapText="1"/>
    </xf>
    <xf numFmtId="0" fontId="4" fillId="5" borderId="43" xfId="4" applyFont="1" applyFill="1" applyBorder="1" applyAlignment="1" applyProtection="1">
      <alignment horizontal="left" vertical="top" wrapText="1"/>
      <protection locked="0"/>
    </xf>
    <xf numFmtId="0" fontId="4" fillId="5" borderId="2" xfId="4" applyFont="1" applyFill="1" applyBorder="1" applyAlignment="1" applyProtection="1">
      <alignment horizontal="left" vertical="top" wrapText="1"/>
      <protection locked="0"/>
    </xf>
    <xf numFmtId="0" fontId="4" fillId="5" borderId="10" xfId="4" applyFont="1" applyFill="1" applyBorder="1" applyAlignment="1" applyProtection="1">
      <alignment horizontal="left" vertical="top" wrapText="1"/>
      <protection locked="0"/>
    </xf>
    <xf numFmtId="0" fontId="47" fillId="11" borderId="5" xfId="4" applyFont="1" applyFill="1" applyBorder="1" applyAlignment="1" applyProtection="1">
      <alignment horizontal="right" vertical="top" wrapText="1"/>
    </xf>
    <xf numFmtId="0" fontId="4" fillId="19" borderId="6" xfId="4" applyFont="1" applyFill="1" applyBorder="1" applyAlignment="1">
      <alignment horizontal="left" vertical="top" wrapText="1"/>
    </xf>
    <xf numFmtId="0" fontId="4" fillId="19" borderId="11" xfId="4" applyFont="1" applyFill="1" applyBorder="1" applyAlignment="1">
      <alignment horizontal="left" vertical="top" wrapText="1"/>
    </xf>
    <xf numFmtId="0" fontId="6" fillId="20" borderId="43" xfId="4" applyFont="1" applyFill="1" applyBorder="1" applyAlignment="1" applyProtection="1">
      <alignment horizontal="left" vertical="center" wrapText="1"/>
    </xf>
    <xf numFmtId="0" fontId="6" fillId="20" borderId="2" xfId="4" applyFont="1" applyFill="1" applyBorder="1" applyAlignment="1" applyProtection="1">
      <alignment horizontal="left" vertical="center" wrapText="1"/>
    </xf>
    <xf numFmtId="0" fontId="6" fillId="20" borderId="10" xfId="4" applyFont="1" applyFill="1" applyBorder="1" applyAlignment="1" applyProtection="1">
      <alignment horizontal="left" vertical="center" wrapText="1"/>
    </xf>
    <xf numFmtId="0" fontId="4" fillId="5" borderId="43" xfId="4" applyFont="1" applyFill="1" applyBorder="1" applyAlignment="1" applyProtection="1">
      <alignment horizontal="center" vertical="top" wrapText="1"/>
      <protection locked="0"/>
    </xf>
    <xf numFmtId="0" fontId="4" fillId="5" borderId="2" xfId="4" applyFont="1" applyFill="1" applyBorder="1" applyAlignment="1" applyProtection="1">
      <alignment horizontal="center" vertical="top" wrapText="1"/>
      <protection locked="0"/>
    </xf>
    <xf numFmtId="0" fontId="4" fillId="5" borderId="10" xfId="4" applyFont="1" applyFill="1" applyBorder="1" applyAlignment="1" applyProtection="1">
      <alignment horizontal="center" vertical="top" wrapText="1"/>
      <protection locked="0"/>
    </xf>
    <xf numFmtId="0" fontId="47" fillId="11" borderId="5" xfId="4" applyFont="1" applyFill="1" applyBorder="1" applyAlignment="1" applyProtection="1">
      <alignment horizontal="left" vertical="center" wrapText="1"/>
    </xf>
    <xf numFmtId="0" fontId="6" fillId="11" borderId="5" xfId="4" applyFont="1" applyFill="1" applyBorder="1" applyAlignment="1" applyProtection="1">
      <alignment horizontal="right" vertical="top" wrapText="1"/>
    </xf>
    <xf numFmtId="0" fontId="47" fillId="11" borderId="5" xfId="4" applyFont="1" applyFill="1" applyBorder="1" applyAlignment="1" applyProtection="1">
      <alignment horizontal="left" vertical="top" wrapText="1"/>
    </xf>
    <xf numFmtId="0" fontId="3" fillId="11" borderId="5" xfId="4" applyFont="1" applyFill="1" applyBorder="1" applyAlignment="1" applyProtection="1">
      <alignment horizontal="right" vertical="top" wrapText="1"/>
    </xf>
    <xf numFmtId="0" fontId="4" fillId="0" borderId="0" xfId="7" applyFont="1" applyBorder="1" applyAlignment="1" applyProtection="1">
      <alignment horizontal="left" wrapText="1"/>
    </xf>
    <xf numFmtId="0" fontId="47" fillId="0" borderId="0" xfId="4" applyFont="1" applyAlignment="1" applyProtection="1">
      <alignment horizontal="left" wrapText="1"/>
    </xf>
    <xf numFmtId="0" fontId="47" fillId="0" borderId="64" xfId="4" applyFont="1" applyBorder="1" applyAlignment="1" applyProtection="1">
      <alignment horizontal="left" wrapText="1"/>
    </xf>
    <xf numFmtId="0" fontId="6" fillId="25" borderId="47" xfId="4" applyFont="1" applyFill="1" applyBorder="1" applyAlignment="1" applyProtection="1">
      <alignment horizontal="left" vertical="top" wrapText="1"/>
    </xf>
    <xf numFmtId="0" fontId="6" fillId="25" borderId="59" xfId="4" applyFont="1" applyFill="1" applyBorder="1" applyAlignment="1" applyProtection="1">
      <alignment horizontal="left" vertical="top" wrapText="1"/>
    </xf>
    <xf numFmtId="0" fontId="6" fillId="25" borderId="35" xfId="4" applyFont="1" applyFill="1" applyBorder="1" applyAlignment="1" applyProtection="1">
      <alignment horizontal="left" vertical="top" wrapText="1"/>
    </xf>
    <xf numFmtId="0" fontId="6" fillId="25" borderId="48" xfId="4" applyFont="1" applyFill="1" applyBorder="1" applyAlignment="1" applyProtection="1">
      <alignment horizontal="left" vertical="top" wrapText="1"/>
    </xf>
    <xf numFmtId="0" fontId="6" fillId="25" borderId="3" xfId="4" applyFont="1" applyFill="1" applyBorder="1" applyAlignment="1" applyProtection="1">
      <alignment horizontal="left" vertical="top" wrapText="1"/>
    </xf>
    <xf numFmtId="0" fontId="6" fillId="25" borderId="34" xfId="4" applyFont="1" applyFill="1" applyBorder="1" applyAlignment="1" applyProtection="1">
      <alignment horizontal="left" vertical="top" wrapText="1"/>
    </xf>
    <xf numFmtId="0" fontId="4" fillId="19" borderId="5" xfId="4" applyFont="1" applyFill="1" applyBorder="1" applyAlignment="1">
      <alignment horizontal="right" vertical="center" wrapText="1"/>
    </xf>
    <xf numFmtId="0" fontId="6" fillId="11" borderId="5" xfId="4" applyFont="1" applyFill="1" applyBorder="1" applyAlignment="1" applyProtection="1">
      <alignment horizontal="left" vertical="center" wrapText="1"/>
    </xf>
    <xf numFmtId="0" fontId="6" fillId="11" borderId="5" xfId="4" applyFont="1" applyFill="1" applyBorder="1" applyAlignment="1" applyProtection="1">
      <alignment horizontal="left" vertical="top" wrapText="1"/>
    </xf>
    <xf numFmtId="0" fontId="4" fillId="5" borderId="5" xfId="4" applyFont="1" applyFill="1" applyBorder="1" applyAlignment="1" applyProtection="1">
      <alignment horizontal="left" vertical="center" wrapText="1"/>
      <protection locked="0"/>
    </xf>
    <xf numFmtId="0" fontId="4" fillId="5" borderId="43" xfId="4" applyFont="1" applyFill="1" applyBorder="1" applyAlignment="1" applyProtection="1">
      <alignment horizontal="left" vertical="center" wrapText="1"/>
      <protection locked="0"/>
    </xf>
    <xf numFmtId="0" fontId="4" fillId="5" borderId="2" xfId="4" applyFont="1" applyFill="1" applyBorder="1" applyAlignment="1" applyProtection="1">
      <alignment horizontal="left" vertical="center" wrapText="1"/>
      <protection locked="0"/>
    </xf>
    <xf numFmtId="0" fontId="4" fillId="5" borderId="10" xfId="4" applyFont="1" applyFill="1" applyBorder="1" applyAlignment="1" applyProtection="1">
      <alignment horizontal="left" vertical="center" wrapText="1"/>
      <protection locked="0"/>
    </xf>
    <xf numFmtId="0" fontId="6" fillId="20" borderId="5" xfId="4" applyFont="1" applyFill="1" applyBorder="1" applyAlignment="1" applyProtection="1">
      <alignment horizontal="right" vertical="top" wrapText="1"/>
    </xf>
    <xf numFmtId="0" fontId="4" fillId="6" borderId="43" xfId="4" applyFont="1" applyFill="1" applyBorder="1" applyAlignment="1" applyProtection="1">
      <alignment horizontal="center" vertical="top" wrapText="1"/>
    </xf>
    <xf numFmtId="0" fontId="4" fillId="6" borderId="2" xfId="4" applyFont="1" applyFill="1" applyBorder="1" applyAlignment="1" applyProtection="1">
      <alignment horizontal="center" vertical="top" wrapText="1"/>
    </xf>
    <xf numFmtId="0" fontId="4" fillId="6" borderId="10" xfId="4" applyFont="1" applyFill="1" applyBorder="1" applyAlignment="1" applyProtection="1">
      <alignment horizontal="center" vertical="top" wrapText="1"/>
    </xf>
    <xf numFmtId="0" fontId="6" fillId="11" borderId="5" xfId="4" applyFont="1" applyFill="1" applyBorder="1" applyAlignment="1" applyProtection="1">
      <alignment vertical="top" wrapText="1"/>
    </xf>
    <xf numFmtId="0" fontId="4" fillId="5" borderId="5" xfId="4" applyFont="1" applyFill="1" applyBorder="1" applyAlignment="1" applyProtection="1">
      <alignment horizontal="center" vertical="top" wrapText="1"/>
      <protection locked="0"/>
    </xf>
    <xf numFmtId="0" fontId="9" fillId="0" borderId="0" xfId="4" applyFont="1" applyFill="1" applyBorder="1" applyAlignment="1" applyProtection="1">
      <alignment horizontal="left" vertical="center"/>
      <protection locked="0"/>
    </xf>
    <xf numFmtId="0" fontId="4" fillId="10" borderId="43" xfId="6" applyFont="1" applyFill="1" applyBorder="1" applyAlignment="1" applyProtection="1">
      <alignment horizontal="left" vertical="center" wrapText="1"/>
    </xf>
    <xf numFmtId="0" fontId="6" fillId="4" borderId="70" xfId="6" applyFont="1" applyFill="1" applyBorder="1" applyAlignment="1" applyProtection="1">
      <alignment horizontal="center" vertical="center" wrapText="1"/>
      <protection locked="0"/>
    </xf>
    <xf numFmtId="0" fontId="8" fillId="0" borderId="70" xfId="0" applyFont="1" applyBorder="1" applyAlignment="1" applyProtection="1">
      <alignment horizontal="center" vertical="center"/>
      <protection locked="0"/>
    </xf>
    <xf numFmtId="0" fontId="8" fillId="0" borderId="46" xfId="0" applyFont="1" applyBorder="1" applyAlignment="1" applyProtection="1">
      <alignment horizontal="center" vertical="center"/>
      <protection locked="0"/>
    </xf>
    <xf numFmtId="0" fontId="6" fillId="4" borderId="38" xfId="6" applyFont="1" applyFill="1" applyBorder="1" applyAlignment="1" applyProtection="1">
      <alignment horizontal="left" wrapText="1"/>
      <protection locked="0"/>
    </xf>
    <xf numFmtId="0" fontId="8" fillId="0" borderId="70" xfId="0" applyFont="1" applyBorder="1" applyAlignment="1" applyProtection="1">
      <protection locked="0"/>
    </xf>
    <xf numFmtId="0" fontId="11" fillId="10" borderId="64" xfId="0" applyFont="1" applyFill="1" applyBorder="1" applyAlignment="1" applyProtection="1">
      <alignment vertical="center" textRotation="90" wrapText="1"/>
      <protection locked="0"/>
    </xf>
    <xf numFmtId="0" fontId="11" fillId="10" borderId="46" xfId="0" applyFont="1" applyFill="1" applyBorder="1" applyAlignment="1" applyProtection="1">
      <alignment vertical="center" textRotation="90" wrapText="1"/>
      <protection locked="0"/>
    </xf>
    <xf numFmtId="0" fontId="9" fillId="0" borderId="0" xfId="6" applyFont="1" applyFill="1" applyBorder="1" applyAlignment="1" applyProtection="1">
      <alignment horizontal="left" vertical="center" wrapText="1"/>
      <protection locked="0"/>
    </xf>
    <xf numFmtId="0" fontId="4" fillId="26" borderId="72" xfId="4" applyFont="1" applyFill="1" applyBorder="1" applyAlignment="1" applyProtection="1">
      <alignment horizontal="center" vertical="top" wrapText="1"/>
      <protection locked="0"/>
    </xf>
    <xf numFmtId="0" fontId="4" fillId="26" borderId="50" xfId="4" applyFont="1" applyFill="1" applyBorder="1" applyAlignment="1" applyProtection="1">
      <alignment horizontal="center" vertical="top" wrapText="1"/>
      <protection locked="0"/>
    </xf>
    <xf numFmtId="0" fontId="4" fillId="26" borderId="4" xfId="4" applyFont="1" applyFill="1" applyBorder="1" applyAlignment="1" applyProtection="1">
      <alignment horizontal="center" vertical="top" wrapText="1"/>
      <protection locked="0"/>
    </xf>
    <xf numFmtId="0" fontId="4" fillId="26" borderId="64" xfId="4" applyFont="1" applyFill="1" applyBorder="1" applyAlignment="1" applyProtection="1">
      <alignment horizontal="center" vertical="top" wrapText="1"/>
      <protection locked="0"/>
    </xf>
    <xf numFmtId="0" fontId="4" fillId="26" borderId="38" xfId="4" applyFont="1" applyFill="1" applyBorder="1" applyAlignment="1" applyProtection="1">
      <alignment horizontal="center" vertical="top" wrapText="1"/>
      <protection locked="0"/>
    </xf>
    <xf numFmtId="0" fontId="4" fillId="26" borderId="46" xfId="4" applyFont="1" applyFill="1" applyBorder="1" applyAlignment="1" applyProtection="1">
      <alignment horizontal="center" vertical="top" wrapText="1"/>
      <protection locked="0"/>
    </xf>
    <xf numFmtId="0" fontId="20" fillId="0" borderId="0" xfId="6" applyFont="1" applyAlignment="1" applyProtection="1">
      <alignment horizontal="left" wrapText="1"/>
      <protection locked="0"/>
    </xf>
    <xf numFmtId="0" fontId="11" fillId="10" borderId="50" xfId="0" applyFont="1" applyFill="1" applyBorder="1" applyAlignment="1" applyProtection="1">
      <alignment vertical="center" textRotation="90" wrapText="1"/>
      <protection locked="0"/>
    </xf>
    <xf numFmtId="3" fontId="6" fillId="10" borderId="53" xfId="4" applyNumberFormat="1" applyFont="1" applyFill="1" applyBorder="1" applyAlignment="1" applyProtection="1">
      <alignment horizontal="center" vertical="center" wrapText="1"/>
    </xf>
    <xf numFmtId="0" fontId="6" fillId="10" borderId="54" xfId="4" applyFont="1" applyFill="1" applyBorder="1" applyAlignment="1" applyProtection="1">
      <alignment horizontal="center" vertical="center" wrapText="1"/>
    </xf>
    <xf numFmtId="0" fontId="6" fillId="10" borderId="4" xfId="6" applyFont="1" applyFill="1" applyBorder="1" applyAlignment="1" applyProtection="1">
      <alignment horizontal="center" textRotation="90" wrapText="1"/>
      <protection locked="0"/>
    </xf>
    <xf numFmtId="0" fontId="8" fillId="10" borderId="64" xfId="0" applyFont="1" applyFill="1" applyBorder="1" applyAlignment="1" applyProtection="1">
      <protection locked="0"/>
    </xf>
    <xf numFmtId="0" fontId="8" fillId="10" borderId="38" xfId="0" applyFont="1" applyFill="1" applyBorder="1" applyAlignment="1" applyProtection="1">
      <protection locked="0"/>
    </xf>
    <xf numFmtId="0" fontId="8" fillId="10" borderId="46" xfId="0" applyFont="1" applyFill="1" applyBorder="1" applyAlignment="1" applyProtection="1">
      <protection locked="0"/>
    </xf>
    <xf numFmtId="0" fontId="6" fillId="0" borderId="69" xfId="6" applyFont="1" applyBorder="1" applyAlignment="1" applyProtection="1">
      <alignment horizontal="left" wrapText="1"/>
      <protection locked="0"/>
    </xf>
    <xf numFmtId="0" fontId="6" fillId="0" borderId="62" xfId="6" applyFont="1" applyBorder="1" applyAlignment="1" applyProtection="1">
      <alignment horizontal="left"/>
      <protection locked="0"/>
    </xf>
    <xf numFmtId="0" fontId="8" fillId="0" borderId="46" xfId="0" applyFont="1" applyBorder="1" applyAlignment="1" applyProtection="1">
      <protection locked="0"/>
    </xf>
    <xf numFmtId="0" fontId="4" fillId="10" borderId="8" xfId="6" applyFont="1" applyFill="1" applyBorder="1" applyAlignment="1" applyProtection="1">
      <alignment horizontal="left" vertical="center" wrapText="1"/>
    </xf>
    <xf numFmtId="0" fontId="4" fillId="10" borderId="11" xfId="6" applyFont="1" applyFill="1" applyBorder="1" applyAlignment="1" applyProtection="1">
      <alignment horizontal="left" vertical="center" wrapText="1"/>
    </xf>
    <xf numFmtId="0" fontId="4" fillId="10" borderId="48" xfId="6" applyFont="1" applyFill="1" applyBorder="1" applyAlignment="1" applyProtection="1">
      <alignment horizontal="left" vertical="center" wrapText="1"/>
    </xf>
    <xf numFmtId="0" fontId="4" fillId="10" borderId="83" xfId="6" applyFont="1" applyFill="1" applyBorder="1" applyAlignment="1" applyProtection="1">
      <alignment horizontal="left" vertical="center" wrapText="1"/>
    </xf>
    <xf numFmtId="0" fontId="3" fillId="0" borderId="0" xfId="6" applyFont="1" applyBorder="1" applyAlignment="1" applyProtection="1">
      <alignment horizontal="left"/>
      <protection locked="0"/>
    </xf>
    <xf numFmtId="0" fontId="6" fillId="10" borderId="61" xfId="0" applyFont="1" applyFill="1" applyBorder="1" applyAlignment="1" applyProtection="1">
      <alignment horizontal="center" vertical="top" wrapText="1"/>
      <protection locked="0"/>
    </xf>
    <xf numFmtId="0" fontId="8" fillId="10" borderId="54" xfId="0" applyFont="1" applyFill="1" applyBorder="1" applyAlignment="1" applyProtection="1">
      <alignment vertical="top" wrapText="1"/>
      <protection locked="0"/>
    </xf>
    <xf numFmtId="0" fontId="6" fillId="0" borderId="47" xfId="6" applyFont="1" applyFill="1" applyBorder="1" applyAlignment="1" applyProtection="1">
      <alignment horizontal="center"/>
      <protection locked="0"/>
    </xf>
    <xf numFmtId="0" fontId="6" fillId="0" borderId="35" xfId="6" applyFont="1" applyFill="1" applyBorder="1" applyAlignment="1" applyProtection="1">
      <alignment horizontal="center"/>
      <protection locked="0"/>
    </xf>
    <xf numFmtId="0" fontId="47" fillId="0" borderId="0" xfId="6" applyFont="1" applyBorder="1" applyAlignment="1" applyProtection="1">
      <alignment horizontal="right"/>
      <protection locked="0"/>
    </xf>
    <xf numFmtId="0" fontId="4" fillId="0" borderId="47" xfId="6" applyFont="1" applyBorder="1" applyAlignment="1" applyProtection="1">
      <alignment horizontal="center"/>
      <protection locked="0"/>
    </xf>
    <xf numFmtId="0" fontId="4" fillId="0" borderId="35" xfId="6" applyFont="1" applyBorder="1" applyAlignment="1" applyProtection="1">
      <alignment horizontal="center"/>
      <protection locked="0"/>
    </xf>
    <xf numFmtId="0" fontId="4" fillId="18" borderId="43" xfId="4" applyFont="1" applyFill="1" applyBorder="1" applyAlignment="1" applyProtection="1">
      <alignment horizontal="left"/>
      <protection locked="0"/>
    </xf>
    <xf numFmtId="0" fontId="4" fillId="18" borderId="2" xfId="4" applyFont="1" applyFill="1" applyBorder="1" applyAlignment="1" applyProtection="1">
      <alignment horizontal="left"/>
      <protection locked="0"/>
    </xf>
    <xf numFmtId="0" fontId="4" fillId="18" borderId="10" xfId="4" applyFont="1" applyFill="1" applyBorder="1" applyAlignment="1" applyProtection="1">
      <alignment horizontal="left"/>
      <protection locked="0"/>
    </xf>
    <xf numFmtId="0" fontId="5" fillId="11" borderId="43" xfId="4" applyFont="1" applyFill="1" applyBorder="1" applyAlignment="1">
      <alignment horizontal="left"/>
    </xf>
    <xf numFmtId="0" fontId="5" fillId="11" borderId="10" xfId="4" applyFont="1" applyFill="1" applyBorder="1" applyAlignment="1">
      <alignment horizontal="left"/>
    </xf>
    <xf numFmtId="0" fontId="69" fillId="27" borderId="52" xfId="0" applyFont="1" applyFill="1" applyBorder="1" applyAlignment="1">
      <alignment horizontal="center"/>
    </xf>
    <xf numFmtId="0" fontId="69" fillId="27" borderId="53" xfId="0" applyFont="1" applyFill="1" applyBorder="1" applyAlignment="1">
      <alignment horizontal="center"/>
    </xf>
    <xf numFmtId="0" fontId="69" fillId="27" borderId="54" xfId="0" applyFont="1" applyFill="1" applyBorder="1" applyAlignment="1">
      <alignment horizontal="center"/>
    </xf>
    <xf numFmtId="0" fontId="2" fillId="11" borderId="11" xfId="4" applyFont="1" applyFill="1" applyBorder="1" applyAlignment="1">
      <alignment horizontal="center"/>
    </xf>
    <xf numFmtId="0" fontId="2" fillId="11" borderId="5" xfId="4" applyFont="1" applyFill="1" applyBorder="1" applyAlignment="1">
      <alignment horizontal="center"/>
    </xf>
    <xf numFmtId="0" fontId="11" fillId="11" borderId="11" xfId="4" applyFont="1" applyFill="1" applyBorder="1" applyAlignment="1">
      <alignment horizontal="center" vertical="center" wrapText="1"/>
    </xf>
    <xf numFmtId="0" fontId="11" fillId="11" borderId="5" xfId="4" applyFont="1" applyFill="1" applyBorder="1" applyAlignment="1">
      <alignment horizontal="center" vertical="center" wrapText="1"/>
    </xf>
    <xf numFmtId="0" fontId="86" fillId="11" borderId="66" xfId="0" applyFont="1" applyFill="1" applyBorder="1" applyAlignment="1">
      <alignment horizontal="center" vertical="center" wrapText="1"/>
    </xf>
    <xf numFmtId="0" fontId="86" fillId="11" borderId="11" xfId="0" applyFont="1" applyFill="1" applyBorder="1" applyAlignment="1">
      <alignment horizontal="center" vertical="center" wrapText="1"/>
    </xf>
    <xf numFmtId="0" fontId="11" fillId="11" borderId="81" xfId="4" applyFont="1" applyFill="1" applyBorder="1" applyAlignment="1">
      <alignment horizontal="left" vertical="center" wrapText="1"/>
    </xf>
    <xf numFmtId="0" fontId="11" fillId="11" borderId="0" xfId="4" applyFont="1" applyFill="1" applyBorder="1" applyAlignment="1">
      <alignment horizontal="left" vertical="center" wrapText="1"/>
    </xf>
    <xf numFmtId="0" fontId="11" fillId="11" borderId="65" xfId="4" applyFont="1" applyFill="1" applyBorder="1" applyAlignment="1">
      <alignment horizontal="left" vertical="center" wrapText="1"/>
    </xf>
    <xf numFmtId="0" fontId="11" fillId="11" borderId="48" xfId="4" applyFont="1" applyFill="1" applyBorder="1" applyAlignment="1">
      <alignment horizontal="left" vertical="center" wrapText="1"/>
    </xf>
    <xf numFmtId="0" fontId="11" fillId="11" borderId="3" xfId="4" applyFont="1" applyFill="1" applyBorder="1" applyAlignment="1">
      <alignment horizontal="left" vertical="center" wrapText="1"/>
    </xf>
    <xf numFmtId="0" fontId="11" fillId="11" borderId="34" xfId="4" applyFont="1" applyFill="1" applyBorder="1" applyAlignment="1">
      <alignment horizontal="left" vertical="center" wrapText="1"/>
    </xf>
    <xf numFmtId="0" fontId="72" fillId="11" borderId="5" xfId="0" applyFont="1" applyFill="1" applyBorder="1" applyAlignment="1">
      <alignment horizontal="left" vertical="center" wrapText="1"/>
    </xf>
    <xf numFmtId="0" fontId="4" fillId="11" borderId="5" xfId="4" applyFont="1" applyFill="1" applyBorder="1" applyAlignment="1">
      <alignment horizontal="center"/>
    </xf>
    <xf numFmtId="0" fontId="68" fillId="11" borderId="5" xfId="0" applyFont="1" applyFill="1" applyBorder="1" applyAlignment="1">
      <alignment horizontal="left"/>
    </xf>
    <xf numFmtId="0" fontId="9" fillId="11" borderId="47" xfId="4" applyFont="1" applyFill="1" applyBorder="1" applyAlignment="1">
      <alignment horizontal="left" vertical="center" wrapText="1"/>
    </xf>
    <xf numFmtId="0" fontId="9" fillId="11" borderId="35" xfId="4" applyFont="1" applyFill="1" applyBorder="1" applyAlignment="1">
      <alignment horizontal="left" vertical="center" wrapText="1"/>
    </xf>
    <xf numFmtId="0" fontId="9" fillId="11" borderId="48" xfId="4" applyFont="1" applyFill="1" applyBorder="1" applyAlignment="1">
      <alignment horizontal="left" vertical="center" wrapText="1"/>
    </xf>
    <xf numFmtId="0" fontId="9" fillId="11" borderId="34" xfId="4" applyFont="1" applyFill="1" applyBorder="1" applyAlignment="1">
      <alignment horizontal="left" vertical="center" wrapText="1"/>
    </xf>
    <xf numFmtId="0" fontId="5" fillId="11" borderId="43" xfId="4" applyFont="1" applyFill="1" applyBorder="1" applyAlignment="1">
      <alignment horizontal="center"/>
    </xf>
    <xf numFmtId="0" fontId="5" fillId="11" borderId="2" xfId="4" applyFont="1" applyFill="1" applyBorder="1" applyAlignment="1">
      <alignment horizontal="center"/>
    </xf>
    <xf numFmtId="0" fontId="5" fillId="11" borderId="10" xfId="4" applyFont="1" applyFill="1" applyBorder="1" applyAlignment="1">
      <alignment horizontal="center"/>
    </xf>
    <xf numFmtId="0" fontId="68" fillId="11" borderId="43" xfId="0" applyNumberFormat="1" applyFont="1" applyFill="1" applyBorder="1" applyAlignment="1">
      <alignment horizontal="left"/>
    </xf>
    <xf numFmtId="0" fontId="68" fillId="11" borderId="2" xfId="0" applyNumberFormat="1" applyFont="1" applyFill="1" applyBorder="1" applyAlignment="1">
      <alignment horizontal="left"/>
    </xf>
    <xf numFmtId="0" fontId="68" fillId="11" borderId="10" xfId="0" applyNumberFormat="1" applyFont="1" applyFill="1" applyBorder="1" applyAlignment="1">
      <alignment horizontal="left"/>
    </xf>
    <xf numFmtId="0" fontId="0" fillId="11" borderId="43" xfId="0" applyFill="1" applyBorder="1" applyAlignment="1">
      <alignment horizontal="right"/>
    </xf>
    <xf numFmtId="0" fontId="68" fillId="11" borderId="2" xfId="0" applyFont="1" applyFill="1" applyBorder="1" applyAlignment="1">
      <alignment horizontal="right"/>
    </xf>
    <xf numFmtId="0" fontId="68" fillId="11" borderId="5" xfId="0" applyFont="1" applyFill="1" applyBorder="1" applyAlignment="1">
      <alignment horizontal="center" vertical="center"/>
    </xf>
    <xf numFmtId="0" fontId="69" fillId="11" borderId="56" xfId="0" applyFont="1" applyFill="1" applyBorder="1" applyAlignment="1">
      <alignment horizontal="left"/>
    </xf>
    <xf numFmtId="0" fontId="69" fillId="11" borderId="79" xfId="0" applyFont="1" applyFill="1" applyBorder="1" applyAlignment="1">
      <alignment horizontal="left"/>
    </xf>
    <xf numFmtId="0" fontId="69" fillId="11" borderId="44" xfId="0" applyFont="1" applyFill="1" applyBorder="1" applyAlignment="1">
      <alignment horizontal="left"/>
    </xf>
    <xf numFmtId="0" fontId="11" fillId="11" borderId="11" xfId="4" applyFont="1" applyFill="1" applyBorder="1" applyAlignment="1">
      <alignment horizontal="left" vertical="center" wrapText="1"/>
    </xf>
    <xf numFmtId="0" fontId="11" fillId="11" borderId="5" xfId="4" applyFont="1" applyFill="1" applyBorder="1" applyAlignment="1">
      <alignment horizontal="left" vertical="center" wrapText="1"/>
    </xf>
    <xf numFmtId="0" fontId="72" fillId="11" borderId="47" xfId="0" applyFont="1" applyFill="1" applyBorder="1" applyAlignment="1">
      <alignment horizontal="center" vertical="center" wrapText="1"/>
    </xf>
    <xf numFmtId="0" fontId="72" fillId="11" borderId="59" xfId="0" applyFont="1" applyFill="1" applyBorder="1" applyAlignment="1">
      <alignment horizontal="center" vertical="center" wrapText="1"/>
    </xf>
    <xf numFmtId="0" fontId="72" fillId="11" borderId="35" xfId="0" applyFont="1" applyFill="1" applyBorder="1" applyAlignment="1">
      <alignment horizontal="center" vertical="center" wrapText="1"/>
    </xf>
    <xf numFmtId="0" fontId="72" fillId="11" borderId="48" xfId="0" applyFont="1" applyFill="1" applyBorder="1" applyAlignment="1">
      <alignment horizontal="center" vertical="center" wrapText="1"/>
    </xf>
    <xf numFmtId="0" fontId="72" fillId="11" borderId="3" xfId="0" applyFont="1" applyFill="1" applyBorder="1" applyAlignment="1">
      <alignment horizontal="center" vertical="center" wrapText="1"/>
    </xf>
    <xf numFmtId="0" fontId="72" fillId="11" borderId="34" xfId="0" applyFont="1" applyFill="1" applyBorder="1" applyAlignment="1">
      <alignment horizontal="center" vertical="center" wrapText="1"/>
    </xf>
    <xf numFmtId="0" fontId="11" fillId="11" borderId="47" xfId="4" applyFont="1" applyFill="1" applyBorder="1" applyAlignment="1">
      <alignment horizontal="left" vertical="center" wrapText="1"/>
    </xf>
    <xf numFmtId="0" fontId="11" fillId="11" borderId="35" xfId="4" applyFont="1" applyFill="1" applyBorder="1" applyAlignment="1">
      <alignment horizontal="left" vertical="center" wrapText="1"/>
    </xf>
  </cellXfs>
  <cellStyles count="9">
    <cellStyle name="Dezimal 2" xfId="1" xr:uid="{00000000-0005-0000-0000-000000000000}"/>
    <cellStyle name="Milliers" xfId="2" builtinId="3"/>
    <cellStyle name="Normal" xfId="0" builtinId="0"/>
    <cellStyle name="Pourcentage" xfId="3" builtinId="5"/>
    <cellStyle name="Standard 2" xfId="4" xr:uid="{00000000-0005-0000-0000-000004000000}"/>
    <cellStyle name="Standard 3" xfId="5" xr:uid="{00000000-0005-0000-0000-000005000000}"/>
    <cellStyle name="Standard_Kostennrechnung" xfId="6" xr:uid="{00000000-0005-0000-0000-000006000000}"/>
    <cellStyle name="Standard_Tabelle1" xfId="7" xr:uid="{00000000-0005-0000-0000-000007000000}"/>
    <cellStyle name="Standard_Versicherteten Nummer BW 2011" xfId="8" xr:uid="{00000000-0005-0000-0000-000008000000}"/>
  </cellStyles>
  <dxfs count="73">
    <dxf>
      <fill>
        <patternFill>
          <bgColor indexed="12"/>
        </patternFill>
      </fill>
    </dxf>
    <dxf>
      <fill>
        <patternFill>
          <bgColor indexed="12"/>
        </patternFill>
      </fill>
    </dxf>
    <dxf>
      <fill>
        <patternFill>
          <bgColor indexed="12"/>
        </patternFill>
      </fill>
    </dxf>
    <dxf>
      <fill>
        <patternFill>
          <bgColor indexed="12"/>
        </patternFill>
      </fill>
    </dxf>
    <dxf>
      <fill>
        <patternFill>
          <bgColor indexed="12"/>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10"/>
        </patternFill>
      </fill>
    </dxf>
    <dxf>
      <fill>
        <patternFill>
          <bgColor indexed="10"/>
        </patternFill>
      </fill>
    </dxf>
    <dxf>
      <fill>
        <patternFill>
          <bgColor indexed="45"/>
        </patternFill>
      </fill>
    </dxf>
    <dxf>
      <fill>
        <patternFill>
          <bgColor indexed="45"/>
        </patternFill>
      </fill>
    </dxf>
    <dxf>
      <fill>
        <patternFill>
          <bgColor indexed="45"/>
        </patternFill>
      </fill>
    </dxf>
    <dxf>
      <fill>
        <patternFill>
          <bgColor indexed="12"/>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52"/>
        </patternFill>
      </fill>
    </dxf>
    <dxf>
      <fill>
        <patternFill>
          <bgColor indexed="12"/>
        </patternFill>
      </fill>
    </dxf>
    <dxf>
      <fill>
        <patternFill>
          <bgColor indexed="12"/>
        </patternFill>
      </fill>
    </dxf>
    <dxf>
      <fill>
        <patternFill>
          <bgColor indexed="45"/>
        </patternFill>
      </fill>
    </dxf>
    <dxf>
      <fill>
        <patternFill>
          <bgColor indexed="45"/>
        </patternFill>
      </fill>
    </dxf>
    <dxf>
      <fill>
        <patternFill>
          <bgColor indexed="10"/>
        </patternFill>
      </fill>
    </dxf>
    <dxf>
      <fill>
        <patternFill>
          <bgColor indexed="52"/>
        </patternFill>
      </fill>
    </dxf>
    <dxf>
      <fill>
        <patternFill>
          <bgColor indexed="52"/>
        </patternFill>
      </fill>
    </dxf>
    <dxf>
      <fill>
        <patternFill>
          <bgColor indexed="45"/>
        </patternFill>
      </fill>
    </dxf>
    <dxf>
      <fill>
        <patternFill>
          <bgColor indexed="45"/>
        </patternFill>
      </fill>
    </dxf>
    <dxf>
      <fill>
        <patternFill>
          <bgColor indexed="45"/>
        </patternFill>
      </fill>
    </dxf>
    <dxf>
      <fill>
        <patternFill>
          <bgColor indexed="14"/>
        </patternFill>
      </fill>
    </dxf>
    <dxf>
      <fill>
        <patternFill>
          <bgColor indexed="14"/>
        </patternFill>
      </fill>
    </dxf>
    <dxf>
      <fill>
        <patternFill>
          <bgColor indexed="45"/>
        </patternFill>
      </fill>
    </dxf>
    <dxf>
      <fill>
        <patternFill>
          <bgColor indexed="12"/>
        </patternFill>
      </fill>
    </dxf>
    <dxf>
      <fill>
        <patternFill>
          <bgColor indexed="12"/>
        </patternFill>
      </fill>
    </dxf>
    <dxf>
      <fill>
        <patternFill>
          <bgColor indexed="45"/>
        </patternFill>
      </fill>
    </dxf>
    <dxf>
      <fill>
        <patternFill>
          <bgColor indexed="10"/>
        </patternFill>
      </fill>
    </dxf>
    <dxf>
      <fill>
        <patternFill>
          <bgColor indexed="10"/>
        </patternFill>
      </fill>
    </dxf>
    <dxf>
      <fill>
        <patternFill>
          <bgColor indexed="45"/>
        </patternFill>
      </fill>
    </dxf>
    <dxf>
      <fill>
        <patternFill>
          <bgColor indexed="45"/>
        </patternFill>
      </fill>
    </dxf>
    <dxf>
      <fill>
        <patternFill>
          <bgColor indexed="12"/>
        </patternFill>
      </fill>
    </dxf>
    <dxf>
      <fill>
        <patternFill>
          <bgColor indexed="12"/>
        </patternFill>
      </fill>
    </dxf>
    <dxf>
      <fill>
        <patternFill>
          <bgColor indexed="12"/>
        </patternFill>
      </fill>
    </dxf>
    <dxf>
      <fill>
        <patternFill>
          <bgColor indexed="12"/>
        </patternFill>
      </fill>
    </dxf>
    <dxf>
      <fill>
        <patternFill>
          <bgColor indexed="12"/>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10"/>
        </patternFill>
      </fill>
    </dxf>
    <dxf>
      <fill>
        <patternFill>
          <bgColor indexed="12"/>
        </patternFill>
      </fill>
    </dxf>
    <dxf>
      <fill>
        <patternFill>
          <bgColor indexed="10"/>
        </patternFill>
      </fill>
    </dxf>
    <dxf>
      <fill>
        <patternFill>
          <bgColor indexed="10"/>
        </patternFill>
      </fill>
    </dxf>
    <dxf>
      <fill>
        <patternFill>
          <bgColor indexed="10"/>
        </patternFill>
      </fill>
    </dxf>
    <dxf>
      <fill>
        <patternFill>
          <bgColor indexed="12"/>
        </patternFill>
      </fill>
    </dxf>
    <dxf>
      <fill>
        <patternFill>
          <bgColor indexed="10"/>
        </patternFill>
      </fill>
    </dxf>
    <dxf>
      <fill>
        <patternFill>
          <bgColor indexed="10"/>
        </patternFill>
      </fill>
    </dxf>
    <dxf>
      <fill>
        <patternFill>
          <bgColor indexed="12"/>
        </patternFill>
      </fill>
    </dxf>
    <dxf>
      <fill>
        <patternFill>
          <bgColor indexed="45"/>
        </patternFill>
      </fill>
    </dxf>
    <dxf>
      <fill>
        <patternFill>
          <bgColor indexed="48"/>
        </patternFill>
      </fill>
    </dxf>
    <dxf>
      <fill>
        <patternFill>
          <bgColor indexed="48"/>
        </patternFill>
      </fill>
    </dxf>
    <dxf>
      <fill>
        <patternFill>
          <bgColor indexed="10"/>
        </patternFill>
      </fill>
    </dxf>
  </dxfs>
  <tableStyles count="1" defaultTableStyle="TableStyleMedium9" defaultPivotStyle="PivotStyleLight16">
    <tableStyle name="MySqlDefault" pivot="0" table="0" count="0" xr9:uid="{2A1E4AA5-AEE9-4842-8DB2-87BD2145BB21}"/>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Larissa-Design">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3">
    <tabColor rgb="FFFFC000"/>
  </sheetPr>
  <dimension ref="A1:G29"/>
  <sheetViews>
    <sheetView showGridLines="0" topLeftCell="A22" workbookViewId="0">
      <selection activeCell="I12" sqref="I12"/>
    </sheetView>
  </sheetViews>
  <sheetFormatPr baseColWidth="10" defaultRowHeight="15"/>
  <cols>
    <col min="1" max="1" width="4.5546875" style="587" customWidth="1"/>
    <col min="2" max="2" width="90.77734375" style="587" customWidth="1"/>
    <col min="3" max="6" width="11.5546875" style="587"/>
    <col min="7" max="7" width="10.77734375" style="587" customWidth="1"/>
    <col min="8" max="16384" width="11.5546875" style="587"/>
  </cols>
  <sheetData>
    <row r="1" spans="1:7" ht="15.75">
      <c r="A1" s="657" t="s">
        <v>2688</v>
      </c>
      <c r="B1" s="658"/>
      <c r="C1" s="899"/>
      <c r="D1" s="899"/>
      <c r="E1" s="899"/>
      <c r="F1" s="899"/>
      <c r="G1" s="899"/>
    </row>
    <row r="2" spans="1:7" ht="7.5" customHeight="1">
      <c r="A2" s="658"/>
      <c r="B2" s="658"/>
      <c r="C2" s="899"/>
      <c r="D2" s="899"/>
      <c r="E2" s="899"/>
      <c r="F2" s="899"/>
      <c r="G2" s="899"/>
    </row>
    <row r="3" spans="1:7" ht="15.75">
      <c r="A3" s="950" t="s">
        <v>2394</v>
      </c>
      <c r="B3" s="951"/>
      <c r="C3" s="900"/>
      <c r="D3" s="900"/>
      <c r="E3" s="900"/>
      <c r="F3" s="900"/>
      <c r="G3" s="900"/>
    </row>
    <row r="4" spans="1:7" ht="4.5" customHeight="1">
      <c r="A4" s="951"/>
      <c r="B4" s="951"/>
      <c r="C4" s="900"/>
      <c r="D4" s="900"/>
      <c r="E4" s="900"/>
      <c r="F4" s="900"/>
      <c r="G4" s="900"/>
    </row>
    <row r="5" spans="1:7">
      <c r="A5" s="951" t="s">
        <v>2744</v>
      </c>
      <c r="B5" s="951"/>
      <c r="C5" s="900"/>
      <c r="D5" s="900"/>
      <c r="E5" s="900"/>
      <c r="F5" s="900"/>
      <c r="G5" s="900"/>
    </row>
    <row r="6" spans="1:7">
      <c r="A6" s="957"/>
      <c r="B6" s="952" t="s">
        <v>2745</v>
      </c>
      <c r="C6" s="900"/>
      <c r="D6" s="900"/>
      <c r="E6" s="900"/>
      <c r="F6" s="900"/>
      <c r="G6" s="900"/>
    </row>
    <row r="7" spans="1:7" ht="27" customHeight="1">
      <c r="A7" s="958"/>
      <c r="B7" s="953" t="s">
        <v>2746</v>
      </c>
      <c r="C7" s="900"/>
      <c r="D7" s="900"/>
      <c r="E7" s="900"/>
      <c r="F7" s="900"/>
      <c r="G7" s="900"/>
    </row>
    <row r="8" spans="1:7">
      <c r="A8" s="959"/>
      <c r="B8" s="960" t="s">
        <v>2747</v>
      </c>
      <c r="C8" s="900"/>
      <c r="D8" s="900"/>
      <c r="E8" s="900"/>
      <c r="F8" s="900"/>
      <c r="G8" s="900"/>
    </row>
    <row r="9" spans="1:7" ht="8.25" customHeight="1">
      <c r="A9" s="952"/>
      <c r="B9" s="952"/>
      <c r="C9" s="900"/>
      <c r="D9" s="900"/>
      <c r="E9" s="900"/>
      <c r="F9" s="900"/>
      <c r="G9" s="900"/>
    </row>
    <row r="10" spans="1:7" ht="15.75">
      <c r="A10" s="954" t="s">
        <v>2687</v>
      </c>
      <c r="B10" s="952"/>
      <c r="C10" s="900"/>
      <c r="D10" s="900"/>
      <c r="E10" s="900"/>
      <c r="F10" s="900"/>
      <c r="G10" s="900"/>
    </row>
    <row r="11" spans="1:7" ht="5.25" customHeight="1">
      <c r="A11" s="955"/>
      <c r="B11" s="952"/>
      <c r="C11" s="900"/>
      <c r="D11" s="900"/>
      <c r="E11" s="900"/>
      <c r="F11" s="900"/>
      <c r="G11" s="900"/>
    </row>
    <row r="12" spans="1:7" ht="16.5" customHeight="1">
      <c r="A12" s="952" t="s">
        <v>2660</v>
      </c>
      <c r="B12" s="952"/>
      <c r="C12" s="900"/>
      <c r="D12" s="900"/>
      <c r="E12" s="900"/>
      <c r="F12" s="900"/>
      <c r="G12" s="900"/>
    </row>
    <row r="13" spans="1:7" ht="15" customHeight="1">
      <c r="A13" s="952" t="s">
        <v>2658</v>
      </c>
      <c r="B13" s="951"/>
      <c r="C13" s="900"/>
      <c r="D13" s="900"/>
      <c r="E13" s="900"/>
      <c r="F13" s="900"/>
      <c r="G13" s="900"/>
    </row>
    <row r="14" spans="1:7" ht="18.75" customHeight="1">
      <c r="A14" s="983" t="s">
        <v>2395</v>
      </c>
      <c r="B14" s="983"/>
      <c r="C14" s="902"/>
      <c r="D14" s="902"/>
      <c r="E14" s="902"/>
      <c r="F14" s="902"/>
      <c r="G14" s="902"/>
    </row>
    <row r="15" spans="1:7" ht="18.75" customHeight="1">
      <c r="A15" s="983" t="s">
        <v>2396</v>
      </c>
      <c r="B15" s="983"/>
      <c r="C15" s="902"/>
      <c r="D15" s="902"/>
      <c r="E15" s="902"/>
      <c r="F15" s="901"/>
      <c r="G15" s="901"/>
    </row>
    <row r="16" spans="1:7" ht="33" customHeight="1">
      <c r="A16" s="983" t="s">
        <v>2661</v>
      </c>
      <c r="B16" s="983"/>
      <c r="C16" s="903"/>
      <c r="D16" s="903"/>
      <c r="E16" s="903"/>
      <c r="F16" s="901"/>
      <c r="G16" s="901"/>
    </row>
    <row r="17" spans="1:7" ht="24.75" customHeight="1">
      <c r="A17" s="984" t="s">
        <v>2662</v>
      </c>
      <c r="B17" s="984"/>
      <c r="C17" s="904"/>
      <c r="D17" s="904"/>
      <c r="E17" s="904"/>
      <c r="F17" s="904"/>
      <c r="G17" s="904"/>
    </row>
    <row r="18" spans="1:7" ht="44.25" customHeight="1">
      <c r="A18" s="983" t="s">
        <v>2751</v>
      </c>
      <c r="B18" s="983"/>
      <c r="C18" s="904"/>
      <c r="D18" s="904"/>
      <c r="E18" s="904"/>
      <c r="F18" s="904"/>
      <c r="G18" s="904"/>
    </row>
    <row r="19" spans="1:7" ht="35.25" customHeight="1">
      <c r="A19" s="983" t="s">
        <v>2750</v>
      </c>
      <c r="B19" s="983"/>
      <c r="C19" s="904"/>
      <c r="D19" s="904"/>
      <c r="E19" s="904"/>
      <c r="F19" s="904"/>
      <c r="G19" s="904"/>
    </row>
    <row r="20" spans="1:7" ht="28.5" customHeight="1">
      <c r="A20" s="982" t="s">
        <v>2697</v>
      </c>
      <c r="B20" s="982"/>
      <c r="C20" s="901"/>
      <c r="D20" s="901"/>
      <c r="E20" s="901"/>
      <c r="F20" s="901"/>
      <c r="G20" s="901"/>
    </row>
    <row r="21" spans="1:7" ht="15" customHeight="1">
      <c r="A21" s="962"/>
      <c r="B21" s="956" t="s">
        <v>2689</v>
      </c>
      <c r="C21" s="901"/>
      <c r="D21" s="901"/>
      <c r="E21" s="901"/>
      <c r="F21" s="901"/>
      <c r="G21" s="901"/>
    </row>
    <row r="22" spans="1:7" ht="15" customHeight="1">
      <c r="A22" s="963"/>
      <c r="B22" s="956" t="s">
        <v>2690</v>
      </c>
      <c r="C22" s="901"/>
      <c r="D22" s="901"/>
      <c r="E22" s="901"/>
      <c r="F22" s="901"/>
      <c r="G22" s="901"/>
    </row>
    <row r="23" spans="1:7" ht="32.25" customHeight="1">
      <c r="A23" s="964"/>
      <c r="B23" s="956" t="s">
        <v>2691</v>
      </c>
    </row>
    <row r="24" spans="1:7" ht="18.75" customHeight="1">
      <c r="A24" s="977" t="s">
        <v>2748</v>
      </c>
      <c r="B24" s="978"/>
    </row>
    <row r="25" spans="1:7" ht="78.75" customHeight="1">
      <c r="A25" s="979" t="s">
        <v>2692</v>
      </c>
      <c r="B25" s="980"/>
    </row>
    <row r="26" spans="1:7" ht="95.25" customHeight="1">
      <c r="A26" s="975" t="s">
        <v>2693</v>
      </c>
      <c r="B26" s="976"/>
    </row>
    <row r="27" spans="1:7" ht="49.5" customHeight="1">
      <c r="A27" s="975" t="s">
        <v>2694</v>
      </c>
      <c r="B27" s="981"/>
    </row>
    <row r="28" spans="1:7" ht="44.25" customHeight="1">
      <c r="A28" s="975" t="s">
        <v>2695</v>
      </c>
      <c r="B28" s="981"/>
    </row>
    <row r="29" spans="1:7" ht="44.25" customHeight="1">
      <c r="A29" s="975" t="s">
        <v>2696</v>
      </c>
      <c r="B29" s="976"/>
    </row>
  </sheetData>
  <sheetProtection password="C671" sheet="1"/>
  <mergeCells count="13">
    <mergeCell ref="A20:B20"/>
    <mergeCell ref="A14:B14"/>
    <mergeCell ref="A15:B15"/>
    <mergeCell ref="A16:B16"/>
    <mergeCell ref="A17:B17"/>
    <mergeCell ref="A18:B18"/>
    <mergeCell ref="A19:B19"/>
    <mergeCell ref="A29:B29"/>
    <mergeCell ref="A24:B24"/>
    <mergeCell ref="A25:B25"/>
    <mergeCell ref="A26:B26"/>
    <mergeCell ref="A27:B27"/>
    <mergeCell ref="A28:B28"/>
  </mergeCells>
  <pageMargins left="0.55000000000000004" right="0.5" top="0.78" bottom="0.984251969" header="0.4921259845" footer="0.4921259845"/>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tabColor theme="3" tint="0.59999389629810485"/>
  </sheetPr>
  <dimension ref="A1:CE960"/>
  <sheetViews>
    <sheetView showGridLines="0" zoomScale="85" zoomScaleNormal="85" workbookViewId="0">
      <pane xSplit="2" topLeftCell="C1" activePane="topRight" state="frozen"/>
      <selection activeCell="C3" sqref="C3:F3"/>
      <selection pane="topRight" activeCell="C4" sqref="C4"/>
    </sheetView>
  </sheetViews>
  <sheetFormatPr baseColWidth="10" defaultRowHeight="15"/>
  <cols>
    <col min="1" max="1" width="16.44140625" style="46" customWidth="1"/>
    <col min="2" max="2" width="9.6640625" style="45" customWidth="1"/>
    <col min="3" max="3" width="12.33203125" style="45" customWidth="1"/>
    <col min="4" max="5" width="10.88671875" style="45" customWidth="1"/>
    <col min="6" max="14" width="10.88671875" style="46" customWidth="1"/>
    <col min="15" max="15" width="10.6640625" style="46" customWidth="1"/>
    <col min="16" max="82" width="10.88671875" style="46" customWidth="1"/>
    <col min="83" max="83" width="12.109375" style="46" customWidth="1"/>
    <col min="84" max="16384" width="11.5546875" style="46"/>
  </cols>
  <sheetData>
    <row r="1" spans="1:83" ht="16.5" thickBot="1">
      <c r="A1" s="985" t="s">
        <v>2408</v>
      </c>
      <c r="B1" s="985"/>
      <c r="C1" s="985"/>
      <c r="D1" s="61">
        <v>2017</v>
      </c>
      <c r="F1" s="986" t="s">
        <v>2409</v>
      </c>
      <c r="G1" s="987"/>
      <c r="H1" s="61">
        <v>3158</v>
      </c>
      <c r="J1" s="146" t="s">
        <v>437</v>
      </c>
      <c r="K1" s="404">
        <v>5</v>
      </c>
      <c r="L1" s="160"/>
      <c r="M1" s="160"/>
    </row>
    <row r="2" spans="1:83" ht="15" customHeight="1">
      <c r="A2" s="47"/>
      <c r="B2" s="48" t="s">
        <v>2588</v>
      </c>
      <c r="C2" s="869" t="s">
        <v>2410</v>
      </c>
      <c r="D2" s="49"/>
      <c r="E2" s="50"/>
      <c r="F2" s="51"/>
      <c r="G2" s="51"/>
      <c r="H2" s="52"/>
      <c r="I2" s="51"/>
      <c r="J2" s="51"/>
      <c r="K2" s="51"/>
      <c r="L2" s="51"/>
      <c r="M2" s="51"/>
      <c r="N2" s="51"/>
      <c r="O2" s="51"/>
      <c r="P2" s="51"/>
      <c r="Q2" s="51"/>
      <c r="R2" s="51"/>
      <c r="S2" s="51"/>
      <c r="T2" s="51"/>
      <c r="U2" s="51"/>
      <c r="V2" s="51"/>
      <c r="W2" s="51"/>
      <c r="X2" s="51"/>
      <c r="Y2" s="51"/>
      <c r="Z2" s="51"/>
      <c r="AA2" s="51"/>
      <c r="AB2" s="51"/>
      <c r="AC2" s="51"/>
      <c r="AD2" s="51"/>
      <c r="AE2" s="51"/>
      <c r="AF2" s="51"/>
      <c r="AG2" s="51"/>
      <c r="AH2" s="51"/>
      <c r="AI2" s="51"/>
      <c r="AJ2" s="51"/>
      <c r="AK2" s="51"/>
      <c r="AL2" s="51"/>
      <c r="AM2" s="51"/>
      <c r="AN2" s="51"/>
      <c r="AO2" s="51"/>
      <c r="AP2" s="51"/>
      <c r="AQ2" s="51"/>
      <c r="AR2" s="51"/>
      <c r="AS2" s="51"/>
      <c r="AT2" s="51"/>
      <c r="AU2" s="51"/>
      <c r="AV2" s="51"/>
      <c r="AW2" s="51"/>
      <c r="AX2" s="51"/>
      <c r="AY2" s="51"/>
      <c r="AZ2" s="51"/>
      <c r="BA2" s="51"/>
      <c r="BB2" s="51"/>
      <c r="BC2" s="51"/>
      <c r="BD2" s="51"/>
      <c r="BE2" s="51"/>
      <c r="BF2" s="51"/>
      <c r="BG2" s="51"/>
      <c r="BH2" s="51"/>
      <c r="BI2" s="51"/>
      <c r="BJ2" s="51"/>
      <c r="BK2" s="51"/>
      <c r="BL2" s="51"/>
      <c r="BM2" s="51"/>
      <c r="BN2" s="51"/>
      <c r="BO2" s="51"/>
      <c r="BP2" s="51"/>
      <c r="BQ2" s="51"/>
      <c r="BR2" s="51"/>
      <c r="BS2" s="51"/>
      <c r="BT2" s="51"/>
      <c r="BU2" s="51"/>
      <c r="BV2" s="51"/>
      <c r="BW2" s="51"/>
      <c r="BX2" s="51"/>
      <c r="BY2" s="51"/>
      <c r="BZ2" s="51"/>
      <c r="CA2" s="51"/>
      <c r="CB2" s="51"/>
      <c r="CC2" s="51"/>
      <c r="CD2" s="51"/>
      <c r="CE2" s="53"/>
    </row>
    <row r="3" spans="1:83" ht="17.25" customHeight="1">
      <c r="A3" s="54" t="s">
        <v>438</v>
      </c>
      <c r="B3" s="55">
        <v>2388</v>
      </c>
      <c r="C3" s="60">
        <v>3158</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c r="BU3" s="60"/>
      <c r="BV3" s="60"/>
      <c r="BW3" s="60"/>
      <c r="BX3" s="60"/>
      <c r="BY3" s="60"/>
      <c r="BZ3" s="60"/>
      <c r="CA3" s="60"/>
      <c r="CB3" s="60"/>
      <c r="CC3" s="60"/>
      <c r="CD3" s="60"/>
      <c r="CE3" s="56" t="s">
        <v>1530</v>
      </c>
    </row>
    <row r="4" spans="1:83" ht="45">
      <c r="A4" s="57" t="s">
        <v>2398</v>
      </c>
      <c r="B4" s="58">
        <v>1.3</v>
      </c>
      <c r="C4" s="129">
        <v>18.966315789473679</v>
      </c>
      <c r="D4" s="129"/>
      <c r="E4" s="129"/>
      <c r="F4" s="129"/>
      <c r="G4" s="129"/>
      <c r="H4" s="129"/>
      <c r="I4" s="129"/>
      <c r="J4" s="129"/>
      <c r="K4" s="129"/>
      <c r="L4" s="129"/>
      <c r="M4" s="129"/>
      <c r="N4" s="129"/>
      <c r="O4" s="129"/>
      <c r="P4" s="129"/>
      <c r="Q4" s="129"/>
      <c r="R4" s="129"/>
      <c r="S4" s="129"/>
      <c r="T4" s="129"/>
      <c r="U4" s="129"/>
      <c r="V4" s="129"/>
      <c r="W4" s="129"/>
      <c r="X4" s="129"/>
      <c r="Y4" s="129"/>
      <c r="Z4" s="129"/>
      <c r="AA4" s="129"/>
      <c r="AB4" s="129"/>
      <c r="AC4" s="129"/>
      <c r="AD4" s="129"/>
      <c r="AE4" s="129"/>
      <c r="AF4" s="129"/>
      <c r="AG4" s="129"/>
      <c r="AH4" s="129"/>
      <c r="AI4" s="129"/>
      <c r="AJ4" s="129"/>
      <c r="AK4" s="129"/>
      <c r="AL4" s="129"/>
      <c r="AM4" s="129"/>
      <c r="AN4" s="129"/>
      <c r="AO4" s="129"/>
      <c r="AP4" s="129"/>
      <c r="AQ4" s="129"/>
      <c r="AR4" s="129"/>
      <c r="AS4" s="129"/>
      <c r="AT4" s="129"/>
      <c r="AU4" s="129"/>
      <c r="AV4" s="129"/>
      <c r="AW4" s="129"/>
      <c r="AX4" s="129"/>
      <c r="AY4" s="129"/>
      <c r="AZ4" s="129"/>
      <c r="BA4" s="129"/>
      <c r="BB4" s="129"/>
      <c r="BC4" s="129"/>
      <c r="BD4" s="129"/>
      <c r="BE4" s="129"/>
      <c r="BF4" s="129"/>
      <c r="BG4" s="129"/>
      <c r="BH4" s="129"/>
      <c r="BI4" s="129"/>
      <c r="BJ4" s="129"/>
      <c r="BK4" s="129"/>
      <c r="BL4" s="129"/>
      <c r="BM4" s="129"/>
      <c r="BN4" s="129"/>
      <c r="BO4" s="129"/>
      <c r="BP4" s="129"/>
      <c r="BQ4" s="129"/>
      <c r="BR4" s="129"/>
      <c r="BS4" s="129"/>
      <c r="BT4" s="129"/>
      <c r="BU4" s="129"/>
      <c r="BV4" s="129"/>
      <c r="BW4" s="129"/>
      <c r="BX4" s="129"/>
      <c r="BY4" s="129"/>
      <c r="BZ4" s="129"/>
      <c r="CA4" s="129"/>
      <c r="CB4" s="129"/>
      <c r="CC4" s="129"/>
      <c r="CD4" s="129"/>
      <c r="CE4" s="130">
        <f>SUM(C4:CD4)</f>
        <v>18.966315789473679</v>
      </c>
    </row>
    <row r="5" spans="1:83" ht="45">
      <c r="A5" s="57" t="s">
        <v>2397</v>
      </c>
      <c r="B5" s="58">
        <v>1.2</v>
      </c>
      <c r="C5" s="129">
        <v>12.803315789473684</v>
      </c>
      <c r="D5" s="129"/>
      <c r="E5" s="129"/>
      <c r="F5" s="129"/>
      <c r="G5" s="129"/>
      <c r="H5" s="129"/>
      <c r="I5" s="129"/>
      <c r="J5" s="129"/>
      <c r="K5" s="129"/>
      <c r="L5" s="129"/>
      <c r="M5" s="129"/>
      <c r="N5" s="129"/>
      <c r="O5" s="129"/>
      <c r="P5" s="129"/>
      <c r="Q5" s="129"/>
      <c r="R5" s="129"/>
      <c r="S5" s="129"/>
      <c r="T5" s="129"/>
      <c r="U5" s="129"/>
      <c r="V5" s="129"/>
      <c r="W5" s="129"/>
      <c r="X5" s="129"/>
      <c r="Y5" s="129"/>
      <c r="Z5" s="129"/>
      <c r="AA5" s="129"/>
      <c r="AB5" s="129"/>
      <c r="AC5" s="129"/>
      <c r="AD5" s="129"/>
      <c r="AE5" s="129"/>
      <c r="AF5" s="129"/>
      <c r="AG5" s="129"/>
      <c r="AH5" s="129"/>
      <c r="AI5" s="129"/>
      <c r="AJ5" s="129"/>
      <c r="AK5" s="129"/>
      <c r="AL5" s="129"/>
      <c r="AM5" s="129"/>
      <c r="AN5" s="129"/>
      <c r="AO5" s="129"/>
      <c r="AP5" s="129"/>
      <c r="AQ5" s="129"/>
      <c r="AR5" s="129"/>
      <c r="AS5" s="129"/>
      <c r="AT5" s="129"/>
      <c r="AU5" s="129"/>
      <c r="AV5" s="129"/>
      <c r="AW5" s="129"/>
      <c r="AX5" s="129"/>
      <c r="AY5" s="129"/>
      <c r="AZ5" s="129"/>
      <c r="BA5" s="129"/>
      <c r="BB5" s="129"/>
      <c r="BC5" s="129"/>
      <c r="BD5" s="129"/>
      <c r="BE5" s="129"/>
      <c r="BF5" s="129"/>
      <c r="BG5" s="129"/>
      <c r="BH5" s="129"/>
      <c r="BI5" s="129"/>
      <c r="BJ5" s="129"/>
      <c r="BK5" s="129"/>
      <c r="BL5" s="129"/>
      <c r="BM5" s="129"/>
      <c r="BN5" s="129"/>
      <c r="BO5" s="129"/>
      <c r="BP5" s="129"/>
      <c r="BQ5" s="129"/>
      <c r="BR5" s="129"/>
      <c r="BS5" s="129"/>
      <c r="BT5" s="129"/>
      <c r="BU5" s="129"/>
      <c r="BV5" s="129"/>
      <c r="BW5" s="129"/>
      <c r="BX5" s="129"/>
      <c r="BY5" s="129"/>
      <c r="BZ5" s="129"/>
      <c r="CA5" s="129"/>
      <c r="CB5" s="129"/>
      <c r="CC5" s="129"/>
      <c r="CD5" s="129"/>
      <c r="CE5" s="130">
        <f t="shared" ref="CE5:CE14" si="0">SUM(C5:CD5)</f>
        <v>12.803315789473684</v>
      </c>
    </row>
    <row r="6" spans="1:83" ht="45">
      <c r="A6" s="57" t="s">
        <v>2399</v>
      </c>
      <c r="B6" s="58">
        <v>1</v>
      </c>
      <c r="C6" s="129">
        <v>1.2736842105263158</v>
      </c>
      <c r="D6" s="129"/>
      <c r="E6" s="129"/>
      <c r="F6" s="129"/>
      <c r="G6" s="129"/>
      <c r="H6" s="129"/>
      <c r="I6" s="129"/>
      <c r="J6" s="129"/>
      <c r="K6" s="129"/>
      <c r="L6" s="129"/>
      <c r="M6" s="129"/>
      <c r="N6" s="129"/>
      <c r="O6" s="129"/>
      <c r="P6" s="129"/>
      <c r="Q6" s="129"/>
      <c r="R6" s="129"/>
      <c r="S6" s="129"/>
      <c r="T6" s="129"/>
      <c r="U6" s="129"/>
      <c r="V6" s="129"/>
      <c r="W6" s="129"/>
      <c r="X6" s="129"/>
      <c r="Y6" s="129"/>
      <c r="Z6" s="129"/>
      <c r="AA6" s="129"/>
      <c r="AB6" s="129"/>
      <c r="AC6" s="129"/>
      <c r="AD6" s="129"/>
      <c r="AE6" s="129"/>
      <c r="AF6" s="129"/>
      <c r="AG6" s="129"/>
      <c r="AH6" s="129"/>
      <c r="AI6" s="129"/>
      <c r="AJ6" s="129"/>
      <c r="AK6" s="129"/>
      <c r="AL6" s="129"/>
      <c r="AM6" s="129"/>
      <c r="AN6" s="129"/>
      <c r="AO6" s="129"/>
      <c r="AP6" s="129"/>
      <c r="AQ6" s="129"/>
      <c r="AR6" s="129"/>
      <c r="AS6" s="129"/>
      <c r="AT6" s="129"/>
      <c r="AU6" s="129"/>
      <c r="AV6" s="129"/>
      <c r="AW6" s="129"/>
      <c r="AX6" s="129"/>
      <c r="AY6" s="129"/>
      <c r="AZ6" s="129"/>
      <c r="BA6" s="129"/>
      <c r="BB6" s="129"/>
      <c r="BC6" s="129"/>
      <c r="BD6" s="129"/>
      <c r="BE6" s="129"/>
      <c r="BF6" s="129"/>
      <c r="BG6" s="129"/>
      <c r="BH6" s="129"/>
      <c r="BI6" s="129"/>
      <c r="BJ6" s="129"/>
      <c r="BK6" s="129"/>
      <c r="BL6" s="129"/>
      <c r="BM6" s="129"/>
      <c r="BN6" s="129"/>
      <c r="BO6" s="129"/>
      <c r="BP6" s="129"/>
      <c r="BQ6" s="129"/>
      <c r="BR6" s="129"/>
      <c r="BS6" s="129"/>
      <c r="BT6" s="129"/>
      <c r="BU6" s="129"/>
      <c r="BV6" s="129"/>
      <c r="BW6" s="129"/>
      <c r="BX6" s="129"/>
      <c r="BY6" s="129"/>
      <c r="BZ6" s="129"/>
      <c r="CA6" s="129"/>
      <c r="CB6" s="129"/>
      <c r="CC6" s="129"/>
      <c r="CD6" s="129"/>
      <c r="CE6" s="130">
        <f t="shared" si="0"/>
        <v>1.2736842105263158</v>
      </c>
    </row>
    <row r="7" spans="1:83" ht="33.75">
      <c r="A7" s="57" t="s">
        <v>2400</v>
      </c>
      <c r="B7" s="58">
        <v>0</v>
      </c>
      <c r="C7" s="129">
        <v>1.2736842105263158</v>
      </c>
      <c r="D7" s="129"/>
      <c r="E7" s="129"/>
      <c r="F7" s="129"/>
      <c r="G7" s="129"/>
      <c r="H7" s="129"/>
      <c r="I7" s="129"/>
      <c r="J7" s="129"/>
      <c r="K7" s="129"/>
      <c r="L7" s="129"/>
      <c r="M7" s="129"/>
      <c r="N7" s="129"/>
      <c r="O7" s="129"/>
      <c r="P7" s="129"/>
      <c r="Q7" s="129"/>
      <c r="R7" s="129"/>
      <c r="S7" s="129"/>
      <c r="T7" s="129"/>
      <c r="U7" s="129"/>
      <c r="V7" s="129"/>
      <c r="W7" s="129"/>
      <c r="X7" s="129"/>
      <c r="Y7" s="129"/>
      <c r="Z7" s="129"/>
      <c r="AA7" s="129"/>
      <c r="AB7" s="129"/>
      <c r="AC7" s="129"/>
      <c r="AD7" s="129"/>
      <c r="AE7" s="129"/>
      <c r="AF7" s="129"/>
      <c r="AG7" s="129"/>
      <c r="AH7" s="129"/>
      <c r="AI7" s="129"/>
      <c r="AJ7" s="129"/>
      <c r="AK7" s="129"/>
      <c r="AL7" s="129"/>
      <c r="AM7" s="129"/>
      <c r="AN7" s="129"/>
      <c r="AO7" s="129"/>
      <c r="AP7" s="129"/>
      <c r="AQ7" s="129"/>
      <c r="AR7" s="129"/>
      <c r="AS7" s="129"/>
      <c r="AT7" s="129"/>
      <c r="AU7" s="129"/>
      <c r="AV7" s="129"/>
      <c r="AW7" s="129"/>
      <c r="AX7" s="129"/>
      <c r="AY7" s="129"/>
      <c r="AZ7" s="129"/>
      <c r="BA7" s="129"/>
      <c r="BB7" s="129"/>
      <c r="BC7" s="129"/>
      <c r="BD7" s="129"/>
      <c r="BE7" s="129"/>
      <c r="BF7" s="129"/>
      <c r="BG7" s="129"/>
      <c r="BH7" s="129"/>
      <c r="BI7" s="129"/>
      <c r="BJ7" s="129"/>
      <c r="BK7" s="129"/>
      <c r="BL7" s="129"/>
      <c r="BM7" s="129"/>
      <c r="BN7" s="129"/>
      <c r="BO7" s="129"/>
      <c r="BP7" s="129"/>
      <c r="BQ7" s="129"/>
      <c r="BR7" s="129"/>
      <c r="BS7" s="129"/>
      <c r="BT7" s="129"/>
      <c r="BU7" s="129"/>
      <c r="BV7" s="129"/>
      <c r="BW7" s="129"/>
      <c r="BX7" s="129"/>
      <c r="BY7" s="129"/>
      <c r="BZ7" s="129"/>
      <c r="CA7" s="129"/>
      <c r="CB7" s="129"/>
      <c r="CC7" s="129"/>
      <c r="CD7" s="129"/>
      <c r="CE7" s="130">
        <f t="shared" si="0"/>
        <v>1.2736842105263158</v>
      </c>
    </row>
    <row r="8" spans="1:83" ht="45">
      <c r="A8" s="57" t="s">
        <v>2401</v>
      </c>
      <c r="B8" s="58">
        <v>0</v>
      </c>
      <c r="C8" s="129">
        <v>0.8057894736842105</v>
      </c>
      <c r="D8" s="129"/>
      <c r="E8" s="129"/>
      <c r="F8" s="129"/>
      <c r="G8" s="129"/>
      <c r="H8" s="129"/>
      <c r="I8" s="129"/>
      <c r="J8" s="129"/>
      <c r="K8" s="129"/>
      <c r="L8" s="129"/>
      <c r="M8" s="129"/>
      <c r="N8" s="129"/>
      <c r="O8" s="129"/>
      <c r="P8" s="129"/>
      <c r="Q8" s="129"/>
      <c r="R8" s="129"/>
      <c r="S8" s="129"/>
      <c r="T8" s="129"/>
      <c r="U8" s="129"/>
      <c r="V8" s="129"/>
      <c r="W8" s="129"/>
      <c r="X8" s="129"/>
      <c r="Y8" s="129"/>
      <c r="Z8" s="129"/>
      <c r="AA8" s="129"/>
      <c r="AB8" s="129"/>
      <c r="AC8" s="129"/>
      <c r="AD8" s="129"/>
      <c r="AE8" s="129"/>
      <c r="AF8" s="129"/>
      <c r="AG8" s="129"/>
      <c r="AH8" s="129"/>
      <c r="AI8" s="129"/>
      <c r="AJ8" s="129"/>
      <c r="AK8" s="129"/>
      <c r="AL8" s="129"/>
      <c r="AM8" s="129"/>
      <c r="AN8" s="129"/>
      <c r="AO8" s="129"/>
      <c r="AP8" s="129"/>
      <c r="AQ8" s="129"/>
      <c r="AR8" s="129"/>
      <c r="AS8" s="129"/>
      <c r="AT8" s="129"/>
      <c r="AU8" s="129"/>
      <c r="AV8" s="129"/>
      <c r="AW8" s="129"/>
      <c r="AX8" s="129"/>
      <c r="AY8" s="129"/>
      <c r="AZ8" s="129"/>
      <c r="BA8" s="129"/>
      <c r="BB8" s="129"/>
      <c r="BC8" s="129"/>
      <c r="BD8" s="129"/>
      <c r="BE8" s="129"/>
      <c r="BF8" s="129"/>
      <c r="BG8" s="129"/>
      <c r="BH8" s="129"/>
      <c r="BI8" s="129"/>
      <c r="BJ8" s="129"/>
      <c r="BK8" s="129"/>
      <c r="BL8" s="129"/>
      <c r="BM8" s="129"/>
      <c r="BN8" s="129"/>
      <c r="BO8" s="129"/>
      <c r="BP8" s="129"/>
      <c r="BQ8" s="129"/>
      <c r="BR8" s="129"/>
      <c r="BS8" s="129"/>
      <c r="BT8" s="129"/>
      <c r="BU8" s="129"/>
      <c r="BV8" s="129"/>
      <c r="BW8" s="129"/>
      <c r="BX8" s="129"/>
      <c r="BY8" s="129"/>
      <c r="BZ8" s="129"/>
      <c r="CA8" s="129"/>
      <c r="CB8" s="129"/>
      <c r="CC8" s="129"/>
      <c r="CD8" s="129"/>
      <c r="CE8" s="130">
        <f t="shared" si="0"/>
        <v>0.8057894736842105</v>
      </c>
    </row>
    <row r="9" spans="1:83" ht="56.25">
      <c r="A9" s="57" t="s">
        <v>2402</v>
      </c>
      <c r="B9" s="58">
        <v>0</v>
      </c>
      <c r="C9" s="129">
        <v>0.45684210526315788</v>
      </c>
      <c r="D9" s="129"/>
      <c r="E9" s="129"/>
      <c r="F9" s="129"/>
      <c r="G9" s="129"/>
      <c r="H9" s="129"/>
      <c r="I9" s="129"/>
      <c r="J9" s="129"/>
      <c r="K9" s="129"/>
      <c r="L9" s="129"/>
      <c r="M9" s="129"/>
      <c r="N9" s="129"/>
      <c r="O9" s="129"/>
      <c r="P9" s="129"/>
      <c r="Q9" s="129"/>
      <c r="R9" s="129"/>
      <c r="S9" s="129"/>
      <c r="T9" s="129"/>
      <c r="U9" s="129"/>
      <c r="V9" s="129"/>
      <c r="W9" s="129"/>
      <c r="X9" s="129"/>
      <c r="Y9" s="129"/>
      <c r="Z9" s="129"/>
      <c r="AA9" s="129"/>
      <c r="AB9" s="129"/>
      <c r="AC9" s="129"/>
      <c r="AD9" s="129"/>
      <c r="AE9" s="129"/>
      <c r="AF9" s="129"/>
      <c r="AG9" s="129"/>
      <c r="AH9" s="129"/>
      <c r="AI9" s="129"/>
      <c r="AJ9" s="129"/>
      <c r="AK9" s="129"/>
      <c r="AL9" s="129"/>
      <c r="AM9" s="129"/>
      <c r="AN9" s="129"/>
      <c r="AO9" s="129"/>
      <c r="AP9" s="129"/>
      <c r="AQ9" s="129"/>
      <c r="AR9" s="129"/>
      <c r="AS9" s="129"/>
      <c r="AT9" s="129"/>
      <c r="AU9" s="129"/>
      <c r="AV9" s="129"/>
      <c r="AW9" s="129"/>
      <c r="AX9" s="129"/>
      <c r="AY9" s="129"/>
      <c r="AZ9" s="129"/>
      <c r="BA9" s="129"/>
      <c r="BB9" s="129"/>
      <c r="BC9" s="129"/>
      <c r="BD9" s="129"/>
      <c r="BE9" s="129"/>
      <c r="BF9" s="129"/>
      <c r="BG9" s="129"/>
      <c r="BH9" s="129"/>
      <c r="BI9" s="129"/>
      <c r="BJ9" s="129"/>
      <c r="BK9" s="129"/>
      <c r="BL9" s="129"/>
      <c r="BM9" s="129"/>
      <c r="BN9" s="129"/>
      <c r="BO9" s="129"/>
      <c r="BP9" s="129"/>
      <c r="BQ9" s="129"/>
      <c r="BR9" s="129"/>
      <c r="BS9" s="129"/>
      <c r="BT9" s="129"/>
      <c r="BU9" s="129"/>
      <c r="BV9" s="129"/>
      <c r="BW9" s="129"/>
      <c r="BX9" s="129"/>
      <c r="BY9" s="129"/>
      <c r="BZ9" s="129"/>
      <c r="CA9" s="129"/>
      <c r="CB9" s="129"/>
      <c r="CC9" s="129"/>
      <c r="CD9" s="129"/>
      <c r="CE9" s="130">
        <f t="shared" si="0"/>
        <v>0.45684210526315788</v>
      </c>
    </row>
    <row r="10" spans="1:83" ht="22.5">
      <c r="A10" s="59" t="s">
        <v>2403</v>
      </c>
      <c r="B10" s="128">
        <v>250000</v>
      </c>
      <c r="C10" s="131">
        <v>245798.40647241729</v>
      </c>
      <c r="D10" s="131"/>
      <c r="E10" s="131"/>
      <c r="F10" s="131"/>
      <c r="G10" s="131"/>
      <c r="H10" s="131"/>
      <c r="I10" s="131"/>
      <c r="J10" s="131"/>
      <c r="K10" s="131"/>
      <c r="L10" s="131"/>
      <c r="M10" s="131"/>
      <c r="N10" s="131"/>
      <c r="O10" s="131"/>
      <c r="P10" s="131"/>
      <c r="Q10" s="131"/>
      <c r="R10" s="131"/>
      <c r="S10" s="131"/>
      <c r="T10" s="131"/>
      <c r="U10" s="131"/>
      <c r="V10" s="131"/>
      <c r="W10" s="131"/>
      <c r="X10" s="131"/>
      <c r="Y10" s="131"/>
      <c r="Z10" s="131"/>
      <c r="AA10" s="131"/>
      <c r="AB10" s="131"/>
      <c r="AC10" s="131"/>
      <c r="AD10" s="131"/>
      <c r="AE10" s="131"/>
      <c r="AF10" s="131"/>
      <c r="AG10" s="131"/>
      <c r="AH10" s="131"/>
      <c r="AI10" s="131"/>
      <c r="AJ10" s="131"/>
      <c r="AK10" s="131"/>
      <c r="AL10" s="131"/>
      <c r="AM10" s="131"/>
      <c r="AN10" s="131"/>
      <c r="AO10" s="131"/>
      <c r="AP10" s="131"/>
      <c r="AQ10" s="131"/>
      <c r="AR10" s="131"/>
      <c r="AS10" s="131"/>
      <c r="AT10" s="131"/>
      <c r="AU10" s="131"/>
      <c r="AV10" s="131"/>
      <c r="AW10" s="131"/>
      <c r="AX10" s="131"/>
      <c r="AY10" s="131"/>
      <c r="AZ10" s="131"/>
      <c r="BA10" s="131"/>
      <c r="BB10" s="131"/>
      <c r="BC10" s="131"/>
      <c r="BD10" s="131"/>
      <c r="BE10" s="131"/>
      <c r="BF10" s="131"/>
      <c r="BG10" s="131"/>
      <c r="BH10" s="131"/>
      <c r="BI10" s="131"/>
      <c r="BJ10" s="131"/>
      <c r="BK10" s="131"/>
      <c r="BL10" s="131"/>
      <c r="BM10" s="131"/>
      <c r="BN10" s="131"/>
      <c r="BO10" s="131"/>
      <c r="BP10" s="131"/>
      <c r="BQ10" s="131"/>
      <c r="BR10" s="131"/>
      <c r="BS10" s="131"/>
      <c r="BT10" s="131"/>
      <c r="BU10" s="131"/>
      <c r="BV10" s="131"/>
      <c r="BW10" s="131"/>
      <c r="BX10" s="131"/>
      <c r="BY10" s="131"/>
      <c r="BZ10" s="131"/>
      <c r="CA10" s="131"/>
      <c r="CB10" s="131"/>
      <c r="CC10" s="131"/>
      <c r="CD10" s="131"/>
      <c r="CE10" s="130">
        <f t="shared" si="0"/>
        <v>245798.40647241729</v>
      </c>
    </row>
    <row r="11" spans="1:83" ht="43.5" customHeight="1">
      <c r="A11" s="59" t="s">
        <v>2404</v>
      </c>
      <c r="B11" s="128">
        <v>320000</v>
      </c>
      <c r="C11" s="131">
        <v>995820.8899999999</v>
      </c>
      <c r="D11" s="131"/>
      <c r="E11" s="131"/>
      <c r="F11" s="131"/>
      <c r="G11" s="131"/>
      <c r="H11" s="131"/>
      <c r="I11" s="131"/>
      <c r="J11" s="131"/>
      <c r="K11" s="131"/>
      <c r="L11" s="131"/>
      <c r="M11" s="131"/>
      <c r="N11" s="131"/>
      <c r="O11" s="131"/>
      <c r="P11" s="131"/>
      <c r="Q11" s="131"/>
      <c r="R11" s="131"/>
      <c r="S11" s="131"/>
      <c r="T11" s="131"/>
      <c r="U11" s="131"/>
      <c r="V11" s="131"/>
      <c r="W11" s="131"/>
      <c r="X11" s="131"/>
      <c r="Y11" s="131"/>
      <c r="Z11" s="131"/>
      <c r="AA11" s="131"/>
      <c r="AB11" s="131"/>
      <c r="AC11" s="131"/>
      <c r="AD11" s="131"/>
      <c r="AE11" s="131"/>
      <c r="AF11" s="131"/>
      <c r="AG11" s="131"/>
      <c r="AH11" s="131"/>
      <c r="AI11" s="131"/>
      <c r="AJ11" s="131"/>
      <c r="AK11" s="131"/>
      <c r="AL11" s="131"/>
      <c r="AM11" s="131"/>
      <c r="AN11" s="131"/>
      <c r="AO11" s="131"/>
      <c r="AP11" s="131"/>
      <c r="AQ11" s="131"/>
      <c r="AR11" s="131"/>
      <c r="AS11" s="131"/>
      <c r="AT11" s="131"/>
      <c r="AU11" s="131"/>
      <c r="AV11" s="131"/>
      <c r="AW11" s="131"/>
      <c r="AX11" s="131"/>
      <c r="AY11" s="131"/>
      <c r="AZ11" s="131"/>
      <c r="BA11" s="131"/>
      <c r="BB11" s="131"/>
      <c r="BC11" s="131"/>
      <c r="BD11" s="131"/>
      <c r="BE11" s="131"/>
      <c r="BF11" s="131"/>
      <c r="BG11" s="131"/>
      <c r="BH11" s="131"/>
      <c r="BI11" s="131"/>
      <c r="BJ11" s="131"/>
      <c r="BK11" s="131"/>
      <c r="BL11" s="131"/>
      <c r="BM11" s="131"/>
      <c r="BN11" s="131"/>
      <c r="BO11" s="131"/>
      <c r="BP11" s="131"/>
      <c r="BQ11" s="131"/>
      <c r="BR11" s="131"/>
      <c r="BS11" s="131"/>
      <c r="BT11" s="131"/>
      <c r="BU11" s="131"/>
      <c r="BV11" s="131"/>
      <c r="BW11" s="131"/>
      <c r="BX11" s="131"/>
      <c r="BY11" s="131"/>
      <c r="BZ11" s="131"/>
      <c r="CA11" s="131"/>
      <c r="CB11" s="131"/>
      <c r="CC11" s="131"/>
      <c r="CD11" s="131"/>
      <c r="CE11" s="130">
        <f t="shared" si="0"/>
        <v>995820.8899999999</v>
      </c>
    </row>
    <row r="12" spans="1:83" ht="53.25" customHeight="1">
      <c r="A12" s="875" t="s">
        <v>2405</v>
      </c>
      <c r="B12" s="128">
        <v>340000</v>
      </c>
      <c r="C12" s="131">
        <v>763338.64372607833</v>
      </c>
      <c r="D12" s="131"/>
      <c r="E12" s="131"/>
      <c r="F12" s="131"/>
      <c r="G12" s="131"/>
      <c r="H12" s="131"/>
      <c r="I12" s="131"/>
      <c r="J12" s="131"/>
      <c r="K12" s="131"/>
      <c r="L12" s="131"/>
      <c r="M12" s="131"/>
      <c r="N12" s="131"/>
      <c r="O12" s="131"/>
      <c r="P12" s="131"/>
      <c r="Q12" s="131"/>
      <c r="R12" s="131"/>
      <c r="S12" s="131"/>
      <c r="T12" s="131"/>
      <c r="U12" s="131"/>
      <c r="V12" s="131"/>
      <c r="W12" s="131"/>
      <c r="X12" s="131"/>
      <c r="Y12" s="131"/>
      <c r="Z12" s="131"/>
      <c r="AA12" s="131"/>
      <c r="AB12" s="131"/>
      <c r="AC12" s="131"/>
      <c r="AD12" s="131"/>
      <c r="AE12" s="131"/>
      <c r="AF12" s="131"/>
      <c r="AG12" s="131"/>
      <c r="AH12" s="131"/>
      <c r="AI12" s="131"/>
      <c r="AJ12" s="131"/>
      <c r="AK12" s="131"/>
      <c r="AL12" s="131"/>
      <c r="AM12" s="131"/>
      <c r="AN12" s="131"/>
      <c r="AO12" s="131"/>
      <c r="AP12" s="131"/>
      <c r="AQ12" s="131"/>
      <c r="AR12" s="131"/>
      <c r="AS12" s="131"/>
      <c r="AT12" s="131"/>
      <c r="AU12" s="131"/>
      <c r="AV12" s="131"/>
      <c r="AW12" s="131"/>
      <c r="AX12" s="131"/>
      <c r="AY12" s="131"/>
      <c r="AZ12" s="131"/>
      <c r="BA12" s="131"/>
      <c r="BB12" s="131"/>
      <c r="BC12" s="131"/>
      <c r="BD12" s="131"/>
      <c r="BE12" s="131"/>
      <c r="BF12" s="131"/>
      <c r="BG12" s="131"/>
      <c r="BH12" s="131"/>
      <c r="BI12" s="131"/>
      <c r="BJ12" s="131"/>
      <c r="BK12" s="131"/>
      <c r="BL12" s="131"/>
      <c r="BM12" s="131"/>
      <c r="BN12" s="131"/>
      <c r="BO12" s="131"/>
      <c r="BP12" s="131"/>
      <c r="BQ12" s="131"/>
      <c r="BR12" s="131"/>
      <c r="BS12" s="131"/>
      <c r="BT12" s="131"/>
      <c r="BU12" s="131"/>
      <c r="BV12" s="131"/>
      <c r="BW12" s="131"/>
      <c r="BX12" s="131"/>
      <c r="BY12" s="131"/>
      <c r="BZ12" s="131"/>
      <c r="CA12" s="131"/>
      <c r="CB12" s="131"/>
      <c r="CC12" s="131"/>
      <c r="CD12" s="131"/>
      <c r="CE12" s="130">
        <f t="shared" si="0"/>
        <v>763338.64372607833</v>
      </c>
    </row>
    <row r="13" spans="1:83" ht="21">
      <c r="A13" s="59" t="s">
        <v>2406</v>
      </c>
      <c r="B13" s="128">
        <v>120000</v>
      </c>
      <c r="C13" s="131">
        <v>220636</v>
      </c>
      <c r="D13" s="131"/>
      <c r="E13" s="131"/>
      <c r="F13" s="131"/>
      <c r="G13" s="131"/>
      <c r="H13" s="131"/>
      <c r="I13" s="131"/>
      <c r="J13" s="131"/>
      <c r="K13" s="131"/>
      <c r="L13" s="131"/>
      <c r="M13" s="131"/>
      <c r="N13" s="131"/>
      <c r="O13" s="131"/>
      <c r="P13" s="131"/>
      <c r="Q13" s="131"/>
      <c r="R13" s="131"/>
      <c r="S13" s="131"/>
      <c r="T13" s="131"/>
      <c r="U13" s="131"/>
      <c r="V13" s="131"/>
      <c r="W13" s="131"/>
      <c r="X13" s="131"/>
      <c r="Y13" s="131"/>
      <c r="Z13" s="131"/>
      <c r="AA13" s="131"/>
      <c r="AB13" s="131"/>
      <c r="AC13" s="131"/>
      <c r="AD13" s="131"/>
      <c r="AE13" s="131"/>
      <c r="AF13" s="131"/>
      <c r="AG13" s="131"/>
      <c r="AH13" s="131"/>
      <c r="AI13" s="131"/>
      <c r="AJ13" s="131"/>
      <c r="AK13" s="131"/>
      <c r="AL13" s="131"/>
      <c r="AM13" s="131"/>
      <c r="AN13" s="131"/>
      <c r="AO13" s="131"/>
      <c r="AP13" s="131"/>
      <c r="AQ13" s="131"/>
      <c r="AR13" s="131"/>
      <c r="AS13" s="131"/>
      <c r="AT13" s="131"/>
      <c r="AU13" s="131"/>
      <c r="AV13" s="131"/>
      <c r="AW13" s="131"/>
      <c r="AX13" s="131"/>
      <c r="AY13" s="131"/>
      <c r="AZ13" s="131"/>
      <c r="BA13" s="131"/>
      <c r="BB13" s="131"/>
      <c r="BC13" s="131"/>
      <c r="BD13" s="131"/>
      <c r="BE13" s="131"/>
      <c r="BF13" s="131"/>
      <c r="BG13" s="131"/>
      <c r="BH13" s="131"/>
      <c r="BI13" s="131"/>
      <c r="BJ13" s="131"/>
      <c r="BK13" s="131"/>
      <c r="BL13" s="131"/>
      <c r="BM13" s="131"/>
      <c r="BN13" s="131"/>
      <c r="BO13" s="131"/>
      <c r="BP13" s="131"/>
      <c r="BQ13" s="131"/>
      <c r="BR13" s="131"/>
      <c r="BS13" s="131"/>
      <c r="BT13" s="131"/>
      <c r="BU13" s="131"/>
      <c r="BV13" s="131"/>
      <c r="BW13" s="131"/>
      <c r="BX13" s="131"/>
      <c r="BY13" s="131"/>
      <c r="BZ13" s="131"/>
      <c r="CA13" s="131"/>
      <c r="CB13" s="131"/>
      <c r="CC13" s="131"/>
      <c r="CD13" s="131"/>
      <c r="CE13" s="130">
        <f t="shared" si="0"/>
        <v>220636</v>
      </c>
    </row>
    <row r="14" spans="1:83" ht="32.25">
      <c r="A14" s="59" t="s">
        <v>2407</v>
      </c>
      <c r="B14" s="128">
        <v>12000</v>
      </c>
      <c r="C14" s="131">
        <v>-17722.975928602391</v>
      </c>
      <c r="D14" s="131"/>
      <c r="E14" s="131"/>
      <c r="F14" s="131"/>
      <c r="G14" s="131"/>
      <c r="H14" s="131"/>
      <c r="I14" s="131"/>
      <c r="J14" s="131"/>
      <c r="K14" s="131"/>
      <c r="L14" s="131"/>
      <c r="M14" s="131"/>
      <c r="N14" s="131"/>
      <c r="O14" s="131"/>
      <c r="P14" s="131"/>
      <c r="Q14" s="131"/>
      <c r="R14" s="131"/>
      <c r="S14" s="131"/>
      <c r="T14" s="131"/>
      <c r="U14" s="131"/>
      <c r="V14" s="131"/>
      <c r="W14" s="131"/>
      <c r="X14" s="131"/>
      <c r="Y14" s="131"/>
      <c r="Z14" s="131"/>
      <c r="AA14" s="131"/>
      <c r="AB14" s="131"/>
      <c r="AC14" s="131"/>
      <c r="AD14" s="131"/>
      <c r="AE14" s="131"/>
      <c r="AF14" s="131"/>
      <c r="AG14" s="131"/>
      <c r="AH14" s="131"/>
      <c r="AI14" s="131"/>
      <c r="AJ14" s="131"/>
      <c r="AK14" s="131"/>
      <c r="AL14" s="131"/>
      <c r="AM14" s="131"/>
      <c r="AN14" s="131"/>
      <c r="AO14" s="131"/>
      <c r="AP14" s="131"/>
      <c r="AQ14" s="131"/>
      <c r="AR14" s="131"/>
      <c r="AS14" s="131"/>
      <c r="AT14" s="131"/>
      <c r="AU14" s="131"/>
      <c r="AV14" s="131"/>
      <c r="AW14" s="131"/>
      <c r="AX14" s="131"/>
      <c r="AY14" s="131"/>
      <c r="AZ14" s="131"/>
      <c r="BA14" s="131"/>
      <c r="BB14" s="131"/>
      <c r="BC14" s="131"/>
      <c r="BD14" s="131"/>
      <c r="BE14" s="131"/>
      <c r="BF14" s="131"/>
      <c r="BG14" s="131"/>
      <c r="BH14" s="131"/>
      <c r="BI14" s="131"/>
      <c r="BJ14" s="131"/>
      <c r="BK14" s="131"/>
      <c r="BL14" s="131"/>
      <c r="BM14" s="131"/>
      <c r="BN14" s="131"/>
      <c r="BO14" s="131"/>
      <c r="BP14" s="131"/>
      <c r="BQ14" s="131"/>
      <c r="BR14" s="131"/>
      <c r="BS14" s="131"/>
      <c r="BT14" s="131"/>
      <c r="BU14" s="131"/>
      <c r="BV14" s="131"/>
      <c r="BW14" s="131"/>
      <c r="BX14" s="131"/>
      <c r="BY14" s="131"/>
      <c r="BZ14" s="131"/>
      <c r="CA14" s="131"/>
      <c r="CB14" s="131"/>
      <c r="CC14" s="131"/>
      <c r="CD14" s="131"/>
      <c r="CE14" s="130">
        <f t="shared" si="0"/>
        <v>-17722.975928602391</v>
      </c>
    </row>
    <row r="15" spans="1:83">
      <c r="A15" s="540" t="s">
        <v>2646</v>
      </c>
      <c r="B15" s="588">
        <f>B10/B12</f>
        <v>0.73529411764705888</v>
      </c>
      <c r="C15" s="541">
        <f>IF(C12=0,0,C10/C12)</f>
        <v>0.32200440589854545</v>
      </c>
      <c r="D15" s="541">
        <f t="shared" ref="D15:BO15" si="1">IF(D12=0,0,D10/D12)</f>
        <v>0</v>
      </c>
      <c r="E15" s="541">
        <f t="shared" si="1"/>
        <v>0</v>
      </c>
      <c r="F15" s="541">
        <f t="shared" si="1"/>
        <v>0</v>
      </c>
      <c r="G15" s="541">
        <f t="shared" si="1"/>
        <v>0</v>
      </c>
      <c r="H15" s="541">
        <f t="shared" si="1"/>
        <v>0</v>
      </c>
      <c r="I15" s="541">
        <f t="shared" si="1"/>
        <v>0</v>
      </c>
      <c r="J15" s="541">
        <f t="shared" si="1"/>
        <v>0</v>
      </c>
      <c r="K15" s="541">
        <f t="shared" si="1"/>
        <v>0</v>
      </c>
      <c r="L15" s="541">
        <f t="shared" si="1"/>
        <v>0</v>
      </c>
      <c r="M15" s="541">
        <f t="shared" si="1"/>
        <v>0</v>
      </c>
      <c r="N15" s="541">
        <f t="shared" si="1"/>
        <v>0</v>
      </c>
      <c r="O15" s="541">
        <f t="shared" si="1"/>
        <v>0</v>
      </c>
      <c r="P15" s="541">
        <f t="shared" si="1"/>
        <v>0</v>
      </c>
      <c r="Q15" s="541">
        <f t="shared" si="1"/>
        <v>0</v>
      </c>
      <c r="R15" s="541">
        <f t="shared" si="1"/>
        <v>0</v>
      </c>
      <c r="S15" s="541">
        <f t="shared" si="1"/>
        <v>0</v>
      </c>
      <c r="T15" s="541">
        <f t="shared" si="1"/>
        <v>0</v>
      </c>
      <c r="U15" s="541">
        <f t="shared" si="1"/>
        <v>0</v>
      </c>
      <c r="V15" s="541">
        <f t="shared" si="1"/>
        <v>0</v>
      </c>
      <c r="W15" s="541">
        <f t="shared" si="1"/>
        <v>0</v>
      </c>
      <c r="X15" s="541">
        <f t="shared" si="1"/>
        <v>0</v>
      </c>
      <c r="Y15" s="541">
        <f t="shared" si="1"/>
        <v>0</v>
      </c>
      <c r="Z15" s="541">
        <f t="shared" si="1"/>
        <v>0</v>
      </c>
      <c r="AA15" s="541">
        <f t="shared" si="1"/>
        <v>0</v>
      </c>
      <c r="AB15" s="541">
        <f t="shared" si="1"/>
        <v>0</v>
      </c>
      <c r="AC15" s="541">
        <f t="shared" si="1"/>
        <v>0</v>
      </c>
      <c r="AD15" s="541">
        <f t="shared" si="1"/>
        <v>0</v>
      </c>
      <c r="AE15" s="541">
        <f t="shared" si="1"/>
        <v>0</v>
      </c>
      <c r="AF15" s="541">
        <f t="shared" si="1"/>
        <v>0</v>
      </c>
      <c r="AG15" s="541">
        <f t="shared" si="1"/>
        <v>0</v>
      </c>
      <c r="AH15" s="541">
        <f t="shared" si="1"/>
        <v>0</v>
      </c>
      <c r="AI15" s="541">
        <f t="shared" si="1"/>
        <v>0</v>
      </c>
      <c r="AJ15" s="541">
        <f t="shared" si="1"/>
        <v>0</v>
      </c>
      <c r="AK15" s="541">
        <f t="shared" si="1"/>
        <v>0</v>
      </c>
      <c r="AL15" s="541">
        <f t="shared" si="1"/>
        <v>0</v>
      </c>
      <c r="AM15" s="541">
        <f t="shared" si="1"/>
        <v>0</v>
      </c>
      <c r="AN15" s="541">
        <f t="shared" si="1"/>
        <v>0</v>
      </c>
      <c r="AO15" s="541">
        <f t="shared" si="1"/>
        <v>0</v>
      </c>
      <c r="AP15" s="541">
        <f t="shared" si="1"/>
        <v>0</v>
      </c>
      <c r="AQ15" s="541">
        <f t="shared" si="1"/>
        <v>0</v>
      </c>
      <c r="AR15" s="541">
        <f t="shared" si="1"/>
        <v>0</v>
      </c>
      <c r="AS15" s="541">
        <f t="shared" si="1"/>
        <v>0</v>
      </c>
      <c r="AT15" s="541">
        <f t="shared" si="1"/>
        <v>0</v>
      </c>
      <c r="AU15" s="541">
        <f t="shared" si="1"/>
        <v>0</v>
      </c>
      <c r="AV15" s="541">
        <f t="shared" si="1"/>
        <v>0</v>
      </c>
      <c r="AW15" s="541">
        <f t="shared" si="1"/>
        <v>0</v>
      </c>
      <c r="AX15" s="541">
        <f t="shared" si="1"/>
        <v>0</v>
      </c>
      <c r="AY15" s="541">
        <f t="shared" si="1"/>
        <v>0</v>
      </c>
      <c r="AZ15" s="541">
        <f t="shared" si="1"/>
        <v>0</v>
      </c>
      <c r="BA15" s="541">
        <f t="shared" si="1"/>
        <v>0</v>
      </c>
      <c r="BB15" s="541">
        <f t="shared" si="1"/>
        <v>0</v>
      </c>
      <c r="BC15" s="541">
        <f t="shared" si="1"/>
        <v>0</v>
      </c>
      <c r="BD15" s="541">
        <f t="shared" si="1"/>
        <v>0</v>
      </c>
      <c r="BE15" s="541">
        <f t="shared" si="1"/>
        <v>0</v>
      </c>
      <c r="BF15" s="541">
        <f t="shared" si="1"/>
        <v>0</v>
      </c>
      <c r="BG15" s="541">
        <f t="shared" si="1"/>
        <v>0</v>
      </c>
      <c r="BH15" s="541">
        <f t="shared" si="1"/>
        <v>0</v>
      </c>
      <c r="BI15" s="541">
        <f t="shared" si="1"/>
        <v>0</v>
      </c>
      <c r="BJ15" s="541">
        <f t="shared" si="1"/>
        <v>0</v>
      </c>
      <c r="BK15" s="541">
        <f t="shared" si="1"/>
        <v>0</v>
      </c>
      <c r="BL15" s="541">
        <f t="shared" si="1"/>
        <v>0</v>
      </c>
      <c r="BM15" s="541">
        <f t="shared" si="1"/>
        <v>0</v>
      </c>
      <c r="BN15" s="541">
        <f t="shared" si="1"/>
        <v>0</v>
      </c>
      <c r="BO15" s="541">
        <f t="shared" si="1"/>
        <v>0</v>
      </c>
      <c r="BP15" s="541">
        <f t="shared" ref="BP15:CD15" si="2">IF(BP12=0,0,BP10/BP12)</f>
        <v>0</v>
      </c>
      <c r="BQ15" s="541">
        <f t="shared" si="2"/>
        <v>0</v>
      </c>
      <c r="BR15" s="541">
        <f t="shared" si="2"/>
        <v>0</v>
      </c>
      <c r="BS15" s="541">
        <f t="shared" si="2"/>
        <v>0</v>
      </c>
      <c r="BT15" s="541">
        <f t="shared" si="2"/>
        <v>0</v>
      </c>
      <c r="BU15" s="541">
        <f t="shared" si="2"/>
        <v>0</v>
      </c>
      <c r="BV15" s="541">
        <f t="shared" si="2"/>
        <v>0</v>
      </c>
      <c r="BW15" s="541">
        <f t="shared" si="2"/>
        <v>0</v>
      </c>
      <c r="BX15" s="541">
        <f t="shared" si="2"/>
        <v>0</v>
      </c>
      <c r="BY15" s="541">
        <f t="shared" si="2"/>
        <v>0</v>
      </c>
      <c r="BZ15" s="541">
        <f t="shared" si="2"/>
        <v>0</v>
      </c>
      <c r="CA15" s="541">
        <f t="shared" si="2"/>
        <v>0</v>
      </c>
      <c r="CB15" s="541">
        <f t="shared" si="2"/>
        <v>0</v>
      </c>
      <c r="CC15" s="541">
        <f t="shared" si="2"/>
        <v>0</v>
      </c>
      <c r="CD15" s="541">
        <f t="shared" si="2"/>
        <v>0</v>
      </c>
      <c r="CE15" s="502"/>
    </row>
    <row r="16" spans="1:83" s="112" customFormat="1" ht="32.25" customHeight="1">
      <c r="A16" s="990" t="s">
        <v>2411</v>
      </c>
      <c r="B16" s="991"/>
      <c r="C16" s="682" t="str">
        <f t="shared" ref="C16:AH16" si="3">IF(C3="","",VLOOKUP(C3,$K22:$L671,2,0))</f>
        <v>Association Cerebral Valais</v>
      </c>
      <c r="D16" s="682" t="str">
        <f t="shared" si="3"/>
        <v/>
      </c>
      <c r="E16" s="682" t="str">
        <f t="shared" si="3"/>
        <v/>
      </c>
      <c r="F16" s="682" t="str">
        <f t="shared" si="3"/>
        <v/>
      </c>
      <c r="G16" s="682" t="str">
        <f t="shared" si="3"/>
        <v/>
      </c>
      <c r="H16" s="682" t="str">
        <f t="shared" si="3"/>
        <v/>
      </c>
      <c r="I16" s="682" t="str">
        <f t="shared" si="3"/>
        <v/>
      </c>
      <c r="J16" s="682" t="str">
        <f t="shared" si="3"/>
        <v/>
      </c>
      <c r="K16" s="682" t="str">
        <f t="shared" si="3"/>
        <v/>
      </c>
      <c r="L16" s="682" t="str">
        <f t="shared" si="3"/>
        <v/>
      </c>
      <c r="M16" s="682" t="str">
        <f t="shared" si="3"/>
        <v/>
      </c>
      <c r="N16" s="682" t="str">
        <f t="shared" si="3"/>
        <v/>
      </c>
      <c r="O16" s="682" t="str">
        <f t="shared" si="3"/>
        <v/>
      </c>
      <c r="P16" s="682" t="str">
        <f t="shared" si="3"/>
        <v/>
      </c>
      <c r="Q16" s="682" t="str">
        <f t="shared" si="3"/>
        <v/>
      </c>
      <c r="R16" s="682" t="str">
        <f t="shared" si="3"/>
        <v/>
      </c>
      <c r="S16" s="682" t="str">
        <f t="shared" si="3"/>
        <v/>
      </c>
      <c r="T16" s="682" t="str">
        <f t="shared" si="3"/>
        <v/>
      </c>
      <c r="U16" s="682" t="str">
        <f t="shared" si="3"/>
        <v/>
      </c>
      <c r="V16" s="682" t="str">
        <f t="shared" si="3"/>
        <v/>
      </c>
      <c r="W16" s="682" t="str">
        <f t="shared" si="3"/>
        <v/>
      </c>
      <c r="X16" s="682" t="str">
        <f t="shared" si="3"/>
        <v/>
      </c>
      <c r="Y16" s="682" t="str">
        <f t="shared" si="3"/>
        <v/>
      </c>
      <c r="Z16" s="682" t="str">
        <f t="shared" si="3"/>
        <v/>
      </c>
      <c r="AA16" s="682" t="str">
        <f t="shared" si="3"/>
        <v/>
      </c>
      <c r="AB16" s="682" t="str">
        <f t="shared" si="3"/>
        <v/>
      </c>
      <c r="AC16" s="682" t="str">
        <f t="shared" si="3"/>
        <v/>
      </c>
      <c r="AD16" s="682" t="str">
        <f t="shared" si="3"/>
        <v/>
      </c>
      <c r="AE16" s="682" t="str">
        <f t="shared" si="3"/>
        <v/>
      </c>
      <c r="AF16" s="682" t="str">
        <f t="shared" si="3"/>
        <v/>
      </c>
      <c r="AG16" s="682" t="str">
        <f t="shared" si="3"/>
        <v/>
      </c>
      <c r="AH16" s="682" t="str">
        <f t="shared" si="3"/>
        <v/>
      </c>
      <c r="AI16" s="682" t="str">
        <f t="shared" ref="AI16:BN16" si="4">IF(AI3="","",VLOOKUP(AI3,$K22:$L671,2,0))</f>
        <v/>
      </c>
      <c r="AJ16" s="682" t="str">
        <f t="shared" si="4"/>
        <v/>
      </c>
      <c r="AK16" s="682" t="str">
        <f t="shared" si="4"/>
        <v/>
      </c>
      <c r="AL16" s="682" t="str">
        <f t="shared" si="4"/>
        <v/>
      </c>
      <c r="AM16" s="682" t="str">
        <f t="shared" si="4"/>
        <v/>
      </c>
      <c r="AN16" s="682" t="str">
        <f t="shared" si="4"/>
        <v/>
      </c>
      <c r="AO16" s="682" t="str">
        <f t="shared" si="4"/>
        <v/>
      </c>
      <c r="AP16" s="682" t="str">
        <f t="shared" si="4"/>
        <v/>
      </c>
      <c r="AQ16" s="682" t="str">
        <f t="shared" si="4"/>
        <v/>
      </c>
      <c r="AR16" s="682" t="str">
        <f t="shared" si="4"/>
        <v/>
      </c>
      <c r="AS16" s="682" t="str">
        <f t="shared" si="4"/>
        <v/>
      </c>
      <c r="AT16" s="682" t="str">
        <f t="shared" si="4"/>
        <v/>
      </c>
      <c r="AU16" s="682" t="str">
        <f t="shared" si="4"/>
        <v/>
      </c>
      <c r="AV16" s="682" t="str">
        <f t="shared" si="4"/>
        <v/>
      </c>
      <c r="AW16" s="682" t="str">
        <f t="shared" si="4"/>
        <v/>
      </c>
      <c r="AX16" s="682" t="str">
        <f t="shared" si="4"/>
        <v/>
      </c>
      <c r="AY16" s="682" t="str">
        <f t="shared" si="4"/>
        <v/>
      </c>
      <c r="AZ16" s="682" t="str">
        <f t="shared" si="4"/>
        <v/>
      </c>
      <c r="BA16" s="682" t="str">
        <f t="shared" si="4"/>
        <v/>
      </c>
      <c r="BB16" s="682" t="str">
        <f t="shared" si="4"/>
        <v/>
      </c>
      <c r="BC16" s="682" t="str">
        <f t="shared" si="4"/>
        <v/>
      </c>
      <c r="BD16" s="682" t="str">
        <f t="shared" si="4"/>
        <v/>
      </c>
      <c r="BE16" s="682" t="str">
        <f t="shared" si="4"/>
        <v/>
      </c>
      <c r="BF16" s="682" t="str">
        <f t="shared" si="4"/>
        <v/>
      </c>
      <c r="BG16" s="682" t="str">
        <f t="shared" si="4"/>
        <v/>
      </c>
      <c r="BH16" s="682" t="str">
        <f t="shared" si="4"/>
        <v/>
      </c>
      <c r="BI16" s="682" t="str">
        <f t="shared" si="4"/>
        <v/>
      </c>
      <c r="BJ16" s="682" t="str">
        <f t="shared" si="4"/>
        <v/>
      </c>
      <c r="BK16" s="682" t="str">
        <f t="shared" si="4"/>
        <v/>
      </c>
      <c r="BL16" s="682" t="str">
        <f t="shared" si="4"/>
        <v/>
      </c>
      <c r="BM16" s="682" t="str">
        <f t="shared" si="4"/>
        <v/>
      </c>
      <c r="BN16" s="682" t="str">
        <f t="shared" si="4"/>
        <v/>
      </c>
      <c r="BO16" s="682" t="str">
        <f t="shared" ref="BO16:CD16" si="5">IF(BO3="","",VLOOKUP(BO3,$K22:$L671,2,0))</f>
        <v/>
      </c>
      <c r="BP16" s="682" t="str">
        <f t="shared" si="5"/>
        <v/>
      </c>
      <c r="BQ16" s="682" t="str">
        <f t="shared" si="5"/>
        <v/>
      </c>
      <c r="BR16" s="682" t="str">
        <f t="shared" si="5"/>
        <v/>
      </c>
      <c r="BS16" s="682" t="str">
        <f t="shared" si="5"/>
        <v/>
      </c>
      <c r="BT16" s="682" t="str">
        <f t="shared" si="5"/>
        <v/>
      </c>
      <c r="BU16" s="682" t="str">
        <f t="shared" si="5"/>
        <v/>
      </c>
      <c r="BV16" s="682" t="str">
        <f t="shared" si="5"/>
        <v/>
      </c>
      <c r="BW16" s="682" t="str">
        <f t="shared" si="5"/>
        <v/>
      </c>
      <c r="BX16" s="682" t="str">
        <f t="shared" si="5"/>
        <v/>
      </c>
      <c r="BY16" s="682" t="str">
        <f t="shared" si="5"/>
        <v/>
      </c>
      <c r="BZ16" s="682" t="str">
        <f t="shared" si="5"/>
        <v/>
      </c>
      <c r="CA16" s="682" t="str">
        <f t="shared" si="5"/>
        <v/>
      </c>
      <c r="CB16" s="682" t="str">
        <f t="shared" si="5"/>
        <v/>
      </c>
      <c r="CC16" s="682" t="str">
        <f t="shared" si="5"/>
        <v/>
      </c>
      <c r="CD16" s="682" t="str">
        <f t="shared" si="5"/>
        <v/>
      </c>
    </row>
    <row r="17" spans="1:83" s="112" customFormat="1" ht="18" customHeight="1">
      <c r="A17" s="988" t="s">
        <v>2412</v>
      </c>
      <c r="B17" s="988"/>
      <c r="C17" s="45" t="str">
        <f t="shared" ref="C17:AH17" si="6">IF(AND(SUM(C4:C14)&lt;&gt;0,C3=0),1,"")</f>
        <v/>
      </c>
      <c r="D17" s="45" t="str">
        <f t="shared" si="6"/>
        <v/>
      </c>
      <c r="E17" s="45" t="str">
        <f t="shared" si="6"/>
        <v/>
      </c>
      <c r="F17" s="45" t="str">
        <f t="shared" si="6"/>
        <v/>
      </c>
      <c r="G17" s="45" t="str">
        <f t="shared" si="6"/>
        <v/>
      </c>
      <c r="H17" s="45" t="str">
        <f t="shared" si="6"/>
        <v/>
      </c>
      <c r="I17" s="45" t="str">
        <f t="shared" si="6"/>
        <v/>
      </c>
      <c r="J17" s="45" t="str">
        <f t="shared" si="6"/>
        <v/>
      </c>
      <c r="K17" s="45" t="str">
        <f t="shared" si="6"/>
        <v/>
      </c>
      <c r="L17" s="45" t="str">
        <f t="shared" si="6"/>
        <v/>
      </c>
      <c r="M17" s="45" t="str">
        <f t="shared" si="6"/>
        <v/>
      </c>
      <c r="N17" s="45" t="str">
        <f t="shared" si="6"/>
        <v/>
      </c>
      <c r="O17" s="45" t="str">
        <f t="shared" si="6"/>
        <v/>
      </c>
      <c r="P17" s="45" t="str">
        <f t="shared" si="6"/>
        <v/>
      </c>
      <c r="Q17" s="45" t="str">
        <f t="shared" si="6"/>
        <v/>
      </c>
      <c r="R17" s="45" t="str">
        <f t="shared" si="6"/>
        <v/>
      </c>
      <c r="S17" s="45" t="str">
        <f t="shared" si="6"/>
        <v/>
      </c>
      <c r="T17" s="45" t="str">
        <f t="shared" si="6"/>
        <v/>
      </c>
      <c r="U17" s="45" t="str">
        <f t="shared" si="6"/>
        <v/>
      </c>
      <c r="V17" s="45" t="str">
        <f t="shared" si="6"/>
        <v/>
      </c>
      <c r="W17" s="45" t="str">
        <f t="shared" si="6"/>
        <v/>
      </c>
      <c r="X17" s="45" t="str">
        <f t="shared" si="6"/>
        <v/>
      </c>
      <c r="Y17" s="45" t="str">
        <f t="shared" si="6"/>
        <v/>
      </c>
      <c r="Z17" s="45" t="str">
        <f t="shared" si="6"/>
        <v/>
      </c>
      <c r="AA17" s="45" t="str">
        <f t="shared" si="6"/>
        <v/>
      </c>
      <c r="AB17" s="45" t="str">
        <f t="shared" si="6"/>
        <v/>
      </c>
      <c r="AC17" s="45" t="str">
        <f t="shared" si="6"/>
        <v/>
      </c>
      <c r="AD17" s="45" t="str">
        <f t="shared" si="6"/>
        <v/>
      </c>
      <c r="AE17" s="45" t="str">
        <f t="shared" si="6"/>
        <v/>
      </c>
      <c r="AF17" s="45" t="str">
        <f t="shared" si="6"/>
        <v/>
      </c>
      <c r="AG17" s="45" t="str">
        <f t="shared" si="6"/>
        <v/>
      </c>
      <c r="AH17" s="45" t="str">
        <f t="shared" si="6"/>
        <v/>
      </c>
      <c r="AI17" s="45" t="str">
        <f t="shared" ref="AI17:BN17" si="7">IF(AND(SUM(AI4:AI14)&lt;&gt;0,AI3=0),1,"")</f>
        <v/>
      </c>
      <c r="AJ17" s="45" t="str">
        <f t="shared" si="7"/>
        <v/>
      </c>
      <c r="AK17" s="45" t="str">
        <f t="shared" si="7"/>
        <v/>
      </c>
      <c r="AL17" s="45" t="str">
        <f t="shared" si="7"/>
        <v/>
      </c>
      <c r="AM17" s="45" t="str">
        <f t="shared" si="7"/>
        <v/>
      </c>
      <c r="AN17" s="45" t="str">
        <f t="shared" si="7"/>
        <v/>
      </c>
      <c r="AO17" s="45" t="str">
        <f t="shared" si="7"/>
        <v/>
      </c>
      <c r="AP17" s="45" t="str">
        <f t="shared" si="7"/>
        <v/>
      </c>
      <c r="AQ17" s="45" t="str">
        <f t="shared" si="7"/>
        <v/>
      </c>
      <c r="AR17" s="45" t="str">
        <f t="shared" si="7"/>
        <v/>
      </c>
      <c r="AS17" s="45" t="str">
        <f t="shared" si="7"/>
        <v/>
      </c>
      <c r="AT17" s="45" t="str">
        <f t="shared" si="7"/>
        <v/>
      </c>
      <c r="AU17" s="45" t="str">
        <f t="shared" si="7"/>
        <v/>
      </c>
      <c r="AV17" s="45" t="str">
        <f t="shared" si="7"/>
        <v/>
      </c>
      <c r="AW17" s="45" t="str">
        <f t="shared" si="7"/>
        <v/>
      </c>
      <c r="AX17" s="45" t="str">
        <f t="shared" si="7"/>
        <v/>
      </c>
      <c r="AY17" s="45" t="str">
        <f t="shared" si="7"/>
        <v/>
      </c>
      <c r="AZ17" s="45" t="str">
        <f t="shared" si="7"/>
        <v/>
      </c>
      <c r="BA17" s="45" t="str">
        <f t="shared" si="7"/>
        <v/>
      </c>
      <c r="BB17" s="45" t="str">
        <f t="shared" si="7"/>
        <v/>
      </c>
      <c r="BC17" s="45" t="str">
        <f t="shared" si="7"/>
        <v/>
      </c>
      <c r="BD17" s="45" t="str">
        <f t="shared" si="7"/>
        <v/>
      </c>
      <c r="BE17" s="45" t="str">
        <f t="shared" si="7"/>
        <v/>
      </c>
      <c r="BF17" s="45" t="str">
        <f t="shared" si="7"/>
        <v/>
      </c>
      <c r="BG17" s="45" t="str">
        <f t="shared" si="7"/>
        <v/>
      </c>
      <c r="BH17" s="45" t="str">
        <f t="shared" si="7"/>
        <v/>
      </c>
      <c r="BI17" s="45" t="str">
        <f t="shared" si="7"/>
        <v/>
      </c>
      <c r="BJ17" s="45" t="str">
        <f t="shared" si="7"/>
        <v/>
      </c>
      <c r="BK17" s="45" t="str">
        <f t="shared" si="7"/>
        <v/>
      </c>
      <c r="BL17" s="45" t="str">
        <f t="shared" si="7"/>
        <v/>
      </c>
      <c r="BM17" s="45" t="str">
        <f t="shared" si="7"/>
        <v/>
      </c>
      <c r="BN17" s="45" t="str">
        <f t="shared" si="7"/>
        <v/>
      </c>
      <c r="BO17" s="45" t="str">
        <f t="shared" ref="BO17:CD17" si="8">IF(AND(SUM(BO4:BO14)&lt;&gt;0,BO3=0),1,"")</f>
        <v/>
      </c>
      <c r="BP17" s="45" t="str">
        <f t="shared" si="8"/>
        <v/>
      </c>
      <c r="BQ17" s="45" t="str">
        <f t="shared" si="8"/>
        <v/>
      </c>
      <c r="BR17" s="45" t="str">
        <f t="shared" si="8"/>
        <v/>
      </c>
      <c r="BS17" s="45" t="str">
        <f t="shared" si="8"/>
        <v/>
      </c>
      <c r="BT17" s="45" t="str">
        <f t="shared" si="8"/>
        <v/>
      </c>
      <c r="BU17" s="45" t="str">
        <f t="shared" si="8"/>
        <v/>
      </c>
      <c r="BV17" s="45" t="str">
        <f t="shared" si="8"/>
        <v/>
      </c>
      <c r="BW17" s="45" t="str">
        <f t="shared" si="8"/>
        <v/>
      </c>
      <c r="BX17" s="45" t="str">
        <f t="shared" si="8"/>
        <v/>
      </c>
      <c r="BY17" s="45" t="str">
        <f t="shared" si="8"/>
        <v/>
      </c>
      <c r="BZ17" s="45" t="str">
        <f t="shared" si="8"/>
        <v/>
      </c>
      <c r="CA17" s="45" t="str">
        <f t="shared" si="8"/>
        <v/>
      </c>
      <c r="CB17" s="45" t="str">
        <f t="shared" si="8"/>
        <v/>
      </c>
      <c r="CC17" s="45" t="str">
        <f t="shared" si="8"/>
        <v/>
      </c>
      <c r="CD17" s="45" t="str">
        <f t="shared" si="8"/>
        <v/>
      </c>
    </row>
    <row r="18" spans="1:83" s="112" customFormat="1" ht="18">
      <c r="A18" s="989"/>
      <c r="B18" s="989"/>
      <c r="C18" s="113" t="str">
        <f>IF(AND(SUM(C4:E14)&lt;&gt;0,OR(D1=0,H1=0)),"Bitte geben Sie das Jahr in die Zelle D1 und Ihre Vertrags-Nr. in die Zelle H1 ein","")</f>
        <v/>
      </c>
      <c r="D18" s="45"/>
      <c r="E18" s="45"/>
    </row>
    <row r="19" spans="1:83" s="108" customFormat="1" ht="18">
      <c r="A19" s="989"/>
      <c r="B19" s="989"/>
      <c r="C19" s="114" t="str">
        <f>IF(SUM($C17:$CD17)&gt;0,"Bitte BSV-Nr. in rotmarkiete Felder eintragen","")</f>
        <v/>
      </c>
      <c r="D19" s="114"/>
      <c r="E19" s="114"/>
      <c r="F19" s="114"/>
      <c r="G19" s="114"/>
      <c r="H19" s="114"/>
      <c r="I19" s="114"/>
      <c r="J19" s="114"/>
      <c r="K19" s="114"/>
      <c r="L19" s="114"/>
      <c r="M19" s="114" t="str">
        <f>C19</f>
        <v/>
      </c>
      <c r="N19" s="114"/>
      <c r="O19" s="114"/>
      <c r="P19" s="114"/>
      <c r="Q19" s="114"/>
      <c r="R19" s="114"/>
      <c r="S19" s="114"/>
      <c r="T19" s="114"/>
      <c r="U19" s="114"/>
      <c r="V19" s="114"/>
      <c r="W19" s="114" t="str">
        <f>C19</f>
        <v/>
      </c>
      <c r="X19" s="114"/>
      <c r="Y19" s="114"/>
      <c r="Z19" s="114"/>
      <c r="AA19" s="114"/>
      <c r="AB19" s="114"/>
      <c r="AC19" s="114"/>
      <c r="AD19" s="114"/>
      <c r="AE19" s="114"/>
      <c r="AF19" s="114"/>
      <c r="AG19" s="114"/>
      <c r="AH19" s="114" t="str">
        <f>C19</f>
        <v/>
      </c>
      <c r="AI19" s="114"/>
      <c r="AJ19" s="114"/>
      <c r="AK19" s="114"/>
      <c r="AL19" s="114"/>
      <c r="AM19" s="114"/>
      <c r="AN19" s="114"/>
      <c r="AO19" s="114"/>
      <c r="AP19" s="114"/>
      <c r="AQ19" s="114"/>
      <c r="AR19" s="114"/>
      <c r="AS19" s="114" t="str">
        <f>C19</f>
        <v/>
      </c>
      <c r="AT19" s="114"/>
      <c r="AU19" s="114"/>
      <c r="AV19" s="114"/>
      <c r="AW19" s="114"/>
      <c r="AX19" s="114"/>
      <c r="AY19" s="114"/>
      <c r="AZ19" s="114"/>
      <c r="BA19" s="114"/>
      <c r="BB19" s="114"/>
      <c r="BC19" s="114"/>
      <c r="BD19" s="114" t="str">
        <f>C19</f>
        <v/>
      </c>
      <c r="BE19" s="114"/>
      <c r="BF19" s="114"/>
      <c r="BG19" s="114"/>
      <c r="BH19" s="114"/>
      <c r="BI19" s="114"/>
      <c r="BJ19" s="114"/>
      <c r="BK19" s="114"/>
      <c r="BL19" s="114"/>
      <c r="BM19" s="114"/>
      <c r="BN19" s="114"/>
      <c r="BO19" s="114" t="str">
        <f>C19</f>
        <v/>
      </c>
      <c r="BP19" s="114"/>
      <c r="BQ19" s="114"/>
      <c r="BR19" s="114"/>
      <c r="BS19" s="114"/>
      <c r="BT19" s="114"/>
      <c r="BU19" s="114"/>
      <c r="BV19" s="114"/>
      <c r="BW19" s="114"/>
      <c r="BX19" s="114"/>
      <c r="BY19" s="114" t="str">
        <f>C19</f>
        <v/>
      </c>
      <c r="BZ19" s="114"/>
      <c r="CA19" s="114"/>
      <c r="CB19" s="114"/>
      <c r="CC19" s="114"/>
      <c r="CD19" s="114"/>
    </row>
    <row r="20" spans="1:83" s="112" customFormat="1" ht="18" hidden="1">
      <c r="A20" s="161"/>
      <c r="B20" s="161"/>
      <c r="C20" s="45" t="s">
        <v>441</v>
      </c>
      <c r="D20" s="45" t="s">
        <v>442</v>
      </c>
      <c r="E20" s="45" t="s">
        <v>443</v>
      </c>
      <c r="F20" s="45" t="s">
        <v>444</v>
      </c>
      <c r="G20" s="45" t="s">
        <v>445</v>
      </c>
      <c r="H20" s="45" t="s">
        <v>446</v>
      </c>
      <c r="I20" s="45" t="s">
        <v>447</v>
      </c>
      <c r="J20" s="45" t="s">
        <v>471</v>
      </c>
      <c r="K20" s="45"/>
      <c r="Q20" s="45" t="s">
        <v>1836</v>
      </c>
      <c r="R20" s="45" t="s">
        <v>445</v>
      </c>
      <c r="S20" s="45" t="s">
        <v>446</v>
      </c>
      <c r="T20" s="45" t="s">
        <v>447</v>
      </c>
      <c r="U20" s="45" t="s">
        <v>471</v>
      </c>
    </row>
    <row r="21" spans="1:83" s="112" customFormat="1" ht="18" hidden="1">
      <c r="A21" s="161"/>
      <c r="B21" s="161"/>
      <c r="C21" s="45">
        <f>H$1</f>
        <v>3158</v>
      </c>
      <c r="D21" s="45">
        <f>K$1</f>
        <v>5</v>
      </c>
      <c r="E21" s="45">
        <f>D$1</f>
        <v>2017</v>
      </c>
      <c r="F21" s="45">
        <f>C$3</f>
        <v>3158</v>
      </c>
      <c r="G21" s="45" t="s">
        <v>448</v>
      </c>
      <c r="H21" s="45" t="s">
        <v>449</v>
      </c>
      <c r="I21" s="162">
        <f t="shared" ref="I21:I31" si="9">IF(ISBLANK(C4),"",C4)</f>
        <v>18.966315789473679</v>
      </c>
      <c r="J21" s="11" t="s">
        <v>472</v>
      </c>
      <c r="K21" s="11" t="s">
        <v>1526</v>
      </c>
      <c r="L21" s="11" t="s">
        <v>1527</v>
      </c>
      <c r="Q21" s="45">
        <v>1</v>
      </c>
      <c r="R21" s="45" t="s">
        <v>1837</v>
      </c>
      <c r="S21" s="45" t="s">
        <v>441</v>
      </c>
      <c r="T21" s="163">
        <f>H1</f>
        <v>3158</v>
      </c>
      <c r="U21" s="45" t="s">
        <v>1838</v>
      </c>
      <c r="CE21" s="165">
        <f>SUM(C19:CD19)</f>
        <v>0</v>
      </c>
    </row>
    <row r="22" spans="1:83" s="112" customFormat="1" hidden="1">
      <c r="B22" s="45"/>
      <c r="C22" s="45">
        <f t="shared" ref="C22:C85" si="10">H$1</f>
        <v>3158</v>
      </c>
      <c r="D22" s="45">
        <f t="shared" ref="D22:D85" si="11">K$1</f>
        <v>5</v>
      </c>
      <c r="E22" s="45">
        <f>D$1</f>
        <v>2017</v>
      </c>
      <c r="F22" s="45">
        <f t="shared" ref="F22:F31" si="12">C$3</f>
        <v>3158</v>
      </c>
      <c r="G22" s="45" t="s">
        <v>448</v>
      </c>
      <c r="H22" s="45" t="s">
        <v>450</v>
      </c>
      <c r="I22" s="162">
        <f t="shared" si="9"/>
        <v>12.803315789473684</v>
      </c>
      <c r="J22" s="11" t="s">
        <v>473</v>
      </c>
      <c r="K22" s="673">
        <v>2011</v>
      </c>
      <c r="L22" s="674" t="s">
        <v>162</v>
      </c>
      <c r="Q22" s="45">
        <v>1</v>
      </c>
      <c r="R22" s="45" t="s">
        <v>1837</v>
      </c>
      <c r="S22" s="45" t="s">
        <v>442</v>
      </c>
      <c r="T22" s="163">
        <f>K1</f>
        <v>5</v>
      </c>
      <c r="U22" s="45" t="s">
        <v>1839</v>
      </c>
    </row>
    <row r="23" spans="1:83" s="112" customFormat="1" hidden="1">
      <c r="B23" s="45"/>
      <c r="C23" s="45">
        <f t="shared" si="10"/>
        <v>3158</v>
      </c>
      <c r="D23" s="45">
        <f t="shared" si="11"/>
        <v>5</v>
      </c>
      <c r="E23" s="45">
        <f>D$1</f>
        <v>2017</v>
      </c>
      <c r="F23" s="45">
        <f t="shared" si="12"/>
        <v>3158</v>
      </c>
      <c r="G23" s="45" t="s">
        <v>448</v>
      </c>
      <c r="H23" s="45" t="s">
        <v>451</v>
      </c>
      <c r="I23" s="162">
        <f t="shared" si="9"/>
        <v>1.2736842105263158</v>
      </c>
      <c r="J23" s="11" t="s">
        <v>474</v>
      </c>
      <c r="K23" s="673">
        <v>2013</v>
      </c>
      <c r="L23" s="674" t="s">
        <v>163</v>
      </c>
      <c r="Q23" s="45">
        <v>1</v>
      </c>
      <c r="R23" s="45" t="s">
        <v>1837</v>
      </c>
      <c r="S23" s="45" t="s">
        <v>443</v>
      </c>
      <c r="T23" s="163">
        <f>D1</f>
        <v>2017</v>
      </c>
      <c r="U23" s="45" t="s">
        <v>1840</v>
      </c>
    </row>
    <row r="24" spans="1:83" s="112" customFormat="1" hidden="1">
      <c r="B24" s="45"/>
      <c r="C24" s="45">
        <f t="shared" si="10"/>
        <v>3158</v>
      </c>
      <c r="D24" s="45">
        <f t="shared" si="11"/>
        <v>5</v>
      </c>
      <c r="E24" s="45">
        <f t="shared" ref="E24:E87" si="13">D$1</f>
        <v>2017</v>
      </c>
      <c r="F24" s="45">
        <f>C$3</f>
        <v>3158</v>
      </c>
      <c r="G24" s="45" t="s">
        <v>448</v>
      </c>
      <c r="H24" s="45" t="s">
        <v>452</v>
      </c>
      <c r="I24" s="162">
        <f t="shared" si="9"/>
        <v>1.2736842105263158</v>
      </c>
      <c r="J24" s="11" t="s">
        <v>475</v>
      </c>
      <c r="K24" s="673">
        <v>2014</v>
      </c>
      <c r="L24" s="674" t="s">
        <v>1795</v>
      </c>
      <c r="Q24" s="45">
        <v>1</v>
      </c>
      <c r="R24" s="45" t="s">
        <v>1841</v>
      </c>
      <c r="S24" s="45" t="s">
        <v>1842</v>
      </c>
      <c r="T24" s="163">
        <f>C3</f>
        <v>3158</v>
      </c>
      <c r="U24" s="2" t="s">
        <v>1843</v>
      </c>
    </row>
    <row r="25" spans="1:83" s="112" customFormat="1" hidden="1">
      <c r="B25" s="45"/>
      <c r="C25" s="45">
        <f t="shared" si="10"/>
        <v>3158</v>
      </c>
      <c r="D25" s="45">
        <f t="shared" si="11"/>
        <v>5</v>
      </c>
      <c r="E25" s="45">
        <f t="shared" si="13"/>
        <v>2017</v>
      </c>
      <c r="F25" s="45">
        <f t="shared" si="12"/>
        <v>3158</v>
      </c>
      <c r="G25" s="45" t="s">
        <v>448</v>
      </c>
      <c r="H25" s="45" t="s">
        <v>453</v>
      </c>
      <c r="I25" s="162">
        <f t="shared" si="9"/>
        <v>0.8057894736842105</v>
      </c>
      <c r="J25" s="11" t="s">
        <v>476</v>
      </c>
      <c r="K25" s="673">
        <v>2015</v>
      </c>
      <c r="L25" s="674" t="s">
        <v>2170</v>
      </c>
      <c r="Q25" s="45">
        <v>1</v>
      </c>
      <c r="R25" s="45" t="s">
        <v>1841</v>
      </c>
      <c r="S25" s="45" t="s">
        <v>1844</v>
      </c>
      <c r="T25" s="163">
        <f>D3</f>
        <v>0</v>
      </c>
      <c r="U25" s="2" t="s">
        <v>1845</v>
      </c>
    </row>
    <row r="26" spans="1:83" s="112" customFormat="1" hidden="1">
      <c r="B26" s="45"/>
      <c r="C26" s="45">
        <f t="shared" si="10"/>
        <v>3158</v>
      </c>
      <c r="D26" s="45">
        <f t="shared" si="11"/>
        <v>5</v>
      </c>
      <c r="E26" s="45">
        <f t="shared" si="13"/>
        <v>2017</v>
      </c>
      <c r="F26" s="45">
        <f t="shared" si="12"/>
        <v>3158</v>
      </c>
      <c r="G26" s="45" t="s">
        <v>448</v>
      </c>
      <c r="H26" s="45" t="s">
        <v>454</v>
      </c>
      <c r="I26" s="162">
        <f t="shared" si="9"/>
        <v>0.45684210526315788</v>
      </c>
      <c r="J26" s="11" t="s">
        <v>477</v>
      </c>
      <c r="K26" s="673">
        <v>2016</v>
      </c>
      <c r="L26" s="674" t="s">
        <v>3</v>
      </c>
      <c r="Q26" s="45">
        <v>1</v>
      </c>
      <c r="R26" s="45" t="s">
        <v>1841</v>
      </c>
      <c r="S26" s="45" t="s">
        <v>1924</v>
      </c>
      <c r="T26" s="163">
        <f>E3</f>
        <v>0</v>
      </c>
      <c r="U26" s="2" t="s">
        <v>1846</v>
      </c>
    </row>
    <row r="27" spans="1:83" s="112" customFormat="1" hidden="1">
      <c r="B27" s="45"/>
      <c r="C27" s="45">
        <f t="shared" si="10"/>
        <v>3158</v>
      </c>
      <c r="D27" s="45">
        <f t="shared" si="11"/>
        <v>5</v>
      </c>
      <c r="E27" s="45">
        <f t="shared" si="13"/>
        <v>2017</v>
      </c>
      <c r="F27" s="45">
        <f t="shared" si="12"/>
        <v>3158</v>
      </c>
      <c r="G27" s="45" t="s">
        <v>448</v>
      </c>
      <c r="H27" s="45" t="s">
        <v>455</v>
      </c>
      <c r="I27" s="162">
        <f t="shared" si="9"/>
        <v>245798.40647241729</v>
      </c>
      <c r="J27" s="11" t="s">
        <v>478</v>
      </c>
      <c r="K27" s="673">
        <v>2018</v>
      </c>
      <c r="L27" s="674" t="s">
        <v>1796</v>
      </c>
      <c r="Q27" s="45">
        <v>1</v>
      </c>
      <c r="R27" s="45" t="s">
        <v>1841</v>
      </c>
      <c r="S27" s="45" t="s">
        <v>1925</v>
      </c>
      <c r="T27" s="163">
        <f>F3</f>
        <v>0</v>
      </c>
      <c r="U27" s="2" t="s">
        <v>1847</v>
      </c>
    </row>
    <row r="28" spans="1:83" s="112" customFormat="1" hidden="1">
      <c r="B28" s="45"/>
      <c r="C28" s="45">
        <f t="shared" si="10"/>
        <v>3158</v>
      </c>
      <c r="D28" s="45">
        <f t="shared" si="11"/>
        <v>5</v>
      </c>
      <c r="E28" s="45">
        <f t="shared" si="13"/>
        <v>2017</v>
      </c>
      <c r="F28" s="45">
        <f t="shared" si="12"/>
        <v>3158</v>
      </c>
      <c r="G28" s="45" t="s">
        <v>448</v>
      </c>
      <c r="H28" s="45" t="s">
        <v>456</v>
      </c>
      <c r="I28" s="162">
        <f t="shared" si="9"/>
        <v>995820.8899999999</v>
      </c>
      <c r="J28" s="11" t="s">
        <v>479</v>
      </c>
      <c r="K28" s="673">
        <v>2021</v>
      </c>
      <c r="L28" s="674" t="s">
        <v>1535</v>
      </c>
      <c r="Q28" s="45">
        <v>1</v>
      </c>
      <c r="R28" s="45" t="s">
        <v>1841</v>
      </c>
      <c r="S28" s="45" t="s">
        <v>1926</v>
      </c>
      <c r="T28" s="163">
        <f>G3</f>
        <v>0</v>
      </c>
      <c r="U28" s="2" t="s">
        <v>1848</v>
      </c>
    </row>
    <row r="29" spans="1:83" s="112" customFormat="1" hidden="1">
      <c r="B29" s="45"/>
      <c r="C29" s="45">
        <f t="shared" si="10"/>
        <v>3158</v>
      </c>
      <c r="D29" s="45">
        <f t="shared" si="11"/>
        <v>5</v>
      </c>
      <c r="E29" s="45">
        <f t="shared" si="13"/>
        <v>2017</v>
      </c>
      <c r="F29" s="45">
        <f t="shared" si="12"/>
        <v>3158</v>
      </c>
      <c r="G29" s="45" t="s">
        <v>448</v>
      </c>
      <c r="H29" s="45" t="s">
        <v>457</v>
      </c>
      <c r="I29" s="162">
        <f t="shared" si="9"/>
        <v>763338.64372607833</v>
      </c>
      <c r="J29" s="11" t="s">
        <v>480</v>
      </c>
      <c r="K29" s="673">
        <v>2022</v>
      </c>
      <c r="L29" s="674" t="s">
        <v>2119</v>
      </c>
      <c r="Q29" s="45">
        <v>1</v>
      </c>
      <c r="R29" s="45" t="s">
        <v>1841</v>
      </c>
      <c r="S29" s="45" t="s">
        <v>1927</v>
      </c>
      <c r="T29" s="163">
        <f>H3</f>
        <v>0</v>
      </c>
      <c r="U29" s="2" t="s">
        <v>1849</v>
      </c>
    </row>
    <row r="30" spans="1:83" s="112" customFormat="1" hidden="1">
      <c r="B30" s="45"/>
      <c r="C30" s="45">
        <f t="shared" si="10"/>
        <v>3158</v>
      </c>
      <c r="D30" s="45">
        <f t="shared" si="11"/>
        <v>5</v>
      </c>
      <c r="E30" s="45">
        <f t="shared" si="13"/>
        <v>2017</v>
      </c>
      <c r="F30" s="45">
        <f t="shared" si="12"/>
        <v>3158</v>
      </c>
      <c r="G30" s="45" t="s">
        <v>448</v>
      </c>
      <c r="H30" s="45" t="s">
        <v>458</v>
      </c>
      <c r="I30" s="162">
        <f t="shared" si="9"/>
        <v>220636</v>
      </c>
      <c r="J30" s="11" t="s">
        <v>481</v>
      </c>
      <c r="K30" s="673">
        <v>2023</v>
      </c>
      <c r="L30" s="674" t="s">
        <v>1797</v>
      </c>
      <c r="Q30" s="45">
        <v>1</v>
      </c>
      <c r="R30" s="45" t="s">
        <v>1841</v>
      </c>
      <c r="S30" s="45" t="s">
        <v>1928</v>
      </c>
      <c r="T30" s="163">
        <f>I3</f>
        <v>0</v>
      </c>
      <c r="U30" s="2" t="s">
        <v>1850</v>
      </c>
    </row>
    <row r="31" spans="1:83" s="112" customFormat="1" hidden="1">
      <c r="B31" s="45"/>
      <c r="C31" s="45">
        <f t="shared" si="10"/>
        <v>3158</v>
      </c>
      <c r="D31" s="45">
        <f t="shared" si="11"/>
        <v>5</v>
      </c>
      <c r="E31" s="45">
        <f t="shared" si="13"/>
        <v>2017</v>
      </c>
      <c r="F31" s="45">
        <f t="shared" si="12"/>
        <v>3158</v>
      </c>
      <c r="G31" s="45" t="s">
        <v>448</v>
      </c>
      <c r="H31" s="45" t="s">
        <v>460</v>
      </c>
      <c r="I31" s="162">
        <f t="shared" si="9"/>
        <v>-17722.975928602391</v>
      </c>
      <c r="J31" s="11" t="s">
        <v>482</v>
      </c>
      <c r="K31" s="673">
        <v>2024</v>
      </c>
      <c r="L31" s="674" t="s">
        <v>1536</v>
      </c>
      <c r="Q31" s="45">
        <v>1</v>
      </c>
      <c r="R31" s="45" t="s">
        <v>1841</v>
      </c>
      <c r="S31" s="45" t="s">
        <v>1929</v>
      </c>
      <c r="T31" s="163">
        <f>J3</f>
        <v>0</v>
      </c>
      <c r="U31" s="2" t="s">
        <v>1851</v>
      </c>
    </row>
    <row r="32" spans="1:83" s="112" customFormat="1" hidden="1">
      <c r="B32" s="45"/>
      <c r="C32" s="45">
        <f t="shared" si="10"/>
        <v>3158</v>
      </c>
      <c r="D32" s="45">
        <f t="shared" si="11"/>
        <v>5</v>
      </c>
      <c r="E32" s="45">
        <f t="shared" si="13"/>
        <v>2017</v>
      </c>
      <c r="F32" s="45">
        <f t="shared" ref="F32:F42" si="14">D$3</f>
        <v>0</v>
      </c>
      <c r="G32" s="45" t="s">
        <v>448</v>
      </c>
      <c r="H32" s="45" t="s">
        <v>449</v>
      </c>
      <c r="I32" s="162" t="str">
        <f t="shared" ref="I32:I42" si="15">IF(ISBLANK(D4),"",D4)</f>
        <v/>
      </c>
      <c r="J32" s="11" t="s">
        <v>483</v>
      </c>
      <c r="K32" s="673">
        <v>2026</v>
      </c>
      <c r="L32" s="674" t="s">
        <v>2360</v>
      </c>
      <c r="Q32" s="45">
        <v>1</v>
      </c>
      <c r="R32" s="45" t="s">
        <v>1841</v>
      </c>
      <c r="S32" s="45" t="s">
        <v>1930</v>
      </c>
      <c r="T32" s="163">
        <f>K3</f>
        <v>0</v>
      </c>
      <c r="U32" s="2" t="s">
        <v>1852</v>
      </c>
    </row>
    <row r="33" spans="2:21" s="112" customFormat="1" hidden="1">
      <c r="B33" s="45"/>
      <c r="C33" s="45">
        <f t="shared" si="10"/>
        <v>3158</v>
      </c>
      <c r="D33" s="45">
        <f t="shared" si="11"/>
        <v>5</v>
      </c>
      <c r="E33" s="45">
        <f t="shared" si="13"/>
        <v>2017</v>
      </c>
      <c r="F33" s="45">
        <f t="shared" si="14"/>
        <v>0</v>
      </c>
      <c r="G33" s="45" t="s">
        <v>448</v>
      </c>
      <c r="H33" s="45" t="s">
        <v>450</v>
      </c>
      <c r="I33" s="162" t="str">
        <f t="shared" si="15"/>
        <v/>
      </c>
      <c r="J33" s="11" t="s">
        <v>484</v>
      </c>
      <c r="K33" s="673">
        <v>2028</v>
      </c>
      <c r="L33" s="674" t="s">
        <v>1537</v>
      </c>
      <c r="Q33" s="45">
        <v>1</v>
      </c>
      <c r="R33" s="45" t="s">
        <v>1841</v>
      </c>
      <c r="S33" s="45" t="s">
        <v>1931</v>
      </c>
      <c r="T33" s="163">
        <f>L3</f>
        <v>0</v>
      </c>
      <c r="U33" s="2" t="s">
        <v>1853</v>
      </c>
    </row>
    <row r="34" spans="2:21" s="112" customFormat="1" hidden="1">
      <c r="B34" s="45"/>
      <c r="C34" s="45">
        <f t="shared" si="10"/>
        <v>3158</v>
      </c>
      <c r="D34" s="45">
        <f t="shared" si="11"/>
        <v>5</v>
      </c>
      <c r="E34" s="45">
        <f t="shared" si="13"/>
        <v>2017</v>
      </c>
      <c r="F34" s="45">
        <f t="shared" si="14"/>
        <v>0</v>
      </c>
      <c r="G34" s="45" t="s">
        <v>448</v>
      </c>
      <c r="H34" s="45" t="s">
        <v>451</v>
      </c>
      <c r="I34" s="162" t="str">
        <f t="shared" si="15"/>
        <v/>
      </c>
      <c r="J34" s="11" t="s">
        <v>485</v>
      </c>
      <c r="K34" s="675">
        <v>2033</v>
      </c>
      <c r="L34" s="674" t="s">
        <v>2086</v>
      </c>
      <c r="Q34" s="45">
        <v>1</v>
      </c>
      <c r="R34" s="45" t="s">
        <v>1841</v>
      </c>
      <c r="S34" s="45" t="s">
        <v>1932</v>
      </c>
      <c r="T34" s="163">
        <f>M3</f>
        <v>0</v>
      </c>
      <c r="U34" s="2" t="s">
        <v>1854</v>
      </c>
    </row>
    <row r="35" spans="2:21" s="112" customFormat="1" hidden="1">
      <c r="B35" s="45"/>
      <c r="C35" s="45">
        <f t="shared" si="10"/>
        <v>3158</v>
      </c>
      <c r="D35" s="45">
        <f t="shared" si="11"/>
        <v>5</v>
      </c>
      <c r="E35" s="45">
        <f t="shared" si="13"/>
        <v>2017</v>
      </c>
      <c r="F35" s="45">
        <f t="shared" si="14"/>
        <v>0</v>
      </c>
      <c r="G35" s="45" t="s">
        <v>448</v>
      </c>
      <c r="H35" s="45" t="s">
        <v>452</v>
      </c>
      <c r="I35" s="162" t="str">
        <f t="shared" si="15"/>
        <v/>
      </c>
      <c r="J35" s="11" t="s">
        <v>486</v>
      </c>
      <c r="K35" s="673">
        <v>2034</v>
      </c>
      <c r="L35" s="674" t="s">
        <v>1496</v>
      </c>
      <c r="Q35" s="45">
        <v>1</v>
      </c>
      <c r="R35" s="45" t="s">
        <v>1841</v>
      </c>
      <c r="S35" s="45" t="s">
        <v>1933</v>
      </c>
      <c r="T35" s="163">
        <f>N3</f>
        <v>0</v>
      </c>
      <c r="U35" s="2" t="s">
        <v>1855</v>
      </c>
    </row>
    <row r="36" spans="2:21" s="112" customFormat="1" hidden="1">
      <c r="B36" s="45"/>
      <c r="C36" s="45">
        <f t="shared" si="10"/>
        <v>3158</v>
      </c>
      <c r="D36" s="45">
        <f t="shared" si="11"/>
        <v>5</v>
      </c>
      <c r="E36" s="45">
        <f t="shared" si="13"/>
        <v>2017</v>
      </c>
      <c r="F36" s="45">
        <f t="shared" si="14"/>
        <v>0</v>
      </c>
      <c r="G36" s="45" t="s">
        <v>448</v>
      </c>
      <c r="H36" s="45" t="s">
        <v>453</v>
      </c>
      <c r="I36" s="162" t="str">
        <f t="shared" si="15"/>
        <v/>
      </c>
      <c r="J36" s="11" t="s">
        <v>487</v>
      </c>
      <c r="K36" s="673">
        <v>2036</v>
      </c>
      <c r="L36" s="674" t="s">
        <v>1538</v>
      </c>
      <c r="Q36" s="45">
        <v>1</v>
      </c>
      <c r="R36" s="45" t="s">
        <v>1841</v>
      </c>
      <c r="S36" s="45" t="s">
        <v>1934</v>
      </c>
      <c r="T36" s="163">
        <f>O3</f>
        <v>0</v>
      </c>
      <c r="U36" s="2" t="s">
        <v>1856</v>
      </c>
    </row>
    <row r="37" spans="2:21" s="112" customFormat="1" hidden="1">
      <c r="B37" s="45"/>
      <c r="C37" s="45">
        <f t="shared" si="10"/>
        <v>3158</v>
      </c>
      <c r="D37" s="45">
        <f t="shared" si="11"/>
        <v>5</v>
      </c>
      <c r="E37" s="45">
        <f t="shared" si="13"/>
        <v>2017</v>
      </c>
      <c r="F37" s="45">
        <f t="shared" si="14"/>
        <v>0</v>
      </c>
      <c r="G37" s="45" t="s">
        <v>448</v>
      </c>
      <c r="H37" s="45" t="s">
        <v>454</v>
      </c>
      <c r="I37" s="162" t="str">
        <f t="shared" si="15"/>
        <v/>
      </c>
      <c r="J37" s="11" t="s">
        <v>488</v>
      </c>
      <c r="K37" s="673">
        <v>2037</v>
      </c>
      <c r="L37" s="674" t="s">
        <v>1539</v>
      </c>
      <c r="Q37" s="45">
        <v>1</v>
      </c>
      <c r="R37" s="45" t="s">
        <v>1841</v>
      </c>
      <c r="S37" s="45" t="s">
        <v>1935</v>
      </c>
      <c r="T37" s="163">
        <f>P3</f>
        <v>0</v>
      </c>
      <c r="U37" s="2" t="s">
        <v>1857</v>
      </c>
    </row>
    <row r="38" spans="2:21" s="112" customFormat="1" hidden="1">
      <c r="B38" s="45"/>
      <c r="C38" s="45">
        <f t="shared" si="10"/>
        <v>3158</v>
      </c>
      <c r="D38" s="45">
        <f t="shared" si="11"/>
        <v>5</v>
      </c>
      <c r="E38" s="45">
        <f t="shared" si="13"/>
        <v>2017</v>
      </c>
      <c r="F38" s="45">
        <f t="shared" si="14"/>
        <v>0</v>
      </c>
      <c r="G38" s="45" t="s">
        <v>448</v>
      </c>
      <c r="H38" s="45" t="s">
        <v>455</v>
      </c>
      <c r="I38" s="162" t="str">
        <f t="shared" si="15"/>
        <v/>
      </c>
      <c r="J38" s="11" t="s">
        <v>489</v>
      </c>
      <c r="K38" s="673">
        <v>2040</v>
      </c>
      <c r="L38" s="674" t="s">
        <v>2217</v>
      </c>
      <c r="Q38" s="45">
        <v>1</v>
      </c>
      <c r="R38" s="45" t="s">
        <v>1841</v>
      </c>
      <c r="S38" s="45" t="s">
        <v>1936</v>
      </c>
      <c r="T38" s="163">
        <f>Q3</f>
        <v>0</v>
      </c>
      <c r="U38" s="2" t="s">
        <v>1858</v>
      </c>
    </row>
    <row r="39" spans="2:21" s="112" customFormat="1" hidden="1">
      <c r="B39" s="45"/>
      <c r="C39" s="45">
        <f t="shared" si="10"/>
        <v>3158</v>
      </c>
      <c r="D39" s="45">
        <f t="shared" si="11"/>
        <v>5</v>
      </c>
      <c r="E39" s="45">
        <f t="shared" si="13"/>
        <v>2017</v>
      </c>
      <c r="F39" s="45">
        <f t="shared" si="14"/>
        <v>0</v>
      </c>
      <c r="G39" s="45" t="s">
        <v>448</v>
      </c>
      <c r="H39" s="45" t="s">
        <v>456</v>
      </c>
      <c r="I39" s="162" t="str">
        <f t="shared" si="15"/>
        <v/>
      </c>
      <c r="J39" s="11" t="s">
        <v>490</v>
      </c>
      <c r="K39" s="673">
        <v>2041</v>
      </c>
      <c r="L39" s="674" t="s">
        <v>1540</v>
      </c>
      <c r="Q39" s="45">
        <v>1</v>
      </c>
      <c r="R39" s="45" t="s">
        <v>1841</v>
      </c>
      <c r="S39" s="45" t="s">
        <v>1937</v>
      </c>
      <c r="T39" s="163">
        <f>R3</f>
        <v>0</v>
      </c>
      <c r="U39" s="2" t="s">
        <v>1859</v>
      </c>
    </row>
    <row r="40" spans="2:21" s="112" customFormat="1" hidden="1">
      <c r="B40" s="45"/>
      <c r="C40" s="45">
        <f t="shared" si="10"/>
        <v>3158</v>
      </c>
      <c r="D40" s="45">
        <f t="shared" si="11"/>
        <v>5</v>
      </c>
      <c r="E40" s="45">
        <f t="shared" si="13"/>
        <v>2017</v>
      </c>
      <c r="F40" s="45">
        <f t="shared" si="14"/>
        <v>0</v>
      </c>
      <c r="G40" s="45" t="s">
        <v>448</v>
      </c>
      <c r="H40" s="45" t="s">
        <v>457</v>
      </c>
      <c r="I40" s="162" t="str">
        <f t="shared" si="15"/>
        <v/>
      </c>
      <c r="J40" s="11" t="s">
        <v>491</v>
      </c>
      <c r="K40" s="675">
        <v>2043</v>
      </c>
      <c r="L40" s="674" t="s">
        <v>2096</v>
      </c>
      <c r="Q40" s="45">
        <v>1</v>
      </c>
      <c r="R40" s="45" t="s">
        <v>1841</v>
      </c>
      <c r="S40" s="45" t="s">
        <v>1938</v>
      </c>
      <c r="T40" s="163">
        <f>S3</f>
        <v>0</v>
      </c>
      <c r="U40" s="2" t="s">
        <v>1860</v>
      </c>
    </row>
    <row r="41" spans="2:21" s="112" customFormat="1" hidden="1">
      <c r="B41" s="45"/>
      <c r="C41" s="45">
        <f t="shared" si="10"/>
        <v>3158</v>
      </c>
      <c r="D41" s="45">
        <f t="shared" si="11"/>
        <v>5</v>
      </c>
      <c r="E41" s="45">
        <f t="shared" si="13"/>
        <v>2017</v>
      </c>
      <c r="F41" s="45">
        <f t="shared" si="14"/>
        <v>0</v>
      </c>
      <c r="G41" s="45" t="s">
        <v>448</v>
      </c>
      <c r="H41" s="45" t="s">
        <v>458</v>
      </c>
      <c r="I41" s="162" t="str">
        <f t="shared" si="15"/>
        <v/>
      </c>
      <c r="J41" s="11" t="s">
        <v>492</v>
      </c>
      <c r="K41" s="673">
        <v>2045</v>
      </c>
      <c r="L41" s="674" t="s">
        <v>1541</v>
      </c>
      <c r="Q41" s="45">
        <v>1</v>
      </c>
      <c r="R41" s="45" t="s">
        <v>1841</v>
      </c>
      <c r="S41" s="45" t="s">
        <v>1939</v>
      </c>
      <c r="T41" s="163">
        <f>T3</f>
        <v>0</v>
      </c>
      <c r="U41" s="2" t="s">
        <v>1861</v>
      </c>
    </row>
    <row r="42" spans="2:21" s="112" customFormat="1" hidden="1">
      <c r="B42" s="45"/>
      <c r="C42" s="45">
        <f t="shared" si="10"/>
        <v>3158</v>
      </c>
      <c r="D42" s="45">
        <f t="shared" si="11"/>
        <v>5</v>
      </c>
      <c r="E42" s="45">
        <f t="shared" si="13"/>
        <v>2017</v>
      </c>
      <c r="F42" s="45">
        <f t="shared" si="14"/>
        <v>0</v>
      </c>
      <c r="G42" s="45" t="s">
        <v>448</v>
      </c>
      <c r="H42" s="45" t="s">
        <v>460</v>
      </c>
      <c r="I42" s="162" t="str">
        <f t="shared" si="15"/>
        <v/>
      </c>
      <c r="J42" s="11" t="s">
        <v>493</v>
      </c>
      <c r="K42" s="675">
        <v>2047</v>
      </c>
      <c r="L42" s="674" t="s">
        <v>2087</v>
      </c>
      <c r="Q42" s="45">
        <v>1</v>
      </c>
      <c r="R42" s="45" t="s">
        <v>1841</v>
      </c>
      <c r="S42" s="45" t="s">
        <v>1940</v>
      </c>
      <c r="T42" s="163">
        <f>U3</f>
        <v>0</v>
      </c>
      <c r="U42" s="2" t="s">
        <v>1862</v>
      </c>
    </row>
    <row r="43" spans="2:21" s="112" customFormat="1" hidden="1">
      <c r="B43" s="45"/>
      <c r="C43" s="45">
        <f t="shared" si="10"/>
        <v>3158</v>
      </c>
      <c r="D43" s="45">
        <f t="shared" si="11"/>
        <v>5</v>
      </c>
      <c r="E43" s="45">
        <f t="shared" si="13"/>
        <v>2017</v>
      </c>
      <c r="F43" s="45">
        <f t="shared" ref="F43:F53" si="16">E$3</f>
        <v>0</v>
      </c>
      <c r="G43" s="45" t="s">
        <v>448</v>
      </c>
      <c r="H43" s="45" t="s">
        <v>449</v>
      </c>
      <c r="I43" s="162" t="str">
        <f t="shared" ref="I43:I53" si="17">IF(ISBLANK(E4),"",E4)</f>
        <v/>
      </c>
      <c r="J43" s="11" t="s">
        <v>494</v>
      </c>
      <c r="K43" s="673">
        <v>2048</v>
      </c>
      <c r="L43" s="674" t="s">
        <v>168</v>
      </c>
      <c r="Q43" s="45">
        <v>1</v>
      </c>
      <c r="R43" s="45" t="s">
        <v>1841</v>
      </c>
      <c r="S43" s="45" t="s">
        <v>1941</v>
      </c>
      <c r="T43" s="163">
        <f>V3</f>
        <v>0</v>
      </c>
      <c r="U43" s="2" t="s">
        <v>1863</v>
      </c>
    </row>
    <row r="44" spans="2:21" s="112" customFormat="1" hidden="1">
      <c r="B44" s="45"/>
      <c r="C44" s="45">
        <f t="shared" si="10"/>
        <v>3158</v>
      </c>
      <c r="D44" s="45">
        <f t="shared" si="11"/>
        <v>5</v>
      </c>
      <c r="E44" s="45">
        <f t="shared" si="13"/>
        <v>2017</v>
      </c>
      <c r="F44" s="45">
        <f t="shared" si="16"/>
        <v>0</v>
      </c>
      <c r="G44" s="45" t="s">
        <v>448</v>
      </c>
      <c r="H44" s="45" t="s">
        <v>450</v>
      </c>
      <c r="I44" s="162" t="str">
        <f t="shared" si="17"/>
        <v/>
      </c>
      <c r="J44" s="11" t="s">
        <v>495</v>
      </c>
      <c r="K44" s="676">
        <v>2049</v>
      </c>
      <c r="L44" s="677" t="s">
        <v>2118</v>
      </c>
      <c r="Q44" s="45">
        <v>1</v>
      </c>
      <c r="R44" s="45" t="s">
        <v>1841</v>
      </c>
      <c r="S44" s="45" t="s">
        <v>1942</v>
      </c>
      <c r="T44" s="163">
        <f>W3</f>
        <v>0</v>
      </c>
      <c r="U44" s="2" t="s">
        <v>1864</v>
      </c>
    </row>
    <row r="45" spans="2:21" s="112" customFormat="1" hidden="1">
      <c r="B45" s="45"/>
      <c r="C45" s="45">
        <f t="shared" si="10"/>
        <v>3158</v>
      </c>
      <c r="D45" s="45">
        <f t="shared" si="11"/>
        <v>5</v>
      </c>
      <c r="E45" s="45">
        <f t="shared" si="13"/>
        <v>2017</v>
      </c>
      <c r="F45" s="45">
        <f t="shared" si="16"/>
        <v>0</v>
      </c>
      <c r="G45" s="45" t="s">
        <v>448</v>
      </c>
      <c r="H45" s="45" t="s">
        <v>451</v>
      </c>
      <c r="I45" s="162" t="str">
        <f t="shared" si="17"/>
        <v/>
      </c>
      <c r="J45" s="11" t="s">
        <v>496</v>
      </c>
      <c r="K45" s="673">
        <v>2054</v>
      </c>
      <c r="L45" s="674" t="s">
        <v>2361</v>
      </c>
      <c r="Q45" s="45">
        <v>1</v>
      </c>
      <c r="R45" s="45" t="s">
        <v>1841</v>
      </c>
      <c r="S45" s="45" t="s">
        <v>1949</v>
      </c>
      <c r="T45" s="163">
        <f>X3</f>
        <v>0</v>
      </c>
      <c r="U45" s="2" t="s">
        <v>1865</v>
      </c>
    </row>
    <row r="46" spans="2:21" s="112" customFormat="1" hidden="1">
      <c r="B46" s="45"/>
      <c r="C46" s="45">
        <f t="shared" si="10"/>
        <v>3158</v>
      </c>
      <c r="D46" s="45">
        <f t="shared" si="11"/>
        <v>5</v>
      </c>
      <c r="E46" s="45">
        <f t="shared" si="13"/>
        <v>2017</v>
      </c>
      <c r="F46" s="45">
        <f t="shared" si="16"/>
        <v>0</v>
      </c>
      <c r="G46" s="45" t="s">
        <v>448</v>
      </c>
      <c r="H46" s="45" t="s">
        <v>452</v>
      </c>
      <c r="I46" s="162" t="str">
        <f t="shared" si="17"/>
        <v/>
      </c>
      <c r="J46" s="11" t="s">
        <v>497</v>
      </c>
      <c r="K46" s="675">
        <v>2057</v>
      </c>
      <c r="L46" s="674" t="s">
        <v>2088</v>
      </c>
      <c r="Q46" s="45">
        <v>1</v>
      </c>
      <c r="R46" s="45" t="s">
        <v>1841</v>
      </c>
      <c r="S46" s="45" t="s">
        <v>1950</v>
      </c>
      <c r="T46" s="163">
        <f>Y3</f>
        <v>0</v>
      </c>
      <c r="U46" s="2" t="s">
        <v>1866</v>
      </c>
    </row>
    <row r="47" spans="2:21" s="112" customFormat="1" hidden="1">
      <c r="B47" s="45"/>
      <c r="C47" s="45">
        <f t="shared" si="10"/>
        <v>3158</v>
      </c>
      <c r="D47" s="45">
        <f t="shared" si="11"/>
        <v>5</v>
      </c>
      <c r="E47" s="45">
        <f t="shared" si="13"/>
        <v>2017</v>
      </c>
      <c r="F47" s="45">
        <f t="shared" si="16"/>
        <v>0</v>
      </c>
      <c r="G47" s="45" t="s">
        <v>448</v>
      </c>
      <c r="H47" s="45" t="s">
        <v>453</v>
      </c>
      <c r="I47" s="162" t="str">
        <f t="shared" si="17"/>
        <v/>
      </c>
      <c r="J47" s="11" t="s">
        <v>498</v>
      </c>
      <c r="K47" s="673">
        <v>2058</v>
      </c>
      <c r="L47" s="674" t="s">
        <v>169</v>
      </c>
      <c r="Q47" s="45">
        <v>1</v>
      </c>
      <c r="R47" s="45" t="s">
        <v>1841</v>
      </c>
      <c r="S47" s="45" t="s">
        <v>1951</v>
      </c>
      <c r="T47" s="163">
        <f>Z3</f>
        <v>0</v>
      </c>
      <c r="U47" s="2" t="s">
        <v>1867</v>
      </c>
    </row>
    <row r="48" spans="2:21" s="112" customFormat="1" hidden="1">
      <c r="B48" s="45"/>
      <c r="C48" s="45">
        <f t="shared" si="10"/>
        <v>3158</v>
      </c>
      <c r="D48" s="45">
        <f t="shared" si="11"/>
        <v>5</v>
      </c>
      <c r="E48" s="45">
        <f t="shared" si="13"/>
        <v>2017</v>
      </c>
      <c r="F48" s="45">
        <f t="shared" si="16"/>
        <v>0</v>
      </c>
      <c r="G48" s="45" t="s">
        <v>448</v>
      </c>
      <c r="H48" s="45" t="s">
        <v>454</v>
      </c>
      <c r="I48" s="162" t="str">
        <f t="shared" si="17"/>
        <v/>
      </c>
      <c r="J48" s="11" t="s">
        <v>499</v>
      </c>
      <c r="K48" s="673">
        <v>2060</v>
      </c>
      <c r="L48" s="674" t="s">
        <v>2203</v>
      </c>
      <c r="Q48" s="45">
        <v>1</v>
      </c>
      <c r="R48" s="45" t="s">
        <v>1841</v>
      </c>
      <c r="S48" s="45" t="s">
        <v>1952</v>
      </c>
      <c r="T48" s="163">
        <f>AA3</f>
        <v>0</v>
      </c>
      <c r="U48" s="2" t="s">
        <v>1868</v>
      </c>
    </row>
    <row r="49" spans="2:21" s="112" customFormat="1" hidden="1">
      <c r="B49" s="45"/>
      <c r="C49" s="45">
        <f t="shared" si="10"/>
        <v>3158</v>
      </c>
      <c r="D49" s="45">
        <f t="shared" si="11"/>
        <v>5</v>
      </c>
      <c r="E49" s="45">
        <f t="shared" si="13"/>
        <v>2017</v>
      </c>
      <c r="F49" s="45">
        <f t="shared" si="16"/>
        <v>0</v>
      </c>
      <c r="G49" s="45" t="s">
        <v>448</v>
      </c>
      <c r="H49" s="45" t="s">
        <v>455</v>
      </c>
      <c r="I49" s="162" t="str">
        <f t="shared" si="17"/>
        <v/>
      </c>
      <c r="J49" s="11" t="s">
        <v>500</v>
      </c>
      <c r="K49" s="673">
        <v>2066</v>
      </c>
      <c r="L49" s="674" t="s">
        <v>170</v>
      </c>
      <c r="Q49" s="45">
        <v>1</v>
      </c>
      <c r="R49" s="45" t="s">
        <v>1841</v>
      </c>
      <c r="S49" s="45" t="s">
        <v>1953</v>
      </c>
      <c r="T49" s="163">
        <f>AB3</f>
        <v>0</v>
      </c>
      <c r="U49" s="2" t="s">
        <v>1869</v>
      </c>
    </row>
    <row r="50" spans="2:21" s="112" customFormat="1" hidden="1">
      <c r="B50" s="45"/>
      <c r="C50" s="45">
        <f t="shared" si="10"/>
        <v>3158</v>
      </c>
      <c r="D50" s="45">
        <f t="shared" si="11"/>
        <v>5</v>
      </c>
      <c r="E50" s="45">
        <f t="shared" si="13"/>
        <v>2017</v>
      </c>
      <c r="F50" s="45">
        <f t="shared" si="16"/>
        <v>0</v>
      </c>
      <c r="G50" s="45" t="s">
        <v>448</v>
      </c>
      <c r="H50" s="45" t="s">
        <v>456</v>
      </c>
      <c r="I50" s="162" t="str">
        <f t="shared" si="17"/>
        <v/>
      </c>
      <c r="J50" s="11" t="s">
        <v>501</v>
      </c>
      <c r="K50" s="673">
        <v>2068</v>
      </c>
      <c r="L50" s="674" t="s">
        <v>2165</v>
      </c>
      <c r="Q50" s="45">
        <v>1</v>
      </c>
      <c r="R50" s="45" t="s">
        <v>1841</v>
      </c>
      <c r="S50" s="45" t="s">
        <v>1954</v>
      </c>
      <c r="T50" s="163">
        <f>AC3</f>
        <v>0</v>
      </c>
      <c r="U50" s="2" t="s">
        <v>1870</v>
      </c>
    </row>
    <row r="51" spans="2:21" s="112" customFormat="1" hidden="1">
      <c r="B51" s="45"/>
      <c r="C51" s="45">
        <f t="shared" si="10"/>
        <v>3158</v>
      </c>
      <c r="D51" s="45">
        <f t="shared" si="11"/>
        <v>5</v>
      </c>
      <c r="E51" s="45">
        <f t="shared" si="13"/>
        <v>2017</v>
      </c>
      <c r="F51" s="45">
        <f t="shared" si="16"/>
        <v>0</v>
      </c>
      <c r="G51" s="45" t="s">
        <v>448</v>
      </c>
      <c r="H51" s="45" t="s">
        <v>457</v>
      </c>
      <c r="I51" s="162" t="str">
        <f t="shared" si="17"/>
        <v/>
      </c>
      <c r="J51" s="11" t="s">
        <v>502</v>
      </c>
      <c r="K51" s="673">
        <v>2073</v>
      </c>
      <c r="L51" s="674" t="s">
        <v>2218</v>
      </c>
      <c r="Q51" s="45">
        <v>1</v>
      </c>
      <c r="R51" s="45" t="s">
        <v>1841</v>
      </c>
      <c r="S51" s="45" t="s">
        <v>1955</v>
      </c>
      <c r="T51" s="163">
        <f>AD3</f>
        <v>0</v>
      </c>
      <c r="U51" s="2" t="s">
        <v>1871</v>
      </c>
    </row>
    <row r="52" spans="2:21" s="112" customFormat="1" hidden="1">
      <c r="B52" s="45"/>
      <c r="C52" s="45">
        <f t="shared" si="10"/>
        <v>3158</v>
      </c>
      <c r="D52" s="45">
        <f t="shared" si="11"/>
        <v>5</v>
      </c>
      <c r="E52" s="45">
        <f t="shared" si="13"/>
        <v>2017</v>
      </c>
      <c r="F52" s="45">
        <f t="shared" si="16"/>
        <v>0</v>
      </c>
      <c r="G52" s="45" t="s">
        <v>448</v>
      </c>
      <c r="H52" s="45" t="s">
        <v>458</v>
      </c>
      <c r="I52" s="162" t="str">
        <f t="shared" si="17"/>
        <v/>
      </c>
      <c r="J52" s="11" t="s">
        <v>503</v>
      </c>
      <c r="K52" s="673">
        <v>2075</v>
      </c>
      <c r="L52" s="674" t="s">
        <v>2055</v>
      </c>
      <c r="Q52" s="45">
        <v>1</v>
      </c>
      <c r="R52" s="45" t="s">
        <v>1841</v>
      </c>
      <c r="S52" s="45" t="s">
        <v>1956</v>
      </c>
      <c r="T52" s="163">
        <f>AE3</f>
        <v>0</v>
      </c>
      <c r="U52" s="2" t="s">
        <v>1872</v>
      </c>
    </row>
    <row r="53" spans="2:21" s="112" customFormat="1" hidden="1">
      <c r="B53" s="45"/>
      <c r="C53" s="45">
        <f t="shared" si="10"/>
        <v>3158</v>
      </c>
      <c r="D53" s="45">
        <f t="shared" si="11"/>
        <v>5</v>
      </c>
      <c r="E53" s="45">
        <f t="shared" si="13"/>
        <v>2017</v>
      </c>
      <c r="F53" s="45">
        <f t="shared" si="16"/>
        <v>0</v>
      </c>
      <c r="G53" s="45" t="s">
        <v>448</v>
      </c>
      <c r="H53" s="45" t="s">
        <v>460</v>
      </c>
      <c r="I53" s="162" t="str">
        <f t="shared" si="17"/>
        <v/>
      </c>
      <c r="J53" s="11" t="s">
        <v>504</v>
      </c>
      <c r="K53" s="673">
        <v>2077</v>
      </c>
      <c r="L53" s="674" t="s">
        <v>1562</v>
      </c>
      <c r="Q53" s="45">
        <v>1</v>
      </c>
      <c r="R53" s="45" t="s">
        <v>1841</v>
      </c>
      <c r="S53" s="45" t="s">
        <v>1957</v>
      </c>
      <c r="T53" s="163">
        <f>AF3</f>
        <v>0</v>
      </c>
      <c r="U53" s="2" t="s">
        <v>1873</v>
      </c>
    </row>
    <row r="54" spans="2:21" s="112" customFormat="1" hidden="1">
      <c r="B54" s="45"/>
      <c r="C54" s="45">
        <f t="shared" si="10"/>
        <v>3158</v>
      </c>
      <c r="D54" s="45">
        <f t="shared" si="11"/>
        <v>5</v>
      </c>
      <c r="E54" s="45">
        <f t="shared" si="13"/>
        <v>2017</v>
      </c>
      <c r="F54" s="45">
        <f t="shared" ref="F54:F64" si="18">F$3</f>
        <v>0</v>
      </c>
      <c r="G54" s="45" t="s">
        <v>448</v>
      </c>
      <c r="H54" s="45" t="s">
        <v>449</v>
      </c>
      <c r="I54" s="162" t="str">
        <f t="shared" ref="I54:I64" si="19">IF(ISBLANK(F4),"",F4)</f>
        <v/>
      </c>
      <c r="J54" s="11" t="s">
        <v>505</v>
      </c>
      <c r="K54" s="675">
        <v>2078</v>
      </c>
      <c r="L54" s="674" t="s">
        <v>2112</v>
      </c>
      <c r="Q54" s="45">
        <v>1</v>
      </c>
      <c r="R54" s="45" t="s">
        <v>1841</v>
      </c>
      <c r="S54" s="45" t="s">
        <v>1958</v>
      </c>
      <c r="T54" s="163">
        <f>AG3</f>
        <v>0</v>
      </c>
      <c r="U54" s="2" t="s">
        <v>1874</v>
      </c>
    </row>
    <row r="55" spans="2:21" s="112" customFormat="1" hidden="1">
      <c r="B55" s="45"/>
      <c r="C55" s="45">
        <f t="shared" si="10"/>
        <v>3158</v>
      </c>
      <c r="D55" s="45">
        <f t="shared" si="11"/>
        <v>5</v>
      </c>
      <c r="E55" s="45">
        <f t="shared" si="13"/>
        <v>2017</v>
      </c>
      <c r="F55" s="45">
        <f t="shared" si="18"/>
        <v>0</v>
      </c>
      <c r="G55" s="45" t="s">
        <v>448</v>
      </c>
      <c r="H55" s="45" t="s">
        <v>450</v>
      </c>
      <c r="I55" s="162" t="str">
        <f t="shared" si="19"/>
        <v/>
      </c>
      <c r="J55" s="11" t="s">
        <v>506</v>
      </c>
      <c r="K55" s="673">
        <v>2080</v>
      </c>
      <c r="L55" s="674" t="s">
        <v>1563</v>
      </c>
      <c r="Q55" s="45">
        <v>1</v>
      </c>
      <c r="R55" s="45" t="s">
        <v>1841</v>
      </c>
      <c r="S55" s="45" t="s">
        <v>1959</v>
      </c>
      <c r="T55" s="163">
        <f>AH3</f>
        <v>0</v>
      </c>
      <c r="U55" s="2" t="s">
        <v>1875</v>
      </c>
    </row>
    <row r="56" spans="2:21" s="112" customFormat="1" hidden="1">
      <c r="B56" s="45"/>
      <c r="C56" s="45">
        <f t="shared" si="10"/>
        <v>3158</v>
      </c>
      <c r="D56" s="45">
        <f t="shared" si="11"/>
        <v>5</v>
      </c>
      <c r="E56" s="45">
        <f t="shared" si="13"/>
        <v>2017</v>
      </c>
      <c r="F56" s="45">
        <f t="shared" si="18"/>
        <v>0</v>
      </c>
      <c r="G56" s="45" t="s">
        <v>448</v>
      </c>
      <c r="H56" s="45" t="s">
        <v>451</v>
      </c>
      <c r="I56" s="162" t="str">
        <f t="shared" si="19"/>
        <v/>
      </c>
      <c r="J56" s="11" t="s">
        <v>507</v>
      </c>
      <c r="K56" s="673">
        <v>2081</v>
      </c>
      <c r="L56" s="674" t="s">
        <v>1564</v>
      </c>
      <c r="Q56" s="45">
        <v>1</v>
      </c>
      <c r="R56" s="45" t="s">
        <v>1841</v>
      </c>
      <c r="S56" s="45" t="s">
        <v>1960</v>
      </c>
      <c r="T56" s="163">
        <f>AI3</f>
        <v>0</v>
      </c>
      <c r="U56" s="2" t="s">
        <v>1876</v>
      </c>
    </row>
    <row r="57" spans="2:21" s="112" customFormat="1" hidden="1">
      <c r="B57" s="45"/>
      <c r="C57" s="45">
        <f t="shared" si="10"/>
        <v>3158</v>
      </c>
      <c r="D57" s="45">
        <f t="shared" si="11"/>
        <v>5</v>
      </c>
      <c r="E57" s="45">
        <f t="shared" si="13"/>
        <v>2017</v>
      </c>
      <c r="F57" s="45">
        <f t="shared" si="18"/>
        <v>0</v>
      </c>
      <c r="G57" s="45" t="s">
        <v>448</v>
      </c>
      <c r="H57" s="45" t="s">
        <v>452</v>
      </c>
      <c r="I57" s="162" t="str">
        <f t="shared" si="19"/>
        <v/>
      </c>
      <c r="J57" s="11" t="s">
        <v>508</v>
      </c>
      <c r="K57" s="673">
        <v>2082</v>
      </c>
      <c r="L57" s="674" t="s">
        <v>2344</v>
      </c>
      <c r="Q57" s="45">
        <v>1</v>
      </c>
      <c r="R57" s="45" t="s">
        <v>1841</v>
      </c>
      <c r="S57" s="45" t="s">
        <v>1961</v>
      </c>
      <c r="T57" s="163">
        <f>AJ3</f>
        <v>0</v>
      </c>
      <c r="U57" s="2" t="s">
        <v>1877</v>
      </c>
    </row>
    <row r="58" spans="2:21" s="112" customFormat="1" hidden="1">
      <c r="B58" s="45"/>
      <c r="C58" s="45">
        <f t="shared" si="10"/>
        <v>3158</v>
      </c>
      <c r="D58" s="45">
        <f t="shared" si="11"/>
        <v>5</v>
      </c>
      <c r="E58" s="45">
        <f t="shared" si="13"/>
        <v>2017</v>
      </c>
      <c r="F58" s="45">
        <f t="shared" si="18"/>
        <v>0</v>
      </c>
      <c r="G58" s="45" t="s">
        <v>448</v>
      </c>
      <c r="H58" s="45" t="s">
        <v>453</v>
      </c>
      <c r="I58" s="162" t="str">
        <f t="shared" si="19"/>
        <v/>
      </c>
      <c r="J58" s="11" t="s">
        <v>509</v>
      </c>
      <c r="K58" s="673">
        <v>2084</v>
      </c>
      <c r="L58" s="674" t="s">
        <v>2056</v>
      </c>
      <c r="Q58" s="45">
        <v>1</v>
      </c>
      <c r="R58" s="45" t="s">
        <v>1841</v>
      </c>
      <c r="S58" s="45" t="s">
        <v>1962</v>
      </c>
      <c r="T58" s="163">
        <f>AK3</f>
        <v>0</v>
      </c>
      <c r="U58" s="2" t="s">
        <v>1878</v>
      </c>
    </row>
    <row r="59" spans="2:21" s="112" customFormat="1" hidden="1">
      <c r="B59" s="45"/>
      <c r="C59" s="45">
        <f t="shared" si="10"/>
        <v>3158</v>
      </c>
      <c r="D59" s="45">
        <f t="shared" si="11"/>
        <v>5</v>
      </c>
      <c r="E59" s="45">
        <f t="shared" si="13"/>
        <v>2017</v>
      </c>
      <c r="F59" s="45">
        <f t="shared" si="18"/>
        <v>0</v>
      </c>
      <c r="G59" s="45" t="s">
        <v>448</v>
      </c>
      <c r="H59" s="45" t="s">
        <v>454</v>
      </c>
      <c r="I59" s="162" t="str">
        <f t="shared" si="19"/>
        <v/>
      </c>
      <c r="J59" s="11" t="s">
        <v>510</v>
      </c>
      <c r="K59" s="673">
        <v>2086</v>
      </c>
      <c r="L59" s="674" t="s">
        <v>1565</v>
      </c>
      <c r="Q59" s="45">
        <v>1</v>
      </c>
      <c r="R59" s="45" t="s">
        <v>1841</v>
      </c>
      <c r="S59" s="45" t="s">
        <v>1963</v>
      </c>
      <c r="T59" s="163">
        <f>AL3</f>
        <v>0</v>
      </c>
      <c r="U59" s="2" t="s">
        <v>1879</v>
      </c>
    </row>
    <row r="60" spans="2:21" s="112" customFormat="1" hidden="1">
      <c r="B60" s="45"/>
      <c r="C60" s="45">
        <f t="shared" si="10"/>
        <v>3158</v>
      </c>
      <c r="D60" s="45">
        <f t="shared" si="11"/>
        <v>5</v>
      </c>
      <c r="E60" s="45">
        <f t="shared" si="13"/>
        <v>2017</v>
      </c>
      <c r="F60" s="45">
        <f t="shared" si="18"/>
        <v>0</v>
      </c>
      <c r="G60" s="45" t="s">
        <v>448</v>
      </c>
      <c r="H60" s="45" t="s">
        <v>455</v>
      </c>
      <c r="I60" s="162" t="str">
        <f t="shared" si="19"/>
        <v/>
      </c>
      <c r="J60" s="11" t="s">
        <v>511</v>
      </c>
      <c r="K60" s="673">
        <v>2088</v>
      </c>
      <c r="L60" s="674" t="s">
        <v>1566</v>
      </c>
      <c r="Q60" s="45">
        <v>1</v>
      </c>
      <c r="R60" s="45" t="s">
        <v>1841</v>
      </c>
      <c r="S60" s="45" t="s">
        <v>1964</v>
      </c>
      <c r="T60" s="163">
        <f>AM3</f>
        <v>0</v>
      </c>
      <c r="U60" s="2" t="s">
        <v>1880</v>
      </c>
    </row>
    <row r="61" spans="2:21" s="112" customFormat="1" hidden="1">
      <c r="B61" s="45"/>
      <c r="C61" s="45">
        <f t="shared" si="10"/>
        <v>3158</v>
      </c>
      <c r="D61" s="45">
        <f t="shared" si="11"/>
        <v>5</v>
      </c>
      <c r="E61" s="45">
        <f t="shared" si="13"/>
        <v>2017</v>
      </c>
      <c r="F61" s="45">
        <f t="shared" si="18"/>
        <v>0</v>
      </c>
      <c r="G61" s="45" t="s">
        <v>448</v>
      </c>
      <c r="H61" s="45" t="s">
        <v>456</v>
      </c>
      <c r="I61" s="162" t="str">
        <f t="shared" si="19"/>
        <v/>
      </c>
      <c r="J61" s="11" t="s">
        <v>512</v>
      </c>
      <c r="K61" s="675">
        <v>2089</v>
      </c>
      <c r="L61" s="674" t="s">
        <v>2100</v>
      </c>
      <c r="Q61" s="45">
        <v>1</v>
      </c>
      <c r="R61" s="45" t="s">
        <v>1841</v>
      </c>
      <c r="S61" s="45" t="s">
        <v>1965</v>
      </c>
      <c r="T61" s="163">
        <f>AN3</f>
        <v>0</v>
      </c>
      <c r="U61" s="2" t="s">
        <v>1881</v>
      </c>
    </row>
    <row r="62" spans="2:21" s="112" customFormat="1" hidden="1">
      <c r="B62" s="45"/>
      <c r="C62" s="45">
        <f t="shared" si="10"/>
        <v>3158</v>
      </c>
      <c r="D62" s="45">
        <f t="shared" si="11"/>
        <v>5</v>
      </c>
      <c r="E62" s="45">
        <f t="shared" si="13"/>
        <v>2017</v>
      </c>
      <c r="F62" s="45">
        <f t="shared" si="18"/>
        <v>0</v>
      </c>
      <c r="G62" s="45" t="s">
        <v>448</v>
      </c>
      <c r="H62" s="45" t="s">
        <v>457</v>
      </c>
      <c r="I62" s="162" t="str">
        <f t="shared" si="19"/>
        <v/>
      </c>
      <c r="J62" s="11" t="s">
        <v>513</v>
      </c>
      <c r="K62" s="673">
        <v>2091</v>
      </c>
      <c r="L62" s="674" t="s">
        <v>2202</v>
      </c>
      <c r="Q62" s="45">
        <v>1</v>
      </c>
      <c r="R62" s="45" t="s">
        <v>1841</v>
      </c>
      <c r="S62" s="45" t="s">
        <v>1966</v>
      </c>
      <c r="T62" s="163">
        <f>AO3</f>
        <v>0</v>
      </c>
      <c r="U62" s="2" t="s">
        <v>1882</v>
      </c>
    </row>
    <row r="63" spans="2:21" s="112" customFormat="1" hidden="1">
      <c r="B63" s="45"/>
      <c r="C63" s="45">
        <f t="shared" si="10"/>
        <v>3158</v>
      </c>
      <c r="D63" s="45">
        <f t="shared" si="11"/>
        <v>5</v>
      </c>
      <c r="E63" s="45">
        <f t="shared" si="13"/>
        <v>2017</v>
      </c>
      <c r="F63" s="45">
        <f t="shared" si="18"/>
        <v>0</v>
      </c>
      <c r="G63" s="45" t="s">
        <v>448</v>
      </c>
      <c r="H63" s="45" t="s">
        <v>458</v>
      </c>
      <c r="I63" s="162" t="str">
        <f t="shared" si="19"/>
        <v/>
      </c>
      <c r="J63" s="11" t="s">
        <v>514</v>
      </c>
      <c r="K63" s="673">
        <v>2092</v>
      </c>
      <c r="L63" s="674" t="s">
        <v>1567</v>
      </c>
      <c r="Q63" s="45">
        <v>1</v>
      </c>
      <c r="R63" s="45" t="s">
        <v>1841</v>
      </c>
      <c r="S63" s="45" t="s">
        <v>1967</v>
      </c>
      <c r="T63" s="163">
        <f>AP3</f>
        <v>0</v>
      </c>
      <c r="U63" s="2" t="s">
        <v>1883</v>
      </c>
    </row>
    <row r="64" spans="2:21" s="112" customFormat="1" hidden="1">
      <c r="B64" s="45"/>
      <c r="C64" s="45">
        <f t="shared" si="10"/>
        <v>3158</v>
      </c>
      <c r="D64" s="45">
        <f t="shared" si="11"/>
        <v>5</v>
      </c>
      <c r="E64" s="45">
        <f t="shared" si="13"/>
        <v>2017</v>
      </c>
      <c r="F64" s="45">
        <f t="shared" si="18"/>
        <v>0</v>
      </c>
      <c r="G64" s="45" t="s">
        <v>448</v>
      </c>
      <c r="H64" s="45" t="s">
        <v>460</v>
      </c>
      <c r="I64" s="162" t="str">
        <f t="shared" si="19"/>
        <v/>
      </c>
      <c r="J64" s="11" t="s">
        <v>515</v>
      </c>
      <c r="K64" s="675">
        <v>2093</v>
      </c>
      <c r="L64" s="674" t="s">
        <v>2108</v>
      </c>
      <c r="Q64" s="45">
        <v>1</v>
      </c>
      <c r="R64" s="45" t="s">
        <v>1841</v>
      </c>
      <c r="S64" s="45" t="s">
        <v>1968</v>
      </c>
      <c r="T64" s="163">
        <f>AQ3</f>
        <v>0</v>
      </c>
      <c r="U64" s="2" t="s">
        <v>1884</v>
      </c>
    </row>
    <row r="65" spans="2:21" s="112" customFormat="1" hidden="1">
      <c r="B65" s="45"/>
      <c r="C65" s="45">
        <f t="shared" si="10"/>
        <v>3158</v>
      </c>
      <c r="D65" s="45">
        <f t="shared" si="11"/>
        <v>5</v>
      </c>
      <c r="E65" s="45">
        <f t="shared" si="13"/>
        <v>2017</v>
      </c>
      <c r="F65" s="45">
        <f t="shared" ref="F65:F75" si="20">G$3</f>
        <v>0</v>
      </c>
      <c r="G65" s="45" t="s">
        <v>448</v>
      </c>
      <c r="H65" s="45" t="s">
        <v>449</v>
      </c>
      <c r="I65" s="162" t="str">
        <f t="shared" ref="I65:I75" si="21">IF(ISBLANK(G4),"",G4)</f>
        <v/>
      </c>
      <c r="J65" s="11" t="s">
        <v>516</v>
      </c>
      <c r="K65" s="673">
        <v>2095</v>
      </c>
      <c r="L65" s="674" t="s">
        <v>1568</v>
      </c>
      <c r="Q65" s="45">
        <v>1</v>
      </c>
      <c r="R65" s="45" t="s">
        <v>1841</v>
      </c>
      <c r="S65" s="45" t="s">
        <v>1969</v>
      </c>
      <c r="T65" s="163">
        <f>AR3</f>
        <v>0</v>
      </c>
      <c r="U65" s="2" t="s">
        <v>1885</v>
      </c>
    </row>
    <row r="66" spans="2:21" s="112" customFormat="1" hidden="1">
      <c r="B66" s="45"/>
      <c r="C66" s="45">
        <f t="shared" si="10"/>
        <v>3158</v>
      </c>
      <c r="D66" s="45">
        <f t="shared" si="11"/>
        <v>5</v>
      </c>
      <c r="E66" s="45">
        <f t="shared" si="13"/>
        <v>2017</v>
      </c>
      <c r="F66" s="45">
        <f t="shared" si="20"/>
        <v>0</v>
      </c>
      <c r="G66" s="45" t="s">
        <v>448</v>
      </c>
      <c r="H66" s="45" t="s">
        <v>450</v>
      </c>
      <c r="I66" s="162" t="str">
        <f t="shared" si="21"/>
        <v/>
      </c>
      <c r="J66" s="11" t="s">
        <v>517</v>
      </c>
      <c r="K66" s="675">
        <v>2096</v>
      </c>
      <c r="L66" s="674" t="s">
        <v>2102</v>
      </c>
      <c r="Q66" s="45">
        <v>1</v>
      </c>
      <c r="R66" s="45" t="s">
        <v>1841</v>
      </c>
      <c r="S66" s="45" t="s">
        <v>1970</v>
      </c>
      <c r="T66" s="163">
        <f>AS3</f>
        <v>0</v>
      </c>
      <c r="U66" s="2" t="s">
        <v>1886</v>
      </c>
    </row>
    <row r="67" spans="2:21" s="112" customFormat="1" hidden="1">
      <c r="B67" s="45"/>
      <c r="C67" s="45">
        <f t="shared" si="10"/>
        <v>3158</v>
      </c>
      <c r="D67" s="45">
        <f t="shared" si="11"/>
        <v>5</v>
      </c>
      <c r="E67" s="45">
        <f t="shared" si="13"/>
        <v>2017</v>
      </c>
      <c r="F67" s="45">
        <f t="shared" si="20"/>
        <v>0</v>
      </c>
      <c r="G67" s="45" t="s">
        <v>448</v>
      </c>
      <c r="H67" s="45" t="s">
        <v>451</v>
      </c>
      <c r="I67" s="162" t="str">
        <f t="shared" si="21"/>
        <v/>
      </c>
      <c r="J67" s="11" t="s">
        <v>518</v>
      </c>
      <c r="K67" s="673">
        <v>2097</v>
      </c>
      <c r="L67" s="674" t="s">
        <v>4</v>
      </c>
      <c r="Q67" s="45">
        <v>1</v>
      </c>
      <c r="R67" s="45" t="s">
        <v>1841</v>
      </c>
      <c r="S67" s="45" t="s">
        <v>1971</v>
      </c>
      <c r="T67" s="163">
        <f>AT3</f>
        <v>0</v>
      </c>
      <c r="U67" s="2" t="s">
        <v>1887</v>
      </c>
    </row>
    <row r="68" spans="2:21" s="112" customFormat="1" hidden="1">
      <c r="B68" s="45"/>
      <c r="C68" s="45">
        <f t="shared" si="10"/>
        <v>3158</v>
      </c>
      <c r="D68" s="45">
        <f t="shared" si="11"/>
        <v>5</v>
      </c>
      <c r="E68" s="45">
        <f t="shared" si="13"/>
        <v>2017</v>
      </c>
      <c r="F68" s="45">
        <f t="shared" si="20"/>
        <v>0</v>
      </c>
      <c r="G68" s="45" t="s">
        <v>448</v>
      </c>
      <c r="H68" s="45" t="s">
        <v>452</v>
      </c>
      <c r="I68" s="162" t="str">
        <f t="shared" si="21"/>
        <v/>
      </c>
      <c r="J68" s="11" t="s">
        <v>519</v>
      </c>
      <c r="K68" s="675">
        <v>2098</v>
      </c>
      <c r="L68" s="674" t="s">
        <v>2114</v>
      </c>
      <c r="Q68" s="45">
        <v>1</v>
      </c>
      <c r="R68" s="45" t="s">
        <v>1841</v>
      </c>
      <c r="S68" s="45" t="s">
        <v>1972</v>
      </c>
      <c r="T68" s="163">
        <f>AU3</f>
        <v>0</v>
      </c>
      <c r="U68" s="2" t="s">
        <v>1888</v>
      </c>
    </row>
    <row r="69" spans="2:21" s="112" customFormat="1" hidden="1">
      <c r="B69" s="45"/>
      <c r="C69" s="45">
        <f t="shared" si="10"/>
        <v>3158</v>
      </c>
      <c r="D69" s="45">
        <f t="shared" si="11"/>
        <v>5</v>
      </c>
      <c r="E69" s="45">
        <f t="shared" si="13"/>
        <v>2017</v>
      </c>
      <c r="F69" s="45">
        <f t="shared" si="20"/>
        <v>0</v>
      </c>
      <c r="G69" s="45" t="s">
        <v>448</v>
      </c>
      <c r="H69" s="45" t="s">
        <v>453</v>
      </c>
      <c r="I69" s="162" t="str">
        <f t="shared" si="21"/>
        <v/>
      </c>
      <c r="J69" s="11" t="s">
        <v>520</v>
      </c>
      <c r="K69" s="675">
        <v>2102</v>
      </c>
      <c r="L69" s="674" t="s">
        <v>2111</v>
      </c>
      <c r="Q69" s="45">
        <v>1</v>
      </c>
      <c r="R69" s="45" t="s">
        <v>1841</v>
      </c>
      <c r="S69" s="45" t="s">
        <v>1973</v>
      </c>
      <c r="T69" s="163">
        <f>AV3</f>
        <v>0</v>
      </c>
      <c r="U69" s="2" t="s">
        <v>1889</v>
      </c>
    </row>
    <row r="70" spans="2:21" s="112" customFormat="1" hidden="1">
      <c r="B70" s="45"/>
      <c r="C70" s="45">
        <f t="shared" si="10"/>
        <v>3158</v>
      </c>
      <c r="D70" s="45">
        <f t="shared" si="11"/>
        <v>5</v>
      </c>
      <c r="E70" s="45">
        <f t="shared" si="13"/>
        <v>2017</v>
      </c>
      <c r="F70" s="45">
        <f t="shared" si="20"/>
        <v>0</v>
      </c>
      <c r="G70" s="45" t="s">
        <v>448</v>
      </c>
      <c r="H70" s="45" t="s">
        <v>454</v>
      </c>
      <c r="I70" s="162" t="str">
        <f t="shared" si="21"/>
        <v/>
      </c>
      <c r="J70" s="11" t="s">
        <v>521</v>
      </c>
      <c r="K70" s="673">
        <v>2103</v>
      </c>
      <c r="L70" s="674" t="s">
        <v>1798</v>
      </c>
      <c r="Q70" s="45">
        <v>1</v>
      </c>
      <c r="R70" s="45" t="s">
        <v>1841</v>
      </c>
      <c r="S70" s="45" t="s">
        <v>1974</v>
      </c>
      <c r="T70" s="163">
        <f>AW3</f>
        <v>0</v>
      </c>
      <c r="U70" s="2" t="s">
        <v>1890</v>
      </c>
    </row>
    <row r="71" spans="2:21" s="112" customFormat="1" hidden="1">
      <c r="B71" s="45"/>
      <c r="C71" s="45">
        <f t="shared" si="10"/>
        <v>3158</v>
      </c>
      <c r="D71" s="45">
        <f t="shared" si="11"/>
        <v>5</v>
      </c>
      <c r="E71" s="45">
        <f t="shared" si="13"/>
        <v>2017</v>
      </c>
      <c r="F71" s="45">
        <f t="shared" si="20"/>
        <v>0</v>
      </c>
      <c r="G71" s="45" t="s">
        <v>448</v>
      </c>
      <c r="H71" s="45" t="s">
        <v>455</v>
      </c>
      <c r="I71" s="162" t="str">
        <f t="shared" si="21"/>
        <v/>
      </c>
      <c r="J71" s="11" t="s">
        <v>522</v>
      </c>
      <c r="K71" s="673">
        <v>2117</v>
      </c>
      <c r="L71" s="674" t="s">
        <v>1569</v>
      </c>
      <c r="Q71" s="45">
        <v>1</v>
      </c>
      <c r="R71" s="45" t="s">
        <v>1841</v>
      </c>
      <c r="S71" s="45" t="s">
        <v>1975</v>
      </c>
      <c r="T71" s="163">
        <f>AX3</f>
        <v>0</v>
      </c>
      <c r="U71" s="2" t="s">
        <v>1891</v>
      </c>
    </row>
    <row r="72" spans="2:21" s="112" customFormat="1" hidden="1">
      <c r="B72" s="45"/>
      <c r="C72" s="45">
        <f t="shared" si="10"/>
        <v>3158</v>
      </c>
      <c r="D72" s="45">
        <f t="shared" si="11"/>
        <v>5</v>
      </c>
      <c r="E72" s="45">
        <f t="shared" si="13"/>
        <v>2017</v>
      </c>
      <c r="F72" s="45">
        <f t="shared" si="20"/>
        <v>0</v>
      </c>
      <c r="G72" s="45" t="s">
        <v>448</v>
      </c>
      <c r="H72" s="45" t="s">
        <v>456</v>
      </c>
      <c r="I72" s="162" t="str">
        <f t="shared" si="21"/>
        <v/>
      </c>
      <c r="J72" s="11" t="s">
        <v>523</v>
      </c>
      <c r="K72" s="675">
        <v>2119</v>
      </c>
      <c r="L72" s="674" t="s">
        <v>2093</v>
      </c>
      <c r="Q72" s="45">
        <v>1</v>
      </c>
      <c r="R72" s="45" t="s">
        <v>1841</v>
      </c>
      <c r="S72" s="45" t="s">
        <v>1976</v>
      </c>
      <c r="T72" s="163">
        <f>AY3</f>
        <v>0</v>
      </c>
      <c r="U72" s="2" t="s">
        <v>1892</v>
      </c>
    </row>
    <row r="73" spans="2:21" s="112" customFormat="1" hidden="1">
      <c r="B73" s="45"/>
      <c r="C73" s="45">
        <f t="shared" si="10"/>
        <v>3158</v>
      </c>
      <c r="D73" s="45">
        <f t="shared" si="11"/>
        <v>5</v>
      </c>
      <c r="E73" s="45">
        <f t="shared" si="13"/>
        <v>2017</v>
      </c>
      <c r="F73" s="45">
        <f t="shared" si="20"/>
        <v>0</v>
      </c>
      <c r="G73" s="45" t="s">
        <v>448</v>
      </c>
      <c r="H73" s="45" t="s">
        <v>457</v>
      </c>
      <c r="I73" s="162" t="str">
        <f t="shared" si="21"/>
        <v/>
      </c>
      <c r="J73" s="11" t="s">
        <v>524</v>
      </c>
      <c r="K73" s="673">
        <v>2120</v>
      </c>
      <c r="L73" s="674" t="s">
        <v>1570</v>
      </c>
      <c r="Q73" s="45">
        <v>1</v>
      </c>
      <c r="R73" s="45" t="s">
        <v>1841</v>
      </c>
      <c r="S73" s="45" t="s">
        <v>1977</v>
      </c>
      <c r="T73" s="163">
        <f>AZ3</f>
        <v>0</v>
      </c>
      <c r="U73" s="2" t="s">
        <v>1893</v>
      </c>
    </row>
    <row r="74" spans="2:21" s="112" customFormat="1" hidden="1">
      <c r="B74" s="45"/>
      <c r="C74" s="45">
        <f t="shared" si="10"/>
        <v>3158</v>
      </c>
      <c r="D74" s="45">
        <f t="shared" si="11"/>
        <v>5</v>
      </c>
      <c r="E74" s="45">
        <f t="shared" si="13"/>
        <v>2017</v>
      </c>
      <c r="F74" s="45">
        <f t="shared" si="20"/>
        <v>0</v>
      </c>
      <c r="G74" s="45" t="s">
        <v>448</v>
      </c>
      <c r="H74" s="45" t="s">
        <v>458</v>
      </c>
      <c r="I74" s="162" t="str">
        <f t="shared" si="21"/>
        <v/>
      </c>
      <c r="J74" s="11" t="s">
        <v>525</v>
      </c>
      <c r="K74" s="673">
        <v>2122</v>
      </c>
      <c r="L74" s="674" t="s">
        <v>176</v>
      </c>
      <c r="Q74" s="45">
        <v>1</v>
      </c>
      <c r="R74" s="45" t="s">
        <v>1841</v>
      </c>
      <c r="S74" s="45" t="s">
        <v>1978</v>
      </c>
      <c r="T74" s="163">
        <f>BA3</f>
        <v>0</v>
      </c>
      <c r="U74" s="2" t="s">
        <v>1894</v>
      </c>
    </row>
    <row r="75" spans="2:21" s="112" customFormat="1" hidden="1">
      <c r="B75" s="45"/>
      <c r="C75" s="45">
        <f t="shared" si="10"/>
        <v>3158</v>
      </c>
      <c r="D75" s="45">
        <f t="shared" si="11"/>
        <v>5</v>
      </c>
      <c r="E75" s="45">
        <f t="shared" si="13"/>
        <v>2017</v>
      </c>
      <c r="F75" s="45">
        <f t="shared" si="20"/>
        <v>0</v>
      </c>
      <c r="G75" s="45" t="s">
        <v>448</v>
      </c>
      <c r="H75" s="45" t="s">
        <v>460</v>
      </c>
      <c r="I75" s="162" t="str">
        <f t="shared" si="21"/>
        <v/>
      </c>
      <c r="J75" s="11" t="s">
        <v>526</v>
      </c>
      <c r="K75" s="673">
        <v>2123</v>
      </c>
      <c r="L75" s="674" t="s">
        <v>177</v>
      </c>
      <c r="Q75" s="45">
        <v>1</v>
      </c>
      <c r="R75" s="45" t="s">
        <v>1841</v>
      </c>
      <c r="S75" s="45" t="s">
        <v>1979</v>
      </c>
      <c r="T75" s="163">
        <f>BB3</f>
        <v>0</v>
      </c>
      <c r="U75" s="2" t="s">
        <v>1895</v>
      </c>
    </row>
    <row r="76" spans="2:21" s="112" customFormat="1" hidden="1">
      <c r="B76" s="45"/>
      <c r="C76" s="45">
        <f t="shared" si="10"/>
        <v>3158</v>
      </c>
      <c r="D76" s="45">
        <f t="shared" si="11"/>
        <v>5</v>
      </c>
      <c r="E76" s="45">
        <f t="shared" si="13"/>
        <v>2017</v>
      </c>
      <c r="F76" s="45">
        <f t="shared" ref="F76:F86" si="22">H$3</f>
        <v>0</v>
      </c>
      <c r="G76" s="45" t="s">
        <v>448</v>
      </c>
      <c r="H76" s="45" t="s">
        <v>449</v>
      </c>
      <c r="I76" s="162" t="str">
        <f t="shared" ref="I76:I86" si="23">IF(ISBLANK(H4),"",H4)</f>
        <v/>
      </c>
      <c r="J76" s="11" t="s">
        <v>527</v>
      </c>
      <c r="K76" s="673">
        <v>2124</v>
      </c>
      <c r="L76" s="674" t="s">
        <v>178</v>
      </c>
      <c r="Q76" s="45">
        <v>1</v>
      </c>
      <c r="R76" s="45" t="s">
        <v>1841</v>
      </c>
      <c r="S76" s="45" t="s">
        <v>1980</v>
      </c>
      <c r="T76" s="163">
        <f>BC3</f>
        <v>0</v>
      </c>
      <c r="U76" s="2" t="s">
        <v>1896</v>
      </c>
    </row>
    <row r="77" spans="2:21" s="112" customFormat="1" hidden="1">
      <c r="B77" s="45"/>
      <c r="C77" s="45">
        <f t="shared" si="10"/>
        <v>3158</v>
      </c>
      <c r="D77" s="45">
        <f t="shared" si="11"/>
        <v>5</v>
      </c>
      <c r="E77" s="45">
        <f t="shared" si="13"/>
        <v>2017</v>
      </c>
      <c r="F77" s="45">
        <f t="shared" si="22"/>
        <v>0</v>
      </c>
      <c r="G77" s="45" t="s">
        <v>448</v>
      </c>
      <c r="H77" s="45" t="s">
        <v>450</v>
      </c>
      <c r="I77" s="162" t="str">
        <f t="shared" si="23"/>
        <v/>
      </c>
      <c r="J77" s="11" t="s">
        <v>528</v>
      </c>
      <c r="K77" s="675">
        <v>2125</v>
      </c>
      <c r="L77" s="674" t="s">
        <v>2094</v>
      </c>
      <c r="Q77" s="45">
        <v>1</v>
      </c>
      <c r="R77" s="45" t="s">
        <v>1841</v>
      </c>
      <c r="S77" s="45" t="s">
        <v>1981</v>
      </c>
      <c r="T77" s="163">
        <f>BD3</f>
        <v>0</v>
      </c>
      <c r="U77" s="2" t="s">
        <v>1897</v>
      </c>
    </row>
    <row r="78" spans="2:21" s="112" customFormat="1" hidden="1">
      <c r="B78" s="45"/>
      <c r="C78" s="45">
        <f t="shared" si="10"/>
        <v>3158</v>
      </c>
      <c r="D78" s="45">
        <f t="shared" si="11"/>
        <v>5</v>
      </c>
      <c r="E78" s="45">
        <f t="shared" si="13"/>
        <v>2017</v>
      </c>
      <c r="F78" s="45">
        <f t="shared" si="22"/>
        <v>0</v>
      </c>
      <c r="G78" s="45" t="s">
        <v>448</v>
      </c>
      <c r="H78" s="45" t="s">
        <v>451</v>
      </c>
      <c r="I78" s="162" t="str">
        <f t="shared" si="23"/>
        <v/>
      </c>
      <c r="J78" s="11" t="s">
        <v>529</v>
      </c>
      <c r="K78" s="673">
        <v>2129</v>
      </c>
      <c r="L78" s="674" t="s">
        <v>179</v>
      </c>
      <c r="Q78" s="45">
        <v>1</v>
      </c>
      <c r="R78" s="45" t="s">
        <v>1841</v>
      </c>
      <c r="S78" s="45" t="s">
        <v>1982</v>
      </c>
      <c r="T78" s="163">
        <f>BE3</f>
        <v>0</v>
      </c>
      <c r="U78" s="2" t="s">
        <v>1898</v>
      </c>
    </row>
    <row r="79" spans="2:21" s="112" customFormat="1" hidden="1">
      <c r="B79" s="45"/>
      <c r="C79" s="45">
        <f t="shared" si="10"/>
        <v>3158</v>
      </c>
      <c r="D79" s="45">
        <f t="shared" si="11"/>
        <v>5</v>
      </c>
      <c r="E79" s="45">
        <f t="shared" si="13"/>
        <v>2017</v>
      </c>
      <c r="F79" s="45">
        <f t="shared" si="22"/>
        <v>0</v>
      </c>
      <c r="G79" s="45" t="s">
        <v>448</v>
      </c>
      <c r="H79" s="45" t="s">
        <v>452</v>
      </c>
      <c r="I79" s="162" t="str">
        <f t="shared" si="23"/>
        <v/>
      </c>
      <c r="J79" s="11" t="s">
        <v>530</v>
      </c>
      <c r="K79" s="673">
        <v>2134</v>
      </c>
      <c r="L79" s="674" t="s">
        <v>1799</v>
      </c>
      <c r="Q79" s="45">
        <v>1</v>
      </c>
      <c r="R79" s="45" t="s">
        <v>1841</v>
      </c>
      <c r="S79" s="45" t="s">
        <v>1983</v>
      </c>
      <c r="T79" s="163">
        <f>BF3</f>
        <v>0</v>
      </c>
      <c r="U79" s="2" t="s">
        <v>1899</v>
      </c>
    </row>
    <row r="80" spans="2:21" s="112" customFormat="1" hidden="1">
      <c r="B80" s="45"/>
      <c r="C80" s="45">
        <f t="shared" si="10"/>
        <v>3158</v>
      </c>
      <c r="D80" s="45">
        <f t="shared" si="11"/>
        <v>5</v>
      </c>
      <c r="E80" s="45">
        <f t="shared" si="13"/>
        <v>2017</v>
      </c>
      <c r="F80" s="45">
        <f t="shared" si="22"/>
        <v>0</v>
      </c>
      <c r="G80" s="45" t="s">
        <v>448</v>
      </c>
      <c r="H80" s="45" t="s">
        <v>453</v>
      </c>
      <c r="I80" s="162" t="str">
        <f t="shared" si="23"/>
        <v/>
      </c>
      <c r="J80" s="11" t="s">
        <v>531</v>
      </c>
      <c r="K80" s="673">
        <v>2135</v>
      </c>
      <c r="L80" s="674" t="s">
        <v>180</v>
      </c>
      <c r="Q80" s="45">
        <v>1</v>
      </c>
      <c r="R80" s="45" t="s">
        <v>1841</v>
      </c>
      <c r="S80" s="45" t="s">
        <v>1984</v>
      </c>
      <c r="T80" s="163">
        <f>BG3</f>
        <v>0</v>
      </c>
      <c r="U80" s="2" t="s">
        <v>1900</v>
      </c>
    </row>
    <row r="81" spans="2:21" s="112" customFormat="1" hidden="1">
      <c r="B81" s="45"/>
      <c r="C81" s="45">
        <f t="shared" si="10"/>
        <v>3158</v>
      </c>
      <c r="D81" s="45">
        <f t="shared" si="11"/>
        <v>5</v>
      </c>
      <c r="E81" s="45">
        <f t="shared" si="13"/>
        <v>2017</v>
      </c>
      <c r="F81" s="45">
        <f t="shared" si="22"/>
        <v>0</v>
      </c>
      <c r="G81" s="45" t="s">
        <v>448</v>
      </c>
      <c r="H81" s="45" t="s">
        <v>454</v>
      </c>
      <c r="I81" s="162" t="str">
        <f t="shared" si="23"/>
        <v/>
      </c>
      <c r="J81" s="11" t="s">
        <v>532</v>
      </c>
      <c r="K81" s="673">
        <v>2136</v>
      </c>
      <c r="L81" s="674" t="s">
        <v>181</v>
      </c>
      <c r="Q81" s="45">
        <v>1</v>
      </c>
      <c r="R81" s="45" t="s">
        <v>1841</v>
      </c>
      <c r="S81" s="45" t="s">
        <v>1985</v>
      </c>
      <c r="T81" s="163">
        <f>BH3</f>
        <v>0</v>
      </c>
      <c r="U81" s="2" t="s">
        <v>1901</v>
      </c>
    </row>
    <row r="82" spans="2:21" s="112" customFormat="1" hidden="1">
      <c r="B82" s="45"/>
      <c r="C82" s="45">
        <f t="shared" si="10"/>
        <v>3158</v>
      </c>
      <c r="D82" s="45">
        <f t="shared" si="11"/>
        <v>5</v>
      </c>
      <c r="E82" s="45">
        <f t="shared" si="13"/>
        <v>2017</v>
      </c>
      <c r="F82" s="45">
        <f t="shared" si="22"/>
        <v>0</v>
      </c>
      <c r="G82" s="45" t="s">
        <v>448</v>
      </c>
      <c r="H82" s="45" t="s">
        <v>455</v>
      </c>
      <c r="I82" s="162" t="str">
        <f t="shared" si="23"/>
        <v/>
      </c>
      <c r="J82" s="11" t="s">
        <v>533</v>
      </c>
      <c r="K82" s="673">
        <v>2139</v>
      </c>
      <c r="L82" s="674" t="s">
        <v>182</v>
      </c>
      <c r="Q82" s="45">
        <v>1</v>
      </c>
      <c r="R82" s="45" t="s">
        <v>1841</v>
      </c>
      <c r="S82" s="45" t="s">
        <v>1986</v>
      </c>
      <c r="T82" s="163">
        <f>BI3</f>
        <v>0</v>
      </c>
      <c r="U82" s="2" t="s">
        <v>1902</v>
      </c>
    </row>
    <row r="83" spans="2:21" s="112" customFormat="1" hidden="1">
      <c r="B83" s="45"/>
      <c r="C83" s="45">
        <f t="shared" si="10"/>
        <v>3158</v>
      </c>
      <c r="D83" s="45">
        <f t="shared" si="11"/>
        <v>5</v>
      </c>
      <c r="E83" s="45">
        <f t="shared" si="13"/>
        <v>2017</v>
      </c>
      <c r="F83" s="45">
        <f t="shared" si="22"/>
        <v>0</v>
      </c>
      <c r="G83" s="45" t="s">
        <v>448</v>
      </c>
      <c r="H83" s="45" t="s">
        <v>456</v>
      </c>
      <c r="I83" s="162" t="str">
        <f t="shared" si="23"/>
        <v/>
      </c>
      <c r="J83" s="11" t="s">
        <v>534</v>
      </c>
      <c r="K83" s="675">
        <v>2140</v>
      </c>
      <c r="L83" s="674" t="s">
        <v>2097</v>
      </c>
      <c r="Q83" s="45">
        <v>1</v>
      </c>
      <c r="R83" s="45" t="s">
        <v>1841</v>
      </c>
      <c r="S83" s="45" t="s">
        <v>1987</v>
      </c>
      <c r="T83" s="163">
        <f>BJ3</f>
        <v>0</v>
      </c>
      <c r="U83" s="2" t="s">
        <v>1903</v>
      </c>
    </row>
    <row r="84" spans="2:21" s="112" customFormat="1" hidden="1">
      <c r="B84" s="45"/>
      <c r="C84" s="45">
        <f t="shared" si="10"/>
        <v>3158</v>
      </c>
      <c r="D84" s="45">
        <f t="shared" si="11"/>
        <v>5</v>
      </c>
      <c r="E84" s="45">
        <f t="shared" si="13"/>
        <v>2017</v>
      </c>
      <c r="F84" s="45">
        <f t="shared" si="22"/>
        <v>0</v>
      </c>
      <c r="G84" s="45" t="s">
        <v>448</v>
      </c>
      <c r="H84" s="45" t="s">
        <v>457</v>
      </c>
      <c r="I84" s="162" t="str">
        <f t="shared" si="23"/>
        <v/>
      </c>
      <c r="J84" s="11" t="s">
        <v>535</v>
      </c>
      <c r="K84" s="673">
        <v>2141</v>
      </c>
      <c r="L84" s="674" t="s">
        <v>183</v>
      </c>
      <c r="Q84" s="45">
        <v>1</v>
      </c>
      <c r="R84" s="45" t="s">
        <v>1841</v>
      </c>
      <c r="S84" s="45" t="s">
        <v>1988</v>
      </c>
      <c r="T84" s="163">
        <f>BK3</f>
        <v>0</v>
      </c>
      <c r="U84" s="2" t="s">
        <v>1904</v>
      </c>
    </row>
    <row r="85" spans="2:21" s="112" customFormat="1" hidden="1">
      <c r="B85" s="45"/>
      <c r="C85" s="45">
        <f t="shared" si="10"/>
        <v>3158</v>
      </c>
      <c r="D85" s="45">
        <f t="shared" si="11"/>
        <v>5</v>
      </c>
      <c r="E85" s="45">
        <f t="shared" si="13"/>
        <v>2017</v>
      </c>
      <c r="F85" s="45">
        <f t="shared" si="22"/>
        <v>0</v>
      </c>
      <c r="G85" s="45" t="s">
        <v>448</v>
      </c>
      <c r="H85" s="45" t="s">
        <v>458</v>
      </c>
      <c r="I85" s="162" t="str">
        <f t="shared" si="23"/>
        <v/>
      </c>
      <c r="J85" s="11" t="s">
        <v>536</v>
      </c>
      <c r="K85" s="673">
        <v>2144</v>
      </c>
      <c r="L85" s="674" t="s">
        <v>1800</v>
      </c>
      <c r="Q85" s="45">
        <v>1</v>
      </c>
      <c r="R85" s="45" t="s">
        <v>1841</v>
      </c>
      <c r="S85" s="45" t="s">
        <v>1989</v>
      </c>
      <c r="T85" s="163">
        <f>BL3</f>
        <v>0</v>
      </c>
      <c r="U85" s="2" t="s">
        <v>1905</v>
      </c>
    </row>
    <row r="86" spans="2:21" s="112" customFormat="1" hidden="1">
      <c r="B86" s="45"/>
      <c r="C86" s="45">
        <f t="shared" ref="C86:C149" si="24">H$1</f>
        <v>3158</v>
      </c>
      <c r="D86" s="45">
        <f t="shared" ref="D86:D149" si="25">K$1</f>
        <v>5</v>
      </c>
      <c r="E86" s="45">
        <f t="shared" si="13"/>
        <v>2017</v>
      </c>
      <c r="F86" s="45">
        <f t="shared" si="22"/>
        <v>0</v>
      </c>
      <c r="G86" s="45" t="s">
        <v>448</v>
      </c>
      <c r="H86" s="45" t="s">
        <v>460</v>
      </c>
      <c r="I86" s="162" t="str">
        <f t="shared" si="23"/>
        <v/>
      </c>
      <c r="J86" s="11" t="s">
        <v>537</v>
      </c>
      <c r="K86" s="673">
        <v>2145</v>
      </c>
      <c r="L86" s="674" t="s">
        <v>5</v>
      </c>
      <c r="Q86" s="45">
        <v>1</v>
      </c>
      <c r="R86" s="45" t="s">
        <v>1841</v>
      </c>
      <c r="S86" s="45" t="s">
        <v>1990</v>
      </c>
      <c r="T86" s="163">
        <f>BM3</f>
        <v>0</v>
      </c>
      <c r="U86" s="2" t="s">
        <v>1906</v>
      </c>
    </row>
    <row r="87" spans="2:21" s="112" customFormat="1" hidden="1">
      <c r="B87" s="45"/>
      <c r="C87" s="45">
        <f t="shared" si="24"/>
        <v>3158</v>
      </c>
      <c r="D87" s="45">
        <f t="shared" si="25"/>
        <v>5</v>
      </c>
      <c r="E87" s="45">
        <f t="shared" si="13"/>
        <v>2017</v>
      </c>
      <c r="F87" s="45">
        <f t="shared" ref="F87:F97" si="26">I$3</f>
        <v>0</v>
      </c>
      <c r="G87" s="45" t="s">
        <v>448</v>
      </c>
      <c r="H87" s="45" t="s">
        <v>449</v>
      </c>
      <c r="I87" s="162" t="str">
        <f t="shared" ref="I87:I97" si="27">IF(ISBLANK(I4),"",I4)</f>
        <v/>
      </c>
      <c r="J87" s="11" t="s">
        <v>538</v>
      </c>
      <c r="K87" s="675">
        <v>2146</v>
      </c>
      <c r="L87" s="674" t="s">
        <v>2079</v>
      </c>
      <c r="Q87" s="45">
        <v>1</v>
      </c>
      <c r="R87" s="45" t="s">
        <v>1841</v>
      </c>
      <c r="S87" s="45" t="s">
        <v>1991</v>
      </c>
      <c r="T87" s="163">
        <f>BN3</f>
        <v>0</v>
      </c>
      <c r="U87" s="2" t="s">
        <v>1907</v>
      </c>
    </row>
    <row r="88" spans="2:21" s="112" customFormat="1" hidden="1">
      <c r="B88" s="45"/>
      <c r="C88" s="45">
        <f t="shared" si="24"/>
        <v>3158</v>
      </c>
      <c r="D88" s="45">
        <f t="shared" si="25"/>
        <v>5</v>
      </c>
      <c r="E88" s="45">
        <f t="shared" ref="E88:E151" si="28">D$1</f>
        <v>2017</v>
      </c>
      <c r="F88" s="45">
        <f t="shared" si="26"/>
        <v>0</v>
      </c>
      <c r="G88" s="45" t="s">
        <v>448</v>
      </c>
      <c r="H88" s="45" t="s">
        <v>450</v>
      </c>
      <c r="I88" s="162" t="str">
        <f t="shared" si="27"/>
        <v/>
      </c>
      <c r="J88" s="11" t="s">
        <v>539</v>
      </c>
      <c r="K88" s="673">
        <v>2147</v>
      </c>
      <c r="L88" s="674" t="s">
        <v>1801</v>
      </c>
      <c r="Q88" s="45">
        <v>1</v>
      </c>
      <c r="R88" s="45" t="s">
        <v>1841</v>
      </c>
      <c r="S88" s="45" t="s">
        <v>1992</v>
      </c>
      <c r="T88" s="163">
        <f>BO3</f>
        <v>0</v>
      </c>
      <c r="U88" s="2" t="s">
        <v>1908</v>
      </c>
    </row>
    <row r="89" spans="2:21" s="112" customFormat="1" hidden="1">
      <c r="B89" s="45"/>
      <c r="C89" s="45">
        <f t="shared" si="24"/>
        <v>3158</v>
      </c>
      <c r="D89" s="45">
        <f t="shared" si="25"/>
        <v>5</v>
      </c>
      <c r="E89" s="45">
        <f t="shared" si="28"/>
        <v>2017</v>
      </c>
      <c r="F89" s="45">
        <f t="shared" si="26"/>
        <v>0</v>
      </c>
      <c r="G89" s="45" t="s">
        <v>448</v>
      </c>
      <c r="H89" s="45" t="s">
        <v>451</v>
      </c>
      <c r="I89" s="162" t="str">
        <f t="shared" si="27"/>
        <v/>
      </c>
      <c r="J89" s="11" t="s">
        <v>540</v>
      </c>
      <c r="K89" s="673">
        <v>2149</v>
      </c>
      <c r="L89" s="674" t="s">
        <v>184</v>
      </c>
      <c r="Q89" s="45">
        <v>1</v>
      </c>
      <c r="R89" s="45" t="s">
        <v>1841</v>
      </c>
      <c r="S89" s="45" t="s">
        <v>1993</v>
      </c>
      <c r="T89" s="163">
        <f>BP3</f>
        <v>0</v>
      </c>
      <c r="U89" s="2" t="s">
        <v>1909</v>
      </c>
    </row>
    <row r="90" spans="2:21" s="112" customFormat="1" hidden="1">
      <c r="B90" s="45"/>
      <c r="C90" s="45">
        <f t="shared" si="24"/>
        <v>3158</v>
      </c>
      <c r="D90" s="45">
        <f t="shared" si="25"/>
        <v>5</v>
      </c>
      <c r="E90" s="45">
        <f t="shared" si="28"/>
        <v>2017</v>
      </c>
      <c r="F90" s="45">
        <f t="shared" si="26"/>
        <v>0</v>
      </c>
      <c r="G90" s="45" t="s">
        <v>448</v>
      </c>
      <c r="H90" s="45" t="s">
        <v>452</v>
      </c>
      <c r="I90" s="162" t="str">
        <f t="shared" si="27"/>
        <v/>
      </c>
      <c r="J90" s="11" t="s">
        <v>541</v>
      </c>
      <c r="K90" s="675">
        <v>2151</v>
      </c>
      <c r="L90" s="674" t="s">
        <v>2092</v>
      </c>
      <c r="Q90" s="45">
        <v>1</v>
      </c>
      <c r="R90" s="45" t="s">
        <v>1841</v>
      </c>
      <c r="S90" s="45" t="s">
        <v>1994</v>
      </c>
      <c r="T90" s="163">
        <f>BQ3</f>
        <v>0</v>
      </c>
      <c r="U90" s="2" t="s">
        <v>1910</v>
      </c>
    </row>
    <row r="91" spans="2:21" s="112" customFormat="1" hidden="1">
      <c r="B91" s="45"/>
      <c r="C91" s="45">
        <f t="shared" si="24"/>
        <v>3158</v>
      </c>
      <c r="D91" s="45">
        <f t="shared" si="25"/>
        <v>5</v>
      </c>
      <c r="E91" s="45">
        <f t="shared" si="28"/>
        <v>2017</v>
      </c>
      <c r="F91" s="45">
        <f t="shared" si="26"/>
        <v>0</v>
      </c>
      <c r="G91" s="45" t="s">
        <v>448</v>
      </c>
      <c r="H91" s="45" t="s">
        <v>453</v>
      </c>
      <c r="I91" s="162" t="str">
        <f t="shared" si="27"/>
        <v/>
      </c>
      <c r="J91" s="11" t="s">
        <v>542</v>
      </c>
      <c r="K91" s="673">
        <v>2155</v>
      </c>
      <c r="L91" s="674" t="s">
        <v>185</v>
      </c>
      <c r="Q91" s="45">
        <v>1</v>
      </c>
      <c r="R91" s="45" t="s">
        <v>1841</v>
      </c>
      <c r="S91" s="45" t="s">
        <v>1995</v>
      </c>
      <c r="T91" s="163">
        <f>BR3</f>
        <v>0</v>
      </c>
      <c r="U91" s="2" t="s">
        <v>1911</v>
      </c>
    </row>
    <row r="92" spans="2:21" s="112" customFormat="1" hidden="1">
      <c r="B92" s="45"/>
      <c r="C92" s="45">
        <f t="shared" si="24"/>
        <v>3158</v>
      </c>
      <c r="D92" s="45">
        <f t="shared" si="25"/>
        <v>5</v>
      </c>
      <c r="E92" s="45">
        <f t="shared" si="28"/>
        <v>2017</v>
      </c>
      <c r="F92" s="45">
        <f t="shared" si="26"/>
        <v>0</v>
      </c>
      <c r="G92" s="45" t="s">
        <v>448</v>
      </c>
      <c r="H92" s="45" t="s">
        <v>454</v>
      </c>
      <c r="I92" s="162" t="str">
        <f t="shared" si="27"/>
        <v/>
      </c>
      <c r="J92" s="11" t="s">
        <v>543</v>
      </c>
      <c r="K92" s="673">
        <v>2157</v>
      </c>
      <c r="L92" s="674" t="s">
        <v>186</v>
      </c>
      <c r="Q92" s="45">
        <v>1</v>
      </c>
      <c r="R92" s="45" t="s">
        <v>1841</v>
      </c>
      <c r="S92" s="45" t="s">
        <v>1996</v>
      </c>
      <c r="T92" s="163">
        <f>BS3</f>
        <v>0</v>
      </c>
      <c r="U92" s="2" t="s">
        <v>1912</v>
      </c>
    </row>
    <row r="93" spans="2:21" s="112" customFormat="1" hidden="1">
      <c r="B93" s="45"/>
      <c r="C93" s="45">
        <f t="shared" si="24"/>
        <v>3158</v>
      </c>
      <c r="D93" s="45">
        <f t="shared" si="25"/>
        <v>5</v>
      </c>
      <c r="E93" s="45">
        <f t="shared" si="28"/>
        <v>2017</v>
      </c>
      <c r="F93" s="45">
        <f t="shared" si="26"/>
        <v>0</v>
      </c>
      <c r="G93" s="45" t="s">
        <v>448</v>
      </c>
      <c r="H93" s="45" t="s">
        <v>455</v>
      </c>
      <c r="I93" s="162" t="str">
        <f t="shared" si="27"/>
        <v/>
      </c>
      <c r="J93" s="11" t="s">
        <v>544</v>
      </c>
      <c r="K93" s="673">
        <v>2158</v>
      </c>
      <c r="L93" s="674" t="s">
        <v>2219</v>
      </c>
      <c r="Q93" s="45">
        <v>1</v>
      </c>
      <c r="R93" s="45" t="s">
        <v>1841</v>
      </c>
      <c r="S93" s="45" t="s">
        <v>1997</v>
      </c>
      <c r="T93" s="163">
        <f>BT3</f>
        <v>0</v>
      </c>
      <c r="U93" s="2" t="s">
        <v>1913</v>
      </c>
    </row>
    <row r="94" spans="2:21" s="112" customFormat="1" hidden="1">
      <c r="B94" s="45"/>
      <c r="C94" s="45">
        <f t="shared" si="24"/>
        <v>3158</v>
      </c>
      <c r="D94" s="45">
        <f t="shared" si="25"/>
        <v>5</v>
      </c>
      <c r="E94" s="45">
        <f t="shared" si="28"/>
        <v>2017</v>
      </c>
      <c r="F94" s="45">
        <f t="shared" si="26"/>
        <v>0</v>
      </c>
      <c r="G94" s="45" t="s">
        <v>448</v>
      </c>
      <c r="H94" s="45" t="s">
        <v>456</v>
      </c>
      <c r="I94" s="162" t="str">
        <f t="shared" si="27"/>
        <v/>
      </c>
      <c r="J94" s="11" t="s">
        <v>545</v>
      </c>
      <c r="K94" s="673">
        <v>2161</v>
      </c>
      <c r="L94" s="674" t="s">
        <v>187</v>
      </c>
      <c r="Q94" s="45">
        <v>1</v>
      </c>
      <c r="R94" s="45" t="s">
        <v>1841</v>
      </c>
      <c r="S94" s="45" t="s">
        <v>1998</v>
      </c>
      <c r="T94" s="163">
        <f>BU3</f>
        <v>0</v>
      </c>
      <c r="U94" s="2" t="s">
        <v>1914</v>
      </c>
    </row>
    <row r="95" spans="2:21" s="112" customFormat="1" hidden="1">
      <c r="B95" s="45"/>
      <c r="C95" s="45">
        <f t="shared" si="24"/>
        <v>3158</v>
      </c>
      <c r="D95" s="45">
        <f t="shared" si="25"/>
        <v>5</v>
      </c>
      <c r="E95" s="45">
        <f t="shared" si="28"/>
        <v>2017</v>
      </c>
      <c r="F95" s="45">
        <f t="shared" si="26"/>
        <v>0</v>
      </c>
      <c r="G95" s="45" t="s">
        <v>448</v>
      </c>
      <c r="H95" s="45" t="s">
        <v>457</v>
      </c>
      <c r="I95" s="162" t="str">
        <f t="shared" si="27"/>
        <v/>
      </c>
      <c r="J95" s="11" t="s">
        <v>546</v>
      </c>
      <c r="K95" s="673">
        <v>2162</v>
      </c>
      <c r="L95" s="674" t="s">
        <v>188</v>
      </c>
      <c r="Q95" s="45">
        <v>1</v>
      </c>
      <c r="R95" s="45" t="s">
        <v>1841</v>
      </c>
      <c r="S95" s="45" t="s">
        <v>1999</v>
      </c>
      <c r="T95" s="163">
        <f>BV3</f>
        <v>0</v>
      </c>
      <c r="U95" s="2" t="s">
        <v>1915</v>
      </c>
    </row>
    <row r="96" spans="2:21" s="112" customFormat="1" hidden="1">
      <c r="B96" s="45"/>
      <c r="C96" s="45">
        <f t="shared" si="24"/>
        <v>3158</v>
      </c>
      <c r="D96" s="45">
        <f t="shared" si="25"/>
        <v>5</v>
      </c>
      <c r="E96" s="45">
        <f t="shared" si="28"/>
        <v>2017</v>
      </c>
      <c r="F96" s="45">
        <f t="shared" si="26"/>
        <v>0</v>
      </c>
      <c r="G96" s="45" t="s">
        <v>448</v>
      </c>
      <c r="H96" s="45" t="s">
        <v>458</v>
      </c>
      <c r="I96" s="162" t="str">
        <f t="shared" si="27"/>
        <v/>
      </c>
      <c r="J96" s="11" t="s">
        <v>547</v>
      </c>
      <c r="K96" s="673">
        <v>2163</v>
      </c>
      <c r="L96" s="674" t="s">
        <v>2057</v>
      </c>
      <c r="Q96" s="45">
        <v>1</v>
      </c>
      <c r="R96" s="45" t="s">
        <v>1841</v>
      </c>
      <c r="S96" s="45" t="s">
        <v>2000</v>
      </c>
      <c r="T96" s="163">
        <f>BW3</f>
        <v>0</v>
      </c>
      <c r="U96" s="2" t="s">
        <v>1916</v>
      </c>
    </row>
    <row r="97" spans="2:21" s="112" customFormat="1" hidden="1">
      <c r="B97" s="45"/>
      <c r="C97" s="45">
        <f t="shared" si="24"/>
        <v>3158</v>
      </c>
      <c r="D97" s="45">
        <f t="shared" si="25"/>
        <v>5</v>
      </c>
      <c r="E97" s="45">
        <f t="shared" si="28"/>
        <v>2017</v>
      </c>
      <c r="F97" s="45">
        <f t="shared" si="26"/>
        <v>0</v>
      </c>
      <c r="G97" s="45" t="s">
        <v>448</v>
      </c>
      <c r="H97" s="45" t="s">
        <v>460</v>
      </c>
      <c r="I97" s="162" t="str">
        <f t="shared" si="27"/>
        <v/>
      </c>
      <c r="J97" s="11" t="s">
        <v>548</v>
      </c>
      <c r="K97" s="673">
        <v>2168</v>
      </c>
      <c r="L97" s="674" t="s">
        <v>1612</v>
      </c>
      <c r="Q97" s="45">
        <v>1</v>
      </c>
      <c r="R97" s="45" t="s">
        <v>1841</v>
      </c>
      <c r="S97" s="45" t="s">
        <v>2001</v>
      </c>
      <c r="T97" s="163">
        <f>BX3</f>
        <v>0</v>
      </c>
      <c r="U97" s="2" t="s">
        <v>1917</v>
      </c>
    </row>
    <row r="98" spans="2:21" s="112" customFormat="1" hidden="1">
      <c r="B98" s="45"/>
      <c r="C98" s="45">
        <f t="shared" si="24"/>
        <v>3158</v>
      </c>
      <c r="D98" s="45">
        <f t="shared" si="25"/>
        <v>5</v>
      </c>
      <c r="E98" s="45">
        <f t="shared" si="28"/>
        <v>2017</v>
      </c>
      <c r="F98" s="45">
        <f t="shared" ref="F98:F108" si="29">J$3</f>
        <v>0</v>
      </c>
      <c r="G98" s="45" t="s">
        <v>448</v>
      </c>
      <c r="H98" s="45" t="s">
        <v>449</v>
      </c>
      <c r="I98" s="162" t="str">
        <f t="shared" ref="I98:I108" si="30">IF(ISBLANK(J4),"",J4)</f>
        <v/>
      </c>
      <c r="J98" s="11" t="s">
        <v>549</v>
      </c>
      <c r="K98" s="675">
        <v>2169</v>
      </c>
      <c r="L98" s="674" t="s">
        <v>2107</v>
      </c>
      <c r="Q98" s="45">
        <v>1</v>
      </c>
      <c r="R98" s="45" t="s">
        <v>1841</v>
      </c>
      <c r="S98" s="45" t="s">
        <v>2002</v>
      </c>
      <c r="T98" s="163">
        <f>BY3</f>
        <v>0</v>
      </c>
      <c r="U98" s="2" t="s">
        <v>1918</v>
      </c>
    </row>
    <row r="99" spans="2:21" s="112" customFormat="1" hidden="1">
      <c r="B99" s="45"/>
      <c r="C99" s="45">
        <f t="shared" si="24"/>
        <v>3158</v>
      </c>
      <c r="D99" s="45">
        <f t="shared" si="25"/>
        <v>5</v>
      </c>
      <c r="E99" s="45">
        <f t="shared" si="28"/>
        <v>2017</v>
      </c>
      <c r="F99" s="45">
        <f t="shared" si="29"/>
        <v>0</v>
      </c>
      <c r="G99" s="45" t="s">
        <v>448</v>
      </c>
      <c r="H99" s="45" t="s">
        <v>450</v>
      </c>
      <c r="I99" s="162" t="str">
        <f t="shared" si="30"/>
        <v/>
      </c>
      <c r="J99" s="11" t="s">
        <v>550</v>
      </c>
      <c r="K99" s="673">
        <v>2171</v>
      </c>
      <c r="L99" s="674" t="s">
        <v>1613</v>
      </c>
      <c r="Q99" s="45">
        <v>1</v>
      </c>
      <c r="R99" s="45" t="s">
        <v>1841</v>
      </c>
      <c r="S99" s="45" t="s">
        <v>2003</v>
      </c>
      <c r="T99" s="163">
        <f>BZ3</f>
        <v>0</v>
      </c>
      <c r="U99" s="2" t="s">
        <v>1919</v>
      </c>
    </row>
    <row r="100" spans="2:21" s="112" customFormat="1" hidden="1">
      <c r="B100" s="45"/>
      <c r="C100" s="45">
        <f t="shared" si="24"/>
        <v>3158</v>
      </c>
      <c r="D100" s="45">
        <f t="shared" si="25"/>
        <v>5</v>
      </c>
      <c r="E100" s="45">
        <f t="shared" si="28"/>
        <v>2017</v>
      </c>
      <c r="F100" s="45">
        <f t="shared" si="29"/>
        <v>0</v>
      </c>
      <c r="G100" s="45" t="s">
        <v>448</v>
      </c>
      <c r="H100" s="45" t="s">
        <v>451</v>
      </c>
      <c r="I100" s="162" t="str">
        <f t="shared" si="30"/>
        <v/>
      </c>
      <c r="J100" s="11" t="s">
        <v>551</v>
      </c>
      <c r="K100" s="673">
        <v>2175</v>
      </c>
      <c r="L100" s="674" t="s">
        <v>2166</v>
      </c>
      <c r="Q100" s="45">
        <v>1</v>
      </c>
      <c r="R100" s="45" t="s">
        <v>1841</v>
      </c>
      <c r="S100" s="45" t="s">
        <v>2004</v>
      </c>
      <c r="T100" s="163">
        <f>CA3</f>
        <v>0</v>
      </c>
      <c r="U100" s="2" t="s">
        <v>1920</v>
      </c>
    </row>
    <row r="101" spans="2:21" s="112" customFormat="1" hidden="1">
      <c r="B101" s="45"/>
      <c r="C101" s="45">
        <f t="shared" si="24"/>
        <v>3158</v>
      </c>
      <c r="D101" s="45">
        <f t="shared" si="25"/>
        <v>5</v>
      </c>
      <c r="E101" s="45">
        <f t="shared" si="28"/>
        <v>2017</v>
      </c>
      <c r="F101" s="45">
        <f t="shared" si="29"/>
        <v>0</v>
      </c>
      <c r="G101" s="45" t="s">
        <v>448</v>
      </c>
      <c r="H101" s="45" t="s">
        <v>452</v>
      </c>
      <c r="I101" s="162" t="str">
        <f t="shared" si="30"/>
        <v/>
      </c>
      <c r="J101" s="11" t="s">
        <v>552</v>
      </c>
      <c r="K101" s="673">
        <v>2180</v>
      </c>
      <c r="L101" s="674" t="s">
        <v>2058</v>
      </c>
      <c r="Q101" s="45">
        <v>1</v>
      </c>
      <c r="R101" s="45" t="s">
        <v>1841</v>
      </c>
      <c r="S101" s="45" t="s">
        <v>2005</v>
      </c>
      <c r="T101" s="163">
        <f>CB3</f>
        <v>0</v>
      </c>
      <c r="U101" s="2" t="s">
        <v>1921</v>
      </c>
    </row>
    <row r="102" spans="2:21" s="112" customFormat="1" hidden="1">
      <c r="B102" s="45"/>
      <c r="C102" s="45">
        <f t="shared" si="24"/>
        <v>3158</v>
      </c>
      <c r="D102" s="45">
        <f t="shared" si="25"/>
        <v>5</v>
      </c>
      <c r="E102" s="45">
        <f t="shared" si="28"/>
        <v>2017</v>
      </c>
      <c r="F102" s="45">
        <f t="shared" si="29"/>
        <v>0</v>
      </c>
      <c r="G102" s="45" t="s">
        <v>448</v>
      </c>
      <c r="H102" s="45" t="s">
        <v>453</v>
      </c>
      <c r="I102" s="162" t="str">
        <f t="shared" si="30"/>
        <v/>
      </c>
      <c r="J102" s="11" t="s">
        <v>553</v>
      </c>
      <c r="K102" s="673">
        <v>2181</v>
      </c>
      <c r="L102" s="674" t="s">
        <v>1614</v>
      </c>
      <c r="Q102" s="45">
        <v>1</v>
      </c>
      <c r="R102" s="45" t="s">
        <v>1841</v>
      </c>
      <c r="S102" s="45" t="s">
        <v>2006</v>
      </c>
      <c r="T102" s="163">
        <f>CC3</f>
        <v>0</v>
      </c>
      <c r="U102" s="2" t="s">
        <v>1922</v>
      </c>
    </row>
    <row r="103" spans="2:21" s="112" customFormat="1" hidden="1">
      <c r="B103" s="45"/>
      <c r="C103" s="45">
        <f t="shared" si="24"/>
        <v>3158</v>
      </c>
      <c r="D103" s="45">
        <f t="shared" si="25"/>
        <v>5</v>
      </c>
      <c r="E103" s="45">
        <f t="shared" si="28"/>
        <v>2017</v>
      </c>
      <c r="F103" s="45">
        <f t="shared" si="29"/>
        <v>0</v>
      </c>
      <c r="G103" s="45" t="s">
        <v>448</v>
      </c>
      <c r="H103" s="45" t="s">
        <v>454</v>
      </c>
      <c r="I103" s="162" t="str">
        <f t="shared" si="30"/>
        <v/>
      </c>
      <c r="J103" s="11" t="s">
        <v>554</v>
      </c>
      <c r="K103" s="673">
        <v>2182</v>
      </c>
      <c r="L103" s="674" t="s">
        <v>1615</v>
      </c>
      <c r="Q103" s="45">
        <v>1</v>
      </c>
      <c r="R103" s="45" t="s">
        <v>1841</v>
      </c>
      <c r="S103" s="45" t="s">
        <v>2007</v>
      </c>
      <c r="T103" s="163">
        <f>CD3</f>
        <v>0</v>
      </c>
      <c r="U103" s="2" t="s">
        <v>1923</v>
      </c>
    </row>
    <row r="104" spans="2:21" s="112" customFormat="1" hidden="1">
      <c r="B104" s="45"/>
      <c r="C104" s="45">
        <f t="shared" si="24"/>
        <v>3158</v>
      </c>
      <c r="D104" s="45">
        <f t="shared" si="25"/>
        <v>5</v>
      </c>
      <c r="E104" s="45">
        <f t="shared" si="28"/>
        <v>2017</v>
      </c>
      <c r="F104" s="45">
        <f t="shared" si="29"/>
        <v>0</v>
      </c>
      <c r="G104" s="45" t="s">
        <v>448</v>
      </c>
      <c r="H104" s="45" t="s">
        <v>455</v>
      </c>
      <c r="I104" s="162" t="str">
        <f t="shared" si="30"/>
        <v/>
      </c>
      <c r="J104" s="11" t="s">
        <v>555</v>
      </c>
      <c r="K104" s="673">
        <v>2185</v>
      </c>
      <c r="L104" s="674" t="s">
        <v>1497</v>
      </c>
    </row>
    <row r="105" spans="2:21" s="112" customFormat="1" hidden="1">
      <c r="B105" s="45"/>
      <c r="C105" s="45">
        <f t="shared" si="24"/>
        <v>3158</v>
      </c>
      <c r="D105" s="45">
        <f t="shared" si="25"/>
        <v>5</v>
      </c>
      <c r="E105" s="45">
        <f t="shared" si="28"/>
        <v>2017</v>
      </c>
      <c r="F105" s="45">
        <f t="shared" si="29"/>
        <v>0</v>
      </c>
      <c r="G105" s="45" t="s">
        <v>448</v>
      </c>
      <c r="H105" s="45" t="s">
        <v>456</v>
      </c>
      <c r="I105" s="162" t="str">
        <f t="shared" si="30"/>
        <v/>
      </c>
      <c r="J105" s="11" t="s">
        <v>556</v>
      </c>
      <c r="K105" s="673">
        <v>2186</v>
      </c>
      <c r="L105" s="674" t="s">
        <v>2167</v>
      </c>
    </row>
    <row r="106" spans="2:21" s="112" customFormat="1" hidden="1">
      <c r="B106" s="45"/>
      <c r="C106" s="45">
        <f t="shared" si="24"/>
        <v>3158</v>
      </c>
      <c r="D106" s="45">
        <f t="shared" si="25"/>
        <v>5</v>
      </c>
      <c r="E106" s="45">
        <f t="shared" si="28"/>
        <v>2017</v>
      </c>
      <c r="F106" s="45">
        <f t="shared" si="29"/>
        <v>0</v>
      </c>
      <c r="G106" s="45" t="s">
        <v>448</v>
      </c>
      <c r="H106" s="45" t="s">
        <v>457</v>
      </c>
      <c r="I106" s="162" t="str">
        <f t="shared" si="30"/>
        <v/>
      </c>
      <c r="J106" s="11" t="s">
        <v>557</v>
      </c>
      <c r="K106" s="673">
        <v>2188</v>
      </c>
      <c r="L106" s="674" t="s">
        <v>1616</v>
      </c>
    </row>
    <row r="107" spans="2:21" s="112" customFormat="1" hidden="1">
      <c r="B107" s="45"/>
      <c r="C107" s="45">
        <f t="shared" si="24"/>
        <v>3158</v>
      </c>
      <c r="D107" s="45">
        <f t="shared" si="25"/>
        <v>5</v>
      </c>
      <c r="E107" s="45">
        <f t="shared" si="28"/>
        <v>2017</v>
      </c>
      <c r="F107" s="45">
        <f t="shared" si="29"/>
        <v>0</v>
      </c>
      <c r="G107" s="45" t="s">
        <v>448</v>
      </c>
      <c r="H107" s="45" t="s">
        <v>458</v>
      </c>
      <c r="I107" s="162" t="str">
        <f t="shared" si="30"/>
        <v/>
      </c>
      <c r="J107" s="11" t="s">
        <v>558</v>
      </c>
      <c r="K107" s="673">
        <v>2189</v>
      </c>
      <c r="L107" s="674" t="s">
        <v>1617</v>
      </c>
    </row>
    <row r="108" spans="2:21" s="112" customFormat="1" hidden="1">
      <c r="B108" s="45"/>
      <c r="C108" s="45">
        <f t="shared" si="24"/>
        <v>3158</v>
      </c>
      <c r="D108" s="45">
        <f t="shared" si="25"/>
        <v>5</v>
      </c>
      <c r="E108" s="45">
        <f t="shared" si="28"/>
        <v>2017</v>
      </c>
      <c r="F108" s="45">
        <f t="shared" si="29"/>
        <v>0</v>
      </c>
      <c r="G108" s="45" t="s">
        <v>448</v>
      </c>
      <c r="H108" s="45" t="s">
        <v>460</v>
      </c>
      <c r="I108" s="162" t="str">
        <f t="shared" si="30"/>
        <v/>
      </c>
      <c r="J108" s="11" t="s">
        <v>559</v>
      </c>
      <c r="K108" s="673">
        <v>2194</v>
      </c>
      <c r="L108" s="674" t="s">
        <v>1618</v>
      </c>
    </row>
    <row r="109" spans="2:21" s="112" customFormat="1" hidden="1">
      <c r="B109" s="45"/>
      <c r="C109" s="45">
        <f t="shared" si="24"/>
        <v>3158</v>
      </c>
      <c r="D109" s="45">
        <f t="shared" si="25"/>
        <v>5</v>
      </c>
      <c r="E109" s="45">
        <f t="shared" si="28"/>
        <v>2017</v>
      </c>
      <c r="F109" s="45">
        <f t="shared" ref="F109:F119" si="31">K$3</f>
        <v>0</v>
      </c>
      <c r="G109" s="45" t="s">
        <v>448</v>
      </c>
      <c r="H109" s="45" t="s">
        <v>449</v>
      </c>
      <c r="I109" s="162" t="str">
        <f t="shared" ref="I109:I119" si="32">IF(ISBLANK(K4),"",K4)</f>
        <v/>
      </c>
      <c r="J109" s="11" t="s">
        <v>560</v>
      </c>
      <c r="K109" s="673">
        <v>2195</v>
      </c>
      <c r="L109" s="674" t="s">
        <v>2220</v>
      </c>
    </row>
    <row r="110" spans="2:21" s="112" customFormat="1" hidden="1">
      <c r="B110" s="45"/>
      <c r="C110" s="45">
        <f t="shared" si="24"/>
        <v>3158</v>
      </c>
      <c r="D110" s="45">
        <f t="shared" si="25"/>
        <v>5</v>
      </c>
      <c r="E110" s="45">
        <f t="shared" si="28"/>
        <v>2017</v>
      </c>
      <c r="F110" s="45">
        <f t="shared" si="31"/>
        <v>0</v>
      </c>
      <c r="G110" s="45" t="s">
        <v>448</v>
      </c>
      <c r="H110" s="45" t="s">
        <v>450</v>
      </c>
      <c r="I110" s="162" t="str">
        <f t="shared" si="32"/>
        <v/>
      </c>
      <c r="J110" s="11" t="s">
        <v>561</v>
      </c>
      <c r="K110" s="673">
        <v>2196</v>
      </c>
      <c r="L110" s="674" t="s">
        <v>283</v>
      </c>
    </row>
    <row r="111" spans="2:21" s="112" customFormat="1" hidden="1">
      <c r="B111" s="45"/>
      <c r="C111" s="45">
        <f t="shared" si="24"/>
        <v>3158</v>
      </c>
      <c r="D111" s="45">
        <f t="shared" si="25"/>
        <v>5</v>
      </c>
      <c r="E111" s="45">
        <f t="shared" si="28"/>
        <v>2017</v>
      </c>
      <c r="F111" s="45">
        <f t="shared" si="31"/>
        <v>0</v>
      </c>
      <c r="G111" s="45" t="s">
        <v>448</v>
      </c>
      <c r="H111" s="45" t="s">
        <v>451</v>
      </c>
      <c r="I111" s="162" t="str">
        <f t="shared" si="32"/>
        <v/>
      </c>
      <c r="J111" s="11" t="s">
        <v>562</v>
      </c>
      <c r="K111" s="673">
        <v>2197</v>
      </c>
      <c r="L111" s="674" t="s">
        <v>6</v>
      </c>
    </row>
    <row r="112" spans="2:21" s="112" customFormat="1" hidden="1">
      <c r="B112" s="45"/>
      <c r="C112" s="45">
        <f t="shared" si="24"/>
        <v>3158</v>
      </c>
      <c r="D112" s="45">
        <f t="shared" si="25"/>
        <v>5</v>
      </c>
      <c r="E112" s="45">
        <f t="shared" si="28"/>
        <v>2017</v>
      </c>
      <c r="F112" s="45">
        <f t="shared" si="31"/>
        <v>0</v>
      </c>
      <c r="G112" s="45" t="s">
        <v>448</v>
      </c>
      <c r="H112" s="45" t="s">
        <v>452</v>
      </c>
      <c r="I112" s="162" t="str">
        <f t="shared" si="32"/>
        <v/>
      </c>
      <c r="J112" s="11" t="s">
        <v>563</v>
      </c>
      <c r="K112" s="673">
        <v>2198</v>
      </c>
      <c r="L112" s="674" t="s">
        <v>284</v>
      </c>
    </row>
    <row r="113" spans="2:12" s="112" customFormat="1" hidden="1">
      <c r="B113" s="45"/>
      <c r="C113" s="45">
        <f t="shared" si="24"/>
        <v>3158</v>
      </c>
      <c r="D113" s="45">
        <f t="shared" si="25"/>
        <v>5</v>
      </c>
      <c r="E113" s="45">
        <f t="shared" si="28"/>
        <v>2017</v>
      </c>
      <c r="F113" s="45">
        <f t="shared" si="31"/>
        <v>0</v>
      </c>
      <c r="G113" s="45" t="s">
        <v>448</v>
      </c>
      <c r="H113" s="45" t="s">
        <v>453</v>
      </c>
      <c r="I113" s="162" t="str">
        <f t="shared" si="32"/>
        <v/>
      </c>
      <c r="J113" s="11" t="s">
        <v>564</v>
      </c>
      <c r="K113" s="675">
        <v>2200</v>
      </c>
      <c r="L113" s="674" t="s">
        <v>2082</v>
      </c>
    </row>
    <row r="114" spans="2:12" s="112" customFormat="1" hidden="1">
      <c r="B114" s="45"/>
      <c r="C114" s="45">
        <f t="shared" si="24"/>
        <v>3158</v>
      </c>
      <c r="D114" s="45">
        <f t="shared" si="25"/>
        <v>5</v>
      </c>
      <c r="E114" s="45">
        <f t="shared" si="28"/>
        <v>2017</v>
      </c>
      <c r="F114" s="45">
        <f t="shared" si="31"/>
        <v>0</v>
      </c>
      <c r="G114" s="45" t="s">
        <v>448</v>
      </c>
      <c r="H114" s="45" t="s">
        <v>454</v>
      </c>
      <c r="I114" s="162" t="str">
        <f t="shared" si="32"/>
        <v/>
      </c>
      <c r="J114" s="11" t="s">
        <v>565</v>
      </c>
      <c r="K114" s="673">
        <v>2202</v>
      </c>
      <c r="L114" s="674" t="s">
        <v>7</v>
      </c>
    </row>
    <row r="115" spans="2:12" s="112" customFormat="1" hidden="1">
      <c r="B115" s="45"/>
      <c r="C115" s="45">
        <f t="shared" si="24"/>
        <v>3158</v>
      </c>
      <c r="D115" s="45">
        <f t="shared" si="25"/>
        <v>5</v>
      </c>
      <c r="E115" s="45">
        <f t="shared" si="28"/>
        <v>2017</v>
      </c>
      <c r="F115" s="45">
        <f t="shared" si="31"/>
        <v>0</v>
      </c>
      <c r="G115" s="45" t="s">
        <v>448</v>
      </c>
      <c r="H115" s="45" t="s">
        <v>455</v>
      </c>
      <c r="I115" s="162" t="str">
        <f t="shared" si="32"/>
        <v/>
      </c>
      <c r="J115" s="11" t="s">
        <v>566</v>
      </c>
      <c r="K115" s="673">
        <v>2206</v>
      </c>
      <c r="L115" s="674" t="s">
        <v>2213</v>
      </c>
    </row>
    <row r="116" spans="2:12" s="112" customFormat="1" hidden="1">
      <c r="B116" s="45"/>
      <c r="C116" s="45">
        <f t="shared" si="24"/>
        <v>3158</v>
      </c>
      <c r="D116" s="45">
        <f t="shared" si="25"/>
        <v>5</v>
      </c>
      <c r="E116" s="45">
        <f t="shared" si="28"/>
        <v>2017</v>
      </c>
      <c r="F116" s="45">
        <f t="shared" si="31"/>
        <v>0</v>
      </c>
      <c r="G116" s="45" t="s">
        <v>448</v>
      </c>
      <c r="H116" s="45" t="s">
        <v>456</v>
      </c>
      <c r="I116" s="162" t="str">
        <f t="shared" si="32"/>
        <v/>
      </c>
      <c r="J116" s="11" t="s">
        <v>567</v>
      </c>
      <c r="K116" s="673">
        <v>2207</v>
      </c>
      <c r="L116" s="674" t="s">
        <v>8</v>
      </c>
    </row>
    <row r="117" spans="2:12" s="112" customFormat="1" hidden="1">
      <c r="B117" s="45"/>
      <c r="C117" s="45">
        <f t="shared" si="24"/>
        <v>3158</v>
      </c>
      <c r="D117" s="45">
        <f t="shared" si="25"/>
        <v>5</v>
      </c>
      <c r="E117" s="45">
        <f t="shared" si="28"/>
        <v>2017</v>
      </c>
      <c r="F117" s="45">
        <f t="shared" si="31"/>
        <v>0</v>
      </c>
      <c r="G117" s="45" t="s">
        <v>448</v>
      </c>
      <c r="H117" s="45" t="s">
        <v>457</v>
      </c>
      <c r="I117" s="162" t="str">
        <f t="shared" si="32"/>
        <v/>
      </c>
      <c r="J117" s="11" t="s">
        <v>568</v>
      </c>
      <c r="K117" s="675">
        <v>2209</v>
      </c>
      <c r="L117" s="674" t="s">
        <v>2081</v>
      </c>
    </row>
    <row r="118" spans="2:12" s="112" customFormat="1" hidden="1">
      <c r="B118" s="45"/>
      <c r="C118" s="45">
        <f t="shared" si="24"/>
        <v>3158</v>
      </c>
      <c r="D118" s="45">
        <f t="shared" si="25"/>
        <v>5</v>
      </c>
      <c r="E118" s="45">
        <f t="shared" si="28"/>
        <v>2017</v>
      </c>
      <c r="F118" s="45">
        <f t="shared" si="31"/>
        <v>0</v>
      </c>
      <c r="G118" s="45" t="s">
        <v>448</v>
      </c>
      <c r="H118" s="45" t="s">
        <v>458</v>
      </c>
      <c r="I118" s="162" t="str">
        <f t="shared" si="32"/>
        <v/>
      </c>
      <c r="J118" s="11" t="s">
        <v>569</v>
      </c>
      <c r="K118" s="676">
        <v>2211</v>
      </c>
      <c r="L118" s="677" t="s">
        <v>2120</v>
      </c>
    </row>
    <row r="119" spans="2:12" s="112" customFormat="1" hidden="1">
      <c r="B119" s="45"/>
      <c r="C119" s="45">
        <f t="shared" si="24"/>
        <v>3158</v>
      </c>
      <c r="D119" s="45">
        <f t="shared" si="25"/>
        <v>5</v>
      </c>
      <c r="E119" s="45">
        <f t="shared" si="28"/>
        <v>2017</v>
      </c>
      <c r="F119" s="45">
        <f t="shared" si="31"/>
        <v>0</v>
      </c>
      <c r="G119" s="45" t="s">
        <v>448</v>
      </c>
      <c r="H119" s="45" t="s">
        <v>460</v>
      </c>
      <c r="I119" s="162" t="str">
        <f t="shared" si="32"/>
        <v/>
      </c>
      <c r="J119" s="11" t="s">
        <v>570</v>
      </c>
      <c r="K119" s="675">
        <v>2213</v>
      </c>
      <c r="L119" s="674" t="s">
        <v>2047</v>
      </c>
    </row>
    <row r="120" spans="2:12" s="112" customFormat="1" hidden="1">
      <c r="B120" s="45"/>
      <c r="C120" s="45">
        <f t="shared" si="24"/>
        <v>3158</v>
      </c>
      <c r="D120" s="45">
        <f t="shared" si="25"/>
        <v>5</v>
      </c>
      <c r="E120" s="45">
        <f t="shared" si="28"/>
        <v>2017</v>
      </c>
      <c r="F120" s="45">
        <f t="shared" ref="F120:F130" si="33">L$3</f>
        <v>0</v>
      </c>
      <c r="G120" s="45" t="s">
        <v>448</v>
      </c>
      <c r="H120" s="45" t="s">
        <v>449</v>
      </c>
      <c r="I120" s="162" t="str">
        <f t="shared" ref="I120:I130" si="34">IF(ISBLANK(L4),"",L4)</f>
        <v/>
      </c>
      <c r="J120" s="11" t="s">
        <v>571</v>
      </c>
      <c r="K120" s="673">
        <v>2215</v>
      </c>
      <c r="L120" s="674" t="s">
        <v>1802</v>
      </c>
    </row>
    <row r="121" spans="2:12" s="112" customFormat="1" hidden="1">
      <c r="B121" s="45"/>
      <c r="C121" s="45">
        <f t="shared" si="24"/>
        <v>3158</v>
      </c>
      <c r="D121" s="45">
        <f t="shared" si="25"/>
        <v>5</v>
      </c>
      <c r="E121" s="45">
        <f t="shared" si="28"/>
        <v>2017</v>
      </c>
      <c r="F121" s="45">
        <f t="shared" si="33"/>
        <v>0</v>
      </c>
      <c r="G121" s="45" t="s">
        <v>448</v>
      </c>
      <c r="H121" s="45" t="s">
        <v>450</v>
      </c>
      <c r="I121" s="162" t="str">
        <f t="shared" si="34"/>
        <v/>
      </c>
      <c r="J121" s="11" t="s">
        <v>572</v>
      </c>
      <c r="K121" s="673">
        <v>2216</v>
      </c>
      <c r="L121" s="674" t="s">
        <v>1803</v>
      </c>
    </row>
    <row r="122" spans="2:12" s="112" customFormat="1" hidden="1">
      <c r="B122" s="45"/>
      <c r="C122" s="45">
        <f t="shared" si="24"/>
        <v>3158</v>
      </c>
      <c r="D122" s="45">
        <f t="shared" si="25"/>
        <v>5</v>
      </c>
      <c r="E122" s="45">
        <f t="shared" si="28"/>
        <v>2017</v>
      </c>
      <c r="F122" s="45">
        <f t="shared" si="33"/>
        <v>0</v>
      </c>
      <c r="G122" s="45" t="s">
        <v>448</v>
      </c>
      <c r="H122" s="45" t="s">
        <v>451</v>
      </c>
      <c r="I122" s="162" t="str">
        <f t="shared" si="34"/>
        <v/>
      </c>
      <c r="J122" s="11" t="s">
        <v>573</v>
      </c>
      <c r="K122" s="673">
        <v>2218</v>
      </c>
      <c r="L122" s="674" t="s">
        <v>2362</v>
      </c>
    </row>
    <row r="123" spans="2:12" s="112" customFormat="1" hidden="1">
      <c r="B123" s="45"/>
      <c r="C123" s="45">
        <f t="shared" si="24"/>
        <v>3158</v>
      </c>
      <c r="D123" s="45">
        <f t="shared" si="25"/>
        <v>5</v>
      </c>
      <c r="E123" s="45">
        <f t="shared" si="28"/>
        <v>2017</v>
      </c>
      <c r="F123" s="45">
        <f t="shared" si="33"/>
        <v>0</v>
      </c>
      <c r="G123" s="45" t="s">
        <v>448</v>
      </c>
      <c r="H123" s="45" t="s">
        <v>452</v>
      </c>
      <c r="I123" s="162" t="str">
        <f t="shared" si="34"/>
        <v/>
      </c>
      <c r="J123" s="11" t="s">
        <v>574</v>
      </c>
      <c r="K123" s="673">
        <v>2221</v>
      </c>
      <c r="L123" s="674" t="s">
        <v>2221</v>
      </c>
    </row>
    <row r="124" spans="2:12" s="112" customFormat="1" hidden="1">
      <c r="B124" s="45"/>
      <c r="C124" s="45">
        <f t="shared" si="24"/>
        <v>3158</v>
      </c>
      <c r="D124" s="45">
        <f t="shared" si="25"/>
        <v>5</v>
      </c>
      <c r="E124" s="45">
        <f t="shared" si="28"/>
        <v>2017</v>
      </c>
      <c r="F124" s="45">
        <f t="shared" si="33"/>
        <v>0</v>
      </c>
      <c r="G124" s="45" t="s">
        <v>448</v>
      </c>
      <c r="H124" s="45" t="s">
        <v>453</v>
      </c>
      <c r="I124" s="162" t="str">
        <f t="shared" si="34"/>
        <v/>
      </c>
      <c r="J124" s="11" t="s">
        <v>575</v>
      </c>
      <c r="K124" s="676">
        <v>2222</v>
      </c>
      <c r="L124" s="677" t="s">
        <v>2121</v>
      </c>
    </row>
    <row r="125" spans="2:12" s="112" customFormat="1" hidden="1">
      <c r="B125" s="45"/>
      <c r="C125" s="45">
        <f t="shared" si="24"/>
        <v>3158</v>
      </c>
      <c r="D125" s="45">
        <f t="shared" si="25"/>
        <v>5</v>
      </c>
      <c r="E125" s="45">
        <f t="shared" si="28"/>
        <v>2017</v>
      </c>
      <c r="F125" s="45">
        <f t="shared" si="33"/>
        <v>0</v>
      </c>
      <c r="G125" s="45" t="s">
        <v>448</v>
      </c>
      <c r="H125" s="45" t="s">
        <v>454</v>
      </c>
      <c r="I125" s="162" t="str">
        <f t="shared" si="34"/>
        <v/>
      </c>
      <c r="J125" s="11" t="s">
        <v>576</v>
      </c>
      <c r="K125" s="673">
        <v>2223</v>
      </c>
      <c r="L125" s="677" t="s">
        <v>2122</v>
      </c>
    </row>
    <row r="126" spans="2:12" s="112" customFormat="1" hidden="1">
      <c r="B126" s="45"/>
      <c r="C126" s="45">
        <f t="shared" si="24"/>
        <v>3158</v>
      </c>
      <c r="D126" s="45">
        <f t="shared" si="25"/>
        <v>5</v>
      </c>
      <c r="E126" s="45">
        <f t="shared" si="28"/>
        <v>2017</v>
      </c>
      <c r="F126" s="45">
        <f t="shared" si="33"/>
        <v>0</v>
      </c>
      <c r="G126" s="45" t="s">
        <v>448</v>
      </c>
      <c r="H126" s="45" t="s">
        <v>455</v>
      </c>
      <c r="I126" s="162" t="str">
        <f t="shared" si="34"/>
        <v/>
      </c>
      <c r="J126" s="11" t="s">
        <v>577</v>
      </c>
      <c r="K126" s="675">
        <v>2225</v>
      </c>
      <c r="L126" s="674" t="s">
        <v>2115</v>
      </c>
    </row>
    <row r="127" spans="2:12" s="112" customFormat="1" hidden="1">
      <c r="B127" s="45"/>
      <c r="C127" s="45">
        <f t="shared" si="24"/>
        <v>3158</v>
      </c>
      <c r="D127" s="45">
        <f t="shared" si="25"/>
        <v>5</v>
      </c>
      <c r="E127" s="45">
        <f t="shared" si="28"/>
        <v>2017</v>
      </c>
      <c r="F127" s="45">
        <f t="shared" si="33"/>
        <v>0</v>
      </c>
      <c r="G127" s="45" t="s">
        <v>448</v>
      </c>
      <c r="H127" s="45" t="s">
        <v>456</v>
      </c>
      <c r="I127" s="162" t="str">
        <f t="shared" si="34"/>
        <v/>
      </c>
      <c r="J127" s="11" t="s">
        <v>578</v>
      </c>
      <c r="K127" s="675">
        <v>2226</v>
      </c>
      <c r="L127" s="674" t="s">
        <v>2109</v>
      </c>
    </row>
    <row r="128" spans="2:12" s="112" customFormat="1" hidden="1">
      <c r="B128" s="45"/>
      <c r="C128" s="45">
        <f t="shared" si="24"/>
        <v>3158</v>
      </c>
      <c r="D128" s="45">
        <f t="shared" si="25"/>
        <v>5</v>
      </c>
      <c r="E128" s="45">
        <f t="shared" si="28"/>
        <v>2017</v>
      </c>
      <c r="F128" s="45">
        <f t="shared" si="33"/>
        <v>0</v>
      </c>
      <c r="G128" s="45" t="s">
        <v>448</v>
      </c>
      <c r="H128" s="45" t="s">
        <v>457</v>
      </c>
      <c r="I128" s="162" t="str">
        <f t="shared" si="34"/>
        <v/>
      </c>
      <c r="J128" s="11" t="s">
        <v>579</v>
      </c>
      <c r="K128" s="673">
        <v>2228</v>
      </c>
      <c r="L128" s="674" t="s">
        <v>285</v>
      </c>
    </row>
    <row r="129" spans="2:80" s="112" customFormat="1" hidden="1">
      <c r="B129" s="45"/>
      <c r="C129" s="45">
        <f t="shared" si="24"/>
        <v>3158</v>
      </c>
      <c r="D129" s="45">
        <f t="shared" si="25"/>
        <v>5</v>
      </c>
      <c r="E129" s="45">
        <f t="shared" si="28"/>
        <v>2017</v>
      </c>
      <c r="F129" s="45">
        <f t="shared" si="33"/>
        <v>0</v>
      </c>
      <c r="G129" s="45" t="s">
        <v>448</v>
      </c>
      <c r="H129" s="45" t="s">
        <v>458</v>
      </c>
      <c r="I129" s="162" t="str">
        <f t="shared" si="34"/>
        <v/>
      </c>
      <c r="J129" s="11" t="s">
        <v>580</v>
      </c>
      <c r="K129" s="673">
        <v>2230</v>
      </c>
      <c r="L129" s="674" t="s">
        <v>2168</v>
      </c>
    </row>
    <row r="130" spans="2:80" s="112" customFormat="1" hidden="1">
      <c r="B130" s="45"/>
      <c r="C130" s="45">
        <f t="shared" si="24"/>
        <v>3158</v>
      </c>
      <c r="D130" s="45">
        <f t="shared" si="25"/>
        <v>5</v>
      </c>
      <c r="E130" s="45">
        <f t="shared" si="28"/>
        <v>2017</v>
      </c>
      <c r="F130" s="45">
        <f t="shared" si="33"/>
        <v>0</v>
      </c>
      <c r="G130" s="45" t="s">
        <v>448</v>
      </c>
      <c r="H130" s="45" t="s">
        <v>460</v>
      </c>
      <c r="I130" s="162" t="str">
        <f t="shared" si="34"/>
        <v/>
      </c>
      <c r="J130" s="11" t="s">
        <v>581</v>
      </c>
      <c r="K130" s="673">
        <v>2236</v>
      </c>
      <c r="L130" s="674" t="s">
        <v>2222</v>
      </c>
    </row>
    <row r="131" spans="2:80" s="112" customFormat="1" hidden="1">
      <c r="B131" s="45"/>
      <c r="C131" s="45">
        <f t="shared" si="24"/>
        <v>3158</v>
      </c>
      <c r="D131" s="45">
        <f t="shared" si="25"/>
        <v>5</v>
      </c>
      <c r="E131" s="45">
        <f t="shared" si="28"/>
        <v>2017</v>
      </c>
      <c r="F131" s="45">
        <f t="shared" ref="F131:F141" si="35">M$3</f>
        <v>0</v>
      </c>
      <c r="G131" s="45" t="s">
        <v>448</v>
      </c>
      <c r="H131" s="45" t="s">
        <v>449</v>
      </c>
      <c r="I131" s="162" t="str">
        <f t="shared" ref="I131:I141" si="36">IF(ISBLANK(M4),"",M4)</f>
        <v/>
      </c>
      <c r="J131" s="11" t="s">
        <v>582</v>
      </c>
      <c r="K131" s="673">
        <v>2237</v>
      </c>
      <c r="L131" s="674" t="s">
        <v>2223</v>
      </c>
    </row>
    <row r="132" spans="2:80" s="112" customFormat="1" hidden="1">
      <c r="B132" s="45"/>
      <c r="C132" s="45">
        <f t="shared" si="24"/>
        <v>3158</v>
      </c>
      <c r="D132" s="45">
        <f t="shared" si="25"/>
        <v>5</v>
      </c>
      <c r="E132" s="45">
        <f t="shared" si="28"/>
        <v>2017</v>
      </c>
      <c r="F132" s="45">
        <f t="shared" si="35"/>
        <v>0</v>
      </c>
      <c r="G132" s="45" t="s">
        <v>448</v>
      </c>
      <c r="H132" s="45" t="s">
        <v>450</v>
      </c>
      <c r="I132" s="162" t="str">
        <f t="shared" si="36"/>
        <v/>
      </c>
      <c r="J132" s="11" t="s">
        <v>583</v>
      </c>
      <c r="K132" s="675">
        <v>2241</v>
      </c>
      <c r="L132" s="674" t="s">
        <v>2106</v>
      </c>
    </row>
    <row r="133" spans="2:80" s="112" customFormat="1" hidden="1">
      <c r="B133" s="45"/>
      <c r="C133" s="45">
        <f t="shared" si="24"/>
        <v>3158</v>
      </c>
      <c r="D133" s="45">
        <f t="shared" si="25"/>
        <v>5</v>
      </c>
      <c r="E133" s="45">
        <f t="shared" si="28"/>
        <v>2017</v>
      </c>
      <c r="F133" s="45">
        <f t="shared" si="35"/>
        <v>0</v>
      </c>
      <c r="G133" s="45" t="s">
        <v>448</v>
      </c>
      <c r="H133" s="45" t="s">
        <v>451</v>
      </c>
      <c r="I133" s="162" t="str">
        <f t="shared" si="36"/>
        <v/>
      </c>
      <c r="J133" s="11" t="s">
        <v>584</v>
      </c>
      <c r="K133" s="673">
        <v>2245</v>
      </c>
      <c r="L133" s="674" t="s">
        <v>2059</v>
      </c>
      <c r="BZ133" s="162"/>
      <c r="CA133" s="162"/>
      <c r="CB133" s="162"/>
    </row>
    <row r="134" spans="2:80" s="112" customFormat="1" hidden="1">
      <c r="B134" s="45"/>
      <c r="C134" s="45">
        <f t="shared" si="24"/>
        <v>3158</v>
      </c>
      <c r="D134" s="45">
        <f t="shared" si="25"/>
        <v>5</v>
      </c>
      <c r="E134" s="45">
        <f t="shared" si="28"/>
        <v>2017</v>
      </c>
      <c r="F134" s="45">
        <f t="shared" si="35"/>
        <v>0</v>
      </c>
      <c r="G134" s="45" t="s">
        <v>448</v>
      </c>
      <c r="H134" s="45" t="s">
        <v>452</v>
      </c>
      <c r="I134" s="162" t="str">
        <f t="shared" si="36"/>
        <v/>
      </c>
      <c r="J134" s="11" t="s">
        <v>585</v>
      </c>
      <c r="K134" s="673">
        <v>2246</v>
      </c>
      <c r="L134" s="674" t="s">
        <v>2224</v>
      </c>
      <c r="BZ134" s="162"/>
      <c r="CA134" s="162"/>
      <c r="CB134" s="162"/>
    </row>
    <row r="135" spans="2:80" s="112" customFormat="1" hidden="1">
      <c r="B135" s="45"/>
      <c r="C135" s="45">
        <f t="shared" si="24"/>
        <v>3158</v>
      </c>
      <c r="D135" s="45">
        <f t="shared" si="25"/>
        <v>5</v>
      </c>
      <c r="E135" s="45">
        <f t="shared" si="28"/>
        <v>2017</v>
      </c>
      <c r="F135" s="45">
        <f t="shared" si="35"/>
        <v>0</v>
      </c>
      <c r="G135" s="45" t="s">
        <v>448</v>
      </c>
      <c r="H135" s="45" t="s">
        <v>453</v>
      </c>
      <c r="I135" s="162" t="str">
        <f t="shared" si="36"/>
        <v/>
      </c>
      <c r="J135" s="11" t="s">
        <v>586</v>
      </c>
      <c r="K135" s="673">
        <v>2249</v>
      </c>
      <c r="L135" s="674" t="s">
        <v>2225</v>
      </c>
      <c r="BZ135" s="162"/>
      <c r="CA135" s="162"/>
      <c r="CB135" s="162"/>
    </row>
    <row r="136" spans="2:80" s="112" customFormat="1" hidden="1">
      <c r="B136" s="45"/>
      <c r="C136" s="45">
        <f t="shared" si="24"/>
        <v>3158</v>
      </c>
      <c r="D136" s="45">
        <f t="shared" si="25"/>
        <v>5</v>
      </c>
      <c r="E136" s="45">
        <f t="shared" si="28"/>
        <v>2017</v>
      </c>
      <c r="F136" s="45">
        <f t="shared" si="35"/>
        <v>0</v>
      </c>
      <c r="G136" s="45" t="s">
        <v>448</v>
      </c>
      <c r="H136" s="45" t="s">
        <v>454</v>
      </c>
      <c r="I136" s="162" t="str">
        <f t="shared" si="36"/>
        <v/>
      </c>
      <c r="J136" s="11" t="s">
        <v>587</v>
      </c>
      <c r="K136" s="673">
        <v>2250</v>
      </c>
      <c r="L136" s="674" t="s">
        <v>2060</v>
      </c>
      <c r="BZ136" s="162"/>
      <c r="CA136" s="162"/>
      <c r="CB136" s="162"/>
    </row>
    <row r="137" spans="2:80" s="112" customFormat="1" hidden="1">
      <c r="B137" s="45"/>
      <c r="C137" s="45">
        <f t="shared" si="24"/>
        <v>3158</v>
      </c>
      <c r="D137" s="45">
        <f t="shared" si="25"/>
        <v>5</v>
      </c>
      <c r="E137" s="45">
        <f t="shared" si="28"/>
        <v>2017</v>
      </c>
      <c r="F137" s="45">
        <f t="shared" si="35"/>
        <v>0</v>
      </c>
      <c r="G137" s="45" t="s">
        <v>448</v>
      </c>
      <c r="H137" s="45" t="s">
        <v>455</v>
      </c>
      <c r="I137" s="162" t="str">
        <f t="shared" si="36"/>
        <v/>
      </c>
      <c r="J137" s="11" t="s">
        <v>588</v>
      </c>
      <c r="K137" s="673">
        <v>2251</v>
      </c>
      <c r="L137" s="674" t="s">
        <v>9</v>
      </c>
      <c r="BZ137" s="162"/>
      <c r="CA137" s="162"/>
      <c r="CB137" s="162"/>
    </row>
    <row r="138" spans="2:80" s="112" customFormat="1" hidden="1">
      <c r="B138" s="45"/>
      <c r="C138" s="45">
        <f t="shared" si="24"/>
        <v>3158</v>
      </c>
      <c r="D138" s="45">
        <f t="shared" si="25"/>
        <v>5</v>
      </c>
      <c r="E138" s="45">
        <f t="shared" si="28"/>
        <v>2017</v>
      </c>
      <c r="F138" s="45">
        <f t="shared" si="35"/>
        <v>0</v>
      </c>
      <c r="G138" s="45" t="s">
        <v>448</v>
      </c>
      <c r="H138" s="45" t="s">
        <v>456</v>
      </c>
      <c r="I138" s="162" t="str">
        <f t="shared" si="36"/>
        <v/>
      </c>
      <c r="J138" s="11" t="s">
        <v>589</v>
      </c>
      <c r="K138" s="673">
        <v>2255</v>
      </c>
      <c r="L138" s="674" t="s">
        <v>1724</v>
      </c>
      <c r="BZ138" s="162"/>
      <c r="CA138" s="162"/>
      <c r="CB138" s="162"/>
    </row>
    <row r="139" spans="2:80" s="112" customFormat="1" hidden="1">
      <c r="B139" s="45"/>
      <c r="C139" s="45">
        <f t="shared" si="24"/>
        <v>3158</v>
      </c>
      <c r="D139" s="45">
        <f t="shared" si="25"/>
        <v>5</v>
      </c>
      <c r="E139" s="45">
        <f t="shared" si="28"/>
        <v>2017</v>
      </c>
      <c r="F139" s="45">
        <f t="shared" si="35"/>
        <v>0</v>
      </c>
      <c r="G139" s="45" t="s">
        <v>448</v>
      </c>
      <c r="H139" s="45" t="s">
        <v>457</v>
      </c>
      <c r="I139" s="162" t="str">
        <f t="shared" si="36"/>
        <v/>
      </c>
      <c r="J139" s="11" t="s">
        <v>590</v>
      </c>
      <c r="K139" s="673">
        <v>2257</v>
      </c>
      <c r="L139" s="674" t="s">
        <v>1725</v>
      </c>
      <c r="BZ139" s="162"/>
      <c r="CA139" s="162"/>
      <c r="CB139" s="162"/>
    </row>
    <row r="140" spans="2:80" s="112" customFormat="1" hidden="1">
      <c r="B140" s="45"/>
      <c r="C140" s="45">
        <f t="shared" si="24"/>
        <v>3158</v>
      </c>
      <c r="D140" s="45">
        <f t="shared" si="25"/>
        <v>5</v>
      </c>
      <c r="E140" s="45">
        <f t="shared" si="28"/>
        <v>2017</v>
      </c>
      <c r="F140" s="45">
        <f t="shared" si="35"/>
        <v>0</v>
      </c>
      <c r="G140" s="45" t="s">
        <v>448</v>
      </c>
      <c r="H140" s="45" t="s">
        <v>458</v>
      </c>
      <c r="I140" s="162" t="str">
        <f t="shared" si="36"/>
        <v/>
      </c>
      <c r="J140" s="11" t="s">
        <v>591</v>
      </c>
      <c r="K140" s="675">
        <v>2258</v>
      </c>
      <c r="L140" s="674" t="s">
        <v>2103</v>
      </c>
      <c r="BZ140" s="162"/>
      <c r="CA140" s="162"/>
      <c r="CB140" s="162"/>
    </row>
    <row r="141" spans="2:80" s="112" customFormat="1" hidden="1">
      <c r="B141" s="45"/>
      <c r="C141" s="45">
        <f t="shared" si="24"/>
        <v>3158</v>
      </c>
      <c r="D141" s="45">
        <f t="shared" si="25"/>
        <v>5</v>
      </c>
      <c r="E141" s="45">
        <f t="shared" si="28"/>
        <v>2017</v>
      </c>
      <c r="F141" s="45">
        <f t="shared" si="35"/>
        <v>0</v>
      </c>
      <c r="G141" s="45" t="s">
        <v>448</v>
      </c>
      <c r="H141" s="45" t="s">
        <v>460</v>
      </c>
      <c r="I141" s="162" t="str">
        <f t="shared" si="36"/>
        <v/>
      </c>
      <c r="J141" s="11" t="s">
        <v>592</v>
      </c>
      <c r="K141" s="675">
        <v>3001</v>
      </c>
      <c r="L141" s="674" t="s">
        <v>1726</v>
      </c>
      <c r="BZ141" s="162"/>
      <c r="CA141" s="162"/>
      <c r="CB141" s="162"/>
    </row>
    <row r="142" spans="2:80" s="112" customFormat="1" hidden="1">
      <c r="B142" s="45"/>
      <c r="C142" s="45">
        <f t="shared" si="24"/>
        <v>3158</v>
      </c>
      <c r="D142" s="45">
        <f t="shared" si="25"/>
        <v>5</v>
      </c>
      <c r="E142" s="45">
        <f t="shared" si="28"/>
        <v>2017</v>
      </c>
      <c r="F142" s="45">
        <f t="shared" ref="F142:F152" si="37">N$3</f>
        <v>0</v>
      </c>
      <c r="G142" s="45" t="s">
        <v>448</v>
      </c>
      <c r="H142" s="45" t="s">
        <v>449</v>
      </c>
      <c r="I142" s="162" t="str">
        <f t="shared" ref="I142:I152" si="38">IF(ISBLANK(N4),"",N4)</f>
        <v/>
      </c>
      <c r="J142" s="11" t="s">
        <v>593</v>
      </c>
      <c r="K142" s="676">
        <v>3002</v>
      </c>
      <c r="L142" s="677" t="s">
        <v>2124</v>
      </c>
      <c r="BZ142" s="162"/>
      <c r="CA142" s="162"/>
      <c r="CB142" s="162"/>
    </row>
    <row r="143" spans="2:80" s="112" customFormat="1" hidden="1">
      <c r="B143" s="45"/>
      <c r="C143" s="45">
        <f t="shared" si="24"/>
        <v>3158</v>
      </c>
      <c r="D143" s="45">
        <f t="shared" si="25"/>
        <v>5</v>
      </c>
      <c r="E143" s="45">
        <f t="shared" si="28"/>
        <v>2017</v>
      </c>
      <c r="F143" s="45">
        <f t="shared" si="37"/>
        <v>0</v>
      </c>
      <c r="G143" s="45" t="s">
        <v>448</v>
      </c>
      <c r="H143" s="45" t="s">
        <v>450</v>
      </c>
      <c r="I143" s="162" t="str">
        <f t="shared" si="38"/>
        <v/>
      </c>
      <c r="J143" s="11" t="s">
        <v>594</v>
      </c>
      <c r="K143" s="673">
        <v>3004</v>
      </c>
      <c r="L143" s="674" t="s">
        <v>2227</v>
      </c>
      <c r="BZ143" s="162"/>
      <c r="CA143" s="162"/>
      <c r="CB143" s="162"/>
    </row>
    <row r="144" spans="2:80" s="112" customFormat="1" hidden="1">
      <c r="B144" s="45"/>
      <c r="C144" s="45">
        <f t="shared" si="24"/>
        <v>3158</v>
      </c>
      <c r="D144" s="45">
        <f t="shared" si="25"/>
        <v>5</v>
      </c>
      <c r="E144" s="45">
        <f t="shared" si="28"/>
        <v>2017</v>
      </c>
      <c r="F144" s="45">
        <f t="shared" si="37"/>
        <v>0</v>
      </c>
      <c r="G144" s="45" t="s">
        <v>448</v>
      </c>
      <c r="H144" s="45" t="s">
        <v>451</v>
      </c>
      <c r="I144" s="162" t="str">
        <f t="shared" si="38"/>
        <v/>
      </c>
      <c r="J144" s="11" t="s">
        <v>595</v>
      </c>
      <c r="K144" s="673">
        <v>3005</v>
      </c>
      <c r="L144" s="674" t="s">
        <v>2310</v>
      </c>
    </row>
    <row r="145" spans="2:12" s="112" customFormat="1" hidden="1">
      <c r="B145" s="45"/>
      <c r="C145" s="45">
        <f t="shared" si="24"/>
        <v>3158</v>
      </c>
      <c r="D145" s="45">
        <f t="shared" si="25"/>
        <v>5</v>
      </c>
      <c r="E145" s="45">
        <f t="shared" si="28"/>
        <v>2017</v>
      </c>
      <c r="F145" s="45">
        <f t="shared" si="37"/>
        <v>0</v>
      </c>
      <c r="G145" s="45" t="s">
        <v>448</v>
      </c>
      <c r="H145" s="45" t="s">
        <v>452</v>
      </c>
      <c r="I145" s="162" t="str">
        <f t="shared" si="38"/>
        <v/>
      </c>
      <c r="J145" s="11" t="s">
        <v>596</v>
      </c>
      <c r="K145" s="673">
        <v>3006</v>
      </c>
      <c r="L145" s="674" t="s">
        <v>2207</v>
      </c>
    </row>
    <row r="146" spans="2:12" s="112" customFormat="1" hidden="1">
      <c r="B146" s="45"/>
      <c r="C146" s="45">
        <f t="shared" si="24"/>
        <v>3158</v>
      </c>
      <c r="D146" s="45">
        <f t="shared" si="25"/>
        <v>5</v>
      </c>
      <c r="E146" s="45">
        <f t="shared" si="28"/>
        <v>2017</v>
      </c>
      <c r="F146" s="45">
        <f t="shared" si="37"/>
        <v>0</v>
      </c>
      <c r="G146" s="45" t="s">
        <v>448</v>
      </c>
      <c r="H146" s="45" t="s">
        <v>453</v>
      </c>
      <c r="I146" s="162" t="str">
        <f t="shared" si="38"/>
        <v/>
      </c>
      <c r="J146" s="11" t="s">
        <v>597</v>
      </c>
      <c r="K146" s="673">
        <v>3007</v>
      </c>
      <c r="L146" s="674" t="s">
        <v>2354</v>
      </c>
    </row>
    <row r="147" spans="2:12" s="112" customFormat="1" hidden="1">
      <c r="B147" s="45"/>
      <c r="C147" s="45">
        <f t="shared" si="24"/>
        <v>3158</v>
      </c>
      <c r="D147" s="45">
        <f t="shared" si="25"/>
        <v>5</v>
      </c>
      <c r="E147" s="45">
        <f t="shared" si="28"/>
        <v>2017</v>
      </c>
      <c r="F147" s="45">
        <f t="shared" si="37"/>
        <v>0</v>
      </c>
      <c r="G147" s="45" t="s">
        <v>448</v>
      </c>
      <c r="H147" s="45" t="s">
        <v>454</v>
      </c>
      <c r="I147" s="162" t="str">
        <f t="shared" si="38"/>
        <v/>
      </c>
      <c r="J147" s="11" t="s">
        <v>598</v>
      </c>
      <c r="K147" s="676">
        <v>3008</v>
      </c>
      <c r="L147" s="677" t="s">
        <v>1804</v>
      </c>
    </row>
    <row r="148" spans="2:12" s="112" customFormat="1" hidden="1">
      <c r="B148" s="45"/>
      <c r="C148" s="45">
        <f t="shared" si="24"/>
        <v>3158</v>
      </c>
      <c r="D148" s="45">
        <f t="shared" si="25"/>
        <v>5</v>
      </c>
      <c r="E148" s="45">
        <f t="shared" si="28"/>
        <v>2017</v>
      </c>
      <c r="F148" s="45">
        <f t="shared" si="37"/>
        <v>0</v>
      </c>
      <c r="G148" s="45" t="s">
        <v>448</v>
      </c>
      <c r="H148" s="45" t="s">
        <v>455</v>
      </c>
      <c r="I148" s="162" t="str">
        <f t="shared" si="38"/>
        <v/>
      </c>
      <c r="J148" s="11" t="s">
        <v>599</v>
      </c>
      <c r="K148" s="676">
        <v>3009</v>
      </c>
      <c r="L148" s="677" t="s">
        <v>10</v>
      </c>
    </row>
    <row r="149" spans="2:12" s="112" customFormat="1" hidden="1">
      <c r="B149" s="45"/>
      <c r="C149" s="45">
        <f t="shared" si="24"/>
        <v>3158</v>
      </c>
      <c r="D149" s="45">
        <f t="shared" si="25"/>
        <v>5</v>
      </c>
      <c r="E149" s="45">
        <f t="shared" si="28"/>
        <v>2017</v>
      </c>
      <c r="F149" s="45">
        <f t="shared" si="37"/>
        <v>0</v>
      </c>
      <c r="G149" s="45" t="s">
        <v>448</v>
      </c>
      <c r="H149" s="45" t="s">
        <v>456</v>
      </c>
      <c r="I149" s="162" t="str">
        <f t="shared" si="38"/>
        <v/>
      </c>
      <c r="J149" s="11" t="s">
        <v>600</v>
      </c>
      <c r="K149" s="673">
        <v>3010</v>
      </c>
      <c r="L149" s="674" t="s">
        <v>2363</v>
      </c>
    </row>
    <row r="150" spans="2:12" s="112" customFormat="1" hidden="1">
      <c r="B150" s="45"/>
      <c r="C150" s="45">
        <f t="shared" ref="C150:C213" si="39">H$1</f>
        <v>3158</v>
      </c>
      <c r="D150" s="45">
        <f t="shared" ref="D150:D213" si="40">K$1</f>
        <v>5</v>
      </c>
      <c r="E150" s="45">
        <f t="shared" si="28"/>
        <v>2017</v>
      </c>
      <c r="F150" s="45">
        <f t="shared" si="37"/>
        <v>0</v>
      </c>
      <c r="G150" s="45" t="s">
        <v>448</v>
      </c>
      <c r="H150" s="45" t="s">
        <v>457</v>
      </c>
      <c r="I150" s="162" t="str">
        <f t="shared" si="38"/>
        <v/>
      </c>
      <c r="J150" s="11" t="s">
        <v>601</v>
      </c>
      <c r="K150" s="673">
        <v>3011</v>
      </c>
      <c r="L150" s="674" t="s">
        <v>1732</v>
      </c>
    </row>
    <row r="151" spans="2:12" s="112" customFormat="1" hidden="1">
      <c r="B151" s="45"/>
      <c r="C151" s="45">
        <f t="shared" si="39"/>
        <v>3158</v>
      </c>
      <c r="D151" s="45">
        <f t="shared" si="40"/>
        <v>5</v>
      </c>
      <c r="E151" s="45">
        <f t="shared" si="28"/>
        <v>2017</v>
      </c>
      <c r="F151" s="45">
        <f t="shared" si="37"/>
        <v>0</v>
      </c>
      <c r="G151" s="45" t="s">
        <v>448</v>
      </c>
      <c r="H151" s="45" t="s">
        <v>458</v>
      </c>
      <c r="I151" s="162" t="str">
        <f t="shared" si="38"/>
        <v/>
      </c>
      <c r="J151" s="11" t="s">
        <v>602</v>
      </c>
      <c r="K151" s="673">
        <v>3012</v>
      </c>
      <c r="L151" s="674" t="s">
        <v>2208</v>
      </c>
    </row>
    <row r="152" spans="2:12" s="112" customFormat="1" hidden="1">
      <c r="B152" s="45"/>
      <c r="C152" s="45">
        <f t="shared" si="39"/>
        <v>3158</v>
      </c>
      <c r="D152" s="45">
        <f t="shared" si="40"/>
        <v>5</v>
      </c>
      <c r="E152" s="45">
        <f t="shared" ref="E152:E215" si="41">D$1</f>
        <v>2017</v>
      </c>
      <c r="F152" s="45">
        <f t="shared" si="37"/>
        <v>0</v>
      </c>
      <c r="G152" s="45" t="s">
        <v>448</v>
      </c>
      <c r="H152" s="45" t="s">
        <v>460</v>
      </c>
      <c r="I152" s="162" t="str">
        <f t="shared" si="38"/>
        <v/>
      </c>
      <c r="J152" s="11" t="s">
        <v>603</v>
      </c>
      <c r="K152" s="673">
        <v>3013</v>
      </c>
      <c r="L152" s="674" t="s">
        <v>1733</v>
      </c>
    </row>
    <row r="153" spans="2:12" s="112" customFormat="1" hidden="1">
      <c r="B153" s="45"/>
      <c r="C153" s="45">
        <f t="shared" si="39"/>
        <v>3158</v>
      </c>
      <c r="D153" s="45">
        <f t="shared" si="40"/>
        <v>5</v>
      </c>
      <c r="E153" s="45">
        <f t="shared" si="41"/>
        <v>2017</v>
      </c>
      <c r="F153" s="45">
        <f t="shared" ref="F153:F163" si="42">O$3</f>
        <v>0</v>
      </c>
      <c r="G153" s="45" t="s">
        <v>448</v>
      </c>
      <c r="H153" s="45" t="s">
        <v>449</v>
      </c>
      <c r="I153" s="162" t="str">
        <f t="shared" ref="I153:I163" si="43">IF(ISBLANK(O4),"",O4)</f>
        <v/>
      </c>
      <c r="J153" s="11" t="s">
        <v>604</v>
      </c>
      <c r="K153" s="673">
        <v>3015</v>
      </c>
      <c r="L153" s="678" t="s">
        <v>2159</v>
      </c>
    </row>
    <row r="154" spans="2:12" s="112" customFormat="1" hidden="1">
      <c r="B154" s="45"/>
      <c r="C154" s="45">
        <f t="shared" si="39"/>
        <v>3158</v>
      </c>
      <c r="D154" s="45">
        <f t="shared" si="40"/>
        <v>5</v>
      </c>
      <c r="E154" s="45">
        <f t="shared" si="41"/>
        <v>2017</v>
      </c>
      <c r="F154" s="45">
        <f t="shared" si="42"/>
        <v>0</v>
      </c>
      <c r="G154" s="45" t="s">
        <v>448</v>
      </c>
      <c r="H154" s="45" t="s">
        <v>450</v>
      </c>
      <c r="I154" s="162" t="str">
        <f t="shared" si="43"/>
        <v/>
      </c>
      <c r="J154" s="11" t="s">
        <v>605</v>
      </c>
      <c r="K154" s="676">
        <v>3016</v>
      </c>
      <c r="L154" s="677" t="s">
        <v>1734</v>
      </c>
    </row>
    <row r="155" spans="2:12" s="112" customFormat="1" hidden="1">
      <c r="B155" s="45"/>
      <c r="C155" s="45">
        <f t="shared" si="39"/>
        <v>3158</v>
      </c>
      <c r="D155" s="45">
        <f t="shared" si="40"/>
        <v>5</v>
      </c>
      <c r="E155" s="45">
        <f t="shared" si="41"/>
        <v>2017</v>
      </c>
      <c r="F155" s="45">
        <f t="shared" si="42"/>
        <v>0</v>
      </c>
      <c r="G155" s="45" t="s">
        <v>448</v>
      </c>
      <c r="H155" s="45" t="s">
        <v>451</v>
      </c>
      <c r="I155" s="162" t="str">
        <f t="shared" si="43"/>
        <v/>
      </c>
      <c r="J155" s="11" t="s">
        <v>606</v>
      </c>
      <c r="K155" s="676">
        <v>3022</v>
      </c>
      <c r="L155" s="677" t="s">
        <v>1735</v>
      </c>
    </row>
    <row r="156" spans="2:12" s="112" customFormat="1" hidden="1">
      <c r="B156" s="45"/>
      <c r="C156" s="45">
        <f t="shared" si="39"/>
        <v>3158</v>
      </c>
      <c r="D156" s="45">
        <f t="shared" si="40"/>
        <v>5</v>
      </c>
      <c r="E156" s="45">
        <f t="shared" si="41"/>
        <v>2017</v>
      </c>
      <c r="F156" s="45">
        <f t="shared" si="42"/>
        <v>0</v>
      </c>
      <c r="G156" s="45" t="s">
        <v>448</v>
      </c>
      <c r="H156" s="45" t="s">
        <v>452</v>
      </c>
      <c r="I156" s="162" t="str">
        <f t="shared" si="43"/>
        <v/>
      </c>
      <c r="J156" s="11" t="s">
        <v>607</v>
      </c>
      <c r="K156" s="673">
        <v>3024</v>
      </c>
      <c r="L156" s="674" t="s">
        <v>2209</v>
      </c>
    </row>
    <row r="157" spans="2:12" s="112" customFormat="1" hidden="1">
      <c r="B157" s="45"/>
      <c r="C157" s="45">
        <f t="shared" si="39"/>
        <v>3158</v>
      </c>
      <c r="D157" s="45">
        <f t="shared" si="40"/>
        <v>5</v>
      </c>
      <c r="E157" s="45">
        <f t="shared" si="41"/>
        <v>2017</v>
      </c>
      <c r="F157" s="45">
        <f t="shared" si="42"/>
        <v>0</v>
      </c>
      <c r="G157" s="45" t="s">
        <v>448</v>
      </c>
      <c r="H157" s="45" t="s">
        <v>453</v>
      </c>
      <c r="I157" s="162" t="str">
        <f t="shared" si="43"/>
        <v/>
      </c>
      <c r="J157" s="11" t="s">
        <v>608</v>
      </c>
      <c r="K157" s="675">
        <v>3025</v>
      </c>
      <c r="L157" s="674" t="s">
        <v>2095</v>
      </c>
    </row>
    <row r="158" spans="2:12" s="112" customFormat="1" hidden="1">
      <c r="B158" s="45"/>
      <c r="C158" s="45">
        <f t="shared" si="39"/>
        <v>3158</v>
      </c>
      <c r="D158" s="45">
        <f t="shared" si="40"/>
        <v>5</v>
      </c>
      <c r="E158" s="45">
        <f t="shared" si="41"/>
        <v>2017</v>
      </c>
      <c r="F158" s="45">
        <f t="shared" si="42"/>
        <v>0</v>
      </c>
      <c r="G158" s="45" t="s">
        <v>448</v>
      </c>
      <c r="H158" s="45" t="s">
        <v>454</v>
      </c>
      <c r="I158" s="162" t="str">
        <f t="shared" si="43"/>
        <v/>
      </c>
      <c r="J158" s="11" t="s">
        <v>609</v>
      </c>
      <c r="K158" s="676">
        <v>3026</v>
      </c>
      <c r="L158" s="677" t="s">
        <v>1736</v>
      </c>
    </row>
    <row r="159" spans="2:12" s="112" customFormat="1" hidden="1">
      <c r="B159" s="45"/>
      <c r="C159" s="45">
        <f t="shared" si="39"/>
        <v>3158</v>
      </c>
      <c r="D159" s="45">
        <f t="shared" si="40"/>
        <v>5</v>
      </c>
      <c r="E159" s="45">
        <f t="shared" si="41"/>
        <v>2017</v>
      </c>
      <c r="F159" s="45">
        <f t="shared" si="42"/>
        <v>0</v>
      </c>
      <c r="G159" s="45" t="s">
        <v>448</v>
      </c>
      <c r="H159" s="45" t="s">
        <v>455</v>
      </c>
      <c r="I159" s="162" t="str">
        <f t="shared" si="43"/>
        <v/>
      </c>
      <c r="J159" s="11" t="s">
        <v>610</v>
      </c>
      <c r="K159" s="673">
        <v>3028</v>
      </c>
      <c r="L159" s="674" t="s">
        <v>2143</v>
      </c>
    </row>
    <row r="160" spans="2:12" s="112" customFormat="1" hidden="1">
      <c r="B160" s="45"/>
      <c r="C160" s="45">
        <f t="shared" si="39"/>
        <v>3158</v>
      </c>
      <c r="D160" s="45">
        <f t="shared" si="40"/>
        <v>5</v>
      </c>
      <c r="E160" s="45">
        <f t="shared" si="41"/>
        <v>2017</v>
      </c>
      <c r="F160" s="45">
        <f t="shared" si="42"/>
        <v>0</v>
      </c>
      <c r="G160" s="45" t="s">
        <v>448</v>
      </c>
      <c r="H160" s="45" t="s">
        <v>456</v>
      </c>
      <c r="I160" s="162" t="str">
        <f t="shared" si="43"/>
        <v/>
      </c>
      <c r="J160" s="11" t="s">
        <v>611</v>
      </c>
      <c r="K160" s="676">
        <v>3030</v>
      </c>
      <c r="L160" s="677" t="s">
        <v>11</v>
      </c>
    </row>
    <row r="161" spans="2:12" s="112" customFormat="1" hidden="1">
      <c r="B161" s="45"/>
      <c r="C161" s="45">
        <f t="shared" si="39"/>
        <v>3158</v>
      </c>
      <c r="D161" s="45">
        <f t="shared" si="40"/>
        <v>5</v>
      </c>
      <c r="E161" s="45">
        <f t="shared" si="41"/>
        <v>2017</v>
      </c>
      <c r="F161" s="45">
        <f t="shared" si="42"/>
        <v>0</v>
      </c>
      <c r="G161" s="45" t="s">
        <v>448</v>
      </c>
      <c r="H161" s="45" t="s">
        <v>457</v>
      </c>
      <c r="I161" s="162" t="str">
        <f t="shared" si="43"/>
        <v/>
      </c>
      <c r="J161" s="11" t="s">
        <v>612</v>
      </c>
      <c r="K161" s="673">
        <v>3034</v>
      </c>
      <c r="L161" s="674" t="s">
        <v>12</v>
      </c>
    </row>
    <row r="162" spans="2:12" s="112" customFormat="1" hidden="1">
      <c r="B162" s="45"/>
      <c r="C162" s="45">
        <f t="shared" si="39"/>
        <v>3158</v>
      </c>
      <c r="D162" s="45">
        <f t="shared" si="40"/>
        <v>5</v>
      </c>
      <c r="E162" s="45">
        <f t="shared" si="41"/>
        <v>2017</v>
      </c>
      <c r="F162" s="45">
        <f t="shared" si="42"/>
        <v>0</v>
      </c>
      <c r="G162" s="45" t="s">
        <v>448</v>
      </c>
      <c r="H162" s="45" t="s">
        <v>458</v>
      </c>
      <c r="I162" s="162" t="str">
        <f t="shared" si="43"/>
        <v/>
      </c>
      <c r="J162" s="11" t="s">
        <v>613</v>
      </c>
      <c r="K162" s="673">
        <v>3035</v>
      </c>
      <c r="L162" s="674" t="s">
        <v>1805</v>
      </c>
    </row>
    <row r="163" spans="2:12" s="112" customFormat="1" hidden="1">
      <c r="B163" s="45"/>
      <c r="C163" s="45">
        <f t="shared" si="39"/>
        <v>3158</v>
      </c>
      <c r="D163" s="45">
        <f t="shared" si="40"/>
        <v>5</v>
      </c>
      <c r="E163" s="45">
        <f t="shared" si="41"/>
        <v>2017</v>
      </c>
      <c r="F163" s="45">
        <f t="shared" si="42"/>
        <v>0</v>
      </c>
      <c r="G163" s="45" t="s">
        <v>448</v>
      </c>
      <c r="H163" s="45" t="s">
        <v>460</v>
      </c>
      <c r="I163" s="162" t="str">
        <f t="shared" si="43"/>
        <v/>
      </c>
      <c r="J163" s="11" t="s">
        <v>614</v>
      </c>
      <c r="K163" s="676">
        <v>3041</v>
      </c>
      <c r="L163" s="677" t="s">
        <v>1737</v>
      </c>
    </row>
    <row r="164" spans="2:12" s="112" customFormat="1" hidden="1">
      <c r="B164" s="45"/>
      <c r="C164" s="45">
        <f t="shared" si="39"/>
        <v>3158</v>
      </c>
      <c r="D164" s="45">
        <f t="shared" si="40"/>
        <v>5</v>
      </c>
      <c r="E164" s="45">
        <f t="shared" si="41"/>
        <v>2017</v>
      </c>
      <c r="F164" s="45">
        <f t="shared" ref="F164:F174" si="44">P$3</f>
        <v>0</v>
      </c>
      <c r="G164" s="45" t="s">
        <v>448</v>
      </c>
      <c r="H164" s="45" t="s">
        <v>449</v>
      </c>
      <c r="I164" s="162" t="str">
        <f t="shared" ref="I164:I174" si="45">IF(ISBLANK(P4),"",P4)</f>
        <v/>
      </c>
      <c r="J164" s="11" t="s">
        <v>615</v>
      </c>
      <c r="K164" s="673">
        <v>3044</v>
      </c>
      <c r="L164" s="674" t="s">
        <v>2144</v>
      </c>
    </row>
    <row r="165" spans="2:12" s="112" customFormat="1" hidden="1">
      <c r="B165" s="45"/>
      <c r="C165" s="45">
        <f t="shared" si="39"/>
        <v>3158</v>
      </c>
      <c r="D165" s="45">
        <f t="shared" si="40"/>
        <v>5</v>
      </c>
      <c r="E165" s="45">
        <f t="shared" si="41"/>
        <v>2017</v>
      </c>
      <c r="F165" s="45">
        <f t="shared" si="44"/>
        <v>0</v>
      </c>
      <c r="G165" s="45" t="s">
        <v>448</v>
      </c>
      <c r="H165" s="45" t="s">
        <v>450</v>
      </c>
      <c r="I165" s="162" t="str">
        <f t="shared" si="45"/>
        <v/>
      </c>
      <c r="J165" s="11" t="s">
        <v>616</v>
      </c>
      <c r="K165" s="673">
        <v>3045</v>
      </c>
      <c r="L165" s="674" t="s">
        <v>1806</v>
      </c>
    </row>
    <row r="166" spans="2:12" s="112" customFormat="1" hidden="1">
      <c r="B166" s="45"/>
      <c r="C166" s="45">
        <f t="shared" si="39"/>
        <v>3158</v>
      </c>
      <c r="D166" s="45">
        <f t="shared" si="40"/>
        <v>5</v>
      </c>
      <c r="E166" s="45">
        <f t="shared" si="41"/>
        <v>2017</v>
      </c>
      <c r="F166" s="45">
        <f t="shared" si="44"/>
        <v>0</v>
      </c>
      <c r="G166" s="45" t="s">
        <v>448</v>
      </c>
      <c r="H166" s="45" t="s">
        <v>451</v>
      </c>
      <c r="I166" s="162" t="str">
        <f t="shared" si="45"/>
        <v/>
      </c>
      <c r="J166" s="11" t="s">
        <v>617</v>
      </c>
      <c r="K166" s="673">
        <v>3047</v>
      </c>
      <c r="L166" s="674" t="s">
        <v>1738</v>
      </c>
    </row>
    <row r="167" spans="2:12" s="112" customFormat="1" hidden="1">
      <c r="B167" s="45"/>
      <c r="C167" s="45">
        <f t="shared" si="39"/>
        <v>3158</v>
      </c>
      <c r="D167" s="45">
        <f t="shared" si="40"/>
        <v>5</v>
      </c>
      <c r="E167" s="45">
        <f t="shared" si="41"/>
        <v>2017</v>
      </c>
      <c r="F167" s="45">
        <f t="shared" si="44"/>
        <v>0</v>
      </c>
      <c r="G167" s="45" t="s">
        <v>448</v>
      </c>
      <c r="H167" s="45" t="s">
        <v>452</v>
      </c>
      <c r="I167" s="162" t="str">
        <f t="shared" si="45"/>
        <v/>
      </c>
      <c r="J167" s="11" t="s">
        <v>618</v>
      </c>
      <c r="K167" s="673">
        <v>3048</v>
      </c>
      <c r="L167" s="674" t="s">
        <v>390</v>
      </c>
    </row>
    <row r="168" spans="2:12" s="112" customFormat="1" hidden="1">
      <c r="B168" s="45"/>
      <c r="C168" s="45">
        <f t="shared" si="39"/>
        <v>3158</v>
      </c>
      <c r="D168" s="45">
        <f t="shared" si="40"/>
        <v>5</v>
      </c>
      <c r="E168" s="45">
        <f t="shared" si="41"/>
        <v>2017</v>
      </c>
      <c r="F168" s="45">
        <f t="shared" si="44"/>
        <v>0</v>
      </c>
      <c r="G168" s="45" t="s">
        <v>448</v>
      </c>
      <c r="H168" s="45" t="s">
        <v>453</v>
      </c>
      <c r="I168" s="162" t="str">
        <f t="shared" si="45"/>
        <v/>
      </c>
      <c r="J168" s="11" t="s">
        <v>619</v>
      </c>
      <c r="K168" s="675">
        <v>3049</v>
      </c>
      <c r="L168" s="674" t="s">
        <v>2083</v>
      </c>
    </row>
    <row r="169" spans="2:12" s="112" customFormat="1" hidden="1">
      <c r="B169" s="45"/>
      <c r="C169" s="45">
        <f t="shared" si="39"/>
        <v>3158</v>
      </c>
      <c r="D169" s="45">
        <f t="shared" si="40"/>
        <v>5</v>
      </c>
      <c r="E169" s="45">
        <f t="shared" si="41"/>
        <v>2017</v>
      </c>
      <c r="F169" s="45">
        <f t="shared" si="44"/>
        <v>0</v>
      </c>
      <c r="G169" s="45" t="s">
        <v>448</v>
      </c>
      <c r="H169" s="45" t="s">
        <v>454</v>
      </c>
      <c r="I169" s="162" t="str">
        <f t="shared" si="45"/>
        <v/>
      </c>
      <c r="J169" s="11" t="s">
        <v>620</v>
      </c>
      <c r="K169" s="673">
        <v>3050</v>
      </c>
      <c r="L169" s="674" t="s">
        <v>2348</v>
      </c>
    </row>
    <row r="170" spans="2:12" s="112" customFormat="1" hidden="1">
      <c r="B170" s="45"/>
      <c r="C170" s="45">
        <f t="shared" si="39"/>
        <v>3158</v>
      </c>
      <c r="D170" s="45">
        <f t="shared" si="40"/>
        <v>5</v>
      </c>
      <c r="E170" s="45">
        <f t="shared" si="41"/>
        <v>2017</v>
      </c>
      <c r="F170" s="45">
        <f t="shared" si="44"/>
        <v>0</v>
      </c>
      <c r="G170" s="45" t="s">
        <v>448</v>
      </c>
      <c r="H170" s="45" t="s">
        <v>455</v>
      </c>
      <c r="I170" s="162" t="str">
        <f t="shared" si="45"/>
        <v/>
      </c>
      <c r="J170" s="11" t="s">
        <v>621</v>
      </c>
      <c r="K170" s="676">
        <v>3052</v>
      </c>
      <c r="L170" s="677" t="s">
        <v>2125</v>
      </c>
    </row>
    <row r="171" spans="2:12" s="112" customFormat="1" hidden="1">
      <c r="B171" s="45"/>
      <c r="C171" s="45">
        <f t="shared" si="39"/>
        <v>3158</v>
      </c>
      <c r="D171" s="45">
        <f t="shared" si="40"/>
        <v>5</v>
      </c>
      <c r="E171" s="45">
        <f t="shared" si="41"/>
        <v>2017</v>
      </c>
      <c r="F171" s="45">
        <f t="shared" si="44"/>
        <v>0</v>
      </c>
      <c r="G171" s="45" t="s">
        <v>448</v>
      </c>
      <c r="H171" s="45" t="s">
        <v>456</v>
      </c>
      <c r="I171" s="162" t="str">
        <f t="shared" si="45"/>
        <v/>
      </c>
      <c r="J171" s="11" t="s">
        <v>622</v>
      </c>
      <c r="K171" s="673">
        <v>3053</v>
      </c>
      <c r="L171" s="674" t="s">
        <v>1739</v>
      </c>
    </row>
    <row r="172" spans="2:12" s="112" customFormat="1" hidden="1">
      <c r="B172" s="45"/>
      <c r="C172" s="45">
        <f t="shared" si="39"/>
        <v>3158</v>
      </c>
      <c r="D172" s="45">
        <f t="shared" si="40"/>
        <v>5</v>
      </c>
      <c r="E172" s="45">
        <f t="shared" si="41"/>
        <v>2017</v>
      </c>
      <c r="F172" s="45">
        <f t="shared" si="44"/>
        <v>0</v>
      </c>
      <c r="G172" s="45" t="s">
        <v>448</v>
      </c>
      <c r="H172" s="45" t="s">
        <v>457</v>
      </c>
      <c r="I172" s="162" t="str">
        <f t="shared" si="45"/>
        <v/>
      </c>
      <c r="J172" s="11" t="s">
        <v>623</v>
      </c>
      <c r="K172" s="673">
        <v>3055</v>
      </c>
      <c r="L172" s="674" t="s">
        <v>325</v>
      </c>
    </row>
    <row r="173" spans="2:12" s="112" customFormat="1" hidden="1">
      <c r="B173" s="45"/>
      <c r="C173" s="45">
        <f t="shared" si="39"/>
        <v>3158</v>
      </c>
      <c r="D173" s="45">
        <f t="shared" si="40"/>
        <v>5</v>
      </c>
      <c r="E173" s="45">
        <f t="shared" si="41"/>
        <v>2017</v>
      </c>
      <c r="F173" s="45">
        <f t="shared" si="44"/>
        <v>0</v>
      </c>
      <c r="G173" s="45" t="s">
        <v>448</v>
      </c>
      <c r="H173" s="45" t="s">
        <v>458</v>
      </c>
      <c r="I173" s="162" t="str">
        <f t="shared" si="45"/>
        <v/>
      </c>
      <c r="J173" s="11" t="s">
        <v>624</v>
      </c>
      <c r="K173" s="673">
        <v>3056</v>
      </c>
      <c r="L173" s="678" t="s">
        <v>1740</v>
      </c>
    </row>
    <row r="174" spans="2:12" s="112" customFormat="1" hidden="1">
      <c r="B174" s="45"/>
      <c r="C174" s="45">
        <f t="shared" si="39"/>
        <v>3158</v>
      </c>
      <c r="D174" s="45">
        <f t="shared" si="40"/>
        <v>5</v>
      </c>
      <c r="E174" s="45">
        <f t="shared" si="41"/>
        <v>2017</v>
      </c>
      <c r="F174" s="45">
        <f t="shared" si="44"/>
        <v>0</v>
      </c>
      <c r="G174" s="45" t="s">
        <v>448</v>
      </c>
      <c r="H174" s="45" t="s">
        <v>460</v>
      </c>
      <c r="I174" s="162" t="str">
        <f t="shared" si="45"/>
        <v/>
      </c>
      <c r="J174" s="11" t="s">
        <v>625</v>
      </c>
      <c r="K174" s="673">
        <v>3060</v>
      </c>
      <c r="L174" s="674" t="s">
        <v>337</v>
      </c>
    </row>
    <row r="175" spans="2:12" s="112" customFormat="1" hidden="1">
      <c r="B175" s="45"/>
      <c r="C175" s="45">
        <f t="shared" si="39"/>
        <v>3158</v>
      </c>
      <c r="D175" s="45">
        <f t="shared" si="40"/>
        <v>5</v>
      </c>
      <c r="E175" s="45">
        <f t="shared" si="41"/>
        <v>2017</v>
      </c>
      <c r="F175" s="45">
        <f t="shared" ref="F175:F185" si="46">Q$3</f>
        <v>0</v>
      </c>
      <c r="G175" s="45" t="s">
        <v>448</v>
      </c>
      <c r="H175" s="45" t="s">
        <v>449</v>
      </c>
      <c r="I175" s="162" t="str">
        <f t="shared" ref="I175:I185" si="47">IF(ISBLANK(Q4),"",Q4)</f>
        <v/>
      </c>
      <c r="J175" s="11" t="s">
        <v>626</v>
      </c>
      <c r="K175" s="673">
        <v>3061</v>
      </c>
      <c r="L175" s="674" t="s">
        <v>2311</v>
      </c>
    </row>
    <row r="176" spans="2:12" s="112" customFormat="1" hidden="1">
      <c r="B176" s="45"/>
      <c r="C176" s="45">
        <f t="shared" si="39"/>
        <v>3158</v>
      </c>
      <c r="D176" s="45">
        <f t="shared" si="40"/>
        <v>5</v>
      </c>
      <c r="E176" s="45">
        <f t="shared" si="41"/>
        <v>2017</v>
      </c>
      <c r="F176" s="45">
        <f t="shared" si="46"/>
        <v>0</v>
      </c>
      <c r="G176" s="45" t="s">
        <v>448</v>
      </c>
      <c r="H176" s="45" t="s">
        <v>450</v>
      </c>
      <c r="I176" s="162" t="str">
        <f t="shared" si="47"/>
        <v/>
      </c>
      <c r="J176" s="11" t="s">
        <v>627</v>
      </c>
      <c r="K176" s="673">
        <v>3062</v>
      </c>
      <c r="L176" s="674" t="s">
        <v>338</v>
      </c>
    </row>
    <row r="177" spans="2:12" s="112" customFormat="1" hidden="1">
      <c r="B177" s="45"/>
      <c r="C177" s="45">
        <f t="shared" si="39"/>
        <v>3158</v>
      </c>
      <c r="D177" s="45">
        <f t="shared" si="40"/>
        <v>5</v>
      </c>
      <c r="E177" s="45">
        <f t="shared" si="41"/>
        <v>2017</v>
      </c>
      <c r="F177" s="45">
        <f t="shared" si="46"/>
        <v>0</v>
      </c>
      <c r="G177" s="45" t="s">
        <v>448</v>
      </c>
      <c r="H177" s="45" t="s">
        <v>451</v>
      </c>
      <c r="I177" s="162" t="str">
        <f t="shared" si="47"/>
        <v/>
      </c>
      <c r="J177" s="11" t="s">
        <v>628</v>
      </c>
      <c r="K177" s="673">
        <v>3063</v>
      </c>
      <c r="L177" s="678" t="s">
        <v>2364</v>
      </c>
    </row>
    <row r="178" spans="2:12" s="112" customFormat="1" hidden="1">
      <c r="B178" s="45"/>
      <c r="C178" s="45">
        <f t="shared" si="39"/>
        <v>3158</v>
      </c>
      <c r="D178" s="45">
        <f t="shared" si="40"/>
        <v>5</v>
      </c>
      <c r="E178" s="45">
        <f t="shared" si="41"/>
        <v>2017</v>
      </c>
      <c r="F178" s="45">
        <f t="shared" si="46"/>
        <v>0</v>
      </c>
      <c r="G178" s="45" t="s">
        <v>448</v>
      </c>
      <c r="H178" s="45" t="s">
        <v>452</v>
      </c>
      <c r="I178" s="162" t="str">
        <f t="shared" si="47"/>
        <v/>
      </c>
      <c r="J178" s="11" t="s">
        <v>629</v>
      </c>
      <c r="K178" s="673">
        <v>3065</v>
      </c>
      <c r="L178" s="674" t="s">
        <v>391</v>
      </c>
    </row>
    <row r="179" spans="2:12" s="112" customFormat="1" hidden="1">
      <c r="B179" s="45"/>
      <c r="C179" s="45">
        <f t="shared" si="39"/>
        <v>3158</v>
      </c>
      <c r="D179" s="45">
        <f t="shared" si="40"/>
        <v>5</v>
      </c>
      <c r="E179" s="45">
        <f t="shared" si="41"/>
        <v>2017</v>
      </c>
      <c r="F179" s="45">
        <f t="shared" si="46"/>
        <v>0</v>
      </c>
      <c r="G179" s="45" t="s">
        <v>448</v>
      </c>
      <c r="H179" s="45" t="s">
        <v>453</v>
      </c>
      <c r="I179" s="162" t="str">
        <f t="shared" si="47"/>
        <v/>
      </c>
      <c r="J179" s="11" t="s">
        <v>630</v>
      </c>
      <c r="K179" s="673">
        <v>3066</v>
      </c>
      <c r="L179" s="678" t="s">
        <v>339</v>
      </c>
    </row>
    <row r="180" spans="2:12" s="112" customFormat="1" hidden="1">
      <c r="B180" s="45"/>
      <c r="C180" s="45">
        <f t="shared" si="39"/>
        <v>3158</v>
      </c>
      <c r="D180" s="45">
        <f t="shared" si="40"/>
        <v>5</v>
      </c>
      <c r="E180" s="45">
        <f t="shared" si="41"/>
        <v>2017</v>
      </c>
      <c r="F180" s="45">
        <f t="shared" si="46"/>
        <v>0</v>
      </c>
      <c r="G180" s="45" t="s">
        <v>448</v>
      </c>
      <c r="H180" s="45" t="s">
        <v>454</v>
      </c>
      <c r="I180" s="162" t="str">
        <f t="shared" si="47"/>
        <v/>
      </c>
      <c r="J180" s="11" t="s">
        <v>631</v>
      </c>
      <c r="K180" s="673">
        <v>3067</v>
      </c>
      <c r="L180" s="674" t="s">
        <v>2349</v>
      </c>
    </row>
    <row r="181" spans="2:12" s="112" customFormat="1" hidden="1">
      <c r="B181" s="45"/>
      <c r="C181" s="45">
        <f t="shared" si="39"/>
        <v>3158</v>
      </c>
      <c r="D181" s="45">
        <f t="shared" si="40"/>
        <v>5</v>
      </c>
      <c r="E181" s="45">
        <f t="shared" si="41"/>
        <v>2017</v>
      </c>
      <c r="F181" s="45">
        <f t="shared" si="46"/>
        <v>0</v>
      </c>
      <c r="G181" s="45" t="s">
        <v>448</v>
      </c>
      <c r="H181" s="45" t="s">
        <v>455</v>
      </c>
      <c r="I181" s="162" t="str">
        <f t="shared" si="47"/>
        <v/>
      </c>
      <c r="J181" s="11" t="s">
        <v>632</v>
      </c>
      <c r="K181" s="676">
        <v>3068</v>
      </c>
      <c r="L181" s="677" t="s">
        <v>340</v>
      </c>
    </row>
    <row r="182" spans="2:12" s="112" customFormat="1" hidden="1">
      <c r="B182" s="45"/>
      <c r="C182" s="45">
        <f t="shared" si="39"/>
        <v>3158</v>
      </c>
      <c r="D182" s="45">
        <f t="shared" si="40"/>
        <v>5</v>
      </c>
      <c r="E182" s="45">
        <f t="shared" si="41"/>
        <v>2017</v>
      </c>
      <c r="F182" s="45">
        <f t="shared" si="46"/>
        <v>0</v>
      </c>
      <c r="G182" s="45" t="s">
        <v>448</v>
      </c>
      <c r="H182" s="45" t="s">
        <v>456</v>
      </c>
      <c r="I182" s="162" t="str">
        <f t="shared" si="47"/>
        <v/>
      </c>
      <c r="J182" s="11" t="s">
        <v>633</v>
      </c>
      <c r="K182" s="675">
        <v>3069</v>
      </c>
      <c r="L182" s="674" t="s">
        <v>341</v>
      </c>
    </row>
    <row r="183" spans="2:12" s="112" customFormat="1" hidden="1">
      <c r="B183" s="45"/>
      <c r="C183" s="45">
        <f t="shared" si="39"/>
        <v>3158</v>
      </c>
      <c r="D183" s="45">
        <f t="shared" si="40"/>
        <v>5</v>
      </c>
      <c r="E183" s="45">
        <f t="shared" si="41"/>
        <v>2017</v>
      </c>
      <c r="F183" s="45">
        <f t="shared" si="46"/>
        <v>0</v>
      </c>
      <c r="G183" s="45" t="s">
        <v>448</v>
      </c>
      <c r="H183" s="45" t="s">
        <v>457</v>
      </c>
      <c r="I183" s="162" t="str">
        <f t="shared" si="47"/>
        <v/>
      </c>
      <c r="J183" s="11" t="s">
        <v>634</v>
      </c>
      <c r="K183" s="673">
        <v>3070</v>
      </c>
      <c r="L183" s="678" t="s">
        <v>2160</v>
      </c>
    </row>
    <row r="184" spans="2:12" s="112" customFormat="1" hidden="1">
      <c r="B184" s="45"/>
      <c r="C184" s="45">
        <f t="shared" si="39"/>
        <v>3158</v>
      </c>
      <c r="D184" s="45">
        <f t="shared" si="40"/>
        <v>5</v>
      </c>
      <c r="E184" s="45">
        <f t="shared" si="41"/>
        <v>2017</v>
      </c>
      <c r="F184" s="45">
        <f t="shared" si="46"/>
        <v>0</v>
      </c>
      <c r="G184" s="45" t="s">
        <v>448</v>
      </c>
      <c r="H184" s="45" t="s">
        <v>458</v>
      </c>
      <c r="I184" s="162" t="str">
        <f t="shared" si="47"/>
        <v/>
      </c>
      <c r="J184" s="11" t="s">
        <v>635</v>
      </c>
      <c r="K184" s="673">
        <v>3073</v>
      </c>
      <c r="L184" s="678" t="s">
        <v>2365</v>
      </c>
    </row>
    <row r="185" spans="2:12" s="112" customFormat="1" hidden="1">
      <c r="B185" s="45"/>
      <c r="C185" s="45">
        <f t="shared" si="39"/>
        <v>3158</v>
      </c>
      <c r="D185" s="45">
        <f t="shared" si="40"/>
        <v>5</v>
      </c>
      <c r="E185" s="45">
        <f t="shared" si="41"/>
        <v>2017</v>
      </c>
      <c r="F185" s="45">
        <f t="shared" si="46"/>
        <v>0</v>
      </c>
      <c r="G185" s="45" t="s">
        <v>448</v>
      </c>
      <c r="H185" s="45" t="s">
        <v>460</v>
      </c>
      <c r="I185" s="162" t="str">
        <f t="shared" si="47"/>
        <v/>
      </c>
      <c r="J185" s="11" t="s">
        <v>636</v>
      </c>
      <c r="K185" s="673">
        <v>3076</v>
      </c>
      <c r="L185" s="678" t="s">
        <v>2161</v>
      </c>
    </row>
    <row r="186" spans="2:12" s="112" customFormat="1" hidden="1">
      <c r="B186" s="45"/>
      <c r="C186" s="45">
        <f t="shared" si="39"/>
        <v>3158</v>
      </c>
      <c r="D186" s="45">
        <f t="shared" si="40"/>
        <v>5</v>
      </c>
      <c r="E186" s="45">
        <f t="shared" si="41"/>
        <v>2017</v>
      </c>
      <c r="F186" s="45">
        <f t="shared" ref="F186:F196" si="48">R$3</f>
        <v>0</v>
      </c>
      <c r="G186" s="45" t="s">
        <v>448</v>
      </c>
      <c r="H186" s="45" t="s">
        <v>449</v>
      </c>
      <c r="I186" s="162" t="str">
        <f t="shared" ref="I186:I196" si="49">IF(ISBLANK(R4),"",R4)</f>
        <v/>
      </c>
      <c r="J186" s="11" t="s">
        <v>637</v>
      </c>
      <c r="K186" s="676">
        <v>3077</v>
      </c>
      <c r="L186" s="677" t="s">
        <v>2126</v>
      </c>
    </row>
    <row r="187" spans="2:12" s="112" customFormat="1" hidden="1">
      <c r="B187" s="45"/>
      <c r="C187" s="45">
        <f t="shared" si="39"/>
        <v>3158</v>
      </c>
      <c r="D187" s="45">
        <f t="shared" si="40"/>
        <v>5</v>
      </c>
      <c r="E187" s="45">
        <f t="shared" si="41"/>
        <v>2017</v>
      </c>
      <c r="F187" s="45">
        <f t="shared" si="48"/>
        <v>0</v>
      </c>
      <c r="G187" s="45" t="s">
        <v>448</v>
      </c>
      <c r="H187" s="45" t="s">
        <v>450</v>
      </c>
      <c r="I187" s="162" t="str">
        <f t="shared" si="49"/>
        <v/>
      </c>
      <c r="J187" s="11" t="s">
        <v>638</v>
      </c>
      <c r="K187" s="673">
        <v>3080</v>
      </c>
      <c r="L187" s="674" t="s">
        <v>2061</v>
      </c>
    </row>
    <row r="188" spans="2:12" s="112" customFormat="1" hidden="1">
      <c r="B188" s="45"/>
      <c r="C188" s="45">
        <f t="shared" si="39"/>
        <v>3158</v>
      </c>
      <c r="D188" s="45">
        <f t="shared" si="40"/>
        <v>5</v>
      </c>
      <c r="E188" s="45">
        <f t="shared" si="41"/>
        <v>2017</v>
      </c>
      <c r="F188" s="45">
        <f t="shared" si="48"/>
        <v>0</v>
      </c>
      <c r="G188" s="45" t="s">
        <v>448</v>
      </c>
      <c r="H188" s="45" t="s">
        <v>451</v>
      </c>
      <c r="I188" s="162" t="str">
        <f t="shared" si="49"/>
        <v/>
      </c>
      <c r="J188" s="11" t="s">
        <v>639</v>
      </c>
      <c r="K188" s="673">
        <v>3081</v>
      </c>
      <c r="L188" s="674" t="s">
        <v>392</v>
      </c>
    </row>
    <row r="189" spans="2:12" s="112" customFormat="1" hidden="1">
      <c r="B189" s="45"/>
      <c r="C189" s="45">
        <f t="shared" si="39"/>
        <v>3158</v>
      </c>
      <c r="D189" s="45">
        <f t="shared" si="40"/>
        <v>5</v>
      </c>
      <c r="E189" s="45">
        <f t="shared" si="41"/>
        <v>2017</v>
      </c>
      <c r="F189" s="45">
        <f t="shared" si="48"/>
        <v>0</v>
      </c>
      <c r="G189" s="45" t="s">
        <v>448</v>
      </c>
      <c r="H189" s="45" t="s">
        <v>452</v>
      </c>
      <c r="I189" s="162" t="str">
        <f t="shared" si="49"/>
        <v/>
      </c>
      <c r="J189" s="11" t="s">
        <v>640</v>
      </c>
      <c r="K189" s="673">
        <v>3083</v>
      </c>
      <c r="L189" s="674" t="s">
        <v>13</v>
      </c>
    </row>
    <row r="190" spans="2:12" s="112" customFormat="1" hidden="1">
      <c r="B190" s="45"/>
      <c r="C190" s="45">
        <f t="shared" si="39"/>
        <v>3158</v>
      </c>
      <c r="D190" s="45">
        <f t="shared" si="40"/>
        <v>5</v>
      </c>
      <c r="E190" s="45">
        <f t="shared" si="41"/>
        <v>2017</v>
      </c>
      <c r="F190" s="45">
        <f t="shared" si="48"/>
        <v>0</v>
      </c>
      <c r="G190" s="45" t="s">
        <v>448</v>
      </c>
      <c r="H190" s="45" t="s">
        <v>453</v>
      </c>
      <c r="I190" s="162" t="str">
        <f t="shared" si="49"/>
        <v/>
      </c>
      <c r="J190" s="11" t="s">
        <v>641</v>
      </c>
      <c r="K190" s="673">
        <v>3084</v>
      </c>
      <c r="L190" s="674" t="s">
        <v>2312</v>
      </c>
    </row>
    <row r="191" spans="2:12" s="112" customFormat="1" hidden="1">
      <c r="B191" s="45"/>
      <c r="C191" s="45">
        <f t="shared" si="39"/>
        <v>3158</v>
      </c>
      <c r="D191" s="45">
        <f t="shared" si="40"/>
        <v>5</v>
      </c>
      <c r="E191" s="45">
        <f t="shared" si="41"/>
        <v>2017</v>
      </c>
      <c r="F191" s="45">
        <f t="shared" si="48"/>
        <v>0</v>
      </c>
      <c r="G191" s="45" t="s">
        <v>448</v>
      </c>
      <c r="H191" s="45" t="s">
        <v>454</v>
      </c>
      <c r="I191" s="162" t="str">
        <f t="shared" si="49"/>
        <v/>
      </c>
      <c r="J191" s="11" t="s">
        <v>642</v>
      </c>
      <c r="K191" s="673">
        <v>3085</v>
      </c>
      <c r="L191" s="674" t="s">
        <v>1787</v>
      </c>
    </row>
    <row r="192" spans="2:12" s="112" customFormat="1" hidden="1">
      <c r="B192" s="45"/>
      <c r="C192" s="45">
        <f t="shared" si="39"/>
        <v>3158</v>
      </c>
      <c r="D192" s="45">
        <f t="shared" si="40"/>
        <v>5</v>
      </c>
      <c r="E192" s="45">
        <f t="shared" si="41"/>
        <v>2017</v>
      </c>
      <c r="F192" s="45">
        <f t="shared" si="48"/>
        <v>0</v>
      </c>
      <c r="G192" s="45" t="s">
        <v>448</v>
      </c>
      <c r="H192" s="45" t="s">
        <v>455</v>
      </c>
      <c r="I192" s="162" t="str">
        <f t="shared" si="49"/>
        <v/>
      </c>
      <c r="J192" s="11" t="s">
        <v>643</v>
      </c>
      <c r="K192" s="673">
        <v>3086</v>
      </c>
      <c r="L192" s="674" t="s">
        <v>2145</v>
      </c>
    </row>
    <row r="193" spans="2:12" s="112" customFormat="1" hidden="1">
      <c r="B193" s="45"/>
      <c r="C193" s="45">
        <f t="shared" si="39"/>
        <v>3158</v>
      </c>
      <c r="D193" s="45">
        <f t="shared" si="40"/>
        <v>5</v>
      </c>
      <c r="E193" s="45">
        <f t="shared" si="41"/>
        <v>2017</v>
      </c>
      <c r="F193" s="45">
        <f t="shared" si="48"/>
        <v>0</v>
      </c>
      <c r="G193" s="45" t="s">
        <v>448</v>
      </c>
      <c r="H193" s="45" t="s">
        <v>456</v>
      </c>
      <c r="I193" s="162" t="str">
        <f t="shared" si="49"/>
        <v/>
      </c>
      <c r="J193" s="11" t="s">
        <v>644</v>
      </c>
      <c r="K193" s="673">
        <v>3090</v>
      </c>
      <c r="L193" s="674" t="s">
        <v>2152</v>
      </c>
    </row>
    <row r="194" spans="2:12" s="112" customFormat="1" hidden="1">
      <c r="B194" s="45"/>
      <c r="C194" s="45">
        <f t="shared" si="39"/>
        <v>3158</v>
      </c>
      <c r="D194" s="45">
        <f t="shared" si="40"/>
        <v>5</v>
      </c>
      <c r="E194" s="45">
        <f t="shared" si="41"/>
        <v>2017</v>
      </c>
      <c r="F194" s="45">
        <f t="shared" si="48"/>
        <v>0</v>
      </c>
      <c r="G194" s="45" t="s">
        <v>448</v>
      </c>
      <c r="H194" s="45" t="s">
        <v>457</v>
      </c>
      <c r="I194" s="162" t="str">
        <f t="shared" si="49"/>
        <v/>
      </c>
      <c r="J194" s="11" t="s">
        <v>645</v>
      </c>
      <c r="K194" s="673">
        <v>3093</v>
      </c>
      <c r="L194" s="674" t="s">
        <v>1788</v>
      </c>
    </row>
    <row r="195" spans="2:12" s="112" customFormat="1" hidden="1">
      <c r="B195" s="45"/>
      <c r="C195" s="45">
        <f t="shared" si="39"/>
        <v>3158</v>
      </c>
      <c r="D195" s="45">
        <f t="shared" si="40"/>
        <v>5</v>
      </c>
      <c r="E195" s="45">
        <f t="shared" si="41"/>
        <v>2017</v>
      </c>
      <c r="F195" s="45">
        <f t="shared" si="48"/>
        <v>0</v>
      </c>
      <c r="G195" s="45" t="s">
        <v>448</v>
      </c>
      <c r="H195" s="45" t="s">
        <v>458</v>
      </c>
      <c r="I195" s="162" t="str">
        <f t="shared" si="49"/>
        <v/>
      </c>
      <c r="J195" s="11" t="s">
        <v>646</v>
      </c>
      <c r="K195" s="673">
        <v>3096</v>
      </c>
      <c r="L195" s="674" t="s">
        <v>1789</v>
      </c>
    </row>
    <row r="196" spans="2:12" s="112" customFormat="1" hidden="1">
      <c r="B196" s="45"/>
      <c r="C196" s="45">
        <f t="shared" si="39"/>
        <v>3158</v>
      </c>
      <c r="D196" s="45">
        <f t="shared" si="40"/>
        <v>5</v>
      </c>
      <c r="E196" s="45">
        <f t="shared" si="41"/>
        <v>2017</v>
      </c>
      <c r="F196" s="45">
        <f t="shared" si="48"/>
        <v>0</v>
      </c>
      <c r="G196" s="45" t="s">
        <v>448</v>
      </c>
      <c r="H196" s="45" t="s">
        <v>460</v>
      </c>
      <c r="I196" s="162" t="str">
        <f t="shared" si="49"/>
        <v/>
      </c>
      <c r="J196" s="11" t="s">
        <v>647</v>
      </c>
      <c r="K196" s="673">
        <v>3098</v>
      </c>
      <c r="L196" s="674" t="s">
        <v>14</v>
      </c>
    </row>
    <row r="197" spans="2:12" s="112" customFormat="1" hidden="1">
      <c r="B197" s="45"/>
      <c r="C197" s="45">
        <f t="shared" si="39"/>
        <v>3158</v>
      </c>
      <c r="D197" s="45">
        <f t="shared" si="40"/>
        <v>5</v>
      </c>
      <c r="E197" s="45">
        <f t="shared" si="41"/>
        <v>2017</v>
      </c>
      <c r="F197" s="45">
        <f t="shared" ref="F197:F207" si="50">S$3</f>
        <v>0</v>
      </c>
      <c r="G197" s="45" t="s">
        <v>448</v>
      </c>
      <c r="H197" s="45" t="s">
        <v>449</v>
      </c>
      <c r="I197" s="162" t="str">
        <f t="shared" ref="I197:I207" si="51">IF(ISBLANK(S4),"",S4)</f>
        <v/>
      </c>
      <c r="J197" s="11" t="s">
        <v>648</v>
      </c>
      <c r="K197" s="673">
        <v>3103</v>
      </c>
      <c r="L197" s="674" t="s">
        <v>2146</v>
      </c>
    </row>
    <row r="198" spans="2:12" s="112" customFormat="1" hidden="1">
      <c r="B198" s="45"/>
      <c r="C198" s="45">
        <f t="shared" si="39"/>
        <v>3158</v>
      </c>
      <c r="D198" s="45">
        <f t="shared" si="40"/>
        <v>5</v>
      </c>
      <c r="E198" s="45">
        <f t="shared" si="41"/>
        <v>2017</v>
      </c>
      <c r="F198" s="45">
        <f t="shared" si="50"/>
        <v>0</v>
      </c>
      <c r="G198" s="45" t="s">
        <v>448</v>
      </c>
      <c r="H198" s="45" t="s">
        <v>450</v>
      </c>
      <c r="I198" s="162" t="str">
        <f t="shared" si="51"/>
        <v/>
      </c>
      <c r="J198" s="11" t="s">
        <v>649</v>
      </c>
      <c r="K198" s="673">
        <v>3105</v>
      </c>
      <c r="L198" s="674" t="s">
        <v>2147</v>
      </c>
    </row>
    <row r="199" spans="2:12" s="112" customFormat="1" hidden="1">
      <c r="B199" s="45"/>
      <c r="C199" s="45">
        <f t="shared" si="39"/>
        <v>3158</v>
      </c>
      <c r="D199" s="45">
        <f t="shared" si="40"/>
        <v>5</v>
      </c>
      <c r="E199" s="45">
        <f t="shared" si="41"/>
        <v>2017</v>
      </c>
      <c r="F199" s="45">
        <f t="shared" si="50"/>
        <v>0</v>
      </c>
      <c r="G199" s="45" t="s">
        <v>448</v>
      </c>
      <c r="H199" s="45" t="s">
        <v>451</v>
      </c>
      <c r="I199" s="162" t="str">
        <f t="shared" si="51"/>
        <v/>
      </c>
      <c r="J199" s="11" t="s">
        <v>650</v>
      </c>
      <c r="K199" s="673">
        <v>3107</v>
      </c>
      <c r="L199" s="674" t="s">
        <v>2355</v>
      </c>
    </row>
    <row r="200" spans="2:12" s="112" customFormat="1" hidden="1">
      <c r="B200" s="45"/>
      <c r="C200" s="45">
        <f t="shared" si="39"/>
        <v>3158</v>
      </c>
      <c r="D200" s="45">
        <f t="shared" si="40"/>
        <v>5</v>
      </c>
      <c r="E200" s="45">
        <f t="shared" si="41"/>
        <v>2017</v>
      </c>
      <c r="F200" s="45">
        <f t="shared" si="50"/>
        <v>0</v>
      </c>
      <c r="G200" s="45" t="s">
        <v>448</v>
      </c>
      <c r="H200" s="45" t="s">
        <v>452</v>
      </c>
      <c r="I200" s="162" t="str">
        <f t="shared" si="51"/>
        <v/>
      </c>
      <c r="J200" s="11" t="s">
        <v>651</v>
      </c>
      <c r="K200" s="673">
        <v>3109</v>
      </c>
      <c r="L200" s="674" t="s">
        <v>1790</v>
      </c>
    </row>
    <row r="201" spans="2:12" s="112" customFormat="1" hidden="1">
      <c r="B201" s="45"/>
      <c r="C201" s="45">
        <f t="shared" si="39"/>
        <v>3158</v>
      </c>
      <c r="D201" s="45">
        <f t="shared" si="40"/>
        <v>5</v>
      </c>
      <c r="E201" s="45">
        <f t="shared" si="41"/>
        <v>2017</v>
      </c>
      <c r="F201" s="45">
        <f t="shared" si="50"/>
        <v>0</v>
      </c>
      <c r="G201" s="45" t="s">
        <v>448</v>
      </c>
      <c r="H201" s="45" t="s">
        <v>453</v>
      </c>
      <c r="I201" s="162" t="str">
        <f t="shared" si="51"/>
        <v/>
      </c>
      <c r="J201" s="11" t="s">
        <v>652</v>
      </c>
      <c r="K201" s="673">
        <v>3110</v>
      </c>
      <c r="L201" s="674" t="s">
        <v>2366</v>
      </c>
    </row>
    <row r="202" spans="2:12" s="112" customFormat="1" hidden="1">
      <c r="B202" s="45"/>
      <c r="C202" s="45">
        <f t="shared" si="39"/>
        <v>3158</v>
      </c>
      <c r="D202" s="45">
        <f t="shared" si="40"/>
        <v>5</v>
      </c>
      <c r="E202" s="45">
        <f t="shared" si="41"/>
        <v>2017</v>
      </c>
      <c r="F202" s="45">
        <f t="shared" si="50"/>
        <v>0</v>
      </c>
      <c r="G202" s="45" t="s">
        <v>448</v>
      </c>
      <c r="H202" s="45" t="s">
        <v>454</v>
      </c>
      <c r="I202" s="162" t="str">
        <f t="shared" si="51"/>
        <v/>
      </c>
      <c r="J202" s="11" t="s">
        <v>653</v>
      </c>
      <c r="K202" s="673">
        <v>3111</v>
      </c>
      <c r="L202" s="674" t="s">
        <v>2153</v>
      </c>
    </row>
    <row r="203" spans="2:12" s="112" customFormat="1" hidden="1">
      <c r="B203" s="45"/>
      <c r="C203" s="45">
        <f t="shared" si="39"/>
        <v>3158</v>
      </c>
      <c r="D203" s="45">
        <f t="shared" si="40"/>
        <v>5</v>
      </c>
      <c r="E203" s="45">
        <f t="shared" si="41"/>
        <v>2017</v>
      </c>
      <c r="F203" s="45">
        <f t="shared" si="50"/>
        <v>0</v>
      </c>
      <c r="G203" s="45" t="s">
        <v>448</v>
      </c>
      <c r="H203" s="45" t="s">
        <v>455</v>
      </c>
      <c r="I203" s="162" t="str">
        <f t="shared" si="51"/>
        <v/>
      </c>
      <c r="J203" s="11" t="s">
        <v>654</v>
      </c>
      <c r="K203" s="676">
        <v>3113</v>
      </c>
      <c r="L203" s="677" t="s">
        <v>1791</v>
      </c>
    </row>
    <row r="204" spans="2:12" s="112" customFormat="1" hidden="1">
      <c r="B204" s="45"/>
      <c r="C204" s="45">
        <f t="shared" si="39"/>
        <v>3158</v>
      </c>
      <c r="D204" s="45">
        <f t="shared" si="40"/>
        <v>5</v>
      </c>
      <c r="E204" s="45">
        <f t="shared" si="41"/>
        <v>2017</v>
      </c>
      <c r="F204" s="45">
        <f t="shared" si="50"/>
        <v>0</v>
      </c>
      <c r="G204" s="45" t="s">
        <v>448</v>
      </c>
      <c r="H204" s="45" t="s">
        <v>456</v>
      </c>
      <c r="I204" s="162" t="str">
        <f t="shared" si="51"/>
        <v/>
      </c>
      <c r="J204" s="11" t="s">
        <v>655</v>
      </c>
      <c r="K204" s="673">
        <v>3115</v>
      </c>
      <c r="L204" s="674" t="s">
        <v>1792</v>
      </c>
    </row>
    <row r="205" spans="2:12" s="112" customFormat="1" hidden="1">
      <c r="B205" s="45"/>
      <c r="C205" s="45">
        <f t="shared" si="39"/>
        <v>3158</v>
      </c>
      <c r="D205" s="45">
        <f t="shared" si="40"/>
        <v>5</v>
      </c>
      <c r="E205" s="45">
        <f t="shared" si="41"/>
        <v>2017</v>
      </c>
      <c r="F205" s="45">
        <f t="shared" si="50"/>
        <v>0</v>
      </c>
      <c r="G205" s="45" t="s">
        <v>448</v>
      </c>
      <c r="H205" s="45" t="s">
        <v>457</v>
      </c>
      <c r="I205" s="162" t="str">
        <f t="shared" si="51"/>
        <v/>
      </c>
      <c r="J205" s="11" t="s">
        <v>656</v>
      </c>
      <c r="K205" s="673">
        <v>3116</v>
      </c>
      <c r="L205" s="674" t="s">
        <v>1793</v>
      </c>
    </row>
    <row r="206" spans="2:12" s="112" customFormat="1" hidden="1">
      <c r="B206" s="45"/>
      <c r="C206" s="45">
        <f t="shared" si="39"/>
        <v>3158</v>
      </c>
      <c r="D206" s="45">
        <f t="shared" si="40"/>
        <v>5</v>
      </c>
      <c r="E206" s="45">
        <f t="shared" si="41"/>
        <v>2017</v>
      </c>
      <c r="F206" s="45">
        <f t="shared" si="50"/>
        <v>0</v>
      </c>
      <c r="G206" s="45" t="s">
        <v>448</v>
      </c>
      <c r="H206" s="45" t="s">
        <v>458</v>
      </c>
      <c r="I206" s="162" t="str">
        <f t="shared" si="51"/>
        <v/>
      </c>
      <c r="J206" s="11" t="s">
        <v>657</v>
      </c>
      <c r="K206" s="673">
        <v>3117</v>
      </c>
      <c r="L206" s="674" t="s">
        <v>2171</v>
      </c>
    </row>
    <row r="207" spans="2:12" s="112" customFormat="1" hidden="1">
      <c r="B207" s="45"/>
      <c r="C207" s="45">
        <f t="shared" si="39"/>
        <v>3158</v>
      </c>
      <c r="D207" s="45">
        <f t="shared" si="40"/>
        <v>5</v>
      </c>
      <c r="E207" s="45">
        <f t="shared" si="41"/>
        <v>2017</v>
      </c>
      <c r="F207" s="45">
        <f t="shared" si="50"/>
        <v>0</v>
      </c>
      <c r="G207" s="45" t="s">
        <v>448</v>
      </c>
      <c r="H207" s="45" t="s">
        <v>460</v>
      </c>
      <c r="I207" s="162" t="str">
        <f t="shared" si="51"/>
        <v/>
      </c>
      <c r="J207" s="11" t="s">
        <v>658</v>
      </c>
      <c r="K207" s="673">
        <v>3119</v>
      </c>
      <c r="L207" s="674" t="s">
        <v>2148</v>
      </c>
    </row>
    <row r="208" spans="2:12" s="112" customFormat="1" hidden="1">
      <c r="B208" s="45"/>
      <c r="C208" s="45">
        <f t="shared" si="39"/>
        <v>3158</v>
      </c>
      <c r="D208" s="45">
        <f t="shared" si="40"/>
        <v>5</v>
      </c>
      <c r="E208" s="45">
        <f t="shared" si="41"/>
        <v>2017</v>
      </c>
      <c r="F208" s="45">
        <f t="shared" ref="F208:F218" si="52">T$3</f>
        <v>0</v>
      </c>
      <c r="G208" s="45" t="s">
        <v>448</v>
      </c>
      <c r="H208" s="45" t="s">
        <v>449</v>
      </c>
      <c r="I208" s="162" t="str">
        <f t="shared" ref="I208:I218" si="53">IF(ISBLANK(T4),"",T4)</f>
        <v/>
      </c>
      <c r="J208" s="11" t="s">
        <v>659</v>
      </c>
      <c r="K208" s="673">
        <v>3123</v>
      </c>
      <c r="L208" s="674" t="s">
        <v>2210</v>
      </c>
    </row>
    <row r="209" spans="2:12" s="112" customFormat="1" hidden="1">
      <c r="B209" s="45"/>
      <c r="C209" s="45">
        <f t="shared" si="39"/>
        <v>3158</v>
      </c>
      <c r="D209" s="45">
        <f t="shared" si="40"/>
        <v>5</v>
      </c>
      <c r="E209" s="45">
        <f t="shared" si="41"/>
        <v>2017</v>
      </c>
      <c r="F209" s="45">
        <f t="shared" si="52"/>
        <v>0</v>
      </c>
      <c r="G209" s="45" t="s">
        <v>448</v>
      </c>
      <c r="H209" s="45" t="s">
        <v>450</v>
      </c>
      <c r="I209" s="162" t="str">
        <f t="shared" si="53"/>
        <v/>
      </c>
      <c r="J209" s="11" t="s">
        <v>660</v>
      </c>
      <c r="K209" s="673">
        <v>3124</v>
      </c>
      <c r="L209" s="674" t="s">
        <v>2211</v>
      </c>
    </row>
    <row r="210" spans="2:12" s="112" customFormat="1" hidden="1">
      <c r="B210" s="45"/>
      <c r="C210" s="45">
        <f t="shared" si="39"/>
        <v>3158</v>
      </c>
      <c r="D210" s="45">
        <f t="shared" si="40"/>
        <v>5</v>
      </c>
      <c r="E210" s="45">
        <f t="shared" si="41"/>
        <v>2017</v>
      </c>
      <c r="F210" s="45">
        <f t="shared" si="52"/>
        <v>0</v>
      </c>
      <c r="G210" s="45" t="s">
        <v>448</v>
      </c>
      <c r="H210" s="45" t="s">
        <v>451</v>
      </c>
      <c r="I210" s="162" t="str">
        <f t="shared" si="53"/>
        <v/>
      </c>
      <c r="J210" s="11" t="s">
        <v>661</v>
      </c>
      <c r="K210" s="673">
        <v>3126</v>
      </c>
      <c r="L210" s="674" t="s">
        <v>15</v>
      </c>
    </row>
    <row r="211" spans="2:12" s="112" customFormat="1" hidden="1">
      <c r="B211" s="45"/>
      <c r="C211" s="45">
        <f t="shared" si="39"/>
        <v>3158</v>
      </c>
      <c r="D211" s="45">
        <f t="shared" si="40"/>
        <v>5</v>
      </c>
      <c r="E211" s="45">
        <f t="shared" si="41"/>
        <v>2017</v>
      </c>
      <c r="F211" s="45">
        <f t="shared" si="52"/>
        <v>0</v>
      </c>
      <c r="G211" s="45" t="s">
        <v>448</v>
      </c>
      <c r="H211" s="45" t="s">
        <v>452</v>
      </c>
      <c r="I211" s="162" t="str">
        <f t="shared" si="53"/>
        <v/>
      </c>
      <c r="J211" s="11" t="s">
        <v>662</v>
      </c>
      <c r="K211" s="676">
        <v>3127</v>
      </c>
      <c r="L211" s="677" t="s">
        <v>1794</v>
      </c>
    </row>
    <row r="212" spans="2:12" s="112" customFormat="1" hidden="1">
      <c r="B212" s="45"/>
      <c r="C212" s="45">
        <f t="shared" si="39"/>
        <v>3158</v>
      </c>
      <c r="D212" s="45">
        <f t="shared" si="40"/>
        <v>5</v>
      </c>
      <c r="E212" s="45">
        <f t="shared" si="41"/>
        <v>2017</v>
      </c>
      <c r="F212" s="45">
        <f t="shared" si="52"/>
        <v>0</v>
      </c>
      <c r="G212" s="45" t="s">
        <v>448</v>
      </c>
      <c r="H212" s="45" t="s">
        <v>453</v>
      </c>
      <c r="I212" s="162" t="str">
        <f t="shared" si="53"/>
        <v/>
      </c>
      <c r="J212" s="11" t="s">
        <v>663</v>
      </c>
      <c r="K212" s="673">
        <v>3131</v>
      </c>
      <c r="L212" s="674" t="s">
        <v>2212</v>
      </c>
    </row>
    <row r="213" spans="2:12" s="112" customFormat="1" hidden="1">
      <c r="B213" s="45"/>
      <c r="C213" s="45">
        <f t="shared" si="39"/>
        <v>3158</v>
      </c>
      <c r="D213" s="45">
        <f t="shared" si="40"/>
        <v>5</v>
      </c>
      <c r="E213" s="45">
        <f t="shared" si="41"/>
        <v>2017</v>
      </c>
      <c r="F213" s="45">
        <f t="shared" si="52"/>
        <v>0</v>
      </c>
      <c r="G213" s="45" t="s">
        <v>448</v>
      </c>
      <c r="H213" s="45" t="s">
        <v>454</v>
      </c>
      <c r="I213" s="162" t="str">
        <f t="shared" si="53"/>
        <v/>
      </c>
      <c r="J213" s="11" t="s">
        <v>664</v>
      </c>
      <c r="K213" s="673">
        <v>3136</v>
      </c>
      <c r="L213" s="678" t="s">
        <v>2149</v>
      </c>
    </row>
    <row r="214" spans="2:12" s="112" customFormat="1" hidden="1">
      <c r="B214" s="45"/>
      <c r="C214" s="45">
        <f t="shared" ref="C214:C277" si="54">H$1</f>
        <v>3158</v>
      </c>
      <c r="D214" s="45">
        <f t="shared" ref="D214:D277" si="55">K$1</f>
        <v>5</v>
      </c>
      <c r="E214" s="45">
        <f t="shared" si="41"/>
        <v>2017</v>
      </c>
      <c r="F214" s="45">
        <f t="shared" si="52"/>
        <v>0</v>
      </c>
      <c r="G214" s="45" t="s">
        <v>448</v>
      </c>
      <c r="H214" s="45" t="s">
        <v>455</v>
      </c>
      <c r="I214" s="162" t="str">
        <f t="shared" si="53"/>
        <v/>
      </c>
      <c r="J214" s="11" t="s">
        <v>665</v>
      </c>
      <c r="K214" s="676">
        <v>3137</v>
      </c>
      <c r="L214" s="677" t="s">
        <v>1807</v>
      </c>
    </row>
    <row r="215" spans="2:12" s="112" customFormat="1" hidden="1">
      <c r="B215" s="45"/>
      <c r="C215" s="45">
        <f t="shared" si="54"/>
        <v>3158</v>
      </c>
      <c r="D215" s="45">
        <f t="shared" si="55"/>
        <v>5</v>
      </c>
      <c r="E215" s="45">
        <f t="shared" si="41"/>
        <v>2017</v>
      </c>
      <c r="F215" s="45">
        <f t="shared" si="52"/>
        <v>0</v>
      </c>
      <c r="G215" s="45" t="s">
        <v>448</v>
      </c>
      <c r="H215" s="45" t="s">
        <v>456</v>
      </c>
      <c r="I215" s="162" t="str">
        <f t="shared" si="53"/>
        <v/>
      </c>
      <c r="J215" s="11" t="s">
        <v>666</v>
      </c>
      <c r="K215" s="673">
        <v>3138</v>
      </c>
      <c r="L215" s="674" t="s">
        <v>1808</v>
      </c>
    </row>
    <row r="216" spans="2:12" s="112" customFormat="1" hidden="1">
      <c r="B216" s="45"/>
      <c r="C216" s="45">
        <f t="shared" si="54"/>
        <v>3158</v>
      </c>
      <c r="D216" s="45">
        <f t="shared" si="55"/>
        <v>5</v>
      </c>
      <c r="E216" s="45">
        <f t="shared" ref="E216:E279" si="56">D$1</f>
        <v>2017</v>
      </c>
      <c r="F216" s="45">
        <f t="shared" si="52"/>
        <v>0</v>
      </c>
      <c r="G216" s="45" t="s">
        <v>448</v>
      </c>
      <c r="H216" s="45" t="s">
        <v>457</v>
      </c>
      <c r="I216" s="162" t="str">
        <f t="shared" si="53"/>
        <v/>
      </c>
      <c r="J216" s="11" t="s">
        <v>667</v>
      </c>
      <c r="K216" s="673">
        <v>3140</v>
      </c>
      <c r="L216" s="674" t="s">
        <v>2352</v>
      </c>
    </row>
    <row r="217" spans="2:12" s="112" customFormat="1" hidden="1">
      <c r="B217" s="45"/>
      <c r="C217" s="45">
        <f t="shared" si="54"/>
        <v>3158</v>
      </c>
      <c r="D217" s="45">
        <f t="shared" si="55"/>
        <v>5</v>
      </c>
      <c r="E217" s="45">
        <f t="shared" si="56"/>
        <v>2017</v>
      </c>
      <c r="F217" s="45">
        <f t="shared" si="52"/>
        <v>0</v>
      </c>
      <c r="G217" s="45" t="s">
        <v>448</v>
      </c>
      <c r="H217" s="45" t="s">
        <v>458</v>
      </c>
      <c r="I217" s="162" t="str">
        <f t="shared" si="53"/>
        <v/>
      </c>
      <c r="J217" s="11" t="s">
        <v>668</v>
      </c>
      <c r="K217" s="676">
        <v>3144</v>
      </c>
      <c r="L217" s="677" t="s">
        <v>1809</v>
      </c>
    </row>
    <row r="218" spans="2:12" s="112" customFormat="1" hidden="1">
      <c r="B218" s="45"/>
      <c r="C218" s="45">
        <f t="shared" si="54"/>
        <v>3158</v>
      </c>
      <c r="D218" s="45">
        <f t="shared" si="55"/>
        <v>5</v>
      </c>
      <c r="E218" s="45">
        <f t="shared" si="56"/>
        <v>2017</v>
      </c>
      <c r="F218" s="45">
        <f t="shared" si="52"/>
        <v>0</v>
      </c>
      <c r="G218" s="45" t="s">
        <v>448</v>
      </c>
      <c r="H218" s="45" t="s">
        <v>460</v>
      </c>
      <c r="I218" s="162" t="str">
        <f t="shared" si="53"/>
        <v/>
      </c>
      <c r="J218" s="11" t="s">
        <v>669</v>
      </c>
      <c r="K218" s="673">
        <v>3145</v>
      </c>
      <c r="L218" s="674" t="s">
        <v>2154</v>
      </c>
    </row>
    <row r="219" spans="2:12" s="112" customFormat="1" hidden="1">
      <c r="B219" s="45"/>
      <c r="C219" s="45">
        <f t="shared" si="54"/>
        <v>3158</v>
      </c>
      <c r="D219" s="45">
        <f t="shared" si="55"/>
        <v>5</v>
      </c>
      <c r="E219" s="45">
        <f t="shared" si="56"/>
        <v>2017</v>
      </c>
      <c r="F219" s="45">
        <f t="shared" ref="F219:F229" si="57">U$3</f>
        <v>0</v>
      </c>
      <c r="G219" s="45" t="s">
        <v>448</v>
      </c>
      <c r="H219" s="45" t="s">
        <v>449</v>
      </c>
      <c r="I219" s="162" t="str">
        <f t="shared" ref="I219:I229" si="58">IF(ISBLANK(U4),"",U4)</f>
        <v/>
      </c>
      <c r="J219" s="11" t="s">
        <v>670</v>
      </c>
      <c r="K219" s="673">
        <v>3147</v>
      </c>
      <c r="L219" s="674" t="s">
        <v>16</v>
      </c>
    </row>
    <row r="220" spans="2:12" s="112" customFormat="1" hidden="1">
      <c r="B220" s="45"/>
      <c r="C220" s="45">
        <f t="shared" si="54"/>
        <v>3158</v>
      </c>
      <c r="D220" s="45">
        <f t="shared" si="55"/>
        <v>5</v>
      </c>
      <c r="E220" s="45">
        <f t="shared" si="56"/>
        <v>2017</v>
      </c>
      <c r="F220" s="45">
        <f t="shared" si="57"/>
        <v>0</v>
      </c>
      <c r="G220" s="45" t="s">
        <v>448</v>
      </c>
      <c r="H220" s="45" t="s">
        <v>450</v>
      </c>
      <c r="I220" s="162" t="str">
        <f t="shared" si="58"/>
        <v/>
      </c>
      <c r="J220" s="11" t="s">
        <v>671</v>
      </c>
      <c r="K220" s="676">
        <v>3148</v>
      </c>
      <c r="L220" s="677" t="s">
        <v>393</v>
      </c>
    </row>
    <row r="221" spans="2:12" s="112" customFormat="1" hidden="1">
      <c r="B221" s="45"/>
      <c r="C221" s="45">
        <f t="shared" si="54"/>
        <v>3158</v>
      </c>
      <c r="D221" s="45">
        <f t="shared" si="55"/>
        <v>5</v>
      </c>
      <c r="E221" s="45">
        <f t="shared" si="56"/>
        <v>2017</v>
      </c>
      <c r="F221" s="45">
        <f t="shared" si="57"/>
        <v>0</v>
      </c>
      <c r="G221" s="45" t="s">
        <v>448</v>
      </c>
      <c r="H221" s="45" t="s">
        <v>451</v>
      </c>
      <c r="I221" s="162" t="str">
        <f t="shared" si="58"/>
        <v/>
      </c>
      <c r="J221" s="11" t="s">
        <v>672</v>
      </c>
      <c r="K221" s="673">
        <v>3151</v>
      </c>
      <c r="L221" s="674" t="s">
        <v>17</v>
      </c>
    </row>
    <row r="222" spans="2:12" s="112" customFormat="1" hidden="1">
      <c r="B222" s="45"/>
      <c r="C222" s="45">
        <f t="shared" si="54"/>
        <v>3158</v>
      </c>
      <c r="D222" s="45">
        <f t="shared" si="55"/>
        <v>5</v>
      </c>
      <c r="E222" s="45">
        <f t="shared" si="56"/>
        <v>2017</v>
      </c>
      <c r="F222" s="45">
        <f t="shared" si="57"/>
        <v>0</v>
      </c>
      <c r="G222" s="45" t="s">
        <v>448</v>
      </c>
      <c r="H222" s="45" t="s">
        <v>452</v>
      </c>
      <c r="I222" s="162" t="str">
        <f t="shared" si="58"/>
        <v/>
      </c>
      <c r="J222" s="11" t="s">
        <v>673</v>
      </c>
      <c r="K222" s="673">
        <v>3158</v>
      </c>
      <c r="L222" s="674" t="s">
        <v>394</v>
      </c>
    </row>
    <row r="223" spans="2:12" s="112" customFormat="1" hidden="1">
      <c r="B223" s="45"/>
      <c r="C223" s="45">
        <f t="shared" si="54"/>
        <v>3158</v>
      </c>
      <c r="D223" s="45">
        <f t="shared" si="55"/>
        <v>5</v>
      </c>
      <c r="E223" s="45">
        <f t="shared" si="56"/>
        <v>2017</v>
      </c>
      <c r="F223" s="45">
        <f t="shared" si="57"/>
        <v>0</v>
      </c>
      <c r="G223" s="45" t="s">
        <v>448</v>
      </c>
      <c r="H223" s="45" t="s">
        <v>453</v>
      </c>
      <c r="I223" s="162" t="str">
        <f t="shared" si="58"/>
        <v/>
      </c>
      <c r="J223" s="11" t="s">
        <v>674</v>
      </c>
      <c r="K223" s="673">
        <v>3160</v>
      </c>
      <c r="L223" s="678" t="s">
        <v>2162</v>
      </c>
    </row>
    <row r="224" spans="2:12" s="112" customFormat="1" hidden="1">
      <c r="B224" s="45"/>
      <c r="C224" s="45">
        <f t="shared" si="54"/>
        <v>3158</v>
      </c>
      <c r="D224" s="45">
        <f t="shared" si="55"/>
        <v>5</v>
      </c>
      <c r="E224" s="45">
        <f t="shared" si="56"/>
        <v>2017</v>
      </c>
      <c r="F224" s="45">
        <f t="shared" si="57"/>
        <v>0</v>
      </c>
      <c r="G224" s="45" t="s">
        <v>448</v>
      </c>
      <c r="H224" s="45" t="s">
        <v>454</v>
      </c>
      <c r="I224" s="162" t="str">
        <f t="shared" si="58"/>
        <v/>
      </c>
      <c r="J224" s="11" t="s">
        <v>675</v>
      </c>
      <c r="K224" s="673">
        <v>3161</v>
      </c>
      <c r="L224" s="678" t="s">
        <v>1810</v>
      </c>
    </row>
    <row r="225" spans="2:12" s="112" customFormat="1" hidden="1">
      <c r="B225" s="45"/>
      <c r="C225" s="45">
        <f t="shared" si="54"/>
        <v>3158</v>
      </c>
      <c r="D225" s="45">
        <f t="shared" si="55"/>
        <v>5</v>
      </c>
      <c r="E225" s="45">
        <f t="shared" si="56"/>
        <v>2017</v>
      </c>
      <c r="F225" s="45">
        <f t="shared" si="57"/>
        <v>0</v>
      </c>
      <c r="G225" s="45" t="s">
        <v>448</v>
      </c>
      <c r="H225" s="45" t="s">
        <v>455</v>
      </c>
      <c r="I225" s="162" t="str">
        <f t="shared" si="58"/>
        <v/>
      </c>
      <c r="J225" s="11" t="s">
        <v>676</v>
      </c>
      <c r="K225" s="673">
        <v>3162</v>
      </c>
      <c r="L225" s="674" t="s">
        <v>2172</v>
      </c>
    </row>
    <row r="226" spans="2:12" s="112" customFormat="1" hidden="1">
      <c r="B226" s="45"/>
      <c r="C226" s="45">
        <f t="shared" si="54"/>
        <v>3158</v>
      </c>
      <c r="D226" s="45">
        <f t="shared" si="55"/>
        <v>5</v>
      </c>
      <c r="E226" s="45">
        <f t="shared" si="56"/>
        <v>2017</v>
      </c>
      <c r="F226" s="45">
        <f t="shared" si="57"/>
        <v>0</v>
      </c>
      <c r="G226" s="45" t="s">
        <v>448</v>
      </c>
      <c r="H226" s="45" t="s">
        <v>456</v>
      </c>
      <c r="I226" s="162" t="str">
        <f t="shared" si="58"/>
        <v/>
      </c>
      <c r="J226" s="11" t="s">
        <v>677</v>
      </c>
      <c r="K226" s="675">
        <v>3163</v>
      </c>
      <c r="L226" s="674" t="s">
        <v>2090</v>
      </c>
    </row>
    <row r="227" spans="2:12" s="112" customFormat="1" hidden="1">
      <c r="B227" s="45"/>
      <c r="C227" s="45">
        <f t="shared" si="54"/>
        <v>3158</v>
      </c>
      <c r="D227" s="45">
        <f t="shared" si="55"/>
        <v>5</v>
      </c>
      <c r="E227" s="45">
        <f t="shared" si="56"/>
        <v>2017</v>
      </c>
      <c r="F227" s="45">
        <f t="shared" si="57"/>
        <v>0</v>
      </c>
      <c r="G227" s="45" t="s">
        <v>448</v>
      </c>
      <c r="H227" s="45" t="s">
        <v>457</v>
      </c>
      <c r="I227" s="162" t="str">
        <f t="shared" si="58"/>
        <v/>
      </c>
      <c r="J227" s="11" t="s">
        <v>678</v>
      </c>
      <c r="K227" s="676">
        <v>3164</v>
      </c>
      <c r="L227" s="677" t="s">
        <v>2129</v>
      </c>
    </row>
    <row r="228" spans="2:12" s="112" customFormat="1" hidden="1">
      <c r="B228" s="45"/>
      <c r="C228" s="45">
        <f t="shared" si="54"/>
        <v>3158</v>
      </c>
      <c r="D228" s="45">
        <f t="shared" si="55"/>
        <v>5</v>
      </c>
      <c r="E228" s="45">
        <f t="shared" si="56"/>
        <v>2017</v>
      </c>
      <c r="F228" s="45">
        <f t="shared" si="57"/>
        <v>0</v>
      </c>
      <c r="G228" s="45" t="s">
        <v>448</v>
      </c>
      <c r="H228" s="45" t="s">
        <v>458</v>
      </c>
      <c r="I228" s="162" t="str">
        <f t="shared" si="58"/>
        <v/>
      </c>
      <c r="J228" s="11" t="s">
        <v>679</v>
      </c>
      <c r="K228" s="673">
        <v>3165</v>
      </c>
      <c r="L228" s="674" t="s">
        <v>2367</v>
      </c>
    </row>
    <row r="229" spans="2:12" s="112" customFormat="1" hidden="1">
      <c r="B229" s="45"/>
      <c r="C229" s="45">
        <f t="shared" si="54"/>
        <v>3158</v>
      </c>
      <c r="D229" s="45">
        <f t="shared" si="55"/>
        <v>5</v>
      </c>
      <c r="E229" s="45">
        <f t="shared" si="56"/>
        <v>2017</v>
      </c>
      <c r="F229" s="45">
        <f t="shared" si="57"/>
        <v>0</v>
      </c>
      <c r="G229" s="45" t="s">
        <v>448</v>
      </c>
      <c r="H229" s="45" t="s">
        <v>460</v>
      </c>
      <c r="I229" s="162" t="str">
        <f t="shared" si="58"/>
        <v/>
      </c>
      <c r="J229" s="11" t="s">
        <v>680</v>
      </c>
      <c r="K229" s="673">
        <v>3166</v>
      </c>
      <c r="L229" s="678" t="s">
        <v>2150</v>
      </c>
    </row>
    <row r="230" spans="2:12" s="112" customFormat="1" hidden="1">
      <c r="B230" s="45"/>
      <c r="C230" s="45">
        <f t="shared" si="54"/>
        <v>3158</v>
      </c>
      <c r="D230" s="45">
        <f t="shared" si="55"/>
        <v>5</v>
      </c>
      <c r="E230" s="45">
        <f t="shared" si="56"/>
        <v>2017</v>
      </c>
      <c r="F230" s="45">
        <f t="shared" ref="F230:F240" si="59">V$3</f>
        <v>0</v>
      </c>
      <c r="G230" s="45" t="s">
        <v>448</v>
      </c>
      <c r="H230" s="45" t="s">
        <v>449</v>
      </c>
      <c r="I230" s="162" t="str">
        <f t="shared" ref="I230:I240" si="60">IF(ISBLANK(V4),"",V4)</f>
        <v/>
      </c>
      <c r="J230" s="11" t="s">
        <v>681</v>
      </c>
      <c r="K230" s="673">
        <v>3168</v>
      </c>
      <c r="L230" s="674" t="s">
        <v>1811</v>
      </c>
    </row>
    <row r="231" spans="2:12" s="112" customFormat="1" hidden="1">
      <c r="B231" s="45"/>
      <c r="C231" s="45">
        <f t="shared" si="54"/>
        <v>3158</v>
      </c>
      <c r="D231" s="45">
        <f t="shared" si="55"/>
        <v>5</v>
      </c>
      <c r="E231" s="45">
        <f t="shared" si="56"/>
        <v>2017</v>
      </c>
      <c r="F231" s="45">
        <f t="shared" si="59"/>
        <v>0</v>
      </c>
      <c r="G231" s="45" t="s">
        <v>448</v>
      </c>
      <c r="H231" s="45" t="s">
        <v>450</v>
      </c>
      <c r="I231" s="162" t="str">
        <f t="shared" si="60"/>
        <v/>
      </c>
      <c r="J231" s="11" t="s">
        <v>682</v>
      </c>
      <c r="K231" s="673">
        <v>3170</v>
      </c>
      <c r="L231" s="674" t="s">
        <v>395</v>
      </c>
    </row>
    <row r="232" spans="2:12" s="112" customFormat="1" hidden="1">
      <c r="B232" s="45"/>
      <c r="C232" s="45">
        <f t="shared" si="54"/>
        <v>3158</v>
      </c>
      <c r="D232" s="45">
        <f t="shared" si="55"/>
        <v>5</v>
      </c>
      <c r="E232" s="45">
        <f t="shared" si="56"/>
        <v>2017</v>
      </c>
      <c r="F232" s="45">
        <f t="shared" si="59"/>
        <v>0</v>
      </c>
      <c r="G232" s="45" t="s">
        <v>448</v>
      </c>
      <c r="H232" s="45" t="s">
        <v>451</v>
      </c>
      <c r="I232" s="162" t="str">
        <f t="shared" si="60"/>
        <v/>
      </c>
      <c r="J232" s="11" t="s">
        <v>683</v>
      </c>
      <c r="K232" s="673">
        <v>3172</v>
      </c>
      <c r="L232" s="674" t="s">
        <v>1812</v>
      </c>
    </row>
    <row r="233" spans="2:12" s="112" customFormat="1" hidden="1">
      <c r="B233" s="45"/>
      <c r="C233" s="45">
        <f t="shared" si="54"/>
        <v>3158</v>
      </c>
      <c r="D233" s="45">
        <f t="shared" si="55"/>
        <v>5</v>
      </c>
      <c r="E233" s="45">
        <f t="shared" si="56"/>
        <v>2017</v>
      </c>
      <c r="F233" s="45">
        <f t="shared" si="59"/>
        <v>0</v>
      </c>
      <c r="G233" s="45" t="s">
        <v>448</v>
      </c>
      <c r="H233" s="45" t="s">
        <v>452</v>
      </c>
      <c r="I233" s="162" t="str">
        <f t="shared" si="60"/>
        <v/>
      </c>
      <c r="J233" s="11" t="s">
        <v>684</v>
      </c>
      <c r="K233" s="673">
        <v>3173</v>
      </c>
      <c r="L233" s="674" t="s">
        <v>1813</v>
      </c>
    </row>
    <row r="234" spans="2:12" s="112" customFormat="1" hidden="1">
      <c r="B234" s="45"/>
      <c r="C234" s="45">
        <f t="shared" si="54"/>
        <v>3158</v>
      </c>
      <c r="D234" s="45">
        <f t="shared" si="55"/>
        <v>5</v>
      </c>
      <c r="E234" s="45">
        <f t="shared" si="56"/>
        <v>2017</v>
      </c>
      <c r="F234" s="45">
        <f t="shared" si="59"/>
        <v>0</v>
      </c>
      <c r="G234" s="45" t="s">
        <v>448</v>
      </c>
      <c r="H234" s="45" t="s">
        <v>453</v>
      </c>
      <c r="I234" s="162" t="str">
        <f t="shared" si="60"/>
        <v/>
      </c>
      <c r="J234" s="11" t="s">
        <v>685</v>
      </c>
      <c r="K234" s="673">
        <v>3174</v>
      </c>
      <c r="L234" s="674" t="s">
        <v>1814</v>
      </c>
    </row>
    <row r="235" spans="2:12" s="112" customFormat="1" hidden="1">
      <c r="B235" s="45"/>
      <c r="C235" s="45">
        <f t="shared" si="54"/>
        <v>3158</v>
      </c>
      <c r="D235" s="45">
        <f t="shared" si="55"/>
        <v>5</v>
      </c>
      <c r="E235" s="45">
        <f t="shared" si="56"/>
        <v>2017</v>
      </c>
      <c r="F235" s="45">
        <f t="shared" si="59"/>
        <v>0</v>
      </c>
      <c r="G235" s="45" t="s">
        <v>448</v>
      </c>
      <c r="H235" s="45" t="s">
        <v>454</v>
      </c>
      <c r="I235" s="162" t="str">
        <f t="shared" si="60"/>
        <v/>
      </c>
      <c r="J235" s="11" t="s">
        <v>686</v>
      </c>
      <c r="K235" s="673">
        <v>3177</v>
      </c>
      <c r="L235" s="674" t="s">
        <v>326</v>
      </c>
    </row>
    <row r="236" spans="2:12" s="112" customFormat="1" hidden="1">
      <c r="B236" s="45"/>
      <c r="C236" s="45">
        <f t="shared" si="54"/>
        <v>3158</v>
      </c>
      <c r="D236" s="45">
        <f t="shared" si="55"/>
        <v>5</v>
      </c>
      <c r="E236" s="45">
        <f t="shared" si="56"/>
        <v>2017</v>
      </c>
      <c r="F236" s="45">
        <f t="shared" si="59"/>
        <v>0</v>
      </c>
      <c r="G236" s="45" t="s">
        <v>448</v>
      </c>
      <c r="H236" s="45" t="s">
        <v>455</v>
      </c>
      <c r="I236" s="162" t="str">
        <f t="shared" si="60"/>
        <v/>
      </c>
      <c r="J236" s="11" t="s">
        <v>687</v>
      </c>
      <c r="K236" s="673">
        <v>3178</v>
      </c>
      <c r="L236" s="674" t="s">
        <v>396</v>
      </c>
    </row>
    <row r="237" spans="2:12" s="112" customFormat="1" hidden="1">
      <c r="B237" s="45"/>
      <c r="C237" s="45">
        <f t="shared" si="54"/>
        <v>3158</v>
      </c>
      <c r="D237" s="45">
        <f t="shared" si="55"/>
        <v>5</v>
      </c>
      <c r="E237" s="45">
        <f t="shared" si="56"/>
        <v>2017</v>
      </c>
      <c r="F237" s="45">
        <f t="shared" si="59"/>
        <v>0</v>
      </c>
      <c r="G237" s="45" t="s">
        <v>448</v>
      </c>
      <c r="H237" s="45" t="s">
        <v>456</v>
      </c>
      <c r="I237" s="162" t="str">
        <f t="shared" si="60"/>
        <v/>
      </c>
      <c r="J237" s="11" t="s">
        <v>688</v>
      </c>
      <c r="K237" s="676">
        <v>3181</v>
      </c>
      <c r="L237" s="677" t="s">
        <v>397</v>
      </c>
    </row>
    <row r="238" spans="2:12" s="112" customFormat="1" hidden="1">
      <c r="B238" s="45"/>
      <c r="C238" s="45">
        <f t="shared" si="54"/>
        <v>3158</v>
      </c>
      <c r="D238" s="45">
        <f t="shared" si="55"/>
        <v>5</v>
      </c>
      <c r="E238" s="45">
        <f t="shared" si="56"/>
        <v>2017</v>
      </c>
      <c r="F238" s="45">
        <f t="shared" si="59"/>
        <v>0</v>
      </c>
      <c r="G238" s="45" t="s">
        <v>448</v>
      </c>
      <c r="H238" s="45" t="s">
        <v>457</v>
      </c>
      <c r="I238" s="162" t="str">
        <f t="shared" si="60"/>
        <v/>
      </c>
      <c r="J238" s="11" t="s">
        <v>689</v>
      </c>
      <c r="K238" s="676">
        <v>3185</v>
      </c>
      <c r="L238" s="677" t="s">
        <v>1815</v>
      </c>
    </row>
    <row r="239" spans="2:12" s="112" customFormat="1" hidden="1">
      <c r="B239" s="45"/>
      <c r="C239" s="45">
        <f t="shared" si="54"/>
        <v>3158</v>
      </c>
      <c r="D239" s="45">
        <f t="shared" si="55"/>
        <v>5</v>
      </c>
      <c r="E239" s="45">
        <f t="shared" si="56"/>
        <v>2017</v>
      </c>
      <c r="F239" s="45">
        <f t="shared" si="59"/>
        <v>0</v>
      </c>
      <c r="G239" s="45" t="s">
        <v>448</v>
      </c>
      <c r="H239" s="45" t="s">
        <v>458</v>
      </c>
      <c r="I239" s="162" t="str">
        <f t="shared" si="60"/>
        <v/>
      </c>
      <c r="J239" s="11" t="s">
        <v>690</v>
      </c>
      <c r="K239" s="673">
        <v>3187</v>
      </c>
      <c r="L239" s="674" t="s">
        <v>1816</v>
      </c>
    </row>
    <row r="240" spans="2:12" s="112" customFormat="1" hidden="1">
      <c r="B240" s="45"/>
      <c r="C240" s="45">
        <f t="shared" si="54"/>
        <v>3158</v>
      </c>
      <c r="D240" s="45">
        <f t="shared" si="55"/>
        <v>5</v>
      </c>
      <c r="E240" s="45">
        <f t="shared" si="56"/>
        <v>2017</v>
      </c>
      <c r="F240" s="45">
        <f t="shared" si="59"/>
        <v>0</v>
      </c>
      <c r="G240" s="45" t="s">
        <v>448</v>
      </c>
      <c r="H240" s="45" t="s">
        <v>460</v>
      </c>
      <c r="I240" s="162" t="str">
        <f t="shared" si="60"/>
        <v/>
      </c>
      <c r="J240" s="11" t="s">
        <v>691</v>
      </c>
      <c r="K240" s="673">
        <v>3189</v>
      </c>
      <c r="L240" s="674" t="s">
        <v>2173</v>
      </c>
    </row>
    <row r="241" spans="2:12" s="112" customFormat="1" hidden="1">
      <c r="B241" s="45"/>
      <c r="C241" s="45">
        <f t="shared" si="54"/>
        <v>3158</v>
      </c>
      <c r="D241" s="45">
        <f t="shared" si="55"/>
        <v>5</v>
      </c>
      <c r="E241" s="45">
        <f t="shared" si="56"/>
        <v>2017</v>
      </c>
      <c r="F241" s="45">
        <f t="shared" ref="F241:F251" si="61">W$3</f>
        <v>0</v>
      </c>
      <c r="G241" s="45" t="s">
        <v>448</v>
      </c>
      <c r="H241" s="45" t="s">
        <v>449</v>
      </c>
      <c r="I241" s="162" t="str">
        <f t="shared" ref="I241:I251" si="62">IF(ISBLANK(W4),"",W4)</f>
        <v/>
      </c>
      <c r="J241" s="11" t="s">
        <v>692</v>
      </c>
      <c r="K241" s="673">
        <v>3192</v>
      </c>
      <c r="L241" s="674" t="s">
        <v>398</v>
      </c>
    </row>
    <row r="242" spans="2:12" s="112" customFormat="1" hidden="1">
      <c r="B242" s="45"/>
      <c r="C242" s="45">
        <f t="shared" si="54"/>
        <v>3158</v>
      </c>
      <c r="D242" s="45">
        <f t="shared" si="55"/>
        <v>5</v>
      </c>
      <c r="E242" s="45">
        <f t="shared" si="56"/>
        <v>2017</v>
      </c>
      <c r="F242" s="45">
        <f t="shared" si="61"/>
        <v>0</v>
      </c>
      <c r="G242" s="45" t="s">
        <v>448</v>
      </c>
      <c r="H242" s="45" t="s">
        <v>450</v>
      </c>
      <c r="I242" s="162" t="str">
        <f t="shared" si="62"/>
        <v/>
      </c>
      <c r="J242" s="11" t="s">
        <v>693</v>
      </c>
      <c r="K242" s="673">
        <v>3193</v>
      </c>
      <c r="L242" s="674" t="s">
        <v>399</v>
      </c>
    </row>
    <row r="243" spans="2:12" s="112" customFormat="1" hidden="1">
      <c r="B243" s="45"/>
      <c r="C243" s="45">
        <f t="shared" si="54"/>
        <v>3158</v>
      </c>
      <c r="D243" s="45">
        <f t="shared" si="55"/>
        <v>5</v>
      </c>
      <c r="E243" s="45">
        <f t="shared" si="56"/>
        <v>2017</v>
      </c>
      <c r="F243" s="45">
        <f t="shared" si="61"/>
        <v>0</v>
      </c>
      <c r="G243" s="45" t="s">
        <v>448</v>
      </c>
      <c r="H243" s="45" t="s">
        <v>451</v>
      </c>
      <c r="I243" s="162" t="str">
        <f t="shared" si="62"/>
        <v/>
      </c>
      <c r="J243" s="11" t="s">
        <v>694</v>
      </c>
      <c r="K243" s="673">
        <v>3196</v>
      </c>
      <c r="L243" s="674" t="s">
        <v>2205</v>
      </c>
    </row>
    <row r="244" spans="2:12" s="112" customFormat="1" hidden="1">
      <c r="B244" s="45"/>
      <c r="C244" s="45">
        <f t="shared" si="54"/>
        <v>3158</v>
      </c>
      <c r="D244" s="45">
        <f t="shared" si="55"/>
        <v>5</v>
      </c>
      <c r="E244" s="45">
        <f t="shared" si="56"/>
        <v>2017</v>
      </c>
      <c r="F244" s="45">
        <f t="shared" si="61"/>
        <v>0</v>
      </c>
      <c r="G244" s="45" t="s">
        <v>448</v>
      </c>
      <c r="H244" s="45" t="s">
        <v>452</v>
      </c>
      <c r="I244" s="162" t="str">
        <f t="shared" si="62"/>
        <v/>
      </c>
      <c r="J244" s="11" t="s">
        <v>695</v>
      </c>
      <c r="K244" s="673">
        <v>3198</v>
      </c>
      <c r="L244" s="674" t="s">
        <v>2338</v>
      </c>
    </row>
    <row r="245" spans="2:12" s="112" customFormat="1" hidden="1">
      <c r="B245" s="45"/>
      <c r="C245" s="45">
        <f t="shared" si="54"/>
        <v>3158</v>
      </c>
      <c r="D245" s="45">
        <f t="shared" si="55"/>
        <v>5</v>
      </c>
      <c r="E245" s="45">
        <f t="shared" si="56"/>
        <v>2017</v>
      </c>
      <c r="F245" s="45">
        <f t="shared" si="61"/>
        <v>0</v>
      </c>
      <c r="G245" s="45" t="s">
        <v>448</v>
      </c>
      <c r="H245" s="45" t="s">
        <v>453</v>
      </c>
      <c r="I245" s="162" t="str">
        <f t="shared" si="62"/>
        <v/>
      </c>
      <c r="J245" s="11" t="s">
        <v>696</v>
      </c>
      <c r="K245" s="673">
        <v>3201</v>
      </c>
      <c r="L245" s="674" t="s">
        <v>2337</v>
      </c>
    </row>
    <row r="246" spans="2:12" s="112" customFormat="1" hidden="1">
      <c r="B246" s="45"/>
      <c r="C246" s="45">
        <f t="shared" si="54"/>
        <v>3158</v>
      </c>
      <c r="D246" s="45">
        <f t="shared" si="55"/>
        <v>5</v>
      </c>
      <c r="E246" s="45">
        <f t="shared" si="56"/>
        <v>2017</v>
      </c>
      <c r="F246" s="45">
        <f t="shared" si="61"/>
        <v>0</v>
      </c>
      <c r="G246" s="45" t="s">
        <v>448</v>
      </c>
      <c r="H246" s="45" t="s">
        <v>454</v>
      </c>
      <c r="I246" s="162" t="str">
        <f t="shared" si="62"/>
        <v/>
      </c>
      <c r="J246" s="11" t="s">
        <v>697</v>
      </c>
      <c r="K246" s="676">
        <v>3204</v>
      </c>
      <c r="L246" s="677" t="s">
        <v>2127</v>
      </c>
    </row>
    <row r="247" spans="2:12" s="112" customFormat="1" hidden="1">
      <c r="B247" s="45"/>
      <c r="C247" s="45">
        <f t="shared" si="54"/>
        <v>3158</v>
      </c>
      <c r="D247" s="45">
        <f t="shared" si="55"/>
        <v>5</v>
      </c>
      <c r="E247" s="45">
        <f t="shared" si="56"/>
        <v>2017</v>
      </c>
      <c r="F247" s="45">
        <f t="shared" si="61"/>
        <v>0</v>
      </c>
      <c r="G247" s="45" t="s">
        <v>448</v>
      </c>
      <c r="H247" s="45" t="s">
        <v>455</v>
      </c>
      <c r="I247" s="162" t="str">
        <f t="shared" si="62"/>
        <v/>
      </c>
      <c r="J247" s="11" t="s">
        <v>698</v>
      </c>
      <c r="K247" s="673">
        <v>3206</v>
      </c>
      <c r="L247" s="674" t="s">
        <v>2062</v>
      </c>
    </row>
    <row r="248" spans="2:12" s="112" customFormat="1" hidden="1">
      <c r="B248" s="45"/>
      <c r="C248" s="45">
        <f t="shared" si="54"/>
        <v>3158</v>
      </c>
      <c r="D248" s="45">
        <f t="shared" si="55"/>
        <v>5</v>
      </c>
      <c r="E248" s="45">
        <f t="shared" si="56"/>
        <v>2017</v>
      </c>
      <c r="F248" s="45">
        <f t="shared" si="61"/>
        <v>0</v>
      </c>
      <c r="G248" s="45" t="s">
        <v>448</v>
      </c>
      <c r="H248" s="45" t="s">
        <v>456</v>
      </c>
      <c r="I248" s="162" t="str">
        <f t="shared" si="62"/>
        <v/>
      </c>
      <c r="J248" s="11" t="s">
        <v>699</v>
      </c>
      <c r="K248" s="673">
        <v>3209</v>
      </c>
      <c r="L248" s="674" t="s">
        <v>2368</v>
      </c>
    </row>
    <row r="249" spans="2:12" s="112" customFormat="1" hidden="1">
      <c r="B249" s="45"/>
      <c r="C249" s="45">
        <f t="shared" si="54"/>
        <v>3158</v>
      </c>
      <c r="D249" s="45">
        <f t="shared" si="55"/>
        <v>5</v>
      </c>
      <c r="E249" s="45">
        <f t="shared" si="56"/>
        <v>2017</v>
      </c>
      <c r="F249" s="45">
        <f t="shared" si="61"/>
        <v>0</v>
      </c>
      <c r="G249" s="45" t="s">
        <v>448</v>
      </c>
      <c r="H249" s="45" t="s">
        <v>457</v>
      </c>
      <c r="I249" s="162" t="str">
        <f t="shared" si="62"/>
        <v/>
      </c>
      <c r="J249" s="11" t="s">
        <v>700</v>
      </c>
      <c r="K249" s="676">
        <v>3212</v>
      </c>
      <c r="L249" s="677" t="s">
        <v>1817</v>
      </c>
    </row>
    <row r="250" spans="2:12" s="112" customFormat="1" hidden="1">
      <c r="B250" s="45"/>
      <c r="C250" s="45">
        <f t="shared" si="54"/>
        <v>3158</v>
      </c>
      <c r="D250" s="45">
        <f t="shared" si="55"/>
        <v>5</v>
      </c>
      <c r="E250" s="45">
        <f t="shared" si="56"/>
        <v>2017</v>
      </c>
      <c r="F250" s="45">
        <f t="shared" si="61"/>
        <v>0</v>
      </c>
      <c r="G250" s="45" t="s">
        <v>448</v>
      </c>
      <c r="H250" s="45" t="s">
        <v>458</v>
      </c>
      <c r="I250" s="162" t="str">
        <f t="shared" si="62"/>
        <v/>
      </c>
      <c r="J250" s="11" t="s">
        <v>701</v>
      </c>
      <c r="K250" s="673">
        <v>3213</v>
      </c>
      <c r="L250" s="674" t="s">
        <v>2313</v>
      </c>
    </row>
    <row r="251" spans="2:12" s="112" customFormat="1" hidden="1">
      <c r="B251" s="45"/>
      <c r="C251" s="45">
        <f t="shared" si="54"/>
        <v>3158</v>
      </c>
      <c r="D251" s="45">
        <f t="shared" si="55"/>
        <v>5</v>
      </c>
      <c r="E251" s="45">
        <f t="shared" si="56"/>
        <v>2017</v>
      </c>
      <c r="F251" s="45">
        <f t="shared" si="61"/>
        <v>0</v>
      </c>
      <c r="G251" s="45" t="s">
        <v>448</v>
      </c>
      <c r="H251" s="45" t="s">
        <v>460</v>
      </c>
      <c r="I251" s="162" t="str">
        <f t="shared" si="62"/>
        <v/>
      </c>
      <c r="J251" s="11" t="s">
        <v>702</v>
      </c>
      <c r="K251" s="673">
        <v>3215</v>
      </c>
      <c r="L251" s="674" t="s">
        <v>400</v>
      </c>
    </row>
    <row r="252" spans="2:12" s="112" customFormat="1" hidden="1">
      <c r="B252" s="45"/>
      <c r="C252" s="45">
        <f t="shared" si="54"/>
        <v>3158</v>
      </c>
      <c r="D252" s="45">
        <f t="shared" si="55"/>
        <v>5</v>
      </c>
      <c r="E252" s="45">
        <f t="shared" si="56"/>
        <v>2017</v>
      </c>
      <c r="F252" s="45">
        <f t="shared" ref="F252:F262" si="63">X$3</f>
        <v>0</v>
      </c>
      <c r="G252" s="45" t="s">
        <v>448</v>
      </c>
      <c r="H252" s="45" t="s">
        <v>449</v>
      </c>
      <c r="I252" s="162" t="str">
        <f t="shared" ref="I252:I262" si="64">IF(ISBLANK(X4),"",X4)</f>
        <v/>
      </c>
      <c r="J252" s="11" t="s">
        <v>703</v>
      </c>
      <c r="K252" s="673">
        <v>4001</v>
      </c>
      <c r="L252" s="674" t="s">
        <v>2369</v>
      </c>
    </row>
    <row r="253" spans="2:12" s="112" customFormat="1" hidden="1">
      <c r="B253" s="45"/>
      <c r="C253" s="45">
        <f t="shared" si="54"/>
        <v>3158</v>
      </c>
      <c r="D253" s="45">
        <f t="shared" si="55"/>
        <v>5</v>
      </c>
      <c r="E253" s="45">
        <f t="shared" si="56"/>
        <v>2017</v>
      </c>
      <c r="F253" s="45">
        <f t="shared" si="63"/>
        <v>0</v>
      </c>
      <c r="G253" s="45" t="s">
        <v>448</v>
      </c>
      <c r="H253" s="45" t="s">
        <v>450</v>
      </c>
      <c r="I253" s="162" t="str">
        <f t="shared" si="64"/>
        <v/>
      </c>
      <c r="J253" s="11" t="s">
        <v>704</v>
      </c>
      <c r="K253" s="673">
        <v>4003</v>
      </c>
      <c r="L253" s="674" t="s">
        <v>1818</v>
      </c>
    </row>
    <row r="254" spans="2:12" s="112" customFormat="1" hidden="1">
      <c r="B254" s="45"/>
      <c r="C254" s="45">
        <f t="shared" si="54"/>
        <v>3158</v>
      </c>
      <c r="D254" s="45">
        <f t="shared" si="55"/>
        <v>5</v>
      </c>
      <c r="E254" s="45">
        <f t="shared" si="56"/>
        <v>2017</v>
      </c>
      <c r="F254" s="45">
        <f t="shared" si="63"/>
        <v>0</v>
      </c>
      <c r="G254" s="45" t="s">
        <v>448</v>
      </c>
      <c r="H254" s="45" t="s">
        <v>451</v>
      </c>
      <c r="I254" s="162" t="str">
        <f t="shared" si="64"/>
        <v/>
      </c>
      <c r="J254" s="11" t="s">
        <v>705</v>
      </c>
      <c r="K254" s="675">
        <v>4005</v>
      </c>
      <c r="L254" s="674" t="s">
        <v>2085</v>
      </c>
    </row>
    <row r="255" spans="2:12" s="112" customFormat="1" hidden="1">
      <c r="B255" s="45"/>
      <c r="C255" s="45">
        <f t="shared" si="54"/>
        <v>3158</v>
      </c>
      <c r="D255" s="45">
        <f t="shared" si="55"/>
        <v>5</v>
      </c>
      <c r="E255" s="45">
        <f t="shared" si="56"/>
        <v>2017</v>
      </c>
      <c r="F255" s="45">
        <f t="shared" si="63"/>
        <v>0</v>
      </c>
      <c r="G255" s="45" t="s">
        <v>448</v>
      </c>
      <c r="H255" s="45" t="s">
        <v>452</v>
      </c>
      <c r="I255" s="162" t="str">
        <f t="shared" si="64"/>
        <v/>
      </c>
      <c r="J255" s="11" t="s">
        <v>706</v>
      </c>
      <c r="K255" s="673">
        <v>4010</v>
      </c>
      <c r="L255" s="674" t="s">
        <v>2340</v>
      </c>
    </row>
    <row r="256" spans="2:12" s="112" customFormat="1" hidden="1">
      <c r="B256" s="45"/>
      <c r="C256" s="45">
        <f t="shared" si="54"/>
        <v>3158</v>
      </c>
      <c r="D256" s="45">
        <f t="shared" si="55"/>
        <v>5</v>
      </c>
      <c r="E256" s="45">
        <f t="shared" si="56"/>
        <v>2017</v>
      </c>
      <c r="F256" s="45">
        <f t="shared" si="63"/>
        <v>0</v>
      </c>
      <c r="G256" s="45" t="s">
        <v>448</v>
      </c>
      <c r="H256" s="45" t="s">
        <v>453</v>
      </c>
      <c r="I256" s="162" t="str">
        <f t="shared" si="64"/>
        <v/>
      </c>
      <c r="J256" s="11" t="s">
        <v>707</v>
      </c>
      <c r="K256" s="673">
        <v>4011</v>
      </c>
      <c r="L256" s="674" t="s">
        <v>1819</v>
      </c>
    </row>
    <row r="257" spans="2:12" s="112" customFormat="1" hidden="1">
      <c r="B257" s="45"/>
      <c r="C257" s="45">
        <f t="shared" si="54"/>
        <v>3158</v>
      </c>
      <c r="D257" s="45">
        <f t="shared" si="55"/>
        <v>5</v>
      </c>
      <c r="E257" s="45">
        <f t="shared" si="56"/>
        <v>2017</v>
      </c>
      <c r="F257" s="45">
        <f t="shared" si="63"/>
        <v>0</v>
      </c>
      <c r="G257" s="45" t="s">
        <v>448</v>
      </c>
      <c r="H257" s="45" t="s">
        <v>454</v>
      </c>
      <c r="I257" s="162" t="str">
        <f t="shared" si="64"/>
        <v/>
      </c>
      <c r="J257" s="11" t="s">
        <v>708</v>
      </c>
      <c r="K257" s="673">
        <v>4012</v>
      </c>
      <c r="L257" s="674" t="s">
        <v>401</v>
      </c>
    </row>
    <row r="258" spans="2:12" s="112" customFormat="1" hidden="1">
      <c r="B258" s="45"/>
      <c r="C258" s="45">
        <f t="shared" si="54"/>
        <v>3158</v>
      </c>
      <c r="D258" s="45">
        <f t="shared" si="55"/>
        <v>5</v>
      </c>
      <c r="E258" s="45">
        <f t="shared" si="56"/>
        <v>2017</v>
      </c>
      <c r="F258" s="45">
        <f t="shared" si="63"/>
        <v>0</v>
      </c>
      <c r="G258" s="45" t="s">
        <v>448</v>
      </c>
      <c r="H258" s="45" t="s">
        <v>455</v>
      </c>
      <c r="I258" s="162" t="str">
        <f t="shared" si="64"/>
        <v/>
      </c>
      <c r="J258" s="11" t="s">
        <v>709</v>
      </c>
      <c r="K258" s="673">
        <v>4015</v>
      </c>
      <c r="L258" s="674" t="s">
        <v>2339</v>
      </c>
    </row>
    <row r="259" spans="2:12" s="112" customFormat="1" hidden="1">
      <c r="B259" s="45"/>
      <c r="C259" s="45">
        <f t="shared" si="54"/>
        <v>3158</v>
      </c>
      <c r="D259" s="45">
        <f t="shared" si="55"/>
        <v>5</v>
      </c>
      <c r="E259" s="45">
        <f t="shared" si="56"/>
        <v>2017</v>
      </c>
      <c r="F259" s="45">
        <f t="shared" si="63"/>
        <v>0</v>
      </c>
      <c r="G259" s="45" t="s">
        <v>448</v>
      </c>
      <c r="H259" s="45" t="s">
        <v>456</v>
      </c>
      <c r="I259" s="162" t="str">
        <f t="shared" si="64"/>
        <v/>
      </c>
      <c r="J259" s="11" t="s">
        <v>710</v>
      </c>
      <c r="K259" s="676">
        <v>4018</v>
      </c>
      <c r="L259" s="677" t="s">
        <v>1820</v>
      </c>
    </row>
    <row r="260" spans="2:12" s="112" customFormat="1" hidden="1">
      <c r="B260" s="45"/>
      <c r="C260" s="45">
        <f t="shared" si="54"/>
        <v>3158</v>
      </c>
      <c r="D260" s="45">
        <f t="shared" si="55"/>
        <v>5</v>
      </c>
      <c r="E260" s="45">
        <f t="shared" si="56"/>
        <v>2017</v>
      </c>
      <c r="F260" s="45">
        <f t="shared" si="63"/>
        <v>0</v>
      </c>
      <c r="G260" s="45" t="s">
        <v>448</v>
      </c>
      <c r="H260" s="45" t="s">
        <v>457</v>
      </c>
      <c r="I260" s="162" t="str">
        <f t="shared" si="64"/>
        <v/>
      </c>
      <c r="J260" s="11" t="s">
        <v>711</v>
      </c>
      <c r="K260" s="673">
        <v>4019</v>
      </c>
      <c r="L260" s="674" t="s">
        <v>2328</v>
      </c>
    </row>
    <row r="261" spans="2:12" s="112" customFormat="1" hidden="1">
      <c r="B261" s="45"/>
      <c r="C261" s="45">
        <f t="shared" si="54"/>
        <v>3158</v>
      </c>
      <c r="D261" s="45">
        <f t="shared" si="55"/>
        <v>5</v>
      </c>
      <c r="E261" s="45">
        <f t="shared" si="56"/>
        <v>2017</v>
      </c>
      <c r="F261" s="45">
        <f t="shared" si="63"/>
        <v>0</v>
      </c>
      <c r="G261" s="45" t="s">
        <v>448</v>
      </c>
      <c r="H261" s="45" t="s">
        <v>458</v>
      </c>
      <c r="I261" s="162" t="str">
        <f t="shared" si="64"/>
        <v/>
      </c>
      <c r="J261" s="11" t="s">
        <v>712</v>
      </c>
      <c r="K261" s="673">
        <v>4020</v>
      </c>
      <c r="L261" s="674" t="s">
        <v>2332</v>
      </c>
    </row>
    <row r="262" spans="2:12" s="112" customFormat="1" hidden="1">
      <c r="B262" s="45"/>
      <c r="C262" s="45">
        <f t="shared" si="54"/>
        <v>3158</v>
      </c>
      <c r="D262" s="45">
        <f t="shared" si="55"/>
        <v>5</v>
      </c>
      <c r="E262" s="45">
        <f t="shared" si="56"/>
        <v>2017</v>
      </c>
      <c r="F262" s="45">
        <f t="shared" si="63"/>
        <v>0</v>
      </c>
      <c r="G262" s="45" t="s">
        <v>448</v>
      </c>
      <c r="H262" s="45" t="s">
        <v>460</v>
      </c>
      <c r="I262" s="162" t="str">
        <f t="shared" si="64"/>
        <v/>
      </c>
      <c r="J262" s="11" t="s">
        <v>713</v>
      </c>
      <c r="K262" s="673">
        <v>4021</v>
      </c>
      <c r="L262" s="674" t="s">
        <v>1821</v>
      </c>
    </row>
    <row r="263" spans="2:12" s="112" customFormat="1" hidden="1">
      <c r="B263" s="45"/>
      <c r="C263" s="45">
        <f t="shared" si="54"/>
        <v>3158</v>
      </c>
      <c r="D263" s="45">
        <f t="shared" si="55"/>
        <v>5</v>
      </c>
      <c r="E263" s="45">
        <f t="shared" si="56"/>
        <v>2017</v>
      </c>
      <c r="F263" s="45">
        <f t="shared" ref="F263:F273" si="65">Y$3</f>
        <v>0</v>
      </c>
      <c r="G263" s="45" t="s">
        <v>448</v>
      </c>
      <c r="H263" s="45" t="s">
        <v>449</v>
      </c>
      <c r="I263" s="162" t="str">
        <f t="shared" ref="I263:I273" si="66">IF(ISBLANK(Y4),"",Y4)</f>
        <v/>
      </c>
      <c r="J263" s="11" t="s">
        <v>714</v>
      </c>
      <c r="K263" s="673">
        <v>4022</v>
      </c>
      <c r="L263" s="674" t="s">
        <v>2333</v>
      </c>
    </row>
    <row r="264" spans="2:12" s="112" customFormat="1" hidden="1">
      <c r="B264" s="45"/>
      <c r="C264" s="45">
        <f t="shared" si="54"/>
        <v>3158</v>
      </c>
      <c r="D264" s="45">
        <f t="shared" si="55"/>
        <v>5</v>
      </c>
      <c r="E264" s="45">
        <f t="shared" si="56"/>
        <v>2017</v>
      </c>
      <c r="F264" s="45">
        <f t="shared" si="65"/>
        <v>0</v>
      </c>
      <c r="G264" s="45" t="s">
        <v>448</v>
      </c>
      <c r="H264" s="45" t="s">
        <v>450</v>
      </c>
      <c r="I264" s="162" t="str">
        <f t="shared" si="66"/>
        <v/>
      </c>
      <c r="J264" s="11" t="s">
        <v>715</v>
      </c>
      <c r="K264" s="673">
        <v>4024</v>
      </c>
      <c r="L264" s="674" t="s">
        <v>2370</v>
      </c>
    </row>
    <row r="265" spans="2:12" s="112" customFormat="1" hidden="1">
      <c r="B265" s="45"/>
      <c r="C265" s="45">
        <f t="shared" si="54"/>
        <v>3158</v>
      </c>
      <c r="D265" s="45">
        <f t="shared" si="55"/>
        <v>5</v>
      </c>
      <c r="E265" s="45">
        <f t="shared" si="56"/>
        <v>2017</v>
      </c>
      <c r="F265" s="45">
        <f t="shared" si="65"/>
        <v>0</v>
      </c>
      <c r="G265" s="45" t="s">
        <v>448</v>
      </c>
      <c r="H265" s="45" t="s">
        <v>451</v>
      </c>
      <c r="I265" s="162" t="str">
        <f t="shared" si="66"/>
        <v/>
      </c>
      <c r="J265" s="11" t="s">
        <v>716</v>
      </c>
      <c r="K265" s="673">
        <v>4025</v>
      </c>
      <c r="L265" s="674" t="s">
        <v>1822</v>
      </c>
    </row>
    <row r="266" spans="2:12" s="112" customFormat="1" hidden="1">
      <c r="B266" s="45"/>
      <c r="C266" s="45">
        <f t="shared" si="54"/>
        <v>3158</v>
      </c>
      <c r="D266" s="45">
        <f t="shared" si="55"/>
        <v>5</v>
      </c>
      <c r="E266" s="45">
        <f t="shared" si="56"/>
        <v>2017</v>
      </c>
      <c r="F266" s="45">
        <f t="shared" si="65"/>
        <v>0</v>
      </c>
      <c r="G266" s="45" t="s">
        <v>448</v>
      </c>
      <c r="H266" s="45" t="s">
        <v>452</v>
      </c>
      <c r="I266" s="162" t="str">
        <f t="shared" si="66"/>
        <v/>
      </c>
      <c r="J266" s="11" t="s">
        <v>717</v>
      </c>
      <c r="K266" s="673">
        <v>4027</v>
      </c>
      <c r="L266" s="674" t="s">
        <v>2314</v>
      </c>
    </row>
    <row r="267" spans="2:12" s="112" customFormat="1" hidden="1">
      <c r="B267" s="45"/>
      <c r="C267" s="45">
        <f t="shared" si="54"/>
        <v>3158</v>
      </c>
      <c r="D267" s="45">
        <f t="shared" si="55"/>
        <v>5</v>
      </c>
      <c r="E267" s="45">
        <f t="shared" si="56"/>
        <v>2017</v>
      </c>
      <c r="F267" s="45">
        <f t="shared" si="65"/>
        <v>0</v>
      </c>
      <c r="G267" s="45" t="s">
        <v>448</v>
      </c>
      <c r="H267" s="45" t="s">
        <v>453</v>
      </c>
      <c r="I267" s="162" t="str">
        <f t="shared" si="66"/>
        <v/>
      </c>
      <c r="J267" s="11" t="s">
        <v>718</v>
      </c>
      <c r="K267" s="673">
        <v>4028</v>
      </c>
      <c r="L267" s="674" t="s">
        <v>2347</v>
      </c>
    </row>
    <row r="268" spans="2:12" s="112" customFormat="1" hidden="1">
      <c r="B268" s="45"/>
      <c r="C268" s="45">
        <f t="shared" si="54"/>
        <v>3158</v>
      </c>
      <c r="D268" s="45">
        <f t="shared" si="55"/>
        <v>5</v>
      </c>
      <c r="E268" s="45">
        <f t="shared" si="56"/>
        <v>2017</v>
      </c>
      <c r="F268" s="45">
        <f t="shared" si="65"/>
        <v>0</v>
      </c>
      <c r="G268" s="45" t="s">
        <v>448</v>
      </c>
      <c r="H268" s="45" t="s">
        <v>454</v>
      </c>
      <c r="I268" s="162" t="str">
        <f t="shared" si="66"/>
        <v/>
      </c>
      <c r="J268" s="11" t="s">
        <v>719</v>
      </c>
      <c r="K268" s="675">
        <v>4029</v>
      </c>
      <c r="L268" s="674" t="s">
        <v>2117</v>
      </c>
    </row>
    <row r="269" spans="2:12" s="112" customFormat="1" hidden="1">
      <c r="B269" s="45"/>
      <c r="C269" s="45">
        <f t="shared" si="54"/>
        <v>3158</v>
      </c>
      <c r="D269" s="45">
        <f t="shared" si="55"/>
        <v>5</v>
      </c>
      <c r="E269" s="45">
        <f t="shared" si="56"/>
        <v>2017</v>
      </c>
      <c r="F269" s="45">
        <f t="shared" si="65"/>
        <v>0</v>
      </c>
      <c r="G269" s="45" t="s">
        <v>448</v>
      </c>
      <c r="H269" s="45" t="s">
        <v>455</v>
      </c>
      <c r="I269" s="162" t="str">
        <f t="shared" si="66"/>
        <v/>
      </c>
      <c r="J269" s="11" t="s">
        <v>720</v>
      </c>
      <c r="K269" s="673">
        <v>4030</v>
      </c>
      <c r="L269" s="674" t="s">
        <v>1823</v>
      </c>
    </row>
    <row r="270" spans="2:12" s="112" customFormat="1" hidden="1">
      <c r="B270" s="45"/>
      <c r="C270" s="45">
        <f t="shared" si="54"/>
        <v>3158</v>
      </c>
      <c r="D270" s="45">
        <f t="shared" si="55"/>
        <v>5</v>
      </c>
      <c r="E270" s="45">
        <f t="shared" si="56"/>
        <v>2017</v>
      </c>
      <c r="F270" s="45">
        <f t="shared" si="65"/>
        <v>0</v>
      </c>
      <c r="G270" s="45" t="s">
        <v>448</v>
      </c>
      <c r="H270" s="45" t="s">
        <v>456</v>
      </c>
      <c r="I270" s="162" t="str">
        <f t="shared" si="66"/>
        <v/>
      </c>
      <c r="J270" s="11" t="s">
        <v>721</v>
      </c>
      <c r="K270" s="675">
        <v>4031</v>
      </c>
      <c r="L270" s="674" t="s">
        <v>2674</v>
      </c>
    </row>
    <row r="271" spans="2:12" s="112" customFormat="1" hidden="1">
      <c r="B271" s="45"/>
      <c r="C271" s="45">
        <f t="shared" si="54"/>
        <v>3158</v>
      </c>
      <c r="D271" s="45">
        <f t="shared" si="55"/>
        <v>5</v>
      </c>
      <c r="E271" s="45">
        <f t="shared" si="56"/>
        <v>2017</v>
      </c>
      <c r="F271" s="45">
        <f t="shared" si="65"/>
        <v>0</v>
      </c>
      <c r="G271" s="45" t="s">
        <v>448</v>
      </c>
      <c r="H271" s="45" t="s">
        <v>457</v>
      </c>
      <c r="I271" s="162" t="str">
        <f t="shared" si="66"/>
        <v/>
      </c>
      <c r="J271" s="11" t="s">
        <v>722</v>
      </c>
      <c r="K271" s="673">
        <v>4036</v>
      </c>
      <c r="L271" s="674" t="s">
        <v>2371</v>
      </c>
    </row>
    <row r="272" spans="2:12" s="112" customFormat="1" hidden="1">
      <c r="B272" s="45"/>
      <c r="C272" s="45">
        <f t="shared" si="54"/>
        <v>3158</v>
      </c>
      <c r="D272" s="45">
        <f t="shared" si="55"/>
        <v>5</v>
      </c>
      <c r="E272" s="45">
        <f t="shared" si="56"/>
        <v>2017</v>
      </c>
      <c r="F272" s="45">
        <f t="shared" si="65"/>
        <v>0</v>
      </c>
      <c r="G272" s="45" t="s">
        <v>448</v>
      </c>
      <c r="H272" s="45" t="s">
        <v>458</v>
      </c>
      <c r="I272" s="162" t="str">
        <f t="shared" si="66"/>
        <v/>
      </c>
      <c r="J272" s="11" t="s">
        <v>723</v>
      </c>
      <c r="K272" s="673">
        <v>4037</v>
      </c>
      <c r="L272" s="674" t="s">
        <v>1824</v>
      </c>
    </row>
    <row r="273" spans="2:12" s="112" customFormat="1" hidden="1">
      <c r="B273" s="45"/>
      <c r="C273" s="45">
        <f t="shared" si="54"/>
        <v>3158</v>
      </c>
      <c r="D273" s="45">
        <f t="shared" si="55"/>
        <v>5</v>
      </c>
      <c r="E273" s="45">
        <f t="shared" si="56"/>
        <v>2017</v>
      </c>
      <c r="F273" s="45">
        <f t="shared" si="65"/>
        <v>0</v>
      </c>
      <c r="G273" s="45" t="s">
        <v>448</v>
      </c>
      <c r="H273" s="45" t="s">
        <v>460</v>
      </c>
      <c r="I273" s="162" t="str">
        <f t="shared" si="66"/>
        <v/>
      </c>
      <c r="J273" s="11" t="s">
        <v>724</v>
      </c>
      <c r="K273" s="673">
        <v>4039</v>
      </c>
      <c r="L273" s="674" t="s">
        <v>2357</v>
      </c>
    </row>
    <row r="274" spans="2:12" s="112" customFormat="1" hidden="1">
      <c r="B274" s="45"/>
      <c r="C274" s="45">
        <f t="shared" si="54"/>
        <v>3158</v>
      </c>
      <c r="D274" s="45">
        <f t="shared" si="55"/>
        <v>5</v>
      </c>
      <c r="E274" s="45">
        <f t="shared" si="56"/>
        <v>2017</v>
      </c>
      <c r="F274" s="45">
        <f t="shared" ref="F274:F284" si="67">Z$3</f>
        <v>0</v>
      </c>
      <c r="G274" s="45" t="s">
        <v>448</v>
      </c>
      <c r="H274" s="45" t="s">
        <v>449</v>
      </c>
      <c r="I274" s="162" t="str">
        <f t="shared" ref="I274:I284" si="68">IF(ISBLANK(Z4),"",Z4)</f>
        <v/>
      </c>
      <c r="J274" s="11" t="s">
        <v>725</v>
      </c>
      <c r="K274" s="673">
        <v>4042</v>
      </c>
      <c r="L274" s="674" t="s">
        <v>2358</v>
      </c>
    </row>
    <row r="275" spans="2:12" s="112" customFormat="1" hidden="1">
      <c r="B275" s="45"/>
      <c r="C275" s="45">
        <f t="shared" si="54"/>
        <v>3158</v>
      </c>
      <c r="D275" s="45">
        <f t="shared" si="55"/>
        <v>5</v>
      </c>
      <c r="E275" s="45">
        <f t="shared" si="56"/>
        <v>2017</v>
      </c>
      <c r="F275" s="45">
        <f t="shared" si="67"/>
        <v>0</v>
      </c>
      <c r="G275" s="45" t="s">
        <v>448</v>
      </c>
      <c r="H275" s="45" t="s">
        <v>450</v>
      </c>
      <c r="I275" s="162" t="str">
        <f t="shared" si="68"/>
        <v/>
      </c>
      <c r="J275" s="11" t="s">
        <v>726</v>
      </c>
      <c r="K275" s="673">
        <v>4045</v>
      </c>
      <c r="L275" s="674" t="s">
        <v>2169</v>
      </c>
    </row>
    <row r="276" spans="2:12" s="112" customFormat="1" hidden="1">
      <c r="B276" s="45"/>
      <c r="C276" s="45">
        <f t="shared" si="54"/>
        <v>3158</v>
      </c>
      <c r="D276" s="45">
        <f t="shared" si="55"/>
        <v>5</v>
      </c>
      <c r="E276" s="45">
        <f t="shared" si="56"/>
        <v>2017</v>
      </c>
      <c r="F276" s="45">
        <f t="shared" si="67"/>
        <v>0</v>
      </c>
      <c r="G276" s="45" t="s">
        <v>448</v>
      </c>
      <c r="H276" s="45" t="s">
        <v>451</v>
      </c>
      <c r="I276" s="162" t="str">
        <f t="shared" si="68"/>
        <v/>
      </c>
      <c r="J276" s="11" t="s">
        <v>727</v>
      </c>
      <c r="K276" s="673">
        <v>4046</v>
      </c>
      <c r="L276" s="674" t="s">
        <v>2009</v>
      </c>
    </row>
    <row r="277" spans="2:12" s="112" customFormat="1" hidden="1">
      <c r="B277" s="45"/>
      <c r="C277" s="45">
        <f t="shared" si="54"/>
        <v>3158</v>
      </c>
      <c r="D277" s="45">
        <f t="shared" si="55"/>
        <v>5</v>
      </c>
      <c r="E277" s="45">
        <f t="shared" si="56"/>
        <v>2017</v>
      </c>
      <c r="F277" s="45">
        <f t="shared" si="67"/>
        <v>0</v>
      </c>
      <c r="G277" s="45" t="s">
        <v>448</v>
      </c>
      <c r="H277" s="45" t="s">
        <v>452</v>
      </c>
      <c r="I277" s="162" t="str">
        <f t="shared" si="68"/>
        <v/>
      </c>
      <c r="J277" s="11" t="s">
        <v>728</v>
      </c>
      <c r="K277" s="673">
        <v>4047</v>
      </c>
      <c r="L277" s="674" t="s">
        <v>2316</v>
      </c>
    </row>
    <row r="278" spans="2:12" s="112" customFormat="1" hidden="1">
      <c r="B278" s="45"/>
      <c r="C278" s="45">
        <f t="shared" ref="C278:C341" si="69">H$1</f>
        <v>3158</v>
      </c>
      <c r="D278" s="45">
        <f t="shared" ref="D278:D341" si="70">K$1</f>
        <v>5</v>
      </c>
      <c r="E278" s="45">
        <f t="shared" si="56"/>
        <v>2017</v>
      </c>
      <c r="F278" s="45">
        <f t="shared" si="67"/>
        <v>0</v>
      </c>
      <c r="G278" s="45" t="s">
        <v>448</v>
      </c>
      <c r="H278" s="45" t="s">
        <v>453</v>
      </c>
      <c r="I278" s="162" t="str">
        <f t="shared" si="68"/>
        <v/>
      </c>
      <c r="J278" s="11" t="s">
        <v>729</v>
      </c>
      <c r="K278" s="673">
        <v>4050</v>
      </c>
      <c r="L278" s="674" t="s">
        <v>2174</v>
      </c>
    </row>
    <row r="279" spans="2:12" s="112" customFormat="1" hidden="1">
      <c r="B279" s="45"/>
      <c r="C279" s="45">
        <f t="shared" si="69"/>
        <v>3158</v>
      </c>
      <c r="D279" s="45">
        <f t="shared" si="70"/>
        <v>5</v>
      </c>
      <c r="E279" s="45">
        <f t="shared" si="56"/>
        <v>2017</v>
      </c>
      <c r="F279" s="45">
        <f t="shared" si="67"/>
        <v>0</v>
      </c>
      <c r="G279" s="45" t="s">
        <v>448</v>
      </c>
      <c r="H279" s="45" t="s">
        <v>454</v>
      </c>
      <c r="I279" s="162" t="str">
        <f t="shared" si="68"/>
        <v/>
      </c>
      <c r="J279" s="11" t="s">
        <v>730</v>
      </c>
      <c r="K279" s="673">
        <v>4051</v>
      </c>
      <c r="L279" s="674" t="s">
        <v>2010</v>
      </c>
    </row>
    <row r="280" spans="2:12" s="112" customFormat="1" hidden="1">
      <c r="B280" s="45"/>
      <c r="C280" s="45">
        <f t="shared" si="69"/>
        <v>3158</v>
      </c>
      <c r="D280" s="45">
        <f t="shared" si="70"/>
        <v>5</v>
      </c>
      <c r="E280" s="45">
        <f t="shared" ref="E280:E343" si="71">D$1</f>
        <v>2017</v>
      </c>
      <c r="F280" s="45">
        <f t="shared" si="67"/>
        <v>0</v>
      </c>
      <c r="G280" s="45" t="s">
        <v>448</v>
      </c>
      <c r="H280" s="45" t="s">
        <v>455</v>
      </c>
      <c r="I280" s="162" t="str">
        <f t="shared" si="68"/>
        <v/>
      </c>
      <c r="J280" s="11" t="s">
        <v>731</v>
      </c>
      <c r="K280" s="673">
        <v>4052</v>
      </c>
      <c r="L280" s="674" t="s">
        <v>2372</v>
      </c>
    </row>
    <row r="281" spans="2:12" s="112" customFormat="1" hidden="1">
      <c r="B281" s="45"/>
      <c r="C281" s="45">
        <f t="shared" si="69"/>
        <v>3158</v>
      </c>
      <c r="D281" s="45">
        <f t="shared" si="70"/>
        <v>5</v>
      </c>
      <c r="E281" s="45">
        <f t="shared" si="71"/>
        <v>2017</v>
      </c>
      <c r="F281" s="45">
        <f t="shared" si="67"/>
        <v>0</v>
      </c>
      <c r="G281" s="45" t="s">
        <v>448</v>
      </c>
      <c r="H281" s="45" t="s">
        <v>456</v>
      </c>
      <c r="I281" s="162" t="str">
        <f t="shared" si="68"/>
        <v/>
      </c>
      <c r="J281" s="11" t="s">
        <v>732</v>
      </c>
      <c r="K281" s="673">
        <v>4057</v>
      </c>
      <c r="L281" s="674" t="s">
        <v>18</v>
      </c>
    </row>
    <row r="282" spans="2:12" s="112" customFormat="1" hidden="1">
      <c r="B282" s="45"/>
      <c r="C282" s="45">
        <f t="shared" si="69"/>
        <v>3158</v>
      </c>
      <c r="D282" s="45">
        <f t="shared" si="70"/>
        <v>5</v>
      </c>
      <c r="E282" s="45">
        <f t="shared" si="71"/>
        <v>2017</v>
      </c>
      <c r="F282" s="45">
        <f t="shared" si="67"/>
        <v>0</v>
      </c>
      <c r="G282" s="45" t="s">
        <v>448</v>
      </c>
      <c r="H282" s="45" t="s">
        <v>457</v>
      </c>
      <c r="I282" s="162" t="str">
        <f t="shared" si="68"/>
        <v/>
      </c>
      <c r="J282" s="11" t="s">
        <v>733</v>
      </c>
      <c r="K282" s="673">
        <v>4059</v>
      </c>
      <c r="L282" s="674" t="s">
        <v>402</v>
      </c>
    </row>
    <row r="283" spans="2:12" s="112" customFormat="1" hidden="1">
      <c r="B283" s="45"/>
      <c r="C283" s="45">
        <f t="shared" si="69"/>
        <v>3158</v>
      </c>
      <c r="D283" s="45">
        <f t="shared" si="70"/>
        <v>5</v>
      </c>
      <c r="E283" s="45">
        <f t="shared" si="71"/>
        <v>2017</v>
      </c>
      <c r="F283" s="45">
        <f t="shared" si="67"/>
        <v>0</v>
      </c>
      <c r="G283" s="45" t="s">
        <v>448</v>
      </c>
      <c r="H283" s="45" t="s">
        <v>458</v>
      </c>
      <c r="I283" s="162" t="str">
        <f t="shared" si="68"/>
        <v/>
      </c>
      <c r="J283" s="11" t="s">
        <v>734</v>
      </c>
      <c r="K283" s="676">
        <v>4061</v>
      </c>
      <c r="L283" s="677" t="s">
        <v>403</v>
      </c>
    </row>
    <row r="284" spans="2:12" s="112" customFormat="1" hidden="1">
      <c r="B284" s="45"/>
      <c r="C284" s="45">
        <f t="shared" si="69"/>
        <v>3158</v>
      </c>
      <c r="D284" s="45">
        <f t="shared" si="70"/>
        <v>5</v>
      </c>
      <c r="E284" s="45">
        <f t="shared" si="71"/>
        <v>2017</v>
      </c>
      <c r="F284" s="45">
        <f t="shared" si="67"/>
        <v>0</v>
      </c>
      <c r="G284" s="45" t="s">
        <v>448</v>
      </c>
      <c r="H284" s="45" t="s">
        <v>460</v>
      </c>
      <c r="I284" s="162" t="str">
        <f t="shared" si="68"/>
        <v/>
      </c>
      <c r="J284" s="11" t="s">
        <v>735</v>
      </c>
      <c r="K284" s="673">
        <v>4067</v>
      </c>
      <c r="L284" s="674" t="s">
        <v>19</v>
      </c>
    </row>
    <row r="285" spans="2:12" s="112" customFormat="1" hidden="1">
      <c r="B285" s="45"/>
      <c r="C285" s="45">
        <f t="shared" si="69"/>
        <v>3158</v>
      </c>
      <c r="D285" s="45">
        <f t="shared" si="70"/>
        <v>5</v>
      </c>
      <c r="E285" s="45">
        <f t="shared" si="71"/>
        <v>2017</v>
      </c>
      <c r="F285" s="45">
        <f t="shared" ref="F285:F295" si="72">AA$3</f>
        <v>0</v>
      </c>
      <c r="G285" s="45" t="s">
        <v>448</v>
      </c>
      <c r="H285" s="45" t="s">
        <v>449</v>
      </c>
      <c r="I285" s="162" t="str">
        <f t="shared" ref="I285:I295" si="73">IF(ISBLANK(AA4),"",AA4)</f>
        <v/>
      </c>
      <c r="J285" s="11" t="s">
        <v>736</v>
      </c>
      <c r="K285" s="673">
        <v>4069</v>
      </c>
      <c r="L285" s="674" t="s">
        <v>2373</v>
      </c>
    </row>
    <row r="286" spans="2:12" s="112" customFormat="1" hidden="1">
      <c r="B286" s="45"/>
      <c r="C286" s="45">
        <f t="shared" si="69"/>
        <v>3158</v>
      </c>
      <c r="D286" s="45">
        <f t="shared" si="70"/>
        <v>5</v>
      </c>
      <c r="E286" s="45">
        <f t="shared" si="71"/>
        <v>2017</v>
      </c>
      <c r="F286" s="45">
        <f t="shared" si="72"/>
        <v>0</v>
      </c>
      <c r="G286" s="45" t="s">
        <v>448</v>
      </c>
      <c r="H286" s="45" t="s">
        <v>450</v>
      </c>
      <c r="I286" s="162" t="str">
        <f t="shared" si="73"/>
        <v/>
      </c>
      <c r="J286" s="11" t="s">
        <v>737</v>
      </c>
      <c r="K286" s="673">
        <v>4070</v>
      </c>
      <c r="L286" s="674" t="s">
        <v>2011</v>
      </c>
    </row>
    <row r="287" spans="2:12" s="112" customFormat="1" hidden="1">
      <c r="B287" s="45"/>
      <c r="C287" s="45">
        <f t="shared" si="69"/>
        <v>3158</v>
      </c>
      <c r="D287" s="45">
        <f t="shared" si="70"/>
        <v>5</v>
      </c>
      <c r="E287" s="45">
        <f t="shared" si="71"/>
        <v>2017</v>
      </c>
      <c r="F287" s="45">
        <f t="shared" si="72"/>
        <v>0</v>
      </c>
      <c r="G287" s="45" t="s">
        <v>448</v>
      </c>
      <c r="H287" s="45" t="s">
        <v>451</v>
      </c>
      <c r="I287" s="162" t="str">
        <f t="shared" si="73"/>
        <v/>
      </c>
      <c r="J287" s="11" t="s">
        <v>738</v>
      </c>
      <c r="K287" s="673">
        <v>4074</v>
      </c>
      <c r="L287" s="674" t="s">
        <v>404</v>
      </c>
    </row>
    <row r="288" spans="2:12" s="112" customFormat="1" hidden="1">
      <c r="B288" s="45"/>
      <c r="C288" s="45">
        <f t="shared" si="69"/>
        <v>3158</v>
      </c>
      <c r="D288" s="45">
        <f t="shared" si="70"/>
        <v>5</v>
      </c>
      <c r="E288" s="45">
        <f t="shared" si="71"/>
        <v>2017</v>
      </c>
      <c r="F288" s="45">
        <f t="shared" si="72"/>
        <v>0</v>
      </c>
      <c r="G288" s="45" t="s">
        <v>448</v>
      </c>
      <c r="H288" s="45" t="s">
        <v>452</v>
      </c>
      <c r="I288" s="162" t="str">
        <f t="shared" si="73"/>
        <v/>
      </c>
      <c r="J288" s="11" t="s">
        <v>739</v>
      </c>
      <c r="K288" s="673">
        <v>4076</v>
      </c>
      <c r="L288" s="674" t="s">
        <v>2175</v>
      </c>
    </row>
    <row r="289" spans="2:12" s="112" customFormat="1" hidden="1">
      <c r="B289" s="45"/>
      <c r="C289" s="45">
        <f t="shared" si="69"/>
        <v>3158</v>
      </c>
      <c r="D289" s="45">
        <f t="shared" si="70"/>
        <v>5</v>
      </c>
      <c r="E289" s="45">
        <f t="shared" si="71"/>
        <v>2017</v>
      </c>
      <c r="F289" s="45">
        <f t="shared" si="72"/>
        <v>0</v>
      </c>
      <c r="G289" s="45" t="s">
        <v>448</v>
      </c>
      <c r="H289" s="45" t="s">
        <v>453</v>
      </c>
      <c r="I289" s="162" t="str">
        <f t="shared" si="73"/>
        <v/>
      </c>
      <c r="J289" s="11" t="s">
        <v>740</v>
      </c>
      <c r="K289" s="673">
        <v>4078</v>
      </c>
      <c r="L289" s="674" t="s">
        <v>2351</v>
      </c>
    </row>
    <row r="290" spans="2:12" s="112" customFormat="1" hidden="1">
      <c r="B290" s="45"/>
      <c r="C290" s="45">
        <f t="shared" si="69"/>
        <v>3158</v>
      </c>
      <c r="D290" s="45">
        <f t="shared" si="70"/>
        <v>5</v>
      </c>
      <c r="E290" s="45">
        <f t="shared" si="71"/>
        <v>2017</v>
      </c>
      <c r="F290" s="45">
        <f t="shared" si="72"/>
        <v>0</v>
      </c>
      <c r="G290" s="45" t="s">
        <v>448</v>
      </c>
      <c r="H290" s="45" t="s">
        <v>454</v>
      </c>
      <c r="I290" s="162" t="str">
        <f t="shared" si="73"/>
        <v/>
      </c>
      <c r="J290" s="11" t="s">
        <v>741</v>
      </c>
      <c r="K290" s="673">
        <v>4080</v>
      </c>
      <c r="L290" s="674" t="s">
        <v>2176</v>
      </c>
    </row>
    <row r="291" spans="2:12" s="112" customFormat="1" hidden="1">
      <c r="B291" s="45"/>
      <c r="C291" s="45">
        <f t="shared" si="69"/>
        <v>3158</v>
      </c>
      <c r="D291" s="45">
        <f t="shared" si="70"/>
        <v>5</v>
      </c>
      <c r="E291" s="45">
        <f t="shared" si="71"/>
        <v>2017</v>
      </c>
      <c r="F291" s="45">
        <f t="shared" si="72"/>
        <v>0</v>
      </c>
      <c r="G291" s="45" t="s">
        <v>448</v>
      </c>
      <c r="H291" s="45" t="s">
        <v>455</v>
      </c>
      <c r="I291" s="162" t="str">
        <f t="shared" si="73"/>
        <v/>
      </c>
      <c r="J291" s="11" t="s">
        <v>742</v>
      </c>
      <c r="K291" s="673">
        <v>4081</v>
      </c>
      <c r="L291" s="674" t="s">
        <v>2177</v>
      </c>
    </row>
    <row r="292" spans="2:12" s="112" customFormat="1" hidden="1">
      <c r="B292" s="45"/>
      <c r="C292" s="45">
        <f t="shared" si="69"/>
        <v>3158</v>
      </c>
      <c r="D292" s="45">
        <f t="shared" si="70"/>
        <v>5</v>
      </c>
      <c r="E292" s="45">
        <f t="shared" si="71"/>
        <v>2017</v>
      </c>
      <c r="F292" s="45">
        <f t="shared" si="72"/>
        <v>0</v>
      </c>
      <c r="G292" s="45" t="s">
        <v>448</v>
      </c>
      <c r="H292" s="45" t="s">
        <v>456</v>
      </c>
      <c r="I292" s="162" t="str">
        <f t="shared" si="73"/>
        <v/>
      </c>
      <c r="J292" s="11" t="s">
        <v>743</v>
      </c>
      <c r="K292" s="673">
        <v>4088</v>
      </c>
      <c r="L292" s="674" t="s">
        <v>2178</v>
      </c>
    </row>
    <row r="293" spans="2:12" s="112" customFormat="1" hidden="1">
      <c r="B293" s="45"/>
      <c r="C293" s="45">
        <f t="shared" si="69"/>
        <v>3158</v>
      </c>
      <c r="D293" s="45">
        <f t="shared" si="70"/>
        <v>5</v>
      </c>
      <c r="E293" s="45">
        <f t="shared" si="71"/>
        <v>2017</v>
      </c>
      <c r="F293" s="45">
        <f t="shared" si="72"/>
        <v>0</v>
      </c>
      <c r="G293" s="45" t="s">
        <v>448</v>
      </c>
      <c r="H293" s="45" t="s">
        <v>457</v>
      </c>
      <c r="I293" s="162" t="str">
        <f t="shared" si="73"/>
        <v/>
      </c>
      <c r="J293" s="11" t="s">
        <v>744</v>
      </c>
      <c r="K293" s="673">
        <v>4089</v>
      </c>
      <c r="L293" s="674" t="s">
        <v>20</v>
      </c>
    </row>
    <row r="294" spans="2:12" s="112" customFormat="1" hidden="1">
      <c r="B294" s="45"/>
      <c r="C294" s="45">
        <f t="shared" si="69"/>
        <v>3158</v>
      </c>
      <c r="D294" s="45">
        <f t="shared" si="70"/>
        <v>5</v>
      </c>
      <c r="E294" s="45">
        <f t="shared" si="71"/>
        <v>2017</v>
      </c>
      <c r="F294" s="45">
        <f t="shared" si="72"/>
        <v>0</v>
      </c>
      <c r="G294" s="45" t="s">
        <v>448</v>
      </c>
      <c r="H294" s="45" t="s">
        <v>458</v>
      </c>
      <c r="I294" s="162" t="str">
        <f t="shared" si="73"/>
        <v/>
      </c>
      <c r="J294" s="11" t="s">
        <v>745</v>
      </c>
      <c r="K294" s="673">
        <v>4090</v>
      </c>
      <c r="L294" s="674" t="s">
        <v>2198</v>
      </c>
    </row>
    <row r="295" spans="2:12" s="112" customFormat="1" hidden="1">
      <c r="B295" s="45"/>
      <c r="C295" s="45">
        <f t="shared" si="69"/>
        <v>3158</v>
      </c>
      <c r="D295" s="45">
        <f t="shared" si="70"/>
        <v>5</v>
      </c>
      <c r="E295" s="45">
        <f t="shared" si="71"/>
        <v>2017</v>
      </c>
      <c r="F295" s="45">
        <f t="shared" si="72"/>
        <v>0</v>
      </c>
      <c r="G295" s="45" t="s">
        <v>448</v>
      </c>
      <c r="H295" s="45" t="s">
        <v>460</v>
      </c>
      <c r="I295" s="162" t="str">
        <f t="shared" si="73"/>
        <v/>
      </c>
      <c r="J295" s="11" t="s">
        <v>746</v>
      </c>
      <c r="K295" s="673">
        <v>4092</v>
      </c>
      <c r="L295" s="674" t="s">
        <v>21</v>
      </c>
    </row>
    <row r="296" spans="2:12" s="112" customFormat="1" hidden="1">
      <c r="B296" s="45"/>
      <c r="C296" s="45">
        <f t="shared" si="69"/>
        <v>3158</v>
      </c>
      <c r="D296" s="45">
        <f t="shared" si="70"/>
        <v>5</v>
      </c>
      <c r="E296" s="45">
        <f t="shared" si="71"/>
        <v>2017</v>
      </c>
      <c r="F296" s="45">
        <f t="shared" ref="F296:F306" si="74">AB$3</f>
        <v>0</v>
      </c>
      <c r="G296" s="45" t="s">
        <v>448</v>
      </c>
      <c r="H296" s="45" t="s">
        <v>449</v>
      </c>
      <c r="I296" s="162" t="str">
        <f t="shared" ref="I296:I306" si="75">IF(ISBLANK(AB4),"",AB4)</f>
        <v/>
      </c>
      <c r="J296" s="11" t="s">
        <v>747</v>
      </c>
      <c r="K296" s="673">
        <v>4093</v>
      </c>
      <c r="L296" s="674" t="s">
        <v>2012</v>
      </c>
    </row>
    <row r="297" spans="2:12" s="112" customFormat="1" hidden="1">
      <c r="B297" s="45"/>
      <c r="C297" s="45">
        <f t="shared" si="69"/>
        <v>3158</v>
      </c>
      <c r="D297" s="45">
        <f t="shared" si="70"/>
        <v>5</v>
      </c>
      <c r="E297" s="45">
        <f t="shared" si="71"/>
        <v>2017</v>
      </c>
      <c r="F297" s="45">
        <f t="shared" si="74"/>
        <v>0</v>
      </c>
      <c r="G297" s="45" t="s">
        <v>448</v>
      </c>
      <c r="H297" s="45" t="s">
        <v>450</v>
      </c>
      <c r="I297" s="162" t="str">
        <f t="shared" si="75"/>
        <v/>
      </c>
      <c r="J297" s="11" t="s">
        <v>748</v>
      </c>
      <c r="K297" s="673">
        <v>4099</v>
      </c>
      <c r="L297" s="674" t="s">
        <v>2346</v>
      </c>
    </row>
    <row r="298" spans="2:12" s="112" customFormat="1" hidden="1">
      <c r="B298" s="45"/>
      <c r="C298" s="45">
        <f t="shared" si="69"/>
        <v>3158</v>
      </c>
      <c r="D298" s="45">
        <f t="shared" si="70"/>
        <v>5</v>
      </c>
      <c r="E298" s="45">
        <f t="shared" si="71"/>
        <v>2017</v>
      </c>
      <c r="F298" s="45">
        <f t="shared" si="74"/>
        <v>0</v>
      </c>
      <c r="G298" s="45" t="s">
        <v>448</v>
      </c>
      <c r="H298" s="45" t="s">
        <v>451</v>
      </c>
      <c r="I298" s="162" t="str">
        <f t="shared" si="75"/>
        <v/>
      </c>
      <c r="J298" s="11" t="s">
        <v>749</v>
      </c>
      <c r="K298" s="673">
        <v>4100</v>
      </c>
      <c r="L298" s="674" t="s">
        <v>2335</v>
      </c>
    </row>
    <row r="299" spans="2:12" s="112" customFormat="1" hidden="1">
      <c r="B299" s="45"/>
      <c r="C299" s="45">
        <f t="shared" si="69"/>
        <v>3158</v>
      </c>
      <c r="D299" s="45">
        <f t="shared" si="70"/>
        <v>5</v>
      </c>
      <c r="E299" s="45">
        <f t="shared" si="71"/>
        <v>2017</v>
      </c>
      <c r="F299" s="45">
        <f t="shared" si="74"/>
        <v>0</v>
      </c>
      <c r="G299" s="45" t="s">
        <v>448</v>
      </c>
      <c r="H299" s="45" t="s">
        <v>452</v>
      </c>
      <c r="I299" s="162" t="str">
        <f t="shared" si="75"/>
        <v/>
      </c>
      <c r="J299" s="11" t="s">
        <v>750</v>
      </c>
      <c r="K299" s="676">
        <v>4107</v>
      </c>
      <c r="L299" s="677" t="s">
        <v>405</v>
      </c>
    </row>
    <row r="300" spans="2:12" s="112" customFormat="1" hidden="1">
      <c r="B300" s="45"/>
      <c r="C300" s="45">
        <f t="shared" si="69"/>
        <v>3158</v>
      </c>
      <c r="D300" s="45">
        <f t="shared" si="70"/>
        <v>5</v>
      </c>
      <c r="E300" s="45">
        <f t="shared" si="71"/>
        <v>2017</v>
      </c>
      <c r="F300" s="45">
        <f t="shared" si="74"/>
        <v>0</v>
      </c>
      <c r="G300" s="45" t="s">
        <v>448</v>
      </c>
      <c r="H300" s="45" t="s">
        <v>453</v>
      </c>
      <c r="I300" s="162" t="str">
        <f t="shared" si="75"/>
        <v/>
      </c>
      <c r="J300" s="11" t="s">
        <v>751</v>
      </c>
      <c r="K300" s="673">
        <v>4110</v>
      </c>
      <c r="L300" s="674" t="s">
        <v>22</v>
      </c>
    </row>
    <row r="301" spans="2:12" s="112" customFormat="1" hidden="1">
      <c r="B301" s="45"/>
      <c r="C301" s="45">
        <f t="shared" si="69"/>
        <v>3158</v>
      </c>
      <c r="D301" s="45">
        <f t="shared" si="70"/>
        <v>5</v>
      </c>
      <c r="E301" s="45">
        <f t="shared" si="71"/>
        <v>2017</v>
      </c>
      <c r="F301" s="45">
        <f t="shared" si="74"/>
        <v>0</v>
      </c>
      <c r="G301" s="45" t="s">
        <v>448</v>
      </c>
      <c r="H301" s="45" t="s">
        <v>454</v>
      </c>
      <c r="I301" s="162" t="str">
        <f t="shared" si="75"/>
        <v/>
      </c>
      <c r="J301" s="11" t="s">
        <v>752</v>
      </c>
      <c r="K301" s="673">
        <v>4112</v>
      </c>
      <c r="L301" s="674" t="s">
        <v>23</v>
      </c>
    </row>
    <row r="302" spans="2:12" s="112" customFormat="1" hidden="1">
      <c r="B302" s="45"/>
      <c r="C302" s="45">
        <f t="shared" si="69"/>
        <v>3158</v>
      </c>
      <c r="D302" s="45">
        <f t="shared" si="70"/>
        <v>5</v>
      </c>
      <c r="E302" s="45">
        <f t="shared" si="71"/>
        <v>2017</v>
      </c>
      <c r="F302" s="45">
        <f t="shared" si="74"/>
        <v>0</v>
      </c>
      <c r="G302" s="45" t="s">
        <v>448</v>
      </c>
      <c r="H302" s="45" t="s">
        <v>455</v>
      </c>
      <c r="I302" s="162" t="str">
        <f t="shared" si="75"/>
        <v/>
      </c>
      <c r="J302" s="11" t="s">
        <v>753</v>
      </c>
      <c r="K302" s="673">
        <v>4116</v>
      </c>
      <c r="L302" s="674" t="s">
        <v>406</v>
      </c>
    </row>
    <row r="303" spans="2:12" s="112" customFormat="1" hidden="1">
      <c r="B303" s="45"/>
      <c r="C303" s="45">
        <f t="shared" si="69"/>
        <v>3158</v>
      </c>
      <c r="D303" s="45">
        <f t="shared" si="70"/>
        <v>5</v>
      </c>
      <c r="E303" s="45">
        <f t="shared" si="71"/>
        <v>2017</v>
      </c>
      <c r="F303" s="45">
        <f t="shared" si="74"/>
        <v>0</v>
      </c>
      <c r="G303" s="45" t="s">
        <v>448</v>
      </c>
      <c r="H303" s="45" t="s">
        <v>456</v>
      </c>
      <c r="I303" s="162" t="str">
        <f t="shared" si="75"/>
        <v/>
      </c>
      <c r="J303" s="11" t="s">
        <v>754</v>
      </c>
      <c r="K303" s="673">
        <v>4117</v>
      </c>
      <c r="L303" s="674" t="s">
        <v>2315</v>
      </c>
    </row>
    <row r="304" spans="2:12" s="112" customFormat="1" hidden="1">
      <c r="B304" s="45"/>
      <c r="C304" s="45">
        <f t="shared" si="69"/>
        <v>3158</v>
      </c>
      <c r="D304" s="45">
        <f t="shared" si="70"/>
        <v>5</v>
      </c>
      <c r="E304" s="45">
        <f t="shared" si="71"/>
        <v>2017</v>
      </c>
      <c r="F304" s="45">
        <f t="shared" si="74"/>
        <v>0</v>
      </c>
      <c r="G304" s="45" t="s">
        <v>448</v>
      </c>
      <c r="H304" s="45" t="s">
        <v>457</v>
      </c>
      <c r="I304" s="162" t="str">
        <f t="shared" si="75"/>
        <v/>
      </c>
      <c r="J304" s="11" t="s">
        <v>755</v>
      </c>
      <c r="K304" s="673">
        <v>4118</v>
      </c>
      <c r="L304" s="674" t="s">
        <v>2374</v>
      </c>
    </row>
    <row r="305" spans="2:12" s="112" customFormat="1" hidden="1">
      <c r="B305" s="45"/>
      <c r="C305" s="45">
        <f t="shared" si="69"/>
        <v>3158</v>
      </c>
      <c r="D305" s="45">
        <f t="shared" si="70"/>
        <v>5</v>
      </c>
      <c r="E305" s="45">
        <f t="shared" si="71"/>
        <v>2017</v>
      </c>
      <c r="F305" s="45">
        <f t="shared" si="74"/>
        <v>0</v>
      </c>
      <c r="G305" s="45" t="s">
        <v>448</v>
      </c>
      <c r="H305" s="45" t="s">
        <v>458</v>
      </c>
      <c r="I305" s="162" t="str">
        <f t="shared" si="75"/>
        <v/>
      </c>
      <c r="J305" s="11" t="s">
        <v>756</v>
      </c>
      <c r="K305" s="673">
        <v>4120</v>
      </c>
      <c r="L305" s="674" t="s">
        <v>2013</v>
      </c>
    </row>
    <row r="306" spans="2:12" s="112" customFormat="1" hidden="1">
      <c r="B306" s="45"/>
      <c r="C306" s="45">
        <f t="shared" si="69"/>
        <v>3158</v>
      </c>
      <c r="D306" s="45">
        <f t="shared" si="70"/>
        <v>5</v>
      </c>
      <c r="E306" s="45">
        <f t="shared" si="71"/>
        <v>2017</v>
      </c>
      <c r="F306" s="45">
        <f t="shared" si="74"/>
        <v>0</v>
      </c>
      <c r="G306" s="45" t="s">
        <v>448</v>
      </c>
      <c r="H306" s="45" t="s">
        <v>460</v>
      </c>
      <c r="I306" s="162" t="str">
        <f t="shared" si="75"/>
        <v/>
      </c>
      <c r="J306" s="11" t="s">
        <v>757</v>
      </c>
      <c r="K306" s="673">
        <v>4122</v>
      </c>
      <c r="L306" s="674" t="s">
        <v>2329</v>
      </c>
    </row>
    <row r="307" spans="2:12" s="112" customFormat="1" hidden="1">
      <c r="B307" s="45"/>
      <c r="C307" s="45">
        <f t="shared" si="69"/>
        <v>3158</v>
      </c>
      <c r="D307" s="45">
        <f t="shared" si="70"/>
        <v>5</v>
      </c>
      <c r="E307" s="45">
        <f t="shared" si="71"/>
        <v>2017</v>
      </c>
      <c r="F307" s="45">
        <f t="shared" ref="F307:F317" si="76">AC$3</f>
        <v>0</v>
      </c>
      <c r="G307" s="45" t="s">
        <v>448</v>
      </c>
      <c r="H307" s="45" t="s">
        <v>449</v>
      </c>
      <c r="I307" s="162" t="str">
        <f t="shared" ref="I307:I317" si="77">IF(ISBLANK(AC4),"",AC4)</f>
        <v/>
      </c>
      <c r="J307" s="11" t="s">
        <v>758</v>
      </c>
      <c r="K307" s="673">
        <v>4123</v>
      </c>
      <c r="L307" s="674" t="s">
        <v>2014</v>
      </c>
    </row>
    <row r="308" spans="2:12" s="112" customFormat="1" hidden="1">
      <c r="B308" s="45"/>
      <c r="C308" s="45">
        <f t="shared" si="69"/>
        <v>3158</v>
      </c>
      <c r="D308" s="45">
        <f t="shared" si="70"/>
        <v>5</v>
      </c>
      <c r="E308" s="45">
        <f t="shared" si="71"/>
        <v>2017</v>
      </c>
      <c r="F308" s="45">
        <f t="shared" si="76"/>
        <v>0</v>
      </c>
      <c r="G308" s="45" t="s">
        <v>448</v>
      </c>
      <c r="H308" s="45" t="s">
        <v>450</v>
      </c>
      <c r="I308" s="162" t="str">
        <f t="shared" si="77"/>
        <v/>
      </c>
      <c r="J308" s="11" t="s">
        <v>759</v>
      </c>
      <c r="K308" s="676">
        <v>4124</v>
      </c>
      <c r="L308" s="677" t="s">
        <v>407</v>
      </c>
    </row>
    <row r="309" spans="2:12" s="112" customFormat="1" hidden="1">
      <c r="B309" s="45"/>
      <c r="C309" s="45">
        <f t="shared" si="69"/>
        <v>3158</v>
      </c>
      <c r="D309" s="45">
        <f t="shared" si="70"/>
        <v>5</v>
      </c>
      <c r="E309" s="45">
        <f t="shared" si="71"/>
        <v>2017</v>
      </c>
      <c r="F309" s="45">
        <f t="shared" si="76"/>
        <v>0</v>
      </c>
      <c r="G309" s="45" t="s">
        <v>448</v>
      </c>
      <c r="H309" s="45" t="s">
        <v>451</v>
      </c>
      <c r="I309" s="162" t="str">
        <f t="shared" si="77"/>
        <v/>
      </c>
      <c r="J309" s="11" t="s">
        <v>760</v>
      </c>
      <c r="K309" s="673">
        <v>4128</v>
      </c>
      <c r="L309" s="674" t="s">
        <v>2179</v>
      </c>
    </row>
    <row r="310" spans="2:12" s="112" customFormat="1" hidden="1">
      <c r="B310" s="45"/>
      <c r="C310" s="45">
        <f t="shared" si="69"/>
        <v>3158</v>
      </c>
      <c r="D310" s="45">
        <f t="shared" si="70"/>
        <v>5</v>
      </c>
      <c r="E310" s="45">
        <f t="shared" si="71"/>
        <v>2017</v>
      </c>
      <c r="F310" s="45">
        <f t="shared" si="76"/>
        <v>0</v>
      </c>
      <c r="G310" s="45" t="s">
        <v>448</v>
      </c>
      <c r="H310" s="45" t="s">
        <v>452</v>
      </c>
      <c r="I310" s="162" t="str">
        <f t="shared" si="77"/>
        <v/>
      </c>
      <c r="J310" s="11" t="s">
        <v>761</v>
      </c>
      <c r="K310" s="673">
        <v>4131</v>
      </c>
      <c r="L310" s="674" t="s">
        <v>24</v>
      </c>
    </row>
    <row r="311" spans="2:12" s="112" customFormat="1" hidden="1">
      <c r="B311" s="45"/>
      <c r="C311" s="45">
        <f t="shared" si="69"/>
        <v>3158</v>
      </c>
      <c r="D311" s="45">
        <f t="shared" si="70"/>
        <v>5</v>
      </c>
      <c r="E311" s="45">
        <f t="shared" si="71"/>
        <v>2017</v>
      </c>
      <c r="F311" s="45">
        <f t="shared" si="76"/>
        <v>0</v>
      </c>
      <c r="G311" s="45" t="s">
        <v>448</v>
      </c>
      <c r="H311" s="45" t="s">
        <v>453</v>
      </c>
      <c r="I311" s="162" t="str">
        <f t="shared" si="77"/>
        <v/>
      </c>
      <c r="J311" s="11" t="s">
        <v>762</v>
      </c>
      <c r="K311" s="676">
        <v>4133</v>
      </c>
      <c r="L311" s="677" t="s">
        <v>2130</v>
      </c>
    </row>
    <row r="312" spans="2:12" s="112" customFormat="1" hidden="1">
      <c r="B312" s="45"/>
      <c r="C312" s="45">
        <f t="shared" si="69"/>
        <v>3158</v>
      </c>
      <c r="D312" s="45">
        <f t="shared" si="70"/>
        <v>5</v>
      </c>
      <c r="E312" s="45">
        <f t="shared" si="71"/>
        <v>2017</v>
      </c>
      <c r="F312" s="45">
        <f t="shared" si="76"/>
        <v>0</v>
      </c>
      <c r="G312" s="45" t="s">
        <v>448</v>
      </c>
      <c r="H312" s="45" t="s">
        <v>454</v>
      </c>
      <c r="I312" s="162" t="str">
        <f t="shared" si="77"/>
        <v/>
      </c>
      <c r="J312" s="11" t="s">
        <v>763</v>
      </c>
      <c r="K312" s="673">
        <v>4134</v>
      </c>
      <c r="L312" s="674" t="s">
        <v>25</v>
      </c>
    </row>
    <row r="313" spans="2:12" s="112" customFormat="1" hidden="1">
      <c r="B313" s="45"/>
      <c r="C313" s="45">
        <f t="shared" si="69"/>
        <v>3158</v>
      </c>
      <c r="D313" s="45">
        <f t="shared" si="70"/>
        <v>5</v>
      </c>
      <c r="E313" s="45">
        <f t="shared" si="71"/>
        <v>2017</v>
      </c>
      <c r="F313" s="45">
        <f t="shared" si="76"/>
        <v>0</v>
      </c>
      <c r="G313" s="45" t="s">
        <v>448</v>
      </c>
      <c r="H313" s="45" t="s">
        <v>455</v>
      </c>
      <c r="I313" s="162" t="str">
        <f t="shared" si="77"/>
        <v/>
      </c>
      <c r="J313" s="11" t="s">
        <v>764</v>
      </c>
      <c r="K313" s="673">
        <v>4137</v>
      </c>
      <c r="L313" s="674" t="s">
        <v>2180</v>
      </c>
    </row>
    <row r="314" spans="2:12" s="112" customFormat="1" hidden="1">
      <c r="B314" s="45"/>
      <c r="C314" s="45">
        <f t="shared" si="69"/>
        <v>3158</v>
      </c>
      <c r="D314" s="45">
        <f t="shared" si="70"/>
        <v>5</v>
      </c>
      <c r="E314" s="45">
        <f t="shared" si="71"/>
        <v>2017</v>
      </c>
      <c r="F314" s="45">
        <f t="shared" si="76"/>
        <v>0</v>
      </c>
      <c r="G314" s="45" t="s">
        <v>448</v>
      </c>
      <c r="H314" s="45" t="s">
        <v>456</v>
      </c>
      <c r="I314" s="162" t="str">
        <f t="shared" si="77"/>
        <v/>
      </c>
      <c r="J314" s="11" t="s">
        <v>765</v>
      </c>
      <c r="K314" s="673">
        <v>4140</v>
      </c>
      <c r="L314" s="674" t="s">
        <v>2101</v>
      </c>
    </row>
    <row r="315" spans="2:12" s="112" customFormat="1" hidden="1">
      <c r="B315" s="45"/>
      <c r="C315" s="45">
        <f t="shared" si="69"/>
        <v>3158</v>
      </c>
      <c r="D315" s="45">
        <f t="shared" si="70"/>
        <v>5</v>
      </c>
      <c r="E315" s="45">
        <f t="shared" si="71"/>
        <v>2017</v>
      </c>
      <c r="F315" s="45">
        <f t="shared" si="76"/>
        <v>0</v>
      </c>
      <c r="G315" s="45" t="s">
        <v>448</v>
      </c>
      <c r="H315" s="45" t="s">
        <v>457</v>
      </c>
      <c r="I315" s="162" t="str">
        <f t="shared" si="77"/>
        <v/>
      </c>
      <c r="J315" s="11" t="s">
        <v>766</v>
      </c>
      <c r="K315" s="673">
        <v>4141</v>
      </c>
      <c r="L315" s="674" t="s">
        <v>408</v>
      </c>
    </row>
    <row r="316" spans="2:12" s="112" customFormat="1" hidden="1">
      <c r="B316" s="45"/>
      <c r="C316" s="45">
        <f t="shared" si="69"/>
        <v>3158</v>
      </c>
      <c r="D316" s="45">
        <f t="shared" si="70"/>
        <v>5</v>
      </c>
      <c r="E316" s="45">
        <f t="shared" si="71"/>
        <v>2017</v>
      </c>
      <c r="F316" s="45">
        <f t="shared" si="76"/>
        <v>0</v>
      </c>
      <c r="G316" s="45" t="s">
        <v>448</v>
      </c>
      <c r="H316" s="45" t="s">
        <v>458</v>
      </c>
      <c r="I316" s="162" t="str">
        <f t="shared" si="77"/>
        <v/>
      </c>
      <c r="J316" s="11" t="s">
        <v>767</v>
      </c>
      <c r="K316" s="673">
        <v>4144</v>
      </c>
      <c r="L316" s="674" t="s">
        <v>2330</v>
      </c>
    </row>
    <row r="317" spans="2:12" s="112" customFormat="1" hidden="1">
      <c r="B317" s="45"/>
      <c r="C317" s="45">
        <f t="shared" si="69"/>
        <v>3158</v>
      </c>
      <c r="D317" s="45">
        <f t="shared" si="70"/>
        <v>5</v>
      </c>
      <c r="E317" s="45">
        <f t="shared" si="71"/>
        <v>2017</v>
      </c>
      <c r="F317" s="45">
        <f t="shared" si="76"/>
        <v>0</v>
      </c>
      <c r="G317" s="45" t="s">
        <v>448</v>
      </c>
      <c r="H317" s="45" t="s">
        <v>460</v>
      </c>
      <c r="I317" s="162" t="str">
        <f t="shared" si="77"/>
        <v/>
      </c>
      <c r="J317" s="11" t="s">
        <v>768</v>
      </c>
      <c r="K317" s="673">
        <v>4145</v>
      </c>
      <c r="L317" s="674" t="s">
        <v>2015</v>
      </c>
    </row>
    <row r="318" spans="2:12" s="112" customFormat="1" hidden="1">
      <c r="B318" s="45"/>
      <c r="C318" s="45">
        <f t="shared" si="69"/>
        <v>3158</v>
      </c>
      <c r="D318" s="45">
        <f t="shared" si="70"/>
        <v>5</v>
      </c>
      <c r="E318" s="45">
        <f t="shared" si="71"/>
        <v>2017</v>
      </c>
      <c r="F318" s="45">
        <f t="shared" ref="F318:F328" si="78">AD$3</f>
        <v>0</v>
      </c>
      <c r="G318" s="45" t="s">
        <v>448</v>
      </c>
      <c r="H318" s="45" t="s">
        <v>449</v>
      </c>
      <c r="I318" s="162" t="str">
        <f t="shared" ref="I318:I328" si="79">IF(ISBLANK(AD4),"",AD4)</f>
        <v/>
      </c>
      <c r="J318" s="11" t="s">
        <v>769</v>
      </c>
      <c r="K318" s="673">
        <v>4146</v>
      </c>
      <c r="L318" s="674" t="s">
        <v>2016</v>
      </c>
    </row>
    <row r="319" spans="2:12" s="112" customFormat="1" hidden="1">
      <c r="B319" s="45"/>
      <c r="C319" s="45">
        <f t="shared" si="69"/>
        <v>3158</v>
      </c>
      <c r="D319" s="45">
        <f t="shared" si="70"/>
        <v>5</v>
      </c>
      <c r="E319" s="45">
        <f t="shared" si="71"/>
        <v>2017</v>
      </c>
      <c r="F319" s="45">
        <f t="shared" si="78"/>
        <v>0</v>
      </c>
      <c r="G319" s="45" t="s">
        <v>448</v>
      </c>
      <c r="H319" s="45" t="s">
        <v>450</v>
      </c>
      <c r="I319" s="162" t="str">
        <f t="shared" si="79"/>
        <v/>
      </c>
      <c r="J319" s="11" t="s">
        <v>770</v>
      </c>
      <c r="K319" s="676">
        <v>4153</v>
      </c>
      <c r="L319" s="677" t="s">
        <v>409</v>
      </c>
    </row>
    <row r="320" spans="2:12" s="112" customFormat="1" hidden="1">
      <c r="B320" s="45"/>
      <c r="C320" s="45">
        <f t="shared" si="69"/>
        <v>3158</v>
      </c>
      <c r="D320" s="45">
        <f t="shared" si="70"/>
        <v>5</v>
      </c>
      <c r="E320" s="45">
        <f t="shared" si="71"/>
        <v>2017</v>
      </c>
      <c r="F320" s="45">
        <f t="shared" si="78"/>
        <v>0</v>
      </c>
      <c r="G320" s="45" t="s">
        <v>448</v>
      </c>
      <c r="H320" s="45" t="s">
        <v>451</v>
      </c>
      <c r="I320" s="162" t="str">
        <f t="shared" si="79"/>
        <v/>
      </c>
      <c r="J320" s="11" t="s">
        <v>771</v>
      </c>
      <c r="K320" s="673">
        <v>4163</v>
      </c>
      <c r="L320" s="674" t="s">
        <v>410</v>
      </c>
    </row>
    <row r="321" spans="2:12" s="112" customFormat="1" hidden="1">
      <c r="B321" s="45"/>
      <c r="C321" s="45">
        <f t="shared" si="69"/>
        <v>3158</v>
      </c>
      <c r="D321" s="45">
        <f t="shared" si="70"/>
        <v>5</v>
      </c>
      <c r="E321" s="45">
        <f t="shared" si="71"/>
        <v>2017</v>
      </c>
      <c r="F321" s="45">
        <f t="shared" si="78"/>
        <v>0</v>
      </c>
      <c r="G321" s="45" t="s">
        <v>448</v>
      </c>
      <c r="H321" s="45" t="s">
        <v>452</v>
      </c>
      <c r="I321" s="162" t="str">
        <f t="shared" si="79"/>
        <v/>
      </c>
      <c r="J321" s="11" t="s">
        <v>772</v>
      </c>
      <c r="K321" s="673">
        <v>4164</v>
      </c>
      <c r="L321" s="674" t="s">
        <v>2017</v>
      </c>
    </row>
    <row r="322" spans="2:12" s="112" customFormat="1" hidden="1">
      <c r="B322" s="45"/>
      <c r="C322" s="45">
        <f t="shared" si="69"/>
        <v>3158</v>
      </c>
      <c r="D322" s="45">
        <f t="shared" si="70"/>
        <v>5</v>
      </c>
      <c r="E322" s="45">
        <f t="shared" si="71"/>
        <v>2017</v>
      </c>
      <c r="F322" s="45">
        <f t="shared" si="78"/>
        <v>0</v>
      </c>
      <c r="G322" s="45" t="s">
        <v>448</v>
      </c>
      <c r="H322" s="45" t="s">
        <v>453</v>
      </c>
      <c r="I322" s="162" t="str">
        <f t="shared" si="79"/>
        <v/>
      </c>
      <c r="J322" s="11" t="s">
        <v>773</v>
      </c>
      <c r="K322" s="673">
        <v>4165</v>
      </c>
      <c r="L322" s="674" t="s">
        <v>2181</v>
      </c>
    </row>
    <row r="323" spans="2:12" s="112" customFormat="1" hidden="1">
      <c r="B323" s="45"/>
      <c r="C323" s="45">
        <f t="shared" si="69"/>
        <v>3158</v>
      </c>
      <c r="D323" s="45">
        <f t="shared" si="70"/>
        <v>5</v>
      </c>
      <c r="E323" s="45">
        <f t="shared" si="71"/>
        <v>2017</v>
      </c>
      <c r="F323" s="45">
        <f t="shared" si="78"/>
        <v>0</v>
      </c>
      <c r="G323" s="45" t="s">
        <v>448</v>
      </c>
      <c r="H323" s="45" t="s">
        <v>454</v>
      </c>
      <c r="I323" s="162" t="str">
        <f t="shared" si="79"/>
        <v/>
      </c>
      <c r="J323" s="11" t="s">
        <v>774</v>
      </c>
      <c r="K323" s="673">
        <v>4168</v>
      </c>
      <c r="L323" s="674" t="s">
        <v>2317</v>
      </c>
    </row>
    <row r="324" spans="2:12" s="112" customFormat="1" hidden="1">
      <c r="B324" s="45"/>
      <c r="C324" s="45">
        <f t="shared" si="69"/>
        <v>3158</v>
      </c>
      <c r="D324" s="45">
        <f t="shared" si="70"/>
        <v>5</v>
      </c>
      <c r="E324" s="45">
        <f t="shared" si="71"/>
        <v>2017</v>
      </c>
      <c r="F324" s="45">
        <f t="shared" si="78"/>
        <v>0</v>
      </c>
      <c r="G324" s="45" t="s">
        <v>448</v>
      </c>
      <c r="H324" s="45" t="s">
        <v>455</v>
      </c>
      <c r="I324" s="162" t="str">
        <f t="shared" si="79"/>
        <v/>
      </c>
      <c r="J324" s="11" t="s">
        <v>775</v>
      </c>
      <c r="K324" s="673">
        <v>4169</v>
      </c>
      <c r="L324" s="674" t="s">
        <v>2018</v>
      </c>
    </row>
    <row r="325" spans="2:12" s="112" customFormat="1" hidden="1">
      <c r="B325" s="45"/>
      <c r="C325" s="45">
        <f t="shared" si="69"/>
        <v>3158</v>
      </c>
      <c r="D325" s="45">
        <f t="shared" si="70"/>
        <v>5</v>
      </c>
      <c r="E325" s="45">
        <f t="shared" si="71"/>
        <v>2017</v>
      </c>
      <c r="F325" s="45">
        <f t="shared" si="78"/>
        <v>0</v>
      </c>
      <c r="G325" s="45" t="s">
        <v>448</v>
      </c>
      <c r="H325" s="45" t="s">
        <v>456</v>
      </c>
      <c r="I325" s="162" t="str">
        <f t="shared" si="79"/>
        <v/>
      </c>
      <c r="J325" s="11" t="s">
        <v>776</v>
      </c>
      <c r="K325" s="673">
        <v>4170</v>
      </c>
      <c r="L325" s="674" t="s">
        <v>26</v>
      </c>
    </row>
    <row r="326" spans="2:12" s="112" customFormat="1" hidden="1">
      <c r="B326" s="45"/>
      <c r="C326" s="45">
        <f t="shared" si="69"/>
        <v>3158</v>
      </c>
      <c r="D326" s="45">
        <f t="shared" si="70"/>
        <v>5</v>
      </c>
      <c r="E326" s="45">
        <f t="shared" si="71"/>
        <v>2017</v>
      </c>
      <c r="F326" s="45">
        <f t="shared" si="78"/>
        <v>0</v>
      </c>
      <c r="G326" s="45" t="s">
        <v>448</v>
      </c>
      <c r="H326" s="45" t="s">
        <v>457</v>
      </c>
      <c r="I326" s="162" t="str">
        <f t="shared" si="79"/>
        <v/>
      </c>
      <c r="J326" s="11" t="s">
        <v>777</v>
      </c>
      <c r="K326" s="676">
        <v>4172</v>
      </c>
      <c r="L326" s="677" t="s">
        <v>2135</v>
      </c>
    </row>
    <row r="327" spans="2:12" s="112" customFormat="1" hidden="1">
      <c r="B327" s="45"/>
      <c r="C327" s="45">
        <f t="shared" si="69"/>
        <v>3158</v>
      </c>
      <c r="D327" s="45">
        <f t="shared" si="70"/>
        <v>5</v>
      </c>
      <c r="E327" s="45">
        <f t="shared" si="71"/>
        <v>2017</v>
      </c>
      <c r="F327" s="45">
        <f t="shared" si="78"/>
        <v>0</v>
      </c>
      <c r="G327" s="45" t="s">
        <v>448</v>
      </c>
      <c r="H327" s="45" t="s">
        <v>458</v>
      </c>
      <c r="I327" s="162" t="str">
        <f t="shared" si="79"/>
        <v/>
      </c>
      <c r="J327" s="11" t="s">
        <v>778</v>
      </c>
      <c r="K327" s="673">
        <v>4174</v>
      </c>
      <c r="L327" s="674" t="s">
        <v>2375</v>
      </c>
    </row>
    <row r="328" spans="2:12" s="112" customFormat="1" hidden="1">
      <c r="B328" s="45"/>
      <c r="C328" s="45">
        <f t="shared" si="69"/>
        <v>3158</v>
      </c>
      <c r="D328" s="45">
        <f t="shared" si="70"/>
        <v>5</v>
      </c>
      <c r="E328" s="45">
        <f t="shared" si="71"/>
        <v>2017</v>
      </c>
      <c r="F328" s="45">
        <f t="shared" si="78"/>
        <v>0</v>
      </c>
      <c r="G328" s="45" t="s">
        <v>448</v>
      </c>
      <c r="H328" s="45" t="s">
        <v>460</v>
      </c>
      <c r="I328" s="162" t="str">
        <f t="shared" si="79"/>
        <v/>
      </c>
      <c r="J328" s="11" t="s">
        <v>779</v>
      </c>
      <c r="K328" s="673">
        <v>4175</v>
      </c>
      <c r="L328" s="674" t="s">
        <v>2019</v>
      </c>
    </row>
    <row r="329" spans="2:12" s="112" customFormat="1" hidden="1">
      <c r="B329" s="45"/>
      <c r="C329" s="45">
        <f t="shared" si="69"/>
        <v>3158</v>
      </c>
      <c r="D329" s="45">
        <f t="shared" si="70"/>
        <v>5</v>
      </c>
      <c r="E329" s="45">
        <f t="shared" si="71"/>
        <v>2017</v>
      </c>
      <c r="F329" s="45">
        <f t="shared" ref="F329:F339" si="80">AE$3</f>
        <v>0</v>
      </c>
      <c r="G329" s="45" t="s">
        <v>448</v>
      </c>
      <c r="H329" s="45" t="s">
        <v>449</v>
      </c>
      <c r="I329" s="162" t="str">
        <f t="shared" ref="I329:I339" si="81">IF(ISBLANK(AE4),"",AE4)</f>
        <v/>
      </c>
      <c r="J329" s="11" t="s">
        <v>780</v>
      </c>
      <c r="K329" s="673">
        <v>4177</v>
      </c>
      <c r="L329" s="674" t="s">
        <v>27</v>
      </c>
    </row>
    <row r="330" spans="2:12" s="112" customFormat="1" hidden="1">
      <c r="B330" s="45"/>
      <c r="C330" s="45">
        <f t="shared" si="69"/>
        <v>3158</v>
      </c>
      <c r="D330" s="45">
        <f t="shared" si="70"/>
        <v>5</v>
      </c>
      <c r="E330" s="45">
        <f t="shared" si="71"/>
        <v>2017</v>
      </c>
      <c r="F330" s="45">
        <f t="shared" si="80"/>
        <v>0</v>
      </c>
      <c r="G330" s="45" t="s">
        <v>448</v>
      </c>
      <c r="H330" s="45" t="s">
        <v>450</v>
      </c>
      <c r="I330" s="162" t="str">
        <f t="shared" si="81"/>
        <v/>
      </c>
      <c r="J330" s="11" t="s">
        <v>781</v>
      </c>
      <c r="K330" s="676">
        <v>4180</v>
      </c>
      <c r="L330" s="677" t="s">
        <v>2136</v>
      </c>
    </row>
    <row r="331" spans="2:12" s="112" customFormat="1" hidden="1">
      <c r="B331" s="45"/>
      <c r="C331" s="45">
        <f t="shared" si="69"/>
        <v>3158</v>
      </c>
      <c r="D331" s="45">
        <f t="shared" si="70"/>
        <v>5</v>
      </c>
      <c r="E331" s="45">
        <f t="shared" si="71"/>
        <v>2017</v>
      </c>
      <c r="F331" s="45">
        <f t="shared" si="80"/>
        <v>0</v>
      </c>
      <c r="G331" s="45" t="s">
        <v>448</v>
      </c>
      <c r="H331" s="45" t="s">
        <v>451</v>
      </c>
      <c r="I331" s="162" t="str">
        <f t="shared" si="81"/>
        <v/>
      </c>
      <c r="J331" s="11" t="s">
        <v>782</v>
      </c>
      <c r="K331" s="673">
        <v>4185</v>
      </c>
      <c r="L331" s="674" t="s">
        <v>2376</v>
      </c>
    </row>
    <row r="332" spans="2:12" s="112" customFormat="1" hidden="1">
      <c r="B332" s="45"/>
      <c r="C332" s="45">
        <f t="shared" si="69"/>
        <v>3158</v>
      </c>
      <c r="D332" s="45">
        <f t="shared" si="70"/>
        <v>5</v>
      </c>
      <c r="E332" s="45">
        <f t="shared" si="71"/>
        <v>2017</v>
      </c>
      <c r="F332" s="45">
        <f t="shared" si="80"/>
        <v>0</v>
      </c>
      <c r="G332" s="45" t="s">
        <v>448</v>
      </c>
      <c r="H332" s="45" t="s">
        <v>452</v>
      </c>
      <c r="I332" s="162" t="str">
        <f t="shared" si="81"/>
        <v/>
      </c>
      <c r="J332" s="11" t="s">
        <v>783</v>
      </c>
      <c r="K332" s="673">
        <v>4186</v>
      </c>
      <c r="L332" s="674" t="s">
        <v>411</v>
      </c>
    </row>
    <row r="333" spans="2:12" s="112" customFormat="1" hidden="1">
      <c r="B333" s="45"/>
      <c r="C333" s="45">
        <f t="shared" si="69"/>
        <v>3158</v>
      </c>
      <c r="D333" s="45">
        <f t="shared" si="70"/>
        <v>5</v>
      </c>
      <c r="E333" s="45">
        <f t="shared" si="71"/>
        <v>2017</v>
      </c>
      <c r="F333" s="45">
        <f t="shared" si="80"/>
        <v>0</v>
      </c>
      <c r="G333" s="45" t="s">
        <v>448</v>
      </c>
      <c r="H333" s="45" t="s">
        <v>453</v>
      </c>
      <c r="I333" s="162" t="str">
        <f t="shared" si="81"/>
        <v/>
      </c>
      <c r="J333" s="11" t="s">
        <v>784</v>
      </c>
      <c r="K333" s="673">
        <v>4187</v>
      </c>
      <c r="L333" s="674" t="s">
        <v>412</v>
      </c>
    </row>
    <row r="334" spans="2:12" s="112" customFormat="1" hidden="1">
      <c r="B334" s="45"/>
      <c r="C334" s="45">
        <f t="shared" si="69"/>
        <v>3158</v>
      </c>
      <c r="D334" s="45">
        <f t="shared" si="70"/>
        <v>5</v>
      </c>
      <c r="E334" s="45">
        <f t="shared" si="71"/>
        <v>2017</v>
      </c>
      <c r="F334" s="45">
        <f t="shared" si="80"/>
        <v>0</v>
      </c>
      <c r="G334" s="45" t="s">
        <v>448</v>
      </c>
      <c r="H334" s="45" t="s">
        <v>454</v>
      </c>
      <c r="I334" s="162" t="str">
        <f t="shared" si="81"/>
        <v/>
      </c>
      <c r="J334" s="11" t="s">
        <v>785</v>
      </c>
      <c r="K334" s="673">
        <v>4188</v>
      </c>
      <c r="L334" s="674" t="s">
        <v>2024</v>
      </c>
    </row>
    <row r="335" spans="2:12" s="112" customFormat="1" hidden="1">
      <c r="B335" s="45"/>
      <c r="C335" s="45">
        <f t="shared" si="69"/>
        <v>3158</v>
      </c>
      <c r="D335" s="45">
        <f t="shared" si="70"/>
        <v>5</v>
      </c>
      <c r="E335" s="45">
        <f t="shared" si="71"/>
        <v>2017</v>
      </c>
      <c r="F335" s="45">
        <f t="shared" si="80"/>
        <v>0</v>
      </c>
      <c r="G335" s="45" t="s">
        <v>448</v>
      </c>
      <c r="H335" s="45" t="s">
        <v>455</v>
      </c>
      <c r="I335" s="162" t="str">
        <f t="shared" si="81"/>
        <v/>
      </c>
      <c r="J335" s="11" t="s">
        <v>786</v>
      </c>
      <c r="K335" s="673">
        <v>4200</v>
      </c>
      <c r="L335" s="674" t="s">
        <v>2182</v>
      </c>
    </row>
    <row r="336" spans="2:12" s="112" customFormat="1" hidden="1">
      <c r="B336" s="45"/>
      <c r="C336" s="45">
        <f t="shared" si="69"/>
        <v>3158</v>
      </c>
      <c r="D336" s="45">
        <f t="shared" si="70"/>
        <v>5</v>
      </c>
      <c r="E336" s="45">
        <f t="shared" si="71"/>
        <v>2017</v>
      </c>
      <c r="F336" s="45">
        <f t="shared" si="80"/>
        <v>0</v>
      </c>
      <c r="G336" s="45" t="s">
        <v>448</v>
      </c>
      <c r="H336" s="45" t="s">
        <v>456</v>
      </c>
      <c r="I336" s="162" t="str">
        <f t="shared" si="81"/>
        <v/>
      </c>
      <c r="J336" s="11" t="s">
        <v>787</v>
      </c>
      <c r="K336" s="673">
        <v>4201</v>
      </c>
      <c r="L336" s="674" t="s">
        <v>2183</v>
      </c>
    </row>
    <row r="337" spans="2:12" s="112" customFormat="1" hidden="1">
      <c r="B337" s="45"/>
      <c r="C337" s="45">
        <f t="shared" si="69"/>
        <v>3158</v>
      </c>
      <c r="D337" s="45">
        <f t="shared" si="70"/>
        <v>5</v>
      </c>
      <c r="E337" s="45">
        <f t="shared" si="71"/>
        <v>2017</v>
      </c>
      <c r="F337" s="45">
        <f t="shared" si="80"/>
        <v>0</v>
      </c>
      <c r="G337" s="45" t="s">
        <v>448</v>
      </c>
      <c r="H337" s="45" t="s">
        <v>457</v>
      </c>
      <c r="I337" s="162" t="str">
        <f t="shared" si="81"/>
        <v/>
      </c>
      <c r="J337" s="11" t="s">
        <v>788</v>
      </c>
      <c r="K337" s="673">
        <v>4205</v>
      </c>
      <c r="L337" s="674" t="s">
        <v>2228</v>
      </c>
    </row>
    <row r="338" spans="2:12" s="112" customFormat="1" hidden="1">
      <c r="B338" s="45"/>
      <c r="C338" s="45">
        <f t="shared" si="69"/>
        <v>3158</v>
      </c>
      <c r="D338" s="45">
        <f t="shared" si="70"/>
        <v>5</v>
      </c>
      <c r="E338" s="45">
        <f t="shared" si="71"/>
        <v>2017</v>
      </c>
      <c r="F338" s="45">
        <f t="shared" si="80"/>
        <v>0</v>
      </c>
      <c r="G338" s="45" t="s">
        <v>448</v>
      </c>
      <c r="H338" s="45" t="s">
        <v>458</v>
      </c>
      <c r="I338" s="162" t="str">
        <f t="shared" si="81"/>
        <v/>
      </c>
      <c r="J338" s="11" t="s">
        <v>789</v>
      </c>
      <c r="K338" s="676">
        <v>4207</v>
      </c>
      <c r="L338" s="677" t="s">
        <v>413</v>
      </c>
    </row>
    <row r="339" spans="2:12" s="112" customFormat="1" hidden="1">
      <c r="B339" s="45"/>
      <c r="C339" s="45">
        <f t="shared" si="69"/>
        <v>3158</v>
      </c>
      <c r="D339" s="45">
        <f t="shared" si="70"/>
        <v>5</v>
      </c>
      <c r="E339" s="45">
        <f t="shared" si="71"/>
        <v>2017</v>
      </c>
      <c r="F339" s="45">
        <f t="shared" si="80"/>
        <v>0</v>
      </c>
      <c r="G339" s="45" t="s">
        <v>448</v>
      </c>
      <c r="H339" s="45" t="s">
        <v>460</v>
      </c>
      <c r="I339" s="162" t="str">
        <f t="shared" si="81"/>
        <v/>
      </c>
      <c r="J339" s="11" t="s">
        <v>790</v>
      </c>
      <c r="K339" s="673">
        <v>4210</v>
      </c>
      <c r="L339" s="674" t="s">
        <v>0</v>
      </c>
    </row>
    <row r="340" spans="2:12" s="112" customFormat="1" hidden="1">
      <c r="B340" s="45"/>
      <c r="C340" s="45">
        <f t="shared" si="69"/>
        <v>3158</v>
      </c>
      <c r="D340" s="45">
        <f t="shared" si="70"/>
        <v>5</v>
      </c>
      <c r="E340" s="45">
        <f t="shared" si="71"/>
        <v>2017</v>
      </c>
      <c r="F340" s="45">
        <f t="shared" ref="F340:F350" si="82">AF$3</f>
        <v>0</v>
      </c>
      <c r="G340" s="45" t="s">
        <v>448</v>
      </c>
      <c r="H340" s="45" t="s">
        <v>449</v>
      </c>
      <c r="I340" s="162" t="str">
        <f t="shared" ref="I340:I350" si="83">IF(ISBLANK(AF4),"",AF4)</f>
        <v/>
      </c>
      <c r="J340" s="11" t="s">
        <v>791</v>
      </c>
      <c r="K340" s="673">
        <v>4212</v>
      </c>
      <c r="L340" s="674" t="s">
        <v>2184</v>
      </c>
    </row>
    <row r="341" spans="2:12" s="112" customFormat="1" hidden="1">
      <c r="B341" s="45"/>
      <c r="C341" s="45">
        <f t="shared" si="69"/>
        <v>3158</v>
      </c>
      <c r="D341" s="45">
        <f t="shared" si="70"/>
        <v>5</v>
      </c>
      <c r="E341" s="45">
        <f t="shared" si="71"/>
        <v>2017</v>
      </c>
      <c r="F341" s="45">
        <f t="shared" si="82"/>
        <v>0</v>
      </c>
      <c r="G341" s="45" t="s">
        <v>448</v>
      </c>
      <c r="H341" s="45" t="s">
        <v>450</v>
      </c>
      <c r="I341" s="162" t="str">
        <f t="shared" si="83"/>
        <v/>
      </c>
      <c r="J341" s="11" t="s">
        <v>792</v>
      </c>
      <c r="K341" s="673">
        <v>4213</v>
      </c>
      <c r="L341" s="674" t="s">
        <v>77</v>
      </c>
    </row>
    <row r="342" spans="2:12" s="112" customFormat="1" hidden="1">
      <c r="B342" s="45"/>
      <c r="C342" s="45">
        <f t="shared" ref="C342:C405" si="84">H$1</f>
        <v>3158</v>
      </c>
      <c r="D342" s="45">
        <f t="shared" ref="D342:D405" si="85">K$1</f>
        <v>5</v>
      </c>
      <c r="E342" s="45">
        <f t="shared" si="71"/>
        <v>2017</v>
      </c>
      <c r="F342" s="45">
        <f t="shared" si="82"/>
        <v>0</v>
      </c>
      <c r="G342" s="45" t="s">
        <v>448</v>
      </c>
      <c r="H342" s="45" t="s">
        <v>451</v>
      </c>
      <c r="I342" s="162" t="str">
        <f t="shared" si="83"/>
        <v/>
      </c>
      <c r="J342" s="11" t="s">
        <v>793</v>
      </c>
      <c r="K342" s="673">
        <v>4217</v>
      </c>
      <c r="L342" s="674" t="s">
        <v>2377</v>
      </c>
    </row>
    <row r="343" spans="2:12" s="112" customFormat="1" hidden="1">
      <c r="B343" s="45"/>
      <c r="C343" s="45">
        <f t="shared" si="84"/>
        <v>3158</v>
      </c>
      <c r="D343" s="45">
        <f t="shared" si="85"/>
        <v>5</v>
      </c>
      <c r="E343" s="45">
        <f t="shared" si="71"/>
        <v>2017</v>
      </c>
      <c r="F343" s="45">
        <f t="shared" si="82"/>
        <v>0</v>
      </c>
      <c r="G343" s="45" t="s">
        <v>448</v>
      </c>
      <c r="H343" s="45" t="s">
        <v>452</v>
      </c>
      <c r="I343" s="162" t="str">
        <f t="shared" si="83"/>
        <v/>
      </c>
      <c r="J343" s="11" t="s">
        <v>794</v>
      </c>
      <c r="K343" s="673">
        <v>4218</v>
      </c>
      <c r="L343" s="674" t="s">
        <v>78</v>
      </c>
    </row>
    <row r="344" spans="2:12" s="112" customFormat="1" hidden="1">
      <c r="B344" s="45"/>
      <c r="C344" s="45">
        <f t="shared" si="84"/>
        <v>3158</v>
      </c>
      <c r="D344" s="45">
        <f t="shared" si="85"/>
        <v>5</v>
      </c>
      <c r="E344" s="45">
        <f t="shared" ref="E344:E407" si="86">D$1</f>
        <v>2017</v>
      </c>
      <c r="F344" s="45">
        <f t="shared" si="82"/>
        <v>0</v>
      </c>
      <c r="G344" s="45" t="s">
        <v>448</v>
      </c>
      <c r="H344" s="45" t="s">
        <v>453</v>
      </c>
      <c r="I344" s="162" t="str">
        <f t="shared" si="83"/>
        <v/>
      </c>
      <c r="J344" s="11" t="s">
        <v>795</v>
      </c>
      <c r="K344" s="676">
        <v>4223</v>
      </c>
      <c r="L344" s="677" t="s">
        <v>2137</v>
      </c>
    </row>
    <row r="345" spans="2:12" s="112" customFormat="1" hidden="1">
      <c r="B345" s="45"/>
      <c r="C345" s="45">
        <f t="shared" si="84"/>
        <v>3158</v>
      </c>
      <c r="D345" s="45">
        <f t="shared" si="85"/>
        <v>5</v>
      </c>
      <c r="E345" s="45">
        <f t="shared" si="86"/>
        <v>2017</v>
      </c>
      <c r="F345" s="45">
        <f t="shared" si="82"/>
        <v>0</v>
      </c>
      <c r="G345" s="45" t="s">
        <v>448</v>
      </c>
      <c r="H345" s="45" t="s">
        <v>454</v>
      </c>
      <c r="I345" s="162" t="str">
        <f t="shared" si="83"/>
        <v/>
      </c>
      <c r="J345" s="11" t="s">
        <v>796</v>
      </c>
      <c r="K345" s="676">
        <v>4226</v>
      </c>
      <c r="L345" s="677" t="s">
        <v>2131</v>
      </c>
    </row>
    <row r="346" spans="2:12" s="112" customFormat="1" hidden="1">
      <c r="B346" s="45"/>
      <c r="C346" s="45">
        <f t="shared" si="84"/>
        <v>3158</v>
      </c>
      <c r="D346" s="45">
        <f t="shared" si="85"/>
        <v>5</v>
      </c>
      <c r="E346" s="45">
        <f t="shared" si="86"/>
        <v>2017</v>
      </c>
      <c r="F346" s="45">
        <f t="shared" si="82"/>
        <v>0</v>
      </c>
      <c r="G346" s="45" t="s">
        <v>448</v>
      </c>
      <c r="H346" s="45" t="s">
        <v>455</v>
      </c>
      <c r="I346" s="162" t="str">
        <f t="shared" si="83"/>
        <v/>
      </c>
      <c r="J346" s="11" t="s">
        <v>797</v>
      </c>
      <c r="K346" s="673">
        <v>4231</v>
      </c>
      <c r="L346" s="674" t="s">
        <v>327</v>
      </c>
    </row>
    <row r="347" spans="2:12" s="112" customFormat="1" hidden="1">
      <c r="B347" s="45"/>
      <c r="C347" s="45">
        <f t="shared" si="84"/>
        <v>3158</v>
      </c>
      <c r="D347" s="45">
        <f t="shared" si="85"/>
        <v>5</v>
      </c>
      <c r="E347" s="45">
        <f t="shared" si="86"/>
        <v>2017</v>
      </c>
      <c r="F347" s="45">
        <f t="shared" si="82"/>
        <v>0</v>
      </c>
      <c r="G347" s="45" t="s">
        <v>448</v>
      </c>
      <c r="H347" s="45" t="s">
        <v>456</v>
      </c>
      <c r="I347" s="162" t="str">
        <f t="shared" si="83"/>
        <v/>
      </c>
      <c r="J347" s="11" t="s">
        <v>798</v>
      </c>
      <c r="K347" s="673">
        <v>4233</v>
      </c>
      <c r="L347" s="674" t="s">
        <v>2378</v>
      </c>
    </row>
    <row r="348" spans="2:12" s="112" customFormat="1" hidden="1">
      <c r="B348" s="45"/>
      <c r="C348" s="45">
        <f t="shared" si="84"/>
        <v>3158</v>
      </c>
      <c r="D348" s="45">
        <f t="shared" si="85"/>
        <v>5</v>
      </c>
      <c r="E348" s="45">
        <f t="shared" si="86"/>
        <v>2017</v>
      </c>
      <c r="F348" s="45">
        <f t="shared" si="82"/>
        <v>0</v>
      </c>
      <c r="G348" s="45" t="s">
        <v>448</v>
      </c>
      <c r="H348" s="45" t="s">
        <v>457</v>
      </c>
      <c r="I348" s="162" t="str">
        <f t="shared" si="83"/>
        <v/>
      </c>
      <c r="J348" s="11" t="s">
        <v>799</v>
      </c>
      <c r="K348" s="673">
        <v>4236</v>
      </c>
      <c r="L348" s="674" t="s">
        <v>2345</v>
      </c>
    </row>
    <row r="349" spans="2:12" s="112" customFormat="1" hidden="1">
      <c r="B349" s="45"/>
      <c r="C349" s="45">
        <f t="shared" si="84"/>
        <v>3158</v>
      </c>
      <c r="D349" s="45">
        <f t="shared" si="85"/>
        <v>5</v>
      </c>
      <c r="E349" s="45">
        <f t="shared" si="86"/>
        <v>2017</v>
      </c>
      <c r="F349" s="45">
        <f t="shared" si="82"/>
        <v>0</v>
      </c>
      <c r="G349" s="45" t="s">
        <v>448</v>
      </c>
      <c r="H349" s="45" t="s">
        <v>458</v>
      </c>
      <c r="I349" s="162" t="str">
        <f t="shared" si="83"/>
        <v/>
      </c>
      <c r="J349" s="11" t="s">
        <v>800</v>
      </c>
      <c r="K349" s="673">
        <v>4237</v>
      </c>
      <c r="L349" s="674" t="s">
        <v>84</v>
      </c>
    </row>
    <row r="350" spans="2:12" s="112" customFormat="1" hidden="1">
      <c r="B350" s="45"/>
      <c r="C350" s="45">
        <f t="shared" si="84"/>
        <v>3158</v>
      </c>
      <c r="D350" s="45">
        <f t="shared" si="85"/>
        <v>5</v>
      </c>
      <c r="E350" s="45">
        <f t="shared" si="86"/>
        <v>2017</v>
      </c>
      <c r="F350" s="45">
        <f t="shared" si="82"/>
        <v>0</v>
      </c>
      <c r="G350" s="45" t="s">
        <v>448</v>
      </c>
      <c r="H350" s="45" t="s">
        <v>460</v>
      </c>
      <c r="I350" s="162" t="str">
        <f t="shared" si="83"/>
        <v/>
      </c>
      <c r="J350" s="11" t="s">
        <v>810</v>
      </c>
      <c r="K350" s="673">
        <v>4238</v>
      </c>
      <c r="L350" s="674" t="s">
        <v>2200</v>
      </c>
    </row>
    <row r="351" spans="2:12" s="112" customFormat="1" hidden="1">
      <c r="B351" s="45"/>
      <c r="C351" s="45">
        <f t="shared" si="84"/>
        <v>3158</v>
      </c>
      <c r="D351" s="45">
        <f t="shared" si="85"/>
        <v>5</v>
      </c>
      <c r="E351" s="45">
        <f t="shared" si="86"/>
        <v>2017</v>
      </c>
      <c r="F351" s="45">
        <f t="shared" ref="F351:F361" si="87">AG$3</f>
        <v>0</v>
      </c>
      <c r="G351" s="45" t="s">
        <v>448</v>
      </c>
      <c r="H351" s="45" t="s">
        <v>449</v>
      </c>
      <c r="I351" s="162" t="str">
        <f t="shared" ref="I351:I361" si="88">IF(ISBLANK(AG4),"",AG4)</f>
        <v/>
      </c>
      <c r="J351" s="11" t="s">
        <v>811</v>
      </c>
      <c r="K351" s="673">
        <v>4240</v>
      </c>
      <c r="L351" s="674" t="s">
        <v>113</v>
      </c>
    </row>
    <row r="352" spans="2:12" s="112" customFormat="1" hidden="1">
      <c r="B352" s="45"/>
      <c r="C352" s="45">
        <f t="shared" si="84"/>
        <v>3158</v>
      </c>
      <c r="D352" s="45">
        <f t="shared" si="85"/>
        <v>5</v>
      </c>
      <c r="E352" s="45">
        <f t="shared" si="86"/>
        <v>2017</v>
      </c>
      <c r="F352" s="45">
        <f t="shared" si="87"/>
        <v>0</v>
      </c>
      <c r="G352" s="45" t="s">
        <v>448</v>
      </c>
      <c r="H352" s="45" t="s">
        <v>450</v>
      </c>
      <c r="I352" s="162" t="str">
        <f t="shared" si="88"/>
        <v/>
      </c>
      <c r="J352" s="11" t="s">
        <v>812</v>
      </c>
      <c r="K352" s="673">
        <v>4241</v>
      </c>
      <c r="L352" s="674" t="s">
        <v>2343</v>
      </c>
    </row>
    <row r="353" spans="2:12" s="112" customFormat="1" hidden="1">
      <c r="B353" s="45"/>
      <c r="C353" s="45">
        <f t="shared" si="84"/>
        <v>3158</v>
      </c>
      <c r="D353" s="45">
        <f t="shared" si="85"/>
        <v>5</v>
      </c>
      <c r="E353" s="45">
        <f t="shared" si="86"/>
        <v>2017</v>
      </c>
      <c r="F353" s="45">
        <f t="shared" si="87"/>
        <v>0</v>
      </c>
      <c r="G353" s="45" t="s">
        <v>448</v>
      </c>
      <c r="H353" s="45" t="s">
        <v>451</v>
      </c>
      <c r="I353" s="162" t="str">
        <f t="shared" si="88"/>
        <v/>
      </c>
      <c r="J353" s="11" t="s">
        <v>813</v>
      </c>
      <c r="K353" s="673">
        <v>4244</v>
      </c>
      <c r="L353" s="674" t="s">
        <v>2342</v>
      </c>
    </row>
    <row r="354" spans="2:12" s="112" customFormat="1" hidden="1">
      <c r="B354" s="45"/>
      <c r="C354" s="45">
        <f t="shared" si="84"/>
        <v>3158</v>
      </c>
      <c r="D354" s="45">
        <f t="shared" si="85"/>
        <v>5</v>
      </c>
      <c r="E354" s="45">
        <f t="shared" si="86"/>
        <v>2017</v>
      </c>
      <c r="F354" s="45">
        <f t="shared" si="87"/>
        <v>0</v>
      </c>
      <c r="G354" s="45" t="s">
        <v>448</v>
      </c>
      <c r="H354" s="45" t="s">
        <v>452</v>
      </c>
      <c r="I354" s="162" t="str">
        <f t="shared" si="88"/>
        <v/>
      </c>
      <c r="J354" s="11" t="s">
        <v>814</v>
      </c>
      <c r="K354" s="673">
        <v>4247</v>
      </c>
      <c r="L354" s="674" t="s">
        <v>2331</v>
      </c>
    </row>
    <row r="355" spans="2:12" s="112" customFormat="1" hidden="1">
      <c r="B355" s="45"/>
      <c r="C355" s="45">
        <f t="shared" si="84"/>
        <v>3158</v>
      </c>
      <c r="D355" s="45">
        <f t="shared" si="85"/>
        <v>5</v>
      </c>
      <c r="E355" s="45">
        <f t="shared" si="86"/>
        <v>2017</v>
      </c>
      <c r="F355" s="45">
        <f t="shared" si="87"/>
        <v>0</v>
      </c>
      <c r="G355" s="45" t="s">
        <v>448</v>
      </c>
      <c r="H355" s="45" t="s">
        <v>453</v>
      </c>
      <c r="I355" s="162" t="str">
        <f t="shared" si="88"/>
        <v/>
      </c>
      <c r="J355" s="11" t="s">
        <v>815</v>
      </c>
      <c r="K355" s="673">
        <v>4249</v>
      </c>
      <c r="L355" s="674" t="s">
        <v>114</v>
      </c>
    </row>
    <row r="356" spans="2:12" s="112" customFormat="1" hidden="1">
      <c r="B356" s="45"/>
      <c r="C356" s="45">
        <f t="shared" si="84"/>
        <v>3158</v>
      </c>
      <c r="D356" s="45">
        <f t="shared" si="85"/>
        <v>5</v>
      </c>
      <c r="E356" s="45">
        <f t="shared" si="86"/>
        <v>2017</v>
      </c>
      <c r="F356" s="45">
        <f t="shared" si="87"/>
        <v>0</v>
      </c>
      <c r="G356" s="45" t="s">
        <v>448</v>
      </c>
      <c r="H356" s="45" t="s">
        <v>454</v>
      </c>
      <c r="I356" s="162" t="str">
        <f t="shared" si="88"/>
        <v/>
      </c>
      <c r="J356" s="11" t="s">
        <v>816</v>
      </c>
      <c r="K356" s="673">
        <v>4251</v>
      </c>
      <c r="L356" s="674" t="s">
        <v>28</v>
      </c>
    </row>
    <row r="357" spans="2:12" s="112" customFormat="1" hidden="1">
      <c r="B357" s="45"/>
      <c r="C357" s="45">
        <f t="shared" si="84"/>
        <v>3158</v>
      </c>
      <c r="D357" s="45">
        <f t="shared" si="85"/>
        <v>5</v>
      </c>
      <c r="E357" s="45">
        <f t="shared" si="86"/>
        <v>2017</v>
      </c>
      <c r="F357" s="45">
        <f t="shared" si="87"/>
        <v>0</v>
      </c>
      <c r="G357" s="45" t="s">
        <v>448</v>
      </c>
      <c r="H357" s="45" t="s">
        <v>455</v>
      </c>
      <c r="I357" s="162" t="str">
        <f t="shared" si="88"/>
        <v/>
      </c>
      <c r="J357" s="11" t="s">
        <v>817</v>
      </c>
      <c r="K357" s="673">
        <v>4252</v>
      </c>
      <c r="L357" s="674" t="s">
        <v>2680</v>
      </c>
    </row>
    <row r="358" spans="2:12" s="112" customFormat="1" hidden="1">
      <c r="B358" s="45"/>
      <c r="C358" s="45">
        <f t="shared" si="84"/>
        <v>3158</v>
      </c>
      <c r="D358" s="45">
        <f t="shared" si="85"/>
        <v>5</v>
      </c>
      <c r="E358" s="45">
        <f t="shared" si="86"/>
        <v>2017</v>
      </c>
      <c r="F358" s="45">
        <f t="shared" si="87"/>
        <v>0</v>
      </c>
      <c r="G358" s="45" t="s">
        <v>448</v>
      </c>
      <c r="H358" s="45" t="s">
        <v>456</v>
      </c>
      <c r="I358" s="162" t="str">
        <f t="shared" si="88"/>
        <v/>
      </c>
      <c r="J358" s="11" t="s">
        <v>818</v>
      </c>
      <c r="K358" s="675">
        <v>4254</v>
      </c>
      <c r="L358" s="674" t="s">
        <v>2105</v>
      </c>
    </row>
    <row r="359" spans="2:12" s="112" customFormat="1" hidden="1">
      <c r="B359" s="45"/>
      <c r="C359" s="45">
        <f t="shared" si="84"/>
        <v>3158</v>
      </c>
      <c r="D359" s="45">
        <f t="shared" si="85"/>
        <v>5</v>
      </c>
      <c r="E359" s="45">
        <f t="shared" si="86"/>
        <v>2017</v>
      </c>
      <c r="F359" s="45">
        <f t="shared" si="87"/>
        <v>0</v>
      </c>
      <c r="G359" s="45" t="s">
        <v>448</v>
      </c>
      <c r="H359" s="45" t="s">
        <v>457</v>
      </c>
      <c r="I359" s="162" t="str">
        <f t="shared" si="88"/>
        <v/>
      </c>
      <c r="J359" s="11" t="s">
        <v>819</v>
      </c>
      <c r="K359" s="673">
        <v>4255</v>
      </c>
      <c r="L359" s="674" t="s">
        <v>2098</v>
      </c>
    </row>
    <row r="360" spans="2:12" s="112" customFormat="1" hidden="1">
      <c r="B360" s="45"/>
      <c r="C360" s="45">
        <f t="shared" si="84"/>
        <v>3158</v>
      </c>
      <c r="D360" s="45">
        <f t="shared" si="85"/>
        <v>5</v>
      </c>
      <c r="E360" s="45">
        <f t="shared" si="86"/>
        <v>2017</v>
      </c>
      <c r="F360" s="45">
        <f t="shared" si="87"/>
        <v>0</v>
      </c>
      <c r="G360" s="45" t="s">
        <v>448</v>
      </c>
      <c r="H360" s="45" t="s">
        <v>458</v>
      </c>
      <c r="I360" s="162" t="str">
        <f t="shared" si="88"/>
        <v/>
      </c>
      <c r="J360" s="11" t="s">
        <v>820</v>
      </c>
      <c r="K360" s="673">
        <v>4256</v>
      </c>
      <c r="L360" s="674" t="s">
        <v>2379</v>
      </c>
    </row>
    <row r="361" spans="2:12" s="112" customFormat="1" hidden="1">
      <c r="B361" s="45"/>
      <c r="C361" s="45">
        <f t="shared" si="84"/>
        <v>3158</v>
      </c>
      <c r="D361" s="45">
        <f t="shared" si="85"/>
        <v>5</v>
      </c>
      <c r="E361" s="45">
        <f t="shared" si="86"/>
        <v>2017</v>
      </c>
      <c r="F361" s="45">
        <f t="shared" si="87"/>
        <v>0</v>
      </c>
      <c r="G361" s="45" t="s">
        <v>448</v>
      </c>
      <c r="H361" s="45" t="s">
        <v>460</v>
      </c>
      <c r="I361" s="162" t="str">
        <f t="shared" si="88"/>
        <v/>
      </c>
      <c r="J361" s="11" t="s">
        <v>821</v>
      </c>
      <c r="K361" s="673">
        <v>4259</v>
      </c>
      <c r="L361" s="674" t="s">
        <v>2309</v>
      </c>
    </row>
    <row r="362" spans="2:12" s="112" customFormat="1" hidden="1">
      <c r="B362" s="45"/>
      <c r="C362" s="45">
        <f t="shared" si="84"/>
        <v>3158</v>
      </c>
      <c r="D362" s="45">
        <f t="shared" si="85"/>
        <v>5</v>
      </c>
      <c r="E362" s="45">
        <f t="shared" si="86"/>
        <v>2017</v>
      </c>
      <c r="F362" s="45">
        <f t="shared" ref="F362:F372" si="89">AH$3</f>
        <v>0</v>
      </c>
      <c r="G362" s="45" t="s">
        <v>448</v>
      </c>
      <c r="H362" s="45" t="s">
        <v>449</v>
      </c>
      <c r="I362" s="162" t="str">
        <f t="shared" ref="I362:I372" si="90">IF(ISBLANK(AH4),"",AH4)</f>
        <v/>
      </c>
      <c r="J362" s="11" t="s">
        <v>822</v>
      </c>
      <c r="K362" s="673">
        <v>4260</v>
      </c>
      <c r="L362" s="674" t="s">
        <v>2318</v>
      </c>
    </row>
    <row r="363" spans="2:12" s="112" customFormat="1" hidden="1">
      <c r="B363" s="45"/>
      <c r="C363" s="45">
        <f t="shared" si="84"/>
        <v>3158</v>
      </c>
      <c r="D363" s="45">
        <f t="shared" si="85"/>
        <v>5</v>
      </c>
      <c r="E363" s="45">
        <f t="shared" si="86"/>
        <v>2017</v>
      </c>
      <c r="F363" s="45">
        <f t="shared" si="89"/>
        <v>0</v>
      </c>
      <c r="G363" s="45" t="s">
        <v>448</v>
      </c>
      <c r="H363" s="45" t="s">
        <v>450</v>
      </c>
      <c r="I363" s="162" t="str">
        <f t="shared" si="90"/>
        <v/>
      </c>
      <c r="J363" s="11" t="s">
        <v>823</v>
      </c>
      <c r="K363" s="673">
        <v>4261</v>
      </c>
      <c r="L363" s="674" t="s">
        <v>115</v>
      </c>
    </row>
    <row r="364" spans="2:12" s="112" customFormat="1" hidden="1">
      <c r="B364" s="45"/>
      <c r="C364" s="45">
        <f t="shared" si="84"/>
        <v>3158</v>
      </c>
      <c r="D364" s="45">
        <f t="shared" si="85"/>
        <v>5</v>
      </c>
      <c r="E364" s="45">
        <f t="shared" si="86"/>
        <v>2017</v>
      </c>
      <c r="F364" s="45">
        <f t="shared" si="89"/>
        <v>0</v>
      </c>
      <c r="G364" s="45" t="s">
        <v>448</v>
      </c>
      <c r="H364" s="45" t="s">
        <v>451</v>
      </c>
      <c r="I364" s="162" t="str">
        <f t="shared" si="90"/>
        <v/>
      </c>
      <c r="J364" s="11" t="s">
        <v>824</v>
      </c>
      <c r="K364" s="676">
        <v>4262</v>
      </c>
      <c r="L364" s="677" t="s">
        <v>2140</v>
      </c>
    </row>
    <row r="365" spans="2:12" s="112" customFormat="1" hidden="1">
      <c r="B365" s="45"/>
      <c r="C365" s="45">
        <f t="shared" si="84"/>
        <v>3158</v>
      </c>
      <c r="D365" s="45">
        <f t="shared" si="85"/>
        <v>5</v>
      </c>
      <c r="E365" s="45">
        <f t="shared" si="86"/>
        <v>2017</v>
      </c>
      <c r="F365" s="45">
        <f t="shared" si="89"/>
        <v>0</v>
      </c>
      <c r="G365" s="45" t="s">
        <v>448</v>
      </c>
      <c r="H365" s="45" t="s">
        <v>452</v>
      </c>
      <c r="I365" s="162" t="str">
        <f t="shared" si="90"/>
        <v/>
      </c>
      <c r="J365" s="11" t="s">
        <v>825</v>
      </c>
      <c r="K365" s="673">
        <v>4263</v>
      </c>
      <c r="L365" s="674" t="s">
        <v>29</v>
      </c>
    </row>
    <row r="366" spans="2:12" s="112" customFormat="1" hidden="1">
      <c r="B366" s="45"/>
      <c r="C366" s="45">
        <f t="shared" si="84"/>
        <v>3158</v>
      </c>
      <c r="D366" s="45">
        <f t="shared" si="85"/>
        <v>5</v>
      </c>
      <c r="E366" s="45">
        <f t="shared" si="86"/>
        <v>2017</v>
      </c>
      <c r="F366" s="45">
        <f t="shared" si="89"/>
        <v>0</v>
      </c>
      <c r="G366" s="45" t="s">
        <v>448</v>
      </c>
      <c r="H366" s="45" t="s">
        <v>453</v>
      </c>
      <c r="I366" s="162" t="str">
        <f t="shared" si="90"/>
        <v/>
      </c>
      <c r="J366" s="11" t="s">
        <v>826</v>
      </c>
      <c r="K366" s="673">
        <v>4265</v>
      </c>
      <c r="L366" s="674" t="s">
        <v>124</v>
      </c>
    </row>
    <row r="367" spans="2:12" s="112" customFormat="1" hidden="1">
      <c r="B367" s="45"/>
      <c r="C367" s="45">
        <f t="shared" si="84"/>
        <v>3158</v>
      </c>
      <c r="D367" s="45">
        <f t="shared" si="85"/>
        <v>5</v>
      </c>
      <c r="E367" s="45">
        <f t="shared" si="86"/>
        <v>2017</v>
      </c>
      <c r="F367" s="45">
        <f t="shared" si="89"/>
        <v>0</v>
      </c>
      <c r="G367" s="45" t="s">
        <v>448</v>
      </c>
      <c r="H367" s="45" t="s">
        <v>454</v>
      </c>
      <c r="I367" s="162" t="str">
        <f t="shared" si="90"/>
        <v/>
      </c>
      <c r="J367" s="11" t="s">
        <v>827</v>
      </c>
      <c r="K367" s="673">
        <v>4266</v>
      </c>
      <c r="L367" s="674" t="s">
        <v>125</v>
      </c>
    </row>
    <row r="368" spans="2:12" s="112" customFormat="1" hidden="1">
      <c r="B368" s="45"/>
      <c r="C368" s="45">
        <f t="shared" si="84"/>
        <v>3158</v>
      </c>
      <c r="D368" s="45">
        <f t="shared" si="85"/>
        <v>5</v>
      </c>
      <c r="E368" s="45">
        <f t="shared" si="86"/>
        <v>2017</v>
      </c>
      <c r="F368" s="45">
        <f t="shared" si="89"/>
        <v>0</v>
      </c>
      <c r="G368" s="45" t="s">
        <v>448</v>
      </c>
      <c r="H368" s="45" t="s">
        <v>455</v>
      </c>
      <c r="I368" s="162" t="str">
        <f t="shared" si="90"/>
        <v/>
      </c>
      <c r="J368" s="11" t="s">
        <v>828</v>
      </c>
      <c r="K368" s="676">
        <v>4267</v>
      </c>
      <c r="L368" s="677" t="s">
        <v>414</v>
      </c>
    </row>
    <row r="369" spans="2:12" s="112" customFormat="1" hidden="1">
      <c r="B369" s="45"/>
      <c r="C369" s="45">
        <f t="shared" si="84"/>
        <v>3158</v>
      </c>
      <c r="D369" s="45">
        <f t="shared" si="85"/>
        <v>5</v>
      </c>
      <c r="E369" s="45">
        <f t="shared" si="86"/>
        <v>2017</v>
      </c>
      <c r="F369" s="45">
        <f t="shared" si="89"/>
        <v>0</v>
      </c>
      <c r="G369" s="45" t="s">
        <v>448</v>
      </c>
      <c r="H369" s="45" t="s">
        <v>456</v>
      </c>
      <c r="I369" s="162" t="str">
        <f t="shared" si="90"/>
        <v/>
      </c>
      <c r="J369" s="11" t="s">
        <v>829</v>
      </c>
      <c r="K369" s="676">
        <v>4270</v>
      </c>
      <c r="L369" s="677" t="s">
        <v>415</v>
      </c>
    </row>
    <row r="370" spans="2:12" s="112" customFormat="1" hidden="1">
      <c r="B370" s="45"/>
      <c r="C370" s="45">
        <f t="shared" si="84"/>
        <v>3158</v>
      </c>
      <c r="D370" s="45">
        <f t="shared" si="85"/>
        <v>5</v>
      </c>
      <c r="E370" s="45">
        <f t="shared" si="86"/>
        <v>2017</v>
      </c>
      <c r="F370" s="45">
        <f t="shared" si="89"/>
        <v>0</v>
      </c>
      <c r="G370" s="45" t="s">
        <v>448</v>
      </c>
      <c r="H370" s="45" t="s">
        <v>457</v>
      </c>
      <c r="I370" s="162" t="str">
        <f t="shared" si="90"/>
        <v/>
      </c>
      <c r="J370" s="11" t="s">
        <v>830</v>
      </c>
      <c r="K370" s="673">
        <v>4271</v>
      </c>
      <c r="L370" s="674" t="s">
        <v>126</v>
      </c>
    </row>
    <row r="371" spans="2:12" s="112" customFormat="1" hidden="1">
      <c r="B371" s="45"/>
      <c r="C371" s="45">
        <f t="shared" si="84"/>
        <v>3158</v>
      </c>
      <c r="D371" s="45">
        <f t="shared" si="85"/>
        <v>5</v>
      </c>
      <c r="E371" s="45">
        <f t="shared" si="86"/>
        <v>2017</v>
      </c>
      <c r="F371" s="45">
        <f t="shared" si="89"/>
        <v>0</v>
      </c>
      <c r="G371" s="45" t="s">
        <v>448</v>
      </c>
      <c r="H371" s="45" t="s">
        <v>458</v>
      </c>
      <c r="I371" s="162" t="str">
        <f t="shared" si="90"/>
        <v/>
      </c>
      <c r="J371" s="11" t="s">
        <v>831</v>
      </c>
      <c r="K371" s="673">
        <v>4272</v>
      </c>
      <c r="L371" s="674" t="s">
        <v>2201</v>
      </c>
    </row>
    <row r="372" spans="2:12" s="112" customFormat="1" hidden="1">
      <c r="B372" s="45"/>
      <c r="C372" s="45">
        <f t="shared" si="84"/>
        <v>3158</v>
      </c>
      <c r="D372" s="45">
        <f t="shared" si="85"/>
        <v>5</v>
      </c>
      <c r="E372" s="45">
        <f t="shared" si="86"/>
        <v>2017</v>
      </c>
      <c r="F372" s="45">
        <f t="shared" si="89"/>
        <v>0</v>
      </c>
      <c r="G372" s="45" t="s">
        <v>448</v>
      </c>
      <c r="H372" s="45" t="s">
        <v>460</v>
      </c>
      <c r="I372" s="162" t="str">
        <f t="shared" si="90"/>
        <v/>
      </c>
      <c r="J372" s="11" t="s">
        <v>832</v>
      </c>
      <c r="K372" s="675">
        <v>4275</v>
      </c>
      <c r="L372" s="674" t="s">
        <v>2116</v>
      </c>
    </row>
    <row r="373" spans="2:12" s="112" customFormat="1" hidden="1">
      <c r="B373" s="45"/>
      <c r="C373" s="45">
        <f t="shared" si="84"/>
        <v>3158</v>
      </c>
      <c r="D373" s="45">
        <f t="shared" si="85"/>
        <v>5</v>
      </c>
      <c r="E373" s="45">
        <f t="shared" si="86"/>
        <v>2017</v>
      </c>
      <c r="F373" s="45">
        <f t="shared" ref="F373:F383" si="91">AI$3</f>
        <v>0</v>
      </c>
      <c r="G373" s="45" t="s">
        <v>448</v>
      </c>
      <c r="H373" s="45" t="s">
        <v>449</v>
      </c>
      <c r="I373" s="162" t="str">
        <f t="shared" ref="I373:I383" si="92">IF(ISBLANK(AI4),"",AI4)</f>
        <v/>
      </c>
      <c r="J373" s="11" t="s">
        <v>833</v>
      </c>
      <c r="K373" s="675">
        <v>4279</v>
      </c>
      <c r="L373" s="674" t="s">
        <v>2104</v>
      </c>
    </row>
    <row r="374" spans="2:12" s="112" customFormat="1" hidden="1">
      <c r="B374" s="45"/>
      <c r="C374" s="45">
        <f t="shared" si="84"/>
        <v>3158</v>
      </c>
      <c r="D374" s="45">
        <f t="shared" si="85"/>
        <v>5</v>
      </c>
      <c r="E374" s="45">
        <f t="shared" si="86"/>
        <v>2017</v>
      </c>
      <c r="F374" s="45">
        <f t="shared" si="91"/>
        <v>0</v>
      </c>
      <c r="G374" s="45" t="s">
        <v>448</v>
      </c>
      <c r="H374" s="45" t="s">
        <v>450</v>
      </c>
      <c r="I374" s="162" t="str">
        <f t="shared" si="92"/>
        <v/>
      </c>
      <c r="J374" s="11" t="s">
        <v>834</v>
      </c>
      <c r="K374" s="673">
        <v>4280</v>
      </c>
      <c r="L374" s="674" t="s">
        <v>127</v>
      </c>
    </row>
    <row r="375" spans="2:12" s="112" customFormat="1" hidden="1">
      <c r="B375" s="45"/>
      <c r="C375" s="45">
        <f t="shared" si="84"/>
        <v>3158</v>
      </c>
      <c r="D375" s="45">
        <f t="shared" si="85"/>
        <v>5</v>
      </c>
      <c r="E375" s="45">
        <f t="shared" si="86"/>
        <v>2017</v>
      </c>
      <c r="F375" s="45">
        <f t="shared" si="91"/>
        <v>0</v>
      </c>
      <c r="G375" s="45" t="s">
        <v>448</v>
      </c>
      <c r="H375" s="45" t="s">
        <v>451</v>
      </c>
      <c r="I375" s="162" t="str">
        <f t="shared" si="92"/>
        <v/>
      </c>
      <c r="J375" s="11" t="s">
        <v>835</v>
      </c>
      <c r="K375" s="676">
        <v>4282</v>
      </c>
      <c r="L375" s="677" t="s">
        <v>128</v>
      </c>
    </row>
    <row r="376" spans="2:12" s="112" customFormat="1" hidden="1">
      <c r="B376" s="45"/>
      <c r="C376" s="45">
        <f t="shared" si="84"/>
        <v>3158</v>
      </c>
      <c r="D376" s="45">
        <f t="shared" si="85"/>
        <v>5</v>
      </c>
      <c r="E376" s="45">
        <f t="shared" si="86"/>
        <v>2017</v>
      </c>
      <c r="F376" s="45">
        <f t="shared" si="91"/>
        <v>0</v>
      </c>
      <c r="G376" s="45" t="s">
        <v>448</v>
      </c>
      <c r="H376" s="45" t="s">
        <v>452</v>
      </c>
      <c r="I376" s="162" t="str">
        <f t="shared" si="92"/>
        <v/>
      </c>
      <c r="J376" s="11" t="s">
        <v>836</v>
      </c>
      <c r="K376" s="673">
        <v>4285</v>
      </c>
      <c r="L376" s="674" t="s">
        <v>2048</v>
      </c>
    </row>
    <row r="377" spans="2:12" s="112" customFormat="1" hidden="1">
      <c r="B377" s="45"/>
      <c r="C377" s="45">
        <f t="shared" si="84"/>
        <v>3158</v>
      </c>
      <c r="D377" s="45">
        <f t="shared" si="85"/>
        <v>5</v>
      </c>
      <c r="E377" s="45">
        <f t="shared" si="86"/>
        <v>2017</v>
      </c>
      <c r="F377" s="45">
        <f t="shared" si="91"/>
        <v>0</v>
      </c>
      <c r="G377" s="45" t="s">
        <v>448</v>
      </c>
      <c r="H377" s="45" t="s">
        <v>453</v>
      </c>
      <c r="I377" s="162" t="str">
        <f t="shared" si="92"/>
        <v/>
      </c>
      <c r="J377" s="11" t="s">
        <v>837</v>
      </c>
      <c r="K377" s="676">
        <v>4286</v>
      </c>
      <c r="L377" s="677" t="s">
        <v>129</v>
      </c>
    </row>
    <row r="378" spans="2:12" s="112" customFormat="1" hidden="1">
      <c r="B378" s="45"/>
      <c r="C378" s="45">
        <f t="shared" si="84"/>
        <v>3158</v>
      </c>
      <c r="D378" s="45">
        <f t="shared" si="85"/>
        <v>5</v>
      </c>
      <c r="E378" s="45">
        <f t="shared" si="86"/>
        <v>2017</v>
      </c>
      <c r="F378" s="45">
        <f t="shared" si="91"/>
        <v>0</v>
      </c>
      <c r="G378" s="45" t="s">
        <v>448</v>
      </c>
      <c r="H378" s="45" t="s">
        <v>454</v>
      </c>
      <c r="I378" s="162" t="str">
        <f t="shared" si="92"/>
        <v/>
      </c>
      <c r="J378" s="11" t="s">
        <v>838</v>
      </c>
      <c r="K378" s="673">
        <v>4289</v>
      </c>
      <c r="L378" s="674" t="s">
        <v>2353</v>
      </c>
    </row>
    <row r="379" spans="2:12" s="112" customFormat="1" hidden="1">
      <c r="B379" s="45"/>
      <c r="C379" s="45">
        <f t="shared" si="84"/>
        <v>3158</v>
      </c>
      <c r="D379" s="45">
        <f t="shared" si="85"/>
        <v>5</v>
      </c>
      <c r="E379" s="45">
        <f t="shared" si="86"/>
        <v>2017</v>
      </c>
      <c r="F379" s="45">
        <f t="shared" si="91"/>
        <v>0</v>
      </c>
      <c r="G379" s="45" t="s">
        <v>448</v>
      </c>
      <c r="H379" s="45" t="s">
        <v>455</v>
      </c>
      <c r="I379" s="162" t="str">
        <f t="shared" si="92"/>
        <v/>
      </c>
      <c r="J379" s="11" t="s">
        <v>839</v>
      </c>
      <c r="K379" s="673">
        <v>4292</v>
      </c>
      <c r="L379" s="674" t="s">
        <v>2326</v>
      </c>
    </row>
    <row r="380" spans="2:12" s="112" customFormat="1" hidden="1">
      <c r="B380" s="45"/>
      <c r="C380" s="45">
        <f t="shared" si="84"/>
        <v>3158</v>
      </c>
      <c r="D380" s="45">
        <f t="shared" si="85"/>
        <v>5</v>
      </c>
      <c r="E380" s="45">
        <f t="shared" si="86"/>
        <v>2017</v>
      </c>
      <c r="F380" s="45">
        <f t="shared" si="91"/>
        <v>0</v>
      </c>
      <c r="G380" s="45" t="s">
        <v>448</v>
      </c>
      <c r="H380" s="45" t="s">
        <v>456</v>
      </c>
      <c r="I380" s="162" t="str">
        <f t="shared" si="92"/>
        <v/>
      </c>
      <c r="J380" s="11" t="s">
        <v>840</v>
      </c>
      <c r="K380" s="673">
        <v>4293</v>
      </c>
      <c r="L380" s="674" t="s">
        <v>2049</v>
      </c>
    </row>
    <row r="381" spans="2:12" s="112" customFormat="1" hidden="1">
      <c r="B381" s="45"/>
      <c r="C381" s="45">
        <f t="shared" si="84"/>
        <v>3158</v>
      </c>
      <c r="D381" s="45">
        <f t="shared" si="85"/>
        <v>5</v>
      </c>
      <c r="E381" s="45">
        <f t="shared" si="86"/>
        <v>2017</v>
      </c>
      <c r="F381" s="45">
        <f t="shared" si="91"/>
        <v>0</v>
      </c>
      <c r="G381" s="45" t="s">
        <v>448</v>
      </c>
      <c r="H381" s="45" t="s">
        <v>457</v>
      </c>
      <c r="I381" s="162" t="str">
        <f t="shared" si="92"/>
        <v/>
      </c>
      <c r="J381" s="11" t="s">
        <v>841</v>
      </c>
      <c r="K381" s="673">
        <v>4299</v>
      </c>
      <c r="L381" s="674" t="s">
        <v>2063</v>
      </c>
    </row>
    <row r="382" spans="2:12" s="112" customFormat="1" hidden="1">
      <c r="B382" s="45"/>
      <c r="C382" s="45">
        <f t="shared" si="84"/>
        <v>3158</v>
      </c>
      <c r="D382" s="45">
        <f t="shared" si="85"/>
        <v>5</v>
      </c>
      <c r="E382" s="45">
        <f t="shared" si="86"/>
        <v>2017</v>
      </c>
      <c r="F382" s="45">
        <f t="shared" si="91"/>
        <v>0</v>
      </c>
      <c r="G382" s="45" t="s">
        <v>448</v>
      </c>
      <c r="H382" s="45" t="s">
        <v>458</v>
      </c>
      <c r="I382" s="162" t="str">
        <f t="shared" si="92"/>
        <v/>
      </c>
      <c r="J382" s="11" t="s">
        <v>842</v>
      </c>
      <c r="K382" s="673">
        <v>4302</v>
      </c>
      <c r="L382" s="674" t="s">
        <v>130</v>
      </c>
    </row>
    <row r="383" spans="2:12" s="112" customFormat="1" hidden="1">
      <c r="B383" s="45"/>
      <c r="C383" s="45">
        <f t="shared" si="84"/>
        <v>3158</v>
      </c>
      <c r="D383" s="45">
        <f t="shared" si="85"/>
        <v>5</v>
      </c>
      <c r="E383" s="45">
        <f t="shared" si="86"/>
        <v>2017</v>
      </c>
      <c r="F383" s="45">
        <f t="shared" si="91"/>
        <v>0</v>
      </c>
      <c r="G383" s="45" t="s">
        <v>448</v>
      </c>
      <c r="H383" s="45" t="s">
        <v>460</v>
      </c>
      <c r="I383" s="162" t="str">
        <f t="shared" si="92"/>
        <v/>
      </c>
      <c r="J383" s="11" t="s">
        <v>843</v>
      </c>
      <c r="K383" s="675">
        <v>4306</v>
      </c>
      <c r="L383" s="674" t="s">
        <v>2078</v>
      </c>
    </row>
    <row r="384" spans="2:12" s="112" customFormat="1" hidden="1">
      <c r="B384" s="45"/>
      <c r="C384" s="45">
        <f t="shared" si="84"/>
        <v>3158</v>
      </c>
      <c r="D384" s="45">
        <f t="shared" si="85"/>
        <v>5</v>
      </c>
      <c r="E384" s="45">
        <f t="shared" si="86"/>
        <v>2017</v>
      </c>
      <c r="F384" s="45">
        <f t="shared" ref="F384:F394" si="93">AJ$3</f>
        <v>0</v>
      </c>
      <c r="G384" s="45" t="s">
        <v>448</v>
      </c>
      <c r="H384" s="45" t="s">
        <v>449</v>
      </c>
      <c r="I384" s="162" t="str">
        <f t="shared" ref="I384:I394" si="94">IF(ISBLANK(AJ4),"",AJ4)</f>
        <v/>
      </c>
      <c r="J384" s="11" t="s">
        <v>844</v>
      </c>
      <c r="K384" s="673">
        <v>4307</v>
      </c>
      <c r="L384" s="674" t="s">
        <v>131</v>
      </c>
    </row>
    <row r="385" spans="2:12" s="112" customFormat="1" hidden="1">
      <c r="B385" s="45"/>
      <c r="C385" s="45">
        <f t="shared" si="84"/>
        <v>3158</v>
      </c>
      <c r="D385" s="45">
        <f t="shared" si="85"/>
        <v>5</v>
      </c>
      <c r="E385" s="45">
        <f t="shared" si="86"/>
        <v>2017</v>
      </c>
      <c r="F385" s="45">
        <f t="shared" si="93"/>
        <v>0</v>
      </c>
      <c r="G385" s="45" t="s">
        <v>448</v>
      </c>
      <c r="H385" s="45" t="s">
        <v>450</v>
      </c>
      <c r="I385" s="162" t="str">
        <f t="shared" si="94"/>
        <v/>
      </c>
      <c r="J385" s="11" t="s">
        <v>845</v>
      </c>
      <c r="K385" s="673">
        <v>4308</v>
      </c>
      <c r="L385" s="674" t="s">
        <v>2050</v>
      </c>
    </row>
    <row r="386" spans="2:12" s="112" customFormat="1" hidden="1">
      <c r="B386" s="45"/>
      <c r="C386" s="45">
        <f t="shared" si="84"/>
        <v>3158</v>
      </c>
      <c r="D386" s="45">
        <f t="shared" si="85"/>
        <v>5</v>
      </c>
      <c r="E386" s="45">
        <f t="shared" si="86"/>
        <v>2017</v>
      </c>
      <c r="F386" s="45">
        <f t="shared" si="93"/>
        <v>0</v>
      </c>
      <c r="G386" s="45" t="s">
        <v>448</v>
      </c>
      <c r="H386" s="45" t="s">
        <v>451</v>
      </c>
      <c r="I386" s="162" t="str">
        <f t="shared" si="94"/>
        <v/>
      </c>
      <c r="J386" s="11" t="s">
        <v>846</v>
      </c>
      <c r="K386" s="673">
        <v>4312</v>
      </c>
      <c r="L386" s="674" t="s">
        <v>2155</v>
      </c>
    </row>
    <row r="387" spans="2:12" s="112" customFormat="1" hidden="1">
      <c r="B387" s="45"/>
      <c r="C387" s="45">
        <f t="shared" si="84"/>
        <v>3158</v>
      </c>
      <c r="D387" s="45">
        <f t="shared" si="85"/>
        <v>5</v>
      </c>
      <c r="E387" s="45">
        <f t="shared" si="86"/>
        <v>2017</v>
      </c>
      <c r="F387" s="45">
        <f t="shared" si="93"/>
        <v>0</v>
      </c>
      <c r="G387" s="45" t="s">
        <v>448</v>
      </c>
      <c r="H387" s="45" t="s">
        <v>452</v>
      </c>
      <c r="I387" s="162" t="str">
        <f t="shared" si="94"/>
        <v/>
      </c>
      <c r="J387" s="11" t="s">
        <v>847</v>
      </c>
      <c r="K387" s="673">
        <v>4315</v>
      </c>
      <c r="L387" s="674" t="s">
        <v>132</v>
      </c>
    </row>
    <row r="388" spans="2:12" s="112" customFormat="1" hidden="1">
      <c r="B388" s="45"/>
      <c r="C388" s="45">
        <f t="shared" si="84"/>
        <v>3158</v>
      </c>
      <c r="D388" s="45">
        <f t="shared" si="85"/>
        <v>5</v>
      </c>
      <c r="E388" s="45">
        <f t="shared" si="86"/>
        <v>2017</v>
      </c>
      <c r="F388" s="45">
        <f t="shared" si="93"/>
        <v>0</v>
      </c>
      <c r="G388" s="45" t="s">
        <v>448</v>
      </c>
      <c r="H388" s="45" t="s">
        <v>453</v>
      </c>
      <c r="I388" s="162" t="str">
        <f t="shared" si="94"/>
        <v/>
      </c>
      <c r="J388" s="11" t="s">
        <v>848</v>
      </c>
      <c r="K388" s="673">
        <v>4318</v>
      </c>
      <c r="L388" s="674" t="s">
        <v>133</v>
      </c>
    </row>
    <row r="389" spans="2:12" s="112" customFormat="1" hidden="1">
      <c r="B389" s="45"/>
      <c r="C389" s="45">
        <f t="shared" si="84"/>
        <v>3158</v>
      </c>
      <c r="D389" s="45">
        <f t="shared" si="85"/>
        <v>5</v>
      </c>
      <c r="E389" s="45">
        <f t="shared" si="86"/>
        <v>2017</v>
      </c>
      <c r="F389" s="45">
        <f t="shared" si="93"/>
        <v>0</v>
      </c>
      <c r="G389" s="45" t="s">
        <v>448</v>
      </c>
      <c r="H389" s="45" t="s">
        <v>454</v>
      </c>
      <c r="I389" s="162" t="str">
        <f t="shared" si="94"/>
        <v/>
      </c>
      <c r="J389" s="11" t="s">
        <v>849</v>
      </c>
      <c r="K389" s="673">
        <v>4319</v>
      </c>
      <c r="L389" s="674" t="s">
        <v>2341</v>
      </c>
    </row>
    <row r="390" spans="2:12" s="112" customFormat="1" hidden="1">
      <c r="B390" s="45"/>
      <c r="C390" s="45">
        <f t="shared" si="84"/>
        <v>3158</v>
      </c>
      <c r="D390" s="45">
        <f t="shared" si="85"/>
        <v>5</v>
      </c>
      <c r="E390" s="45">
        <f t="shared" si="86"/>
        <v>2017</v>
      </c>
      <c r="F390" s="45">
        <f t="shared" si="93"/>
        <v>0</v>
      </c>
      <c r="G390" s="45" t="s">
        <v>448</v>
      </c>
      <c r="H390" s="45" t="s">
        <v>455</v>
      </c>
      <c r="I390" s="162" t="str">
        <f t="shared" si="94"/>
        <v/>
      </c>
      <c r="J390" s="11" t="s">
        <v>850</v>
      </c>
      <c r="K390" s="673">
        <v>4321</v>
      </c>
      <c r="L390" s="674" t="s">
        <v>134</v>
      </c>
    </row>
    <row r="391" spans="2:12" s="112" customFormat="1" hidden="1">
      <c r="B391" s="45"/>
      <c r="C391" s="45">
        <f t="shared" si="84"/>
        <v>3158</v>
      </c>
      <c r="D391" s="45">
        <f t="shared" si="85"/>
        <v>5</v>
      </c>
      <c r="E391" s="45">
        <f t="shared" si="86"/>
        <v>2017</v>
      </c>
      <c r="F391" s="45">
        <f t="shared" si="93"/>
        <v>0</v>
      </c>
      <c r="G391" s="45" t="s">
        <v>448</v>
      </c>
      <c r="H391" s="45" t="s">
        <v>456</v>
      </c>
      <c r="I391" s="162" t="str">
        <f t="shared" si="94"/>
        <v/>
      </c>
      <c r="J391" s="11" t="s">
        <v>851</v>
      </c>
      <c r="K391" s="673">
        <v>4322</v>
      </c>
      <c r="L391" s="674" t="s">
        <v>2319</v>
      </c>
    </row>
    <row r="392" spans="2:12" s="112" customFormat="1" hidden="1">
      <c r="B392" s="45"/>
      <c r="C392" s="45">
        <f t="shared" si="84"/>
        <v>3158</v>
      </c>
      <c r="D392" s="45">
        <f t="shared" si="85"/>
        <v>5</v>
      </c>
      <c r="E392" s="45">
        <f t="shared" si="86"/>
        <v>2017</v>
      </c>
      <c r="F392" s="45">
        <f t="shared" si="93"/>
        <v>0</v>
      </c>
      <c r="G392" s="45" t="s">
        <v>448</v>
      </c>
      <c r="H392" s="45" t="s">
        <v>457</v>
      </c>
      <c r="I392" s="162" t="str">
        <f t="shared" si="94"/>
        <v/>
      </c>
      <c r="J392" s="11" t="s">
        <v>852</v>
      </c>
      <c r="K392" s="673">
        <v>4335</v>
      </c>
      <c r="L392" s="674" t="s">
        <v>30</v>
      </c>
    </row>
    <row r="393" spans="2:12" s="112" customFormat="1" hidden="1">
      <c r="B393" s="45"/>
      <c r="C393" s="45">
        <f t="shared" si="84"/>
        <v>3158</v>
      </c>
      <c r="D393" s="45">
        <f t="shared" si="85"/>
        <v>5</v>
      </c>
      <c r="E393" s="45">
        <f t="shared" si="86"/>
        <v>2017</v>
      </c>
      <c r="F393" s="45">
        <f t="shared" si="93"/>
        <v>0</v>
      </c>
      <c r="G393" s="45" t="s">
        <v>448</v>
      </c>
      <c r="H393" s="45" t="s">
        <v>458</v>
      </c>
      <c r="I393" s="162" t="str">
        <f t="shared" si="94"/>
        <v/>
      </c>
      <c r="J393" s="11" t="s">
        <v>853</v>
      </c>
      <c r="K393" s="673">
        <v>4336</v>
      </c>
      <c r="L393" s="674" t="s">
        <v>31</v>
      </c>
    </row>
    <row r="394" spans="2:12" s="112" customFormat="1" hidden="1">
      <c r="B394" s="45"/>
      <c r="C394" s="45">
        <f t="shared" si="84"/>
        <v>3158</v>
      </c>
      <c r="D394" s="45">
        <f t="shared" si="85"/>
        <v>5</v>
      </c>
      <c r="E394" s="45">
        <f t="shared" si="86"/>
        <v>2017</v>
      </c>
      <c r="F394" s="45">
        <f t="shared" si="93"/>
        <v>0</v>
      </c>
      <c r="G394" s="45" t="s">
        <v>448</v>
      </c>
      <c r="H394" s="45" t="s">
        <v>460</v>
      </c>
      <c r="I394" s="162" t="str">
        <f t="shared" si="94"/>
        <v/>
      </c>
      <c r="J394" s="11" t="s">
        <v>854</v>
      </c>
      <c r="K394" s="673">
        <v>4338</v>
      </c>
      <c r="L394" s="674" t="s">
        <v>2064</v>
      </c>
    </row>
    <row r="395" spans="2:12" s="112" customFormat="1" hidden="1">
      <c r="B395" s="45"/>
      <c r="C395" s="45">
        <f t="shared" si="84"/>
        <v>3158</v>
      </c>
      <c r="D395" s="45">
        <f t="shared" si="85"/>
        <v>5</v>
      </c>
      <c r="E395" s="45">
        <f t="shared" si="86"/>
        <v>2017</v>
      </c>
      <c r="F395" s="45">
        <f t="shared" ref="F395:F405" si="95">AK$3</f>
        <v>0</v>
      </c>
      <c r="G395" s="45" t="s">
        <v>448</v>
      </c>
      <c r="H395" s="45" t="s">
        <v>449</v>
      </c>
      <c r="I395" s="162" t="str">
        <f t="shared" ref="I395:I405" si="96">IF(ISBLANK(AK4),"",AK4)</f>
        <v/>
      </c>
      <c r="J395" s="11" t="s">
        <v>855</v>
      </c>
      <c r="K395" s="673">
        <v>4349</v>
      </c>
      <c r="L395" s="674" t="s">
        <v>2380</v>
      </c>
    </row>
    <row r="396" spans="2:12" s="112" customFormat="1" hidden="1">
      <c r="B396" s="45"/>
      <c r="C396" s="45">
        <f t="shared" si="84"/>
        <v>3158</v>
      </c>
      <c r="D396" s="45">
        <f t="shared" si="85"/>
        <v>5</v>
      </c>
      <c r="E396" s="45">
        <f t="shared" si="86"/>
        <v>2017</v>
      </c>
      <c r="F396" s="45">
        <f t="shared" si="95"/>
        <v>0</v>
      </c>
      <c r="G396" s="45" t="s">
        <v>448</v>
      </c>
      <c r="H396" s="45" t="s">
        <v>450</v>
      </c>
      <c r="I396" s="162" t="str">
        <f t="shared" si="96"/>
        <v/>
      </c>
      <c r="J396" s="11" t="s">
        <v>856</v>
      </c>
      <c r="K396" s="675">
        <v>4350</v>
      </c>
      <c r="L396" s="674" t="s">
        <v>2091</v>
      </c>
    </row>
    <row r="397" spans="2:12" s="112" customFormat="1" hidden="1">
      <c r="B397" s="45"/>
      <c r="C397" s="45">
        <f t="shared" si="84"/>
        <v>3158</v>
      </c>
      <c r="D397" s="45">
        <f t="shared" si="85"/>
        <v>5</v>
      </c>
      <c r="E397" s="45">
        <f t="shared" si="86"/>
        <v>2017</v>
      </c>
      <c r="F397" s="45">
        <f t="shared" si="95"/>
        <v>0</v>
      </c>
      <c r="G397" s="45" t="s">
        <v>448</v>
      </c>
      <c r="H397" s="45" t="s">
        <v>451</v>
      </c>
      <c r="I397" s="162" t="str">
        <f t="shared" si="96"/>
        <v/>
      </c>
      <c r="J397" s="11" t="s">
        <v>857</v>
      </c>
      <c r="K397" s="673">
        <v>4351</v>
      </c>
      <c r="L397" s="674" t="s">
        <v>416</v>
      </c>
    </row>
    <row r="398" spans="2:12" s="112" customFormat="1" hidden="1">
      <c r="B398" s="45"/>
      <c r="C398" s="45">
        <f t="shared" si="84"/>
        <v>3158</v>
      </c>
      <c r="D398" s="45">
        <f t="shared" si="85"/>
        <v>5</v>
      </c>
      <c r="E398" s="45">
        <f t="shared" si="86"/>
        <v>2017</v>
      </c>
      <c r="F398" s="45">
        <f t="shared" si="95"/>
        <v>0</v>
      </c>
      <c r="G398" s="45" t="s">
        <v>448</v>
      </c>
      <c r="H398" s="45" t="s">
        <v>452</v>
      </c>
      <c r="I398" s="162" t="str">
        <f t="shared" si="96"/>
        <v/>
      </c>
      <c r="J398" s="11" t="s">
        <v>858</v>
      </c>
      <c r="K398" s="673">
        <v>4360</v>
      </c>
      <c r="L398" s="674" t="s">
        <v>2051</v>
      </c>
    </row>
    <row r="399" spans="2:12" s="112" customFormat="1" hidden="1">
      <c r="B399" s="45"/>
      <c r="C399" s="45">
        <f t="shared" si="84"/>
        <v>3158</v>
      </c>
      <c r="D399" s="45">
        <f t="shared" si="85"/>
        <v>5</v>
      </c>
      <c r="E399" s="45">
        <f t="shared" si="86"/>
        <v>2017</v>
      </c>
      <c r="F399" s="45">
        <f t="shared" si="95"/>
        <v>0</v>
      </c>
      <c r="G399" s="45" t="s">
        <v>448</v>
      </c>
      <c r="H399" s="45" t="s">
        <v>453</v>
      </c>
      <c r="I399" s="162" t="str">
        <f t="shared" si="96"/>
        <v/>
      </c>
      <c r="J399" s="11" t="s">
        <v>859</v>
      </c>
      <c r="K399" s="673">
        <v>4361</v>
      </c>
      <c r="L399" s="674" t="s">
        <v>2334</v>
      </c>
    </row>
    <row r="400" spans="2:12" s="112" customFormat="1" hidden="1">
      <c r="B400" s="45"/>
      <c r="C400" s="45">
        <f t="shared" si="84"/>
        <v>3158</v>
      </c>
      <c r="D400" s="45">
        <f t="shared" si="85"/>
        <v>5</v>
      </c>
      <c r="E400" s="45">
        <f t="shared" si="86"/>
        <v>2017</v>
      </c>
      <c r="F400" s="45">
        <f t="shared" si="95"/>
        <v>0</v>
      </c>
      <c r="G400" s="45" t="s">
        <v>448</v>
      </c>
      <c r="H400" s="45" t="s">
        <v>454</v>
      </c>
      <c r="I400" s="162" t="str">
        <f t="shared" si="96"/>
        <v/>
      </c>
      <c r="J400" s="11" t="s">
        <v>860</v>
      </c>
      <c r="K400" s="673">
        <v>4364</v>
      </c>
      <c r="L400" s="674" t="s">
        <v>1398</v>
      </c>
    </row>
    <row r="401" spans="2:12" s="112" customFormat="1" hidden="1">
      <c r="B401" s="45"/>
      <c r="C401" s="45">
        <f t="shared" si="84"/>
        <v>3158</v>
      </c>
      <c r="D401" s="45">
        <f t="shared" si="85"/>
        <v>5</v>
      </c>
      <c r="E401" s="45">
        <f t="shared" si="86"/>
        <v>2017</v>
      </c>
      <c r="F401" s="45">
        <f t="shared" si="95"/>
        <v>0</v>
      </c>
      <c r="G401" s="45" t="s">
        <v>448</v>
      </c>
      <c r="H401" s="45" t="s">
        <v>455</v>
      </c>
      <c r="I401" s="162" t="str">
        <f t="shared" si="96"/>
        <v/>
      </c>
      <c r="J401" s="11" t="s">
        <v>861</v>
      </c>
      <c r="K401" s="673">
        <v>4366</v>
      </c>
      <c r="L401" s="674" t="s">
        <v>2327</v>
      </c>
    </row>
    <row r="402" spans="2:12" s="112" customFormat="1" hidden="1">
      <c r="B402" s="45"/>
      <c r="C402" s="45">
        <f t="shared" si="84"/>
        <v>3158</v>
      </c>
      <c r="D402" s="45">
        <f t="shared" si="85"/>
        <v>5</v>
      </c>
      <c r="E402" s="45">
        <f t="shared" si="86"/>
        <v>2017</v>
      </c>
      <c r="F402" s="45">
        <f t="shared" si="95"/>
        <v>0</v>
      </c>
      <c r="G402" s="45" t="s">
        <v>448</v>
      </c>
      <c r="H402" s="45" t="s">
        <v>456</v>
      </c>
      <c r="I402" s="162" t="str">
        <f t="shared" si="96"/>
        <v/>
      </c>
      <c r="J402" s="11" t="s">
        <v>862</v>
      </c>
      <c r="K402" s="673">
        <v>4369</v>
      </c>
      <c r="L402" s="674" t="s">
        <v>2141</v>
      </c>
    </row>
    <row r="403" spans="2:12" s="112" customFormat="1" hidden="1">
      <c r="B403" s="45"/>
      <c r="C403" s="45">
        <f t="shared" si="84"/>
        <v>3158</v>
      </c>
      <c r="D403" s="45">
        <f t="shared" si="85"/>
        <v>5</v>
      </c>
      <c r="E403" s="45">
        <f t="shared" si="86"/>
        <v>2017</v>
      </c>
      <c r="F403" s="45">
        <f t="shared" si="95"/>
        <v>0</v>
      </c>
      <c r="G403" s="45" t="s">
        <v>448</v>
      </c>
      <c r="H403" s="45" t="s">
        <v>457</v>
      </c>
      <c r="I403" s="162" t="str">
        <f t="shared" si="96"/>
        <v/>
      </c>
      <c r="J403" s="11" t="s">
        <v>863</v>
      </c>
      <c r="K403" s="673">
        <v>4370</v>
      </c>
      <c r="L403" s="674" t="s">
        <v>2320</v>
      </c>
    </row>
    <row r="404" spans="2:12" s="112" customFormat="1" hidden="1">
      <c r="B404" s="45"/>
      <c r="C404" s="45">
        <f t="shared" si="84"/>
        <v>3158</v>
      </c>
      <c r="D404" s="45">
        <f t="shared" si="85"/>
        <v>5</v>
      </c>
      <c r="E404" s="45">
        <f t="shared" si="86"/>
        <v>2017</v>
      </c>
      <c r="F404" s="45">
        <f t="shared" si="95"/>
        <v>0</v>
      </c>
      <c r="G404" s="45" t="s">
        <v>448</v>
      </c>
      <c r="H404" s="45" t="s">
        <v>458</v>
      </c>
      <c r="I404" s="162" t="str">
        <f t="shared" si="96"/>
        <v/>
      </c>
      <c r="J404" s="11" t="s">
        <v>864</v>
      </c>
      <c r="K404" s="673">
        <v>4379</v>
      </c>
      <c r="L404" s="674" t="s">
        <v>2294</v>
      </c>
    </row>
    <row r="405" spans="2:12" s="112" customFormat="1" hidden="1">
      <c r="B405" s="45"/>
      <c r="C405" s="45">
        <f t="shared" si="84"/>
        <v>3158</v>
      </c>
      <c r="D405" s="45">
        <f t="shared" si="85"/>
        <v>5</v>
      </c>
      <c r="E405" s="45">
        <f t="shared" si="86"/>
        <v>2017</v>
      </c>
      <c r="F405" s="45">
        <f t="shared" si="95"/>
        <v>0</v>
      </c>
      <c r="G405" s="45" t="s">
        <v>448</v>
      </c>
      <c r="H405" s="45" t="s">
        <v>460</v>
      </c>
      <c r="I405" s="162" t="str">
        <f t="shared" si="96"/>
        <v/>
      </c>
      <c r="J405" s="11" t="s">
        <v>865</v>
      </c>
      <c r="K405" s="673">
        <v>4380</v>
      </c>
      <c r="L405" s="674" t="s">
        <v>2350</v>
      </c>
    </row>
    <row r="406" spans="2:12" s="112" customFormat="1" hidden="1">
      <c r="B406" s="45"/>
      <c r="C406" s="45">
        <f t="shared" ref="C406:C469" si="97">H$1</f>
        <v>3158</v>
      </c>
      <c r="D406" s="45">
        <f t="shared" ref="D406:D469" si="98">K$1</f>
        <v>5</v>
      </c>
      <c r="E406" s="45">
        <f t="shared" si="86"/>
        <v>2017</v>
      </c>
      <c r="F406" s="45">
        <f t="shared" ref="F406:F416" si="99">AL$3</f>
        <v>0</v>
      </c>
      <c r="G406" s="45" t="s">
        <v>448</v>
      </c>
      <c r="H406" s="45" t="s">
        <v>449</v>
      </c>
      <c r="I406" s="162" t="str">
        <f t="shared" ref="I406:I416" si="100">IF(ISBLANK(AL4),"",AL4)</f>
        <v/>
      </c>
      <c r="J406" s="11" t="s">
        <v>866</v>
      </c>
      <c r="K406" s="673">
        <v>4382</v>
      </c>
      <c r="L406" s="674" t="s">
        <v>2321</v>
      </c>
    </row>
    <row r="407" spans="2:12" s="112" customFormat="1" hidden="1">
      <c r="B407" s="45"/>
      <c r="C407" s="45">
        <f t="shared" si="97"/>
        <v>3158</v>
      </c>
      <c r="D407" s="45">
        <f t="shared" si="98"/>
        <v>5</v>
      </c>
      <c r="E407" s="45">
        <f t="shared" si="86"/>
        <v>2017</v>
      </c>
      <c r="F407" s="45">
        <f t="shared" si="99"/>
        <v>0</v>
      </c>
      <c r="G407" s="45" t="s">
        <v>448</v>
      </c>
      <c r="H407" s="45" t="s">
        <v>450</v>
      </c>
      <c r="I407" s="162" t="str">
        <f t="shared" si="100"/>
        <v/>
      </c>
      <c r="J407" s="11" t="s">
        <v>867</v>
      </c>
      <c r="K407" s="673">
        <v>4383</v>
      </c>
      <c r="L407" s="674" t="s">
        <v>328</v>
      </c>
    </row>
    <row r="408" spans="2:12" s="112" customFormat="1" hidden="1">
      <c r="B408" s="45"/>
      <c r="C408" s="45">
        <f t="shared" si="97"/>
        <v>3158</v>
      </c>
      <c r="D408" s="45">
        <f t="shared" si="98"/>
        <v>5</v>
      </c>
      <c r="E408" s="45">
        <f t="shared" ref="E408:E471" si="101">D$1</f>
        <v>2017</v>
      </c>
      <c r="F408" s="45">
        <f t="shared" si="99"/>
        <v>0</v>
      </c>
      <c r="G408" s="45" t="s">
        <v>448</v>
      </c>
      <c r="H408" s="45" t="s">
        <v>451</v>
      </c>
      <c r="I408" s="162" t="str">
        <f t="shared" si="100"/>
        <v/>
      </c>
      <c r="J408" s="11" t="s">
        <v>868</v>
      </c>
      <c r="K408" s="673">
        <v>4387</v>
      </c>
      <c r="L408" s="674" t="s">
        <v>32</v>
      </c>
    </row>
    <row r="409" spans="2:12" s="112" customFormat="1" hidden="1">
      <c r="B409" s="45"/>
      <c r="C409" s="45">
        <f t="shared" si="97"/>
        <v>3158</v>
      </c>
      <c r="D409" s="45">
        <f t="shared" si="98"/>
        <v>5</v>
      </c>
      <c r="E409" s="45">
        <f t="shared" si="101"/>
        <v>2017</v>
      </c>
      <c r="F409" s="45">
        <f t="shared" si="99"/>
        <v>0</v>
      </c>
      <c r="G409" s="45" t="s">
        <v>448</v>
      </c>
      <c r="H409" s="45" t="s">
        <v>452</v>
      </c>
      <c r="I409" s="162" t="str">
        <f t="shared" si="100"/>
        <v/>
      </c>
      <c r="J409" s="11" t="s">
        <v>869</v>
      </c>
      <c r="K409" s="673">
        <v>4389</v>
      </c>
      <c r="L409" s="674" t="s">
        <v>2381</v>
      </c>
    </row>
    <row r="410" spans="2:12" s="112" customFormat="1" hidden="1">
      <c r="B410" s="45"/>
      <c r="C410" s="45">
        <f t="shared" si="97"/>
        <v>3158</v>
      </c>
      <c r="D410" s="45">
        <f t="shared" si="98"/>
        <v>5</v>
      </c>
      <c r="E410" s="45">
        <f t="shared" si="101"/>
        <v>2017</v>
      </c>
      <c r="F410" s="45">
        <f t="shared" si="99"/>
        <v>0</v>
      </c>
      <c r="G410" s="45" t="s">
        <v>448</v>
      </c>
      <c r="H410" s="45" t="s">
        <v>453</v>
      </c>
      <c r="I410" s="162" t="str">
        <f t="shared" si="100"/>
        <v/>
      </c>
      <c r="J410" s="11" t="s">
        <v>870</v>
      </c>
      <c r="K410" s="676">
        <v>4426</v>
      </c>
      <c r="L410" s="677" t="s">
        <v>417</v>
      </c>
    </row>
    <row r="411" spans="2:12" s="112" customFormat="1" hidden="1">
      <c r="B411" s="45"/>
      <c r="C411" s="45">
        <f t="shared" si="97"/>
        <v>3158</v>
      </c>
      <c r="D411" s="45">
        <f t="shared" si="98"/>
        <v>5</v>
      </c>
      <c r="E411" s="45">
        <f t="shared" si="101"/>
        <v>2017</v>
      </c>
      <c r="F411" s="45">
        <f t="shared" si="99"/>
        <v>0</v>
      </c>
      <c r="G411" s="45" t="s">
        <v>448</v>
      </c>
      <c r="H411" s="45" t="s">
        <v>454</v>
      </c>
      <c r="I411" s="162" t="str">
        <f t="shared" si="100"/>
        <v/>
      </c>
      <c r="J411" s="11" t="s">
        <v>871</v>
      </c>
      <c r="K411" s="673">
        <v>4438</v>
      </c>
      <c r="L411" s="674" t="s">
        <v>418</v>
      </c>
    </row>
    <row r="412" spans="2:12" s="112" customFormat="1" hidden="1">
      <c r="B412" s="45"/>
      <c r="C412" s="45">
        <f t="shared" si="97"/>
        <v>3158</v>
      </c>
      <c r="D412" s="45">
        <f t="shared" si="98"/>
        <v>5</v>
      </c>
      <c r="E412" s="45">
        <f t="shared" si="101"/>
        <v>2017</v>
      </c>
      <c r="F412" s="45">
        <f t="shared" si="99"/>
        <v>0</v>
      </c>
      <c r="G412" s="45" t="s">
        <v>448</v>
      </c>
      <c r="H412" s="45" t="s">
        <v>455</v>
      </c>
      <c r="I412" s="162" t="str">
        <f t="shared" si="100"/>
        <v/>
      </c>
      <c r="J412" s="11" t="s">
        <v>872</v>
      </c>
      <c r="K412" s="673">
        <v>4442</v>
      </c>
      <c r="L412" s="674" t="s">
        <v>419</v>
      </c>
    </row>
    <row r="413" spans="2:12" s="112" customFormat="1" hidden="1">
      <c r="B413" s="45"/>
      <c r="C413" s="45">
        <f t="shared" si="97"/>
        <v>3158</v>
      </c>
      <c r="D413" s="45">
        <f t="shared" si="98"/>
        <v>5</v>
      </c>
      <c r="E413" s="45">
        <f t="shared" si="101"/>
        <v>2017</v>
      </c>
      <c r="F413" s="45">
        <f t="shared" si="99"/>
        <v>0</v>
      </c>
      <c r="G413" s="45" t="s">
        <v>448</v>
      </c>
      <c r="H413" s="45" t="s">
        <v>456</v>
      </c>
      <c r="I413" s="162" t="str">
        <f t="shared" si="100"/>
        <v/>
      </c>
      <c r="J413" s="11" t="s">
        <v>873</v>
      </c>
      <c r="K413" s="673">
        <v>4459</v>
      </c>
      <c r="L413" s="678" t="s">
        <v>2065</v>
      </c>
    </row>
    <row r="414" spans="2:12" s="112" customFormat="1" hidden="1">
      <c r="B414" s="45"/>
      <c r="C414" s="45">
        <f t="shared" si="97"/>
        <v>3158</v>
      </c>
      <c r="D414" s="45">
        <f t="shared" si="98"/>
        <v>5</v>
      </c>
      <c r="E414" s="45">
        <f t="shared" si="101"/>
        <v>2017</v>
      </c>
      <c r="F414" s="45">
        <f t="shared" si="99"/>
        <v>0</v>
      </c>
      <c r="G414" s="45" t="s">
        <v>448</v>
      </c>
      <c r="H414" s="45" t="s">
        <v>457</v>
      </c>
      <c r="I414" s="162" t="str">
        <f t="shared" si="100"/>
        <v/>
      </c>
      <c r="J414" s="11" t="s">
        <v>874</v>
      </c>
      <c r="K414" s="673">
        <v>4463</v>
      </c>
      <c r="L414" s="674" t="s">
        <v>2185</v>
      </c>
    </row>
    <row r="415" spans="2:12" s="112" customFormat="1" hidden="1">
      <c r="B415" s="45"/>
      <c r="C415" s="45">
        <f t="shared" si="97"/>
        <v>3158</v>
      </c>
      <c r="D415" s="45">
        <f t="shared" si="98"/>
        <v>5</v>
      </c>
      <c r="E415" s="45">
        <f t="shared" si="101"/>
        <v>2017</v>
      </c>
      <c r="F415" s="45">
        <f t="shared" si="99"/>
        <v>0</v>
      </c>
      <c r="G415" s="45" t="s">
        <v>448</v>
      </c>
      <c r="H415" s="45" t="s">
        <v>458</v>
      </c>
      <c r="I415" s="162" t="str">
        <f t="shared" si="100"/>
        <v/>
      </c>
      <c r="J415" s="11" t="s">
        <v>875</v>
      </c>
      <c r="K415" s="673">
        <v>4465</v>
      </c>
      <c r="L415" s="674" t="s">
        <v>1399</v>
      </c>
    </row>
    <row r="416" spans="2:12" s="112" customFormat="1" hidden="1">
      <c r="B416" s="45"/>
      <c r="C416" s="45">
        <f t="shared" si="97"/>
        <v>3158</v>
      </c>
      <c r="D416" s="45">
        <f t="shared" si="98"/>
        <v>5</v>
      </c>
      <c r="E416" s="45">
        <f t="shared" si="101"/>
        <v>2017</v>
      </c>
      <c r="F416" s="45">
        <f t="shared" si="99"/>
        <v>0</v>
      </c>
      <c r="G416" s="45" t="s">
        <v>448</v>
      </c>
      <c r="H416" s="45" t="s">
        <v>460</v>
      </c>
      <c r="I416" s="162" t="str">
        <f t="shared" si="100"/>
        <v/>
      </c>
      <c r="J416" s="11" t="s">
        <v>876</v>
      </c>
      <c r="K416" s="673">
        <v>5000</v>
      </c>
      <c r="L416" s="674" t="s">
        <v>2686</v>
      </c>
    </row>
    <row r="417" spans="2:12" s="112" customFormat="1" hidden="1">
      <c r="B417" s="45"/>
      <c r="C417" s="45">
        <f t="shared" si="97"/>
        <v>3158</v>
      </c>
      <c r="D417" s="45">
        <f t="shared" si="98"/>
        <v>5</v>
      </c>
      <c r="E417" s="45">
        <f t="shared" si="101"/>
        <v>2017</v>
      </c>
      <c r="F417" s="45">
        <f t="shared" ref="F417:F427" si="102">AM$3</f>
        <v>0</v>
      </c>
      <c r="G417" s="45" t="s">
        <v>448</v>
      </c>
      <c r="H417" s="45" t="s">
        <v>449</v>
      </c>
      <c r="I417" s="162" t="str">
        <f t="shared" ref="I417:I427" si="103">IF(ISBLANK(AM4),"",AM4)</f>
        <v/>
      </c>
      <c r="J417" s="11" t="s">
        <v>877</v>
      </c>
      <c r="K417" s="676">
        <v>5004</v>
      </c>
      <c r="L417" s="677" t="s">
        <v>420</v>
      </c>
    </row>
    <row r="418" spans="2:12" s="112" customFormat="1" hidden="1">
      <c r="B418" s="45"/>
      <c r="C418" s="45">
        <f t="shared" si="97"/>
        <v>3158</v>
      </c>
      <c r="D418" s="45">
        <f t="shared" si="98"/>
        <v>5</v>
      </c>
      <c r="E418" s="45">
        <f t="shared" si="101"/>
        <v>2017</v>
      </c>
      <c r="F418" s="45">
        <f t="shared" si="102"/>
        <v>0</v>
      </c>
      <c r="G418" s="45" t="s">
        <v>448</v>
      </c>
      <c r="H418" s="45" t="s">
        <v>450</v>
      </c>
      <c r="I418" s="162" t="str">
        <f t="shared" si="103"/>
        <v/>
      </c>
      <c r="J418" s="11" t="s">
        <v>878</v>
      </c>
      <c r="K418" s="676">
        <v>5005</v>
      </c>
      <c r="L418" s="677" t="s">
        <v>421</v>
      </c>
    </row>
    <row r="419" spans="2:12" s="112" customFormat="1" hidden="1">
      <c r="B419" s="45"/>
      <c r="C419" s="45">
        <f t="shared" si="97"/>
        <v>3158</v>
      </c>
      <c r="D419" s="45">
        <f t="shared" si="98"/>
        <v>5</v>
      </c>
      <c r="E419" s="45">
        <f t="shared" si="101"/>
        <v>2017</v>
      </c>
      <c r="F419" s="45">
        <f t="shared" si="102"/>
        <v>0</v>
      </c>
      <c r="G419" s="45" t="s">
        <v>448</v>
      </c>
      <c r="H419" s="45" t="s">
        <v>451</v>
      </c>
      <c r="I419" s="162" t="str">
        <f t="shared" si="103"/>
        <v/>
      </c>
      <c r="J419" s="11" t="s">
        <v>879</v>
      </c>
      <c r="K419" s="673">
        <v>5027</v>
      </c>
      <c r="L419" s="674" t="s">
        <v>2186</v>
      </c>
    </row>
    <row r="420" spans="2:12" s="112" customFormat="1" hidden="1">
      <c r="B420" s="45"/>
      <c r="C420" s="45">
        <f t="shared" si="97"/>
        <v>3158</v>
      </c>
      <c r="D420" s="45">
        <f t="shared" si="98"/>
        <v>5</v>
      </c>
      <c r="E420" s="45">
        <f t="shared" si="101"/>
        <v>2017</v>
      </c>
      <c r="F420" s="45">
        <f t="shared" si="102"/>
        <v>0</v>
      </c>
      <c r="G420" s="45" t="s">
        <v>448</v>
      </c>
      <c r="H420" s="45" t="s">
        <v>452</v>
      </c>
      <c r="I420" s="162" t="str">
        <f t="shared" si="103"/>
        <v/>
      </c>
      <c r="J420" s="11" t="s">
        <v>880</v>
      </c>
      <c r="K420" s="673">
        <v>5028</v>
      </c>
      <c r="L420" s="674" t="s">
        <v>33</v>
      </c>
    </row>
    <row r="421" spans="2:12" s="112" customFormat="1" hidden="1">
      <c r="B421" s="45"/>
      <c r="C421" s="45">
        <f t="shared" si="97"/>
        <v>3158</v>
      </c>
      <c r="D421" s="45">
        <f t="shared" si="98"/>
        <v>5</v>
      </c>
      <c r="E421" s="45">
        <f t="shared" si="101"/>
        <v>2017</v>
      </c>
      <c r="F421" s="45">
        <f t="shared" si="102"/>
        <v>0</v>
      </c>
      <c r="G421" s="45" t="s">
        <v>448</v>
      </c>
      <c r="H421" s="45" t="s">
        <v>453</v>
      </c>
      <c r="I421" s="162" t="str">
        <f t="shared" si="103"/>
        <v/>
      </c>
      <c r="J421" s="11" t="s">
        <v>881</v>
      </c>
      <c r="K421" s="673">
        <v>5029</v>
      </c>
      <c r="L421" s="674" t="s">
        <v>2187</v>
      </c>
    </row>
    <row r="422" spans="2:12" s="112" customFormat="1" hidden="1">
      <c r="B422" s="45"/>
      <c r="C422" s="45">
        <f t="shared" si="97"/>
        <v>3158</v>
      </c>
      <c r="D422" s="45">
        <f t="shared" si="98"/>
        <v>5</v>
      </c>
      <c r="E422" s="45">
        <f t="shared" si="101"/>
        <v>2017</v>
      </c>
      <c r="F422" s="45">
        <f t="shared" si="102"/>
        <v>0</v>
      </c>
      <c r="G422" s="45" t="s">
        <v>448</v>
      </c>
      <c r="H422" s="45" t="s">
        <v>454</v>
      </c>
      <c r="I422" s="162" t="str">
        <f t="shared" si="103"/>
        <v/>
      </c>
      <c r="J422" s="11" t="s">
        <v>882</v>
      </c>
      <c r="K422" s="673">
        <v>5030</v>
      </c>
      <c r="L422" s="674" t="s">
        <v>2188</v>
      </c>
    </row>
    <row r="423" spans="2:12" s="112" customFormat="1" hidden="1">
      <c r="B423" s="45"/>
      <c r="C423" s="45">
        <f t="shared" si="97"/>
        <v>3158</v>
      </c>
      <c r="D423" s="45">
        <f t="shared" si="98"/>
        <v>5</v>
      </c>
      <c r="E423" s="45">
        <f t="shared" si="101"/>
        <v>2017</v>
      </c>
      <c r="F423" s="45">
        <f t="shared" si="102"/>
        <v>0</v>
      </c>
      <c r="G423" s="45" t="s">
        <v>448</v>
      </c>
      <c r="H423" s="45" t="s">
        <v>455</v>
      </c>
      <c r="I423" s="162" t="str">
        <f t="shared" si="103"/>
        <v/>
      </c>
      <c r="J423" s="11" t="s">
        <v>883</v>
      </c>
      <c r="K423" s="673">
        <v>5031</v>
      </c>
      <c r="L423" s="674" t="s">
        <v>2189</v>
      </c>
    </row>
    <row r="424" spans="2:12" s="112" customFormat="1" hidden="1">
      <c r="B424" s="45"/>
      <c r="C424" s="45">
        <f t="shared" si="97"/>
        <v>3158</v>
      </c>
      <c r="D424" s="45">
        <f t="shared" si="98"/>
        <v>5</v>
      </c>
      <c r="E424" s="45">
        <f t="shared" si="101"/>
        <v>2017</v>
      </c>
      <c r="F424" s="45">
        <f t="shared" si="102"/>
        <v>0</v>
      </c>
      <c r="G424" s="45" t="s">
        <v>448</v>
      </c>
      <c r="H424" s="45" t="s">
        <v>456</v>
      </c>
      <c r="I424" s="162" t="str">
        <f t="shared" si="103"/>
        <v/>
      </c>
      <c r="J424" s="11" t="s">
        <v>884</v>
      </c>
      <c r="K424" s="673">
        <v>5033</v>
      </c>
      <c r="L424" s="674" t="s">
        <v>2190</v>
      </c>
    </row>
    <row r="425" spans="2:12" s="112" customFormat="1" hidden="1">
      <c r="B425" s="45"/>
      <c r="C425" s="45">
        <f t="shared" si="97"/>
        <v>3158</v>
      </c>
      <c r="D425" s="45">
        <f t="shared" si="98"/>
        <v>5</v>
      </c>
      <c r="E425" s="45">
        <f t="shared" si="101"/>
        <v>2017</v>
      </c>
      <c r="F425" s="45">
        <f t="shared" si="102"/>
        <v>0</v>
      </c>
      <c r="G425" s="45" t="s">
        <v>448</v>
      </c>
      <c r="H425" s="45" t="s">
        <v>457</v>
      </c>
      <c r="I425" s="162" t="str">
        <f t="shared" si="103"/>
        <v/>
      </c>
      <c r="J425" s="11" t="s">
        <v>885</v>
      </c>
      <c r="K425" s="673">
        <v>5034</v>
      </c>
      <c r="L425" s="674" t="s">
        <v>34</v>
      </c>
    </row>
    <row r="426" spans="2:12" s="112" customFormat="1" hidden="1">
      <c r="B426" s="45"/>
      <c r="C426" s="45">
        <f t="shared" si="97"/>
        <v>3158</v>
      </c>
      <c r="D426" s="45">
        <f t="shared" si="98"/>
        <v>5</v>
      </c>
      <c r="E426" s="45">
        <f t="shared" si="101"/>
        <v>2017</v>
      </c>
      <c r="F426" s="45">
        <f t="shared" si="102"/>
        <v>0</v>
      </c>
      <c r="G426" s="45" t="s">
        <v>448</v>
      </c>
      <c r="H426" s="45" t="s">
        <v>458</v>
      </c>
      <c r="I426" s="162" t="str">
        <f t="shared" si="103"/>
        <v/>
      </c>
      <c r="J426" s="11" t="s">
        <v>886</v>
      </c>
      <c r="K426" s="673">
        <v>5035</v>
      </c>
      <c r="L426" s="674" t="s">
        <v>35</v>
      </c>
    </row>
    <row r="427" spans="2:12" s="112" customFormat="1" hidden="1">
      <c r="B427" s="45"/>
      <c r="C427" s="45">
        <f t="shared" si="97"/>
        <v>3158</v>
      </c>
      <c r="D427" s="45">
        <f t="shared" si="98"/>
        <v>5</v>
      </c>
      <c r="E427" s="45">
        <f t="shared" si="101"/>
        <v>2017</v>
      </c>
      <c r="F427" s="45">
        <f t="shared" si="102"/>
        <v>0</v>
      </c>
      <c r="G427" s="45" t="s">
        <v>448</v>
      </c>
      <c r="H427" s="45" t="s">
        <v>460</v>
      </c>
      <c r="I427" s="162" t="str">
        <f t="shared" si="103"/>
        <v/>
      </c>
      <c r="J427" s="11" t="s">
        <v>887</v>
      </c>
      <c r="K427" s="673">
        <v>5036</v>
      </c>
      <c r="L427" s="674" t="s">
        <v>2191</v>
      </c>
    </row>
    <row r="428" spans="2:12" s="112" customFormat="1" hidden="1">
      <c r="B428" s="45"/>
      <c r="C428" s="45">
        <f t="shared" si="97"/>
        <v>3158</v>
      </c>
      <c r="D428" s="45">
        <f t="shared" si="98"/>
        <v>5</v>
      </c>
      <c r="E428" s="45">
        <f t="shared" si="101"/>
        <v>2017</v>
      </c>
      <c r="F428" s="45">
        <f t="shared" ref="F428:F438" si="104">AN$3</f>
        <v>0</v>
      </c>
      <c r="G428" s="45" t="s">
        <v>448</v>
      </c>
      <c r="H428" s="45" t="s">
        <v>449</v>
      </c>
      <c r="I428" s="162" t="str">
        <f t="shared" ref="I428:I438" si="105">IF(ISBLANK(AN4),"",AN4)</f>
        <v/>
      </c>
      <c r="J428" s="11" t="s">
        <v>888</v>
      </c>
      <c r="K428" s="673">
        <v>5037</v>
      </c>
      <c r="L428" s="674" t="s">
        <v>37</v>
      </c>
    </row>
    <row r="429" spans="2:12" s="112" customFormat="1" hidden="1">
      <c r="B429" s="45"/>
      <c r="C429" s="45">
        <f t="shared" si="97"/>
        <v>3158</v>
      </c>
      <c r="D429" s="45">
        <f t="shared" si="98"/>
        <v>5</v>
      </c>
      <c r="E429" s="45">
        <f t="shared" si="101"/>
        <v>2017</v>
      </c>
      <c r="F429" s="45">
        <f t="shared" si="104"/>
        <v>0</v>
      </c>
      <c r="G429" s="45" t="s">
        <v>448</v>
      </c>
      <c r="H429" s="45" t="s">
        <v>450</v>
      </c>
      <c r="I429" s="162" t="str">
        <f t="shared" si="105"/>
        <v/>
      </c>
      <c r="J429" s="11" t="s">
        <v>889</v>
      </c>
      <c r="K429" s="673">
        <v>5039</v>
      </c>
      <c r="L429" s="674" t="s">
        <v>2192</v>
      </c>
    </row>
    <row r="430" spans="2:12" s="112" customFormat="1" hidden="1">
      <c r="B430" s="45"/>
      <c r="C430" s="45">
        <f t="shared" si="97"/>
        <v>3158</v>
      </c>
      <c r="D430" s="45">
        <f t="shared" si="98"/>
        <v>5</v>
      </c>
      <c r="E430" s="45">
        <f t="shared" si="101"/>
        <v>2017</v>
      </c>
      <c r="F430" s="45">
        <f t="shared" si="104"/>
        <v>0</v>
      </c>
      <c r="G430" s="45" t="s">
        <v>448</v>
      </c>
      <c r="H430" s="45" t="s">
        <v>451</v>
      </c>
      <c r="I430" s="162" t="str">
        <f t="shared" si="105"/>
        <v/>
      </c>
      <c r="J430" s="11" t="s">
        <v>890</v>
      </c>
      <c r="K430" s="673">
        <v>5040</v>
      </c>
      <c r="L430" s="674" t="s">
        <v>2193</v>
      </c>
    </row>
    <row r="431" spans="2:12" s="112" customFormat="1" hidden="1">
      <c r="B431" s="45"/>
      <c r="C431" s="45">
        <f t="shared" si="97"/>
        <v>3158</v>
      </c>
      <c r="D431" s="45">
        <f t="shared" si="98"/>
        <v>5</v>
      </c>
      <c r="E431" s="45">
        <f t="shared" si="101"/>
        <v>2017</v>
      </c>
      <c r="F431" s="45">
        <f t="shared" si="104"/>
        <v>0</v>
      </c>
      <c r="G431" s="45" t="s">
        <v>448</v>
      </c>
      <c r="H431" s="45" t="s">
        <v>452</v>
      </c>
      <c r="I431" s="162" t="str">
        <f t="shared" si="105"/>
        <v/>
      </c>
      <c r="J431" s="11" t="s">
        <v>891</v>
      </c>
      <c r="K431" s="673">
        <v>5041</v>
      </c>
      <c r="L431" s="674" t="s">
        <v>2194</v>
      </c>
    </row>
    <row r="432" spans="2:12" s="112" customFormat="1" hidden="1">
      <c r="B432" s="45"/>
      <c r="C432" s="45">
        <f t="shared" si="97"/>
        <v>3158</v>
      </c>
      <c r="D432" s="45">
        <f t="shared" si="98"/>
        <v>5</v>
      </c>
      <c r="E432" s="45">
        <f t="shared" si="101"/>
        <v>2017</v>
      </c>
      <c r="F432" s="45">
        <f t="shared" si="104"/>
        <v>0</v>
      </c>
      <c r="G432" s="45" t="s">
        <v>448</v>
      </c>
      <c r="H432" s="45" t="s">
        <v>453</v>
      </c>
      <c r="I432" s="162" t="str">
        <f t="shared" si="105"/>
        <v/>
      </c>
      <c r="J432" s="11" t="s">
        <v>892</v>
      </c>
      <c r="K432" s="673">
        <v>5044</v>
      </c>
      <c r="L432" s="674" t="s">
        <v>422</v>
      </c>
    </row>
    <row r="433" spans="2:12" s="112" customFormat="1" hidden="1">
      <c r="B433" s="45"/>
      <c r="C433" s="45">
        <f t="shared" si="97"/>
        <v>3158</v>
      </c>
      <c r="D433" s="45">
        <f t="shared" si="98"/>
        <v>5</v>
      </c>
      <c r="E433" s="45">
        <f t="shared" si="101"/>
        <v>2017</v>
      </c>
      <c r="F433" s="45">
        <f t="shared" si="104"/>
        <v>0</v>
      </c>
      <c r="G433" s="45" t="s">
        <v>448</v>
      </c>
      <c r="H433" s="45" t="s">
        <v>454</v>
      </c>
      <c r="I433" s="162" t="str">
        <f t="shared" si="105"/>
        <v/>
      </c>
      <c r="J433" s="11" t="s">
        <v>893</v>
      </c>
      <c r="K433" s="673">
        <v>5046</v>
      </c>
      <c r="L433" s="674" t="s">
        <v>2195</v>
      </c>
    </row>
    <row r="434" spans="2:12" s="112" customFormat="1" hidden="1">
      <c r="B434" s="45"/>
      <c r="C434" s="45">
        <f t="shared" si="97"/>
        <v>3158</v>
      </c>
      <c r="D434" s="45">
        <f t="shared" si="98"/>
        <v>5</v>
      </c>
      <c r="E434" s="45">
        <f t="shared" si="101"/>
        <v>2017</v>
      </c>
      <c r="F434" s="45">
        <f t="shared" si="104"/>
        <v>0</v>
      </c>
      <c r="G434" s="45" t="s">
        <v>448</v>
      </c>
      <c r="H434" s="45" t="s">
        <v>455</v>
      </c>
      <c r="I434" s="162" t="str">
        <f t="shared" si="105"/>
        <v/>
      </c>
      <c r="J434" s="11" t="s">
        <v>894</v>
      </c>
      <c r="K434" s="673">
        <v>5050</v>
      </c>
      <c r="L434" s="674" t="s">
        <v>2214</v>
      </c>
    </row>
    <row r="435" spans="2:12" s="112" customFormat="1" hidden="1">
      <c r="B435" s="45"/>
      <c r="C435" s="45">
        <f t="shared" si="97"/>
        <v>3158</v>
      </c>
      <c r="D435" s="45">
        <f t="shared" si="98"/>
        <v>5</v>
      </c>
      <c r="E435" s="45">
        <f t="shared" si="101"/>
        <v>2017</v>
      </c>
      <c r="F435" s="45">
        <f t="shared" si="104"/>
        <v>0</v>
      </c>
      <c r="G435" s="45" t="s">
        <v>448</v>
      </c>
      <c r="H435" s="45" t="s">
        <v>456</v>
      </c>
      <c r="I435" s="162" t="str">
        <f t="shared" si="105"/>
        <v/>
      </c>
      <c r="J435" s="11" t="s">
        <v>895</v>
      </c>
      <c r="K435" s="676">
        <v>5051</v>
      </c>
      <c r="L435" s="677" t="s">
        <v>2052</v>
      </c>
    </row>
    <row r="436" spans="2:12" s="112" customFormat="1" hidden="1">
      <c r="B436" s="45"/>
      <c r="C436" s="45">
        <f t="shared" si="97"/>
        <v>3158</v>
      </c>
      <c r="D436" s="45">
        <f t="shared" si="98"/>
        <v>5</v>
      </c>
      <c r="E436" s="45">
        <f t="shared" si="101"/>
        <v>2017</v>
      </c>
      <c r="F436" s="45">
        <f t="shared" si="104"/>
        <v>0</v>
      </c>
      <c r="G436" s="45" t="s">
        <v>448</v>
      </c>
      <c r="H436" s="45" t="s">
        <v>457</v>
      </c>
      <c r="I436" s="162" t="str">
        <f t="shared" si="105"/>
        <v/>
      </c>
      <c r="J436" s="11" t="s">
        <v>896</v>
      </c>
      <c r="K436" s="673">
        <v>5053</v>
      </c>
      <c r="L436" s="674" t="s">
        <v>159</v>
      </c>
    </row>
    <row r="437" spans="2:12" s="112" customFormat="1" hidden="1">
      <c r="B437" s="45"/>
      <c r="C437" s="45">
        <f t="shared" si="97"/>
        <v>3158</v>
      </c>
      <c r="D437" s="45">
        <f t="shared" si="98"/>
        <v>5</v>
      </c>
      <c r="E437" s="45">
        <f t="shared" si="101"/>
        <v>2017</v>
      </c>
      <c r="F437" s="45">
        <f t="shared" si="104"/>
        <v>0</v>
      </c>
      <c r="G437" s="45" t="s">
        <v>448</v>
      </c>
      <c r="H437" s="45" t="s">
        <v>458</v>
      </c>
      <c r="I437" s="162" t="str">
        <f t="shared" si="105"/>
        <v/>
      </c>
      <c r="J437" s="11" t="s">
        <v>897</v>
      </c>
      <c r="K437" s="673">
        <v>5060</v>
      </c>
      <c r="L437" s="674" t="s">
        <v>2295</v>
      </c>
    </row>
    <row r="438" spans="2:12" s="112" customFormat="1" hidden="1">
      <c r="B438" s="45"/>
      <c r="C438" s="45">
        <f t="shared" si="97"/>
        <v>3158</v>
      </c>
      <c r="D438" s="45">
        <f t="shared" si="98"/>
        <v>5</v>
      </c>
      <c r="E438" s="45">
        <f t="shared" si="101"/>
        <v>2017</v>
      </c>
      <c r="F438" s="45">
        <f t="shared" si="104"/>
        <v>0</v>
      </c>
      <c r="G438" s="45" t="s">
        <v>448</v>
      </c>
      <c r="H438" s="45" t="s">
        <v>460</v>
      </c>
      <c r="I438" s="162" t="str">
        <f t="shared" si="105"/>
        <v/>
      </c>
      <c r="J438" s="11" t="s">
        <v>898</v>
      </c>
      <c r="K438" s="673">
        <v>5061</v>
      </c>
      <c r="L438" s="674" t="s">
        <v>2296</v>
      </c>
    </row>
    <row r="439" spans="2:12" s="112" customFormat="1" hidden="1">
      <c r="B439" s="45"/>
      <c r="C439" s="45">
        <f t="shared" si="97"/>
        <v>3158</v>
      </c>
      <c r="D439" s="45">
        <f t="shared" si="98"/>
        <v>5</v>
      </c>
      <c r="E439" s="45">
        <f t="shared" si="101"/>
        <v>2017</v>
      </c>
      <c r="F439" s="45">
        <f t="shared" ref="F439:F449" si="106">AO$3</f>
        <v>0</v>
      </c>
      <c r="G439" s="45" t="s">
        <v>448</v>
      </c>
      <c r="H439" s="45" t="s">
        <v>449</v>
      </c>
      <c r="I439" s="162" t="str">
        <f t="shared" ref="I439:I449" si="107">IF(ISBLANK(AO4),"",AO4)</f>
        <v/>
      </c>
      <c r="J439" s="11" t="s">
        <v>899</v>
      </c>
      <c r="K439" s="673">
        <v>5062</v>
      </c>
      <c r="L439" s="674" t="s">
        <v>160</v>
      </c>
    </row>
    <row r="440" spans="2:12" s="112" customFormat="1" hidden="1">
      <c r="B440" s="45"/>
      <c r="C440" s="45">
        <f t="shared" si="97"/>
        <v>3158</v>
      </c>
      <c r="D440" s="45">
        <f t="shared" si="98"/>
        <v>5</v>
      </c>
      <c r="E440" s="45">
        <f t="shared" si="101"/>
        <v>2017</v>
      </c>
      <c r="F440" s="45">
        <f t="shared" si="106"/>
        <v>0</v>
      </c>
      <c r="G440" s="45" t="s">
        <v>448</v>
      </c>
      <c r="H440" s="45" t="s">
        <v>450</v>
      </c>
      <c r="I440" s="162" t="str">
        <f t="shared" si="107"/>
        <v/>
      </c>
      <c r="J440" s="11" t="s">
        <v>900</v>
      </c>
      <c r="K440" s="673">
        <v>5063</v>
      </c>
      <c r="L440" s="674" t="s">
        <v>161</v>
      </c>
    </row>
    <row r="441" spans="2:12" s="112" customFormat="1" hidden="1">
      <c r="B441" s="45"/>
      <c r="C441" s="45">
        <f t="shared" si="97"/>
        <v>3158</v>
      </c>
      <c r="D441" s="45">
        <f t="shared" si="98"/>
        <v>5</v>
      </c>
      <c r="E441" s="45">
        <f t="shared" si="101"/>
        <v>2017</v>
      </c>
      <c r="F441" s="45">
        <f t="shared" si="106"/>
        <v>0</v>
      </c>
      <c r="G441" s="45" t="s">
        <v>448</v>
      </c>
      <c r="H441" s="45" t="s">
        <v>451</v>
      </c>
      <c r="I441" s="162" t="str">
        <f t="shared" si="107"/>
        <v/>
      </c>
      <c r="J441" s="11" t="s">
        <v>901</v>
      </c>
      <c r="K441" s="673">
        <v>5064</v>
      </c>
      <c r="L441" s="674" t="s">
        <v>38</v>
      </c>
    </row>
    <row r="442" spans="2:12" s="112" customFormat="1" hidden="1">
      <c r="B442" s="45"/>
      <c r="C442" s="45">
        <f t="shared" si="97"/>
        <v>3158</v>
      </c>
      <c r="D442" s="45">
        <f t="shared" si="98"/>
        <v>5</v>
      </c>
      <c r="E442" s="45">
        <f t="shared" si="101"/>
        <v>2017</v>
      </c>
      <c r="F442" s="45">
        <f t="shared" si="106"/>
        <v>0</v>
      </c>
      <c r="G442" s="45" t="s">
        <v>448</v>
      </c>
      <c r="H442" s="45" t="s">
        <v>452</v>
      </c>
      <c r="I442" s="162" t="str">
        <f t="shared" si="107"/>
        <v/>
      </c>
      <c r="J442" s="11" t="s">
        <v>902</v>
      </c>
      <c r="K442" s="673">
        <v>5065</v>
      </c>
      <c r="L442" s="674" t="s">
        <v>2297</v>
      </c>
    </row>
    <row r="443" spans="2:12" s="112" customFormat="1" hidden="1">
      <c r="B443" s="45"/>
      <c r="C443" s="45">
        <f t="shared" si="97"/>
        <v>3158</v>
      </c>
      <c r="D443" s="45">
        <f t="shared" si="98"/>
        <v>5</v>
      </c>
      <c r="E443" s="45">
        <f t="shared" si="101"/>
        <v>2017</v>
      </c>
      <c r="F443" s="45">
        <f t="shared" si="106"/>
        <v>0</v>
      </c>
      <c r="G443" s="45" t="s">
        <v>448</v>
      </c>
      <c r="H443" s="45" t="s">
        <v>453</v>
      </c>
      <c r="I443" s="162" t="str">
        <f t="shared" si="107"/>
        <v/>
      </c>
      <c r="J443" s="11" t="s">
        <v>903</v>
      </c>
      <c r="K443" s="673">
        <v>5066</v>
      </c>
      <c r="L443" s="674" t="s">
        <v>2298</v>
      </c>
    </row>
    <row r="444" spans="2:12" s="112" customFormat="1" hidden="1">
      <c r="B444" s="45"/>
      <c r="C444" s="45">
        <f t="shared" si="97"/>
        <v>3158</v>
      </c>
      <c r="D444" s="45">
        <f t="shared" si="98"/>
        <v>5</v>
      </c>
      <c r="E444" s="45">
        <f t="shared" si="101"/>
        <v>2017</v>
      </c>
      <c r="F444" s="45">
        <f t="shared" si="106"/>
        <v>0</v>
      </c>
      <c r="G444" s="45" t="s">
        <v>448</v>
      </c>
      <c r="H444" s="45" t="s">
        <v>454</v>
      </c>
      <c r="I444" s="162" t="str">
        <f t="shared" si="107"/>
        <v/>
      </c>
      <c r="J444" s="11" t="s">
        <v>904</v>
      </c>
      <c r="K444" s="673">
        <v>5068</v>
      </c>
      <c r="L444" s="674" t="s">
        <v>1520</v>
      </c>
    </row>
    <row r="445" spans="2:12" s="112" customFormat="1" hidden="1">
      <c r="B445" s="45"/>
      <c r="C445" s="45">
        <f t="shared" si="97"/>
        <v>3158</v>
      </c>
      <c r="D445" s="45">
        <f t="shared" si="98"/>
        <v>5</v>
      </c>
      <c r="E445" s="45">
        <f t="shared" si="101"/>
        <v>2017</v>
      </c>
      <c r="F445" s="45">
        <f t="shared" si="106"/>
        <v>0</v>
      </c>
      <c r="G445" s="45" t="s">
        <v>448</v>
      </c>
      <c r="H445" s="45" t="s">
        <v>455</v>
      </c>
      <c r="I445" s="162" t="str">
        <f t="shared" si="107"/>
        <v/>
      </c>
      <c r="J445" s="11" t="s">
        <v>905</v>
      </c>
      <c r="K445" s="673">
        <v>5069</v>
      </c>
      <c r="L445" s="674" t="s">
        <v>2322</v>
      </c>
    </row>
    <row r="446" spans="2:12" s="112" customFormat="1" hidden="1">
      <c r="B446" s="45"/>
      <c r="C446" s="45">
        <f t="shared" si="97"/>
        <v>3158</v>
      </c>
      <c r="D446" s="45">
        <f t="shared" si="98"/>
        <v>5</v>
      </c>
      <c r="E446" s="45">
        <f t="shared" si="101"/>
        <v>2017</v>
      </c>
      <c r="F446" s="45">
        <f t="shared" si="106"/>
        <v>0</v>
      </c>
      <c r="G446" s="45" t="s">
        <v>448</v>
      </c>
      <c r="H446" s="45" t="s">
        <v>456</v>
      </c>
      <c r="I446" s="162" t="str">
        <f t="shared" si="107"/>
        <v/>
      </c>
      <c r="J446" s="11" t="s">
        <v>906</v>
      </c>
      <c r="K446" s="673">
        <v>5070</v>
      </c>
      <c r="L446" s="674" t="s">
        <v>2336</v>
      </c>
    </row>
    <row r="447" spans="2:12" s="112" customFormat="1" hidden="1">
      <c r="B447" s="45"/>
      <c r="C447" s="45">
        <f t="shared" si="97"/>
        <v>3158</v>
      </c>
      <c r="D447" s="45">
        <f t="shared" si="98"/>
        <v>5</v>
      </c>
      <c r="E447" s="45">
        <f t="shared" si="101"/>
        <v>2017</v>
      </c>
      <c r="F447" s="45">
        <f t="shared" si="106"/>
        <v>0</v>
      </c>
      <c r="G447" s="45" t="s">
        <v>448</v>
      </c>
      <c r="H447" s="45" t="s">
        <v>457</v>
      </c>
      <c r="I447" s="162" t="str">
        <f t="shared" si="107"/>
        <v/>
      </c>
      <c r="J447" s="11" t="s">
        <v>907</v>
      </c>
      <c r="K447" s="676">
        <v>5072</v>
      </c>
      <c r="L447" s="677" t="s">
        <v>39</v>
      </c>
    </row>
    <row r="448" spans="2:12" s="112" customFormat="1" hidden="1">
      <c r="B448" s="45"/>
      <c r="C448" s="45">
        <f t="shared" si="97"/>
        <v>3158</v>
      </c>
      <c r="D448" s="45">
        <f t="shared" si="98"/>
        <v>5</v>
      </c>
      <c r="E448" s="45">
        <f t="shared" si="101"/>
        <v>2017</v>
      </c>
      <c r="F448" s="45">
        <f t="shared" si="106"/>
        <v>0</v>
      </c>
      <c r="G448" s="45" t="s">
        <v>448</v>
      </c>
      <c r="H448" s="45" t="s">
        <v>458</v>
      </c>
      <c r="I448" s="162" t="str">
        <f t="shared" si="107"/>
        <v/>
      </c>
      <c r="J448" s="11" t="s">
        <v>908</v>
      </c>
      <c r="K448" s="676">
        <v>5073</v>
      </c>
      <c r="L448" s="677" t="s">
        <v>329</v>
      </c>
    </row>
    <row r="449" spans="2:12" s="112" customFormat="1" hidden="1">
      <c r="B449" s="45"/>
      <c r="C449" s="45">
        <f t="shared" si="97"/>
        <v>3158</v>
      </c>
      <c r="D449" s="45">
        <f t="shared" si="98"/>
        <v>5</v>
      </c>
      <c r="E449" s="45">
        <f t="shared" si="101"/>
        <v>2017</v>
      </c>
      <c r="F449" s="45">
        <f t="shared" si="106"/>
        <v>0</v>
      </c>
      <c r="G449" s="45" t="s">
        <v>448</v>
      </c>
      <c r="H449" s="45" t="s">
        <v>460</v>
      </c>
      <c r="I449" s="162" t="str">
        <f t="shared" si="107"/>
        <v/>
      </c>
      <c r="J449" s="11" t="s">
        <v>909</v>
      </c>
      <c r="K449" s="676">
        <v>5074</v>
      </c>
      <c r="L449" s="677" t="s">
        <v>330</v>
      </c>
    </row>
    <row r="450" spans="2:12" s="112" customFormat="1" hidden="1">
      <c r="B450" s="45"/>
      <c r="C450" s="45">
        <f t="shared" si="97"/>
        <v>3158</v>
      </c>
      <c r="D450" s="45">
        <f t="shared" si="98"/>
        <v>5</v>
      </c>
      <c r="E450" s="45">
        <f t="shared" si="101"/>
        <v>2017</v>
      </c>
      <c r="F450" s="45">
        <f t="shared" ref="F450:F460" si="108">AP$3</f>
        <v>0</v>
      </c>
      <c r="G450" s="45" t="s">
        <v>448</v>
      </c>
      <c r="H450" s="45" t="s">
        <v>449</v>
      </c>
      <c r="I450" s="162" t="str">
        <f t="shared" ref="I450:I460" si="109">IF(ISBLANK(AP4),"",AP4)</f>
        <v/>
      </c>
      <c r="J450" s="11" t="s">
        <v>910</v>
      </c>
      <c r="K450" s="676">
        <v>5075</v>
      </c>
      <c r="L450" s="677" t="s">
        <v>331</v>
      </c>
    </row>
    <row r="451" spans="2:12" s="112" customFormat="1" hidden="1">
      <c r="B451" s="45"/>
      <c r="C451" s="45">
        <f t="shared" si="97"/>
        <v>3158</v>
      </c>
      <c r="D451" s="45">
        <f t="shared" si="98"/>
        <v>5</v>
      </c>
      <c r="E451" s="45">
        <f t="shared" si="101"/>
        <v>2017</v>
      </c>
      <c r="F451" s="45">
        <f t="shared" si="108"/>
        <v>0</v>
      </c>
      <c r="G451" s="45" t="s">
        <v>448</v>
      </c>
      <c r="H451" s="45" t="s">
        <v>450</v>
      </c>
      <c r="I451" s="162" t="str">
        <f t="shared" si="109"/>
        <v/>
      </c>
      <c r="J451" s="11" t="s">
        <v>911</v>
      </c>
      <c r="K451" s="676">
        <v>5076</v>
      </c>
      <c r="L451" s="677" t="s">
        <v>332</v>
      </c>
    </row>
    <row r="452" spans="2:12" s="112" customFormat="1" hidden="1">
      <c r="B452" s="45"/>
      <c r="C452" s="45">
        <f t="shared" si="97"/>
        <v>3158</v>
      </c>
      <c r="D452" s="45">
        <f t="shared" si="98"/>
        <v>5</v>
      </c>
      <c r="E452" s="45">
        <f t="shared" si="101"/>
        <v>2017</v>
      </c>
      <c r="F452" s="45">
        <f t="shared" si="108"/>
        <v>0</v>
      </c>
      <c r="G452" s="45" t="s">
        <v>448</v>
      </c>
      <c r="H452" s="45" t="s">
        <v>451</v>
      </c>
      <c r="I452" s="162" t="str">
        <f t="shared" si="109"/>
        <v/>
      </c>
      <c r="J452" s="11" t="s">
        <v>912</v>
      </c>
      <c r="K452" s="676">
        <v>5077</v>
      </c>
      <c r="L452" s="677" t="s">
        <v>333</v>
      </c>
    </row>
    <row r="453" spans="2:12" s="112" customFormat="1" hidden="1">
      <c r="B453" s="45"/>
      <c r="C453" s="45">
        <f t="shared" si="97"/>
        <v>3158</v>
      </c>
      <c r="D453" s="45">
        <f t="shared" si="98"/>
        <v>5</v>
      </c>
      <c r="E453" s="45">
        <f t="shared" si="101"/>
        <v>2017</v>
      </c>
      <c r="F453" s="45">
        <f t="shared" si="108"/>
        <v>0</v>
      </c>
      <c r="G453" s="45" t="s">
        <v>448</v>
      </c>
      <c r="H453" s="45" t="s">
        <v>452</v>
      </c>
      <c r="I453" s="162" t="str">
        <f t="shared" si="109"/>
        <v/>
      </c>
      <c r="J453" s="11" t="s">
        <v>913</v>
      </c>
      <c r="K453" s="676">
        <v>5078</v>
      </c>
      <c r="L453" s="677" t="s">
        <v>334</v>
      </c>
    </row>
    <row r="454" spans="2:12" s="112" customFormat="1" hidden="1">
      <c r="B454" s="45"/>
      <c r="C454" s="45">
        <f t="shared" si="97"/>
        <v>3158</v>
      </c>
      <c r="D454" s="45">
        <f t="shared" si="98"/>
        <v>5</v>
      </c>
      <c r="E454" s="45">
        <f t="shared" si="101"/>
        <v>2017</v>
      </c>
      <c r="F454" s="45">
        <f t="shared" si="108"/>
        <v>0</v>
      </c>
      <c r="G454" s="45" t="s">
        <v>448</v>
      </c>
      <c r="H454" s="45" t="s">
        <v>453</v>
      </c>
      <c r="I454" s="162" t="str">
        <f t="shared" si="109"/>
        <v/>
      </c>
      <c r="J454" s="11" t="s">
        <v>914</v>
      </c>
      <c r="K454" s="676">
        <v>5080</v>
      </c>
      <c r="L454" s="677" t="s">
        <v>335</v>
      </c>
    </row>
    <row r="455" spans="2:12" s="112" customFormat="1" hidden="1">
      <c r="B455" s="45"/>
      <c r="C455" s="45">
        <f t="shared" si="97"/>
        <v>3158</v>
      </c>
      <c r="D455" s="45">
        <f t="shared" si="98"/>
        <v>5</v>
      </c>
      <c r="E455" s="45">
        <f t="shared" si="101"/>
        <v>2017</v>
      </c>
      <c r="F455" s="45">
        <f t="shared" si="108"/>
        <v>0</v>
      </c>
      <c r="G455" s="45" t="s">
        <v>448</v>
      </c>
      <c r="H455" s="45" t="s">
        <v>454</v>
      </c>
      <c r="I455" s="162" t="str">
        <f t="shared" si="109"/>
        <v/>
      </c>
      <c r="J455" s="11" t="s">
        <v>915</v>
      </c>
      <c r="K455" s="675">
        <v>5083</v>
      </c>
      <c r="L455" s="674" t="s">
        <v>2110</v>
      </c>
    </row>
    <row r="456" spans="2:12" s="112" customFormat="1" hidden="1">
      <c r="B456" s="45"/>
      <c r="C456" s="45">
        <f t="shared" si="97"/>
        <v>3158</v>
      </c>
      <c r="D456" s="45">
        <f t="shared" si="98"/>
        <v>5</v>
      </c>
      <c r="E456" s="45">
        <f t="shared" si="101"/>
        <v>2017</v>
      </c>
      <c r="F456" s="45">
        <f t="shared" si="108"/>
        <v>0</v>
      </c>
      <c r="G456" s="45" t="s">
        <v>448</v>
      </c>
      <c r="H456" s="45" t="s">
        <v>455</v>
      </c>
      <c r="I456" s="162" t="str">
        <f t="shared" si="109"/>
        <v/>
      </c>
      <c r="J456" s="11" t="s">
        <v>916</v>
      </c>
      <c r="K456" s="673">
        <v>5084</v>
      </c>
      <c r="L456" s="674" t="s">
        <v>2053</v>
      </c>
    </row>
    <row r="457" spans="2:12" s="112" customFormat="1" hidden="1">
      <c r="B457" s="45"/>
      <c r="C457" s="45">
        <f t="shared" si="97"/>
        <v>3158</v>
      </c>
      <c r="D457" s="45">
        <f t="shared" si="98"/>
        <v>5</v>
      </c>
      <c r="E457" s="45">
        <f t="shared" si="101"/>
        <v>2017</v>
      </c>
      <c r="F457" s="45">
        <f t="shared" si="108"/>
        <v>0</v>
      </c>
      <c r="G457" s="45" t="s">
        <v>448</v>
      </c>
      <c r="H457" s="45" t="s">
        <v>456</v>
      </c>
      <c r="I457" s="162" t="str">
        <f t="shared" si="109"/>
        <v/>
      </c>
      <c r="J457" s="11" t="s">
        <v>917</v>
      </c>
      <c r="K457" s="676">
        <v>5085</v>
      </c>
      <c r="L457" s="677" t="s">
        <v>2054</v>
      </c>
    </row>
    <row r="458" spans="2:12" s="112" customFormat="1" hidden="1">
      <c r="B458" s="45"/>
      <c r="C458" s="45">
        <f t="shared" si="97"/>
        <v>3158</v>
      </c>
      <c r="D458" s="45">
        <f t="shared" si="98"/>
        <v>5</v>
      </c>
      <c r="E458" s="45">
        <f t="shared" si="101"/>
        <v>2017</v>
      </c>
      <c r="F458" s="45">
        <f t="shared" si="108"/>
        <v>0</v>
      </c>
      <c r="G458" s="45" t="s">
        <v>448</v>
      </c>
      <c r="H458" s="45" t="s">
        <v>457</v>
      </c>
      <c r="I458" s="162" t="str">
        <f t="shared" si="109"/>
        <v/>
      </c>
      <c r="J458" s="11" t="s">
        <v>918</v>
      </c>
      <c r="K458" s="673">
        <v>5086</v>
      </c>
      <c r="L458" s="674" t="s">
        <v>2359</v>
      </c>
    </row>
    <row r="459" spans="2:12" s="112" customFormat="1" hidden="1">
      <c r="B459" s="45"/>
      <c r="C459" s="45">
        <f t="shared" si="97"/>
        <v>3158</v>
      </c>
      <c r="D459" s="45">
        <f t="shared" si="98"/>
        <v>5</v>
      </c>
      <c r="E459" s="45">
        <f t="shared" si="101"/>
        <v>2017</v>
      </c>
      <c r="F459" s="45">
        <f t="shared" si="108"/>
        <v>0</v>
      </c>
      <c r="G459" s="45" t="s">
        <v>448</v>
      </c>
      <c r="H459" s="45" t="s">
        <v>458</v>
      </c>
      <c r="I459" s="162" t="str">
        <f t="shared" si="109"/>
        <v/>
      </c>
      <c r="J459" s="11" t="s">
        <v>919</v>
      </c>
      <c r="K459" s="673">
        <v>5094</v>
      </c>
      <c r="L459" s="674" t="s">
        <v>2066</v>
      </c>
    </row>
    <row r="460" spans="2:12" s="112" customFormat="1" hidden="1">
      <c r="B460" s="45"/>
      <c r="C460" s="45">
        <f t="shared" si="97"/>
        <v>3158</v>
      </c>
      <c r="D460" s="45">
        <f t="shared" si="98"/>
        <v>5</v>
      </c>
      <c r="E460" s="45">
        <f t="shared" si="101"/>
        <v>2017</v>
      </c>
      <c r="F460" s="45">
        <f t="shared" si="108"/>
        <v>0</v>
      </c>
      <c r="G460" s="45" t="s">
        <v>448</v>
      </c>
      <c r="H460" s="45" t="s">
        <v>460</v>
      </c>
      <c r="I460" s="162" t="str">
        <f t="shared" si="109"/>
        <v/>
      </c>
      <c r="J460" s="11" t="s">
        <v>920</v>
      </c>
      <c r="K460" s="673">
        <v>5095</v>
      </c>
      <c r="L460" s="674" t="s">
        <v>2293</v>
      </c>
    </row>
    <row r="461" spans="2:12" s="112" customFormat="1" hidden="1">
      <c r="B461" s="45"/>
      <c r="C461" s="45">
        <f t="shared" si="97"/>
        <v>3158</v>
      </c>
      <c r="D461" s="45">
        <f t="shared" si="98"/>
        <v>5</v>
      </c>
      <c r="E461" s="45">
        <f t="shared" si="101"/>
        <v>2017</v>
      </c>
      <c r="F461" s="45">
        <f t="shared" ref="F461:F471" si="110">AQ$3</f>
        <v>0</v>
      </c>
      <c r="G461" s="45" t="s">
        <v>448</v>
      </c>
      <c r="H461" s="45" t="s">
        <v>449</v>
      </c>
      <c r="I461" s="162" t="str">
        <f t="shared" ref="I461:I471" si="111">IF(ISBLANK(AQ4),"",AQ4)</f>
        <v/>
      </c>
      <c r="J461" s="11" t="s">
        <v>921</v>
      </c>
      <c r="K461" s="673">
        <v>5096</v>
      </c>
      <c r="L461" s="674" t="s">
        <v>2299</v>
      </c>
    </row>
    <row r="462" spans="2:12" s="112" customFormat="1" hidden="1">
      <c r="B462" s="45"/>
      <c r="C462" s="45">
        <f t="shared" si="97"/>
        <v>3158</v>
      </c>
      <c r="D462" s="45">
        <f t="shared" si="98"/>
        <v>5</v>
      </c>
      <c r="E462" s="45">
        <f t="shared" si="101"/>
        <v>2017</v>
      </c>
      <c r="F462" s="45">
        <f t="shared" si="110"/>
        <v>0</v>
      </c>
      <c r="G462" s="45" t="s">
        <v>448</v>
      </c>
      <c r="H462" s="45" t="s">
        <v>450</v>
      </c>
      <c r="I462" s="162" t="str">
        <f t="shared" si="111"/>
        <v/>
      </c>
      <c r="J462" s="11" t="s">
        <v>922</v>
      </c>
      <c r="K462" s="673">
        <v>5097</v>
      </c>
      <c r="L462" s="674" t="s">
        <v>2300</v>
      </c>
    </row>
    <row r="463" spans="2:12" s="112" customFormat="1" hidden="1">
      <c r="B463" s="45"/>
      <c r="C463" s="45">
        <f t="shared" si="97"/>
        <v>3158</v>
      </c>
      <c r="D463" s="45">
        <f t="shared" si="98"/>
        <v>5</v>
      </c>
      <c r="E463" s="45">
        <f t="shared" si="101"/>
        <v>2017</v>
      </c>
      <c r="F463" s="45">
        <f t="shared" si="110"/>
        <v>0</v>
      </c>
      <c r="G463" s="45" t="s">
        <v>448</v>
      </c>
      <c r="H463" s="45" t="s">
        <v>451</v>
      </c>
      <c r="I463" s="162" t="str">
        <f t="shared" si="111"/>
        <v/>
      </c>
      <c r="J463" s="11" t="s">
        <v>923</v>
      </c>
      <c r="K463" s="673">
        <v>5098</v>
      </c>
      <c r="L463" s="674" t="s">
        <v>2301</v>
      </c>
    </row>
    <row r="464" spans="2:12" s="112" customFormat="1" hidden="1">
      <c r="B464" s="45"/>
      <c r="C464" s="45">
        <f t="shared" si="97"/>
        <v>3158</v>
      </c>
      <c r="D464" s="45">
        <f t="shared" si="98"/>
        <v>5</v>
      </c>
      <c r="E464" s="45">
        <f t="shared" si="101"/>
        <v>2017</v>
      </c>
      <c r="F464" s="45">
        <f t="shared" si="110"/>
        <v>0</v>
      </c>
      <c r="G464" s="45" t="s">
        <v>448</v>
      </c>
      <c r="H464" s="45" t="s">
        <v>452</v>
      </c>
      <c r="I464" s="162" t="str">
        <f t="shared" si="111"/>
        <v/>
      </c>
      <c r="J464" s="11" t="s">
        <v>924</v>
      </c>
      <c r="K464" s="673">
        <v>5099</v>
      </c>
      <c r="L464" s="674" t="s">
        <v>2302</v>
      </c>
    </row>
    <row r="465" spans="2:12" s="112" customFormat="1" hidden="1">
      <c r="B465" s="45"/>
      <c r="C465" s="45">
        <f t="shared" si="97"/>
        <v>3158</v>
      </c>
      <c r="D465" s="45">
        <f t="shared" si="98"/>
        <v>5</v>
      </c>
      <c r="E465" s="45">
        <f t="shared" si="101"/>
        <v>2017</v>
      </c>
      <c r="F465" s="45">
        <f t="shared" si="110"/>
        <v>0</v>
      </c>
      <c r="G465" s="45" t="s">
        <v>448</v>
      </c>
      <c r="H465" s="45" t="s">
        <v>453</v>
      </c>
      <c r="I465" s="162" t="str">
        <f t="shared" si="111"/>
        <v/>
      </c>
      <c r="J465" s="11" t="s">
        <v>925</v>
      </c>
      <c r="K465" s="673">
        <v>5100</v>
      </c>
      <c r="L465" s="674" t="s">
        <v>2142</v>
      </c>
    </row>
    <row r="466" spans="2:12" s="112" customFormat="1" hidden="1">
      <c r="B466" s="45"/>
      <c r="C466" s="45">
        <f t="shared" si="97"/>
        <v>3158</v>
      </c>
      <c r="D466" s="45">
        <f t="shared" si="98"/>
        <v>5</v>
      </c>
      <c r="E466" s="45">
        <f t="shared" si="101"/>
        <v>2017</v>
      </c>
      <c r="F466" s="45">
        <f t="shared" si="110"/>
        <v>0</v>
      </c>
      <c r="G466" s="45" t="s">
        <v>448</v>
      </c>
      <c r="H466" s="45" t="s">
        <v>454</v>
      </c>
      <c r="I466" s="162" t="str">
        <f t="shared" si="111"/>
        <v/>
      </c>
      <c r="J466" s="11" t="s">
        <v>926</v>
      </c>
      <c r="K466" s="673">
        <v>5101</v>
      </c>
      <c r="L466" s="674" t="s">
        <v>2303</v>
      </c>
    </row>
    <row r="467" spans="2:12" s="112" customFormat="1" hidden="1">
      <c r="B467" s="45"/>
      <c r="C467" s="45">
        <f t="shared" si="97"/>
        <v>3158</v>
      </c>
      <c r="D467" s="45">
        <f t="shared" si="98"/>
        <v>5</v>
      </c>
      <c r="E467" s="45">
        <f t="shared" si="101"/>
        <v>2017</v>
      </c>
      <c r="F467" s="45">
        <f t="shared" si="110"/>
        <v>0</v>
      </c>
      <c r="G467" s="45" t="s">
        <v>448</v>
      </c>
      <c r="H467" s="45" t="s">
        <v>455</v>
      </c>
      <c r="I467" s="162" t="str">
        <f t="shared" si="111"/>
        <v/>
      </c>
      <c r="J467" s="11" t="s">
        <v>927</v>
      </c>
      <c r="K467" s="673">
        <v>5102</v>
      </c>
      <c r="L467" s="674" t="s">
        <v>2156</v>
      </c>
    </row>
    <row r="468" spans="2:12" s="112" customFormat="1" hidden="1">
      <c r="B468" s="45"/>
      <c r="C468" s="45">
        <f t="shared" si="97"/>
        <v>3158</v>
      </c>
      <c r="D468" s="45">
        <f t="shared" si="98"/>
        <v>5</v>
      </c>
      <c r="E468" s="45">
        <f t="shared" si="101"/>
        <v>2017</v>
      </c>
      <c r="F468" s="45">
        <f t="shared" si="110"/>
        <v>0</v>
      </c>
      <c r="G468" s="45" t="s">
        <v>448</v>
      </c>
      <c r="H468" s="45" t="s">
        <v>456</v>
      </c>
      <c r="I468" s="162" t="str">
        <f t="shared" si="111"/>
        <v/>
      </c>
      <c r="J468" s="11" t="s">
        <v>928</v>
      </c>
      <c r="K468" s="673">
        <v>5103</v>
      </c>
      <c r="L468" s="674" t="s">
        <v>2157</v>
      </c>
    </row>
    <row r="469" spans="2:12" s="112" customFormat="1" hidden="1">
      <c r="B469" s="45"/>
      <c r="C469" s="45">
        <f t="shared" si="97"/>
        <v>3158</v>
      </c>
      <c r="D469" s="45">
        <f t="shared" si="98"/>
        <v>5</v>
      </c>
      <c r="E469" s="45">
        <f t="shared" si="101"/>
        <v>2017</v>
      </c>
      <c r="F469" s="45">
        <f t="shared" si="110"/>
        <v>0</v>
      </c>
      <c r="G469" s="45" t="s">
        <v>448</v>
      </c>
      <c r="H469" s="45" t="s">
        <v>457</v>
      </c>
      <c r="I469" s="162" t="str">
        <f t="shared" si="111"/>
        <v/>
      </c>
      <c r="J469" s="11" t="s">
        <v>929</v>
      </c>
      <c r="K469" s="673">
        <v>5104</v>
      </c>
      <c r="L469" s="674" t="s">
        <v>40</v>
      </c>
    </row>
    <row r="470" spans="2:12" s="112" customFormat="1" hidden="1">
      <c r="B470" s="45"/>
      <c r="C470" s="45">
        <f t="shared" ref="C470:C533" si="112">H$1</f>
        <v>3158</v>
      </c>
      <c r="D470" s="45">
        <f t="shared" ref="D470:D533" si="113">K$1</f>
        <v>5</v>
      </c>
      <c r="E470" s="45">
        <f t="shared" si="101"/>
        <v>2017</v>
      </c>
      <c r="F470" s="45">
        <f t="shared" si="110"/>
        <v>0</v>
      </c>
      <c r="G470" s="45" t="s">
        <v>448</v>
      </c>
      <c r="H470" s="45" t="s">
        <v>458</v>
      </c>
      <c r="I470" s="162" t="str">
        <f t="shared" si="111"/>
        <v/>
      </c>
      <c r="J470" s="11" t="s">
        <v>930</v>
      </c>
      <c r="K470" s="673">
        <v>5105</v>
      </c>
      <c r="L470" s="674" t="s">
        <v>2204</v>
      </c>
    </row>
    <row r="471" spans="2:12" s="112" customFormat="1" hidden="1">
      <c r="B471" s="45"/>
      <c r="C471" s="45">
        <f t="shared" si="112"/>
        <v>3158</v>
      </c>
      <c r="D471" s="45">
        <f t="shared" si="113"/>
        <v>5</v>
      </c>
      <c r="E471" s="45">
        <f t="shared" si="101"/>
        <v>2017</v>
      </c>
      <c r="F471" s="45">
        <f t="shared" si="110"/>
        <v>0</v>
      </c>
      <c r="G471" s="45" t="s">
        <v>448</v>
      </c>
      <c r="H471" s="45" t="s">
        <v>460</v>
      </c>
      <c r="I471" s="162" t="str">
        <f t="shared" si="111"/>
        <v/>
      </c>
      <c r="J471" s="11" t="s">
        <v>931</v>
      </c>
      <c r="K471" s="673">
        <v>5106</v>
      </c>
      <c r="L471" s="674" t="s">
        <v>2206</v>
      </c>
    </row>
    <row r="472" spans="2:12" s="112" customFormat="1" hidden="1">
      <c r="B472" s="45"/>
      <c r="C472" s="45">
        <f t="shared" si="112"/>
        <v>3158</v>
      </c>
      <c r="D472" s="45">
        <f t="shared" si="113"/>
        <v>5</v>
      </c>
      <c r="E472" s="45">
        <f t="shared" ref="E472:E535" si="114">D$1</f>
        <v>2017</v>
      </c>
      <c r="F472" s="45">
        <f t="shared" ref="F472:F482" si="115">AR$3</f>
        <v>0</v>
      </c>
      <c r="G472" s="45" t="s">
        <v>448</v>
      </c>
      <c r="H472" s="45" t="s">
        <v>449</v>
      </c>
      <c r="I472" s="162" t="str">
        <f t="shared" ref="I472:I482" si="116">IF(ISBLANK(AR4),"",AR4)</f>
        <v/>
      </c>
      <c r="J472" s="11" t="s">
        <v>932</v>
      </c>
      <c r="K472" s="673">
        <v>5122</v>
      </c>
      <c r="L472" s="674" t="s">
        <v>2163</v>
      </c>
    </row>
    <row r="473" spans="2:12" s="112" customFormat="1" hidden="1">
      <c r="B473" s="45"/>
      <c r="C473" s="45">
        <f t="shared" si="112"/>
        <v>3158</v>
      </c>
      <c r="D473" s="45">
        <f t="shared" si="113"/>
        <v>5</v>
      </c>
      <c r="E473" s="45">
        <f t="shared" si="114"/>
        <v>2017</v>
      </c>
      <c r="F473" s="45">
        <f t="shared" si="115"/>
        <v>0</v>
      </c>
      <c r="G473" s="45" t="s">
        <v>448</v>
      </c>
      <c r="H473" s="45" t="s">
        <v>450</v>
      </c>
      <c r="I473" s="162" t="str">
        <f t="shared" si="116"/>
        <v/>
      </c>
      <c r="J473" s="11" t="s">
        <v>933</v>
      </c>
      <c r="K473" s="673">
        <v>5124</v>
      </c>
      <c r="L473" s="674" t="s">
        <v>2382</v>
      </c>
    </row>
    <row r="474" spans="2:12" s="112" customFormat="1" hidden="1">
      <c r="B474" s="45"/>
      <c r="C474" s="45">
        <f t="shared" si="112"/>
        <v>3158</v>
      </c>
      <c r="D474" s="45">
        <f t="shared" si="113"/>
        <v>5</v>
      </c>
      <c r="E474" s="45">
        <f t="shared" si="114"/>
        <v>2017</v>
      </c>
      <c r="F474" s="45">
        <f t="shared" si="115"/>
        <v>0</v>
      </c>
      <c r="G474" s="45" t="s">
        <v>448</v>
      </c>
      <c r="H474" s="45" t="s">
        <v>451</v>
      </c>
      <c r="I474" s="162" t="str">
        <f t="shared" si="116"/>
        <v/>
      </c>
      <c r="J474" s="11" t="s">
        <v>934</v>
      </c>
      <c r="K474" s="673">
        <v>5150</v>
      </c>
      <c r="L474" s="674" t="s">
        <v>164</v>
      </c>
    </row>
    <row r="475" spans="2:12" s="112" customFormat="1" hidden="1">
      <c r="B475" s="45"/>
      <c r="C475" s="45">
        <f t="shared" si="112"/>
        <v>3158</v>
      </c>
      <c r="D475" s="45">
        <f t="shared" si="113"/>
        <v>5</v>
      </c>
      <c r="E475" s="45">
        <f t="shared" si="114"/>
        <v>2017</v>
      </c>
      <c r="F475" s="45">
        <f t="shared" si="115"/>
        <v>0</v>
      </c>
      <c r="G475" s="45" t="s">
        <v>448</v>
      </c>
      <c r="H475" s="45" t="s">
        <v>452</v>
      </c>
      <c r="I475" s="162" t="str">
        <f t="shared" si="116"/>
        <v/>
      </c>
      <c r="J475" s="11" t="s">
        <v>935</v>
      </c>
      <c r="K475" s="675">
        <v>5151</v>
      </c>
      <c r="L475" s="674" t="s">
        <v>2080</v>
      </c>
    </row>
    <row r="476" spans="2:12" s="112" customFormat="1" hidden="1">
      <c r="B476" s="45"/>
      <c r="C476" s="45">
        <f t="shared" si="112"/>
        <v>3158</v>
      </c>
      <c r="D476" s="45">
        <f t="shared" si="113"/>
        <v>5</v>
      </c>
      <c r="E476" s="45">
        <f t="shared" si="114"/>
        <v>2017</v>
      </c>
      <c r="F476" s="45">
        <f t="shared" si="115"/>
        <v>0</v>
      </c>
      <c r="G476" s="45" t="s">
        <v>448</v>
      </c>
      <c r="H476" s="45" t="s">
        <v>453</v>
      </c>
      <c r="I476" s="162" t="str">
        <f t="shared" si="116"/>
        <v/>
      </c>
      <c r="J476" s="11" t="s">
        <v>936</v>
      </c>
      <c r="K476" s="673">
        <v>5152</v>
      </c>
      <c r="L476" s="674" t="s">
        <v>1730</v>
      </c>
    </row>
    <row r="477" spans="2:12" s="112" customFormat="1" hidden="1">
      <c r="B477" s="45"/>
      <c r="C477" s="45">
        <f t="shared" si="112"/>
        <v>3158</v>
      </c>
      <c r="D477" s="45">
        <f t="shared" si="113"/>
        <v>5</v>
      </c>
      <c r="E477" s="45">
        <f t="shared" si="114"/>
        <v>2017</v>
      </c>
      <c r="F477" s="45">
        <f t="shared" si="115"/>
        <v>0</v>
      </c>
      <c r="G477" s="45" t="s">
        <v>448</v>
      </c>
      <c r="H477" s="45" t="s">
        <v>454</v>
      </c>
      <c r="I477" s="162" t="str">
        <f t="shared" si="116"/>
        <v/>
      </c>
      <c r="J477" s="11" t="s">
        <v>937</v>
      </c>
      <c r="K477" s="673">
        <v>5156</v>
      </c>
      <c r="L477" s="674" t="s">
        <v>165</v>
      </c>
    </row>
    <row r="478" spans="2:12" s="112" customFormat="1" hidden="1">
      <c r="B478" s="45"/>
      <c r="C478" s="45">
        <f t="shared" si="112"/>
        <v>3158</v>
      </c>
      <c r="D478" s="45">
        <f t="shared" si="113"/>
        <v>5</v>
      </c>
      <c r="E478" s="45">
        <f t="shared" si="114"/>
        <v>2017</v>
      </c>
      <c r="F478" s="45">
        <f t="shared" si="115"/>
        <v>0</v>
      </c>
      <c r="G478" s="45" t="s">
        <v>448</v>
      </c>
      <c r="H478" s="45" t="s">
        <v>455</v>
      </c>
      <c r="I478" s="162" t="str">
        <f t="shared" si="116"/>
        <v/>
      </c>
      <c r="J478" s="11" t="s">
        <v>938</v>
      </c>
      <c r="K478" s="673">
        <v>5159</v>
      </c>
      <c r="L478" s="674" t="s">
        <v>423</v>
      </c>
    </row>
    <row r="479" spans="2:12" s="112" customFormat="1" hidden="1">
      <c r="B479" s="45"/>
      <c r="C479" s="45">
        <f t="shared" si="112"/>
        <v>3158</v>
      </c>
      <c r="D479" s="45">
        <f t="shared" si="113"/>
        <v>5</v>
      </c>
      <c r="E479" s="45">
        <f t="shared" si="114"/>
        <v>2017</v>
      </c>
      <c r="F479" s="45">
        <f t="shared" si="115"/>
        <v>0</v>
      </c>
      <c r="G479" s="45" t="s">
        <v>448</v>
      </c>
      <c r="H479" s="45" t="s">
        <v>456</v>
      </c>
      <c r="I479" s="162" t="str">
        <f t="shared" si="116"/>
        <v/>
      </c>
      <c r="J479" s="11" t="s">
        <v>939</v>
      </c>
      <c r="K479" s="673">
        <v>5160</v>
      </c>
      <c r="L479" s="674" t="s">
        <v>336</v>
      </c>
    </row>
    <row r="480" spans="2:12" s="112" customFormat="1" hidden="1">
      <c r="B480" s="45"/>
      <c r="C480" s="45">
        <f t="shared" si="112"/>
        <v>3158</v>
      </c>
      <c r="D480" s="45">
        <f t="shared" si="113"/>
        <v>5</v>
      </c>
      <c r="E480" s="45">
        <f t="shared" si="114"/>
        <v>2017</v>
      </c>
      <c r="F480" s="45">
        <f t="shared" si="115"/>
        <v>0</v>
      </c>
      <c r="G480" s="45" t="s">
        <v>448</v>
      </c>
      <c r="H480" s="45" t="s">
        <v>457</v>
      </c>
      <c r="I480" s="162" t="str">
        <f t="shared" si="116"/>
        <v/>
      </c>
      <c r="J480" s="11" t="s">
        <v>940</v>
      </c>
      <c r="K480" s="673">
        <v>5162</v>
      </c>
      <c r="L480" s="674" t="s">
        <v>166</v>
      </c>
    </row>
    <row r="481" spans="2:12" s="112" customFormat="1" hidden="1">
      <c r="B481" s="45"/>
      <c r="C481" s="45">
        <f t="shared" si="112"/>
        <v>3158</v>
      </c>
      <c r="D481" s="45">
        <f t="shared" si="113"/>
        <v>5</v>
      </c>
      <c r="E481" s="45">
        <f t="shared" si="114"/>
        <v>2017</v>
      </c>
      <c r="F481" s="45">
        <f t="shared" si="115"/>
        <v>0</v>
      </c>
      <c r="G481" s="45" t="s">
        <v>448</v>
      </c>
      <c r="H481" s="45" t="s">
        <v>458</v>
      </c>
      <c r="I481" s="162" t="str">
        <f t="shared" si="116"/>
        <v/>
      </c>
      <c r="J481" s="11" t="s">
        <v>941</v>
      </c>
      <c r="K481" s="673">
        <v>5164</v>
      </c>
      <c r="L481" s="674" t="s">
        <v>2323</v>
      </c>
    </row>
    <row r="482" spans="2:12" s="112" customFormat="1" hidden="1">
      <c r="B482" s="45"/>
      <c r="C482" s="45">
        <f t="shared" si="112"/>
        <v>3158</v>
      </c>
      <c r="D482" s="45">
        <f t="shared" si="113"/>
        <v>5</v>
      </c>
      <c r="E482" s="45">
        <f t="shared" si="114"/>
        <v>2017</v>
      </c>
      <c r="F482" s="45">
        <f t="shared" si="115"/>
        <v>0</v>
      </c>
      <c r="G482" s="45" t="s">
        <v>448</v>
      </c>
      <c r="H482" s="45" t="s">
        <v>460</v>
      </c>
      <c r="I482" s="162" t="str">
        <f t="shared" si="116"/>
        <v/>
      </c>
      <c r="J482" s="11" t="s">
        <v>942</v>
      </c>
      <c r="K482" s="673">
        <v>5167</v>
      </c>
      <c r="L482" s="674" t="s">
        <v>2324</v>
      </c>
    </row>
    <row r="483" spans="2:12" s="112" customFormat="1" hidden="1">
      <c r="B483" s="45"/>
      <c r="C483" s="45">
        <f t="shared" si="112"/>
        <v>3158</v>
      </c>
      <c r="D483" s="45">
        <f t="shared" si="113"/>
        <v>5</v>
      </c>
      <c r="E483" s="45">
        <f t="shared" si="114"/>
        <v>2017</v>
      </c>
      <c r="F483" s="45">
        <f t="shared" ref="F483:F493" si="117">AS$3</f>
        <v>0</v>
      </c>
      <c r="G483" s="45" t="s">
        <v>448</v>
      </c>
      <c r="H483" s="45" t="s">
        <v>449</v>
      </c>
      <c r="I483" s="162" t="str">
        <f t="shared" ref="I483:I493" si="118">IF(ISBLANK(AS4),"",AS4)</f>
        <v/>
      </c>
      <c r="J483" s="11" t="s">
        <v>943</v>
      </c>
      <c r="K483" s="673">
        <v>5168</v>
      </c>
      <c r="L483" s="674" t="s">
        <v>2325</v>
      </c>
    </row>
    <row r="484" spans="2:12" s="112" customFormat="1" hidden="1">
      <c r="B484" s="45"/>
      <c r="C484" s="45">
        <f t="shared" si="112"/>
        <v>3158</v>
      </c>
      <c r="D484" s="45">
        <f t="shared" si="113"/>
        <v>5</v>
      </c>
      <c r="E484" s="45">
        <f t="shared" si="114"/>
        <v>2017</v>
      </c>
      <c r="F484" s="45">
        <f t="shared" si="117"/>
        <v>0</v>
      </c>
      <c r="G484" s="45" t="s">
        <v>448</v>
      </c>
      <c r="H484" s="45" t="s">
        <v>450</v>
      </c>
      <c r="I484" s="162" t="str">
        <f t="shared" si="118"/>
        <v/>
      </c>
      <c r="J484" s="11" t="s">
        <v>944</v>
      </c>
      <c r="K484" s="673">
        <v>5173</v>
      </c>
      <c r="L484" s="674" t="s">
        <v>2304</v>
      </c>
    </row>
    <row r="485" spans="2:12" s="112" customFormat="1" hidden="1">
      <c r="B485" s="45"/>
      <c r="C485" s="45">
        <f t="shared" si="112"/>
        <v>3158</v>
      </c>
      <c r="D485" s="45">
        <f t="shared" si="113"/>
        <v>5</v>
      </c>
      <c r="E485" s="45">
        <f t="shared" si="114"/>
        <v>2017</v>
      </c>
      <c r="F485" s="45">
        <f t="shared" si="117"/>
        <v>0</v>
      </c>
      <c r="G485" s="45" t="s">
        <v>448</v>
      </c>
      <c r="H485" s="45" t="s">
        <v>451</v>
      </c>
      <c r="I485" s="162" t="str">
        <f t="shared" si="118"/>
        <v/>
      </c>
      <c r="J485" s="11" t="s">
        <v>945</v>
      </c>
      <c r="K485" s="673">
        <v>5174</v>
      </c>
      <c r="L485" s="674" t="s">
        <v>41</v>
      </c>
    </row>
    <row r="486" spans="2:12" s="112" customFormat="1" hidden="1">
      <c r="B486" s="45"/>
      <c r="C486" s="45">
        <f t="shared" si="112"/>
        <v>3158</v>
      </c>
      <c r="D486" s="45">
        <f t="shared" si="113"/>
        <v>5</v>
      </c>
      <c r="E486" s="45">
        <f t="shared" si="114"/>
        <v>2017</v>
      </c>
      <c r="F486" s="45">
        <f t="shared" si="117"/>
        <v>0</v>
      </c>
      <c r="G486" s="45" t="s">
        <v>448</v>
      </c>
      <c r="H486" s="45" t="s">
        <v>452</v>
      </c>
      <c r="I486" s="162" t="str">
        <f t="shared" si="118"/>
        <v/>
      </c>
      <c r="J486" s="11" t="s">
        <v>946</v>
      </c>
      <c r="K486" s="673">
        <v>5175</v>
      </c>
      <c r="L486" s="674" t="s">
        <v>2067</v>
      </c>
    </row>
    <row r="487" spans="2:12" s="112" customFormat="1" hidden="1">
      <c r="B487" s="45"/>
      <c r="C487" s="45">
        <f t="shared" si="112"/>
        <v>3158</v>
      </c>
      <c r="D487" s="45">
        <f t="shared" si="113"/>
        <v>5</v>
      </c>
      <c r="E487" s="45">
        <f t="shared" si="114"/>
        <v>2017</v>
      </c>
      <c r="F487" s="45">
        <f t="shared" si="117"/>
        <v>0</v>
      </c>
      <c r="G487" s="45" t="s">
        <v>448</v>
      </c>
      <c r="H487" s="45" t="s">
        <v>453</v>
      </c>
      <c r="I487" s="162" t="str">
        <f t="shared" si="118"/>
        <v/>
      </c>
      <c r="J487" s="11" t="s">
        <v>947</v>
      </c>
      <c r="K487" s="673">
        <v>5176</v>
      </c>
      <c r="L487" s="674" t="s">
        <v>1727</v>
      </c>
    </row>
    <row r="488" spans="2:12" s="112" customFormat="1" hidden="1">
      <c r="B488" s="45"/>
      <c r="C488" s="45">
        <f t="shared" si="112"/>
        <v>3158</v>
      </c>
      <c r="D488" s="45">
        <f t="shared" si="113"/>
        <v>5</v>
      </c>
      <c r="E488" s="45">
        <f t="shared" si="114"/>
        <v>2017</v>
      </c>
      <c r="F488" s="45">
        <f t="shared" si="117"/>
        <v>0</v>
      </c>
      <c r="G488" s="45" t="s">
        <v>448</v>
      </c>
      <c r="H488" s="45" t="s">
        <v>454</v>
      </c>
      <c r="I488" s="162" t="str">
        <f t="shared" si="118"/>
        <v/>
      </c>
      <c r="J488" s="11" t="s">
        <v>948</v>
      </c>
      <c r="K488" s="673">
        <v>5177</v>
      </c>
      <c r="L488" s="674" t="s">
        <v>424</v>
      </c>
    </row>
    <row r="489" spans="2:12" s="112" customFormat="1" hidden="1">
      <c r="B489" s="45"/>
      <c r="C489" s="45">
        <f t="shared" si="112"/>
        <v>3158</v>
      </c>
      <c r="D489" s="45">
        <f t="shared" si="113"/>
        <v>5</v>
      </c>
      <c r="E489" s="45">
        <f t="shared" si="114"/>
        <v>2017</v>
      </c>
      <c r="F489" s="45">
        <f t="shared" si="117"/>
        <v>0</v>
      </c>
      <c r="G489" s="45" t="s">
        <v>448</v>
      </c>
      <c r="H489" s="45" t="s">
        <v>455</v>
      </c>
      <c r="I489" s="162" t="str">
        <f t="shared" si="118"/>
        <v/>
      </c>
      <c r="J489" s="11" t="s">
        <v>949</v>
      </c>
      <c r="K489" s="673">
        <v>5178</v>
      </c>
      <c r="L489" s="674" t="s">
        <v>42</v>
      </c>
    </row>
    <row r="490" spans="2:12" s="112" customFormat="1" hidden="1">
      <c r="B490" s="45"/>
      <c r="C490" s="45">
        <f t="shared" si="112"/>
        <v>3158</v>
      </c>
      <c r="D490" s="45">
        <f t="shared" si="113"/>
        <v>5</v>
      </c>
      <c r="E490" s="45">
        <f t="shared" si="114"/>
        <v>2017</v>
      </c>
      <c r="F490" s="45">
        <f t="shared" si="117"/>
        <v>0</v>
      </c>
      <c r="G490" s="45" t="s">
        <v>448</v>
      </c>
      <c r="H490" s="45" t="s">
        <v>456</v>
      </c>
      <c r="I490" s="162" t="str">
        <f t="shared" si="118"/>
        <v/>
      </c>
      <c r="J490" s="11" t="s">
        <v>950</v>
      </c>
      <c r="K490" s="673">
        <v>5179</v>
      </c>
      <c r="L490" s="674" t="s">
        <v>1728</v>
      </c>
    </row>
    <row r="491" spans="2:12" s="112" customFormat="1" hidden="1">
      <c r="B491" s="45"/>
      <c r="C491" s="45">
        <f t="shared" si="112"/>
        <v>3158</v>
      </c>
      <c r="D491" s="45">
        <f t="shared" si="113"/>
        <v>5</v>
      </c>
      <c r="E491" s="45">
        <f t="shared" si="114"/>
        <v>2017</v>
      </c>
      <c r="F491" s="45">
        <f t="shared" si="117"/>
        <v>0</v>
      </c>
      <c r="G491" s="45" t="s">
        <v>448</v>
      </c>
      <c r="H491" s="45" t="s">
        <v>457</v>
      </c>
      <c r="I491" s="162" t="str">
        <f t="shared" si="118"/>
        <v/>
      </c>
      <c r="J491" s="11" t="s">
        <v>951</v>
      </c>
      <c r="K491" s="676">
        <v>5180</v>
      </c>
      <c r="L491" s="677" t="s">
        <v>2138</v>
      </c>
    </row>
    <row r="492" spans="2:12" s="112" customFormat="1" hidden="1">
      <c r="B492" s="45"/>
      <c r="C492" s="45">
        <f t="shared" si="112"/>
        <v>3158</v>
      </c>
      <c r="D492" s="45">
        <f t="shared" si="113"/>
        <v>5</v>
      </c>
      <c r="E492" s="45">
        <f t="shared" si="114"/>
        <v>2017</v>
      </c>
      <c r="F492" s="45">
        <f t="shared" si="117"/>
        <v>0</v>
      </c>
      <c r="G492" s="45" t="s">
        <v>448</v>
      </c>
      <c r="H492" s="45" t="s">
        <v>458</v>
      </c>
      <c r="I492" s="162" t="str">
        <f t="shared" si="118"/>
        <v/>
      </c>
      <c r="J492" s="11" t="s">
        <v>952</v>
      </c>
      <c r="K492" s="676">
        <v>5181</v>
      </c>
      <c r="L492" s="677" t="s">
        <v>1729</v>
      </c>
    </row>
    <row r="493" spans="2:12" s="112" customFormat="1" hidden="1">
      <c r="B493" s="45"/>
      <c r="C493" s="45">
        <f t="shared" si="112"/>
        <v>3158</v>
      </c>
      <c r="D493" s="45">
        <f t="shared" si="113"/>
        <v>5</v>
      </c>
      <c r="E493" s="45">
        <f t="shared" si="114"/>
        <v>2017</v>
      </c>
      <c r="F493" s="45">
        <f t="shared" si="117"/>
        <v>0</v>
      </c>
      <c r="G493" s="45" t="s">
        <v>448</v>
      </c>
      <c r="H493" s="45" t="s">
        <v>460</v>
      </c>
      <c r="I493" s="162" t="str">
        <f t="shared" si="118"/>
        <v/>
      </c>
      <c r="J493" s="11" t="s">
        <v>953</v>
      </c>
      <c r="K493" s="676">
        <v>5182</v>
      </c>
      <c r="L493" s="677" t="s">
        <v>425</v>
      </c>
    </row>
    <row r="494" spans="2:12" s="112" customFormat="1" hidden="1">
      <c r="B494" s="45"/>
      <c r="C494" s="45">
        <f t="shared" si="112"/>
        <v>3158</v>
      </c>
      <c r="D494" s="45">
        <f t="shared" si="113"/>
        <v>5</v>
      </c>
      <c r="E494" s="45">
        <f t="shared" si="114"/>
        <v>2017</v>
      </c>
      <c r="F494" s="45">
        <f t="shared" ref="F494:F504" si="119">AT$3</f>
        <v>0</v>
      </c>
      <c r="G494" s="45" t="s">
        <v>448</v>
      </c>
      <c r="H494" s="45" t="s">
        <v>449</v>
      </c>
      <c r="I494" s="162" t="str">
        <f t="shared" ref="I494:I504" si="120">IF(ISBLANK(AT4),"",AT4)</f>
        <v/>
      </c>
      <c r="J494" s="11" t="s">
        <v>954</v>
      </c>
      <c r="K494" s="673">
        <v>5183</v>
      </c>
      <c r="L494" s="674" t="s">
        <v>2215</v>
      </c>
    </row>
    <row r="495" spans="2:12" s="112" customFormat="1" hidden="1">
      <c r="B495" s="45"/>
      <c r="C495" s="45">
        <f t="shared" si="112"/>
        <v>3158</v>
      </c>
      <c r="D495" s="45">
        <f t="shared" si="113"/>
        <v>5</v>
      </c>
      <c r="E495" s="45">
        <f t="shared" si="114"/>
        <v>2017</v>
      </c>
      <c r="F495" s="45">
        <f t="shared" si="119"/>
        <v>0</v>
      </c>
      <c r="G495" s="45" t="s">
        <v>448</v>
      </c>
      <c r="H495" s="45" t="s">
        <v>450</v>
      </c>
      <c r="I495" s="162" t="str">
        <f t="shared" si="120"/>
        <v/>
      </c>
      <c r="J495" s="11" t="s">
        <v>955</v>
      </c>
      <c r="K495" s="673">
        <v>5185</v>
      </c>
      <c r="L495" s="674" t="s">
        <v>43</v>
      </c>
    </row>
    <row r="496" spans="2:12" s="112" customFormat="1" hidden="1">
      <c r="B496" s="45"/>
      <c r="C496" s="45">
        <f t="shared" si="112"/>
        <v>3158</v>
      </c>
      <c r="D496" s="45">
        <f t="shared" si="113"/>
        <v>5</v>
      </c>
      <c r="E496" s="45">
        <f t="shared" si="114"/>
        <v>2017</v>
      </c>
      <c r="F496" s="45">
        <f t="shared" si="119"/>
        <v>0</v>
      </c>
      <c r="G496" s="45" t="s">
        <v>448</v>
      </c>
      <c r="H496" s="45" t="s">
        <v>451</v>
      </c>
      <c r="I496" s="162" t="str">
        <f t="shared" si="120"/>
        <v/>
      </c>
      <c r="J496" s="11" t="s">
        <v>956</v>
      </c>
      <c r="K496" s="673">
        <v>5187</v>
      </c>
      <c r="L496" s="674" t="s">
        <v>2196</v>
      </c>
    </row>
    <row r="497" spans="2:12" s="112" customFormat="1" hidden="1">
      <c r="B497" s="45"/>
      <c r="C497" s="45">
        <f t="shared" si="112"/>
        <v>3158</v>
      </c>
      <c r="D497" s="45">
        <f t="shared" si="113"/>
        <v>5</v>
      </c>
      <c r="E497" s="45">
        <f t="shared" si="114"/>
        <v>2017</v>
      </c>
      <c r="F497" s="45">
        <f t="shared" si="119"/>
        <v>0</v>
      </c>
      <c r="G497" s="45" t="s">
        <v>448</v>
      </c>
      <c r="H497" s="45" t="s">
        <v>452</v>
      </c>
      <c r="I497" s="162" t="str">
        <f t="shared" si="120"/>
        <v/>
      </c>
      <c r="J497" s="11" t="s">
        <v>957</v>
      </c>
      <c r="K497" s="676">
        <v>5188</v>
      </c>
      <c r="L497" s="677" t="s">
        <v>426</v>
      </c>
    </row>
    <row r="498" spans="2:12" s="112" customFormat="1" hidden="1">
      <c r="B498" s="45"/>
      <c r="C498" s="45">
        <f t="shared" si="112"/>
        <v>3158</v>
      </c>
      <c r="D498" s="45">
        <f t="shared" si="113"/>
        <v>5</v>
      </c>
      <c r="E498" s="45">
        <f t="shared" si="114"/>
        <v>2017</v>
      </c>
      <c r="F498" s="45">
        <f t="shared" si="119"/>
        <v>0</v>
      </c>
      <c r="G498" s="45" t="s">
        <v>448</v>
      </c>
      <c r="H498" s="45" t="s">
        <v>453</v>
      </c>
      <c r="I498" s="162" t="str">
        <f t="shared" si="120"/>
        <v/>
      </c>
      <c r="J498" s="11" t="s">
        <v>958</v>
      </c>
      <c r="K498" s="673">
        <v>5189</v>
      </c>
      <c r="L498" s="674" t="s">
        <v>44</v>
      </c>
    </row>
    <row r="499" spans="2:12" s="112" customFormat="1" hidden="1">
      <c r="B499" s="45"/>
      <c r="C499" s="45">
        <f t="shared" si="112"/>
        <v>3158</v>
      </c>
      <c r="D499" s="45">
        <f t="shared" si="113"/>
        <v>5</v>
      </c>
      <c r="E499" s="45">
        <f t="shared" si="114"/>
        <v>2017</v>
      </c>
      <c r="F499" s="45">
        <f t="shared" si="119"/>
        <v>0</v>
      </c>
      <c r="G499" s="45" t="s">
        <v>448</v>
      </c>
      <c r="H499" s="45" t="s">
        <v>454</v>
      </c>
      <c r="I499" s="162" t="str">
        <f t="shared" si="120"/>
        <v/>
      </c>
      <c r="J499" s="11" t="s">
        <v>959</v>
      </c>
      <c r="K499" s="673">
        <v>5190</v>
      </c>
      <c r="L499" s="674" t="s">
        <v>45</v>
      </c>
    </row>
    <row r="500" spans="2:12" s="112" customFormat="1" hidden="1">
      <c r="B500" s="45"/>
      <c r="C500" s="45">
        <f t="shared" si="112"/>
        <v>3158</v>
      </c>
      <c r="D500" s="45">
        <f t="shared" si="113"/>
        <v>5</v>
      </c>
      <c r="E500" s="45">
        <f t="shared" si="114"/>
        <v>2017</v>
      </c>
      <c r="F500" s="45">
        <f t="shared" si="119"/>
        <v>0</v>
      </c>
      <c r="G500" s="45" t="s">
        <v>448</v>
      </c>
      <c r="H500" s="45" t="s">
        <v>455</v>
      </c>
      <c r="I500" s="162" t="str">
        <f t="shared" si="120"/>
        <v/>
      </c>
      <c r="J500" s="11" t="s">
        <v>960</v>
      </c>
      <c r="K500" s="675">
        <v>5191</v>
      </c>
      <c r="L500" s="674" t="s">
        <v>2089</v>
      </c>
    </row>
    <row r="501" spans="2:12" s="112" customFormat="1" hidden="1">
      <c r="B501" s="45"/>
      <c r="C501" s="45">
        <f t="shared" si="112"/>
        <v>3158</v>
      </c>
      <c r="D501" s="45">
        <f t="shared" si="113"/>
        <v>5</v>
      </c>
      <c r="E501" s="45">
        <f t="shared" si="114"/>
        <v>2017</v>
      </c>
      <c r="F501" s="45">
        <f t="shared" si="119"/>
        <v>0</v>
      </c>
      <c r="G501" s="45" t="s">
        <v>448</v>
      </c>
      <c r="H501" s="45" t="s">
        <v>456</v>
      </c>
      <c r="I501" s="162" t="str">
        <f t="shared" si="120"/>
        <v/>
      </c>
      <c r="J501" s="11" t="s">
        <v>961</v>
      </c>
      <c r="K501" s="673">
        <v>5192</v>
      </c>
      <c r="L501" s="674" t="s">
        <v>2216</v>
      </c>
    </row>
    <row r="502" spans="2:12" s="112" customFormat="1" hidden="1">
      <c r="B502" s="45"/>
      <c r="C502" s="45">
        <f t="shared" si="112"/>
        <v>3158</v>
      </c>
      <c r="D502" s="45">
        <f t="shared" si="113"/>
        <v>5</v>
      </c>
      <c r="E502" s="45">
        <f t="shared" si="114"/>
        <v>2017</v>
      </c>
      <c r="F502" s="45">
        <f t="shared" si="119"/>
        <v>0</v>
      </c>
      <c r="G502" s="45" t="s">
        <v>448</v>
      </c>
      <c r="H502" s="45" t="s">
        <v>457</v>
      </c>
      <c r="I502" s="162" t="str">
        <f t="shared" si="120"/>
        <v/>
      </c>
      <c r="J502" s="11" t="s">
        <v>962</v>
      </c>
      <c r="K502" s="673">
        <v>5193</v>
      </c>
      <c r="L502" s="674" t="s">
        <v>2158</v>
      </c>
    </row>
    <row r="503" spans="2:12" s="112" customFormat="1" hidden="1">
      <c r="B503" s="45"/>
      <c r="C503" s="45">
        <f t="shared" si="112"/>
        <v>3158</v>
      </c>
      <c r="D503" s="45">
        <f t="shared" si="113"/>
        <v>5</v>
      </c>
      <c r="E503" s="45">
        <f t="shared" si="114"/>
        <v>2017</v>
      </c>
      <c r="F503" s="45">
        <f t="shared" si="119"/>
        <v>0</v>
      </c>
      <c r="G503" s="45" t="s">
        <v>448</v>
      </c>
      <c r="H503" s="45" t="s">
        <v>458</v>
      </c>
      <c r="I503" s="162" t="str">
        <f t="shared" si="120"/>
        <v/>
      </c>
      <c r="J503" s="11" t="s">
        <v>963</v>
      </c>
      <c r="K503" s="673">
        <v>5194</v>
      </c>
      <c r="L503" s="677" t="s">
        <v>2123</v>
      </c>
    </row>
    <row r="504" spans="2:12" s="112" customFormat="1" hidden="1">
      <c r="B504" s="45"/>
      <c r="C504" s="45">
        <f t="shared" si="112"/>
        <v>3158</v>
      </c>
      <c r="D504" s="45">
        <f t="shared" si="113"/>
        <v>5</v>
      </c>
      <c r="E504" s="45">
        <f t="shared" si="114"/>
        <v>2017</v>
      </c>
      <c r="F504" s="45">
        <f t="shared" si="119"/>
        <v>0</v>
      </c>
      <c r="G504" s="45" t="s">
        <v>448</v>
      </c>
      <c r="H504" s="45" t="s">
        <v>460</v>
      </c>
      <c r="I504" s="162" t="str">
        <f t="shared" si="120"/>
        <v/>
      </c>
      <c r="J504" s="11" t="s">
        <v>964</v>
      </c>
      <c r="K504" s="673">
        <v>5197</v>
      </c>
      <c r="L504" s="674" t="s">
        <v>2164</v>
      </c>
    </row>
    <row r="505" spans="2:12" s="112" customFormat="1" hidden="1">
      <c r="B505" s="45"/>
      <c r="C505" s="45">
        <f t="shared" si="112"/>
        <v>3158</v>
      </c>
      <c r="D505" s="45">
        <f t="shared" si="113"/>
        <v>5</v>
      </c>
      <c r="E505" s="45">
        <f t="shared" si="114"/>
        <v>2017</v>
      </c>
      <c r="F505" s="45">
        <f t="shared" ref="F505:F515" si="121">AU$3</f>
        <v>0</v>
      </c>
      <c r="G505" s="45" t="s">
        <v>448</v>
      </c>
      <c r="H505" s="45" t="s">
        <v>449</v>
      </c>
      <c r="I505" s="162" t="str">
        <f t="shared" ref="I505:I515" si="122">IF(ISBLANK(AU4),"",AU4)</f>
        <v/>
      </c>
      <c r="J505" s="11" t="s">
        <v>965</v>
      </c>
      <c r="K505" s="673">
        <v>5199</v>
      </c>
      <c r="L505" s="674" t="s">
        <v>36</v>
      </c>
    </row>
    <row r="506" spans="2:12" s="112" customFormat="1" hidden="1">
      <c r="B506" s="45"/>
      <c r="C506" s="45">
        <f t="shared" si="112"/>
        <v>3158</v>
      </c>
      <c r="D506" s="45">
        <f t="shared" si="113"/>
        <v>5</v>
      </c>
      <c r="E506" s="45">
        <f t="shared" si="114"/>
        <v>2017</v>
      </c>
      <c r="F506" s="45">
        <f t="shared" si="121"/>
        <v>0</v>
      </c>
      <c r="G506" s="45" t="s">
        <v>448</v>
      </c>
      <c r="H506" s="45" t="s">
        <v>450</v>
      </c>
      <c r="I506" s="162" t="str">
        <f t="shared" si="122"/>
        <v/>
      </c>
      <c r="J506" s="11" t="s">
        <v>966</v>
      </c>
      <c r="K506" s="673">
        <v>6000</v>
      </c>
      <c r="L506" s="674" t="s">
        <v>2305</v>
      </c>
    </row>
    <row r="507" spans="2:12" s="112" customFormat="1" hidden="1">
      <c r="B507" s="45"/>
      <c r="C507" s="45">
        <f t="shared" si="112"/>
        <v>3158</v>
      </c>
      <c r="D507" s="45">
        <f t="shared" si="113"/>
        <v>5</v>
      </c>
      <c r="E507" s="45">
        <f t="shared" si="114"/>
        <v>2017</v>
      </c>
      <c r="F507" s="45">
        <f t="shared" si="121"/>
        <v>0</v>
      </c>
      <c r="G507" s="45" t="s">
        <v>448</v>
      </c>
      <c r="H507" s="45" t="s">
        <v>451</v>
      </c>
      <c r="I507" s="162" t="str">
        <f t="shared" si="122"/>
        <v/>
      </c>
      <c r="J507" s="11" t="s">
        <v>967</v>
      </c>
      <c r="K507" s="673">
        <v>6001</v>
      </c>
      <c r="L507" s="674" t="s">
        <v>2306</v>
      </c>
    </row>
    <row r="508" spans="2:12" s="112" customFormat="1" hidden="1">
      <c r="B508" s="45"/>
      <c r="C508" s="45">
        <f t="shared" si="112"/>
        <v>3158</v>
      </c>
      <c r="D508" s="45">
        <f t="shared" si="113"/>
        <v>5</v>
      </c>
      <c r="E508" s="45">
        <f t="shared" si="114"/>
        <v>2017</v>
      </c>
      <c r="F508" s="45">
        <f t="shared" si="121"/>
        <v>0</v>
      </c>
      <c r="G508" s="45" t="s">
        <v>448</v>
      </c>
      <c r="H508" s="45" t="s">
        <v>452</v>
      </c>
      <c r="I508" s="162" t="str">
        <f t="shared" si="122"/>
        <v/>
      </c>
      <c r="J508" s="11" t="s">
        <v>968</v>
      </c>
      <c r="K508" s="673">
        <v>6002</v>
      </c>
      <c r="L508" s="674" t="s">
        <v>2307</v>
      </c>
    </row>
    <row r="509" spans="2:12" s="112" customFormat="1" hidden="1">
      <c r="B509" s="45"/>
      <c r="C509" s="45">
        <f t="shared" si="112"/>
        <v>3158</v>
      </c>
      <c r="D509" s="45">
        <f t="shared" si="113"/>
        <v>5</v>
      </c>
      <c r="E509" s="45">
        <f t="shared" si="114"/>
        <v>2017</v>
      </c>
      <c r="F509" s="45">
        <f t="shared" si="121"/>
        <v>0</v>
      </c>
      <c r="G509" s="45" t="s">
        <v>448</v>
      </c>
      <c r="H509" s="45" t="s">
        <v>453</v>
      </c>
      <c r="I509" s="162" t="str">
        <f t="shared" si="122"/>
        <v/>
      </c>
      <c r="J509" s="11" t="s">
        <v>969</v>
      </c>
      <c r="K509" s="673">
        <v>6003</v>
      </c>
      <c r="L509" s="674" t="s">
        <v>324</v>
      </c>
    </row>
    <row r="510" spans="2:12" s="112" customFormat="1" hidden="1">
      <c r="B510" s="45"/>
      <c r="C510" s="45">
        <f t="shared" si="112"/>
        <v>3158</v>
      </c>
      <c r="D510" s="45">
        <f t="shared" si="113"/>
        <v>5</v>
      </c>
      <c r="E510" s="45">
        <f t="shared" si="114"/>
        <v>2017</v>
      </c>
      <c r="F510" s="45">
        <f t="shared" si="121"/>
        <v>0</v>
      </c>
      <c r="G510" s="45" t="s">
        <v>448</v>
      </c>
      <c r="H510" s="45" t="s">
        <v>454</v>
      </c>
      <c r="I510" s="162" t="str">
        <f t="shared" si="122"/>
        <v/>
      </c>
      <c r="J510" s="11" t="s">
        <v>970</v>
      </c>
      <c r="K510" s="673">
        <v>6004</v>
      </c>
      <c r="L510" s="674" t="s">
        <v>2197</v>
      </c>
    </row>
    <row r="511" spans="2:12" s="112" customFormat="1" hidden="1">
      <c r="B511" s="45"/>
      <c r="C511" s="45">
        <f t="shared" si="112"/>
        <v>3158</v>
      </c>
      <c r="D511" s="45">
        <f t="shared" si="113"/>
        <v>5</v>
      </c>
      <c r="E511" s="45">
        <f t="shared" si="114"/>
        <v>2017</v>
      </c>
      <c r="F511" s="45">
        <f t="shared" si="121"/>
        <v>0</v>
      </c>
      <c r="G511" s="45" t="s">
        <v>448</v>
      </c>
      <c r="H511" s="45" t="s">
        <v>455</v>
      </c>
      <c r="I511" s="162" t="str">
        <f t="shared" si="122"/>
        <v/>
      </c>
      <c r="J511" s="11" t="s">
        <v>971</v>
      </c>
      <c r="K511" s="673">
        <v>6005</v>
      </c>
      <c r="L511" s="674" t="s">
        <v>2685</v>
      </c>
    </row>
    <row r="512" spans="2:12" s="112" customFormat="1" hidden="1">
      <c r="B512" s="45"/>
      <c r="C512" s="45">
        <f t="shared" si="112"/>
        <v>3158</v>
      </c>
      <c r="D512" s="45">
        <f t="shared" si="113"/>
        <v>5</v>
      </c>
      <c r="E512" s="45">
        <f t="shared" si="114"/>
        <v>2017</v>
      </c>
      <c r="F512" s="45">
        <f t="shared" si="121"/>
        <v>0</v>
      </c>
      <c r="G512" s="45" t="s">
        <v>448</v>
      </c>
      <c r="H512" s="45" t="s">
        <v>456</v>
      </c>
      <c r="I512" s="162" t="str">
        <f t="shared" si="122"/>
        <v/>
      </c>
      <c r="J512" s="11" t="s">
        <v>972</v>
      </c>
      <c r="K512" s="673">
        <v>6007</v>
      </c>
      <c r="L512" s="674" t="s">
        <v>2226</v>
      </c>
    </row>
    <row r="513" spans="2:12" s="112" customFormat="1" hidden="1">
      <c r="B513" s="45"/>
      <c r="C513" s="45">
        <f t="shared" si="112"/>
        <v>3158</v>
      </c>
      <c r="D513" s="45">
        <f t="shared" si="113"/>
        <v>5</v>
      </c>
      <c r="E513" s="45">
        <f t="shared" si="114"/>
        <v>2017</v>
      </c>
      <c r="F513" s="45">
        <f t="shared" si="121"/>
        <v>0</v>
      </c>
      <c r="G513" s="45" t="s">
        <v>448</v>
      </c>
      <c r="H513" s="45" t="s">
        <v>457</v>
      </c>
      <c r="I513" s="162" t="str">
        <f t="shared" si="122"/>
        <v/>
      </c>
      <c r="J513" s="11" t="s">
        <v>973</v>
      </c>
      <c r="K513" s="673">
        <v>6011</v>
      </c>
      <c r="L513" s="674" t="s">
        <v>2308</v>
      </c>
    </row>
    <row r="514" spans="2:12" s="112" customFormat="1" hidden="1">
      <c r="B514" s="45"/>
      <c r="C514" s="45">
        <f t="shared" si="112"/>
        <v>3158</v>
      </c>
      <c r="D514" s="45">
        <f t="shared" si="113"/>
        <v>5</v>
      </c>
      <c r="E514" s="45">
        <f t="shared" si="114"/>
        <v>2017</v>
      </c>
      <c r="F514" s="45">
        <f t="shared" si="121"/>
        <v>0</v>
      </c>
      <c r="G514" s="45" t="s">
        <v>448</v>
      </c>
      <c r="H514" s="45" t="s">
        <v>458</v>
      </c>
      <c r="I514" s="162" t="str">
        <f t="shared" si="122"/>
        <v/>
      </c>
      <c r="J514" s="11" t="s">
        <v>974</v>
      </c>
      <c r="K514" s="679">
        <v>6012</v>
      </c>
      <c r="L514" s="678" t="s">
        <v>2151</v>
      </c>
    </row>
    <row r="515" spans="2:12" s="112" customFormat="1" hidden="1">
      <c r="B515" s="45"/>
      <c r="C515" s="45">
        <f t="shared" si="112"/>
        <v>3158</v>
      </c>
      <c r="D515" s="45">
        <f t="shared" si="113"/>
        <v>5</v>
      </c>
      <c r="E515" s="45">
        <f t="shared" si="114"/>
        <v>2017</v>
      </c>
      <c r="F515" s="45">
        <f t="shared" si="121"/>
        <v>0</v>
      </c>
      <c r="G515" s="45" t="s">
        <v>448</v>
      </c>
      <c r="H515" s="45" t="s">
        <v>460</v>
      </c>
      <c r="I515" s="162" t="str">
        <f t="shared" si="122"/>
        <v/>
      </c>
      <c r="J515" s="11" t="s">
        <v>975</v>
      </c>
      <c r="K515" s="673">
        <v>6014</v>
      </c>
      <c r="L515" s="674" t="s">
        <v>2383</v>
      </c>
    </row>
    <row r="516" spans="2:12" s="112" customFormat="1" hidden="1">
      <c r="B516" s="45"/>
      <c r="C516" s="45">
        <f t="shared" si="112"/>
        <v>3158</v>
      </c>
      <c r="D516" s="45">
        <f t="shared" si="113"/>
        <v>5</v>
      </c>
      <c r="E516" s="45">
        <f t="shared" si="114"/>
        <v>2017</v>
      </c>
      <c r="F516" s="45">
        <f t="shared" ref="F516:F526" si="123">AV$3</f>
        <v>0</v>
      </c>
      <c r="G516" s="45" t="s">
        <v>448</v>
      </c>
      <c r="H516" s="45" t="s">
        <v>449</v>
      </c>
      <c r="I516" s="162" t="str">
        <f t="shared" ref="I516:I526" si="124">IF(ISBLANK(AV4),"",AV4)</f>
        <v/>
      </c>
      <c r="J516" s="11" t="s">
        <v>976</v>
      </c>
      <c r="K516" s="673">
        <v>6015</v>
      </c>
      <c r="L516" s="674" t="s">
        <v>2229</v>
      </c>
    </row>
    <row r="517" spans="2:12" s="112" customFormat="1" hidden="1">
      <c r="B517" s="45"/>
      <c r="C517" s="45">
        <f t="shared" si="112"/>
        <v>3158</v>
      </c>
      <c r="D517" s="45">
        <f t="shared" si="113"/>
        <v>5</v>
      </c>
      <c r="E517" s="45">
        <f t="shared" si="114"/>
        <v>2017</v>
      </c>
      <c r="F517" s="45">
        <f t="shared" si="123"/>
        <v>0</v>
      </c>
      <c r="G517" s="45" t="s">
        <v>448</v>
      </c>
      <c r="H517" s="45" t="s">
        <v>450</v>
      </c>
      <c r="I517" s="162" t="str">
        <f t="shared" si="124"/>
        <v/>
      </c>
      <c r="J517" s="11" t="s">
        <v>977</v>
      </c>
      <c r="K517" s="673">
        <v>6016</v>
      </c>
      <c r="L517" s="674" t="s">
        <v>2230</v>
      </c>
    </row>
    <row r="518" spans="2:12" s="112" customFormat="1" hidden="1">
      <c r="B518" s="45"/>
      <c r="C518" s="45">
        <f t="shared" si="112"/>
        <v>3158</v>
      </c>
      <c r="D518" s="45">
        <f t="shared" si="113"/>
        <v>5</v>
      </c>
      <c r="E518" s="45">
        <f t="shared" si="114"/>
        <v>2017</v>
      </c>
      <c r="F518" s="45">
        <f t="shared" si="123"/>
        <v>0</v>
      </c>
      <c r="G518" s="45" t="s">
        <v>448</v>
      </c>
      <c r="H518" s="45" t="s">
        <v>451</v>
      </c>
      <c r="I518" s="162" t="str">
        <f t="shared" si="124"/>
        <v/>
      </c>
      <c r="J518" s="11" t="s">
        <v>978</v>
      </c>
      <c r="K518" s="673">
        <v>6017</v>
      </c>
      <c r="L518" s="674" t="s">
        <v>2231</v>
      </c>
    </row>
    <row r="519" spans="2:12" s="112" customFormat="1" hidden="1">
      <c r="B519" s="45"/>
      <c r="C519" s="45">
        <f t="shared" si="112"/>
        <v>3158</v>
      </c>
      <c r="D519" s="45">
        <f t="shared" si="113"/>
        <v>5</v>
      </c>
      <c r="E519" s="45">
        <f t="shared" si="114"/>
        <v>2017</v>
      </c>
      <c r="F519" s="45">
        <f t="shared" si="123"/>
        <v>0</v>
      </c>
      <c r="G519" s="45" t="s">
        <v>448</v>
      </c>
      <c r="H519" s="45" t="s">
        <v>452</v>
      </c>
      <c r="I519" s="162" t="str">
        <f t="shared" si="124"/>
        <v/>
      </c>
      <c r="J519" s="11" t="s">
        <v>979</v>
      </c>
      <c r="K519" s="673">
        <v>6018</v>
      </c>
      <c r="L519" s="674" t="s">
        <v>2232</v>
      </c>
    </row>
    <row r="520" spans="2:12" s="112" customFormat="1" hidden="1">
      <c r="B520" s="45"/>
      <c r="C520" s="45">
        <f t="shared" si="112"/>
        <v>3158</v>
      </c>
      <c r="D520" s="45">
        <f t="shared" si="113"/>
        <v>5</v>
      </c>
      <c r="E520" s="45">
        <f t="shared" si="114"/>
        <v>2017</v>
      </c>
      <c r="F520" s="45">
        <f t="shared" si="123"/>
        <v>0</v>
      </c>
      <c r="G520" s="45" t="s">
        <v>448</v>
      </c>
      <c r="H520" s="45" t="s">
        <v>453</v>
      </c>
      <c r="I520" s="162" t="str">
        <f t="shared" si="124"/>
        <v/>
      </c>
      <c r="J520" s="11" t="s">
        <v>980</v>
      </c>
      <c r="K520" s="673">
        <v>6019</v>
      </c>
      <c r="L520" s="674" t="s">
        <v>2233</v>
      </c>
    </row>
    <row r="521" spans="2:12" s="112" customFormat="1" hidden="1">
      <c r="B521" s="45"/>
      <c r="C521" s="45">
        <f t="shared" si="112"/>
        <v>3158</v>
      </c>
      <c r="D521" s="45">
        <f t="shared" si="113"/>
        <v>5</v>
      </c>
      <c r="E521" s="45">
        <f t="shared" si="114"/>
        <v>2017</v>
      </c>
      <c r="F521" s="45">
        <f t="shared" si="123"/>
        <v>0</v>
      </c>
      <c r="G521" s="45" t="s">
        <v>448</v>
      </c>
      <c r="H521" s="45" t="s">
        <v>454</v>
      </c>
      <c r="I521" s="162" t="str">
        <f t="shared" si="124"/>
        <v/>
      </c>
      <c r="J521" s="11" t="s">
        <v>981</v>
      </c>
      <c r="K521" s="673">
        <v>6020</v>
      </c>
      <c r="L521" s="674" t="s">
        <v>2234</v>
      </c>
    </row>
    <row r="522" spans="2:12" s="112" customFormat="1" hidden="1">
      <c r="B522" s="45"/>
      <c r="C522" s="45">
        <f t="shared" si="112"/>
        <v>3158</v>
      </c>
      <c r="D522" s="45">
        <f t="shared" si="113"/>
        <v>5</v>
      </c>
      <c r="E522" s="45">
        <f t="shared" si="114"/>
        <v>2017</v>
      </c>
      <c r="F522" s="45">
        <f t="shared" si="123"/>
        <v>0</v>
      </c>
      <c r="G522" s="45" t="s">
        <v>448</v>
      </c>
      <c r="H522" s="45" t="s">
        <v>455</v>
      </c>
      <c r="I522" s="162" t="str">
        <f t="shared" si="124"/>
        <v/>
      </c>
      <c r="J522" s="11" t="s">
        <v>982</v>
      </c>
      <c r="K522" s="673">
        <v>6021</v>
      </c>
      <c r="L522" s="674" t="s">
        <v>2235</v>
      </c>
    </row>
    <row r="523" spans="2:12" s="112" customFormat="1" hidden="1">
      <c r="B523" s="45"/>
      <c r="C523" s="45">
        <f t="shared" si="112"/>
        <v>3158</v>
      </c>
      <c r="D523" s="45">
        <f t="shared" si="113"/>
        <v>5</v>
      </c>
      <c r="E523" s="45">
        <f t="shared" si="114"/>
        <v>2017</v>
      </c>
      <c r="F523" s="45">
        <f t="shared" si="123"/>
        <v>0</v>
      </c>
      <c r="G523" s="45" t="s">
        <v>448</v>
      </c>
      <c r="H523" s="45" t="s">
        <v>456</v>
      </c>
      <c r="I523" s="162" t="str">
        <f t="shared" si="124"/>
        <v/>
      </c>
      <c r="J523" s="11" t="s">
        <v>983</v>
      </c>
      <c r="K523" s="673">
        <v>6022</v>
      </c>
      <c r="L523" s="674" t="s">
        <v>2236</v>
      </c>
    </row>
    <row r="524" spans="2:12" s="112" customFormat="1" hidden="1">
      <c r="B524" s="45"/>
      <c r="C524" s="45">
        <f t="shared" si="112"/>
        <v>3158</v>
      </c>
      <c r="D524" s="45">
        <f t="shared" si="113"/>
        <v>5</v>
      </c>
      <c r="E524" s="45">
        <f t="shared" si="114"/>
        <v>2017</v>
      </c>
      <c r="F524" s="45">
        <f t="shared" si="123"/>
        <v>0</v>
      </c>
      <c r="G524" s="45" t="s">
        <v>448</v>
      </c>
      <c r="H524" s="45" t="s">
        <v>457</v>
      </c>
      <c r="I524" s="162" t="str">
        <f t="shared" si="124"/>
        <v/>
      </c>
      <c r="J524" s="11" t="s">
        <v>984</v>
      </c>
      <c r="K524" s="673">
        <v>6023</v>
      </c>
      <c r="L524" s="674" t="s">
        <v>2237</v>
      </c>
    </row>
    <row r="525" spans="2:12" s="112" customFormat="1" hidden="1">
      <c r="B525" s="45"/>
      <c r="C525" s="45">
        <f t="shared" si="112"/>
        <v>3158</v>
      </c>
      <c r="D525" s="45">
        <f t="shared" si="113"/>
        <v>5</v>
      </c>
      <c r="E525" s="45">
        <f t="shared" si="114"/>
        <v>2017</v>
      </c>
      <c r="F525" s="45">
        <f t="shared" si="123"/>
        <v>0</v>
      </c>
      <c r="G525" s="45" t="s">
        <v>448</v>
      </c>
      <c r="H525" s="45" t="s">
        <v>458</v>
      </c>
      <c r="I525" s="162" t="str">
        <f t="shared" si="124"/>
        <v/>
      </c>
      <c r="J525" s="11" t="s">
        <v>985</v>
      </c>
      <c r="K525" s="673">
        <v>6024</v>
      </c>
      <c r="L525" s="674" t="s">
        <v>2238</v>
      </c>
    </row>
    <row r="526" spans="2:12" s="112" customFormat="1" hidden="1">
      <c r="B526" s="45"/>
      <c r="C526" s="45">
        <f t="shared" si="112"/>
        <v>3158</v>
      </c>
      <c r="D526" s="45">
        <f t="shared" si="113"/>
        <v>5</v>
      </c>
      <c r="E526" s="45">
        <f t="shared" si="114"/>
        <v>2017</v>
      </c>
      <c r="F526" s="45">
        <f t="shared" si="123"/>
        <v>0</v>
      </c>
      <c r="G526" s="45" t="s">
        <v>448</v>
      </c>
      <c r="H526" s="45" t="s">
        <v>460</v>
      </c>
      <c r="I526" s="162" t="str">
        <f t="shared" si="124"/>
        <v/>
      </c>
      <c r="J526" s="11" t="s">
        <v>986</v>
      </c>
      <c r="K526" s="673">
        <v>6025</v>
      </c>
      <c r="L526" s="674" t="s">
        <v>2239</v>
      </c>
    </row>
    <row r="527" spans="2:12" s="112" customFormat="1" hidden="1">
      <c r="B527" s="45"/>
      <c r="C527" s="45">
        <f t="shared" si="112"/>
        <v>3158</v>
      </c>
      <c r="D527" s="45">
        <f t="shared" si="113"/>
        <v>5</v>
      </c>
      <c r="E527" s="45">
        <f t="shared" si="114"/>
        <v>2017</v>
      </c>
      <c r="F527" s="45">
        <f t="shared" ref="F527:F537" si="125">AW$3</f>
        <v>0</v>
      </c>
      <c r="G527" s="45" t="s">
        <v>448</v>
      </c>
      <c r="H527" s="45" t="s">
        <v>449</v>
      </c>
      <c r="I527" s="162" t="str">
        <f t="shared" ref="I527:I537" si="126">IF(ISBLANK(AW4),"",AW4)</f>
        <v/>
      </c>
      <c r="J527" s="11" t="s">
        <v>987</v>
      </c>
      <c r="K527" s="673">
        <v>6026</v>
      </c>
      <c r="L527" s="674" t="s">
        <v>2240</v>
      </c>
    </row>
    <row r="528" spans="2:12" s="112" customFormat="1" hidden="1">
      <c r="B528" s="45"/>
      <c r="C528" s="45">
        <f t="shared" si="112"/>
        <v>3158</v>
      </c>
      <c r="D528" s="45">
        <f t="shared" si="113"/>
        <v>5</v>
      </c>
      <c r="E528" s="45">
        <f t="shared" si="114"/>
        <v>2017</v>
      </c>
      <c r="F528" s="45">
        <f t="shared" si="125"/>
        <v>0</v>
      </c>
      <c r="G528" s="45" t="s">
        <v>448</v>
      </c>
      <c r="H528" s="45" t="s">
        <v>450</v>
      </c>
      <c r="I528" s="162" t="str">
        <f t="shared" si="126"/>
        <v/>
      </c>
      <c r="J528" s="11" t="s">
        <v>988</v>
      </c>
      <c r="K528" s="673">
        <v>6027</v>
      </c>
      <c r="L528" s="674" t="s">
        <v>2241</v>
      </c>
    </row>
    <row r="529" spans="2:12" s="112" customFormat="1" hidden="1">
      <c r="B529" s="45"/>
      <c r="C529" s="45">
        <f t="shared" si="112"/>
        <v>3158</v>
      </c>
      <c r="D529" s="45">
        <f t="shared" si="113"/>
        <v>5</v>
      </c>
      <c r="E529" s="45">
        <f t="shared" si="114"/>
        <v>2017</v>
      </c>
      <c r="F529" s="45">
        <f t="shared" si="125"/>
        <v>0</v>
      </c>
      <c r="G529" s="45" t="s">
        <v>448</v>
      </c>
      <c r="H529" s="45" t="s">
        <v>451</v>
      </c>
      <c r="I529" s="162" t="str">
        <f t="shared" si="126"/>
        <v/>
      </c>
      <c r="J529" s="11" t="s">
        <v>989</v>
      </c>
      <c r="K529" s="673">
        <v>6028</v>
      </c>
      <c r="L529" s="674" t="s">
        <v>2242</v>
      </c>
    </row>
    <row r="530" spans="2:12" s="112" customFormat="1" hidden="1">
      <c r="B530" s="45"/>
      <c r="C530" s="45">
        <f t="shared" si="112"/>
        <v>3158</v>
      </c>
      <c r="D530" s="45">
        <f t="shared" si="113"/>
        <v>5</v>
      </c>
      <c r="E530" s="45">
        <f t="shared" si="114"/>
        <v>2017</v>
      </c>
      <c r="F530" s="45">
        <f t="shared" si="125"/>
        <v>0</v>
      </c>
      <c r="G530" s="45" t="s">
        <v>448</v>
      </c>
      <c r="H530" s="45" t="s">
        <v>452</v>
      </c>
      <c r="I530" s="162" t="str">
        <f t="shared" si="126"/>
        <v/>
      </c>
      <c r="J530" s="11" t="s">
        <v>990</v>
      </c>
      <c r="K530" s="673">
        <v>6029</v>
      </c>
      <c r="L530" s="674" t="s">
        <v>2243</v>
      </c>
    </row>
    <row r="531" spans="2:12" s="112" customFormat="1" hidden="1">
      <c r="B531" s="45"/>
      <c r="C531" s="45">
        <f t="shared" si="112"/>
        <v>3158</v>
      </c>
      <c r="D531" s="45">
        <f t="shared" si="113"/>
        <v>5</v>
      </c>
      <c r="E531" s="45">
        <f t="shared" si="114"/>
        <v>2017</v>
      </c>
      <c r="F531" s="45">
        <f t="shared" si="125"/>
        <v>0</v>
      </c>
      <c r="G531" s="45" t="s">
        <v>448</v>
      </c>
      <c r="H531" s="45" t="s">
        <v>453</v>
      </c>
      <c r="I531" s="162" t="str">
        <f t="shared" si="126"/>
        <v/>
      </c>
      <c r="J531" s="11" t="s">
        <v>991</v>
      </c>
      <c r="K531" s="673">
        <v>6030</v>
      </c>
      <c r="L531" s="674" t="s">
        <v>2244</v>
      </c>
    </row>
    <row r="532" spans="2:12" s="112" customFormat="1" hidden="1">
      <c r="B532" s="45"/>
      <c r="C532" s="45">
        <f t="shared" si="112"/>
        <v>3158</v>
      </c>
      <c r="D532" s="45">
        <f t="shared" si="113"/>
        <v>5</v>
      </c>
      <c r="E532" s="45">
        <f t="shared" si="114"/>
        <v>2017</v>
      </c>
      <c r="F532" s="45">
        <f t="shared" si="125"/>
        <v>0</v>
      </c>
      <c r="G532" s="45" t="s">
        <v>448</v>
      </c>
      <c r="H532" s="45" t="s">
        <v>454</v>
      </c>
      <c r="I532" s="162" t="str">
        <f t="shared" si="126"/>
        <v/>
      </c>
      <c r="J532" s="11" t="s">
        <v>992</v>
      </c>
      <c r="K532" s="673">
        <v>6031</v>
      </c>
      <c r="L532" s="674" t="s">
        <v>2245</v>
      </c>
    </row>
    <row r="533" spans="2:12" s="112" customFormat="1" hidden="1">
      <c r="B533" s="45"/>
      <c r="C533" s="45">
        <f t="shared" si="112"/>
        <v>3158</v>
      </c>
      <c r="D533" s="45">
        <f t="shared" si="113"/>
        <v>5</v>
      </c>
      <c r="E533" s="45">
        <f t="shared" si="114"/>
        <v>2017</v>
      </c>
      <c r="F533" s="45">
        <f t="shared" si="125"/>
        <v>0</v>
      </c>
      <c r="G533" s="45" t="s">
        <v>448</v>
      </c>
      <c r="H533" s="45" t="s">
        <v>455</v>
      </c>
      <c r="I533" s="162" t="str">
        <f t="shared" si="126"/>
        <v/>
      </c>
      <c r="J533" s="11" t="s">
        <v>993</v>
      </c>
      <c r="K533" s="673">
        <v>6032</v>
      </c>
      <c r="L533" s="674" t="s">
        <v>2246</v>
      </c>
    </row>
    <row r="534" spans="2:12" s="112" customFormat="1" hidden="1">
      <c r="B534" s="45"/>
      <c r="C534" s="45">
        <f t="shared" ref="C534:C597" si="127">H$1</f>
        <v>3158</v>
      </c>
      <c r="D534" s="45">
        <f t="shared" ref="D534:D597" si="128">K$1</f>
        <v>5</v>
      </c>
      <c r="E534" s="45">
        <f t="shared" si="114"/>
        <v>2017</v>
      </c>
      <c r="F534" s="45">
        <f t="shared" si="125"/>
        <v>0</v>
      </c>
      <c r="G534" s="45" t="s">
        <v>448</v>
      </c>
      <c r="H534" s="45" t="s">
        <v>456</v>
      </c>
      <c r="I534" s="162" t="str">
        <f t="shared" si="126"/>
        <v/>
      </c>
      <c r="J534" s="11" t="s">
        <v>994</v>
      </c>
      <c r="K534" s="673">
        <v>6033</v>
      </c>
      <c r="L534" s="674" t="s">
        <v>2247</v>
      </c>
    </row>
    <row r="535" spans="2:12" s="112" customFormat="1" hidden="1">
      <c r="B535" s="45"/>
      <c r="C535" s="45">
        <f t="shared" si="127"/>
        <v>3158</v>
      </c>
      <c r="D535" s="45">
        <f t="shared" si="128"/>
        <v>5</v>
      </c>
      <c r="E535" s="45">
        <f t="shared" si="114"/>
        <v>2017</v>
      </c>
      <c r="F535" s="45">
        <f t="shared" si="125"/>
        <v>0</v>
      </c>
      <c r="G535" s="45" t="s">
        <v>448</v>
      </c>
      <c r="H535" s="45" t="s">
        <v>457</v>
      </c>
      <c r="I535" s="162" t="str">
        <f t="shared" si="126"/>
        <v/>
      </c>
      <c r="J535" s="11" t="s">
        <v>995</v>
      </c>
      <c r="K535" s="673">
        <v>6034</v>
      </c>
      <c r="L535" s="674" t="s">
        <v>2248</v>
      </c>
    </row>
    <row r="536" spans="2:12" s="112" customFormat="1" hidden="1">
      <c r="B536" s="45"/>
      <c r="C536" s="45">
        <f t="shared" si="127"/>
        <v>3158</v>
      </c>
      <c r="D536" s="45">
        <f t="shared" si="128"/>
        <v>5</v>
      </c>
      <c r="E536" s="45">
        <f t="shared" ref="E536:E599" si="129">D$1</f>
        <v>2017</v>
      </c>
      <c r="F536" s="45">
        <f t="shared" si="125"/>
        <v>0</v>
      </c>
      <c r="G536" s="45" t="s">
        <v>448</v>
      </c>
      <c r="H536" s="45" t="s">
        <v>458</v>
      </c>
      <c r="I536" s="162" t="str">
        <f t="shared" si="126"/>
        <v/>
      </c>
      <c r="J536" s="11" t="s">
        <v>996</v>
      </c>
      <c r="K536" s="673">
        <v>6035</v>
      </c>
      <c r="L536" s="674" t="s">
        <v>2249</v>
      </c>
    </row>
    <row r="537" spans="2:12" s="112" customFormat="1" hidden="1">
      <c r="B537" s="45"/>
      <c r="C537" s="45">
        <f t="shared" si="127"/>
        <v>3158</v>
      </c>
      <c r="D537" s="45">
        <f t="shared" si="128"/>
        <v>5</v>
      </c>
      <c r="E537" s="45">
        <f t="shared" si="129"/>
        <v>2017</v>
      </c>
      <c r="F537" s="45">
        <f t="shared" si="125"/>
        <v>0</v>
      </c>
      <c r="G537" s="45" t="s">
        <v>448</v>
      </c>
      <c r="H537" s="45" t="s">
        <v>460</v>
      </c>
      <c r="I537" s="162" t="str">
        <f t="shared" si="126"/>
        <v/>
      </c>
      <c r="J537" s="11" t="s">
        <v>997</v>
      </c>
      <c r="K537" s="673">
        <v>6036</v>
      </c>
      <c r="L537" s="674" t="s">
        <v>2250</v>
      </c>
    </row>
    <row r="538" spans="2:12" s="112" customFormat="1" hidden="1">
      <c r="B538" s="45"/>
      <c r="C538" s="45">
        <f t="shared" si="127"/>
        <v>3158</v>
      </c>
      <c r="D538" s="45">
        <f t="shared" si="128"/>
        <v>5</v>
      </c>
      <c r="E538" s="45">
        <f t="shared" si="129"/>
        <v>2017</v>
      </c>
      <c r="F538" s="45">
        <f t="shared" ref="F538:F548" si="130">AX$3</f>
        <v>0</v>
      </c>
      <c r="G538" s="45" t="s">
        <v>448</v>
      </c>
      <c r="H538" s="45" t="s">
        <v>449</v>
      </c>
      <c r="I538" s="162" t="str">
        <f t="shared" ref="I538:I548" si="131">IF(ISBLANK(AX4),"",AX4)</f>
        <v/>
      </c>
      <c r="J538" s="11" t="s">
        <v>998</v>
      </c>
      <c r="K538" s="673">
        <v>6037</v>
      </c>
      <c r="L538" s="674" t="s">
        <v>2251</v>
      </c>
    </row>
    <row r="539" spans="2:12" s="112" customFormat="1" hidden="1">
      <c r="B539" s="45"/>
      <c r="C539" s="45">
        <f t="shared" si="127"/>
        <v>3158</v>
      </c>
      <c r="D539" s="45">
        <f t="shared" si="128"/>
        <v>5</v>
      </c>
      <c r="E539" s="45">
        <f t="shared" si="129"/>
        <v>2017</v>
      </c>
      <c r="F539" s="45">
        <f t="shared" si="130"/>
        <v>0</v>
      </c>
      <c r="G539" s="45" t="s">
        <v>448</v>
      </c>
      <c r="H539" s="45" t="s">
        <v>450</v>
      </c>
      <c r="I539" s="162" t="str">
        <f t="shared" si="131"/>
        <v/>
      </c>
      <c r="J539" s="11" t="s">
        <v>999</v>
      </c>
      <c r="K539" s="673">
        <v>6038</v>
      </c>
      <c r="L539" s="674" t="s">
        <v>2252</v>
      </c>
    </row>
    <row r="540" spans="2:12" s="112" customFormat="1" hidden="1">
      <c r="B540" s="45"/>
      <c r="C540" s="45">
        <f t="shared" si="127"/>
        <v>3158</v>
      </c>
      <c r="D540" s="45">
        <f t="shared" si="128"/>
        <v>5</v>
      </c>
      <c r="E540" s="45">
        <f t="shared" si="129"/>
        <v>2017</v>
      </c>
      <c r="F540" s="45">
        <f t="shared" si="130"/>
        <v>0</v>
      </c>
      <c r="G540" s="45" t="s">
        <v>448</v>
      </c>
      <c r="H540" s="45" t="s">
        <v>451</v>
      </c>
      <c r="I540" s="162" t="str">
        <f t="shared" si="131"/>
        <v/>
      </c>
      <c r="J540" s="11" t="s">
        <v>1000</v>
      </c>
      <c r="K540" s="673">
        <v>6039</v>
      </c>
      <c r="L540" s="674" t="s">
        <v>2253</v>
      </c>
    </row>
    <row r="541" spans="2:12" s="112" customFormat="1" hidden="1">
      <c r="B541" s="45"/>
      <c r="C541" s="45">
        <f t="shared" si="127"/>
        <v>3158</v>
      </c>
      <c r="D541" s="45">
        <f t="shared" si="128"/>
        <v>5</v>
      </c>
      <c r="E541" s="45">
        <f t="shared" si="129"/>
        <v>2017</v>
      </c>
      <c r="F541" s="45">
        <f t="shared" si="130"/>
        <v>0</v>
      </c>
      <c r="G541" s="45" t="s">
        <v>448</v>
      </c>
      <c r="H541" s="45" t="s">
        <v>452</v>
      </c>
      <c r="I541" s="162" t="str">
        <f t="shared" si="131"/>
        <v/>
      </c>
      <c r="J541" s="11" t="s">
        <v>1001</v>
      </c>
      <c r="K541" s="673">
        <v>6040</v>
      </c>
      <c r="L541" s="674" t="s">
        <v>2254</v>
      </c>
    </row>
    <row r="542" spans="2:12" s="112" customFormat="1" hidden="1">
      <c r="B542" s="45"/>
      <c r="C542" s="45">
        <f t="shared" si="127"/>
        <v>3158</v>
      </c>
      <c r="D542" s="45">
        <f t="shared" si="128"/>
        <v>5</v>
      </c>
      <c r="E542" s="45">
        <f t="shared" si="129"/>
        <v>2017</v>
      </c>
      <c r="F542" s="45">
        <f t="shared" si="130"/>
        <v>0</v>
      </c>
      <c r="G542" s="45" t="s">
        <v>448</v>
      </c>
      <c r="H542" s="45" t="s">
        <v>453</v>
      </c>
      <c r="I542" s="162" t="str">
        <f t="shared" si="131"/>
        <v/>
      </c>
      <c r="J542" s="11" t="s">
        <v>1002</v>
      </c>
      <c r="K542" s="673">
        <v>6041</v>
      </c>
      <c r="L542" s="674" t="s">
        <v>2255</v>
      </c>
    </row>
    <row r="543" spans="2:12" s="112" customFormat="1" hidden="1">
      <c r="B543" s="45"/>
      <c r="C543" s="45">
        <f t="shared" si="127"/>
        <v>3158</v>
      </c>
      <c r="D543" s="45">
        <f t="shared" si="128"/>
        <v>5</v>
      </c>
      <c r="E543" s="45">
        <f t="shared" si="129"/>
        <v>2017</v>
      </c>
      <c r="F543" s="45">
        <f t="shared" si="130"/>
        <v>0</v>
      </c>
      <c r="G543" s="45" t="s">
        <v>448</v>
      </c>
      <c r="H543" s="45" t="s">
        <v>454</v>
      </c>
      <c r="I543" s="162" t="str">
        <f t="shared" si="131"/>
        <v/>
      </c>
      <c r="J543" s="11" t="s">
        <v>1003</v>
      </c>
      <c r="K543" s="673">
        <v>6042</v>
      </c>
      <c r="L543" s="674" t="s">
        <v>2256</v>
      </c>
    </row>
    <row r="544" spans="2:12" s="112" customFormat="1" hidden="1">
      <c r="B544" s="45"/>
      <c r="C544" s="45">
        <f t="shared" si="127"/>
        <v>3158</v>
      </c>
      <c r="D544" s="45">
        <f t="shared" si="128"/>
        <v>5</v>
      </c>
      <c r="E544" s="45">
        <f t="shared" si="129"/>
        <v>2017</v>
      </c>
      <c r="F544" s="45">
        <f t="shared" si="130"/>
        <v>0</v>
      </c>
      <c r="G544" s="45" t="s">
        <v>448</v>
      </c>
      <c r="H544" s="45" t="s">
        <v>455</v>
      </c>
      <c r="I544" s="162" t="str">
        <f t="shared" si="131"/>
        <v/>
      </c>
      <c r="J544" s="11" t="s">
        <v>1004</v>
      </c>
      <c r="K544" s="673">
        <v>6043</v>
      </c>
      <c r="L544" s="674" t="s">
        <v>2257</v>
      </c>
    </row>
    <row r="545" spans="2:12" s="112" customFormat="1" hidden="1">
      <c r="B545" s="45"/>
      <c r="C545" s="45">
        <f t="shared" si="127"/>
        <v>3158</v>
      </c>
      <c r="D545" s="45">
        <f t="shared" si="128"/>
        <v>5</v>
      </c>
      <c r="E545" s="45">
        <f t="shared" si="129"/>
        <v>2017</v>
      </c>
      <c r="F545" s="45">
        <f t="shared" si="130"/>
        <v>0</v>
      </c>
      <c r="G545" s="45" t="s">
        <v>448</v>
      </c>
      <c r="H545" s="45" t="s">
        <v>456</v>
      </c>
      <c r="I545" s="162" t="str">
        <f t="shared" si="131"/>
        <v/>
      </c>
      <c r="J545" s="11" t="s">
        <v>1005</v>
      </c>
      <c r="K545" s="673">
        <v>6044</v>
      </c>
      <c r="L545" s="674" t="s">
        <v>2258</v>
      </c>
    </row>
    <row r="546" spans="2:12" s="112" customFormat="1" hidden="1">
      <c r="B546" s="45"/>
      <c r="C546" s="45">
        <f t="shared" si="127"/>
        <v>3158</v>
      </c>
      <c r="D546" s="45">
        <f t="shared" si="128"/>
        <v>5</v>
      </c>
      <c r="E546" s="45">
        <f t="shared" si="129"/>
        <v>2017</v>
      </c>
      <c r="F546" s="45">
        <f t="shared" si="130"/>
        <v>0</v>
      </c>
      <c r="G546" s="45" t="s">
        <v>448</v>
      </c>
      <c r="H546" s="45" t="s">
        <v>457</v>
      </c>
      <c r="I546" s="162" t="str">
        <f t="shared" si="131"/>
        <v/>
      </c>
      <c r="J546" s="11" t="s">
        <v>1006</v>
      </c>
      <c r="K546" s="673">
        <v>6045</v>
      </c>
      <c r="L546" s="674" t="s">
        <v>2259</v>
      </c>
    </row>
    <row r="547" spans="2:12" s="112" customFormat="1" hidden="1">
      <c r="B547" s="45"/>
      <c r="C547" s="45">
        <f t="shared" si="127"/>
        <v>3158</v>
      </c>
      <c r="D547" s="45">
        <f t="shared" si="128"/>
        <v>5</v>
      </c>
      <c r="E547" s="45">
        <f t="shared" si="129"/>
        <v>2017</v>
      </c>
      <c r="F547" s="45">
        <f t="shared" si="130"/>
        <v>0</v>
      </c>
      <c r="G547" s="45" t="s">
        <v>448</v>
      </c>
      <c r="H547" s="45" t="s">
        <v>458</v>
      </c>
      <c r="I547" s="162" t="str">
        <f t="shared" si="131"/>
        <v/>
      </c>
      <c r="J547" s="11" t="s">
        <v>1007</v>
      </c>
      <c r="K547" s="673">
        <v>6066</v>
      </c>
      <c r="L547" s="674" t="s">
        <v>2260</v>
      </c>
    </row>
    <row r="548" spans="2:12" s="112" customFormat="1" hidden="1">
      <c r="B548" s="45"/>
      <c r="C548" s="45">
        <f t="shared" si="127"/>
        <v>3158</v>
      </c>
      <c r="D548" s="45">
        <f t="shared" si="128"/>
        <v>5</v>
      </c>
      <c r="E548" s="45">
        <f t="shared" si="129"/>
        <v>2017</v>
      </c>
      <c r="F548" s="45">
        <f t="shared" si="130"/>
        <v>0</v>
      </c>
      <c r="G548" s="45" t="s">
        <v>448</v>
      </c>
      <c r="H548" s="45" t="s">
        <v>460</v>
      </c>
      <c r="I548" s="162" t="str">
        <f t="shared" si="131"/>
        <v/>
      </c>
      <c r="J548" s="11" t="s">
        <v>1008</v>
      </c>
      <c r="K548" s="673">
        <v>6067</v>
      </c>
      <c r="L548" s="674" t="s">
        <v>2261</v>
      </c>
    </row>
    <row r="549" spans="2:12" s="112" customFormat="1" hidden="1">
      <c r="B549" s="45"/>
      <c r="C549" s="45">
        <f t="shared" si="127"/>
        <v>3158</v>
      </c>
      <c r="D549" s="45">
        <f t="shared" si="128"/>
        <v>5</v>
      </c>
      <c r="E549" s="45">
        <f t="shared" si="129"/>
        <v>2017</v>
      </c>
      <c r="F549" s="45">
        <f t="shared" ref="F549:F559" si="132">AY$3</f>
        <v>0</v>
      </c>
      <c r="G549" s="45" t="s">
        <v>448</v>
      </c>
      <c r="H549" s="45" t="s">
        <v>449</v>
      </c>
      <c r="I549" s="162" t="str">
        <f t="shared" ref="I549:I559" si="133">IF(ISBLANK(AY4),"",AY4)</f>
        <v/>
      </c>
      <c r="J549" s="11" t="s">
        <v>1009</v>
      </c>
      <c r="K549" s="673">
        <v>6068</v>
      </c>
      <c r="L549" s="674" t="s">
        <v>2262</v>
      </c>
    </row>
    <row r="550" spans="2:12" s="112" customFormat="1" hidden="1">
      <c r="B550" s="45"/>
      <c r="C550" s="45">
        <f t="shared" si="127"/>
        <v>3158</v>
      </c>
      <c r="D550" s="45">
        <f t="shared" si="128"/>
        <v>5</v>
      </c>
      <c r="E550" s="45">
        <f t="shared" si="129"/>
        <v>2017</v>
      </c>
      <c r="F550" s="45">
        <f t="shared" si="132"/>
        <v>0</v>
      </c>
      <c r="G550" s="45" t="s">
        <v>448</v>
      </c>
      <c r="H550" s="45" t="s">
        <v>450</v>
      </c>
      <c r="I550" s="162" t="str">
        <f t="shared" si="133"/>
        <v/>
      </c>
      <c r="J550" s="11" t="s">
        <v>1010</v>
      </c>
      <c r="K550" s="673">
        <v>6069</v>
      </c>
      <c r="L550" s="674" t="s">
        <v>2263</v>
      </c>
    </row>
    <row r="551" spans="2:12" s="112" customFormat="1" hidden="1">
      <c r="B551" s="45"/>
      <c r="C551" s="45">
        <f t="shared" si="127"/>
        <v>3158</v>
      </c>
      <c r="D551" s="45">
        <f t="shared" si="128"/>
        <v>5</v>
      </c>
      <c r="E551" s="45">
        <f t="shared" si="129"/>
        <v>2017</v>
      </c>
      <c r="F551" s="45">
        <f t="shared" si="132"/>
        <v>0</v>
      </c>
      <c r="G551" s="45" t="s">
        <v>448</v>
      </c>
      <c r="H551" s="45" t="s">
        <v>451</v>
      </c>
      <c r="I551" s="162" t="str">
        <f t="shared" si="133"/>
        <v/>
      </c>
      <c r="J551" s="11" t="s">
        <v>1011</v>
      </c>
      <c r="K551" s="673">
        <v>6070</v>
      </c>
      <c r="L551" s="674" t="s">
        <v>2264</v>
      </c>
    </row>
    <row r="552" spans="2:12" s="112" customFormat="1" hidden="1">
      <c r="B552" s="45"/>
      <c r="C552" s="45">
        <f t="shared" si="127"/>
        <v>3158</v>
      </c>
      <c r="D552" s="45">
        <f t="shared" si="128"/>
        <v>5</v>
      </c>
      <c r="E552" s="45">
        <f t="shared" si="129"/>
        <v>2017</v>
      </c>
      <c r="F552" s="45">
        <f t="shared" si="132"/>
        <v>0</v>
      </c>
      <c r="G552" s="45" t="s">
        <v>448</v>
      </c>
      <c r="H552" s="45" t="s">
        <v>452</v>
      </c>
      <c r="I552" s="162" t="str">
        <f t="shared" si="133"/>
        <v/>
      </c>
      <c r="J552" s="11" t="s">
        <v>1012</v>
      </c>
      <c r="K552" s="673">
        <v>6071</v>
      </c>
      <c r="L552" s="674" t="s">
        <v>2265</v>
      </c>
    </row>
    <row r="553" spans="2:12" s="112" customFormat="1" hidden="1">
      <c r="B553" s="45"/>
      <c r="C553" s="45">
        <f t="shared" si="127"/>
        <v>3158</v>
      </c>
      <c r="D553" s="45">
        <f t="shared" si="128"/>
        <v>5</v>
      </c>
      <c r="E553" s="45">
        <f t="shared" si="129"/>
        <v>2017</v>
      </c>
      <c r="F553" s="45">
        <f t="shared" si="132"/>
        <v>0</v>
      </c>
      <c r="G553" s="45" t="s">
        <v>448</v>
      </c>
      <c r="H553" s="45" t="s">
        <v>453</v>
      </c>
      <c r="I553" s="162" t="str">
        <f t="shared" si="133"/>
        <v/>
      </c>
      <c r="J553" s="11" t="s">
        <v>1013</v>
      </c>
      <c r="K553" s="673">
        <v>6072</v>
      </c>
      <c r="L553" s="674" t="s">
        <v>2266</v>
      </c>
    </row>
    <row r="554" spans="2:12" s="112" customFormat="1" hidden="1">
      <c r="B554" s="45"/>
      <c r="C554" s="45">
        <f t="shared" si="127"/>
        <v>3158</v>
      </c>
      <c r="D554" s="45">
        <f t="shared" si="128"/>
        <v>5</v>
      </c>
      <c r="E554" s="45">
        <f t="shared" si="129"/>
        <v>2017</v>
      </c>
      <c r="F554" s="45">
        <f t="shared" si="132"/>
        <v>0</v>
      </c>
      <c r="G554" s="45" t="s">
        <v>448</v>
      </c>
      <c r="H554" s="45" t="s">
        <v>454</v>
      </c>
      <c r="I554" s="162" t="str">
        <f t="shared" si="133"/>
        <v/>
      </c>
      <c r="J554" s="11" t="s">
        <v>1014</v>
      </c>
      <c r="K554" s="673">
        <v>6073</v>
      </c>
      <c r="L554" s="674" t="s">
        <v>2267</v>
      </c>
    </row>
    <row r="555" spans="2:12" s="112" customFormat="1" hidden="1">
      <c r="B555" s="45"/>
      <c r="C555" s="45">
        <f t="shared" si="127"/>
        <v>3158</v>
      </c>
      <c r="D555" s="45">
        <f t="shared" si="128"/>
        <v>5</v>
      </c>
      <c r="E555" s="45">
        <f t="shared" si="129"/>
        <v>2017</v>
      </c>
      <c r="F555" s="45">
        <f t="shared" si="132"/>
        <v>0</v>
      </c>
      <c r="G555" s="45" t="s">
        <v>448</v>
      </c>
      <c r="H555" s="45" t="s">
        <v>455</v>
      </c>
      <c r="I555" s="162" t="str">
        <f t="shared" si="133"/>
        <v/>
      </c>
      <c r="J555" s="11" t="s">
        <v>1015</v>
      </c>
      <c r="K555" s="673">
        <v>6074</v>
      </c>
      <c r="L555" s="674" t="s">
        <v>2268</v>
      </c>
    </row>
    <row r="556" spans="2:12" s="112" customFormat="1" hidden="1">
      <c r="B556" s="45"/>
      <c r="C556" s="45">
        <f t="shared" si="127"/>
        <v>3158</v>
      </c>
      <c r="D556" s="45">
        <f t="shared" si="128"/>
        <v>5</v>
      </c>
      <c r="E556" s="45">
        <f t="shared" si="129"/>
        <v>2017</v>
      </c>
      <c r="F556" s="45">
        <f t="shared" si="132"/>
        <v>0</v>
      </c>
      <c r="G556" s="45" t="s">
        <v>448</v>
      </c>
      <c r="H556" s="45" t="s">
        <v>456</v>
      </c>
      <c r="I556" s="162" t="str">
        <f t="shared" si="133"/>
        <v/>
      </c>
      <c r="J556" s="11" t="s">
        <v>1016</v>
      </c>
      <c r="K556" s="673">
        <v>6075</v>
      </c>
      <c r="L556" s="674" t="s">
        <v>2269</v>
      </c>
    </row>
    <row r="557" spans="2:12" s="112" customFormat="1" hidden="1">
      <c r="B557" s="45"/>
      <c r="C557" s="45">
        <f t="shared" si="127"/>
        <v>3158</v>
      </c>
      <c r="D557" s="45">
        <f t="shared" si="128"/>
        <v>5</v>
      </c>
      <c r="E557" s="45">
        <f t="shared" si="129"/>
        <v>2017</v>
      </c>
      <c r="F557" s="45">
        <f t="shared" si="132"/>
        <v>0</v>
      </c>
      <c r="G557" s="45" t="s">
        <v>448</v>
      </c>
      <c r="H557" s="45" t="s">
        <v>457</v>
      </c>
      <c r="I557" s="162" t="str">
        <f t="shared" si="133"/>
        <v/>
      </c>
      <c r="J557" s="11" t="s">
        <v>1017</v>
      </c>
      <c r="K557" s="673">
        <v>6076</v>
      </c>
      <c r="L557" s="674" t="s">
        <v>2270</v>
      </c>
    </row>
    <row r="558" spans="2:12" s="112" customFormat="1" hidden="1">
      <c r="B558" s="45"/>
      <c r="C558" s="45">
        <f t="shared" si="127"/>
        <v>3158</v>
      </c>
      <c r="D558" s="45">
        <f t="shared" si="128"/>
        <v>5</v>
      </c>
      <c r="E558" s="45">
        <f t="shared" si="129"/>
        <v>2017</v>
      </c>
      <c r="F558" s="45">
        <f t="shared" si="132"/>
        <v>0</v>
      </c>
      <c r="G558" s="45" t="s">
        <v>448</v>
      </c>
      <c r="H558" s="45" t="s">
        <v>458</v>
      </c>
      <c r="I558" s="162" t="str">
        <f t="shared" si="133"/>
        <v/>
      </c>
      <c r="J558" s="11" t="s">
        <v>1018</v>
      </c>
      <c r="K558" s="673">
        <v>6077</v>
      </c>
      <c r="L558" s="674" t="s">
        <v>2271</v>
      </c>
    </row>
    <row r="559" spans="2:12" s="112" customFormat="1" hidden="1">
      <c r="B559" s="45"/>
      <c r="C559" s="45">
        <f t="shared" si="127"/>
        <v>3158</v>
      </c>
      <c r="D559" s="45">
        <f t="shared" si="128"/>
        <v>5</v>
      </c>
      <c r="E559" s="45">
        <f t="shared" si="129"/>
        <v>2017</v>
      </c>
      <c r="F559" s="45">
        <f t="shared" si="132"/>
        <v>0</v>
      </c>
      <c r="G559" s="45" t="s">
        <v>448</v>
      </c>
      <c r="H559" s="45" t="s">
        <v>460</v>
      </c>
      <c r="I559" s="162" t="str">
        <f t="shared" si="133"/>
        <v/>
      </c>
      <c r="J559" s="11" t="s">
        <v>1019</v>
      </c>
      <c r="K559" s="673">
        <v>6078</v>
      </c>
      <c r="L559" s="674" t="s">
        <v>2272</v>
      </c>
    </row>
    <row r="560" spans="2:12" s="112" customFormat="1" hidden="1">
      <c r="B560" s="45"/>
      <c r="C560" s="45">
        <f t="shared" si="127"/>
        <v>3158</v>
      </c>
      <c r="D560" s="45">
        <f t="shared" si="128"/>
        <v>5</v>
      </c>
      <c r="E560" s="45">
        <f t="shared" si="129"/>
        <v>2017</v>
      </c>
      <c r="F560" s="45">
        <f t="shared" ref="F560:F570" si="134">AZ$3</f>
        <v>0</v>
      </c>
      <c r="G560" s="45" t="s">
        <v>448</v>
      </c>
      <c r="H560" s="45" t="s">
        <v>449</v>
      </c>
      <c r="I560" s="162" t="str">
        <f t="shared" ref="I560:I570" si="135">IF(ISBLANK(AZ4),"",AZ4)</f>
        <v/>
      </c>
      <c r="J560" s="11" t="s">
        <v>1020</v>
      </c>
      <c r="K560" s="673">
        <v>6079</v>
      </c>
      <c r="L560" s="674" t="s">
        <v>2273</v>
      </c>
    </row>
    <row r="561" spans="2:12" s="112" customFormat="1" hidden="1">
      <c r="B561" s="45"/>
      <c r="C561" s="45">
        <f t="shared" si="127"/>
        <v>3158</v>
      </c>
      <c r="D561" s="45">
        <f t="shared" si="128"/>
        <v>5</v>
      </c>
      <c r="E561" s="45">
        <f t="shared" si="129"/>
        <v>2017</v>
      </c>
      <c r="F561" s="45">
        <f t="shared" si="134"/>
        <v>0</v>
      </c>
      <c r="G561" s="45" t="s">
        <v>448</v>
      </c>
      <c r="H561" s="45" t="s">
        <v>450</v>
      </c>
      <c r="I561" s="162" t="str">
        <f t="shared" si="135"/>
        <v/>
      </c>
      <c r="J561" s="11" t="s">
        <v>1021</v>
      </c>
      <c r="K561" s="673">
        <v>6080</v>
      </c>
      <c r="L561" s="674" t="s">
        <v>2274</v>
      </c>
    </row>
    <row r="562" spans="2:12" s="112" customFormat="1" hidden="1">
      <c r="B562" s="45"/>
      <c r="C562" s="45">
        <f t="shared" si="127"/>
        <v>3158</v>
      </c>
      <c r="D562" s="45">
        <f t="shared" si="128"/>
        <v>5</v>
      </c>
      <c r="E562" s="45">
        <f t="shared" si="129"/>
        <v>2017</v>
      </c>
      <c r="F562" s="45">
        <f t="shared" si="134"/>
        <v>0</v>
      </c>
      <c r="G562" s="45" t="s">
        <v>448</v>
      </c>
      <c r="H562" s="45" t="s">
        <v>451</v>
      </c>
      <c r="I562" s="162" t="str">
        <f t="shared" si="135"/>
        <v/>
      </c>
      <c r="J562" s="11" t="s">
        <v>1022</v>
      </c>
      <c r="K562" s="673">
        <v>6081</v>
      </c>
      <c r="L562" s="674" t="s">
        <v>2275</v>
      </c>
    </row>
    <row r="563" spans="2:12" s="112" customFormat="1" hidden="1">
      <c r="B563" s="45"/>
      <c r="C563" s="45">
        <f t="shared" si="127"/>
        <v>3158</v>
      </c>
      <c r="D563" s="45">
        <f t="shared" si="128"/>
        <v>5</v>
      </c>
      <c r="E563" s="45">
        <f t="shared" si="129"/>
        <v>2017</v>
      </c>
      <c r="F563" s="45">
        <f t="shared" si="134"/>
        <v>0</v>
      </c>
      <c r="G563" s="45" t="s">
        <v>448</v>
      </c>
      <c r="H563" s="45" t="s">
        <v>452</v>
      </c>
      <c r="I563" s="162" t="str">
        <f t="shared" si="135"/>
        <v/>
      </c>
      <c r="J563" s="11" t="s">
        <v>1023</v>
      </c>
      <c r="K563" s="673">
        <v>6082</v>
      </c>
      <c r="L563" s="674" t="s">
        <v>2276</v>
      </c>
    </row>
    <row r="564" spans="2:12" s="112" customFormat="1" hidden="1">
      <c r="B564" s="45"/>
      <c r="C564" s="45">
        <f t="shared" si="127"/>
        <v>3158</v>
      </c>
      <c r="D564" s="45">
        <f t="shared" si="128"/>
        <v>5</v>
      </c>
      <c r="E564" s="45">
        <f t="shared" si="129"/>
        <v>2017</v>
      </c>
      <c r="F564" s="45">
        <f t="shared" si="134"/>
        <v>0</v>
      </c>
      <c r="G564" s="45" t="s">
        <v>448</v>
      </c>
      <c r="H564" s="45" t="s">
        <v>453</v>
      </c>
      <c r="I564" s="162" t="str">
        <f t="shared" si="135"/>
        <v/>
      </c>
      <c r="J564" s="11" t="s">
        <v>1024</v>
      </c>
      <c r="K564" s="673">
        <v>6083</v>
      </c>
      <c r="L564" s="674" t="s">
        <v>2277</v>
      </c>
    </row>
    <row r="565" spans="2:12" s="112" customFormat="1" hidden="1">
      <c r="B565" s="45"/>
      <c r="C565" s="45">
        <f t="shared" si="127"/>
        <v>3158</v>
      </c>
      <c r="D565" s="45">
        <f t="shared" si="128"/>
        <v>5</v>
      </c>
      <c r="E565" s="45">
        <f t="shared" si="129"/>
        <v>2017</v>
      </c>
      <c r="F565" s="45">
        <f t="shared" si="134"/>
        <v>0</v>
      </c>
      <c r="G565" s="45" t="s">
        <v>448</v>
      </c>
      <c r="H565" s="45" t="s">
        <v>454</v>
      </c>
      <c r="I565" s="162" t="str">
        <f t="shared" si="135"/>
        <v/>
      </c>
      <c r="J565" s="11" t="s">
        <v>1026</v>
      </c>
      <c r="K565" s="673">
        <v>6084</v>
      </c>
      <c r="L565" s="674" t="s">
        <v>2278</v>
      </c>
    </row>
    <row r="566" spans="2:12" s="112" customFormat="1" hidden="1">
      <c r="B566" s="45"/>
      <c r="C566" s="45">
        <f t="shared" si="127"/>
        <v>3158</v>
      </c>
      <c r="D566" s="45">
        <f t="shared" si="128"/>
        <v>5</v>
      </c>
      <c r="E566" s="45">
        <f t="shared" si="129"/>
        <v>2017</v>
      </c>
      <c r="F566" s="45">
        <f t="shared" si="134"/>
        <v>0</v>
      </c>
      <c r="G566" s="45" t="s">
        <v>448</v>
      </c>
      <c r="H566" s="45" t="s">
        <v>455</v>
      </c>
      <c r="I566" s="162" t="str">
        <f t="shared" si="135"/>
        <v/>
      </c>
      <c r="J566" s="11" t="s">
        <v>1027</v>
      </c>
      <c r="K566" s="673">
        <v>6085</v>
      </c>
      <c r="L566" s="674" t="s">
        <v>2279</v>
      </c>
    </row>
    <row r="567" spans="2:12" s="112" customFormat="1" hidden="1">
      <c r="B567" s="45"/>
      <c r="C567" s="45">
        <f t="shared" si="127"/>
        <v>3158</v>
      </c>
      <c r="D567" s="45">
        <f t="shared" si="128"/>
        <v>5</v>
      </c>
      <c r="E567" s="45">
        <f t="shared" si="129"/>
        <v>2017</v>
      </c>
      <c r="F567" s="45">
        <f t="shared" si="134"/>
        <v>0</v>
      </c>
      <c r="G567" s="45" t="s">
        <v>448</v>
      </c>
      <c r="H567" s="45" t="s">
        <v>456</v>
      </c>
      <c r="I567" s="162" t="str">
        <f t="shared" si="135"/>
        <v/>
      </c>
      <c r="J567" s="11" t="s">
        <v>1028</v>
      </c>
      <c r="K567" s="673">
        <v>6086</v>
      </c>
      <c r="L567" s="674" t="s">
        <v>2280</v>
      </c>
    </row>
    <row r="568" spans="2:12" s="112" customFormat="1" hidden="1">
      <c r="B568" s="45"/>
      <c r="C568" s="45">
        <f t="shared" si="127"/>
        <v>3158</v>
      </c>
      <c r="D568" s="45">
        <f t="shared" si="128"/>
        <v>5</v>
      </c>
      <c r="E568" s="45">
        <f t="shared" si="129"/>
        <v>2017</v>
      </c>
      <c r="F568" s="45">
        <f t="shared" si="134"/>
        <v>0</v>
      </c>
      <c r="G568" s="45" t="s">
        <v>448</v>
      </c>
      <c r="H568" s="45" t="s">
        <v>457</v>
      </c>
      <c r="I568" s="162" t="str">
        <f t="shared" si="135"/>
        <v/>
      </c>
      <c r="J568" s="11" t="s">
        <v>1030</v>
      </c>
      <c r="K568" s="673">
        <v>6087</v>
      </c>
      <c r="L568" s="674" t="s">
        <v>2281</v>
      </c>
    </row>
    <row r="569" spans="2:12" s="112" customFormat="1" hidden="1">
      <c r="B569" s="45"/>
      <c r="C569" s="45">
        <f t="shared" si="127"/>
        <v>3158</v>
      </c>
      <c r="D569" s="45">
        <f t="shared" si="128"/>
        <v>5</v>
      </c>
      <c r="E569" s="45">
        <f t="shared" si="129"/>
        <v>2017</v>
      </c>
      <c r="F569" s="45">
        <f t="shared" si="134"/>
        <v>0</v>
      </c>
      <c r="G569" s="45" t="s">
        <v>448</v>
      </c>
      <c r="H569" s="45" t="s">
        <v>458</v>
      </c>
      <c r="I569" s="162" t="str">
        <f t="shared" si="135"/>
        <v/>
      </c>
      <c r="J569" s="11" t="s">
        <v>1031</v>
      </c>
      <c r="K569" s="673">
        <v>6088</v>
      </c>
      <c r="L569" s="674" t="s">
        <v>2282</v>
      </c>
    </row>
    <row r="570" spans="2:12" s="112" customFormat="1" hidden="1">
      <c r="B570" s="45"/>
      <c r="C570" s="45">
        <f t="shared" si="127"/>
        <v>3158</v>
      </c>
      <c r="D570" s="45">
        <f t="shared" si="128"/>
        <v>5</v>
      </c>
      <c r="E570" s="45">
        <f t="shared" si="129"/>
        <v>2017</v>
      </c>
      <c r="F570" s="45">
        <f t="shared" si="134"/>
        <v>0</v>
      </c>
      <c r="G570" s="45" t="s">
        <v>448</v>
      </c>
      <c r="H570" s="45" t="s">
        <v>460</v>
      </c>
      <c r="I570" s="162" t="str">
        <f t="shared" si="135"/>
        <v/>
      </c>
      <c r="J570" s="11" t="s">
        <v>1032</v>
      </c>
      <c r="K570" s="673">
        <v>6089</v>
      </c>
      <c r="L570" s="674" t="s">
        <v>2283</v>
      </c>
    </row>
    <row r="571" spans="2:12" s="112" customFormat="1" hidden="1">
      <c r="B571" s="45"/>
      <c r="C571" s="45">
        <f t="shared" si="127"/>
        <v>3158</v>
      </c>
      <c r="D571" s="45">
        <f t="shared" si="128"/>
        <v>5</v>
      </c>
      <c r="E571" s="45">
        <f t="shared" si="129"/>
        <v>2017</v>
      </c>
      <c r="F571" s="45">
        <f t="shared" ref="F571:F581" si="136">BA$3</f>
        <v>0</v>
      </c>
      <c r="G571" s="45" t="s">
        <v>448</v>
      </c>
      <c r="H571" s="45" t="s">
        <v>449</v>
      </c>
      <c r="I571" s="162" t="str">
        <f t="shared" ref="I571:I581" si="137">IF(ISBLANK(BA4),"",BA4)</f>
        <v/>
      </c>
      <c r="J571" s="11" t="s">
        <v>1033</v>
      </c>
      <c r="K571" s="673">
        <v>6090</v>
      </c>
      <c r="L571" s="674" t="s">
        <v>2284</v>
      </c>
    </row>
    <row r="572" spans="2:12" s="112" customFormat="1" hidden="1">
      <c r="B572" s="45"/>
      <c r="C572" s="45">
        <f t="shared" si="127"/>
        <v>3158</v>
      </c>
      <c r="D572" s="45">
        <f t="shared" si="128"/>
        <v>5</v>
      </c>
      <c r="E572" s="45">
        <f t="shared" si="129"/>
        <v>2017</v>
      </c>
      <c r="F572" s="45">
        <f t="shared" si="136"/>
        <v>0</v>
      </c>
      <c r="G572" s="45" t="s">
        <v>448</v>
      </c>
      <c r="H572" s="45" t="s">
        <v>450</v>
      </c>
      <c r="I572" s="162" t="str">
        <f t="shared" si="137"/>
        <v/>
      </c>
      <c r="J572" s="11" t="s">
        <v>1034</v>
      </c>
      <c r="K572" s="673">
        <v>6091</v>
      </c>
      <c r="L572" s="674" t="s">
        <v>2285</v>
      </c>
    </row>
    <row r="573" spans="2:12" s="112" customFormat="1" hidden="1">
      <c r="B573" s="45"/>
      <c r="C573" s="45">
        <f t="shared" si="127"/>
        <v>3158</v>
      </c>
      <c r="D573" s="45">
        <f t="shared" si="128"/>
        <v>5</v>
      </c>
      <c r="E573" s="45">
        <f t="shared" si="129"/>
        <v>2017</v>
      </c>
      <c r="F573" s="45">
        <f t="shared" si="136"/>
        <v>0</v>
      </c>
      <c r="G573" s="45" t="s">
        <v>448</v>
      </c>
      <c r="H573" s="45" t="s">
        <v>451</v>
      </c>
      <c r="I573" s="162" t="str">
        <f t="shared" si="137"/>
        <v/>
      </c>
      <c r="J573" s="11" t="s">
        <v>1035</v>
      </c>
      <c r="K573" s="673">
        <v>6092</v>
      </c>
      <c r="L573" s="674" t="s">
        <v>2286</v>
      </c>
    </row>
    <row r="574" spans="2:12" s="112" customFormat="1" hidden="1">
      <c r="B574" s="45"/>
      <c r="C574" s="45">
        <f t="shared" si="127"/>
        <v>3158</v>
      </c>
      <c r="D574" s="45">
        <f t="shared" si="128"/>
        <v>5</v>
      </c>
      <c r="E574" s="45">
        <f t="shared" si="129"/>
        <v>2017</v>
      </c>
      <c r="F574" s="45">
        <f t="shared" si="136"/>
        <v>0</v>
      </c>
      <c r="G574" s="45" t="s">
        <v>448</v>
      </c>
      <c r="H574" s="45" t="s">
        <v>452</v>
      </c>
      <c r="I574" s="162" t="str">
        <f t="shared" si="137"/>
        <v/>
      </c>
      <c r="J574" s="11" t="s">
        <v>1036</v>
      </c>
      <c r="K574" s="673">
        <v>6093</v>
      </c>
      <c r="L574" s="674" t="s">
        <v>2287</v>
      </c>
    </row>
    <row r="575" spans="2:12" s="112" customFormat="1" hidden="1">
      <c r="B575" s="45"/>
      <c r="C575" s="45">
        <f t="shared" si="127"/>
        <v>3158</v>
      </c>
      <c r="D575" s="45">
        <f t="shared" si="128"/>
        <v>5</v>
      </c>
      <c r="E575" s="45">
        <f t="shared" si="129"/>
        <v>2017</v>
      </c>
      <c r="F575" s="45">
        <f t="shared" si="136"/>
        <v>0</v>
      </c>
      <c r="G575" s="45" t="s">
        <v>448</v>
      </c>
      <c r="H575" s="45" t="s">
        <v>453</v>
      </c>
      <c r="I575" s="162" t="str">
        <f t="shared" si="137"/>
        <v/>
      </c>
      <c r="J575" s="11" t="s">
        <v>1037</v>
      </c>
      <c r="K575" s="673">
        <v>6094</v>
      </c>
      <c r="L575" s="674" t="s">
        <v>2288</v>
      </c>
    </row>
    <row r="576" spans="2:12" s="112" customFormat="1" hidden="1">
      <c r="B576" s="45"/>
      <c r="C576" s="45">
        <f t="shared" si="127"/>
        <v>3158</v>
      </c>
      <c r="D576" s="45">
        <f t="shared" si="128"/>
        <v>5</v>
      </c>
      <c r="E576" s="45">
        <f t="shared" si="129"/>
        <v>2017</v>
      </c>
      <c r="F576" s="45">
        <f t="shared" si="136"/>
        <v>0</v>
      </c>
      <c r="G576" s="45" t="s">
        <v>448</v>
      </c>
      <c r="H576" s="45" t="s">
        <v>454</v>
      </c>
      <c r="I576" s="162" t="str">
        <f t="shared" si="137"/>
        <v/>
      </c>
      <c r="J576" s="11" t="s">
        <v>1038</v>
      </c>
      <c r="K576" s="673">
        <v>6095</v>
      </c>
      <c r="L576" s="674" t="s">
        <v>2289</v>
      </c>
    </row>
    <row r="577" spans="2:12" s="112" customFormat="1" hidden="1">
      <c r="B577" s="45"/>
      <c r="C577" s="45">
        <f t="shared" si="127"/>
        <v>3158</v>
      </c>
      <c r="D577" s="45">
        <f t="shared" si="128"/>
        <v>5</v>
      </c>
      <c r="E577" s="45">
        <f t="shared" si="129"/>
        <v>2017</v>
      </c>
      <c r="F577" s="45">
        <f t="shared" si="136"/>
        <v>0</v>
      </c>
      <c r="G577" s="45" t="s">
        <v>448</v>
      </c>
      <c r="H577" s="45" t="s">
        <v>455</v>
      </c>
      <c r="I577" s="162" t="str">
        <f t="shared" si="137"/>
        <v/>
      </c>
      <c r="J577" s="11" t="s">
        <v>1039</v>
      </c>
      <c r="K577" s="673">
        <v>6096</v>
      </c>
      <c r="L577" s="674" t="s">
        <v>2290</v>
      </c>
    </row>
    <row r="578" spans="2:12" s="112" customFormat="1" hidden="1">
      <c r="B578" s="45"/>
      <c r="C578" s="45">
        <f t="shared" si="127"/>
        <v>3158</v>
      </c>
      <c r="D578" s="45">
        <f t="shared" si="128"/>
        <v>5</v>
      </c>
      <c r="E578" s="45">
        <f t="shared" si="129"/>
        <v>2017</v>
      </c>
      <c r="F578" s="45">
        <f t="shared" si="136"/>
        <v>0</v>
      </c>
      <c r="G578" s="45" t="s">
        <v>448</v>
      </c>
      <c r="H578" s="45" t="s">
        <v>456</v>
      </c>
      <c r="I578" s="162" t="str">
        <f t="shared" si="137"/>
        <v/>
      </c>
      <c r="J578" s="11" t="s">
        <v>1040</v>
      </c>
      <c r="K578" s="673">
        <v>6097</v>
      </c>
      <c r="L578" s="674" t="s">
        <v>2291</v>
      </c>
    </row>
    <row r="579" spans="2:12" s="112" customFormat="1" hidden="1">
      <c r="B579" s="45"/>
      <c r="C579" s="45">
        <f t="shared" si="127"/>
        <v>3158</v>
      </c>
      <c r="D579" s="45">
        <f t="shared" si="128"/>
        <v>5</v>
      </c>
      <c r="E579" s="45">
        <f t="shared" si="129"/>
        <v>2017</v>
      </c>
      <c r="F579" s="45">
        <f t="shared" si="136"/>
        <v>0</v>
      </c>
      <c r="G579" s="45" t="s">
        <v>448</v>
      </c>
      <c r="H579" s="45" t="s">
        <v>457</v>
      </c>
      <c r="I579" s="162" t="str">
        <f t="shared" si="137"/>
        <v/>
      </c>
      <c r="J579" s="11" t="s">
        <v>1041</v>
      </c>
      <c r="K579" s="673">
        <v>6098</v>
      </c>
      <c r="L579" s="674" t="s">
        <v>2292</v>
      </c>
    </row>
    <row r="580" spans="2:12" s="112" customFormat="1" hidden="1">
      <c r="B580" s="45"/>
      <c r="C580" s="45">
        <f t="shared" si="127"/>
        <v>3158</v>
      </c>
      <c r="D580" s="45">
        <f t="shared" si="128"/>
        <v>5</v>
      </c>
      <c r="E580" s="45">
        <f t="shared" si="129"/>
        <v>2017</v>
      </c>
      <c r="F580" s="45">
        <f t="shared" si="136"/>
        <v>0</v>
      </c>
      <c r="G580" s="45" t="s">
        <v>448</v>
      </c>
      <c r="H580" s="45" t="s">
        <v>458</v>
      </c>
      <c r="I580" s="162" t="str">
        <f t="shared" si="137"/>
        <v/>
      </c>
      <c r="J580" s="11" t="s">
        <v>1042</v>
      </c>
      <c r="K580" s="673">
        <v>6099</v>
      </c>
      <c r="L580" s="674" t="s">
        <v>2384</v>
      </c>
    </row>
    <row r="581" spans="2:12" s="112" customFormat="1" hidden="1">
      <c r="B581" s="45"/>
      <c r="C581" s="45">
        <f t="shared" si="127"/>
        <v>3158</v>
      </c>
      <c r="D581" s="45">
        <f t="shared" si="128"/>
        <v>5</v>
      </c>
      <c r="E581" s="45">
        <f t="shared" si="129"/>
        <v>2017</v>
      </c>
      <c r="F581" s="45">
        <f t="shared" si="136"/>
        <v>0</v>
      </c>
      <c r="G581" s="45" t="s">
        <v>448</v>
      </c>
      <c r="H581" s="45" t="s">
        <v>460</v>
      </c>
      <c r="I581" s="162" t="str">
        <f t="shared" si="137"/>
        <v/>
      </c>
      <c r="J581" s="11" t="s">
        <v>1043</v>
      </c>
      <c r="K581" s="673">
        <v>6100</v>
      </c>
      <c r="L581" s="674" t="s">
        <v>2084</v>
      </c>
    </row>
    <row r="582" spans="2:12" s="112" customFormat="1" hidden="1">
      <c r="B582" s="45"/>
      <c r="C582" s="45">
        <f t="shared" si="127"/>
        <v>3158</v>
      </c>
      <c r="D582" s="45">
        <f t="shared" si="128"/>
        <v>5</v>
      </c>
      <c r="E582" s="45">
        <f t="shared" si="129"/>
        <v>2017</v>
      </c>
      <c r="F582" s="45">
        <f t="shared" ref="F582:F592" si="138">BB$3</f>
        <v>0</v>
      </c>
      <c r="G582" s="45" t="s">
        <v>448</v>
      </c>
      <c r="H582" s="45" t="s">
        <v>449</v>
      </c>
      <c r="I582" s="162" t="str">
        <f t="shared" ref="I582:I592" si="139">IF(ISBLANK(BB4),"",BB4)</f>
        <v/>
      </c>
      <c r="J582" s="11" t="s">
        <v>1044</v>
      </c>
      <c r="K582" s="676">
        <v>6101</v>
      </c>
      <c r="L582" s="677" t="s">
        <v>2132</v>
      </c>
    </row>
    <row r="583" spans="2:12" s="112" customFormat="1" hidden="1">
      <c r="B583" s="45"/>
      <c r="C583" s="45">
        <f t="shared" si="127"/>
        <v>3158</v>
      </c>
      <c r="D583" s="45">
        <f t="shared" si="128"/>
        <v>5</v>
      </c>
      <c r="E583" s="45">
        <f t="shared" si="129"/>
        <v>2017</v>
      </c>
      <c r="F583" s="45">
        <f t="shared" si="138"/>
        <v>0</v>
      </c>
      <c r="G583" s="45" t="s">
        <v>448</v>
      </c>
      <c r="H583" s="45" t="s">
        <v>450</v>
      </c>
      <c r="I583" s="162" t="str">
        <f t="shared" si="139"/>
        <v/>
      </c>
      <c r="J583" s="11" t="s">
        <v>1045</v>
      </c>
      <c r="K583" s="676">
        <v>6102</v>
      </c>
      <c r="L583" s="677" t="s">
        <v>2133</v>
      </c>
    </row>
    <row r="584" spans="2:12" s="112" customFormat="1" hidden="1">
      <c r="B584" s="45"/>
      <c r="C584" s="45">
        <f t="shared" si="127"/>
        <v>3158</v>
      </c>
      <c r="D584" s="45">
        <f t="shared" si="128"/>
        <v>5</v>
      </c>
      <c r="E584" s="45">
        <f t="shared" si="129"/>
        <v>2017</v>
      </c>
      <c r="F584" s="45">
        <f t="shared" si="138"/>
        <v>0</v>
      </c>
      <c r="G584" s="45" t="s">
        <v>448</v>
      </c>
      <c r="H584" s="45" t="s">
        <v>451</v>
      </c>
      <c r="I584" s="162" t="str">
        <f t="shared" si="139"/>
        <v/>
      </c>
      <c r="J584" s="11" t="s">
        <v>1046</v>
      </c>
      <c r="K584" s="676">
        <v>6103</v>
      </c>
      <c r="L584" s="677" t="s">
        <v>2134</v>
      </c>
    </row>
    <row r="585" spans="2:12" s="112" customFormat="1" hidden="1">
      <c r="B585" s="45"/>
      <c r="C585" s="45">
        <f t="shared" si="127"/>
        <v>3158</v>
      </c>
      <c r="D585" s="45">
        <f t="shared" si="128"/>
        <v>5</v>
      </c>
      <c r="E585" s="45">
        <f t="shared" si="129"/>
        <v>2017</v>
      </c>
      <c r="F585" s="45">
        <f t="shared" si="138"/>
        <v>0</v>
      </c>
      <c r="G585" s="45" t="s">
        <v>448</v>
      </c>
      <c r="H585" s="45" t="s">
        <v>452</v>
      </c>
      <c r="I585" s="162" t="str">
        <f t="shared" si="139"/>
        <v/>
      </c>
      <c r="J585" s="11" t="s">
        <v>1047</v>
      </c>
      <c r="K585" s="676">
        <v>6104</v>
      </c>
      <c r="L585" s="677" t="s">
        <v>2139</v>
      </c>
    </row>
    <row r="586" spans="2:12" s="112" customFormat="1" hidden="1">
      <c r="B586" s="45"/>
      <c r="C586" s="45">
        <f t="shared" si="127"/>
        <v>3158</v>
      </c>
      <c r="D586" s="45">
        <f t="shared" si="128"/>
        <v>5</v>
      </c>
      <c r="E586" s="45">
        <f t="shared" si="129"/>
        <v>2017</v>
      </c>
      <c r="F586" s="45">
        <f t="shared" si="138"/>
        <v>0</v>
      </c>
      <c r="G586" s="45" t="s">
        <v>448</v>
      </c>
      <c r="H586" s="45" t="s">
        <v>453</v>
      </c>
      <c r="I586" s="162" t="str">
        <f t="shared" si="139"/>
        <v/>
      </c>
      <c r="J586" s="11" t="s">
        <v>1048</v>
      </c>
      <c r="K586" s="676">
        <v>6105</v>
      </c>
      <c r="L586" s="677" t="s">
        <v>2128</v>
      </c>
    </row>
    <row r="587" spans="2:12" s="112" customFormat="1" hidden="1">
      <c r="B587" s="45"/>
      <c r="C587" s="45">
        <f t="shared" si="127"/>
        <v>3158</v>
      </c>
      <c r="D587" s="45">
        <f t="shared" si="128"/>
        <v>5</v>
      </c>
      <c r="E587" s="45">
        <f t="shared" si="129"/>
        <v>2017</v>
      </c>
      <c r="F587" s="45">
        <f t="shared" si="138"/>
        <v>0</v>
      </c>
      <c r="G587" s="45" t="s">
        <v>448</v>
      </c>
      <c r="H587" s="45" t="s">
        <v>454</v>
      </c>
      <c r="I587" s="162" t="str">
        <f t="shared" si="139"/>
        <v/>
      </c>
      <c r="J587" s="11" t="s">
        <v>1049</v>
      </c>
      <c r="K587" s="673">
        <v>6106</v>
      </c>
      <c r="L587" s="674" t="s">
        <v>2199</v>
      </c>
    </row>
    <row r="588" spans="2:12" s="112" customFormat="1" hidden="1">
      <c r="B588" s="45"/>
      <c r="C588" s="45">
        <f t="shared" si="127"/>
        <v>3158</v>
      </c>
      <c r="D588" s="45">
        <f t="shared" si="128"/>
        <v>5</v>
      </c>
      <c r="E588" s="45">
        <f t="shared" si="129"/>
        <v>2017</v>
      </c>
      <c r="F588" s="45">
        <f t="shared" si="138"/>
        <v>0</v>
      </c>
      <c r="G588" s="45" t="s">
        <v>448</v>
      </c>
      <c r="H588" s="45" t="s">
        <v>455</v>
      </c>
      <c r="I588" s="162" t="str">
        <f t="shared" si="139"/>
        <v/>
      </c>
      <c r="J588" s="11" t="s">
        <v>1050</v>
      </c>
      <c r="K588" s="675">
        <v>6107</v>
      </c>
      <c r="L588" s="674" t="s">
        <v>2113</v>
      </c>
    </row>
    <row r="589" spans="2:12" s="112" customFormat="1" hidden="1">
      <c r="B589" s="45"/>
      <c r="C589" s="45">
        <f t="shared" si="127"/>
        <v>3158</v>
      </c>
      <c r="D589" s="45">
        <f t="shared" si="128"/>
        <v>5</v>
      </c>
      <c r="E589" s="45">
        <f t="shared" si="129"/>
        <v>2017</v>
      </c>
      <c r="F589" s="45">
        <f t="shared" si="138"/>
        <v>0</v>
      </c>
      <c r="G589" s="45" t="s">
        <v>448</v>
      </c>
      <c r="H589" s="45" t="s">
        <v>456</v>
      </c>
      <c r="I589" s="162" t="str">
        <f t="shared" si="139"/>
        <v/>
      </c>
      <c r="J589" s="11" t="s">
        <v>1051</v>
      </c>
      <c r="K589" s="675">
        <v>6108</v>
      </c>
      <c r="L589" s="674" t="s">
        <v>2099</v>
      </c>
    </row>
    <row r="590" spans="2:12" s="112" customFormat="1" hidden="1">
      <c r="B590" s="45"/>
      <c r="C590" s="45">
        <f t="shared" si="127"/>
        <v>3158</v>
      </c>
      <c r="D590" s="45">
        <f t="shared" si="128"/>
        <v>5</v>
      </c>
      <c r="E590" s="45">
        <f t="shared" si="129"/>
        <v>2017</v>
      </c>
      <c r="F590" s="45">
        <f t="shared" si="138"/>
        <v>0</v>
      </c>
      <c r="G590" s="45" t="s">
        <v>448</v>
      </c>
      <c r="H590" s="45" t="s">
        <v>457</v>
      </c>
      <c r="I590" s="162" t="str">
        <f t="shared" si="139"/>
        <v/>
      </c>
      <c r="J590" s="11" t="s">
        <v>1052</v>
      </c>
      <c r="K590" s="673">
        <v>6109</v>
      </c>
      <c r="L590" s="674" t="s">
        <v>2356</v>
      </c>
    </row>
    <row r="591" spans="2:12" s="112" customFormat="1" hidden="1">
      <c r="B591" s="45"/>
      <c r="C591" s="45">
        <f t="shared" si="127"/>
        <v>3158</v>
      </c>
      <c r="D591" s="45">
        <f t="shared" si="128"/>
        <v>5</v>
      </c>
      <c r="E591" s="45">
        <f t="shared" si="129"/>
        <v>2017</v>
      </c>
      <c r="F591" s="45">
        <f t="shared" si="138"/>
        <v>0</v>
      </c>
      <c r="G591" s="45" t="s">
        <v>448</v>
      </c>
      <c r="H591" s="45" t="s">
        <v>458</v>
      </c>
      <c r="I591" s="162" t="str">
        <f t="shared" si="139"/>
        <v/>
      </c>
      <c r="J591" s="11" t="s">
        <v>1053</v>
      </c>
      <c r="K591" s="680">
        <v>6110</v>
      </c>
      <c r="L591" s="681" t="s">
        <v>2385</v>
      </c>
    </row>
    <row r="592" spans="2:12" s="112" customFormat="1" hidden="1">
      <c r="B592" s="45"/>
      <c r="C592" s="45">
        <f t="shared" si="127"/>
        <v>3158</v>
      </c>
      <c r="D592" s="45">
        <f t="shared" si="128"/>
        <v>5</v>
      </c>
      <c r="E592" s="45">
        <f t="shared" si="129"/>
        <v>2017</v>
      </c>
      <c r="F592" s="45">
        <f t="shared" si="138"/>
        <v>0</v>
      </c>
      <c r="G592" s="45" t="s">
        <v>448</v>
      </c>
      <c r="H592" s="45" t="s">
        <v>460</v>
      </c>
      <c r="I592" s="162" t="str">
        <f t="shared" si="139"/>
        <v/>
      </c>
      <c r="J592" s="11" t="s">
        <v>1054</v>
      </c>
      <c r="K592" s="680">
        <v>6111</v>
      </c>
      <c r="L592" s="681" t="s">
        <v>2386</v>
      </c>
    </row>
    <row r="593" spans="2:12" s="112" customFormat="1" hidden="1">
      <c r="B593" s="45"/>
      <c r="C593" s="45">
        <f t="shared" si="127"/>
        <v>3158</v>
      </c>
      <c r="D593" s="45">
        <f t="shared" si="128"/>
        <v>5</v>
      </c>
      <c r="E593" s="45">
        <f t="shared" si="129"/>
        <v>2017</v>
      </c>
      <c r="F593" s="45">
        <f t="shared" ref="F593:F603" si="140">BC$3</f>
        <v>0</v>
      </c>
      <c r="G593" s="45" t="s">
        <v>448</v>
      </c>
      <c r="H593" s="45" t="s">
        <v>449</v>
      </c>
      <c r="I593" s="162" t="str">
        <f t="shared" ref="I593:I603" si="141">IF(ISBLANK(BC4),"",BC4)</f>
        <v/>
      </c>
      <c r="J593" s="11" t="s">
        <v>1055</v>
      </c>
      <c r="K593" s="680">
        <v>6112</v>
      </c>
      <c r="L593" s="681" t="s">
        <v>2387</v>
      </c>
    </row>
    <row r="594" spans="2:12" s="112" customFormat="1" hidden="1">
      <c r="B594" s="45"/>
      <c r="C594" s="45">
        <f t="shared" si="127"/>
        <v>3158</v>
      </c>
      <c r="D594" s="45">
        <f t="shared" si="128"/>
        <v>5</v>
      </c>
      <c r="E594" s="45">
        <f t="shared" si="129"/>
        <v>2017</v>
      </c>
      <c r="F594" s="45">
        <f t="shared" si="140"/>
        <v>0</v>
      </c>
      <c r="G594" s="45" t="s">
        <v>448</v>
      </c>
      <c r="H594" s="45" t="s">
        <v>450</v>
      </c>
      <c r="I594" s="162" t="str">
        <f t="shared" si="141"/>
        <v/>
      </c>
      <c r="J594" s="11" t="s">
        <v>1056</v>
      </c>
      <c r="K594" s="680">
        <v>6113</v>
      </c>
      <c r="L594" s="681" t="s">
        <v>2388</v>
      </c>
    </row>
    <row r="595" spans="2:12" s="112" customFormat="1" hidden="1">
      <c r="B595" s="45"/>
      <c r="C595" s="45">
        <f t="shared" si="127"/>
        <v>3158</v>
      </c>
      <c r="D595" s="45">
        <f t="shared" si="128"/>
        <v>5</v>
      </c>
      <c r="E595" s="45">
        <f t="shared" si="129"/>
        <v>2017</v>
      </c>
      <c r="F595" s="45">
        <f t="shared" si="140"/>
        <v>0</v>
      </c>
      <c r="G595" s="45" t="s">
        <v>448</v>
      </c>
      <c r="H595" s="45" t="s">
        <v>451</v>
      </c>
      <c r="I595" s="162" t="str">
        <f t="shared" si="141"/>
        <v/>
      </c>
      <c r="J595" s="11" t="s">
        <v>1057</v>
      </c>
      <c r="K595" s="680">
        <v>6114</v>
      </c>
      <c r="L595" s="681" t="s">
        <v>2389</v>
      </c>
    </row>
    <row r="596" spans="2:12" s="112" customFormat="1" hidden="1">
      <c r="B596" s="45"/>
      <c r="C596" s="45">
        <f t="shared" si="127"/>
        <v>3158</v>
      </c>
      <c r="D596" s="45">
        <f t="shared" si="128"/>
        <v>5</v>
      </c>
      <c r="E596" s="45">
        <f t="shared" si="129"/>
        <v>2017</v>
      </c>
      <c r="F596" s="45">
        <f t="shared" si="140"/>
        <v>0</v>
      </c>
      <c r="G596" s="45" t="s">
        <v>448</v>
      </c>
      <c r="H596" s="45" t="s">
        <v>452</v>
      </c>
      <c r="I596" s="162" t="str">
        <f t="shared" si="141"/>
        <v/>
      </c>
      <c r="J596" s="11" t="s">
        <v>1058</v>
      </c>
      <c r="K596" s="680">
        <v>6115</v>
      </c>
      <c r="L596" s="681" t="s">
        <v>2390</v>
      </c>
    </row>
    <row r="597" spans="2:12" s="112" customFormat="1" hidden="1">
      <c r="B597" s="45"/>
      <c r="C597" s="45">
        <f t="shared" si="127"/>
        <v>3158</v>
      </c>
      <c r="D597" s="45">
        <f t="shared" si="128"/>
        <v>5</v>
      </c>
      <c r="E597" s="45">
        <f t="shared" si="129"/>
        <v>2017</v>
      </c>
      <c r="F597" s="45">
        <f t="shared" si="140"/>
        <v>0</v>
      </c>
      <c r="G597" s="45" t="s">
        <v>448</v>
      </c>
      <c r="H597" s="45" t="s">
        <v>453</v>
      </c>
      <c r="I597" s="162" t="str">
        <f t="shared" si="141"/>
        <v/>
      </c>
      <c r="J597" s="11" t="s">
        <v>1059</v>
      </c>
      <c r="K597" s="680">
        <v>6116</v>
      </c>
      <c r="L597" s="681" t="s">
        <v>2391</v>
      </c>
    </row>
    <row r="598" spans="2:12" s="112" customFormat="1" hidden="1">
      <c r="B598" s="45"/>
      <c r="C598" s="45">
        <f t="shared" ref="C598:C661" si="142">H$1</f>
        <v>3158</v>
      </c>
      <c r="D598" s="45">
        <f t="shared" ref="D598:D661" si="143">K$1</f>
        <v>5</v>
      </c>
      <c r="E598" s="45">
        <f t="shared" si="129"/>
        <v>2017</v>
      </c>
      <c r="F598" s="45">
        <f t="shared" si="140"/>
        <v>0</v>
      </c>
      <c r="G598" s="45" t="s">
        <v>448</v>
      </c>
      <c r="H598" s="45" t="s">
        <v>454</v>
      </c>
      <c r="I598" s="162" t="str">
        <f t="shared" si="141"/>
        <v/>
      </c>
      <c r="J598" s="11" t="s">
        <v>1060</v>
      </c>
      <c r="K598" s="680">
        <v>6117</v>
      </c>
      <c r="L598" s="681" t="s">
        <v>2392</v>
      </c>
    </row>
    <row r="599" spans="2:12" s="112" customFormat="1" hidden="1">
      <c r="B599" s="45"/>
      <c r="C599" s="45">
        <f t="shared" si="142"/>
        <v>3158</v>
      </c>
      <c r="D599" s="45">
        <f t="shared" si="143"/>
        <v>5</v>
      </c>
      <c r="E599" s="45">
        <f t="shared" si="129"/>
        <v>2017</v>
      </c>
      <c r="F599" s="45">
        <f t="shared" si="140"/>
        <v>0</v>
      </c>
      <c r="G599" s="45" t="s">
        <v>448</v>
      </c>
      <c r="H599" s="45" t="s">
        <v>455</v>
      </c>
      <c r="I599" s="162" t="str">
        <f t="shared" si="141"/>
        <v/>
      </c>
      <c r="J599" s="11" t="s">
        <v>1061</v>
      </c>
      <c r="K599" s="680">
        <v>6118</v>
      </c>
      <c r="L599" s="681" t="s">
        <v>2393</v>
      </c>
    </row>
    <row r="600" spans="2:12" s="112" customFormat="1" hidden="1">
      <c r="B600" s="45"/>
      <c r="C600" s="45">
        <f t="shared" si="142"/>
        <v>3158</v>
      </c>
      <c r="D600" s="45">
        <f t="shared" si="143"/>
        <v>5</v>
      </c>
      <c r="E600" s="45">
        <f t="shared" ref="E600:E663" si="144">D$1</f>
        <v>2017</v>
      </c>
      <c r="F600" s="45">
        <f t="shared" si="140"/>
        <v>0</v>
      </c>
      <c r="G600" s="45" t="s">
        <v>448</v>
      </c>
      <c r="H600" s="45" t="s">
        <v>456</v>
      </c>
      <c r="I600" s="162" t="str">
        <f t="shared" si="141"/>
        <v/>
      </c>
      <c r="J600" s="11" t="s">
        <v>1062</v>
      </c>
      <c r="K600" s="293">
        <v>6119</v>
      </c>
      <c r="L600" s="295" t="s">
        <v>2681</v>
      </c>
    </row>
    <row r="601" spans="2:12" s="112" customFormat="1" hidden="1">
      <c r="B601" s="45"/>
      <c r="C601" s="45">
        <f t="shared" si="142"/>
        <v>3158</v>
      </c>
      <c r="D601" s="45">
        <f t="shared" si="143"/>
        <v>5</v>
      </c>
      <c r="E601" s="45">
        <f t="shared" si="144"/>
        <v>2017</v>
      </c>
      <c r="F601" s="45">
        <f t="shared" si="140"/>
        <v>0</v>
      </c>
      <c r="G601" s="45" t="s">
        <v>448</v>
      </c>
      <c r="H601" s="45" t="s">
        <v>457</v>
      </c>
      <c r="I601" s="162" t="str">
        <f t="shared" si="141"/>
        <v/>
      </c>
      <c r="J601" s="11" t="s">
        <v>1063</v>
      </c>
      <c r="K601" s="293">
        <v>6120</v>
      </c>
      <c r="L601" s="295" t="s">
        <v>2682</v>
      </c>
    </row>
    <row r="602" spans="2:12" s="112" customFormat="1" hidden="1">
      <c r="B602" s="45"/>
      <c r="C602" s="45">
        <f t="shared" si="142"/>
        <v>3158</v>
      </c>
      <c r="D602" s="45">
        <f t="shared" si="143"/>
        <v>5</v>
      </c>
      <c r="E602" s="45">
        <f t="shared" si="144"/>
        <v>2017</v>
      </c>
      <c r="F602" s="45">
        <f t="shared" si="140"/>
        <v>0</v>
      </c>
      <c r="G602" s="45" t="s">
        <v>448</v>
      </c>
      <c r="H602" s="45" t="s">
        <v>458</v>
      </c>
      <c r="I602" s="162" t="str">
        <f t="shared" si="141"/>
        <v/>
      </c>
      <c r="J602" s="11" t="s">
        <v>1064</v>
      </c>
      <c r="K602" s="293">
        <v>6121</v>
      </c>
      <c r="L602" s="295" t="s">
        <v>2683</v>
      </c>
    </row>
    <row r="603" spans="2:12" s="112" customFormat="1" hidden="1">
      <c r="B603" s="45"/>
      <c r="C603" s="45">
        <f t="shared" si="142"/>
        <v>3158</v>
      </c>
      <c r="D603" s="45">
        <f t="shared" si="143"/>
        <v>5</v>
      </c>
      <c r="E603" s="45">
        <f t="shared" si="144"/>
        <v>2017</v>
      </c>
      <c r="F603" s="45">
        <f t="shared" si="140"/>
        <v>0</v>
      </c>
      <c r="G603" s="45" t="s">
        <v>448</v>
      </c>
      <c r="H603" s="45" t="s">
        <v>460</v>
      </c>
      <c r="I603" s="162" t="str">
        <f t="shared" si="141"/>
        <v/>
      </c>
      <c r="J603" s="11" t="s">
        <v>1065</v>
      </c>
      <c r="K603" s="294">
        <v>6122</v>
      </c>
      <c r="L603" s="296" t="s">
        <v>2684</v>
      </c>
    </row>
    <row r="604" spans="2:12" s="112" customFormat="1" hidden="1">
      <c r="B604" s="45"/>
      <c r="C604" s="45">
        <f t="shared" si="142"/>
        <v>3158</v>
      </c>
      <c r="D604" s="45">
        <f t="shared" si="143"/>
        <v>5</v>
      </c>
      <c r="E604" s="45">
        <f t="shared" si="144"/>
        <v>2017</v>
      </c>
      <c r="F604" s="45">
        <f t="shared" ref="F604:F614" si="145">BD$3</f>
        <v>0</v>
      </c>
      <c r="G604" s="45" t="s">
        <v>448</v>
      </c>
      <c r="H604" s="45" t="s">
        <v>449</v>
      </c>
      <c r="I604" s="162" t="str">
        <f t="shared" ref="I604:I614" si="146">IF(ISBLANK(BD4),"",BD4)</f>
        <v/>
      </c>
      <c r="J604" s="11" t="s">
        <v>1066</v>
      </c>
      <c r="K604" s="294"/>
      <c r="L604" s="296"/>
    </row>
    <row r="605" spans="2:12" s="112" customFormat="1" hidden="1">
      <c r="B605" s="45"/>
      <c r="C605" s="45">
        <f t="shared" si="142"/>
        <v>3158</v>
      </c>
      <c r="D605" s="45">
        <f t="shared" si="143"/>
        <v>5</v>
      </c>
      <c r="E605" s="45">
        <f t="shared" si="144"/>
        <v>2017</v>
      </c>
      <c r="F605" s="45">
        <f t="shared" si="145"/>
        <v>0</v>
      </c>
      <c r="G605" s="45" t="s">
        <v>448</v>
      </c>
      <c r="H605" s="45" t="s">
        <v>450</v>
      </c>
      <c r="I605" s="162" t="str">
        <f t="shared" si="146"/>
        <v/>
      </c>
      <c r="J605" s="11" t="s">
        <v>1067</v>
      </c>
      <c r="K605" s="293"/>
      <c r="L605" s="296"/>
    </row>
    <row r="606" spans="2:12" s="112" customFormat="1" hidden="1">
      <c r="B606" s="45"/>
      <c r="C606" s="45">
        <f t="shared" si="142"/>
        <v>3158</v>
      </c>
      <c r="D606" s="45">
        <f t="shared" si="143"/>
        <v>5</v>
      </c>
      <c r="E606" s="45">
        <f t="shared" si="144"/>
        <v>2017</v>
      </c>
      <c r="F606" s="45">
        <f t="shared" si="145"/>
        <v>0</v>
      </c>
      <c r="G606" s="45" t="s">
        <v>448</v>
      </c>
      <c r="H606" s="45" t="s">
        <v>451</v>
      </c>
      <c r="I606" s="162" t="str">
        <f t="shared" si="146"/>
        <v/>
      </c>
      <c r="J606" s="11" t="s">
        <v>1068</v>
      </c>
      <c r="K606" s="293"/>
      <c r="L606" s="295"/>
    </row>
    <row r="607" spans="2:12" s="112" customFormat="1" hidden="1">
      <c r="B607" s="45"/>
      <c r="C607" s="45">
        <f t="shared" si="142"/>
        <v>3158</v>
      </c>
      <c r="D607" s="45">
        <f t="shared" si="143"/>
        <v>5</v>
      </c>
      <c r="E607" s="45">
        <f t="shared" si="144"/>
        <v>2017</v>
      </c>
      <c r="F607" s="45">
        <f t="shared" si="145"/>
        <v>0</v>
      </c>
      <c r="G607" s="45" t="s">
        <v>448</v>
      </c>
      <c r="H607" s="45" t="s">
        <v>452</v>
      </c>
      <c r="I607" s="162" t="str">
        <f t="shared" si="146"/>
        <v/>
      </c>
      <c r="J607" s="11" t="s">
        <v>1069</v>
      </c>
      <c r="K607" s="297"/>
      <c r="L607" s="298"/>
    </row>
    <row r="608" spans="2:12" s="112" customFormat="1" hidden="1">
      <c r="B608" s="45"/>
      <c r="C608" s="45">
        <f t="shared" si="142"/>
        <v>3158</v>
      </c>
      <c r="D608" s="45">
        <f t="shared" si="143"/>
        <v>5</v>
      </c>
      <c r="E608" s="45">
        <f t="shared" si="144"/>
        <v>2017</v>
      </c>
      <c r="F608" s="45">
        <f t="shared" si="145"/>
        <v>0</v>
      </c>
      <c r="G608" s="45" t="s">
        <v>448</v>
      </c>
      <c r="H608" s="45" t="s">
        <v>453</v>
      </c>
      <c r="I608" s="162" t="str">
        <f t="shared" si="146"/>
        <v/>
      </c>
      <c r="J608" s="11" t="s">
        <v>1070</v>
      </c>
      <c r="K608" s="297"/>
      <c r="L608" s="298"/>
    </row>
    <row r="609" spans="2:12" s="112" customFormat="1" hidden="1">
      <c r="B609" s="45"/>
      <c r="C609" s="45">
        <f t="shared" si="142"/>
        <v>3158</v>
      </c>
      <c r="D609" s="45">
        <f t="shared" si="143"/>
        <v>5</v>
      </c>
      <c r="E609" s="45">
        <f t="shared" si="144"/>
        <v>2017</v>
      </c>
      <c r="F609" s="45">
        <f t="shared" si="145"/>
        <v>0</v>
      </c>
      <c r="G609" s="45" t="s">
        <v>448</v>
      </c>
      <c r="H609" s="45" t="s">
        <v>454</v>
      </c>
      <c r="I609" s="162" t="str">
        <f t="shared" si="146"/>
        <v/>
      </c>
      <c r="J609" s="11" t="s">
        <v>1071</v>
      </c>
      <c r="K609" s="297"/>
      <c r="L609" s="298"/>
    </row>
    <row r="610" spans="2:12" s="112" customFormat="1" hidden="1">
      <c r="B610" s="45"/>
      <c r="C610" s="45">
        <f t="shared" si="142"/>
        <v>3158</v>
      </c>
      <c r="D610" s="45">
        <f t="shared" si="143"/>
        <v>5</v>
      </c>
      <c r="E610" s="45">
        <f t="shared" si="144"/>
        <v>2017</v>
      </c>
      <c r="F610" s="45">
        <f t="shared" si="145"/>
        <v>0</v>
      </c>
      <c r="G610" s="45" t="s">
        <v>448</v>
      </c>
      <c r="H610" s="45" t="s">
        <v>455</v>
      </c>
      <c r="I610" s="162" t="str">
        <f t="shared" si="146"/>
        <v/>
      </c>
      <c r="J610" s="11" t="s">
        <v>1072</v>
      </c>
      <c r="K610" s="297"/>
      <c r="L610" s="298"/>
    </row>
    <row r="611" spans="2:12" s="112" customFormat="1" hidden="1">
      <c r="B611" s="45"/>
      <c r="C611" s="45">
        <f t="shared" si="142"/>
        <v>3158</v>
      </c>
      <c r="D611" s="45">
        <f t="shared" si="143"/>
        <v>5</v>
      </c>
      <c r="E611" s="45">
        <f t="shared" si="144"/>
        <v>2017</v>
      </c>
      <c r="F611" s="45">
        <f t="shared" si="145"/>
        <v>0</v>
      </c>
      <c r="G611" s="45" t="s">
        <v>448</v>
      </c>
      <c r="H611" s="45" t="s">
        <v>456</v>
      </c>
      <c r="I611" s="162" t="str">
        <f t="shared" si="146"/>
        <v/>
      </c>
      <c r="J611" s="11" t="s">
        <v>1073</v>
      </c>
      <c r="K611" s="297"/>
      <c r="L611" s="298"/>
    </row>
    <row r="612" spans="2:12" s="112" customFormat="1" hidden="1">
      <c r="B612" s="45"/>
      <c r="C612" s="45">
        <f t="shared" si="142"/>
        <v>3158</v>
      </c>
      <c r="D612" s="45">
        <f t="shared" si="143"/>
        <v>5</v>
      </c>
      <c r="E612" s="45">
        <f t="shared" si="144"/>
        <v>2017</v>
      </c>
      <c r="F612" s="45">
        <f t="shared" si="145"/>
        <v>0</v>
      </c>
      <c r="G612" s="45" t="s">
        <v>448</v>
      </c>
      <c r="H612" s="45" t="s">
        <v>457</v>
      </c>
      <c r="I612" s="162" t="str">
        <f t="shared" si="146"/>
        <v/>
      </c>
      <c r="J612" s="11" t="s">
        <v>1074</v>
      </c>
      <c r="K612" s="297"/>
      <c r="L612" s="298"/>
    </row>
    <row r="613" spans="2:12" s="112" customFormat="1" hidden="1">
      <c r="B613" s="45"/>
      <c r="C613" s="45">
        <f t="shared" si="142"/>
        <v>3158</v>
      </c>
      <c r="D613" s="45">
        <f t="shared" si="143"/>
        <v>5</v>
      </c>
      <c r="E613" s="45">
        <f t="shared" si="144"/>
        <v>2017</v>
      </c>
      <c r="F613" s="45">
        <f t="shared" si="145"/>
        <v>0</v>
      </c>
      <c r="G613" s="45" t="s">
        <v>448</v>
      </c>
      <c r="H613" s="45" t="s">
        <v>458</v>
      </c>
      <c r="I613" s="162" t="str">
        <f t="shared" si="146"/>
        <v/>
      </c>
      <c r="J613" s="11" t="s">
        <v>1075</v>
      </c>
      <c r="K613" s="293"/>
      <c r="L613" s="295"/>
    </row>
    <row r="614" spans="2:12" s="112" customFormat="1" hidden="1">
      <c r="B614" s="45"/>
      <c r="C614" s="45">
        <f t="shared" si="142"/>
        <v>3158</v>
      </c>
      <c r="D614" s="45">
        <f t="shared" si="143"/>
        <v>5</v>
      </c>
      <c r="E614" s="45">
        <f t="shared" si="144"/>
        <v>2017</v>
      </c>
      <c r="F614" s="45">
        <f t="shared" si="145"/>
        <v>0</v>
      </c>
      <c r="G614" s="45" t="s">
        <v>448</v>
      </c>
      <c r="H614" s="45" t="s">
        <v>460</v>
      </c>
      <c r="I614" s="162" t="str">
        <f t="shared" si="146"/>
        <v/>
      </c>
      <c r="J614" s="11" t="s">
        <v>1076</v>
      </c>
      <c r="K614" s="293"/>
      <c r="L614" s="295"/>
    </row>
    <row r="615" spans="2:12" s="112" customFormat="1" hidden="1">
      <c r="B615" s="45"/>
      <c r="C615" s="45">
        <f t="shared" si="142"/>
        <v>3158</v>
      </c>
      <c r="D615" s="45">
        <f t="shared" si="143"/>
        <v>5</v>
      </c>
      <c r="E615" s="45">
        <f t="shared" si="144"/>
        <v>2017</v>
      </c>
      <c r="F615" s="45">
        <f t="shared" ref="F615:F625" si="147">BE$3</f>
        <v>0</v>
      </c>
      <c r="G615" s="45" t="s">
        <v>448</v>
      </c>
      <c r="H615" s="45" t="s">
        <v>449</v>
      </c>
      <c r="I615" s="162" t="str">
        <f t="shared" ref="I615:I625" si="148">IF(ISBLANK(BE4),"",BE4)</f>
        <v/>
      </c>
      <c r="J615" s="11" t="s">
        <v>1077</v>
      </c>
      <c r="K615" s="293"/>
      <c r="L615" s="295"/>
    </row>
    <row r="616" spans="2:12" s="112" customFormat="1" hidden="1">
      <c r="B616" s="45"/>
      <c r="C616" s="45">
        <f t="shared" si="142"/>
        <v>3158</v>
      </c>
      <c r="D616" s="45">
        <f t="shared" si="143"/>
        <v>5</v>
      </c>
      <c r="E616" s="45">
        <f t="shared" si="144"/>
        <v>2017</v>
      </c>
      <c r="F616" s="45">
        <f t="shared" si="147"/>
        <v>0</v>
      </c>
      <c r="G616" s="45" t="s">
        <v>448</v>
      </c>
      <c r="H616" s="45" t="s">
        <v>450</v>
      </c>
      <c r="I616" s="162" t="str">
        <f t="shared" si="148"/>
        <v/>
      </c>
      <c r="J616" s="11" t="s">
        <v>1078</v>
      </c>
      <c r="K616" s="297"/>
      <c r="L616" s="298"/>
    </row>
    <row r="617" spans="2:12" s="112" customFormat="1" hidden="1">
      <c r="B617" s="45"/>
      <c r="C617" s="45">
        <f t="shared" si="142"/>
        <v>3158</v>
      </c>
      <c r="D617" s="45">
        <f t="shared" si="143"/>
        <v>5</v>
      </c>
      <c r="E617" s="45">
        <f t="shared" si="144"/>
        <v>2017</v>
      </c>
      <c r="F617" s="45">
        <f t="shared" si="147"/>
        <v>0</v>
      </c>
      <c r="G617" s="45" t="s">
        <v>448</v>
      </c>
      <c r="H617" s="45" t="s">
        <v>451</v>
      </c>
      <c r="I617" s="162" t="str">
        <f t="shared" si="148"/>
        <v/>
      </c>
      <c r="J617" s="11" t="s">
        <v>1079</v>
      </c>
      <c r="K617" s="293"/>
      <c r="L617" s="295"/>
    </row>
    <row r="618" spans="2:12" s="112" customFormat="1" hidden="1">
      <c r="B618" s="45"/>
      <c r="C618" s="45">
        <f t="shared" si="142"/>
        <v>3158</v>
      </c>
      <c r="D618" s="45">
        <f t="shared" si="143"/>
        <v>5</v>
      </c>
      <c r="E618" s="45">
        <f t="shared" si="144"/>
        <v>2017</v>
      </c>
      <c r="F618" s="45">
        <f t="shared" si="147"/>
        <v>0</v>
      </c>
      <c r="G618" s="45" t="s">
        <v>448</v>
      </c>
      <c r="H618" s="45" t="s">
        <v>452</v>
      </c>
      <c r="I618" s="162" t="str">
        <f t="shared" si="148"/>
        <v/>
      </c>
      <c r="J618" s="11" t="s">
        <v>1080</v>
      </c>
      <c r="K618" s="293"/>
      <c r="L618" s="295"/>
    </row>
    <row r="619" spans="2:12" s="112" customFormat="1" hidden="1">
      <c r="B619" s="45"/>
      <c r="C619" s="45">
        <f t="shared" si="142"/>
        <v>3158</v>
      </c>
      <c r="D619" s="45">
        <f t="shared" si="143"/>
        <v>5</v>
      </c>
      <c r="E619" s="45">
        <f t="shared" si="144"/>
        <v>2017</v>
      </c>
      <c r="F619" s="45">
        <f t="shared" si="147"/>
        <v>0</v>
      </c>
      <c r="G619" s="45" t="s">
        <v>448</v>
      </c>
      <c r="H619" s="45" t="s">
        <v>453</v>
      </c>
      <c r="I619" s="162" t="str">
        <f t="shared" si="148"/>
        <v/>
      </c>
      <c r="J619" s="11" t="s">
        <v>1081</v>
      </c>
      <c r="K619" s="293"/>
      <c r="L619" s="295"/>
    </row>
    <row r="620" spans="2:12" s="112" customFormat="1" hidden="1">
      <c r="B620" s="45"/>
      <c r="C620" s="45">
        <f t="shared" si="142"/>
        <v>3158</v>
      </c>
      <c r="D620" s="45">
        <f t="shared" si="143"/>
        <v>5</v>
      </c>
      <c r="E620" s="45">
        <f t="shared" si="144"/>
        <v>2017</v>
      </c>
      <c r="F620" s="45">
        <f t="shared" si="147"/>
        <v>0</v>
      </c>
      <c r="G620" s="45" t="s">
        <v>448</v>
      </c>
      <c r="H620" s="45" t="s">
        <v>454</v>
      </c>
      <c r="I620" s="162" t="str">
        <f t="shared" si="148"/>
        <v/>
      </c>
      <c r="J620" s="11" t="s">
        <v>1082</v>
      </c>
      <c r="K620" s="293"/>
      <c r="L620" s="295"/>
    </row>
    <row r="621" spans="2:12" s="112" customFormat="1" hidden="1">
      <c r="B621" s="45"/>
      <c r="C621" s="45">
        <f t="shared" si="142"/>
        <v>3158</v>
      </c>
      <c r="D621" s="45">
        <f t="shared" si="143"/>
        <v>5</v>
      </c>
      <c r="E621" s="45">
        <f t="shared" si="144"/>
        <v>2017</v>
      </c>
      <c r="F621" s="45">
        <f t="shared" si="147"/>
        <v>0</v>
      </c>
      <c r="G621" s="45" t="s">
        <v>448</v>
      </c>
      <c r="H621" s="45" t="s">
        <v>455</v>
      </c>
      <c r="I621" s="162" t="str">
        <f t="shared" si="148"/>
        <v/>
      </c>
      <c r="J621" s="11" t="s">
        <v>1083</v>
      </c>
      <c r="K621" s="293"/>
      <c r="L621" s="295"/>
    </row>
    <row r="622" spans="2:12" s="112" customFormat="1" hidden="1">
      <c r="B622" s="45"/>
      <c r="C622" s="45">
        <f t="shared" si="142"/>
        <v>3158</v>
      </c>
      <c r="D622" s="45">
        <f t="shared" si="143"/>
        <v>5</v>
      </c>
      <c r="E622" s="45">
        <f t="shared" si="144"/>
        <v>2017</v>
      </c>
      <c r="F622" s="45">
        <f t="shared" si="147"/>
        <v>0</v>
      </c>
      <c r="G622" s="45" t="s">
        <v>448</v>
      </c>
      <c r="H622" s="45" t="s">
        <v>456</v>
      </c>
      <c r="I622" s="162" t="str">
        <f t="shared" si="148"/>
        <v/>
      </c>
      <c r="J622" s="11" t="s">
        <v>1084</v>
      </c>
      <c r="K622" s="293"/>
      <c r="L622" s="295"/>
    </row>
    <row r="623" spans="2:12" s="112" customFormat="1" hidden="1">
      <c r="B623" s="45"/>
      <c r="C623" s="45">
        <f t="shared" si="142"/>
        <v>3158</v>
      </c>
      <c r="D623" s="45">
        <f t="shared" si="143"/>
        <v>5</v>
      </c>
      <c r="E623" s="45">
        <f t="shared" si="144"/>
        <v>2017</v>
      </c>
      <c r="F623" s="45">
        <f t="shared" si="147"/>
        <v>0</v>
      </c>
      <c r="G623" s="45" t="s">
        <v>448</v>
      </c>
      <c r="H623" s="45" t="s">
        <v>457</v>
      </c>
      <c r="I623" s="162" t="str">
        <f t="shared" si="148"/>
        <v/>
      </c>
      <c r="J623" s="11" t="s">
        <v>1085</v>
      </c>
      <c r="K623" s="293"/>
      <c r="L623" s="295"/>
    </row>
    <row r="624" spans="2:12" s="112" customFormat="1" hidden="1">
      <c r="B624" s="45"/>
      <c r="C624" s="45">
        <f t="shared" si="142"/>
        <v>3158</v>
      </c>
      <c r="D624" s="45">
        <f t="shared" si="143"/>
        <v>5</v>
      </c>
      <c r="E624" s="45">
        <f t="shared" si="144"/>
        <v>2017</v>
      </c>
      <c r="F624" s="45">
        <f t="shared" si="147"/>
        <v>0</v>
      </c>
      <c r="G624" s="45" t="s">
        <v>448</v>
      </c>
      <c r="H624" s="45" t="s">
        <v>458</v>
      </c>
      <c r="I624" s="162" t="str">
        <f t="shared" si="148"/>
        <v/>
      </c>
      <c r="J624" s="11" t="s">
        <v>1086</v>
      </c>
      <c r="K624" s="293"/>
      <c r="L624" s="295"/>
    </row>
    <row r="625" spans="2:12" s="112" customFormat="1" hidden="1">
      <c r="B625" s="45"/>
      <c r="C625" s="45">
        <f t="shared" si="142"/>
        <v>3158</v>
      </c>
      <c r="D625" s="45">
        <f t="shared" si="143"/>
        <v>5</v>
      </c>
      <c r="E625" s="45">
        <f t="shared" si="144"/>
        <v>2017</v>
      </c>
      <c r="F625" s="45">
        <f t="shared" si="147"/>
        <v>0</v>
      </c>
      <c r="G625" s="45" t="s">
        <v>448</v>
      </c>
      <c r="H625" s="45" t="s">
        <v>460</v>
      </c>
      <c r="I625" s="162" t="str">
        <f t="shared" si="148"/>
        <v/>
      </c>
      <c r="J625" s="11" t="s">
        <v>1087</v>
      </c>
      <c r="K625" s="293"/>
      <c r="L625" s="295"/>
    </row>
    <row r="626" spans="2:12" s="112" customFormat="1" hidden="1">
      <c r="B626" s="45"/>
      <c r="C626" s="45">
        <f t="shared" si="142"/>
        <v>3158</v>
      </c>
      <c r="D626" s="45">
        <f t="shared" si="143"/>
        <v>5</v>
      </c>
      <c r="E626" s="45">
        <f t="shared" si="144"/>
        <v>2017</v>
      </c>
      <c r="F626" s="45">
        <f t="shared" ref="F626:F636" si="149">BF$3</f>
        <v>0</v>
      </c>
      <c r="G626" s="45" t="s">
        <v>448</v>
      </c>
      <c r="H626" s="45" t="s">
        <v>449</v>
      </c>
      <c r="I626" s="162" t="str">
        <f t="shared" ref="I626:I636" si="150">IF(ISBLANK(BF4),"",BF4)</f>
        <v/>
      </c>
      <c r="J626" s="11" t="s">
        <v>1088</v>
      </c>
      <c r="K626" s="293"/>
      <c r="L626" s="295"/>
    </row>
    <row r="627" spans="2:12" s="112" customFormat="1" hidden="1">
      <c r="B627" s="45"/>
      <c r="C627" s="45">
        <f t="shared" si="142"/>
        <v>3158</v>
      </c>
      <c r="D627" s="45">
        <f t="shared" si="143"/>
        <v>5</v>
      </c>
      <c r="E627" s="45">
        <f t="shared" si="144"/>
        <v>2017</v>
      </c>
      <c r="F627" s="45">
        <f t="shared" si="149"/>
        <v>0</v>
      </c>
      <c r="G627" s="45" t="s">
        <v>448</v>
      </c>
      <c r="H627" s="45" t="s">
        <v>450</v>
      </c>
      <c r="I627" s="162" t="str">
        <f t="shared" si="150"/>
        <v/>
      </c>
      <c r="J627" s="11" t="s">
        <v>1089</v>
      </c>
      <c r="K627" s="150"/>
      <c r="L627" s="150"/>
    </row>
    <row r="628" spans="2:12" s="112" customFormat="1" hidden="1">
      <c r="B628" s="45"/>
      <c r="C628" s="45">
        <f t="shared" si="142"/>
        <v>3158</v>
      </c>
      <c r="D628" s="45">
        <f t="shared" si="143"/>
        <v>5</v>
      </c>
      <c r="E628" s="45">
        <f t="shared" si="144"/>
        <v>2017</v>
      </c>
      <c r="F628" s="45">
        <f t="shared" si="149"/>
        <v>0</v>
      </c>
      <c r="G628" s="45" t="s">
        <v>448</v>
      </c>
      <c r="H628" s="45" t="s">
        <v>451</v>
      </c>
      <c r="I628" s="162" t="str">
        <f t="shared" si="150"/>
        <v/>
      </c>
      <c r="J628" s="11" t="s">
        <v>1090</v>
      </c>
      <c r="K628" s="150"/>
      <c r="L628" s="150"/>
    </row>
    <row r="629" spans="2:12" s="112" customFormat="1" hidden="1">
      <c r="B629" s="45"/>
      <c r="C629" s="45">
        <f t="shared" si="142"/>
        <v>3158</v>
      </c>
      <c r="D629" s="45">
        <f t="shared" si="143"/>
        <v>5</v>
      </c>
      <c r="E629" s="45">
        <f t="shared" si="144"/>
        <v>2017</v>
      </c>
      <c r="F629" s="45">
        <f t="shared" si="149"/>
        <v>0</v>
      </c>
      <c r="G629" s="45" t="s">
        <v>448</v>
      </c>
      <c r="H629" s="45" t="s">
        <v>452</v>
      </c>
      <c r="I629" s="162" t="str">
        <f t="shared" si="150"/>
        <v/>
      </c>
      <c r="J629" s="11" t="s">
        <v>1091</v>
      </c>
      <c r="K629" s="150"/>
      <c r="L629" s="150"/>
    </row>
    <row r="630" spans="2:12" s="112" customFormat="1" hidden="1">
      <c r="B630" s="45"/>
      <c r="C630" s="45">
        <f t="shared" si="142"/>
        <v>3158</v>
      </c>
      <c r="D630" s="45">
        <f t="shared" si="143"/>
        <v>5</v>
      </c>
      <c r="E630" s="45">
        <f t="shared" si="144"/>
        <v>2017</v>
      </c>
      <c r="F630" s="45">
        <f t="shared" si="149"/>
        <v>0</v>
      </c>
      <c r="G630" s="45" t="s">
        <v>448</v>
      </c>
      <c r="H630" s="45" t="s">
        <v>453</v>
      </c>
      <c r="I630" s="162" t="str">
        <f t="shared" si="150"/>
        <v/>
      </c>
      <c r="J630" s="112" t="s">
        <v>1092</v>
      </c>
      <c r="K630" s="150"/>
      <c r="L630" s="150"/>
    </row>
    <row r="631" spans="2:12" s="112" customFormat="1" hidden="1">
      <c r="B631" s="45"/>
      <c r="C631" s="45">
        <f t="shared" si="142"/>
        <v>3158</v>
      </c>
      <c r="D631" s="45">
        <f t="shared" si="143"/>
        <v>5</v>
      </c>
      <c r="E631" s="45">
        <f t="shared" si="144"/>
        <v>2017</v>
      </c>
      <c r="F631" s="45">
        <f t="shared" si="149"/>
        <v>0</v>
      </c>
      <c r="G631" s="45" t="s">
        <v>448</v>
      </c>
      <c r="H631" s="45" t="s">
        <v>454</v>
      </c>
      <c r="I631" s="162" t="str">
        <f t="shared" si="150"/>
        <v/>
      </c>
      <c r="J631" s="112" t="s">
        <v>1093</v>
      </c>
      <c r="K631" s="150"/>
      <c r="L631" s="150"/>
    </row>
    <row r="632" spans="2:12" s="112" customFormat="1" hidden="1">
      <c r="B632" s="45"/>
      <c r="C632" s="45">
        <f t="shared" si="142"/>
        <v>3158</v>
      </c>
      <c r="D632" s="45">
        <f t="shared" si="143"/>
        <v>5</v>
      </c>
      <c r="E632" s="45">
        <f t="shared" si="144"/>
        <v>2017</v>
      </c>
      <c r="F632" s="45">
        <f t="shared" si="149"/>
        <v>0</v>
      </c>
      <c r="G632" s="45" t="s">
        <v>448</v>
      </c>
      <c r="H632" s="45" t="s">
        <v>455</v>
      </c>
      <c r="I632" s="162" t="str">
        <f t="shared" si="150"/>
        <v/>
      </c>
      <c r="J632" s="112" t="s">
        <v>1094</v>
      </c>
      <c r="K632" s="150"/>
      <c r="L632" s="150"/>
    </row>
    <row r="633" spans="2:12" s="112" customFormat="1" hidden="1">
      <c r="B633" s="45"/>
      <c r="C633" s="45">
        <f t="shared" si="142"/>
        <v>3158</v>
      </c>
      <c r="D633" s="45">
        <f t="shared" si="143"/>
        <v>5</v>
      </c>
      <c r="E633" s="45">
        <f t="shared" si="144"/>
        <v>2017</v>
      </c>
      <c r="F633" s="45">
        <f t="shared" si="149"/>
        <v>0</v>
      </c>
      <c r="G633" s="45" t="s">
        <v>448</v>
      </c>
      <c r="H633" s="45" t="s">
        <v>456</v>
      </c>
      <c r="I633" s="162" t="str">
        <f t="shared" si="150"/>
        <v/>
      </c>
      <c r="J633" s="112" t="s">
        <v>1095</v>
      </c>
      <c r="K633" s="150"/>
      <c r="L633" s="150"/>
    </row>
    <row r="634" spans="2:12" s="112" customFormat="1" hidden="1">
      <c r="B634" s="45"/>
      <c r="C634" s="45">
        <f t="shared" si="142"/>
        <v>3158</v>
      </c>
      <c r="D634" s="45">
        <f t="shared" si="143"/>
        <v>5</v>
      </c>
      <c r="E634" s="45">
        <f t="shared" si="144"/>
        <v>2017</v>
      </c>
      <c r="F634" s="45">
        <f t="shared" si="149"/>
        <v>0</v>
      </c>
      <c r="G634" s="45" t="s">
        <v>448</v>
      </c>
      <c r="H634" s="45" t="s">
        <v>457</v>
      </c>
      <c r="I634" s="162" t="str">
        <f t="shared" si="150"/>
        <v/>
      </c>
      <c r="J634" s="112" t="s">
        <v>1096</v>
      </c>
      <c r="K634" s="150"/>
      <c r="L634" s="150"/>
    </row>
    <row r="635" spans="2:12" s="112" customFormat="1" hidden="1">
      <c r="B635" s="45"/>
      <c r="C635" s="45">
        <f t="shared" si="142"/>
        <v>3158</v>
      </c>
      <c r="D635" s="45">
        <f t="shared" si="143"/>
        <v>5</v>
      </c>
      <c r="E635" s="45">
        <f t="shared" si="144"/>
        <v>2017</v>
      </c>
      <c r="F635" s="45">
        <f t="shared" si="149"/>
        <v>0</v>
      </c>
      <c r="G635" s="45" t="s">
        <v>448</v>
      </c>
      <c r="H635" s="45" t="s">
        <v>458</v>
      </c>
      <c r="I635" s="162" t="str">
        <f t="shared" si="150"/>
        <v/>
      </c>
      <c r="J635" s="112" t="s">
        <v>1097</v>
      </c>
      <c r="K635" s="150"/>
      <c r="L635" s="150"/>
    </row>
    <row r="636" spans="2:12" s="112" customFormat="1" hidden="1">
      <c r="B636" s="45"/>
      <c r="C636" s="45">
        <f t="shared" si="142"/>
        <v>3158</v>
      </c>
      <c r="D636" s="45">
        <f t="shared" si="143"/>
        <v>5</v>
      </c>
      <c r="E636" s="45">
        <f t="shared" si="144"/>
        <v>2017</v>
      </c>
      <c r="F636" s="45">
        <f t="shared" si="149"/>
        <v>0</v>
      </c>
      <c r="G636" s="45" t="s">
        <v>448</v>
      </c>
      <c r="H636" s="45" t="s">
        <v>460</v>
      </c>
      <c r="I636" s="162" t="str">
        <f t="shared" si="150"/>
        <v/>
      </c>
      <c r="J636" s="112" t="s">
        <v>1098</v>
      </c>
      <c r="K636" s="150"/>
      <c r="L636" s="150"/>
    </row>
    <row r="637" spans="2:12" s="112" customFormat="1" hidden="1">
      <c r="B637" s="45"/>
      <c r="C637" s="45">
        <f t="shared" si="142"/>
        <v>3158</v>
      </c>
      <c r="D637" s="45">
        <f t="shared" si="143"/>
        <v>5</v>
      </c>
      <c r="E637" s="45">
        <f t="shared" si="144"/>
        <v>2017</v>
      </c>
      <c r="F637" s="45">
        <f t="shared" ref="F637:F647" si="151">BG$3</f>
        <v>0</v>
      </c>
      <c r="G637" s="45" t="s">
        <v>448</v>
      </c>
      <c r="H637" s="45" t="s">
        <v>449</v>
      </c>
      <c r="I637" s="162" t="str">
        <f t="shared" ref="I637:I647" si="152">IF(ISBLANK(BG4),"",BG4)</f>
        <v/>
      </c>
      <c r="J637" s="112" t="s">
        <v>1099</v>
      </c>
      <c r="K637" s="150"/>
      <c r="L637" s="150"/>
    </row>
    <row r="638" spans="2:12" s="112" customFormat="1" hidden="1">
      <c r="B638" s="45"/>
      <c r="C638" s="45">
        <f t="shared" si="142"/>
        <v>3158</v>
      </c>
      <c r="D638" s="45">
        <f t="shared" si="143"/>
        <v>5</v>
      </c>
      <c r="E638" s="45">
        <f t="shared" si="144"/>
        <v>2017</v>
      </c>
      <c r="F638" s="45">
        <f t="shared" si="151"/>
        <v>0</v>
      </c>
      <c r="G638" s="45" t="s">
        <v>448</v>
      </c>
      <c r="H638" s="45" t="s">
        <v>450</v>
      </c>
      <c r="I638" s="162" t="str">
        <f t="shared" si="152"/>
        <v/>
      </c>
      <c r="J638" s="112" t="s">
        <v>1100</v>
      </c>
      <c r="K638" s="150"/>
      <c r="L638" s="150"/>
    </row>
    <row r="639" spans="2:12" s="112" customFormat="1" hidden="1">
      <c r="B639" s="45"/>
      <c r="C639" s="45">
        <f t="shared" si="142"/>
        <v>3158</v>
      </c>
      <c r="D639" s="45">
        <f t="shared" si="143"/>
        <v>5</v>
      </c>
      <c r="E639" s="45">
        <f t="shared" si="144"/>
        <v>2017</v>
      </c>
      <c r="F639" s="45">
        <f t="shared" si="151"/>
        <v>0</v>
      </c>
      <c r="G639" s="45" t="s">
        <v>448</v>
      </c>
      <c r="H639" s="45" t="s">
        <v>451</v>
      </c>
      <c r="I639" s="162" t="str">
        <f t="shared" si="152"/>
        <v/>
      </c>
      <c r="J639" s="112" t="s">
        <v>1101</v>
      </c>
      <c r="K639" s="150"/>
      <c r="L639" s="150"/>
    </row>
    <row r="640" spans="2:12" s="112" customFormat="1" hidden="1">
      <c r="B640" s="45"/>
      <c r="C640" s="45">
        <f t="shared" si="142"/>
        <v>3158</v>
      </c>
      <c r="D640" s="45">
        <f t="shared" si="143"/>
        <v>5</v>
      </c>
      <c r="E640" s="45">
        <f t="shared" si="144"/>
        <v>2017</v>
      </c>
      <c r="F640" s="45">
        <f t="shared" si="151"/>
        <v>0</v>
      </c>
      <c r="G640" s="45" t="s">
        <v>448</v>
      </c>
      <c r="H640" s="45" t="s">
        <v>452</v>
      </c>
      <c r="I640" s="162" t="str">
        <f t="shared" si="152"/>
        <v/>
      </c>
      <c r="J640" s="112" t="s">
        <v>1102</v>
      </c>
      <c r="K640" s="150"/>
      <c r="L640" s="150"/>
    </row>
    <row r="641" spans="2:12" s="112" customFormat="1" hidden="1">
      <c r="B641" s="45"/>
      <c r="C641" s="45">
        <f t="shared" si="142"/>
        <v>3158</v>
      </c>
      <c r="D641" s="45">
        <f t="shared" si="143"/>
        <v>5</v>
      </c>
      <c r="E641" s="45">
        <f t="shared" si="144"/>
        <v>2017</v>
      </c>
      <c r="F641" s="45">
        <f t="shared" si="151"/>
        <v>0</v>
      </c>
      <c r="G641" s="45" t="s">
        <v>448</v>
      </c>
      <c r="H641" s="45" t="s">
        <v>453</v>
      </c>
      <c r="I641" s="162" t="str">
        <f t="shared" si="152"/>
        <v/>
      </c>
      <c r="J641" s="112" t="s">
        <v>1103</v>
      </c>
      <c r="K641" s="150"/>
      <c r="L641" s="150"/>
    </row>
    <row r="642" spans="2:12" s="112" customFormat="1" hidden="1">
      <c r="B642" s="45"/>
      <c r="C642" s="45">
        <f t="shared" si="142"/>
        <v>3158</v>
      </c>
      <c r="D642" s="45">
        <f t="shared" si="143"/>
        <v>5</v>
      </c>
      <c r="E642" s="45">
        <f t="shared" si="144"/>
        <v>2017</v>
      </c>
      <c r="F642" s="45">
        <f t="shared" si="151"/>
        <v>0</v>
      </c>
      <c r="G642" s="45" t="s">
        <v>448</v>
      </c>
      <c r="H642" s="45" t="s">
        <v>454</v>
      </c>
      <c r="I642" s="162" t="str">
        <f t="shared" si="152"/>
        <v/>
      </c>
      <c r="J642" s="112" t="s">
        <v>1104</v>
      </c>
      <c r="K642" s="150"/>
      <c r="L642" s="150"/>
    </row>
    <row r="643" spans="2:12" s="112" customFormat="1" hidden="1">
      <c r="B643" s="45"/>
      <c r="C643" s="45">
        <f t="shared" si="142"/>
        <v>3158</v>
      </c>
      <c r="D643" s="45">
        <f t="shared" si="143"/>
        <v>5</v>
      </c>
      <c r="E643" s="45">
        <f t="shared" si="144"/>
        <v>2017</v>
      </c>
      <c r="F643" s="45">
        <f t="shared" si="151"/>
        <v>0</v>
      </c>
      <c r="G643" s="45" t="s">
        <v>448</v>
      </c>
      <c r="H643" s="45" t="s">
        <v>455</v>
      </c>
      <c r="I643" s="162" t="str">
        <f t="shared" si="152"/>
        <v/>
      </c>
      <c r="J643" s="112" t="s">
        <v>1105</v>
      </c>
      <c r="K643" s="150"/>
      <c r="L643" s="150"/>
    </row>
    <row r="644" spans="2:12" s="112" customFormat="1" hidden="1">
      <c r="B644" s="45"/>
      <c r="C644" s="45">
        <f t="shared" si="142"/>
        <v>3158</v>
      </c>
      <c r="D644" s="45">
        <f t="shared" si="143"/>
        <v>5</v>
      </c>
      <c r="E644" s="45">
        <f t="shared" si="144"/>
        <v>2017</v>
      </c>
      <c r="F644" s="45">
        <f t="shared" si="151"/>
        <v>0</v>
      </c>
      <c r="G644" s="45" t="s">
        <v>448</v>
      </c>
      <c r="H644" s="45" t="s">
        <v>456</v>
      </c>
      <c r="I644" s="162" t="str">
        <f t="shared" si="152"/>
        <v/>
      </c>
      <c r="J644" s="112" t="s">
        <v>1106</v>
      </c>
      <c r="K644" s="150"/>
      <c r="L644" s="150"/>
    </row>
    <row r="645" spans="2:12" s="112" customFormat="1" hidden="1">
      <c r="B645" s="45"/>
      <c r="C645" s="45">
        <f t="shared" si="142"/>
        <v>3158</v>
      </c>
      <c r="D645" s="45">
        <f t="shared" si="143"/>
        <v>5</v>
      </c>
      <c r="E645" s="45">
        <f t="shared" si="144"/>
        <v>2017</v>
      </c>
      <c r="F645" s="45">
        <f t="shared" si="151"/>
        <v>0</v>
      </c>
      <c r="G645" s="45" t="s">
        <v>448</v>
      </c>
      <c r="H645" s="45" t="s">
        <v>457</v>
      </c>
      <c r="I645" s="162" t="str">
        <f t="shared" si="152"/>
        <v/>
      </c>
      <c r="J645" s="112" t="s">
        <v>1107</v>
      </c>
      <c r="K645" s="150"/>
      <c r="L645" s="150"/>
    </row>
    <row r="646" spans="2:12" s="112" customFormat="1" hidden="1">
      <c r="B646" s="45"/>
      <c r="C646" s="45">
        <f t="shared" si="142"/>
        <v>3158</v>
      </c>
      <c r="D646" s="45">
        <f t="shared" si="143"/>
        <v>5</v>
      </c>
      <c r="E646" s="45">
        <f t="shared" si="144"/>
        <v>2017</v>
      </c>
      <c r="F646" s="45">
        <f t="shared" si="151"/>
        <v>0</v>
      </c>
      <c r="G646" s="45" t="s">
        <v>448</v>
      </c>
      <c r="H646" s="45" t="s">
        <v>458</v>
      </c>
      <c r="I646" s="162" t="str">
        <f t="shared" si="152"/>
        <v/>
      </c>
      <c r="J646" s="112" t="s">
        <v>1108</v>
      </c>
      <c r="K646" s="150"/>
      <c r="L646" s="150"/>
    </row>
    <row r="647" spans="2:12" s="112" customFormat="1" hidden="1">
      <c r="B647" s="45"/>
      <c r="C647" s="45">
        <f t="shared" si="142"/>
        <v>3158</v>
      </c>
      <c r="D647" s="45">
        <f t="shared" si="143"/>
        <v>5</v>
      </c>
      <c r="E647" s="45">
        <f t="shared" si="144"/>
        <v>2017</v>
      </c>
      <c r="F647" s="45">
        <f t="shared" si="151"/>
        <v>0</v>
      </c>
      <c r="G647" s="45" t="s">
        <v>448</v>
      </c>
      <c r="H647" s="45" t="s">
        <v>460</v>
      </c>
      <c r="I647" s="162" t="str">
        <f t="shared" si="152"/>
        <v/>
      </c>
      <c r="J647" s="112" t="s">
        <v>1109</v>
      </c>
      <c r="K647" s="150"/>
      <c r="L647" s="150"/>
    </row>
    <row r="648" spans="2:12" s="112" customFormat="1" hidden="1">
      <c r="B648" s="45"/>
      <c r="C648" s="45">
        <f t="shared" si="142"/>
        <v>3158</v>
      </c>
      <c r="D648" s="45">
        <f t="shared" si="143"/>
        <v>5</v>
      </c>
      <c r="E648" s="45">
        <f t="shared" si="144"/>
        <v>2017</v>
      </c>
      <c r="F648" s="45">
        <f t="shared" ref="F648:F658" si="153">BH$3</f>
        <v>0</v>
      </c>
      <c r="G648" s="45" t="s">
        <v>448</v>
      </c>
      <c r="H648" s="45" t="s">
        <v>449</v>
      </c>
      <c r="I648" s="162" t="str">
        <f t="shared" ref="I648:I658" si="154">IF(ISBLANK(BH4),"",BH4)</f>
        <v/>
      </c>
      <c r="J648" s="112" t="s">
        <v>1110</v>
      </c>
      <c r="K648" s="150"/>
      <c r="L648" s="150"/>
    </row>
    <row r="649" spans="2:12" s="112" customFormat="1" hidden="1">
      <c r="B649" s="45"/>
      <c r="C649" s="45">
        <f t="shared" si="142"/>
        <v>3158</v>
      </c>
      <c r="D649" s="45">
        <f t="shared" si="143"/>
        <v>5</v>
      </c>
      <c r="E649" s="45">
        <f t="shared" si="144"/>
        <v>2017</v>
      </c>
      <c r="F649" s="45">
        <f t="shared" si="153"/>
        <v>0</v>
      </c>
      <c r="G649" s="45" t="s">
        <v>448</v>
      </c>
      <c r="H649" s="45" t="s">
        <v>450</v>
      </c>
      <c r="I649" s="162" t="str">
        <f t="shared" si="154"/>
        <v/>
      </c>
      <c r="J649" s="112" t="s">
        <v>1111</v>
      </c>
      <c r="K649" s="150"/>
      <c r="L649" s="150"/>
    </row>
    <row r="650" spans="2:12" s="112" customFormat="1" hidden="1">
      <c r="B650" s="45"/>
      <c r="C650" s="45">
        <f t="shared" si="142"/>
        <v>3158</v>
      </c>
      <c r="D650" s="45">
        <f t="shared" si="143"/>
        <v>5</v>
      </c>
      <c r="E650" s="45">
        <f t="shared" si="144"/>
        <v>2017</v>
      </c>
      <c r="F650" s="45">
        <f t="shared" si="153"/>
        <v>0</v>
      </c>
      <c r="G650" s="45" t="s">
        <v>448</v>
      </c>
      <c r="H650" s="45" t="s">
        <v>451</v>
      </c>
      <c r="I650" s="162" t="str">
        <f t="shared" si="154"/>
        <v/>
      </c>
      <c r="J650" s="112" t="s">
        <v>1112</v>
      </c>
      <c r="K650" s="150"/>
      <c r="L650" s="150"/>
    </row>
    <row r="651" spans="2:12" s="112" customFormat="1" hidden="1">
      <c r="B651" s="45"/>
      <c r="C651" s="45">
        <f t="shared" si="142"/>
        <v>3158</v>
      </c>
      <c r="D651" s="45">
        <f t="shared" si="143"/>
        <v>5</v>
      </c>
      <c r="E651" s="45">
        <f t="shared" si="144"/>
        <v>2017</v>
      </c>
      <c r="F651" s="45">
        <f t="shared" si="153"/>
        <v>0</v>
      </c>
      <c r="G651" s="45" t="s">
        <v>448</v>
      </c>
      <c r="H651" s="45" t="s">
        <v>452</v>
      </c>
      <c r="I651" s="162" t="str">
        <f t="shared" si="154"/>
        <v/>
      </c>
      <c r="J651" s="112" t="s">
        <v>1113</v>
      </c>
      <c r="K651" s="150"/>
      <c r="L651" s="150"/>
    </row>
    <row r="652" spans="2:12" s="112" customFormat="1" hidden="1">
      <c r="B652" s="45"/>
      <c r="C652" s="45">
        <f t="shared" si="142"/>
        <v>3158</v>
      </c>
      <c r="D652" s="45">
        <f t="shared" si="143"/>
        <v>5</v>
      </c>
      <c r="E652" s="45">
        <f t="shared" si="144"/>
        <v>2017</v>
      </c>
      <c r="F652" s="45">
        <f t="shared" si="153"/>
        <v>0</v>
      </c>
      <c r="G652" s="45" t="s">
        <v>448</v>
      </c>
      <c r="H652" s="45" t="s">
        <v>453</v>
      </c>
      <c r="I652" s="162" t="str">
        <f t="shared" si="154"/>
        <v/>
      </c>
      <c r="J652" s="112" t="s">
        <v>1114</v>
      </c>
      <c r="K652" s="150"/>
      <c r="L652" s="150"/>
    </row>
    <row r="653" spans="2:12" s="112" customFormat="1" hidden="1">
      <c r="B653" s="45"/>
      <c r="C653" s="45">
        <f t="shared" si="142"/>
        <v>3158</v>
      </c>
      <c r="D653" s="45">
        <f t="shared" si="143"/>
        <v>5</v>
      </c>
      <c r="E653" s="45">
        <f t="shared" si="144"/>
        <v>2017</v>
      </c>
      <c r="F653" s="45">
        <f t="shared" si="153"/>
        <v>0</v>
      </c>
      <c r="G653" s="45" t="s">
        <v>448</v>
      </c>
      <c r="H653" s="45" t="s">
        <v>454</v>
      </c>
      <c r="I653" s="162" t="str">
        <f t="shared" si="154"/>
        <v/>
      </c>
      <c r="J653" s="112" t="s">
        <v>1115</v>
      </c>
      <c r="K653" s="150"/>
      <c r="L653" s="150"/>
    </row>
    <row r="654" spans="2:12" s="112" customFormat="1" hidden="1">
      <c r="B654" s="45"/>
      <c r="C654" s="45">
        <f t="shared" si="142"/>
        <v>3158</v>
      </c>
      <c r="D654" s="45">
        <f t="shared" si="143"/>
        <v>5</v>
      </c>
      <c r="E654" s="45">
        <f t="shared" si="144"/>
        <v>2017</v>
      </c>
      <c r="F654" s="45">
        <f t="shared" si="153"/>
        <v>0</v>
      </c>
      <c r="G654" s="45" t="s">
        <v>448</v>
      </c>
      <c r="H654" s="45" t="s">
        <v>455</v>
      </c>
      <c r="I654" s="162" t="str">
        <f t="shared" si="154"/>
        <v/>
      </c>
      <c r="J654" s="112" t="s">
        <v>1116</v>
      </c>
      <c r="K654" s="150"/>
      <c r="L654" s="150"/>
    </row>
    <row r="655" spans="2:12" s="112" customFormat="1" hidden="1">
      <c r="B655" s="45"/>
      <c r="C655" s="45">
        <f t="shared" si="142"/>
        <v>3158</v>
      </c>
      <c r="D655" s="45">
        <f t="shared" si="143"/>
        <v>5</v>
      </c>
      <c r="E655" s="45">
        <f t="shared" si="144"/>
        <v>2017</v>
      </c>
      <c r="F655" s="45">
        <f t="shared" si="153"/>
        <v>0</v>
      </c>
      <c r="G655" s="45" t="s">
        <v>448</v>
      </c>
      <c r="H655" s="45" t="s">
        <v>456</v>
      </c>
      <c r="I655" s="162" t="str">
        <f t="shared" si="154"/>
        <v/>
      </c>
      <c r="J655" s="112" t="s">
        <v>1117</v>
      </c>
      <c r="K655" s="150"/>
      <c r="L655" s="150"/>
    </row>
    <row r="656" spans="2:12" s="112" customFormat="1" hidden="1">
      <c r="B656" s="45"/>
      <c r="C656" s="45">
        <f t="shared" si="142"/>
        <v>3158</v>
      </c>
      <c r="D656" s="45">
        <f t="shared" si="143"/>
        <v>5</v>
      </c>
      <c r="E656" s="45">
        <f t="shared" si="144"/>
        <v>2017</v>
      </c>
      <c r="F656" s="45">
        <f t="shared" si="153"/>
        <v>0</v>
      </c>
      <c r="G656" s="45" t="s">
        <v>448</v>
      </c>
      <c r="H656" s="45" t="s">
        <v>457</v>
      </c>
      <c r="I656" s="162" t="str">
        <f t="shared" si="154"/>
        <v/>
      </c>
      <c r="J656" s="112" t="s">
        <v>1118</v>
      </c>
      <c r="K656" s="150"/>
      <c r="L656" s="150"/>
    </row>
    <row r="657" spans="2:12" s="112" customFormat="1" hidden="1">
      <c r="B657" s="45"/>
      <c r="C657" s="45">
        <f t="shared" si="142"/>
        <v>3158</v>
      </c>
      <c r="D657" s="45">
        <f t="shared" si="143"/>
        <v>5</v>
      </c>
      <c r="E657" s="45">
        <f t="shared" si="144"/>
        <v>2017</v>
      </c>
      <c r="F657" s="45">
        <f t="shared" si="153"/>
        <v>0</v>
      </c>
      <c r="G657" s="45" t="s">
        <v>448</v>
      </c>
      <c r="H657" s="45" t="s">
        <v>458</v>
      </c>
      <c r="I657" s="162" t="str">
        <f t="shared" si="154"/>
        <v/>
      </c>
      <c r="J657" s="112" t="s">
        <v>1119</v>
      </c>
      <c r="K657" s="150"/>
      <c r="L657" s="150"/>
    </row>
    <row r="658" spans="2:12" s="112" customFormat="1" hidden="1">
      <c r="B658" s="45"/>
      <c r="C658" s="45">
        <f t="shared" si="142"/>
        <v>3158</v>
      </c>
      <c r="D658" s="45">
        <f t="shared" si="143"/>
        <v>5</v>
      </c>
      <c r="E658" s="45">
        <f t="shared" si="144"/>
        <v>2017</v>
      </c>
      <c r="F658" s="45">
        <f t="shared" si="153"/>
        <v>0</v>
      </c>
      <c r="G658" s="45" t="s">
        <v>448</v>
      </c>
      <c r="H658" s="45" t="s">
        <v>460</v>
      </c>
      <c r="I658" s="162" t="str">
        <f t="shared" si="154"/>
        <v/>
      </c>
      <c r="J658" s="112" t="s">
        <v>1120</v>
      </c>
      <c r="K658" s="150"/>
      <c r="L658" s="150"/>
    </row>
    <row r="659" spans="2:12" s="112" customFormat="1" hidden="1">
      <c r="B659" s="45"/>
      <c r="C659" s="45">
        <f t="shared" si="142"/>
        <v>3158</v>
      </c>
      <c r="D659" s="45">
        <f t="shared" si="143"/>
        <v>5</v>
      </c>
      <c r="E659" s="45">
        <f t="shared" si="144"/>
        <v>2017</v>
      </c>
      <c r="F659" s="45">
        <f t="shared" ref="F659:F669" si="155">BI$3</f>
        <v>0</v>
      </c>
      <c r="G659" s="45" t="s">
        <v>448</v>
      </c>
      <c r="H659" s="45" t="s">
        <v>449</v>
      </c>
      <c r="I659" s="162" t="str">
        <f t="shared" ref="I659:I669" si="156">IF(ISBLANK(BI4),"",BI4)</f>
        <v/>
      </c>
      <c r="J659" s="112" t="s">
        <v>1121</v>
      </c>
      <c r="K659" s="150"/>
      <c r="L659" s="150"/>
    </row>
    <row r="660" spans="2:12" s="112" customFormat="1" hidden="1">
      <c r="B660" s="45"/>
      <c r="C660" s="45">
        <f t="shared" si="142"/>
        <v>3158</v>
      </c>
      <c r="D660" s="45">
        <f t="shared" si="143"/>
        <v>5</v>
      </c>
      <c r="E660" s="45">
        <f t="shared" si="144"/>
        <v>2017</v>
      </c>
      <c r="F660" s="45">
        <f t="shared" si="155"/>
        <v>0</v>
      </c>
      <c r="G660" s="45" t="s">
        <v>448</v>
      </c>
      <c r="H660" s="45" t="s">
        <v>450</v>
      </c>
      <c r="I660" s="162" t="str">
        <f t="shared" si="156"/>
        <v/>
      </c>
      <c r="J660" s="112" t="s">
        <v>1122</v>
      </c>
      <c r="K660" s="150"/>
      <c r="L660" s="150"/>
    </row>
    <row r="661" spans="2:12" s="112" customFormat="1" hidden="1">
      <c r="B661" s="45"/>
      <c r="C661" s="45">
        <f t="shared" si="142"/>
        <v>3158</v>
      </c>
      <c r="D661" s="45">
        <f t="shared" si="143"/>
        <v>5</v>
      </c>
      <c r="E661" s="45">
        <f t="shared" si="144"/>
        <v>2017</v>
      </c>
      <c r="F661" s="45">
        <f t="shared" si="155"/>
        <v>0</v>
      </c>
      <c r="G661" s="45" t="s">
        <v>448</v>
      </c>
      <c r="H661" s="45" t="s">
        <v>451</v>
      </c>
      <c r="I661" s="162" t="str">
        <f t="shared" si="156"/>
        <v/>
      </c>
      <c r="J661" s="112" t="s">
        <v>1123</v>
      </c>
      <c r="K661" s="150"/>
      <c r="L661" s="150"/>
    </row>
    <row r="662" spans="2:12" s="112" customFormat="1" hidden="1">
      <c r="B662" s="45"/>
      <c r="C662" s="45">
        <f t="shared" ref="C662:C725" si="157">H$1</f>
        <v>3158</v>
      </c>
      <c r="D662" s="45">
        <f t="shared" ref="D662:D725" si="158">K$1</f>
        <v>5</v>
      </c>
      <c r="E662" s="45">
        <f t="shared" si="144"/>
        <v>2017</v>
      </c>
      <c r="F662" s="45">
        <f t="shared" si="155"/>
        <v>0</v>
      </c>
      <c r="G662" s="45" t="s">
        <v>448</v>
      </c>
      <c r="H662" s="45" t="s">
        <v>452</v>
      </c>
      <c r="I662" s="162" t="str">
        <f t="shared" si="156"/>
        <v/>
      </c>
      <c r="J662" s="112" t="s">
        <v>1124</v>
      </c>
      <c r="K662" s="150"/>
      <c r="L662" s="150"/>
    </row>
    <row r="663" spans="2:12" s="112" customFormat="1" hidden="1">
      <c r="B663" s="45"/>
      <c r="C663" s="45">
        <f t="shared" si="157"/>
        <v>3158</v>
      </c>
      <c r="D663" s="45">
        <f t="shared" si="158"/>
        <v>5</v>
      </c>
      <c r="E663" s="45">
        <f t="shared" si="144"/>
        <v>2017</v>
      </c>
      <c r="F663" s="45">
        <f t="shared" si="155"/>
        <v>0</v>
      </c>
      <c r="G663" s="45" t="s">
        <v>448</v>
      </c>
      <c r="H663" s="45" t="s">
        <v>453</v>
      </c>
      <c r="I663" s="162" t="str">
        <f t="shared" si="156"/>
        <v/>
      </c>
      <c r="J663" s="112" t="s">
        <v>1125</v>
      </c>
      <c r="K663" s="150"/>
      <c r="L663" s="150"/>
    </row>
    <row r="664" spans="2:12" s="112" customFormat="1" hidden="1">
      <c r="B664" s="45"/>
      <c r="C664" s="45">
        <f t="shared" si="157"/>
        <v>3158</v>
      </c>
      <c r="D664" s="45">
        <f t="shared" si="158"/>
        <v>5</v>
      </c>
      <c r="E664" s="45">
        <f t="shared" ref="E664:E727" si="159">D$1</f>
        <v>2017</v>
      </c>
      <c r="F664" s="45">
        <f t="shared" si="155"/>
        <v>0</v>
      </c>
      <c r="G664" s="45" t="s">
        <v>448</v>
      </c>
      <c r="H664" s="45" t="s">
        <v>454</v>
      </c>
      <c r="I664" s="162" t="str">
        <f t="shared" si="156"/>
        <v/>
      </c>
      <c r="J664" s="112" t="s">
        <v>1126</v>
      </c>
      <c r="K664" s="150"/>
      <c r="L664" s="150"/>
    </row>
    <row r="665" spans="2:12" s="112" customFormat="1" hidden="1">
      <c r="B665" s="45"/>
      <c r="C665" s="45">
        <f t="shared" si="157"/>
        <v>3158</v>
      </c>
      <c r="D665" s="45">
        <f t="shared" si="158"/>
        <v>5</v>
      </c>
      <c r="E665" s="45">
        <f t="shared" si="159"/>
        <v>2017</v>
      </c>
      <c r="F665" s="45">
        <f t="shared" si="155"/>
        <v>0</v>
      </c>
      <c r="G665" s="45" t="s">
        <v>448</v>
      </c>
      <c r="H665" s="45" t="s">
        <v>455</v>
      </c>
      <c r="I665" s="162" t="str">
        <f t="shared" si="156"/>
        <v/>
      </c>
      <c r="J665" s="112" t="s">
        <v>1127</v>
      </c>
      <c r="K665" s="150"/>
      <c r="L665" s="150"/>
    </row>
    <row r="666" spans="2:12" s="112" customFormat="1" hidden="1">
      <c r="B666" s="45"/>
      <c r="C666" s="45">
        <f t="shared" si="157"/>
        <v>3158</v>
      </c>
      <c r="D666" s="45">
        <f t="shared" si="158"/>
        <v>5</v>
      </c>
      <c r="E666" s="45">
        <f t="shared" si="159"/>
        <v>2017</v>
      </c>
      <c r="F666" s="45">
        <f t="shared" si="155"/>
        <v>0</v>
      </c>
      <c r="G666" s="45" t="s">
        <v>448</v>
      </c>
      <c r="H666" s="45" t="s">
        <v>456</v>
      </c>
      <c r="I666" s="162" t="str">
        <f t="shared" si="156"/>
        <v/>
      </c>
      <c r="J666" s="112" t="s">
        <v>1128</v>
      </c>
      <c r="K666" s="150"/>
      <c r="L666" s="150"/>
    </row>
    <row r="667" spans="2:12" s="112" customFormat="1" hidden="1">
      <c r="B667" s="45"/>
      <c r="C667" s="45">
        <f t="shared" si="157"/>
        <v>3158</v>
      </c>
      <c r="D667" s="45">
        <f t="shared" si="158"/>
        <v>5</v>
      </c>
      <c r="E667" s="45">
        <f t="shared" si="159"/>
        <v>2017</v>
      </c>
      <c r="F667" s="45">
        <f t="shared" si="155"/>
        <v>0</v>
      </c>
      <c r="G667" s="45" t="s">
        <v>448</v>
      </c>
      <c r="H667" s="45" t="s">
        <v>457</v>
      </c>
      <c r="I667" s="162" t="str">
        <f t="shared" si="156"/>
        <v/>
      </c>
      <c r="J667" s="112" t="s">
        <v>1129</v>
      </c>
      <c r="K667" s="150"/>
      <c r="L667" s="150"/>
    </row>
    <row r="668" spans="2:12" s="112" customFormat="1" hidden="1">
      <c r="B668" s="45"/>
      <c r="C668" s="45">
        <f t="shared" si="157"/>
        <v>3158</v>
      </c>
      <c r="D668" s="45">
        <f t="shared" si="158"/>
        <v>5</v>
      </c>
      <c r="E668" s="45">
        <f t="shared" si="159"/>
        <v>2017</v>
      </c>
      <c r="F668" s="45">
        <f t="shared" si="155"/>
        <v>0</v>
      </c>
      <c r="G668" s="45" t="s">
        <v>448</v>
      </c>
      <c r="H668" s="45" t="s">
        <v>458</v>
      </c>
      <c r="I668" s="162" t="str">
        <f t="shared" si="156"/>
        <v/>
      </c>
      <c r="J668" s="112" t="s">
        <v>1130</v>
      </c>
      <c r="K668" s="150"/>
      <c r="L668" s="150"/>
    </row>
    <row r="669" spans="2:12" s="112" customFormat="1" hidden="1">
      <c r="B669" s="45"/>
      <c r="C669" s="45">
        <f t="shared" si="157"/>
        <v>3158</v>
      </c>
      <c r="D669" s="45">
        <f t="shared" si="158"/>
        <v>5</v>
      </c>
      <c r="E669" s="45">
        <f t="shared" si="159"/>
        <v>2017</v>
      </c>
      <c r="F669" s="45">
        <f t="shared" si="155"/>
        <v>0</v>
      </c>
      <c r="G669" s="45" t="s">
        <v>448</v>
      </c>
      <c r="H669" s="45" t="s">
        <v>460</v>
      </c>
      <c r="I669" s="162" t="str">
        <f t="shared" si="156"/>
        <v/>
      </c>
      <c r="J669" s="112" t="s">
        <v>1131</v>
      </c>
      <c r="K669" s="150"/>
      <c r="L669" s="150"/>
    </row>
    <row r="670" spans="2:12" s="112" customFormat="1" hidden="1">
      <c r="B670" s="45"/>
      <c r="C670" s="45">
        <f t="shared" si="157"/>
        <v>3158</v>
      </c>
      <c r="D670" s="45">
        <f t="shared" si="158"/>
        <v>5</v>
      </c>
      <c r="E670" s="45">
        <f t="shared" si="159"/>
        <v>2017</v>
      </c>
      <c r="F670" s="45">
        <f t="shared" ref="F670:F680" si="160">BJ$3</f>
        <v>0</v>
      </c>
      <c r="G670" s="45" t="s">
        <v>448</v>
      </c>
      <c r="H670" s="45" t="s">
        <v>449</v>
      </c>
      <c r="I670" s="162" t="str">
        <f t="shared" ref="I670:I680" si="161">IF(ISBLANK(BJ4),"",BJ4)</f>
        <v/>
      </c>
      <c r="J670" s="112" t="s">
        <v>1132</v>
      </c>
    </row>
    <row r="671" spans="2:12" s="112" customFormat="1" hidden="1">
      <c r="B671" s="45"/>
      <c r="C671" s="45">
        <f t="shared" si="157"/>
        <v>3158</v>
      </c>
      <c r="D671" s="45">
        <f t="shared" si="158"/>
        <v>5</v>
      </c>
      <c r="E671" s="45">
        <f t="shared" si="159"/>
        <v>2017</v>
      </c>
      <c r="F671" s="45">
        <f t="shared" si="160"/>
        <v>0</v>
      </c>
      <c r="G671" s="45" t="s">
        <v>448</v>
      </c>
      <c r="H671" s="45" t="s">
        <v>450</v>
      </c>
      <c r="I671" s="162" t="str">
        <f t="shared" si="161"/>
        <v/>
      </c>
      <c r="J671" s="112" t="s">
        <v>1133</v>
      </c>
    </row>
    <row r="672" spans="2:12" s="112" customFormat="1" hidden="1">
      <c r="B672" s="45"/>
      <c r="C672" s="45">
        <f t="shared" si="157"/>
        <v>3158</v>
      </c>
      <c r="D672" s="45">
        <f t="shared" si="158"/>
        <v>5</v>
      </c>
      <c r="E672" s="45">
        <f t="shared" si="159"/>
        <v>2017</v>
      </c>
      <c r="F672" s="45">
        <f t="shared" si="160"/>
        <v>0</v>
      </c>
      <c r="G672" s="45" t="s">
        <v>448</v>
      </c>
      <c r="H672" s="45" t="s">
        <v>451</v>
      </c>
      <c r="I672" s="162" t="str">
        <f t="shared" si="161"/>
        <v/>
      </c>
      <c r="J672" s="112" t="s">
        <v>1134</v>
      </c>
    </row>
    <row r="673" spans="2:10" s="112" customFormat="1" hidden="1">
      <c r="B673" s="45"/>
      <c r="C673" s="45">
        <f t="shared" si="157"/>
        <v>3158</v>
      </c>
      <c r="D673" s="45">
        <f t="shared" si="158"/>
        <v>5</v>
      </c>
      <c r="E673" s="45">
        <f t="shared" si="159"/>
        <v>2017</v>
      </c>
      <c r="F673" s="45">
        <f t="shared" si="160"/>
        <v>0</v>
      </c>
      <c r="G673" s="45" t="s">
        <v>448</v>
      </c>
      <c r="H673" s="45" t="s">
        <v>452</v>
      </c>
      <c r="I673" s="162" t="str">
        <f t="shared" si="161"/>
        <v/>
      </c>
      <c r="J673" s="112" t="s">
        <v>1135</v>
      </c>
    </row>
    <row r="674" spans="2:10" s="112" customFormat="1" hidden="1">
      <c r="B674" s="45"/>
      <c r="C674" s="45">
        <f t="shared" si="157"/>
        <v>3158</v>
      </c>
      <c r="D674" s="45">
        <f t="shared" si="158"/>
        <v>5</v>
      </c>
      <c r="E674" s="45">
        <f t="shared" si="159"/>
        <v>2017</v>
      </c>
      <c r="F674" s="45">
        <f t="shared" si="160"/>
        <v>0</v>
      </c>
      <c r="G674" s="45" t="s">
        <v>448</v>
      </c>
      <c r="H674" s="45" t="s">
        <v>453</v>
      </c>
      <c r="I674" s="162" t="str">
        <f t="shared" si="161"/>
        <v/>
      </c>
      <c r="J674" s="112" t="s">
        <v>1136</v>
      </c>
    </row>
    <row r="675" spans="2:10" s="112" customFormat="1" hidden="1">
      <c r="B675" s="45"/>
      <c r="C675" s="45">
        <f t="shared" si="157"/>
        <v>3158</v>
      </c>
      <c r="D675" s="45">
        <f t="shared" si="158"/>
        <v>5</v>
      </c>
      <c r="E675" s="45">
        <f t="shared" si="159"/>
        <v>2017</v>
      </c>
      <c r="F675" s="45">
        <f t="shared" si="160"/>
        <v>0</v>
      </c>
      <c r="G675" s="45" t="s">
        <v>448</v>
      </c>
      <c r="H675" s="45" t="s">
        <v>454</v>
      </c>
      <c r="I675" s="162" t="str">
        <f t="shared" si="161"/>
        <v/>
      </c>
      <c r="J675" s="112" t="s">
        <v>1137</v>
      </c>
    </row>
    <row r="676" spans="2:10" s="112" customFormat="1" hidden="1">
      <c r="B676" s="45"/>
      <c r="C676" s="45">
        <f t="shared" si="157"/>
        <v>3158</v>
      </c>
      <c r="D676" s="45">
        <f t="shared" si="158"/>
        <v>5</v>
      </c>
      <c r="E676" s="45">
        <f t="shared" si="159"/>
        <v>2017</v>
      </c>
      <c r="F676" s="45">
        <f t="shared" si="160"/>
        <v>0</v>
      </c>
      <c r="G676" s="45" t="s">
        <v>448</v>
      </c>
      <c r="H676" s="45" t="s">
        <v>455</v>
      </c>
      <c r="I676" s="162" t="str">
        <f t="shared" si="161"/>
        <v/>
      </c>
      <c r="J676" s="112" t="s">
        <v>1138</v>
      </c>
    </row>
    <row r="677" spans="2:10" s="112" customFormat="1" hidden="1">
      <c r="B677" s="45"/>
      <c r="C677" s="45">
        <f t="shared" si="157"/>
        <v>3158</v>
      </c>
      <c r="D677" s="45">
        <f t="shared" si="158"/>
        <v>5</v>
      </c>
      <c r="E677" s="45">
        <f t="shared" si="159"/>
        <v>2017</v>
      </c>
      <c r="F677" s="45">
        <f t="shared" si="160"/>
        <v>0</v>
      </c>
      <c r="G677" s="45" t="s">
        <v>448</v>
      </c>
      <c r="H677" s="45" t="s">
        <v>456</v>
      </c>
      <c r="I677" s="162" t="str">
        <f t="shared" si="161"/>
        <v/>
      </c>
      <c r="J677" s="112" t="s">
        <v>1139</v>
      </c>
    </row>
    <row r="678" spans="2:10" s="112" customFormat="1" hidden="1">
      <c r="B678" s="45"/>
      <c r="C678" s="45">
        <f t="shared" si="157"/>
        <v>3158</v>
      </c>
      <c r="D678" s="45">
        <f t="shared" si="158"/>
        <v>5</v>
      </c>
      <c r="E678" s="45">
        <f t="shared" si="159"/>
        <v>2017</v>
      </c>
      <c r="F678" s="45">
        <f t="shared" si="160"/>
        <v>0</v>
      </c>
      <c r="G678" s="45" t="s">
        <v>448</v>
      </c>
      <c r="H678" s="45" t="s">
        <v>457</v>
      </c>
      <c r="I678" s="162" t="str">
        <f t="shared" si="161"/>
        <v/>
      </c>
      <c r="J678" s="112" t="s">
        <v>1140</v>
      </c>
    </row>
    <row r="679" spans="2:10" s="112" customFormat="1" hidden="1">
      <c r="B679" s="45"/>
      <c r="C679" s="45">
        <f t="shared" si="157"/>
        <v>3158</v>
      </c>
      <c r="D679" s="45">
        <f t="shared" si="158"/>
        <v>5</v>
      </c>
      <c r="E679" s="45">
        <f t="shared" si="159"/>
        <v>2017</v>
      </c>
      <c r="F679" s="45">
        <f t="shared" si="160"/>
        <v>0</v>
      </c>
      <c r="G679" s="45" t="s">
        <v>448</v>
      </c>
      <c r="H679" s="45" t="s">
        <v>458</v>
      </c>
      <c r="I679" s="162" t="str">
        <f t="shared" si="161"/>
        <v/>
      </c>
      <c r="J679" s="112" t="s">
        <v>1141</v>
      </c>
    </row>
    <row r="680" spans="2:10" s="112" customFormat="1" hidden="1">
      <c r="B680" s="45"/>
      <c r="C680" s="45">
        <f t="shared" si="157"/>
        <v>3158</v>
      </c>
      <c r="D680" s="45">
        <f t="shared" si="158"/>
        <v>5</v>
      </c>
      <c r="E680" s="45">
        <f t="shared" si="159"/>
        <v>2017</v>
      </c>
      <c r="F680" s="45">
        <f t="shared" si="160"/>
        <v>0</v>
      </c>
      <c r="G680" s="45" t="s">
        <v>448</v>
      </c>
      <c r="H680" s="45" t="s">
        <v>460</v>
      </c>
      <c r="I680" s="162" t="str">
        <f t="shared" si="161"/>
        <v/>
      </c>
      <c r="J680" s="112" t="s">
        <v>1142</v>
      </c>
    </row>
    <row r="681" spans="2:10" s="112" customFormat="1" hidden="1">
      <c r="B681" s="45"/>
      <c r="C681" s="45">
        <f t="shared" si="157"/>
        <v>3158</v>
      </c>
      <c r="D681" s="45">
        <f t="shared" si="158"/>
        <v>5</v>
      </c>
      <c r="E681" s="45">
        <f t="shared" si="159"/>
        <v>2017</v>
      </c>
      <c r="F681" s="45">
        <f t="shared" ref="F681:F691" si="162">BK$3</f>
        <v>0</v>
      </c>
      <c r="G681" s="45" t="s">
        <v>448</v>
      </c>
      <c r="H681" s="45" t="s">
        <v>449</v>
      </c>
      <c r="I681" s="162" t="str">
        <f t="shared" ref="I681:I691" si="163">IF(ISBLANK(BK4),"",BK4)</f>
        <v/>
      </c>
      <c r="J681" s="112" t="s">
        <v>1143</v>
      </c>
    </row>
    <row r="682" spans="2:10" s="112" customFormat="1" hidden="1">
      <c r="B682" s="45"/>
      <c r="C682" s="45">
        <f t="shared" si="157"/>
        <v>3158</v>
      </c>
      <c r="D682" s="45">
        <f t="shared" si="158"/>
        <v>5</v>
      </c>
      <c r="E682" s="45">
        <f t="shared" si="159"/>
        <v>2017</v>
      </c>
      <c r="F682" s="45">
        <f t="shared" si="162"/>
        <v>0</v>
      </c>
      <c r="G682" s="45" t="s">
        <v>448</v>
      </c>
      <c r="H682" s="45" t="s">
        <v>450</v>
      </c>
      <c r="I682" s="162" t="str">
        <f t="shared" si="163"/>
        <v/>
      </c>
      <c r="J682" s="112" t="s">
        <v>1144</v>
      </c>
    </row>
    <row r="683" spans="2:10" s="112" customFormat="1" hidden="1">
      <c r="B683" s="45"/>
      <c r="C683" s="45">
        <f t="shared" si="157"/>
        <v>3158</v>
      </c>
      <c r="D683" s="45">
        <f t="shared" si="158"/>
        <v>5</v>
      </c>
      <c r="E683" s="45">
        <f t="shared" si="159"/>
        <v>2017</v>
      </c>
      <c r="F683" s="45">
        <f t="shared" si="162"/>
        <v>0</v>
      </c>
      <c r="G683" s="45" t="s">
        <v>448</v>
      </c>
      <c r="H683" s="45" t="s">
        <v>451</v>
      </c>
      <c r="I683" s="162" t="str">
        <f t="shared" si="163"/>
        <v/>
      </c>
      <c r="J683" s="112" t="s">
        <v>1145</v>
      </c>
    </row>
    <row r="684" spans="2:10" s="112" customFormat="1" hidden="1">
      <c r="B684" s="45"/>
      <c r="C684" s="45">
        <f t="shared" si="157"/>
        <v>3158</v>
      </c>
      <c r="D684" s="45">
        <f t="shared" si="158"/>
        <v>5</v>
      </c>
      <c r="E684" s="45">
        <f t="shared" si="159"/>
        <v>2017</v>
      </c>
      <c r="F684" s="45">
        <f t="shared" si="162"/>
        <v>0</v>
      </c>
      <c r="G684" s="45" t="s">
        <v>448</v>
      </c>
      <c r="H684" s="45" t="s">
        <v>452</v>
      </c>
      <c r="I684" s="162" t="str">
        <f t="shared" si="163"/>
        <v/>
      </c>
      <c r="J684" s="112" t="s">
        <v>1146</v>
      </c>
    </row>
    <row r="685" spans="2:10" s="112" customFormat="1" hidden="1">
      <c r="B685" s="45"/>
      <c r="C685" s="45">
        <f t="shared" si="157"/>
        <v>3158</v>
      </c>
      <c r="D685" s="45">
        <f t="shared" si="158"/>
        <v>5</v>
      </c>
      <c r="E685" s="45">
        <f t="shared" si="159"/>
        <v>2017</v>
      </c>
      <c r="F685" s="45">
        <f t="shared" si="162"/>
        <v>0</v>
      </c>
      <c r="G685" s="45" t="s">
        <v>448</v>
      </c>
      <c r="H685" s="45" t="s">
        <v>453</v>
      </c>
      <c r="I685" s="162" t="str">
        <f t="shared" si="163"/>
        <v/>
      </c>
      <c r="J685" s="112" t="s">
        <v>1147</v>
      </c>
    </row>
    <row r="686" spans="2:10" s="112" customFormat="1" hidden="1">
      <c r="B686" s="45"/>
      <c r="C686" s="45">
        <f t="shared" si="157"/>
        <v>3158</v>
      </c>
      <c r="D686" s="45">
        <f t="shared" si="158"/>
        <v>5</v>
      </c>
      <c r="E686" s="45">
        <f t="shared" si="159"/>
        <v>2017</v>
      </c>
      <c r="F686" s="45">
        <f t="shared" si="162"/>
        <v>0</v>
      </c>
      <c r="G686" s="45" t="s">
        <v>448</v>
      </c>
      <c r="H686" s="45" t="s">
        <v>454</v>
      </c>
      <c r="I686" s="162" t="str">
        <f t="shared" si="163"/>
        <v/>
      </c>
      <c r="J686" s="112" t="s">
        <v>1148</v>
      </c>
    </row>
    <row r="687" spans="2:10" s="112" customFormat="1" hidden="1">
      <c r="B687" s="45"/>
      <c r="C687" s="45">
        <f t="shared" si="157"/>
        <v>3158</v>
      </c>
      <c r="D687" s="45">
        <f t="shared" si="158"/>
        <v>5</v>
      </c>
      <c r="E687" s="45">
        <f t="shared" si="159"/>
        <v>2017</v>
      </c>
      <c r="F687" s="45">
        <f t="shared" si="162"/>
        <v>0</v>
      </c>
      <c r="G687" s="45" t="s">
        <v>448</v>
      </c>
      <c r="H687" s="45" t="s">
        <v>455</v>
      </c>
      <c r="I687" s="162" t="str">
        <f t="shared" si="163"/>
        <v/>
      </c>
      <c r="J687" s="112" t="s">
        <v>1149</v>
      </c>
    </row>
    <row r="688" spans="2:10" s="112" customFormat="1" hidden="1">
      <c r="B688" s="45"/>
      <c r="C688" s="45">
        <f t="shared" si="157"/>
        <v>3158</v>
      </c>
      <c r="D688" s="45">
        <f t="shared" si="158"/>
        <v>5</v>
      </c>
      <c r="E688" s="45">
        <f t="shared" si="159"/>
        <v>2017</v>
      </c>
      <c r="F688" s="45">
        <f t="shared" si="162"/>
        <v>0</v>
      </c>
      <c r="G688" s="45" t="s">
        <v>448</v>
      </c>
      <c r="H688" s="45" t="s">
        <v>456</v>
      </c>
      <c r="I688" s="162" t="str">
        <f t="shared" si="163"/>
        <v/>
      </c>
      <c r="J688" s="112" t="s">
        <v>1150</v>
      </c>
    </row>
    <row r="689" spans="2:10" s="112" customFormat="1" hidden="1">
      <c r="B689" s="45"/>
      <c r="C689" s="45">
        <f t="shared" si="157"/>
        <v>3158</v>
      </c>
      <c r="D689" s="45">
        <f t="shared" si="158"/>
        <v>5</v>
      </c>
      <c r="E689" s="45">
        <f t="shared" si="159"/>
        <v>2017</v>
      </c>
      <c r="F689" s="45">
        <f t="shared" si="162"/>
        <v>0</v>
      </c>
      <c r="G689" s="45" t="s">
        <v>448</v>
      </c>
      <c r="H689" s="45" t="s">
        <v>457</v>
      </c>
      <c r="I689" s="162" t="str">
        <f t="shared" si="163"/>
        <v/>
      </c>
      <c r="J689" s="112" t="s">
        <v>1151</v>
      </c>
    </row>
    <row r="690" spans="2:10" s="112" customFormat="1" hidden="1">
      <c r="B690" s="45"/>
      <c r="C690" s="45">
        <f t="shared" si="157"/>
        <v>3158</v>
      </c>
      <c r="D690" s="45">
        <f t="shared" si="158"/>
        <v>5</v>
      </c>
      <c r="E690" s="45">
        <f t="shared" si="159"/>
        <v>2017</v>
      </c>
      <c r="F690" s="45">
        <f t="shared" si="162"/>
        <v>0</v>
      </c>
      <c r="G690" s="45" t="s">
        <v>448</v>
      </c>
      <c r="H690" s="45" t="s">
        <v>458</v>
      </c>
      <c r="I690" s="162" t="str">
        <f t="shared" si="163"/>
        <v/>
      </c>
      <c r="J690" s="112" t="s">
        <v>1152</v>
      </c>
    </row>
    <row r="691" spans="2:10" s="112" customFormat="1" hidden="1">
      <c r="B691" s="45"/>
      <c r="C691" s="45">
        <f t="shared" si="157"/>
        <v>3158</v>
      </c>
      <c r="D691" s="45">
        <f t="shared" si="158"/>
        <v>5</v>
      </c>
      <c r="E691" s="45">
        <f t="shared" si="159"/>
        <v>2017</v>
      </c>
      <c r="F691" s="45">
        <f t="shared" si="162"/>
        <v>0</v>
      </c>
      <c r="G691" s="45" t="s">
        <v>448</v>
      </c>
      <c r="H691" s="45" t="s">
        <v>460</v>
      </c>
      <c r="I691" s="162" t="str">
        <f t="shared" si="163"/>
        <v/>
      </c>
      <c r="J691" s="112" t="s">
        <v>1153</v>
      </c>
    </row>
    <row r="692" spans="2:10" s="112" customFormat="1" hidden="1">
      <c r="B692" s="45"/>
      <c r="C692" s="45">
        <f t="shared" si="157"/>
        <v>3158</v>
      </c>
      <c r="D692" s="45">
        <f t="shared" si="158"/>
        <v>5</v>
      </c>
      <c r="E692" s="45">
        <f t="shared" si="159"/>
        <v>2017</v>
      </c>
      <c r="F692" s="45">
        <f t="shared" ref="F692:F702" si="164">BL$3</f>
        <v>0</v>
      </c>
      <c r="G692" s="45" t="s">
        <v>448</v>
      </c>
      <c r="H692" s="45" t="s">
        <v>449</v>
      </c>
      <c r="I692" s="162" t="str">
        <f t="shared" ref="I692:I702" si="165">IF(ISBLANK(BL4),"",BL4)</f>
        <v/>
      </c>
      <c r="J692" s="112" t="s">
        <v>1154</v>
      </c>
    </row>
    <row r="693" spans="2:10" s="112" customFormat="1" hidden="1">
      <c r="B693" s="45"/>
      <c r="C693" s="45">
        <f t="shared" si="157"/>
        <v>3158</v>
      </c>
      <c r="D693" s="45">
        <f t="shared" si="158"/>
        <v>5</v>
      </c>
      <c r="E693" s="45">
        <f t="shared" si="159"/>
        <v>2017</v>
      </c>
      <c r="F693" s="45">
        <f t="shared" si="164"/>
        <v>0</v>
      </c>
      <c r="G693" s="45" t="s">
        <v>448</v>
      </c>
      <c r="H693" s="45" t="s">
        <v>450</v>
      </c>
      <c r="I693" s="162" t="str">
        <f t="shared" si="165"/>
        <v/>
      </c>
      <c r="J693" s="112" t="s">
        <v>1155</v>
      </c>
    </row>
    <row r="694" spans="2:10" s="112" customFormat="1" hidden="1">
      <c r="B694" s="45"/>
      <c r="C694" s="45">
        <f t="shared" si="157"/>
        <v>3158</v>
      </c>
      <c r="D694" s="45">
        <f t="shared" si="158"/>
        <v>5</v>
      </c>
      <c r="E694" s="45">
        <f t="shared" si="159"/>
        <v>2017</v>
      </c>
      <c r="F694" s="45">
        <f t="shared" si="164"/>
        <v>0</v>
      </c>
      <c r="G694" s="45" t="s">
        <v>448</v>
      </c>
      <c r="H694" s="45" t="s">
        <v>451</v>
      </c>
      <c r="I694" s="162" t="str">
        <f t="shared" si="165"/>
        <v/>
      </c>
      <c r="J694" s="112" t="s">
        <v>1156</v>
      </c>
    </row>
    <row r="695" spans="2:10" s="112" customFormat="1" hidden="1">
      <c r="B695" s="45"/>
      <c r="C695" s="45">
        <f t="shared" si="157"/>
        <v>3158</v>
      </c>
      <c r="D695" s="45">
        <f t="shared" si="158"/>
        <v>5</v>
      </c>
      <c r="E695" s="45">
        <f t="shared" si="159"/>
        <v>2017</v>
      </c>
      <c r="F695" s="45">
        <f t="shared" si="164"/>
        <v>0</v>
      </c>
      <c r="G695" s="45" t="s">
        <v>448</v>
      </c>
      <c r="H695" s="45" t="s">
        <v>452</v>
      </c>
      <c r="I695" s="162" t="str">
        <f t="shared" si="165"/>
        <v/>
      </c>
      <c r="J695" s="112" t="s">
        <v>1157</v>
      </c>
    </row>
    <row r="696" spans="2:10" s="112" customFormat="1" hidden="1">
      <c r="B696" s="45"/>
      <c r="C696" s="45">
        <f t="shared" si="157"/>
        <v>3158</v>
      </c>
      <c r="D696" s="45">
        <f t="shared" si="158"/>
        <v>5</v>
      </c>
      <c r="E696" s="45">
        <f t="shared" si="159"/>
        <v>2017</v>
      </c>
      <c r="F696" s="45">
        <f t="shared" si="164"/>
        <v>0</v>
      </c>
      <c r="G696" s="45" t="s">
        <v>448</v>
      </c>
      <c r="H696" s="45" t="s">
        <v>453</v>
      </c>
      <c r="I696" s="162" t="str">
        <f t="shared" si="165"/>
        <v/>
      </c>
      <c r="J696" s="112" t="s">
        <v>1158</v>
      </c>
    </row>
    <row r="697" spans="2:10" s="112" customFormat="1" hidden="1">
      <c r="B697" s="45"/>
      <c r="C697" s="45">
        <f t="shared" si="157"/>
        <v>3158</v>
      </c>
      <c r="D697" s="45">
        <f t="shared" si="158"/>
        <v>5</v>
      </c>
      <c r="E697" s="45">
        <f t="shared" si="159"/>
        <v>2017</v>
      </c>
      <c r="F697" s="45">
        <f t="shared" si="164"/>
        <v>0</v>
      </c>
      <c r="G697" s="45" t="s">
        <v>448</v>
      </c>
      <c r="H697" s="45" t="s">
        <v>454</v>
      </c>
      <c r="I697" s="162" t="str">
        <f t="shared" si="165"/>
        <v/>
      </c>
      <c r="J697" s="112" t="s">
        <v>1159</v>
      </c>
    </row>
    <row r="698" spans="2:10" s="112" customFormat="1" hidden="1">
      <c r="B698" s="45"/>
      <c r="C698" s="45">
        <f t="shared" si="157"/>
        <v>3158</v>
      </c>
      <c r="D698" s="45">
        <f t="shared" si="158"/>
        <v>5</v>
      </c>
      <c r="E698" s="45">
        <f t="shared" si="159"/>
        <v>2017</v>
      </c>
      <c r="F698" s="45">
        <f t="shared" si="164"/>
        <v>0</v>
      </c>
      <c r="G698" s="45" t="s">
        <v>448</v>
      </c>
      <c r="H698" s="45" t="s">
        <v>455</v>
      </c>
      <c r="I698" s="162" t="str">
        <f t="shared" si="165"/>
        <v/>
      </c>
      <c r="J698" s="112" t="s">
        <v>1160</v>
      </c>
    </row>
    <row r="699" spans="2:10" s="112" customFormat="1" hidden="1">
      <c r="B699" s="45"/>
      <c r="C699" s="45">
        <f t="shared" si="157"/>
        <v>3158</v>
      </c>
      <c r="D699" s="45">
        <f t="shared" si="158"/>
        <v>5</v>
      </c>
      <c r="E699" s="45">
        <f t="shared" si="159"/>
        <v>2017</v>
      </c>
      <c r="F699" s="45">
        <f t="shared" si="164"/>
        <v>0</v>
      </c>
      <c r="G699" s="45" t="s">
        <v>448</v>
      </c>
      <c r="H699" s="45" t="s">
        <v>456</v>
      </c>
      <c r="I699" s="162" t="str">
        <f t="shared" si="165"/>
        <v/>
      </c>
      <c r="J699" s="112" t="s">
        <v>1161</v>
      </c>
    </row>
    <row r="700" spans="2:10" s="112" customFormat="1" hidden="1">
      <c r="B700" s="45"/>
      <c r="C700" s="45">
        <f t="shared" si="157"/>
        <v>3158</v>
      </c>
      <c r="D700" s="45">
        <f t="shared" si="158"/>
        <v>5</v>
      </c>
      <c r="E700" s="45">
        <f t="shared" si="159"/>
        <v>2017</v>
      </c>
      <c r="F700" s="45">
        <f t="shared" si="164"/>
        <v>0</v>
      </c>
      <c r="G700" s="45" t="s">
        <v>448</v>
      </c>
      <c r="H700" s="45" t="s">
        <v>457</v>
      </c>
      <c r="I700" s="162" t="str">
        <f t="shared" si="165"/>
        <v/>
      </c>
      <c r="J700" s="112" t="s">
        <v>1162</v>
      </c>
    </row>
    <row r="701" spans="2:10" s="112" customFormat="1" hidden="1">
      <c r="B701" s="45"/>
      <c r="C701" s="45">
        <f t="shared" si="157"/>
        <v>3158</v>
      </c>
      <c r="D701" s="45">
        <f t="shared" si="158"/>
        <v>5</v>
      </c>
      <c r="E701" s="45">
        <f t="shared" si="159"/>
        <v>2017</v>
      </c>
      <c r="F701" s="45">
        <f t="shared" si="164"/>
        <v>0</v>
      </c>
      <c r="G701" s="45" t="s">
        <v>448</v>
      </c>
      <c r="H701" s="45" t="s">
        <v>458</v>
      </c>
      <c r="I701" s="162" t="str">
        <f t="shared" si="165"/>
        <v/>
      </c>
      <c r="J701" s="112" t="s">
        <v>1163</v>
      </c>
    </row>
    <row r="702" spans="2:10" s="112" customFormat="1" hidden="1">
      <c r="B702" s="45"/>
      <c r="C702" s="45">
        <f t="shared" si="157"/>
        <v>3158</v>
      </c>
      <c r="D702" s="45">
        <f t="shared" si="158"/>
        <v>5</v>
      </c>
      <c r="E702" s="45">
        <f t="shared" si="159"/>
        <v>2017</v>
      </c>
      <c r="F702" s="45">
        <f t="shared" si="164"/>
        <v>0</v>
      </c>
      <c r="G702" s="45" t="s">
        <v>448</v>
      </c>
      <c r="H702" s="45" t="s">
        <v>460</v>
      </c>
      <c r="I702" s="162" t="str">
        <f t="shared" si="165"/>
        <v/>
      </c>
      <c r="J702" s="112" t="s">
        <v>1164</v>
      </c>
    </row>
    <row r="703" spans="2:10" s="112" customFormat="1" hidden="1">
      <c r="B703" s="45"/>
      <c r="C703" s="45">
        <f t="shared" si="157"/>
        <v>3158</v>
      </c>
      <c r="D703" s="45">
        <f t="shared" si="158"/>
        <v>5</v>
      </c>
      <c r="E703" s="45">
        <f t="shared" si="159"/>
        <v>2017</v>
      </c>
      <c r="F703" s="45">
        <f t="shared" ref="F703:F713" si="166">BM$3</f>
        <v>0</v>
      </c>
      <c r="G703" s="45" t="s">
        <v>448</v>
      </c>
      <c r="H703" s="45" t="s">
        <v>449</v>
      </c>
      <c r="I703" s="162" t="str">
        <f t="shared" ref="I703:I713" si="167">IF(ISBLANK(BM4),"",BM4)</f>
        <v/>
      </c>
      <c r="J703" s="112" t="s">
        <v>1165</v>
      </c>
    </row>
    <row r="704" spans="2:10" s="112" customFormat="1" hidden="1">
      <c r="B704" s="45"/>
      <c r="C704" s="45">
        <f t="shared" si="157"/>
        <v>3158</v>
      </c>
      <c r="D704" s="45">
        <f t="shared" si="158"/>
        <v>5</v>
      </c>
      <c r="E704" s="45">
        <f t="shared" si="159"/>
        <v>2017</v>
      </c>
      <c r="F704" s="45">
        <f t="shared" si="166"/>
        <v>0</v>
      </c>
      <c r="G704" s="45" t="s">
        <v>448</v>
      </c>
      <c r="H704" s="45" t="s">
        <v>450</v>
      </c>
      <c r="I704" s="162" t="str">
        <f t="shared" si="167"/>
        <v/>
      </c>
      <c r="J704" s="112" t="s">
        <v>1166</v>
      </c>
    </row>
    <row r="705" spans="2:10" s="112" customFormat="1" hidden="1">
      <c r="B705" s="45"/>
      <c r="C705" s="45">
        <f t="shared" si="157"/>
        <v>3158</v>
      </c>
      <c r="D705" s="45">
        <f t="shared" si="158"/>
        <v>5</v>
      </c>
      <c r="E705" s="45">
        <f t="shared" si="159"/>
        <v>2017</v>
      </c>
      <c r="F705" s="45">
        <f t="shared" si="166"/>
        <v>0</v>
      </c>
      <c r="G705" s="45" t="s">
        <v>448</v>
      </c>
      <c r="H705" s="45" t="s">
        <v>451</v>
      </c>
      <c r="I705" s="162" t="str">
        <f t="shared" si="167"/>
        <v/>
      </c>
      <c r="J705" s="112" t="s">
        <v>1167</v>
      </c>
    </row>
    <row r="706" spans="2:10" s="112" customFormat="1" hidden="1">
      <c r="B706" s="45"/>
      <c r="C706" s="45">
        <f t="shared" si="157"/>
        <v>3158</v>
      </c>
      <c r="D706" s="45">
        <f t="shared" si="158"/>
        <v>5</v>
      </c>
      <c r="E706" s="45">
        <f t="shared" si="159"/>
        <v>2017</v>
      </c>
      <c r="F706" s="45">
        <f t="shared" si="166"/>
        <v>0</v>
      </c>
      <c r="G706" s="45" t="s">
        <v>448</v>
      </c>
      <c r="H706" s="45" t="s">
        <v>452</v>
      </c>
      <c r="I706" s="162" t="str">
        <f t="shared" si="167"/>
        <v/>
      </c>
      <c r="J706" s="112" t="s">
        <v>1168</v>
      </c>
    </row>
    <row r="707" spans="2:10" s="112" customFormat="1" hidden="1">
      <c r="B707" s="45"/>
      <c r="C707" s="45">
        <f t="shared" si="157"/>
        <v>3158</v>
      </c>
      <c r="D707" s="45">
        <f t="shared" si="158"/>
        <v>5</v>
      </c>
      <c r="E707" s="45">
        <f t="shared" si="159"/>
        <v>2017</v>
      </c>
      <c r="F707" s="45">
        <f t="shared" si="166"/>
        <v>0</v>
      </c>
      <c r="G707" s="45" t="s">
        <v>448</v>
      </c>
      <c r="H707" s="45" t="s">
        <v>453</v>
      </c>
      <c r="I707" s="162" t="str">
        <f t="shared" si="167"/>
        <v/>
      </c>
      <c r="J707" s="112" t="s">
        <v>1169</v>
      </c>
    </row>
    <row r="708" spans="2:10" s="112" customFormat="1" hidden="1">
      <c r="B708" s="45"/>
      <c r="C708" s="45">
        <f t="shared" si="157"/>
        <v>3158</v>
      </c>
      <c r="D708" s="45">
        <f t="shared" si="158"/>
        <v>5</v>
      </c>
      <c r="E708" s="45">
        <f t="shared" si="159"/>
        <v>2017</v>
      </c>
      <c r="F708" s="45">
        <f t="shared" si="166"/>
        <v>0</v>
      </c>
      <c r="G708" s="45" t="s">
        <v>448</v>
      </c>
      <c r="H708" s="45" t="s">
        <v>454</v>
      </c>
      <c r="I708" s="162" t="str">
        <f t="shared" si="167"/>
        <v/>
      </c>
      <c r="J708" s="112" t="s">
        <v>1170</v>
      </c>
    </row>
    <row r="709" spans="2:10" s="112" customFormat="1" hidden="1">
      <c r="B709" s="45"/>
      <c r="C709" s="45">
        <f t="shared" si="157"/>
        <v>3158</v>
      </c>
      <c r="D709" s="45">
        <f t="shared" si="158"/>
        <v>5</v>
      </c>
      <c r="E709" s="45">
        <f t="shared" si="159"/>
        <v>2017</v>
      </c>
      <c r="F709" s="45">
        <f t="shared" si="166"/>
        <v>0</v>
      </c>
      <c r="G709" s="45" t="s">
        <v>448</v>
      </c>
      <c r="H709" s="45" t="s">
        <v>455</v>
      </c>
      <c r="I709" s="162" t="str">
        <f t="shared" si="167"/>
        <v/>
      </c>
      <c r="J709" s="112" t="s">
        <v>1171</v>
      </c>
    </row>
    <row r="710" spans="2:10" s="112" customFormat="1" hidden="1">
      <c r="B710" s="45"/>
      <c r="C710" s="45">
        <f t="shared" si="157"/>
        <v>3158</v>
      </c>
      <c r="D710" s="45">
        <f t="shared" si="158"/>
        <v>5</v>
      </c>
      <c r="E710" s="45">
        <f t="shared" si="159"/>
        <v>2017</v>
      </c>
      <c r="F710" s="45">
        <f t="shared" si="166"/>
        <v>0</v>
      </c>
      <c r="G710" s="45" t="s">
        <v>448</v>
      </c>
      <c r="H710" s="45" t="s">
        <v>456</v>
      </c>
      <c r="I710" s="162" t="str">
        <f t="shared" si="167"/>
        <v/>
      </c>
      <c r="J710" s="112" t="s">
        <v>1172</v>
      </c>
    </row>
    <row r="711" spans="2:10" s="112" customFormat="1" hidden="1">
      <c r="B711" s="45"/>
      <c r="C711" s="45">
        <f t="shared" si="157"/>
        <v>3158</v>
      </c>
      <c r="D711" s="45">
        <f t="shared" si="158"/>
        <v>5</v>
      </c>
      <c r="E711" s="45">
        <f t="shared" si="159"/>
        <v>2017</v>
      </c>
      <c r="F711" s="45">
        <f t="shared" si="166"/>
        <v>0</v>
      </c>
      <c r="G711" s="45" t="s">
        <v>448</v>
      </c>
      <c r="H711" s="45" t="s">
        <v>457</v>
      </c>
      <c r="I711" s="162" t="str">
        <f t="shared" si="167"/>
        <v/>
      </c>
      <c r="J711" s="112" t="s">
        <v>1173</v>
      </c>
    </row>
    <row r="712" spans="2:10" s="112" customFormat="1" hidden="1">
      <c r="B712" s="45"/>
      <c r="C712" s="45">
        <f t="shared" si="157"/>
        <v>3158</v>
      </c>
      <c r="D712" s="45">
        <f t="shared" si="158"/>
        <v>5</v>
      </c>
      <c r="E712" s="45">
        <f t="shared" si="159"/>
        <v>2017</v>
      </c>
      <c r="F712" s="45">
        <f t="shared" si="166"/>
        <v>0</v>
      </c>
      <c r="G712" s="45" t="s">
        <v>448</v>
      </c>
      <c r="H712" s="45" t="s">
        <v>458</v>
      </c>
      <c r="I712" s="162" t="str">
        <f t="shared" si="167"/>
        <v/>
      </c>
      <c r="J712" s="112" t="s">
        <v>1174</v>
      </c>
    </row>
    <row r="713" spans="2:10" s="112" customFormat="1" hidden="1">
      <c r="B713" s="45"/>
      <c r="C713" s="45">
        <f t="shared" si="157"/>
        <v>3158</v>
      </c>
      <c r="D713" s="45">
        <f t="shared" si="158"/>
        <v>5</v>
      </c>
      <c r="E713" s="45">
        <f t="shared" si="159"/>
        <v>2017</v>
      </c>
      <c r="F713" s="45">
        <f t="shared" si="166"/>
        <v>0</v>
      </c>
      <c r="G713" s="45" t="s">
        <v>448</v>
      </c>
      <c r="H713" s="45" t="s">
        <v>460</v>
      </c>
      <c r="I713" s="162" t="str">
        <f t="shared" si="167"/>
        <v/>
      </c>
      <c r="J713" s="112" t="s">
        <v>1175</v>
      </c>
    </row>
    <row r="714" spans="2:10" s="112" customFormat="1" hidden="1">
      <c r="B714" s="45"/>
      <c r="C714" s="45">
        <f t="shared" si="157"/>
        <v>3158</v>
      </c>
      <c r="D714" s="45">
        <f t="shared" si="158"/>
        <v>5</v>
      </c>
      <c r="E714" s="45">
        <f t="shared" si="159"/>
        <v>2017</v>
      </c>
      <c r="F714" s="45">
        <f t="shared" ref="F714:F724" si="168">BN$3</f>
        <v>0</v>
      </c>
      <c r="G714" s="45" t="s">
        <v>448</v>
      </c>
      <c r="H714" s="45" t="s">
        <v>449</v>
      </c>
      <c r="I714" s="162" t="str">
        <f t="shared" ref="I714:I724" si="169">IF(ISBLANK(BN4),"",BN4)</f>
        <v/>
      </c>
      <c r="J714" s="112" t="s">
        <v>1176</v>
      </c>
    </row>
    <row r="715" spans="2:10" s="112" customFormat="1" hidden="1">
      <c r="B715" s="45"/>
      <c r="C715" s="45">
        <f t="shared" si="157"/>
        <v>3158</v>
      </c>
      <c r="D715" s="45">
        <f t="shared" si="158"/>
        <v>5</v>
      </c>
      <c r="E715" s="45">
        <f t="shared" si="159"/>
        <v>2017</v>
      </c>
      <c r="F715" s="45">
        <f t="shared" si="168"/>
        <v>0</v>
      </c>
      <c r="G715" s="45" t="s">
        <v>448</v>
      </c>
      <c r="H715" s="45" t="s">
        <v>450</v>
      </c>
      <c r="I715" s="162" t="str">
        <f t="shared" si="169"/>
        <v/>
      </c>
      <c r="J715" s="112" t="s">
        <v>1177</v>
      </c>
    </row>
    <row r="716" spans="2:10" s="112" customFormat="1" hidden="1">
      <c r="B716" s="45"/>
      <c r="C716" s="45">
        <f t="shared" si="157"/>
        <v>3158</v>
      </c>
      <c r="D716" s="45">
        <f t="shared" si="158"/>
        <v>5</v>
      </c>
      <c r="E716" s="45">
        <f t="shared" si="159"/>
        <v>2017</v>
      </c>
      <c r="F716" s="45">
        <f t="shared" si="168"/>
        <v>0</v>
      </c>
      <c r="G716" s="45" t="s">
        <v>448</v>
      </c>
      <c r="H716" s="45" t="s">
        <v>451</v>
      </c>
      <c r="I716" s="162" t="str">
        <f t="shared" si="169"/>
        <v/>
      </c>
      <c r="J716" s="112" t="s">
        <v>1178</v>
      </c>
    </row>
    <row r="717" spans="2:10" s="112" customFormat="1" hidden="1">
      <c r="B717" s="45"/>
      <c r="C717" s="45">
        <f t="shared" si="157"/>
        <v>3158</v>
      </c>
      <c r="D717" s="45">
        <f t="shared" si="158"/>
        <v>5</v>
      </c>
      <c r="E717" s="45">
        <f t="shared" si="159"/>
        <v>2017</v>
      </c>
      <c r="F717" s="45">
        <f t="shared" si="168"/>
        <v>0</v>
      </c>
      <c r="G717" s="45" t="s">
        <v>448</v>
      </c>
      <c r="H717" s="45" t="s">
        <v>452</v>
      </c>
      <c r="I717" s="162" t="str">
        <f t="shared" si="169"/>
        <v/>
      </c>
      <c r="J717" s="112" t="s">
        <v>1179</v>
      </c>
    </row>
    <row r="718" spans="2:10" s="112" customFormat="1" hidden="1">
      <c r="B718" s="45"/>
      <c r="C718" s="45">
        <f t="shared" si="157"/>
        <v>3158</v>
      </c>
      <c r="D718" s="45">
        <f t="shared" si="158"/>
        <v>5</v>
      </c>
      <c r="E718" s="45">
        <f t="shared" si="159"/>
        <v>2017</v>
      </c>
      <c r="F718" s="45">
        <f t="shared" si="168"/>
        <v>0</v>
      </c>
      <c r="G718" s="45" t="s">
        <v>448</v>
      </c>
      <c r="H718" s="45" t="s">
        <v>453</v>
      </c>
      <c r="I718" s="162" t="str">
        <f t="shared" si="169"/>
        <v/>
      </c>
      <c r="J718" s="112" t="s">
        <v>1180</v>
      </c>
    </row>
    <row r="719" spans="2:10" s="112" customFormat="1" hidden="1">
      <c r="B719" s="45"/>
      <c r="C719" s="45">
        <f t="shared" si="157"/>
        <v>3158</v>
      </c>
      <c r="D719" s="45">
        <f t="shared" si="158"/>
        <v>5</v>
      </c>
      <c r="E719" s="45">
        <f t="shared" si="159"/>
        <v>2017</v>
      </c>
      <c r="F719" s="45">
        <f t="shared" si="168"/>
        <v>0</v>
      </c>
      <c r="G719" s="45" t="s">
        <v>448</v>
      </c>
      <c r="H719" s="45" t="s">
        <v>454</v>
      </c>
      <c r="I719" s="162" t="str">
        <f t="shared" si="169"/>
        <v/>
      </c>
      <c r="J719" s="112" t="s">
        <v>1181</v>
      </c>
    </row>
    <row r="720" spans="2:10" s="112" customFormat="1" hidden="1">
      <c r="B720" s="45"/>
      <c r="C720" s="45">
        <f t="shared" si="157"/>
        <v>3158</v>
      </c>
      <c r="D720" s="45">
        <f t="shared" si="158"/>
        <v>5</v>
      </c>
      <c r="E720" s="45">
        <f t="shared" si="159"/>
        <v>2017</v>
      </c>
      <c r="F720" s="45">
        <f t="shared" si="168"/>
        <v>0</v>
      </c>
      <c r="G720" s="45" t="s">
        <v>448</v>
      </c>
      <c r="H720" s="45" t="s">
        <v>455</v>
      </c>
      <c r="I720" s="162" t="str">
        <f t="shared" si="169"/>
        <v/>
      </c>
      <c r="J720" s="112" t="s">
        <v>1182</v>
      </c>
    </row>
    <row r="721" spans="2:10" s="112" customFormat="1" hidden="1">
      <c r="B721" s="45"/>
      <c r="C721" s="45">
        <f t="shared" si="157"/>
        <v>3158</v>
      </c>
      <c r="D721" s="45">
        <f t="shared" si="158"/>
        <v>5</v>
      </c>
      <c r="E721" s="45">
        <f t="shared" si="159"/>
        <v>2017</v>
      </c>
      <c r="F721" s="45">
        <f t="shared" si="168"/>
        <v>0</v>
      </c>
      <c r="G721" s="45" t="s">
        <v>448</v>
      </c>
      <c r="H721" s="45" t="s">
        <v>456</v>
      </c>
      <c r="I721" s="162" t="str">
        <f t="shared" si="169"/>
        <v/>
      </c>
      <c r="J721" s="112" t="s">
        <v>1183</v>
      </c>
    </row>
    <row r="722" spans="2:10" s="112" customFormat="1" hidden="1">
      <c r="B722" s="45"/>
      <c r="C722" s="45">
        <f t="shared" si="157"/>
        <v>3158</v>
      </c>
      <c r="D722" s="45">
        <f t="shared" si="158"/>
        <v>5</v>
      </c>
      <c r="E722" s="45">
        <f t="shared" si="159"/>
        <v>2017</v>
      </c>
      <c r="F722" s="45">
        <f t="shared" si="168"/>
        <v>0</v>
      </c>
      <c r="G722" s="45" t="s">
        <v>448</v>
      </c>
      <c r="H722" s="45" t="s">
        <v>457</v>
      </c>
      <c r="I722" s="162" t="str">
        <f t="shared" si="169"/>
        <v/>
      </c>
      <c r="J722" s="112" t="s">
        <v>1184</v>
      </c>
    </row>
    <row r="723" spans="2:10" s="112" customFormat="1" hidden="1">
      <c r="B723" s="45"/>
      <c r="C723" s="45">
        <f t="shared" si="157"/>
        <v>3158</v>
      </c>
      <c r="D723" s="45">
        <f t="shared" si="158"/>
        <v>5</v>
      </c>
      <c r="E723" s="45">
        <f t="shared" si="159"/>
        <v>2017</v>
      </c>
      <c r="F723" s="45">
        <f t="shared" si="168"/>
        <v>0</v>
      </c>
      <c r="G723" s="45" t="s">
        <v>448</v>
      </c>
      <c r="H723" s="45" t="s">
        <v>458</v>
      </c>
      <c r="I723" s="162" t="str">
        <f t="shared" si="169"/>
        <v/>
      </c>
      <c r="J723" s="112" t="s">
        <v>1185</v>
      </c>
    </row>
    <row r="724" spans="2:10" s="112" customFormat="1" hidden="1">
      <c r="B724" s="45"/>
      <c r="C724" s="45">
        <f t="shared" si="157"/>
        <v>3158</v>
      </c>
      <c r="D724" s="45">
        <f t="shared" si="158"/>
        <v>5</v>
      </c>
      <c r="E724" s="45">
        <f t="shared" si="159"/>
        <v>2017</v>
      </c>
      <c r="F724" s="45">
        <f t="shared" si="168"/>
        <v>0</v>
      </c>
      <c r="G724" s="45" t="s">
        <v>448</v>
      </c>
      <c r="H724" s="45" t="s">
        <v>460</v>
      </c>
      <c r="I724" s="162" t="str">
        <f t="shared" si="169"/>
        <v/>
      </c>
      <c r="J724" s="112" t="s">
        <v>1186</v>
      </c>
    </row>
    <row r="725" spans="2:10" s="112" customFormat="1" hidden="1">
      <c r="B725" s="45"/>
      <c r="C725" s="45">
        <f t="shared" si="157"/>
        <v>3158</v>
      </c>
      <c r="D725" s="45">
        <f t="shared" si="158"/>
        <v>5</v>
      </c>
      <c r="E725" s="45">
        <f t="shared" si="159"/>
        <v>2017</v>
      </c>
      <c r="F725" s="45">
        <f t="shared" ref="F725:F735" si="170">BO$3</f>
        <v>0</v>
      </c>
      <c r="G725" s="45" t="s">
        <v>448</v>
      </c>
      <c r="H725" s="45" t="s">
        <v>449</v>
      </c>
      <c r="I725" s="162" t="str">
        <f t="shared" ref="I725:I735" si="171">IF(ISBLANK(BO4),"",BO4)</f>
        <v/>
      </c>
      <c r="J725" s="112" t="s">
        <v>1187</v>
      </c>
    </row>
    <row r="726" spans="2:10" s="112" customFormat="1" hidden="1">
      <c r="B726" s="45"/>
      <c r="C726" s="45">
        <f t="shared" ref="C726:C789" si="172">H$1</f>
        <v>3158</v>
      </c>
      <c r="D726" s="45">
        <f t="shared" ref="D726:D789" si="173">K$1</f>
        <v>5</v>
      </c>
      <c r="E726" s="45">
        <f t="shared" si="159"/>
        <v>2017</v>
      </c>
      <c r="F726" s="45">
        <f t="shared" si="170"/>
        <v>0</v>
      </c>
      <c r="G726" s="45" t="s">
        <v>448</v>
      </c>
      <c r="H726" s="45" t="s">
        <v>450</v>
      </c>
      <c r="I726" s="162" t="str">
        <f t="shared" si="171"/>
        <v/>
      </c>
      <c r="J726" s="112" t="s">
        <v>1188</v>
      </c>
    </row>
    <row r="727" spans="2:10" s="112" customFormat="1" hidden="1">
      <c r="B727" s="45"/>
      <c r="C727" s="45">
        <f t="shared" si="172"/>
        <v>3158</v>
      </c>
      <c r="D727" s="45">
        <f t="shared" si="173"/>
        <v>5</v>
      </c>
      <c r="E727" s="45">
        <f t="shared" si="159"/>
        <v>2017</v>
      </c>
      <c r="F727" s="45">
        <f t="shared" si="170"/>
        <v>0</v>
      </c>
      <c r="G727" s="45" t="s">
        <v>448</v>
      </c>
      <c r="H727" s="45" t="s">
        <v>451</v>
      </c>
      <c r="I727" s="162" t="str">
        <f t="shared" si="171"/>
        <v/>
      </c>
      <c r="J727" s="112" t="s">
        <v>1189</v>
      </c>
    </row>
    <row r="728" spans="2:10" s="112" customFormat="1" hidden="1">
      <c r="B728" s="45"/>
      <c r="C728" s="45">
        <f t="shared" si="172"/>
        <v>3158</v>
      </c>
      <c r="D728" s="45">
        <f t="shared" si="173"/>
        <v>5</v>
      </c>
      <c r="E728" s="45">
        <f t="shared" ref="E728:E791" si="174">D$1</f>
        <v>2017</v>
      </c>
      <c r="F728" s="45">
        <f t="shared" si="170"/>
        <v>0</v>
      </c>
      <c r="G728" s="45" t="s">
        <v>448</v>
      </c>
      <c r="H728" s="45" t="s">
        <v>452</v>
      </c>
      <c r="I728" s="162" t="str">
        <f t="shared" si="171"/>
        <v/>
      </c>
      <c r="J728" s="112" t="s">
        <v>1190</v>
      </c>
    </row>
    <row r="729" spans="2:10" s="112" customFormat="1" hidden="1">
      <c r="B729" s="45"/>
      <c r="C729" s="45">
        <f t="shared" si="172"/>
        <v>3158</v>
      </c>
      <c r="D729" s="45">
        <f t="shared" si="173"/>
        <v>5</v>
      </c>
      <c r="E729" s="45">
        <f t="shared" si="174"/>
        <v>2017</v>
      </c>
      <c r="F729" s="45">
        <f t="shared" si="170"/>
        <v>0</v>
      </c>
      <c r="G729" s="45" t="s">
        <v>448</v>
      </c>
      <c r="H729" s="45" t="s">
        <v>453</v>
      </c>
      <c r="I729" s="162" t="str">
        <f t="shared" si="171"/>
        <v/>
      </c>
      <c r="J729" s="112" t="s">
        <v>1191</v>
      </c>
    </row>
    <row r="730" spans="2:10" s="112" customFormat="1" hidden="1">
      <c r="B730" s="45"/>
      <c r="C730" s="45">
        <f t="shared" si="172"/>
        <v>3158</v>
      </c>
      <c r="D730" s="45">
        <f t="shared" si="173"/>
        <v>5</v>
      </c>
      <c r="E730" s="45">
        <f t="shared" si="174"/>
        <v>2017</v>
      </c>
      <c r="F730" s="45">
        <f t="shared" si="170"/>
        <v>0</v>
      </c>
      <c r="G730" s="45" t="s">
        <v>448</v>
      </c>
      <c r="H730" s="45" t="s">
        <v>454</v>
      </c>
      <c r="I730" s="162" t="str">
        <f t="shared" si="171"/>
        <v/>
      </c>
      <c r="J730" s="112" t="s">
        <v>1192</v>
      </c>
    </row>
    <row r="731" spans="2:10" s="112" customFormat="1" hidden="1">
      <c r="B731" s="45"/>
      <c r="C731" s="45">
        <f t="shared" si="172"/>
        <v>3158</v>
      </c>
      <c r="D731" s="45">
        <f t="shared" si="173"/>
        <v>5</v>
      </c>
      <c r="E731" s="45">
        <f t="shared" si="174"/>
        <v>2017</v>
      </c>
      <c r="F731" s="45">
        <f t="shared" si="170"/>
        <v>0</v>
      </c>
      <c r="G731" s="45" t="s">
        <v>448</v>
      </c>
      <c r="H731" s="45" t="s">
        <v>455</v>
      </c>
      <c r="I731" s="162" t="str">
        <f t="shared" si="171"/>
        <v/>
      </c>
      <c r="J731" s="112" t="s">
        <v>1193</v>
      </c>
    </row>
    <row r="732" spans="2:10" s="112" customFormat="1" hidden="1">
      <c r="B732" s="45"/>
      <c r="C732" s="45">
        <f t="shared" si="172"/>
        <v>3158</v>
      </c>
      <c r="D732" s="45">
        <f t="shared" si="173"/>
        <v>5</v>
      </c>
      <c r="E732" s="45">
        <f t="shared" si="174"/>
        <v>2017</v>
      </c>
      <c r="F732" s="45">
        <f t="shared" si="170"/>
        <v>0</v>
      </c>
      <c r="G732" s="45" t="s">
        <v>448</v>
      </c>
      <c r="H732" s="45" t="s">
        <v>456</v>
      </c>
      <c r="I732" s="162" t="str">
        <f t="shared" si="171"/>
        <v/>
      </c>
      <c r="J732" s="112" t="s">
        <v>1194</v>
      </c>
    </row>
    <row r="733" spans="2:10" s="112" customFormat="1" hidden="1">
      <c r="B733" s="45"/>
      <c r="C733" s="45">
        <f t="shared" si="172"/>
        <v>3158</v>
      </c>
      <c r="D733" s="45">
        <f t="shared" si="173"/>
        <v>5</v>
      </c>
      <c r="E733" s="45">
        <f t="shared" si="174"/>
        <v>2017</v>
      </c>
      <c r="F733" s="45">
        <f t="shared" si="170"/>
        <v>0</v>
      </c>
      <c r="G733" s="45" t="s">
        <v>448</v>
      </c>
      <c r="H733" s="45" t="s">
        <v>457</v>
      </c>
      <c r="I733" s="162" t="str">
        <f t="shared" si="171"/>
        <v/>
      </c>
      <c r="J733" s="112" t="s">
        <v>1195</v>
      </c>
    </row>
    <row r="734" spans="2:10" s="112" customFormat="1" hidden="1">
      <c r="B734" s="45"/>
      <c r="C734" s="45">
        <f t="shared" si="172"/>
        <v>3158</v>
      </c>
      <c r="D734" s="45">
        <f t="shared" si="173"/>
        <v>5</v>
      </c>
      <c r="E734" s="45">
        <f t="shared" si="174"/>
        <v>2017</v>
      </c>
      <c r="F734" s="45">
        <f t="shared" si="170"/>
        <v>0</v>
      </c>
      <c r="G734" s="45" t="s">
        <v>448</v>
      </c>
      <c r="H734" s="45" t="s">
        <v>458</v>
      </c>
      <c r="I734" s="162" t="str">
        <f t="shared" si="171"/>
        <v/>
      </c>
      <c r="J734" s="112" t="s">
        <v>1196</v>
      </c>
    </row>
    <row r="735" spans="2:10" s="112" customFormat="1" hidden="1">
      <c r="B735" s="45"/>
      <c r="C735" s="45">
        <f t="shared" si="172"/>
        <v>3158</v>
      </c>
      <c r="D735" s="45">
        <f t="shared" si="173"/>
        <v>5</v>
      </c>
      <c r="E735" s="45">
        <f t="shared" si="174"/>
        <v>2017</v>
      </c>
      <c r="F735" s="45">
        <f t="shared" si="170"/>
        <v>0</v>
      </c>
      <c r="G735" s="45" t="s">
        <v>448</v>
      </c>
      <c r="H735" s="45" t="s">
        <v>460</v>
      </c>
      <c r="I735" s="162" t="str">
        <f t="shared" si="171"/>
        <v/>
      </c>
      <c r="J735" s="112" t="s">
        <v>1197</v>
      </c>
    </row>
    <row r="736" spans="2:10" s="112" customFormat="1" hidden="1">
      <c r="B736" s="45"/>
      <c r="C736" s="45">
        <f t="shared" si="172"/>
        <v>3158</v>
      </c>
      <c r="D736" s="45">
        <f t="shared" si="173"/>
        <v>5</v>
      </c>
      <c r="E736" s="45">
        <f t="shared" si="174"/>
        <v>2017</v>
      </c>
      <c r="F736" s="45">
        <f t="shared" ref="F736:F746" si="175">BP$3</f>
        <v>0</v>
      </c>
      <c r="G736" s="45" t="s">
        <v>448</v>
      </c>
      <c r="H736" s="45" t="s">
        <v>449</v>
      </c>
      <c r="I736" s="162" t="str">
        <f t="shared" ref="I736:I746" si="176">IF(ISBLANK(BP4),"",BP4)</f>
        <v/>
      </c>
      <c r="J736" s="112" t="s">
        <v>1198</v>
      </c>
    </row>
    <row r="737" spans="2:10" s="112" customFormat="1" hidden="1">
      <c r="B737" s="45"/>
      <c r="C737" s="45">
        <f t="shared" si="172"/>
        <v>3158</v>
      </c>
      <c r="D737" s="45">
        <f t="shared" si="173"/>
        <v>5</v>
      </c>
      <c r="E737" s="45">
        <f t="shared" si="174"/>
        <v>2017</v>
      </c>
      <c r="F737" s="45">
        <f t="shared" si="175"/>
        <v>0</v>
      </c>
      <c r="G737" s="45" t="s">
        <v>448</v>
      </c>
      <c r="H737" s="45" t="s">
        <v>450</v>
      </c>
      <c r="I737" s="162" t="str">
        <f t="shared" si="176"/>
        <v/>
      </c>
      <c r="J737" s="112" t="s">
        <v>1199</v>
      </c>
    </row>
    <row r="738" spans="2:10" s="112" customFormat="1" hidden="1">
      <c r="B738" s="45"/>
      <c r="C738" s="45">
        <f t="shared" si="172"/>
        <v>3158</v>
      </c>
      <c r="D738" s="45">
        <f t="shared" si="173"/>
        <v>5</v>
      </c>
      <c r="E738" s="45">
        <f t="shared" si="174"/>
        <v>2017</v>
      </c>
      <c r="F738" s="45">
        <f t="shared" si="175"/>
        <v>0</v>
      </c>
      <c r="G738" s="45" t="s">
        <v>448</v>
      </c>
      <c r="H738" s="45" t="s">
        <v>451</v>
      </c>
      <c r="I738" s="162" t="str">
        <f t="shared" si="176"/>
        <v/>
      </c>
      <c r="J738" s="112" t="s">
        <v>1200</v>
      </c>
    </row>
    <row r="739" spans="2:10" s="112" customFormat="1" hidden="1">
      <c r="B739" s="45"/>
      <c r="C739" s="45">
        <f t="shared" si="172"/>
        <v>3158</v>
      </c>
      <c r="D739" s="45">
        <f t="shared" si="173"/>
        <v>5</v>
      </c>
      <c r="E739" s="45">
        <f t="shared" si="174"/>
        <v>2017</v>
      </c>
      <c r="F739" s="45">
        <f t="shared" si="175"/>
        <v>0</v>
      </c>
      <c r="G739" s="45" t="s">
        <v>448</v>
      </c>
      <c r="H739" s="45" t="s">
        <v>452</v>
      </c>
      <c r="I739" s="162" t="str">
        <f t="shared" si="176"/>
        <v/>
      </c>
      <c r="J739" s="112" t="s">
        <v>1201</v>
      </c>
    </row>
    <row r="740" spans="2:10" s="112" customFormat="1" hidden="1">
      <c r="B740" s="45"/>
      <c r="C740" s="45">
        <f t="shared" si="172"/>
        <v>3158</v>
      </c>
      <c r="D740" s="45">
        <f t="shared" si="173"/>
        <v>5</v>
      </c>
      <c r="E740" s="45">
        <f t="shared" si="174"/>
        <v>2017</v>
      </c>
      <c r="F740" s="45">
        <f t="shared" si="175"/>
        <v>0</v>
      </c>
      <c r="G740" s="45" t="s">
        <v>448</v>
      </c>
      <c r="H740" s="45" t="s">
        <v>453</v>
      </c>
      <c r="I740" s="162" t="str">
        <f t="shared" si="176"/>
        <v/>
      </c>
      <c r="J740" s="112" t="s">
        <v>1202</v>
      </c>
    </row>
    <row r="741" spans="2:10" s="112" customFormat="1" hidden="1">
      <c r="B741" s="45"/>
      <c r="C741" s="45">
        <f t="shared" si="172"/>
        <v>3158</v>
      </c>
      <c r="D741" s="45">
        <f t="shared" si="173"/>
        <v>5</v>
      </c>
      <c r="E741" s="45">
        <f t="shared" si="174"/>
        <v>2017</v>
      </c>
      <c r="F741" s="45">
        <f t="shared" si="175"/>
        <v>0</v>
      </c>
      <c r="G741" s="45" t="s">
        <v>448</v>
      </c>
      <c r="H741" s="45" t="s">
        <v>454</v>
      </c>
      <c r="I741" s="162" t="str">
        <f t="shared" si="176"/>
        <v/>
      </c>
      <c r="J741" s="112" t="s">
        <v>1203</v>
      </c>
    </row>
    <row r="742" spans="2:10" s="112" customFormat="1" hidden="1">
      <c r="B742" s="45"/>
      <c r="C742" s="45">
        <f t="shared" si="172"/>
        <v>3158</v>
      </c>
      <c r="D742" s="45">
        <f t="shared" si="173"/>
        <v>5</v>
      </c>
      <c r="E742" s="45">
        <f t="shared" si="174"/>
        <v>2017</v>
      </c>
      <c r="F742" s="45">
        <f t="shared" si="175"/>
        <v>0</v>
      </c>
      <c r="G742" s="45" t="s">
        <v>448</v>
      </c>
      <c r="H742" s="45" t="s">
        <v>455</v>
      </c>
      <c r="I742" s="162" t="str">
        <f t="shared" si="176"/>
        <v/>
      </c>
      <c r="J742" s="112" t="s">
        <v>1204</v>
      </c>
    </row>
    <row r="743" spans="2:10" s="112" customFormat="1" hidden="1">
      <c r="B743" s="45"/>
      <c r="C743" s="45">
        <f t="shared" si="172"/>
        <v>3158</v>
      </c>
      <c r="D743" s="45">
        <f t="shared" si="173"/>
        <v>5</v>
      </c>
      <c r="E743" s="45">
        <f t="shared" si="174"/>
        <v>2017</v>
      </c>
      <c r="F743" s="45">
        <f t="shared" si="175"/>
        <v>0</v>
      </c>
      <c r="G743" s="45" t="s">
        <v>448</v>
      </c>
      <c r="H743" s="45" t="s">
        <v>456</v>
      </c>
      <c r="I743" s="162" t="str">
        <f t="shared" si="176"/>
        <v/>
      </c>
      <c r="J743" s="112" t="s">
        <v>1205</v>
      </c>
    </row>
    <row r="744" spans="2:10" s="112" customFormat="1" hidden="1">
      <c r="B744" s="45"/>
      <c r="C744" s="45">
        <f t="shared" si="172"/>
        <v>3158</v>
      </c>
      <c r="D744" s="45">
        <f t="shared" si="173"/>
        <v>5</v>
      </c>
      <c r="E744" s="45">
        <f t="shared" si="174"/>
        <v>2017</v>
      </c>
      <c r="F744" s="45">
        <f t="shared" si="175"/>
        <v>0</v>
      </c>
      <c r="G744" s="45" t="s">
        <v>448</v>
      </c>
      <c r="H744" s="45" t="s">
        <v>457</v>
      </c>
      <c r="I744" s="162" t="str">
        <f t="shared" si="176"/>
        <v/>
      </c>
      <c r="J744" s="112" t="s">
        <v>1206</v>
      </c>
    </row>
    <row r="745" spans="2:10" s="112" customFormat="1" hidden="1">
      <c r="B745" s="45"/>
      <c r="C745" s="45">
        <f t="shared" si="172"/>
        <v>3158</v>
      </c>
      <c r="D745" s="45">
        <f t="shared" si="173"/>
        <v>5</v>
      </c>
      <c r="E745" s="45">
        <f t="shared" si="174"/>
        <v>2017</v>
      </c>
      <c r="F745" s="45">
        <f t="shared" si="175"/>
        <v>0</v>
      </c>
      <c r="G745" s="45" t="s">
        <v>448</v>
      </c>
      <c r="H745" s="45" t="s">
        <v>458</v>
      </c>
      <c r="I745" s="162" t="str">
        <f t="shared" si="176"/>
        <v/>
      </c>
      <c r="J745" s="112" t="s">
        <v>1207</v>
      </c>
    </row>
    <row r="746" spans="2:10" s="112" customFormat="1" hidden="1">
      <c r="B746" s="45"/>
      <c r="C746" s="45">
        <f t="shared" si="172"/>
        <v>3158</v>
      </c>
      <c r="D746" s="45">
        <f t="shared" si="173"/>
        <v>5</v>
      </c>
      <c r="E746" s="45">
        <f t="shared" si="174"/>
        <v>2017</v>
      </c>
      <c r="F746" s="45">
        <f t="shared" si="175"/>
        <v>0</v>
      </c>
      <c r="G746" s="45" t="s">
        <v>448</v>
      </c>
      <c r="H746" s="45" t="s">
        <v>460</v>
      </c>
      <c r="I746" s="162" t="str">
        <f t="shared" si="176"/>
        <v/>
      </c>
      <c r="J746" s="112" t="s">
        <v>1208</v>
      </c>
    </row>
    <row r="747" spans="2:10" s="112" customFormat="1" hidden="1">
      <c r="B747" s="45"/>
      <c r="C747" s="45">
        <f t="shared" si="172"/>
        <v>3158</v>
      </c>
      <c r="D747" s="45">
        <f t="shared" si="173"/>
        <v>5</v>
      </c>
      <c r="E747" s="45">
        <f t="shared" si="174"/>
        <v>2017</v>
      </c>
      <c r="F747" s="45">
        <f t="shared" ref="F747:F757" si="177">BQ$3</f>
        <v>0</v>
      </c>
      <c r="G747" s="45" t="s">
        <v>448</v>
      </c>
      <c r="H747" s="45" t="s">
        <v>449</v>
      </c>
      <c r="I747" s="162" t="str">
        <f t="shared" ref="I747:I757" si="178">IF(ISBLANK(BQ4),"",BQ4)</f>
        <v/>
      </c>
      <c r="J747" s="112" t="s">
        <v>1209</v>
      </c>
    </row>
    <row r="748" spans="2:10" s="112" customFormat="1" hidden="1">
      <c r="B748" s="45"/>
      <c r="C748" s="45">
        <f t="shared" si="172"/>
        <v>3158</v>
      </c>
      <c r="D748" s="45">
        <f t="shared" si="173"/>
        <v>5</v>
      </c>
      <c r="E748" s="45">
        <f t="shared" si="174"/>
        <v>2017</v>
      </c>
      <c r="F748" s="45">
        <f t="shared" si="177"/>
        <v>0</v>
      </c>
      <c r="G748" s="45" t="s">
        <v>448</v>
      </c>
      <c r="H748" s="45" t="s">
        <v>450</v>
      </c>
      <c r="I748" s="162" t="str">
        <f t="shared" si="178"/>
        <v/>
      </c>
      <c r="J748" s="112" t="s">
        <v>1210</v>
      </c>
    </row>
    <row r="749" spans="2:10" s="112" customFormat="1" hidden="1">
      <c r="B749" s="45"/>
      <c r="C749" s="45">
        <f t="shared" si="172"/>
        <v>3158</v>
      </c>
      <c r="D749" s="45">
        <f t="shared" si="173"/>
        <v>5</v>
      </c>
      <c r="E749" s="45">
        <f t="shared" si="174"/>
        <v>2017</v>
      </c>
      <c r="F749" s="45">
        <f t="shared" si="177"/>
        <v>0</v>
      </c>
      <c r="G749" s="45" t="s">
        <v>448</v>
      </c>
      <c r="H749" s="45" t="s">
        <v>451</v>
      </c>
      <c r="I749" s="162" t="str">
        <f t="shared" si="178"/>
        <v/>
      </c>
      <c r="J749" s="112" t="s">
        <v>1211</v>
      </c>
    </row>
    <row r="750" spans="2:10" s="112" customFormat="1" hidden="1">
      <c r="B750" s="45"/>
      <c r="C750" s="45">
        <f t="shared" si="172"/>
        <v>3158</v>
      </c>
      <c r="D750" s="45">
        <f t="shared" si="173"/>
        <v>5</v>
      </c>
      <c r="E750" s="45">
        <f t="shared" si="174"/>
        <v>2017</v>
      </c>
      <c r="F750" s="45">
        <f t="shared" si="177"/>
        <v>0</v>
      </c>
      <c r="G750" s="45" t="s">
        <v>448</v>
      </c>
      <c r="H750" s="45" t="s">
        <v>452</v>
      </c>
      <c r="I750" s="162" t="str">
        <f t="shared" si="178"/>
        <v/>
      </c>
      <c r="J750" s="112" t="s">
        <v>1212</v>
      </c>
    </row>
    <row r="751" spans="2:10" s="112" customFormat="1" hidden="1">
      <c r="B751" s="45"/>
      <c r="C751" s="45">
        <f t="shared" si="172"/>
        <v>3158</v>
      </c>
      <c r="D751" s="45">
        <f t="shared" si="173"/>
        <v>5</v>
      </c>
      <c r="E751" s="45">
        <f t="shared" si="174"/>
        <v>2017</v>
      </c>
      <c r="F751" s="45">
        <f t="shared" si="177"/>
        <v>0</v>
      </c>
      <c r="G751" s="45" t="s">
        <v>448</v>
      </c>
      <c r="H751" s="45" t="s">
        <v>453</v>
      </c>
      <c r="I751" s="162" t="str">
        <f t="shared" si="178"/>
        <v/>
      </c>
      <c r="J751" s="112" t="s">
        <v>1213</v>
      </c>
    </row>
    <row r="752" spans="2:10" s="112" customFormat="1" hidden="1">
      <c r="B752" s="45"/>
      <c r="C752" s="45">
        <f t="shared" si="172"/>
        <v>3158</v>
      </c>
      <c r="D752" s="45">
        <f t="shared" si="173"/>
        <v>5</v>
      </c>
      <c r="E752" s="45">
        <f t="shared" si="174"/>
        <v>2017</v>
      </c>
      <c r="F752" s="45">
        <f t="shared" si="177"/>
        <v>0</v>
      </c>
      <c r="G752" s="45" t="s">
        <v>448</v>
      </c>
      <c r="H752" s="45" t="s">
        <v>454</v>
      </c>
      <c r="I752" s="162" t="str">
        <f t="shared" si="178"/>
        <v/>
      </c>
      <c r="J752" s="112" t="s">
        <v>1214</v>
      </c>
    </row>
    <row r="753" spans="2:10" s="112" customFormat="1" hidden="1">
      <c r="B753" s="45"/>
      <c r="C753" s="45">
        <f t="shared" si="172"/>
        <v>3158</v>
      </c>
      <c r="D753" s="45">
        <f t="shared" si="173"/>
        <v>5</v>
      </c>
      <c r="E753" s="45">
        <f t="shared" si="174"/>
        <v>2017</v>
      </c>
      <c r="F753" s="45">
        <f t="shared" si="177"/>
        <v>0</v>
      </c>
      <c r="G753" s="45" t="s">
        <v>448</v>
      </c>
      <c r="H753" s="45" t="s">
        <v>455</v>
      </c>
      <c r="I753" s="162" t="str">
        <f t="shared" si="178"/>
        <v/>
      </c>
      <c r="J753" s="112" t="s">
        <v>1215</v>
      </c>
    </row>
    <row r="754" spans="2:10" s="112" customFormat="1" hidden="1">
      <c r="B754" s="45"/>
      <c r="C754" s="45">
        <f t="shared" si="172"/>
        <v>3158</v>
      </c>
      <c r="D754" s="45">
        <f t="shared" si="173"/>
        <v>5</v>
      </c>
      <c r="E754" s="45">
        <f t="shared" si="174"/>
        <v>2017</v>
      </c>
      <c r="F754" s="45">
        <f t="shared" si="177"/>
        <v>0</v>
      </c>
      <c r="G754" s="45" t="s">
        <v>448</v>
      </c>
      <c r="H754" s="45" t="s">
        <v>456</v>
      </c>
      <c r="I754" s="162" t="str">
        <f t="shared" si="178"/>
        <v/>
      </c>
      <c r="J754" s="112" t="s">
        <v>1216</v>
      </c>
    </row>
    <row r="755" spans="2:10" s="112" customFormat="1" hidden="1">
      <c r="B755" s="45"/>
      <c r="C755" s="45">
        <f t="shared" si="172"/>
        <v>3158</v>
      </c>
      <c r="D755" s="45">
        <f t="shared" si="173"/>
        <v>5</v>
      </c>
      <c r="E755" s="45">
        <f t="shared" si="174"/>
        <v>2017</v>
      </c>
      <c r="F755" s="45">
        <f t="shared" si="177"/>
        <v>0</v>
      </c>
      <c r="G755" s="45" t="s">
        <v>448</v>
      </c>
      <c r="H755" s="45" t="s">
        <v>457</v>
      </c>
      <c r="I755" s="162" t="str">
        <f t="shared" si="178"/>
        <v/>
      </c>
      <c r="J755" s="112" t="s">
        <v>1217</v>
      </c>
    </row>
    <row r="756" spans="2:10" s="112" customFormat="1" hidden="1">
      <c r="B756" s="45"/>
      <c r="C756" s="45">
        <f t="shared" si="172"/>
        <v>3158</v>
      </c>
      <c r="D756" s="45">
        <f t="shared" si="173"/>
        <v>5</v>
      </c>
      <c r="E756" s="45">
        <f t="shared" si="174"/>
        <v>2017</v>
      </c>
      <c r="F756" s="45">
        <f t="shared" si="177"/>
        <v>0</v>
      </c>
      <c r="G756" s="45" t="s">
        <v>448</v>
      </c>
      <c r="H756" s="45" t="s">
        <v>458</v>
      </c>
      <c r="I756" s="162" t="str">
        <f t="shared" si="178"/>
        <v/>
      </c>
      <c r="J756" s="112" t="s">
        <v>1218</v>
      </c>
    </row>
    <row r="757" spans="2:10" s="112" customFormat="1" hidden="1">
      <c r="B757" s="45"/>
      <c r="C757" s="45">
        <f t="shared" si="172"/>
        <v>3158</v>
      </c>
      <c r="D757" s="45">
        <f t="shared" si="173"/>
        <v>5</v>
      </c>
      <c r="E757" s="45">
        <f t="shared" si="174"/>
        <v>2017</v>
      </c>
      <c r="F757" s="45">
        <f t="shared" si="177"/>
        <v>0</v>
      </c>
      <c r="G757" s="45" t="s">
        <v>448</v>
      </c>
      <c r="H757" s="45" t="s">
        <v>460</v>
      </c>
      <c r="I757" s="162" t="str">
        <f t="shared" si="178"/>
        <v/>
      </c>
      <c r="J757" s="112" t="s">
        <v>1219</v>
      </c>
    </row>
    <row r="758" spans="2:10" s="112" customFormat="1" hidden="1">
      <c r="B758" s="45"/>
      <c r="C758" s="45">
        <f t="shared" si="172"/>
        <v>3158</v>
      </c>
      <c r="D758" s="45">
        <f t="shared" si="173"/>
        <v>5</v>
      </c>
      <c r="E758" s="45">
        <f t="shared" si="174"/>
        <v>2017</v>
      </c>
      <c r="F758" s="45">
        <f t="shared" ref="F758:F768" si="179">BR$3</f>
        <v>0</v>
      </c>
      <c r="G758" s="45" t="s">
        <v>448</v>
      </c>
      <c r="H758" s="45" t="s">
        <v>449</v>
      </c>
      <c r="I758" s="162" t="str">
        <f t="shared" ref="I758:I768" si="180">IF(ISBLANK(BR4),"",BR4)</f>
        <v/>
      </c>
      <c r="J758" s="112" t="s">
        <v>1220</v>
      </c>
    </row>
    <row r="759" spans="2:10" s="112" customFormat="1" hidden="1">
      <c r="B759" s="45"/>
      <c r="C759" s="45">
        <f t="shared" si="172"/>
        <v>3158</v>
      </c>
      <c r="D759" s="45">
        <f t="shared" si="173"/>
        <v>5</v>
      </c>
      <c r="E759" s="45">
        <f t="shared" si="174"/>
        <v>2017</v>
      </c>
      <c r="F759" s="45">
        <f t="shared" si="179"/>
        <v>0</v>
      </c>
      <c r="G759" s="45" t="s">
        <v>448</v>
      </c>
      <c r="H759" s="45" t="s">
        <v>450</v>
      </c>
      <c r="I759" s="162" t="str">
        <f t="shared" si="180"/>
        <v/>
      </c>
      <c r="J759" s="112" t="s">
        <v>1221</v>
      </c>
    </row>
    <row r="760" spans="2:10" s="112" customFormat="1" hidden="1">
      <c r="B760" s="45"/>
      <c r="C760" s="45">
        <f t="shared" si="172"/>
        <v>3158</v>
      </c>
      <c r="D760" s="45">
        <f t="shared" si="173"/>
        <v>5</v>
      </c>
      <c r="E760" s="45">
        <f t="shared" si="174"/>
        <v>2017</v>
      </c>
      <c r="F760" s="45">
        <f t="shared" si="179"/>
        <v>0</v>
      </c>
      <c r="G760" s="45" t="s">
        <v>448</v>
      </c>
      <c r="H760" s="45" t="s">
        <v>451</v>
      </c>
      <c r="I760" s="162" t="str">
        <f t="shared" si="180"/>
        <v/>
      </c>
      <c r="J760" s="112" t="s">
        <v>1222</v>
      </c>
    </row>
    <row r="761" spans="2:10" s="112" customFormat="1" hidden="1">
      <c r="B761" s="45"/>
      <c r="C761" s="45">
        <f t="shared" si="172"/>
        <v>3158</v>
      </c>
      <c r="D761" s="45">
        <f t="shared" si="173"/>
        <v>5</v>
      </c>
      <c r="E761" s="45">
        <f t="shared" si="174"/>
        <v>2017</v>
      </c>
      <c r="F761" s="45">
        <f t="shared" si="179"/>
        <v>0</v>
      </c>
      <c r="G761" s="45" t="s">
        <v>448</v>
      </c>
      <c r="H761" s="45" t="s">
        <v>452</v>
      </c>
      <c r="I761" s="162" t="str">
        <f t="shared" si="180"/>
        <v/>
      </c>
      <c r="J761" s="112" t="s">
        <v>1223</v>
      </c>
    </row>
    <row r="762" spans="2:10" s="112" customFormat="1" hidden="1">
      <c r="B762" s="45"/>
      <c r="C762" s="45">
        <f t="shared" si="172"/>
        <v>3158</v>
      </c>
      <c r="D762" s="45">
        <f t="shared" si="173"/>
        <v>5</v>
      </c>
      <c r="E762" s="45">
        <f t="shared" si="174"/>
        <v>2017</v>
      </c>
      <c r="F762" s="45">
        <f t="shared" si="179"/>
        <v>0</v>
      </c>
      <c r="G762" s="45" t="s">
        <v>448</v>
      </c>
      <c r="H762" s="45" t="s">
        <v>453</v>
      </c>
      <c r="I762" s="162" t="str">
        <f t="shared" si="180"/>
        <v/>
      </c>
      <c r="J762" s="112" t="s">
        <v>1224</v>
      </c>
    </row>
    <row r="763" spans="2:10" s="112" customFormat="1" hidden="1">
      <c r="B763" s="45"/>
      <c r="C763" s="45">
        <f t="shared" si="172"/>
        <v>3158</v>
      </c>
      <c r="D763" s="45">
        <f t="shared" si="173"/>
        <v>5</v>
      </c>
      <c r="E763" s="45">
        <f t="shared" si="174"/>
        <v>2017</v>
      </c>
      <c r="F763" s="45">
        <f t="shared" si="179"/>
        <v>0</v>
      </c>
      <c r="G763" s="45" t="s">
        <v>448</v>
      </c>
      <c r="H763" s="45" t="s">
        <v>454</v>
      </c>
      <c r="I763" s="162" t="str">
        <f t="shared" si="180"/>
        <v/>
      </c>
      <c r="J763" s="112" t="s">
        <v>1225</v>
      </c>
    </row>
    <row r="764" spans="2:10" s="112" customFormat="1" hidden="1">
      <c r="B764" s="45"/>
      <c r="C764" s="45">
        <f t="shared" si="172"/>
        <v>3158</v>
      </c>
      <c r="D764" s="45">
        <f t="shared" si="173"/>
        <v>5</v>
      </c>
      <c r="E764" s="45">
        <f t="shared" si="174"/>
        <v>2017</v>
      </c>
      <c r="F764" s="45">
        <f t="shared" si="179"/>
        <v>0</v>
      </c>
      <c r="G764" s="45" t="s">
        <v>448</v>
      </c>
      <c r="H764" s="45" t="s">
        <v>455</v>
      </c>
      <c r="I764" s="162" t="str">
        <f t="shared" si="180"/>
        <v/>
      </c>
      <c r="J764" s="112" t="s">
        <v>1226</v>
      </c>
    </row>
    <row r="765" spans="2:10" s="112" customFormat="1" hidden="1">
      <c r="B765" s="45"/>
      <c r="C765" s="45">
        <f t="shared" si="172"/>
        <v>3158</v>
      </c>
      <c r="D765" s="45">
        <f t="shared" si="173"/>
        <v>5</v>
      </c>
      <c r="E765" s="45">
        <f t="shared" si="174"/>
        <v>2017</v>
      </c>
      <c r="F765" s="45">
        <f t="shared" si="179"/>
        <v>0</v>
      </c>
      <c r="G765" s="45" t="s">
        <v>448</v>
      </c>
      <c r="H765" s="45" t="s">
        <v>456</v>
      </c>
      <c r="I765" s="162" t="str">
        <f t="shared" si="180"/>
        <v/>
      </c>
      <c r="J765" s="112" t="s">
        <v>1227</v>
      </c>
    </row>
    <row r="766" spans="2:10" s="112" customFormat="1" hidden="1">
      <c r="B766" s="45"/>
      <c r="C766" s="45">
        <f t="shared" si="172"/>
        <v>3158</v>
      </c>
      <c r="D766" s="45">
        <f t="shared" si="173"/>
        <v>5</v>
      </c>
      <c r="E766" s="45">
        <f t="shared" si="174"/>
        <v>2017</v>
      </c>
      <c r="F766" s="45">
        <f t="shared" si="179"/>
        <v>0</v>
      </c>
      <c r="G766" s="45" t="s">
        <v>448</v>
      </c>
      <c r="H766" s="45" t="s">
        <v>457</v>
      </c>
      <c r="I766" s="162" t="str">
        <f t="shared" si="180"/>
        <v/>
      </c>
      <c r="J766" s="112" t="s">
        <v>1228</v>
      </c>
    </row>
    <row r="767" spans="2:10" s="112" customFormat="1" hidden="1">
      <c r="B767" s="45"/>
      <c r="C767" s="45">
        <f t="shared" si="172"/>
        <v>3158</v>
      </c>
      <c r="D767" s="45">
        <f t="shared" si="173"/>
        <v>5</v>
      </c>
      <c r="E767" s="45">
        <f t="shared" si="174"/>
        <v>2017</v>
      </c>
      <c r="F767" s="45">
        <f t="shared" si="179"/>
        <v>0</v>
      </c>
      <c r="G767" s="45" t="s">
        <v>448</v>
      </c>
      <c r="H767" s="45" t="s">
        <v>458</v>
      </c>
      <c r="I767" s="162" t="str">
        <f t="shared" si="180"/>
        <v/>
      </c>
      <c r="J767" s="112" t="s">
        <v>1229</v>
      </c>
    </row>
    <row r="768" spans="2:10" s="112" customFormat="1" hidden="1">
      <c r="B768" s="45"/>
      <c r="C768" s="45">
        <f t="shared" si="172"/>
        <v>3158</v>
      </c>
      <c r="D768" s="45">
        <f t="shared" si="173"/>
        <v>5</v>
      </c>
      <c r="E768" s="45">
        <f t="shared" si="174"/>
        <v>2017</v>
      </c>
      <c r="F768" s="45">
        <f t="shared" si="179"/>
        <v>0</v>
      </c>
      <c r="G768" s="45" t="s">
        <v>448</v>
      </c>
      <c r="H768" s="45" t="s">
        <v>460</v>
      </c>
      <c r="I768" s="162" t="str">
        <f t="shared" si="180"/>
        <v/>
      </c>
      <c r="J768" s="112" t="s">
        <v>1230</v>
      </c>
    </row>
    <row r="769" spans="2:10" s="112" customFormat="1" hidden="1">
      <c r="B769" s="45"/>
      <c r="C769" s="45">
        <f t="shared" si="172"/>
        <v>3158</v>
      </c>
      <c r="D769" s="45">
        <f t="shared" si="173"/>
        <v>5</v>
      </c>
      <c r="E769" s="45">
        <f t="shared" si="174"/>
        <v>2017</v>
      </c>
      <c r="F769" s="45">
        <f t="shared" ref="F769:F779" si="181">BS$3</f>
        <v>0</v>
      </c>
      <c r="G769" s="45" t="s">
        <v>448</v>
      </c>
      <c r="H769" s="45" t="s">
        <v>449</v>
      </c>
      <c r="I769" s="162" t="str">
        <f t="shared" ref="I769:I779" si="182">IF(ISBLANK(BS4),"",BS4)</f>
        <v/>
      </c>
      <c r="J769" s="112" t="s">
        <v>1231</v>
      </c>
    </row>
    <row r="770" spans="2:10" s="112" customFormat="1" hidden="1">
      <c r="B770" s="45"/>
      <c r="C770" s="45">
        <f t="shared" si="172"/>
        <v>3158</v>
      </c>
      <c r="D770" s="45">
        <f t="shared" si="173"/>
        <v>5</v>
      </c>
      <c r="E770" s="45">
        <f t="shared" si="174"/>
        <v>2017</v>
      </c>
      <c r="F770" s="45">
        <f t="shared" si="181"/>
        <v>0</v>
      </c>
      <c r="G770" s="45" t="s">
        <v>448</v>
      </c>
      <c r="H770" s="45" t="s">
        <v>450</v>
      </c>
      <c r="I770" s="162" t="str">
        <f t="shared" si="182"/>
        <v/>
      </c>
      <c r="J770" s="112" t="s">
        <v>1232</v>
      </c>
    </row>
    <row r="771" spans="2:10" s="112" customFormat="1" hidden="1">
      <c r="B771" s="45"/>
      <c r="C771" s="45">
        <f t="shared" si="172"/>
        <v>3158</v>
      </c>
      <c r="D771" s="45">
        <f t="shared" si="173"/>
        <v>5</v>
      </c>
      <c r="E771" s="45">
        <f t="shared" si="174"/>
        <v>2017</v>
      </c>
      <c r="F771" s="45">
        <f t="shared" si="181"/>
        <v>0</v>
      </c>
      <c r="G771" s="45" t="s">
        <v>448</v>
      </c>
      <c r="H771" s="45" t="s">
        <v>451</v>
      </c>
      <c r="I771" s="162" t="str">
        <f t="shared" si="182"/>
        <v/>
      </c>
      <c r="J771" s="112" t="s">
        <v>1233</v>
      </c>
    </row>
    <row r="772" spans="2:10" s="112" customFormat="1" hidden="1">
      <c r="B772" s="45"/>
      <c r="C772" s="45">
        <f t="shared" si="172"/>
        <v>3158</v>
      </c>
      <c r="D772" s="45">
        <f t="shared" si="173"/>
        <v>5</v>
      </c>
      <c r="E772" s="45">
        <f t="shared" si="174"/>
        <v>2017</v>
      </c>
      <c r="F772" s="45">
        <f t="shared" si="181"/>
        <v>0</v>
      </c>
      <c r="G772" s="45" t="s">
        <v>448</v>
      </c>
      <c r="H772" s="45" t="s">
        <v>452</v>
      </c>
      <c r="I772" s="162" t="str">
        <f t="shared" si="182"/>
        <v/>
      </c>
      <c r="J772" s="112" t="s">
        <v>1234</v>
      </c>
    </row>
    <row r="773" spans="2:10" s="112" customFormat="1" hidden="1">
      <c r="B773" s="45"/>
      <c r="C773" s="45">
        <f t="shared" si="172"/>
        <v>3158</v>
      </c>
      <c r="D773" s="45">
        <f t="shared" si="173"/>
        <v>5</v>
      </c>
      <c r="E773" s="45">
        <f t="shared" si="174"/>
        <v>2017</v>
      </c>
      <c r="F773" s="45">
        <f t="shared" si="181"/>
        <v>0</v>
      </c>
      <c r="G773" s="45" t="s">
        <v>448</v>
      </c>
      <c r="H773" s="45" t="s">
        <v>453</v>
      </c>
      <c r="I773" s="162" t="str">
        <f t="shared" si="182"/>
        <v/>
      </c>
      <c r="J773" s="112" t="s">
        <v>1235</v>
      </c>
    </row>
    <row r="774" spans="2:10" s="112" customFormat="1" hidden="1">
      <c r="B774" s="45"/>
      <c r="C774" s="45">
        <f t="shared" si="172"/>
        <v>3158</v>
      </c>
      <c r="D774" s="45">
        <f t="shared" si="173"/>
        <v>5</v>
      </c>
      <c r="E774" s="45">
        <f t="shared" si="174"/>
        <v>2017</v>
      </c>
      <c r="F774" s="45">
        <f t="shared" si="181"/>
        <v>0</v>
      </c>
      <c r="G774" s="45" t="s">
        <v>448</v>
      </c>
      <c r="H774" s="45" t="s">
        <v>454</v>
      </c>
      <c r="I774" s="162" t="str">
        <f t="shared" si="182"/>
        <v/>
      </c>
      <c r="J774" s="112" t="s">
        <v>1236</v>
      </c>
    </row>
    <row r="775" spans="2:10" s="112" customFormat="1" hidden="1">
      <c r="B775" s="45"/>
      <c r="C775" s="45">
        <f t="shared" si="172"/>
        <v>3158</v>
      </c>
      <c r="D775" s="45">
        <f t="shared" si="173"/>
        <v>5</v>
      </c>
      <c r="E775" s="45">
        <f t="shared" si="174"/>
        <v>2017</v>
      </c>
      <c r="F775" s="45">
        <f t="shared" si="181"/>
        <v>0</v>
      </c>
      <c r="G775" s="45" t="s">
        <v>448</v>
      </c>
      <c r="H775" s="45" t="s">
        <v>455</v>
      </c>
      <c r="I775" s="162" t="str">
        <f t="shared" si="182"/>
        <v/>
      </c>
      <c r="J775" s="112" t="s">
        <v>1237</v>
      </c>
    </row>
    <row r="776" spans="2:10" s="112" customFormat="1" hidden="1">
      <c r="B776" s="45"/>
      <c r="C776" s="45">
        <f t="shared" si="172"/>
        <v>3158</v>
      </c>
      <c r="D776" s="45">
        <f t="shared" si="173"/>
        <v>5</v>
      </c>
      <c r="E776" s="45">
        <f t="shared" si="174"/>
        <v>2017</v>
      </c>
      <c r="F776" s="45">
        <f t="shared" si="181"/>
        <v>0</v>
      </c>
      <c r="G776" s="45" t="s">
        <v>448</v>
      </c>
      <c r="H776" s="45" t="s">
        <v>456</v>
      </c>
      <c r="I776" s="162" t="str">
        <f t="shared" si="182"/>
        <v/>
      </c>
      <c r="J776" s="112" t="s">
        <v>1238</v>
      </c>
    </row>
    <row r="777" spans="2:10" s="112" customFormat="1" hidden="1">
      <c r="B777" s="45"/>
      <c r="C777" s="45">
        <f t="shared" si="172"/>
        <v>3158</v>
      </c>
      <c r="D777" s="45">
        <f t="shared" si="173"/>
        <v>5</v>
      </c>
      <c r="E777" s="45">
        <f t="shared" si="174"/>
        <v>2017</v>
      </c>
      <c r="F777" s="45">
        <f t="shared" si="181"/>
        <v>0</v>
      </c>
      <c r="G777" s="45" t="s">
        <v>448</v>
      </c>
      <c r="H777" s="45" t="s">
        <v>457</v>
      </c>
      <c r="I777" s="162" t="str">
        <f t="shared" si="182"/>
        <v/>
      </c>
      <c r="J777" s="112" t="s">
        <v>1239</v>
      </c>
    </row>
    <row r="778" spans="2:10" s="112" customFormat="1" hidden="1">
      <c r="B778" s="45"/>
      <c r="C778" s="45">
        <f t="shared" si="172"/>
        <v>3158</v>
      </c>
      <c r="D778" s="45">
        <f t="shared" si="173"/>
        <v>5</v>
      </c>
      <c r="E778" s="45">
        <f t="shared" si="174"/>
        <v>2017</v>
      </c>
      <c r="F778" s="45">
        <f t="shared" si="181"/>
        <v>0</v>
      </c>
      <c r="G778" s="45" t="s">
        <v>448</v>
      </c>
      <c r="H778" s="45" t="s">
        <v>458</v>
      </c>
      <c r="I778" s="162" t="str">
        <f t="shared" si="182"/>
        <v/>
      </c>
      <c r="J778" s="112" t="s">
        <v>1240</v>
      </c>
    </row>
    <row r="779" spans="2:10" s="112" customFormat="1" hidden="1">
      <c r="B779" s="45"/>
      <c r="C779" s="45">
        <f t="shared" si="172"/>
        <v>3158</v>
      </c>
      <c r="D779" s="45">
        <f t="shared" si="173"/>
        <v>5</v>
      </c>
      <c r="E779" s="45">
        <f t="shared" si="174"/>
        <v>2017</v>
      </c>
      <c r="F779" s="45">
        <f t="shared" si="181"/>
        <v>0</v>
      </c>
      <c r="G779" s="45" t="s">
        <v>448</v>
      </c>
      <c r="H779" s="45" t="s">
        <v>460</v>
      </c>
      <c r="I779" s="162" t="str">
        <f t="shared" si="182"/>
        <v/>
      </c>
      <c r="J779" s="112" t="s">
        <v>1241</v>
      </c>
    </row>
    <row r="780" spans="2:10" s="112" customFormat="1" hidden="1">
      <c r="B780" s="45"/>
      <c r="C780" s="45">
        <f t="shared" si="172"/>
        <v>3158</v>
      </c>
      <c r="D780" s="45">
        <f t="shared" si="173"/>
        <v>5</v>
      </c>
      <c r="E780" s="45">
        <f t="shared" si="174"/>
        <v>2017</v>
      </c>
      <c r="F780" s="45">
        <f t="shared" ref="F780:F790" si="183">BT$3</f>
        <v>0</v>
      </c>
      <c r="G780" s="45" t="s">
        <v>448</v>
      </c>
      <c r="H780" s="45" t="s">
        <v>449</v>
      </c>
      <c r="I780" s="162" t="str">
        <f t="shared" ref="I780:I790" si="184">IF(ISBLANK(BT4),"",BT4)</f>
        <v/>
      </c>
      <c r="J780" s="112" t="s">
        <v>1242</v>
      </c>
    </row>
    <row r="781" spans="2:10" s="112" customFormat="1" hidden="1">
      <c r="B781" s="45"/>
      <c r="C781" s="45">
        <f t="shared" si="172"/>
        <v>3158</v>
      </c>
      <c r="D781" s="45">
        <f t="shared" si="173"/>
        <v>5</v>
      </c>
      <c r="E781" s="45">
        <f t="shared" si="174"/>
        <v>2017</v>
      </c>
      <c r="F781" s="45">
        <f t="shared" si="183"/>
        <v>0</v>
      </c>
      <c r="G781" s="45" t="s">
        <v>448</v>
      </c>
      <c r="H781" s="45" t="s">
        <v>450</v>
      </c>
      <c r="I781" s="162" t="str">
        <f t="shared" si="184"/>
        <v/>
      </c>
      <c r="J781" s="112" t="s">
        <v>1243</v>
      </c>
    </row>
    <row r="782" spans="2:10" s="112" customFormat="1" hidden="1">
      <c r="B782" s="45"/>
      <c r="C782" s="45">
        <f t="shared" si="172"/>
        <v>3158</v>
      </c>
      <c r="D782" s="45">
        <f t="shared" si="173"/>
        <v>5</v>
      </c>
      <c r="E782" s="45">
        <f t="shared" si="174"/>
        <v>2017</v>
      </c>
      <c r="F782" s="45">
        <f t="shared" si="183"/>
        <v>0</v>
      </c>
      <c r="G782" s="45" t="s">
        <v>448</v>
      </c>
      <c r="H782" s="45" t="s">
        <v>451</v>
      </c>
      <c r="I782" s="162" t="str">
        <f t="shared" si="184"/>
        <v/>
      </c>
      <c r="J782" s="112" t="s">
        <v>1244</v>
      </c>
    </row>
    <row r="783" spans="2:10" s="112" customFormat="1" hidden="1">
      <c r="B783" s="45"/>
      <c r="C783" s="45">
        <f t="shared" si="172"/>
        <v>3158</v>
      </c>
      <c r="D783" s="45">
        <f t="shared" si="173"/>
        <v>5</v>
      </c>
      <c r="E783" s="45">
        <f t="shared" si="174"/>
        <v>2017</v>
      </c>
      <c r="F783" s="45">
        <f t="shared" si="183"/>
        <v>0</v>
      </c>
      <c r="G783" s="45" t="s">
        <v>448</v>
      </c>
      <c r="H783" s="45" t="s">
        <v>452</v>
      </c>
      <c r="I783" s="162" t="str">
        <f t="shared" si="184"/>
        <v/>
      </c>
      <c r="J783" s="112" t="s">
        <v>1245</v>
      </c>
    </row>
    <row r="784" spans="2:10" s="112" customFormat="1" hidden="1">
      <c r="B784" s="45"/>
      <c r="C784" s="45">
        <f t="shared" si="172"/>
        <v>3158</v>
      </c>
      <c r="D784" s="45">
        <f t="shared" si="173"/>
        <v>5</v>
      </c>
      <c r="E784" s="45">
        <f t="shared" si="174"/>
        <v>2017</v>
      </c>
      <c r="F784" s="45">
        <f t="shared" si="183"/>
        <v>0</v>
      </c>
      <c r="G784" s="45" t="s">
        <v>448</v>
      </c>
      <c r="H784" s="45" t="s">
        <v>453</v>
      </c>
      <c r="I784" s="162" t="str">
        <f t="shared" si="184"/>
        <v/>
      </c>
      <c r="J784" s="112" t="s">
        <v>1246</v>
      </c>
    </row>
    <row r="785" spans="2:10" s="112" customFormat="1" hidden="1">
      <c r="B785" s="45"/>
      <c r="C785" s="45">
        <f t="shared" si="172"/>
        <v>3158</v>
      </c>
      <c r="D785" s="45">
        <f t="shared" si="173"/>
        <v>5</v>
      </c>
      <c r="E785" s="45">
        <f t="shared" si="174"/>
        <v>2017</v>
      </c>
      <c r="F785" s="45">
        <f t="shared" si="183"/>
        <v>0</v>
      </c>
      <c r="G785" s="45" t="s">
        <v>448</v>
      </c>
      <c r="H785" s="45" t="s">
        <v>454</v>
      </c>
      <c r="I785" s="162" t="str">
        <f t="shared" si="184"/>
        <v/>
      </c>
      <c r="J785" s="112" t="s">
        <v>1247</v>
      </c>
    </row>
    <row r="786" spans="2:10" s="112" customFormat="1" hidden="1">
      <c r="B786" s="45"/>
      <c r="C786" s="45">
        <f t="shared" si="172"/>
        <v>3158</v>
      </c>
      <c r="D786" s="45">
        <f t="shared" si="173"/>
        <v>5</v>
      </c>
      <c r="E786" s="45">
        <f t="shared" si="174"/>
        <v>2017</v>
      </c>
      <c r="F786" s="45">
        <f t="shared" si="183"/>
        <v>0</v>
      </c>
      <c r="G786" s="45" t="s">
        <v>448</v>
      </c>
      <c r="H786" s="45" t="s">
        <v>455</v>
      </c>
      <c r="I786" s="162" t="str">
        <f t="shared" si="184"/>
        <v/>
      </c>
      <c r="J786" s="112" t="s">
        <v>1248</v>
      </c>
    </row>
    <row r="787" spans="2:10" s="112" customFormat="1" hidden="1">
      <c r="B787" s="45"/>
      <c r="C787" s="45">
        <f t="shared" si="172"/>
        <v>3158</v>
      </c>
      <c r="D787" s="45">
        <f t="shared" si="173"/>
        <v>5</v>
      </c>
      <c r="E787" s="45">
        <f t="shared" si="174"/>
        <v>2017</v>
      </c>
      <c r="F787" s="45">
        <f t="shared" si="183"/>
        <v>0</v>
      </c>
      <c r="G787" s="45" t="s">
        <v>448</v>
      </c>
      <c r="H787" s="45" t="s">
        <v>456</v>
      </c>
      <c r="I787" s="162" t="str">
        <f t="shared" si="184"/>
        <v/>
      </c>
      <c r="J787" s="112" t="s">
        <v>1249</v>
      </c>
    </row>
    <row r="788" spans="2:10" s="112" customFormat="1" hidden="1">
      <c r="B788" s="45"/>
      <c r="C788" s="45">
        <f t="shared" si="172"/>
        <v>3158</v>
      </c>
      <c r="D788" s="45">
        <f t="shared" si="173"/>
        <v>5</v>
      </c>
      <c r="E788" s="45">
        <f t="shared" si="174"/>
        <v>2017</v>
      </c>
      <c r="F788" s="45">
        <f t="shared" si="183"/>
        <v>0</v>
      </c>
      <c r="G788" s="45" t="s">
        <v>448</v>
      </c>
      <c r="H788" s="45" t="s">
        <v>457</v>
      </c>
      <c r="I788" s="162" t="str">
        <f t="shared" si="184"/>
        <v/>
      </c>
      <c r="J788" s="112" t="s">
        <v>1250</v>
      </c>
    </row>
    <row r="789" spans="2:10" s="112" customFormat="1" hidden="1">
      <c r="B789" s="45"/>
      <c r="C789" s="45">
        <f t="shared" si="172"/>
        <v>3158</v>
      </c>
      <c r="D789" s="45">
        <f t="shared" si="173"/>
        <v>5</v>
      </c>
      <c r="E789" s="45">
        <f t="shared" si="174"/>
        <v>2017</v>
      </c>
      <c r="F789" s="45">
        <f t="shared" si="183"/>
        <v>0</v>
      </c>
      <c r="G789" s="45" t="s">
        <v>448</v>
      </c>
      <c r="H789" s="45" t="s">
        <v>458</v>
      </c>
      <c r="I789" s="162" t="str">
        <f t="shared" si="184"/>
        <v/>
      </c>
      <c r="J789" s="112" t="s">
        <v>1251</v>
      </c>
    </row>
    <row r="790" spans="2:10" s="112" customFormat="1" hidden="1">
      <c r="B790" s="45"/>
      <c r="C790" s="45">
        <f t="shared" ref="C790:C853" si="185">H$1</f>
        <v>3158</v>
      </c>
      <c r="D790" s="45">
        <f t="shared" ref="D790:D853" si="186">K$1</f>
        <v>5</v>
      </c>
      <c r="E790" s="45">
        <f t="shared" si="174"/>
        <v>2017</v>
      </c>
      <c r="F790" s="45">
        <f t="shared" si="183"/>
        <v>0</v>
      </c>
      <c r="G790" s="45" t="s">
        <v>448</v>
      </c>
      <c r="H790" s="45" t="s">
        <v>460</v>
      </c>
      <c r="I790" s="162" t="str">
        <f t="shared" si="184"/>
        <v/>
      </c>
      <c r="J790" s="112" t="s">
        <v>1252</v>
      </c>
    </row>
    <row r="791" spans="2:10" s="112" customFormat="1" hidden="1">
      <c r="B791" s="45"/>
      <c r="C791" s="45">
        <f t="shared" si="185"/>
        <v>3158</v>
      </c>
      <c r="D791" s="45">
        <f t="shared" si="186"/>
        <v>5</v>
      </c>
      <c r="E791" s="45">
        <f t="shared" si="174"/>
        <v>2017</v>
      </c>
      <c r="F791" s="45">
        <f t="shared" ref="F791:F801" si="187">BU$3</f>
        <v>0</v>
      </c>
      <c r="G791" s="45" t="s">
        <v>448</v>
      </c>
      <c r="H791" s="45" t="s">
        <v>449</v>
      </c>
      <c r="I791" s="162" t="str">
        <f t="shared" ref="I791:I801" si="188">IF(ISBLANK(BU4),"",BU4)</f>
        <v/>
      </c>
      <c r="J791" s="112" t="s">
        <v>1253</v>
      </c>
    </row>
    <row r="792" spans="2:10" s="112" customFormat="1" hidden="1">
      <c r="B792" s="45"/>
      <c r="C792" s="45">
        <f t="shared" si="185"/>
        <v>3158</v>
      </c>
      <c r="D792" s="45">
        <f t="shared" si="186"/>
        <v>5</v>
      </c>
      <c r="E792" s="45">
        <f t="shared" ref="E792:E855" si="189">D$1</f>
        <v>2017</v>
      </c>
      <c r="F792" s="45">
        <f t="shared" si="187"/>
        <v>0</v>
      </c>
      <c r="G792" s="45" t="s">
        <v>448</v>
      </c>
      <c r="H792" s="45" t="s">
        <v>450</v>
      </c>
      <c r="I792" s="162" t="str">
        <f t="shared" si="188"/>
        <v/>
      </c>
      <c r="J792" s="112" t="s">
        <v>1254</v>
      </c>
    </row>
    <row r="793" spans="2:10" s="112" customFormat="1" hidden="1">
      <c r="B793" s="45"/>
      <c r="C793" s="45">
        <f t="shared" si="185"/>
        <v>3158</v>
      </c>
      <c r="D793" s="45">
        <f t="shared" si="186"/>
        <v>5</v>
      </c>
      <c r="E793" s="45">
        <f t="shared" si="189"/>
        <v>2017</v>
      </c>
      <c r="F793" s="45">
        <f t="shared" si="187"/>
        <v>0</v>
      </c>
      <c r="G793" s="45" t="s">
        <v>448</v>
      </c>
      <c r="H793" s="45" t="s">
        <v>451</v>
      </c>
      <c r="I793" s="162" t="str">
        <f t="shared" si="188"/>
        <v/>
      </c>
      <c r="J793" s="112" t="s">
        <v>1255</v>
      </c>
    </row>
    <row r="794" spans="2:10" s="112" customFormat="1" hidden="1">
      <c r="B794" s="45"/>
      <c r="C794" s="45">
        <f t="shared" si="185"/>
        <v>3158</v>
      </c>
      <c r="D794" s="45">
        <f t="shared" si="186"/>
        <v>5</v>
      </c>
      <c r="E794" s="45">
        <f t="shared" si="189"/>
        <v>2017</v>
      </c>
      <c r="F794" s="45">
        <f t="shared" si="187"/>
        <v>0</v>
      </c>
      <c r="G794" s="45" t="s">
        <v>448</v>
      </c>
      <c r="H794" s="45" t="s">
        <v>452</v>
      </c>
      <c r="I794" s="162" t="str">
        <f t="shared" si="188"/>
        <v/>
      </c>
      <c r="J794" s="112" t="s">
        <v>1256</v>
      </c>
    </row>
    <row r="795" spans="2:10" s="112" customFormat="1" hidden="1">
      <c r="B795" s="45"/>
      <c r="C795" s="45">
        <f t="shared" si="185"/>
        <v>3158</v>
      </c>
      <c r="D795" s="45">
        <f t="shared" si="186"/>
        <v>5</v>
      </c>
      <c r="E795" s="45">
        <f t="shared" si="189"/>
        <v>2017</v>
      </c>
      <c r="F795" s="45">
        <f t="shared" si="187"/>
        <v>0</v>
      </c>
      <c r="G795" s="45" t="s">
        <v>448</v>
      </c>
      <c r="H795" s="45" t="s">
        <v>453</v>
      </c>
      <c r="I795" s="162" t="str">
        <f t="shared" si="188"/>
        <v/>
      </c>
      <c r="J795" s="112" t="s">
        <v>1257</v>
      </c>
    </row>
    <row r="796" spans="2:10" s="112" customFormat="1" hidden="1">
      <c r="B796" s="45"/>
      <c r="C796" s="45">
        <f t="shared" si="185"/>
        <v>3158</v>
      </c>
      <c r="D796" s="45">
        <f t="shared" si="186"/>
        <v>5</v>
      </c>
      <c r="E796" s="45">
        <f t="shared" si="189"/>
        <v>2017</v>
      </c>
      <c r="F796" s="45">
        <f t="shared" si="187"/>
        <v>0</v>
      </c>
      <c r="G796" s="45" t="s">
        <v>448</v>
      </c>
      <c r="H796" s="45" t="s">
        <v>454</v>
      </c>
      <c r="I796" s="162" t="str">
        <f t="shared" si="188"/>
        <v/>
      </c>
      <c r="J796" s="112" t="s">
        <v>1258</v>
      </c>
    </row>
    <row r="797" spans="2:10" s="112" customFormat="1" hidden="1">
      <c r="B797" s="45"/>
      <c r="C797" s="45">
        <f t="shared" si="185"/>
        <v>3158</v>
      </c>
      <c r="D797" s="45">
        <f t="shared" si="186"/>
        <v>5</v>
      </c>
      <c r="E797" s="45">
        <f t="shared" si="189"/>
        <v>2017</v>
      </c>
      <c r="F797" s="45">
        <f t="shared" si="187"/>
        <v>0</v>
      </c>
      <c r="G797" s="45" t="s">
        <v>448</v>
      </c>
      <c r="H797" s="45" t="s">
        <v>455</v>
      </c>
      <c r="I797" s="162" t="str">
        <f t="shared" si="188"/>
        <v/>
      </c>
      <c r="J797" s="112" t="s">
        <v>1259</v>
      </c>
    </row>
    <row r="798" spans="2:10" s="112" customFormat="1" hidden="1">
      <c r="B798" s="45"/>
      <c r="C798" s="45">
        <f t="shared" si="185"/>
        <v>3158</v>
      </c>
      <c r="D798" s="45">
        <f t="shared" si="186"/>
        <v>5</v>
      </c>
      <c r="E798" s="45">
        <f t="shared" si="189"/>
        <v>2017</v>
      </c>
      <c r="F798" s="45">
        <f t="shared" si="187"/>
        <v>0</v>
      </c>
      <c r="G798" s="45" t="s">
        <v>448</v>
      </c>
      <c r="H798" s="45" t="s">
        <v>456</v>
      </c>
      <c r="I798" s="162" t="str">
        <f t="shared" si="188"/>
        <v/>
      </c>
      <c r="J798" s="112" t="s">
        <v>1260</v>
      </c>
    </row>
    <row r="799" spans="2:10" s="112" customFormat="1" hidden="1">
      <c r="B799" s="45"/>
      <c r="C799" s="45">
        <f t="shared" si="185"/>
        <v>3158</v>
      </c>
      <c r="D799" s="45">
        <f t="shared" si="186"/>
        <v>5</v>
      </c>
      <c r="E799" s="45">
        <f t="shared" si="189"/>
        <v>2017</v>
      </c>
      <c r="F799" s="45">
        <f t="shared" si="187"/>
        <v>0</v>
      </c>
      <c r="G799" s="45" t="s">
        <v>448</v>
      </c>
      <c r="H799" s="45" t="s">
        <v>457</v>
      </c>
      <c r="I799" s="162" t="str">
        <f t="shared" si="188"/>
        <v/>
      </c>
      <c r="J799" s="112" t="s">
        <v>1261</v>
      </c>
    </row>
    <row r="800" spans="2:10" s="112" customFormat="1" hidden="1">
      <c r="B800" s="45"/>
      <c r="C800" s="45">
        <f t="shared" si="185"/>
        <v>3158</v>
      </c>
      <c r="D800" s="45">
        <f t="shared" si="186"/>
        <v>5</v>
      </c>
      <c r="E800" s="45">
        <f t="shared" si="189"/>
        <v>2017</v>
      </c>
      <c r="F800" s="45">
        <f t="shared" si="187"/>
        <v>0</v>
      </c>
      <c r="G800" s="45" t="s">
        <v>448</v>
      </c>
      <c r="H800" s="45" t="s">
        <v>458</v>
      </c>
      <c r="I800" s="162" t="str">
        <f t="shared" si="188"/>
        <v/>
      </c>
      <c r="J800" s="112" t="s">
        <v>1262</v>
      </c>
    </row>
    <row r="801" spans="2:10" s="112" customFormat="1" hidden="1">
      <c r="B801" s="45"/>
      <c r="C801" s="45">
        <f t="shared" si="185"/>
        <v>3158</v>
      </c>
      <c r="D801" s="45">
        <f t="shared" si="186"/>
        <v>5</v>
      </c>
      <c r="E801" s="45">
        <f t="shared" si="189"/>
        <v>2017</v>
      </c>
      <c r="F801" s="45">
        <f t="shared" si="187"/>
        <v>0</v>
      </c>
      <c r="G801" s="45" t="s">
        <v>448</v>
      </c>
      <c r="H801" s="45" t="s">
        <v>460</v>
      </c>
      <c r="I801" s="162" t="str">
        <f t="shared" si="188"/>
        <v/>
      </c>
      <c r="J801" s="112" t="s">
        <v>1263</v>
      </c>
    </row>
    <row r="802" spans="2:10" s="112" customFormat="1" hidden="1">
      <c r="B802" s="45"/>
      <c r="C802" s="45">
        <f t="shared" si="185"/>
        <v>3158</v>
      </c>
      <c r="D802" s="45">
        <f t="shared" si="186"/>
        <v>5</v>
      </c>
      <c r="E802" s="45">
        <f t="shared" si="189"/>
        <v>2017</v>
      </c>
      <c r="F802" s="45">
        <f t="shared" ref="F802:F812" si="190">BV$3</f>
        <v>0</v>
      </c>
      <c r="G802" s="45" t="s">
        <v>448</v>
      </c>
      <c r="H802" s="45" t="s">
        <v>449</v>
      </c>
      <c r="I802" s="162" t="str">
        <f t="shared" ref="I802:I812" si="191">IF(ISBLANK(BV4),"",BV4)</f>
        <v/>
      </c>
      <c r="J802" s="112" t="s">
        <v>1264</v>
      </c>
    </row>
    <row r="803" spans="2:10" s="112" customFormat="1" hidden="1">
      <c r="B803" s="45"/>
      <c r="C803" s="45">
        <f t="shared" si="185"/>
        <v>3158</v>
      </c>
      <c r="D803" s="45">
        <f t="shared" si="186"/>
        <v>5</v>
      </c>
      <c r="E803" s="45">
        <f t="shared" si="189"/>
        <v>2017</v>
      </c>
      <c r="F803" s="45">
        <f t="shared" si="190"/>
        <v>0</v>
      </c>
      <c r="G803" s="45" t="s">
        <v>448</v>
      </c>
      <c r="H803" s="45" t="s">
        <v>450</v>
      </c>
      <c r="I803" s="162" t="str">
        <f t="shared" si="191"/>
        <v/>
      </c>
      <c r="J803" s="112" t="s">
        <v>1265</v>
      </c>
    </row>
    <row r="804" spans="2:10" s="112" customFormat="1" hidden="1">
      <c r="B804" s="45"/>
      <c r="C804" s="45">
        <f t="shared" si="185"/>
        <v>3158</v>
      </c>
      <c r="D804" s="45">
        <f t="shared" si="186"/>
        <v>5</v>
      </c>
      <c r="E804" s="45">
        <f t="shared" si="189"/>
        <v>2017</v>
      </c>
      <c r="F804" s="45">
        <f t="shared" si="190"/>
        <v>0</v>
      </c>
      <c r="G804" s="45" t="s">
        <v>448</v>
      </c>
      <c r="H804" s="45" t="s">
        <v>451</v>
      </c>
      <c r="I804" s="162" t="str">
        <f t="shared" si="191"/>
        <v/>
      </c>
      <c r="J804" s="112" t="s">
        <v>1266</v>
      </c>
    </row>
    <row r="805" spans="2:10" s="112" customFormat="1" hidden="1">
      <c r="B805" s="45"/>
      <c r="C805" s="45">
        <f t="shared" si="185"/>
        <v>3158</v>
      </c>
      <c r="D805" s="45">
        <f t="shared" si="186"/>
        <v>5</v>
      </c>
      <c r="E805" s="45">
        <f t="shared" si="189"/>
        <v>2017</v>
      </c>
      <c r="F805" s="45">
        <f t="shared" si="190"/>
        <v>0</v>
      </c>
      <c r="G805" s="45" t="s">
        <v>448</v>
      </c>
      <c r="H805" s="45" t="s">
        <v>452</v>
      </c>
      <c r="I805" s="162" t="str">
        <f t="shared" si="191"/>
        <v/>
      </c>
      <c r="J805" s="112" t="s">
        <v>1267</v>
      </c>
    </row>
    <row r="806" spans="2:10" s="112" customFormat="1" hidden="1">
      <c r="B806" s="45"/>
      <c r="C806" s="45">
        <f t="shared" si="185"/>
        <v>3158</v>
      </c>
      <c r="D806" s="45">
        <f t="shared" si="186"/>
        <v>5</v>
      </c>
      <c r="E806" s="45">
        <f t="shared" si="189"/>
        <v>2017</v>
      </c>
      <c r="F806" s="45">
        <f t="shared" si="190"/>
        <v>0</v>
      </c>
      <c r="G806" s="45" t="s">
        <v>448</v>
      </c>
      <c r="H806" s="45" t="s">
        <v>453</v>
      </c>
      <c r="I806" s="162" t="str">
        <f t="shared" si="191"/>
        <v/>
      </c>
      <c r="J806" s="112" t="s">
        <v>1268</v>
      </c>
    </row>
    <row r="807" spans="2:10" s="112" customFormat="1" hidden="1">
      <c r="B807" s="45"/>
      <c r="C807" s="45">
        <f t="shared" si="185"/>
        <v>3158</v>
      </c>
      <c r="D807" s="45">
        <f t="shared" si="186"/>
        <v>5</v>
      </c>
      <c r="E807" s="45">
        <f t="shared" si="189"/>
        <v>2017</v>
      </c>
      <c r="F807" s="45">
        <f t="shared" si="190"/>
        <v>0</v>
      </c>
      <c r="G807" s="45" t="s">
        <v>448</v>
      </c>
      <c r="H807" s="45" t="s">
        <v>454</v>
      </c>
      <c r="I807" s="162" t="str">
        <f t="shared" si="191"/>
        <v/>
      </c>
      <c r="J807" s="112" t="s">
        <v>1269</v>
      </c>
    </row>
    <row r="808" spans="2:10" s="112" customFormat="1" hidden="1">
      <c r="B808" s="45"/>
      <c r="C808" s="45">
        <f t="shared" si="185"/>
        <v>3158</v>
      </c>
      <c r="D808" s="45">
        <f t="shared" si="186"/>
        <v>5</v>
      </c>
      <c r="E808" s="45">
        <f t="shared" si="189"/>
        <v>2017</v>
      </c>
      <c r="F808" s="45">
        <f t="shared" si="190"/>
        <v>0</v>
      </c>
      <c r="G808" s="45" t="s">
        <v>448</v>
      </c>
      <c r="H808" s="45" t="s">
        <v>455</v>
      </c>
      <c r="I808" s="162" t="str">
        <f t="shared" si="191"/>
        <v/>
      </c>
      <c r="J808" s="112" t="s">
        <v>1270</v>
      </c>
    </row>
    <row r="809" spans="2:10" s="112" customFormat="1" hidden="1">
      <c r="B809" s="45"/>
      <c r="C809" s="45">
        <f t="shared" si="185"/>
        <v>3158</v>
      </c>
      <c r="D809" s="45">
        <f t="shared" si="186"/>
        <v>5</v>
      </c>
      <c r="E809" s="45">
        <f t="shared" si="189"/>
        <v>2017</v>
      </c>
      <c r="F809" s="45">
        <f t="shared" si="190"/>
        <v>0</v>
      </c>
      <c r="G809" s="45" t="s">
        <v>448</v>
      </c>
      <c r="H809" s="45" t="s">
        <v>456</v>
      </c>
      <c r="I809" s="162" t="str">
        <f t="shared" si="191"/>
        <v/>
      </c>
      <c r="J809" s="112" t="s">
        <v>1271</v>
      </c>
    </row>
    <row r="810" spans="2:10" s="112" customFormat="1" hidden="1">
      <c r="B810" s="45"/>
      <c r="C810" s="45">
        <f t="shared" si="185"/>
        <v>3158</v>
      </c>
      <c r="D810" s="45">
        <f t="shared" si="186"/>
        <v>5</v>
      </c>
      <c r="E810" s="45">
        <f t="shared" si="189"/>
        <v>2017</v>
      </c>
      <c r="F810" s="45">
        <f t="shared" si="190"/>
        <v>0</v>
      </c>
      <c r="G810" s="45" t="s">
        <v>448</v>
      </c>
      <c r="H810" s="45" t="s">
        <v>457</v>
      </c>
      <c r="I810" s="162" t="str">
        <f t="shared" si="191"/>
        <v/>
      </c>
      <c r="J810" s="112" t="s">
        <v>1272</v>
      </c>
    </row>
    <row r="811" spans="2:10" s="112" customFormat="1" hidden="1">
      <c r="B811" s="45"/>
      <c r="C811" s="45">
        <f t="shared" si="185"/>
        <v>3158</v>
      </c>
      <c r="D811" s="45">
        <f t="shared" si="186"/>
        <v>5</v>
      </c>
      <c r="E811" s="45">
        <f t="shared" si="189"/>
        <v>2017</v>
      </c>
      <c r="F811" s="45">
        <f t="shared" si="190"/>
        <v>0</v>
      </c>
      <c r="G811" s="45" t="s">
        <v>448</v>
      </c>
      <c r="H811" s="45" t="s">
        <v>458</v>
      </c>
      <c r="I811" s="162" t="str">
        <f t="shared" si="191"/>
        <v/>
      </c>
      <c r="J811" s="112" t="s">
        <v>1273</v>
      </c>
    </row>
    <row r="812" spans="2:10" s="112" customFormat="1" hidden="1">
      <c r="B812" s="45"/>
      <c r="C812" s="45">
        <f t="shared" si="185"/>
        <v>3158</v>
      </c>
      <c r="D812" s="45">
        <f t="shared" si="186"/>
        <v>5</v>
      </c>
      <c r="E812" s="45">
        <f t="shared" si="189"/>
        <v>2017</v>
      </c>
      <c r="F812" s="45">
        <f t="shared" si="190"/>
        <v>0</v>
      </c>
      <c r="G812" s="45" t="s">
        <v>448</v>
      </c>
      <c r="H812" s="45" t="s">
        <v>460</v>
      </c>
      <c r="I812" s="162" t="str">
        <f t="shared" si="191"/>
        <v/>
      </c>
      <c r="J812" s="112" t="s">
        <v>1274</v>
      </c>
    </row>
    <row r="813" spans="2:10" s="112" customFormat="1" hidden="1">
      <c r="B813" s="45"/>
      <c r="C813" s="45">
        <f t="shared" si="185"/>
        <v>3158</v>
      </c>
      <c r="D813" s="45">
        <f t="shared" si="186"/>
        <v>5</v>
      </c>
      <c r="E813" s="45">
        <f t="shared" si="189"/>
        <v>2017</v>
      </c>
      <c r="F813" s="45">
        <f t="shared" ref="F813:F823" si="192">BW$3</f>
        <v>0</v>
      </c>
      <c r="G813" s="45" t="s">
        <v>448</v>
      </c>
      <c r="H813" s="45" t="s">
        <v>449</v>
      </c>
      <c r="I813" s="162" t="str">
        <f t="shared" ref="I813:I823" si="193">IF(ISBLANK(BW4),"",BW4)</f>
        <v/>
      </c>
      <c r="J813" s="112" t="s">
        <v>1275</v>
      </c>
    </row>
    <row r="814" spans="2:10" s="112" customFormat="1" hidden="1">
      <c r="B814" s="45"/>
      <c r="C814" s="45">
        <f t="shared" si="185"/>
        <v>3158</v>
      </c>
      <c r="D814" s="45">
        <f t="shared" si="186"/>
        <v>5</v>
      </c>
      <c r="E814" s="45">
        <f t="shared" si="189"/>
        <v>2017</v>
      </c>
      <c r="F814" s="45">
        <f t="shared" si="192"/>
        <v>0</v>
      </c>
      <c r="G814" s="45" t="s">
        <v>448</v>
      </c>
      <c r="H814" s="45" t="s">
        <v>450</v>
      </c>
      <c r="I814" s="162" t="str">
        <f t="shared" si="193"/>
        <v/>
      </c>
      <c r="J814" s="112" t="s">
        <v>1276</v>
      </c>
    </row>
    <row r="815" spans="2:10" s="112" customFormat="1" hidden="1">
      <c r="B815" s="45"/>
      <c r="C815" s="45">
        <f t="shared" si="185"/>
        <v>3158</v>
      </c>
      <c r="D815" s="45">
        <f t="shared" si="186"/>
        <v>5</v>
      </c>
      <c r="E815" s="45">
        <f t="shared" si="189"/>
        <v>2017</v>
      </c>
      <c r="F815" s="45">
        <f t="shared" si="192"/>
        <v>0</v>
      </c>
      <c r="G815" s="45" t="s">
        <v>448</v>
      </c>
      <c r="H815" s="45" t="s">
        <v>451</v>
      </c>
      <c r="I815" s="162" t="str">
        <f t="shared" si="193"/>
        <v/>
      </c>
      <c r="J815" s="112" t="s">
        <v>1277</v>
      </c>
    </row>
    <row r="816" spans="2:10" s="112" customFormat="1" hidden="1">
      <c r="B816" s="45"/>
      <c r="C816" s="45">
        <f t="shared" si="185"/>
        <v>3158</v>
      </c>
      <c r="D816" s="45">
        <f t="shared" si="186"/>
        <v>5</v>
      </c>
      <c r="E816" s="45">
        <f t="shared" si="189"/>
        <v>2017</v>
      </c>
      <c r="F816" s="45">
        <f t="shared" si="192"/>
        <v>0</v>
      </c>
      <c r="G816" s="45" t="s">
        <v>448</v>
      </c>
      <c r="H816" s="45" t="s">
        <v>452</v>
      </c>
      <c r="I816" s="162" t="str">
        <f t="shared" si="193"/>
        <v/>
      </c>
      <c r="J816" s="112" t="s">
        <v>1278</v>
      </c>
    </row>
    <row r="817" spans="2:10" s="112" customFormat="1" hidden="1">
      <c r="B817" s="45"/>
      <c r="C817" s="45">
        <f t="shared" si="185"/>
        <v>3158</v>
      </c>
      <c r="D817" s="45">
        <f t="shared" si="186"/>
        <v>5</v>
      </c>
      <c r="E817" s="45">
        <f t="shared" si="189"/>
        <v>2017</v>
      </c>
      <c r="F817" s="45">
        <f t="shared" si="192"/>
        <v>0</v>
      </c>
      <c r="G817" s="45" t="s">
        <v>448</v>
      </c>
      <c r="H817" s="45" t="s">
        <v>453</v>
      </c>
      <c r="I817" s="162" t="str">
        <f t="shared" si="193"/>
        <v/>
      </c>
      <c r="J817" s="112" t="s">
        <v>1279</v>
      </c>
    </row>
    <row r="818" spans="2:10" s="112" customFormat="1" hidden="1">
      <c r="B818" s="45"/>
      <c r="C818" s="45">
        <f t="shared" si="185"/>
        <v>3158</v>
      </c>
      <c r="D818" s="45">
        <f t="shared" si="186"/>
        <v>5</v>
      </c>
      <c r="E818" s="45">
        <f t="shared" si="189"/>
        <v>2017</v>
      </c>
      <c r="F818" s="45">
        <f t="shared" si="192"/>
        <v>0</v>
      </c>
      <c r="G818" s="45" t="s">
        <v>448</v>
      </c>
      <c r="H818" s="45" t="s">
        <v>454</v>
      </c>
      <c r="I818" s="162" t="str">
        <f t="shared" si="193"/>
        <v/>
      </c>
      <c r="J818" s="112" t="s">
        <v>1280</v>
      </c>
    </row>
    <row r="819" spans="2:10" s="112" customFormat="1" hidden="1">
      <c r="B819" s="45"/>
      <c r="C819" s="45">
        <f t="shared" si="185"/>
        <v>3158</v>
      </c>
      <c r="D819" s="45">
        <f t="shared" si="186"/>
        <v>5</v>
      </c>
      <c r="E819" s="45">
        <f t="shared" si="189"/>
        <v>2017</v>
      </c>
      <c r="F819" s="45">
        <f t="shared" si="192"/>
        <v>0</v>
      </c>
      <c r="G819" s="45" t="s">
        <v>448</v>
      </c>
      <c r="H819" s="45" t="s">
        <v>455</v>
      </c>
      <c r="I819" s="162" t="str">
        <f t="shared" si="193"/>
        <v/>
      </c>
      <c r="J819" s="112" t="s">
        <v>1281</v>
      </c>
    </row>
    <row r="820" spans="2:10" s="112" customFormat="1" hidden="1">
      <c r="B820" s="45"/>
      <c r="C820" s="45">
        <f t="shared" si="185"/>
        <v>3158</v>
      </c>
      <c r="D820" s="45">
        <f t="shared" si="186"/>
        <v>5</v>
      </c>
      <c r="E820" s="45">
        <f t="shared" si="189"/>
        <v>2017</v>
      </c>
      <c r="F820" s="45">
        <f t="shared" si="192"/>
        <v>0</v>
      </c>
      <c r="G820" s="45" t="s">
        <v>448</v>
      </c>
      <c r="H820" s="45" t="s">
        <v>456</v>
      </c>
      <c r="I820" s="162" t="str">
        <f t="shared" si="193"/>
        <v/>
      </c>
      <c r="J820" s="112" t="s">
        <v>1282</v>
      </c>
    </row>
    <row r="821" spans="2:10" s="112" customFormat="1" hidden="1">
      <c r="B821" s="45"/>
      <c r="C821" s="45">
        <f t="shared" si="185"/>
        <v>3158</v>
      </c>
      <c r="D821" s="45">
        <f t="shared" si="186"/>
        <v>5</v>
      </c>
      <c r="E821" s="45">
        <f t="shared" si="189"/>
        <v>2017</v>
      </c>
      <c r="F821" s="45">
        <f t="shared" si="192"/>
        <v>0</v>
      </c>
      <c r="G821" s="45" t="s">
        <v>448</v>
      </c>
      <c r="H821" s="45" t="s">
        <v>457</v>
      </c>
      <c r="I821" s="162" t="str">
        <f t="shared" si="193"/>
        <v/>
      </c>
      <c r="J821" s="112" t="s">
        <v>1283</v>
      </c>
    </row>
    <row r="822" spans="2:10" s="112" customFormat="1" hidden="1">
      <c r="B822" s="45"/>
      <c r="C822" s="45">
        <f t="shared" si="185"/>
        <v>3158</v>
      </c>
      <c r="D822" s="45">
        <f t="shared" si="186"/>
        <v>5</v>
      </c>
      <c r="E822" s="45">
        <f t="shared" si="189"/>
        <v>2017</v>
      </c>
      <c r="F822" s="45">
        <f t="shared" si="192"/>
        <v>0</v>
      </c>
      <c r="G822" s="45" t="s">
        <v>448</v>
      </c>
      <c r="H822" s="45" t="s">
        <v>458</v>
      </c>
      <c r="I822" s="162" t="str">
        <f t="shared" si="193"/>
        <v/>
      </c>
      <c r="J822" s="112" t="s">
        <v>1284</v>
      </c>
    </row>
    <row r="823" spans="2:10" s="112" customFormat="1" hidden="1">
      <c r="B823" s="45"/>
      <c r="C823" s="45">
        <f t="shared" si="185"/>
        <v>3158</v>
      </c>
      <c r="D823" s="45">
        <f t="shared" si="186"/>
        <v>5</v>
      </c>
      <c r="E823" s="45">
        <f t="shared" si="189"/>
        <v>2017</v>
      </c>
      <c r="F823" s="45">
        <f t="shared" si="192"/>
        <v>0</v>
      </c>
      <c r="G823" s="45" t="s">
        <v>448</v>
      </c>
      <c r="H823" s="45" t="s">
        <v>460</v>
      </c>
      <c r="I823" s="162" t="str">
        <f t="shared" si="193"/>
        <v/>
      </c>
      <c r="J823" s="112" t="s">
        <v>1285</v>
      </c>
    </row>
    <row r="824" spans="2:10" s="112" customFormat="1" hidden="1">
      <c r="B824" s="45"/>
      <c r="C824" s="45">
        <f t="shared" si="185"/>
        <v>3158</v>
      </c>
      <c r="D824" s="45">
        <f t="shared" si="186"/>
        <v>5</v>
      </c>
      <c r="E824" s="45">
        <f t="shared" si="189"/>
        <v>2017</v>
      </c>
      <c r="F824" s="45">
        <f t="shared" ref="F824:F834" si="194">BX$3</f>
        <v>0</v>
      </c>
      <c r="G824" s="45" t="s">
        <v>448</v>
      </c>
      <c r="H824" s="45" t="s">
        <v>449</v>
      </c>
      <c r="I824" s="162" t="str">
        <f t="shared" ref="I824:I834" si="195">IF(ISBLANK(BX4),"",BX4)</f>
        <v/>
      </c>
      <c r="J824" s="112" t="s">
        <v>1286</v>
      </c>
    </row>
    <row r="825" spans="2:10" s="112" customFormat="1" hidden="1">
      <c r="B825" s="45"/>
      <c r="C825" s="45">
        <f t="shared" si="185"/>
        <v>3158</v>
      </c>
      <c r="D825" s="45">
        <f t="shared" si="186"/>
        <v>5</v>
      </c>
      <c r="E825" s="45">
        <f t="shared" si="189"/>
        <v>2017</v>
      </c>
      <c r="F825" s="45">
        <f t="shared" si="194"/>
        <v>0</v>
      </c>
      <c r="G825" s="45" t="s">
        <v>448</v>
      </c>
      <c r="H825" s="45" t="s">
        <v>450</v>
      </c>
      <c r="I825" s="162" t="str">
        <f t="shared" si="195"/>
        <v/>
      </c>
      <c r="J825" s="112" t="s">
        <v>1287</v>
      </c>
    </row>
    <row r="826" spans="2:10" s="112" customFormat="1" hidden="1">
      <c r="B826" s="45"/>
      <c r="C826" s="45">
        <f t="shared" si="185"/>
        <v>3158</v>
      </c>
      <c r="D826" s="45">
        <f t="shared" si="186"/>
        <v>5</v>
      </c>
      <c r="E826" s="45">
        <f t="shared" si="189"/>
        <v>2017</v>
      </c>
      <c r="F826" s="45">
        <f t="shared" si="194"/>
        <v>0</v>
      </c>
      <c r="G826" s="45" t="s">
        <v>448</v>
      </c>
      <c r="H826" s="45" t="s">
        <v>451</v>
      </c>
      <c r="I826" s="162" t="str">
        <f t="shared" si="195"/>
        <v/>
      </c>
      <c r="J826" s="112" t="s">
        <v>1288</v>
      </c>
    </row>
    <row r="827" spans="2:10" s="112" customFormat="1" hidden="1">
      <c r="B827" s="45"/>
      <c r="C827" s="45">
        <f t="shared" si="185"/>
        <v>3158</v>
      </c>
      <c r="D827" s="45">
        <f t="shared" si="186"/>
        <v>5</v>
      </c>
      <c r="E827" s="45">
        <f t="shared" si="189"/>
        <v>2017</v>
      </c>
      <c r="F827" s="45">
        <f t="shared" si="194"/>
        <v>0</v>
      </c>
      <c r="G827" s="45" t="s">
        <v>448</v>
      </c>
      <c r="H827" s="45" t="s">
        <v>452</v>
      </c>
      <c r="I827" s="162" t="str">
        <f t="shared" si="195"/>
        <v/>
      </c>
      <c r="J827" s="112" t="s">
        <v>1289</v>
      </c>
    </row>
    <row r="828" spans="2:10" s="112" customFormat="1" hidden="1">
      <c r="B828" s="45"/>
      <c r="C828" s="45">
        <f t="shared" si="185"/>
        <v>3158</v>
      </c>
      <c r="D828" s="45">
        <f t="shared" si="186"/>
        <v>5</v>
      </c>
      <c r="E828" s="45">
        <f t="shared" si="189"/>
        <v>2017</v>
      </c>
      <c r="F828" s="45">
        <f t="shared" si="194"/>
        <v>0</v>
      </c>
      <c r="G828" s="45" t="s">
        <v>448</v>
      </c>
      <c r="H828" s="45" t="s">
        <v>453</v>
      </c>
      <c r="I828" s="162" t="str">
        <f t="shared" si="195"/>
        <v/>
      </c>
      <c r="J828" s="112" t="s">
        <v>1290</v>
      </c>
    </row>
    <row r="829" spans="2:10" s="112" customFormat="1" hidden="1">
      <c r="B829" s="45"/>
      <c r="C829" s="45">
        <f t="shared" si="185"/>
        <v>3158</v>
      </c>
      <c r="D829" s="45">
        <f t="shared" si="186"/>
        <v>5</v>
      </c>
      <c r="E829" s="45">
        <f t="shared" si="189"/>
        <v>2017</v>
      </c>
      <c r="F829" s="45">
        <f t="shared" si="194"/>
        <v>0</v>
      </c>
      <c r="G829" s="45" t="s">
        <v>448</v>
      </c>
      <c r="H829" s="45" t="s">
        <v>454</v>
      </c>
      <c r="I829" s="162" t="str">
        <f t="shared" si="195"/>
        <v/>
      </c>
      <c r="J829" s="112" t="s">
        <v>1291</v>
      </c>
    </row>
    <row r="830" spans="2:10" s="112" customFormat="1" hidden="1">
      <c r="B830" s="45"/>
      <c r="C830" s="45">
        <f t="shared" si="185"/>
        <v>3158</v>
      </c>
      <c r="D830" s="45">
        <f t="shared" si="186"/>
        <v>5</v>
      </c>
      <c r="E830" s="45">
        <f t="shared" si="189"/>
        <v>2017</v>
      </c>
      <c r="F830" s="45">
        <f t="shared" si="194"/>
        <v>0</v>
      </c>
      <c r="G830" s="45" t="s">
        <v>448</v>
      </c>
      <c r="H830" s="45" t="s">
        <v>455</v>
      </c>
      <c r="I830" s="162" t="str">
        <f t="shared" si="195"/>
        <v/>
      </c>
      <c r="J830" s="112" t="s">
        <v>1292</v>
      </c>
    </row>
    <row r="831" spans="2:10" s="112" customFormat="1" hidden="1">
      <c r="B831" s="45"/>
      <c r="C831" s="45">
        <f t="shared" si="185"/>
        <v>3158</v>
      </c>
      <c r="D831" s="45">
        <f t="shared" si="186"/>
        <v>5</v>
      </c>
      <c r="E831" s="45">
        <f t="shared" si="189"/>
        <v>2017</v>
      </c>
      <c r="F831" s="45">
        <f t="shared" si="194"/>
        <v>0</v>
      </c>
      <c r="G831" s="45" t="s">
        <v>448</v>
      </c>
      <c r="H831" s="45" t="s">
        <v>456</v>
      </c>
      <c r="I831" s="162" t="str">
        <f t="shared" si="195"/>
        <v/>
      </c>
      <c r="J831" s="112" t="s">
        <v>1293</v>
      </c>
    </row>
    <row r="832" spans="2:10" s="112" customFormat="1" hidden="1">
      <c r="B832" s="45"/>
      <c r="C832" s="45">
        <f t="shared" si="185"/>
        <v>3158</v>
      </c>
      <c r="D832" s="45">
        <f t="shared" si="186"/>
        <v>5</v>
      </c>
      <c r="E832" s="45">
        <f t="shared" si="189"/>
        <v>2017</v>
      </c>
      <c r="F832" s="45">
        <f t="shared" si="194"/>
        <v>0</v>
      </c>
      <c r="G832" s="45" t="s">
        <v>448</v>
      </c>
      <c r="H832" s="45" t="s">
        <v>457</v>
      </c>
      <c r="I832" s="162" t="str">
        <f t="shared" si="195"/>
        <v/>
      </c>
      <c r="J832" s="112" t="s">
        <v>1294</v>
      </c>
    </row>
    <row r="833" spans="2:10" s="112" customFormat="1" hidden="1">
      <c r="B833" s="45"/>
      <c r="C833" s="45">
        <f t="shared" si="185"/>
        <v>3158</v>
      </c>
      <c r="D833" s="45">
        <f t="shared" si="186"/>
        <v>5</v>
      </c>
      <c r="E833" s="45">
        <f t="shared" si="189"/>
        <v>2017</v>
      </c>
      <c r="F833" s="45">
        <f t="shared" si="194"/>
        <v>0</v>
      </c>
      <c r="G833" s="45" t="s">
        <v>448</v>
      </c>
      <c r="H833" s="45" t="s">
        <v>458</v>
      </c>
      <c r="I833" s="162" t="str">
        <f t="shared" si="195"/>
        <v/>
      </c>
      <c r="J833" s="112" t="s">
        <v>1295</v>
      </c>
    </row>
    <row r="834" spans="2:10" s="112" customFormat="1" hidden="1">
      <c r="B834" s="45"/>
      <c r="C834" s="45">
        <f t="shared" si="185"/>
        <v>3158</v>
      </c>
      <c r="D834" s="45">
        <f t="shared" si="186"/>
        <v>5</v>
      </c>
      <c r="E834" s="45">
        <f t="shared" si="189"/>
        <v>2017</v>
      </c>
      <c r="F834" s="45">
        <f t="shared" si="194"/>
        <v>0</v>
      </c>
      <c r="G834" s="45" t="s">
        <v>448</v>
      </c>
      <c r="H834" s="45" t="s">
        <v>460</v>
      </c>
      <c r="I834" s="162" t="str">
        <f t="shared" si="195"/>
        <v/>
      </c>
      <c r="J834" s="112" t="s">
        <v>1296</v>
      </c>
    </row>
    <row r="835" spans="2:10" s="112" customFormat="1" hidden="1">
      <c r="B835" s="45"/>
      <c r="C835" s="45">
        <f t="shared" si="185"/>
        <v>3158</v>
      </c>
      <c r="D835" s="45">
        <f t="shared" si="186"/>
        <v>5</v>
      </c>
      <c r="E835" s="45">
        <f t="shared" si="189"/>
        <v>2017</v>
      </c>
      <c r="F835" s="45">
        <f t="shared" ref="F835:F845" si="196">BY$3</f>
        <v>0</v>
      </c>
      <c r="G835" s="45" t="s">
        <v>448</v>
      </c>
      <c r="H835" s="45" t="s">
        <v>449</v>
      </c>
      <c r="I835" s="162" t="str">
        <f t="shared" ref="I835:I845" si="197">IF(ISBLANK(BY4),"",BY4)</f>
        <v/>
      </c>
      <c r="J835" s="112" t="s">
        <v>1297</v>
      </c>
    </row>
    <row r="836" spans="2:10" s="112" customFormat="1" hidden="1">
      <c r="B836" s="45"/>
      <c r="C836" s="45">
        <f t="shared" si="185"/>
        <v>3158</v>
      </c>
      <c r="D836" s="45">
        <f t="shared" si="186"/>
        <v>5</v>
      </c>
      <c r="E836" s="45">
        <f t="shared" si="189"/>
        <v>2017</v>
      </c>
      <c r="F836" s="45">
        <f t="shared" si="196"/>
        <v>0</v>
      </c>
      <c r="G836" s="45" t="s">
        <v>448</v>
      </c>
      <c r="H836" s="45" t="s">
        <v>450</v>
      </c>
      <c r="I836" s="162" t="str">
        <f t="shared" si="197"/>
        <v/>
      </c>
      <c r="J836" s="112" t="s">
        <v>1298</v>
      </c>
    </row>
    <row r="837" spans="2:10" s="112" customFormat="1" hidden="1">
      <c r="B837" s="45"/>
      <c r="C837" s="45">
        <f t="shared" si="185"/>
        <v>3158</v>
      </c>
      <c r="D837" s="45">
        <f t="shared" si="186"/>
        <v>5</v>
      </c>
      <c r="E837" s="45">
        <f t="shared" si="189"/>
        <v>2017</v>
      </c>
      <c r="F837" s="45">
        <f t="shared" si="196"/>
        <v>0</v>
      </c>
      <c r="G837" s="45" t="s">
        <v>448</v>
      </c>
      <c r="H837" s="45" t="s">
        <v>451</v>
      </c>
      <c r="I837" s="162" t="str">
        <f t="shared" si="197"/>
        <v/>
      </c>
      <c r="J837" s="112" t="s">
        <v>1299</v>
      </c>
    </row>
    <row r="838" spans="2:10" s="112" customFormat="1" hidden="1">
      <c r="B838" s="45"/>
      <c r="C838" s="45">
        <f t="shared" si="185"/>
        <v>3158</v>
      </c>
      <c r="D838" s="45">
        <f t="shared" si="186"/>
        <v>5</v>
      </c>
      <c r="E838" s="45">
        <f t="shared" si="189"/>
        <v>2017</v>
      </c>
      <c r="F838" s="45">
        <f t="shared" si="196"/>
        <v>0</v>
      </c>
      <c r="G838" s="45" t="s">
        <v>448</v>
      </c>
      <c r="H838" s="45" t="s">
        <v>452</v>
      </c>
      <c r="I838" s="162" t="str">
        <f t="shared" si="197"/>
        <v/>
      </c>
      <c r="J838" s="112" t="s">
        <v>1300</v>
      </c>
    </row>
    <row r="839" spans="2:10" s="112" customFormat="1" hidden="1">
      <c r="B839" s="45"/>
      <c r="C839" s="45">
        <f t="shared" si="185"/>
        <v>3158</v>
      </c>
      <c r="D839" s="45">
        <f t="shared" si="186"/>
        <v>5</v>
      </c>
      <c r="E839" s="45">
        <f t="shared" si="189"/>
        <v>2017</v>
      </c>
      <c r="F839" s="45">
        <f t="shared" si="196"/>
        <v>0</v>
      </c>
      <c r="G839" s="45" t="s">
        <v>448</v>
      </c>
      <c r="H839" s="45" t="s">
        <v>453</v>
      </c>
      <c r="I839" s="162" t="str">
        <f t="shared" si="197"/>
        <v/>
      </c>
      <c r="J839" s="112" t="s">
        <v>1301</v>
      </c>
    </row>
    <row r="840" spans="2:10" s="112" customFormat="1" hidden="1">
      <c r="B840" s="45"/>
      <c r="C840" s="45">
        <f t="shared" si="185"/>
        <v>3158</v>
      </c>
      <c r="D840" s="45">
        <f t="shared" si="186"/>
        <v>5</v>
      </c>
      <c r="E840" s="45">
        <f t="shared" si="189"/>
        <v>2017</v>
      </c>
      <c r="F840" s="45">
        <f t="shared" si="196"/>
        <v>0</v>
      </c>
      <c r="G840" s="45" t="s">
        <v>448</v>
      </c>
      <c r="H840" s="45" t="s">
        <v>454</v>
      </c>
      <c r="I840" s="162" t="str">
        <f t="shared" si="197"/>
        <v/>
      </c>
      <c r="J840" s="112" t="s">
        <v>1302</v>
      </c>
    </row>
    <row r="841" spans="2:10" s="112" customFormat="1" hidden="1">
      <c r="B841" s="45"/>
      <c r="C841" s="45">
        <f t="shared" si="185"/>
        <v>3158</v>
      </c>
      <c r="D841" s="45">
        <f t="shared" si="186"/>
        <v>5</v>
      </c>
      <c r="E841" s="45">
        <f t="shared" si="189"/>
        <v>2017</v>
      </c>
      <c r="F841" s="45">
        <f t="shared" si="196"/>
        <v>0</v>
      </c>
      <c r="G841" s="45" t="s">
        <v>448</v>
      </c>
      <c r="H841" s="45" t="s">
        <v>455</v>
      </c>
      <c r="I841" s="162" t="str">
        <f t="shared" si="197"/>
        <v/>
      </c>
      <c r="J841" s="112" t="s">
        <v>1303</v>
      </c>
    </row>
    <row r="842" spans="2:10" s="112" customFormat="1" hidden="1">
      <c r="B842" s="45"/>
      <c r="C842" s="45">
        <f t="shared" si="185"/>
        <v>3158</v>
      </c>
      <c r="D842" s="45">
        <f t="shared" si="186"/>
        <v>5</v>
      </c>
      <c r="E842" s="45">
        <f t="shared" si="189"/>
        <v>2017</v>
      </c>
      <c r="F842" s="45">
        <f t="shared" si="196"/>
        <v>0</v>
      </c>
      <c r="G842" s="45" t="s">
        <v>448</v>
      </c>
      <c r="H842" s="45" t="s">
        <v>456</v>
      </c>
      <c r="I842" s="162" t="str">
        <f t="shared" si="197"/>
        <v/>
      </c>
      <c r="J842" s="112" t="s">
        <v>1304</v>
      </c>
    </row>
    <row r="843" spans="2:10" s="112" customFormat="1" hidden="1">
      <c r="B843" s="45"/>
      <c r="C843" s="45">
        <f t="shared" si="185"/>
        <v>3158</v>
      </c>
      <c r="D843" s="45">
        <f t="shared" si="186"/>
        <v>5</v>
      </c>
      <c r="E843" s="45">
        <f t="shared" si="189"/>
        <v>2017</v>
      </c>
      <c r="F843" s="45">
        <f t="shared" si="196"/>
        <v>0</v>
      </c>
      <c r="G843" s="45" t="s">
        <v>448</v>
      </c>
      <c r="H843" s="45" t="s">
        <v>457</v>
      </c>
      <c r="I843" s="162" t="str">
        <f t="shared" si="197"/>
        <v/>
      </c>
      <c r="J843" s="112" t="s">
        <v>1305</v>
      </c>
    </row>
    <row r="844" spans="2:10" s="112" customFormat="1" hidden="1">
      <c r="B844" s="45"/>
      <c r="C844" s="45">
        <f t="shared" si="185"/>
        <v>3158</v>
      </c>
      <c r="D844" s="45">
        <f t="shared" si="186"/>
        <v>5</v>
      </c>
      <c r="E844" s="45">
        <f t="shared" si="189"/>
        <v>2017</v>
      </c>
      <c r="F844" s="45">
        <f t="shared" si="196"/>
        <v>0</v>
      </c>
      <c r="G844" s="45" t="s">
        <v>448</v>
      </c>
      <c r="H844" s="45" t="s">
        <v>458</v>
      </c>
      <c r="I844" s="162" t="str">
        <f t="shared" si="197"/>
        <v/>
      </c>
      <c r="J844" s="112" t="s">
        <v>1306</v>
      </c>
    </row>
    <row r="845" spans="2:10" s="112" customFormat="1" hidden="1">
      <c r="B845" s="45"/>
      <c r="C845" s="45">
        <f t="shared" si="185"/>
        <v>3158</v>
      </c>
      <c r="D845" s="45">
        <f t="shared" si="186"/>
        <v>5</v>
      </c>
      <c r="E845" s="45">
        <f t="shared" si="189"/>
        <v>2017</v>
      </c>
      <c r="F845" s="45">
        <f t="shared" si="196"/>
        <v>0</v>
      </c>
      <c r="G845" s="45" t="s">
        <v>448</v>
      </c>
      <c r="H845" s="45" t="s">
        <v>460</v>
      </c>
      <c r="I845" s="162" t="str">
        <f t="shared" si="197"/>
        <v/>
      </c>
      <c r="J845" s="112" t="s">
        <v>1307</v>
      </c>
    </row>
    <row r="846" spans="2:10" s="112" customFormat="1" hidden="1">
      <c r="B846" s="45"/>
      <c r="C846" s="45">
        <f t="shared" si="185"/>
        <v>3158</v>
      </c>
      <c r="D846" s="45">
        <f t="shared" si="186"/>
        <v>5</v>
      </c>
      <c r="E846" s="45">
        <f t="shared" si="189"/>
        <v>2017</v>
      </c>
      <c r="F846" s="45">
        <f t="shared" ref="F846:F856" si="198">BZ$3</f>
        <v>0</v>
      </c>
      <c r="G846" s="45" t="s">
        <v>448</v>
      </c>
      <c r="H846" s="45" t="s">
        <v>449</v>
      </c>
      <c r="I846" s="162" t="str">
        <f t="shared" ref="I846:I856" si="199">IF(ISBLANK(BZ4),"",BZ4)</f>
        <v/>
      </c>
      <c r="J846" s="112" t="s">
        <v>1308</v>
      </c>
    </row>
    <row r="847" spans="2:10" s="112" customFormat="1" hidden="1">
      <c r="B847" s="45"/>
      <c r="C847" s="45">
        <f t="shared" si="185"/>
        <v>3158</v>
      </c>
      <c r="D847" s="45">
        <f t="shared" si="186"/>
        <v>5</v>
      </c>
      <c r="E847" s="45">
        <f t="shared" si="189"/>
        <v>2017</v>
      </c>
      <c r="F847" s="45">
        <f t="shared" si="198"/>
        <v>0</v>
      </c>
      <c r="G847" s="45" t="s">
        <v>448</v>
      </c>
      <c r="H847" s="45" t="s">
        <v>450</v>
      </c>
      <c r="I847" s="162" t="str">
        <f t="shared" si="199"/>
        <v/>
      </c>
      <c r="J847" s="112" t="s">
        <v>1309</v>
      </c>
    </row>
    <row r="848" spans="2:10" s="112" customFormat="1" hidden="1">
      <c r="B848" s="45"/>
      <c r="C848" s="45">
        <f t="shared" si="185"/>
        <v>3158</v>
      </c>
      <c r="D848" s="45">
        <f t="shared" si="186"/>
        <v>5</v>
      </c>
      <c r="E848" s="45">
        <f t="shared" si="189"/>
        <v>2017</v>
      </c>
      <c r="F848" s="45">
        <f t="shared" si="198"/>
        <v>0</v>
      </c>
      <c r="G848" s="45" t="s">
        <v>448</v>
      </c>
      <c r="H848" s="45" t="s">
        <v>451</v>
      </c>
      <c r="I848" s="162" t="str">
        <f t="shared" si="199"/>
        <v/>
      </c>
      <c r="J848" s="112" t="s">
        <v>1310</v>
      </c>
    </row>
    <row r="849" spans="2:10" s="112" customFormat="1" hidden="1">
      <c r="B849" s="45"/>
      <c r="C849" s="45">
        <f t="shared" si="185"/>
        <v>3158</v>
      </c>
      <c r="D849" s="45">
        <f t="shared" si="186"/>
        <v>5</v>
      </c>
      <c r="E849" s="45">
        <f t="shared" si="189"/>
        <v>2017</v>
      </c>
      <c r="F849" s="45">
        <f t="shared" si="198"/>
        <v>0</v>
      </c>
      <c r="G849" s="45" t="s">
        <v>448</v>
      </c>
      <c r="H849" s="45" t="s">
        <v>452</v>
      </c>
      <c r="I849" s="162" t="str">
        <f t="shared" si="199"/>
        <v/>
      </c>
      <c r="J849" s="112" t="s">
        <v>1311</v>
      </c>
    </row>
    <row r="850" spans="2:10" s="112" customFormat="1" hidden="1">
      <c r="B850" s="45"/>
      <c r="C850" s="45">
        <f t="shared" si="185"/>
        <v>3158</v>
      </c>
      <c r="D850" s="45">
        <f t="shared" si="186"/>
        <v>5</v>
      </c>
      <c r="E850" s="45">
        <f t="shared" si="189"/>
        <v>2017</v>
      </c>
      <c r="F850" s="45">
        <f t="shared" si="198"/>
        <v>0</v>
      </c>
      <c r="G850" s="45" t="s">
        <v>448</v>
      </c>
      <c r="H850" s="45" t="s">
        <v>453</v>
      </c>
      <c r="I850" s="162" t="str">
        <f t="shared" si="199"/>
        <v/>
      </c>
      <c r="J850" s="112" t="s">
        <v>1312</v>
      </c>
    </row>
    <row r="851" spans="2:10" s="112" customFormat="1" hidden="1">
      <c r="B851" s="45"/>
      <c r="C851" s="45">
        <f t="shared" si="185"/>
        <v>3158</v>
      </c>
      <c r="D851" s="45">
        <f t="shared" si="186"/>
        <v>5</v>
      </c>
      <c r="E851" s="45">
        <f t="shared" si="189"/>
        <v>2017</v>
      </c>
      <c r="F851" s="45">
        <f t="shared" si="198"/>
        <v>0</v>
      </c>
      <c r="G851" s="45" t="s">
        <v>448</v>
      </c>
      <c r="H851" s="45" t="s">
        <v>454</v>
      </c>
      <c r="I851" s="162" t="str">
        <f t="shared" si="199"/>
        <v/>
      </c>
      <c r="J851" s="112" t="s">
        <v>1313</v>
      </c>
    </row>
    <row r="852" spans="2:10" s="112" customFormat="1" hidden="1">
      <c r="B852" s="45"/>
      <c r="C852" s="45">
        <f t="shared" si="185"/>
        <v>3158</v>
      </c>
      <c r="D852" s="45">
        <f t="shared" si="186"/>
        <v>5</v>
      </c>
      <c r="E852" s="45">
        <f t="shared" si="189"/>
        <v>2017</v>
      </c>
      <c r="F852" s="45">
        <f t="shared" si="198"/>
        <v>0</v>
      </c>
      <c r="G852" s="45" t="s">
        <v>448</v>
      </c>
      <c r="H852" s="45" t="s">
        <v>455</v>
      </c>
      <c r="I852" s="162" t="str">
        <f t="shared" si="199"/>
        <v/>
      </c>
      <c r="J852" s="112" t="s">
        <v>1314</v>
      </c>
    </row>
    <row r="853" spans="2:10" s="112" customFormat="1" hidden="1">
      <c r="B853" s="45"/>
      <c r="C853" s="45">
        <f t="shared" si="185"/>
        <v>3158</v>
      </c>
      <c r="D853" s="45">
        <f t="shared" si="186"/>
        <v>5</v>
      </c>
      <c r="E853" s="45">
        <f t="shared" si="189"/>
        <v>2017</v>
      </c>
      <c r="F853" s="45">
        <f t="shared" si="198"/>
        <v>0</v>
      </c>
      <c r="G853" s="45" t="s">
        <v>448</v>
      </c>
      <c r="H853" s="45" t="s">
        <v>456</v>
      </c>
      <c r="I853" s="162" t="str">
        <f t="shared" si="199"/>
        <v/>
      </c>
      <c r="J853" s="112" t="s">
        <v>1315</v>
      </c>
    </row>
    <row r="854" spans="2:10" s="112" customFormat="1" hidden="1">
      <c r="B854" s="45"/>
      <c r="C854" s="45">
        <f t="shared" ref="C854:C900" si="200">H$1</f>
        <v>3158</v>
      </c>
      <c r="D854" s="45">
        <f t="shared" ref="D854:D900" si="201">K$1</f>
        <v>5</v>
      </c>
      <c r="E854" s="45">
        <f t="shared" si="189"/>
        <v>2017</v>
      </c>
      <c r="F854" s="45">
        <f t="shared" si="198"/>
        <v>0</v>
      </c>
      <c r="G854" s="45" t="s">
        <v>448</v>
      </c>
      <c r="H854" s="45" t="s">
        <v>457</v>
      </c>
      <c r="I854" s="162" t="str">
        <f t="shared" si="199"/>
        <v/>
      </c>
      <c r="J854" s="112" t="s">
        <v>1316</v>
      </c>
    </row>
    <row r="855" spans="2:10" s="112" customFormat="1" hidden="1">
      <c r="B855" s="45"/>
      <c r="C855" s="45">
        <f t="shared" si="200"/>
        <v>3158</v>
      </c>
      <c r="D855" s="45">
        <f t="shared" si="201"/>
        <v>5</v>
      </c>
      <c r="E855" s="45">
        <f t="shared" si="189"/>
        <v>2017</v>
      </c>
      <c r="F855" s="45">
        <f t="shared" si="198"/>
        <v>0</v>
      </c>
      <c r="G855" s="45" t="s">
        <v>448</v>
      </c>
      <c r="H855" s="45" t="s">
        <v>458</v>
      </c>
      <c r="I855" s="162" t="str">
        <f t="shared" si="199"/>
        <v/>
      </c>
      <c r="J855" s="112" t="s">
        <v>1317</v>
      </c>
    </row>
    <row r="856" spans="2:10" s="112" customFormat="1" hidden="1">
      <c r="B856" s="45"/>
      <c r="C856" s="45">
        <f t="shared" si="200"/>
        <v>3158</v>
      </c>
      <c r="D856" s="45">
        <f t="shared" si="201"/>
        <v>5</v>
      </c>
      <c r="E856" s="45">
        <f t="shared" ref="E856:E900" si="202">D$1</f>
        <v>2017</v>
      </c>
      <c r="F856" s="45">
        <f t="shared" si="198"/>
        <v>0</v>
      </c>
      <c r="G856" s="45" t="s">
        <v>448</v>
      </c>
      <c r="H856" s="45" t="s">
        <v>460</v>
      </c>
      <c r="I856" s="162" t="str">
        <f t="shared" si="199"/>
        <v/>
      </c>
      <c r="J856" s="112" t="s">
        <v>1318</v>
      </c>
    </row>
    <row r="857" spans="2:10" s="112" customFormat="1" hidden="1">
      <c r="B857" s="45"/>
      <c r="C857" s="45">
        <f t="shared" si="200"/>
        <v>3158</v>
      </c>
      <c r="D857" s="45">
        <f t="shared" si="201"/>
        <v>5</v>
      </c>
      <c r="E857" s="45">
        <f t="shared" si="202"/>
        <v>2017</v>
      </c>
      <c r="F857" s="45">
        <f t="shared" ref="F857:F867" si="203">CA$3</f>
        <v>0</v>
      </c>
      <c r="G857" s="45" t="s">
        <v>448</v>
      </c>
      <c r="H857" s="45" t="s">
        <v>449</v>
      </c>
      <c r="I857" s="162" t="str">
        <f t="shared" ref="I857:I867" si="204">IF(ISBLANK(CA4),"",CA4)</f>
        <v/>
      </c>
      <c r="J857" s="112" t="s">
        <v>1319</v>
      </c>
    </row>
    <row r="858" spans="2:10" s="112" customFormat="1" hidden="1">
      <c r="B858" s="45"/>
      <c r="C858" s="45">
        <f t="shared" si="200"/>
        <v>3158</v>
      </c>
      <c r="D858" s="45">
        <f t="shared" si="201"/>
        <v>5</v>
      </c>
      <c r="E858" s="45">
        <f t="shared" si="202"/>
        <v>2017</v>
      </c>
      <c r="F858" s="45">
        <f t="shared" si="203"/>
        <v>0</v>
      </c>
      <c r="G858" s="45" t="s">
        <v>448</v>
      </c>
      <c r="H858" s="45" t="s">
        <v>450</v>
      </c>
      <c r="I858" s="162" t="str">
        <f t="shared" si="204"/>
        <v/>
      </c>
      <c r="J858" s="112" t="s">
        <v>1320</v>
      </c>
    </row>
    <row r="859" spans="2:10" s="112" customFormat="1" hidden="1">
      <c r="B859" s="45"/>
      <c r="C859" s="45">
        <f t="shared" si="200"/>
        <v>3158</v>
      </c>
      <c r="D859" s="45">
        <f t="shared" si="201"/>
        <v>5</v>
      </c>
      <c r="E859" s="45">
        <f t="shared" si="202"/>
        <v>2017</v>
      </c>
      <c r="F859" s="45">
        <f t="shared" si="203"/>
        <v>0</v>
      </c>
      <c r="G859" s="45" t="s">
        <v>448</v>
      </c>
      <c r="H859" s="45" t="s">
        <v>451</v>
      </c>
      <c r="I859" s="162" t="str">
        <f t="shared" si="204"/>
        <v/>
      </c>
      <c r="J859" s="112" t="s">
        <v>1321</v>
      </c>
    </row>
    <row r="860" spans="2:10" s="112" customFormat="1" hidden="1">
      <c r="B860" s="45"/>
      <c r="C860" s="45">
        <f t="shared" si="200"/>
        <v>3158</v>
      </c>
      <c r="D860" s="45">
        <f t="shared" si="201"/>
        <v>5</v>
      </c>
      <c r="E860" s="45">
        <f t="shared" si="202"/>
        <v>2017</v>
      </c>
      <c r="F860" s="45">
        <f t="shared" si="203"/>
        <v>0</v>
      </c>
      <c r="G860" s="45" t="s">
        <v>448</v>
      </c>
      <c r="H860" s="45" t="s">
        <v>452</v>
      </c>
      <c r="I860" s="162" t="str">
        <f t="shared" si="204"/>
        <v/>
      </c>
      <c r="J860" s="112" t="s">
        <v>1322</v>
      </c>
    </row>
    <row r="861" spans="2:10" s="112" customFormat="1" hidden="1">
      <c r="B861" s="45"/>
      <c r="C861" s="45">
        <f t="shared" si="200"/>
        <v>3158</v>
      </c>
      <c r="D861" s="45">
        <f t="shared" si="201"/>
        <v>5</v>
      </c>
      <c r="E861" s="45">
        <f t="shared" si="202"/>
        <v>2017</v>
      </c>
      <c r="F861" s="45">
        <f t="shared" si="203"/>
        <v>0</v>
      </c>
      <c r="G861" s="45" t="s">
        <v>448</v>
      </c>
      <c r="H861" s="45" t="s">
        <v>453</v>
      </c>
      <c r="I861" s="162" t="str">
        <f t="shared" si="204"/>
        <v/>
      </c>
      <c r="J861" s="112" t="s">
        <v>1323</v>
      </c>
    </row>
    <row r="862" spans="2:10" s="112" customFormat="1" hidden="1">
      <c r="B862" s="45"/>
      <c r="C862" s="45">
        <f t="shared" si="200"/>
        <v>3158</v>
      </c>
      <c r="D862" s="45">
        <f t="shared" si="201"/>
        <v>5</v>
      </c>
      <c r="E862" s="45">
        <f t="shared" si="202"/>
        <v>2017</v>
      </c>
      <c r="F862" s="45">
        <f t="shared" si="203"/>
        <v>0</v>
      </c>
      <c r="G862" s="45" t="s">
        <v>448</v>
      </c>
      <c r="H862" s="45" t="s">
        <v>454</v>
      </c>
      <c r="I862" s="162" t="str">
        <f t="shared" si="204"/>
        <v/>
      </c>
      <c r="J862" s="112" t="s">
        <v>1324</v>
      </c>
    </row>
    <row r="863" spans="2:10" s="112" customFormat="1" hidden="1">
      <c r="B863" s="45"/>
      <c r="C863" s="45">
        <f t="shared" si="200"/>
        <v>3158</v>
      </c>
      <c r="D863" s="45">
        <f t="shared" si="201"/>
        <v>5</v>
      </c>
      <c r="E863" s="45">
        <f t="shared" si="202"/>
        <v>2017</v>
      </c>
      <c r="F863" s="45">
        <f t="shared" si="203"/>
        <v>0</v>
      </c>
      <c r="G863" s="45" t="s">
        <v>448</v>
      </c>
      <c r="H863" s="45" t="s">
        <v>455</v>
      </c>
      <c r="I863" s="162" t="str">
        <f t="shared" si="204"/>
        <v/>
      </c>
      <c r="J863" s="112" t="s">
        <v>1325</v>
      </c>
    </row>
    <row r="864" spans="2:10" s="112" customFormat="1" hidden="1">
      <c r="B864" s="45"/>
      <c r="C864" s="45">
        <f t="shared" si="200"/>
        <v>3158</v>
      </c>
      <c r="D864" s="45">
        <f t="shared" si="201"/>
        <v>5</v>
      </c>
      <c r="E864" s="45">
        <f t="shared" si="202"/>
        <v>2017</v>
      </c>
      <c r="F864" s="45">
        <f t="shared" si="203"/>
        <v>0</v>
      </c>
      <c r="G864" s="45" t="s">
        <v>448</v>
      </c>
      <c r="H864" s="45" t="s">
        <v>456</v>
      </c>
      <c r="I864" s="162" t="str">
        <f t="shared" si="204"/>
        <v/>
      </c>
      <c r="J864" s="112" t="s">
        <v>1326</v>
      </c>
    </row>
    <row r="865" spans="2:10" s="112" customFormat="1" hidden="1">
      <c r="B865" s="45"/>
      <c r="C865" s="45">
        <f t="shared" si="200"/>
        <v>3158</v>
      </c>
      <c r="D865" s="45">
        <f t="shared" si="201"/>
        <v>5</v>
      </c>
      <c r="E865" s="45">
        <f t="shared" si="202"/>
        <v>2017</v>
      </c>
      <c r="F865" s="45">
        <f t="shared" si="203"/>
        <v>0</v>
      </c>
      <c r="G865" s="45" t="s">
        <v>448</v>
      </c>
      <c r="H865" s="45" t="s">
        <v>457</v>
      </c>
      <c r="I865" s="162" t="str">
        <f t="shared" si="204"/>
        <v/>
      </c>
      <c r="J865" s="112" t="s">
        <v>1327</v>
      </c>
    </row>
    <row r="866" spans="2:10" s="112" customFormat="1" hidden="1">
      <c r="B866" s="45"/>
      <c r="C866" s="45">
        <f t="shared" si="200"/>
        <v>3158</v>
      </c>
      <c r="D866" s="45">
        <f t="shared" si="201"/>
        <v>5</v>
      </c>
      <c r="E866" s="45">
        <f t="shared" si="202"/>
        <v>2017</v>
      </c>
      <c r="F866" s="45">
        <f t="shared" si="203"/>
        <v>0</v>
      </c>
      <c r="G866" s="45" t="s">
        <v>448</v>
      </c>
      <c r="H866" s="45" t="s">
        <v>458</v>
      </c>
      <c r="I866" s="162" t="str">
        <f t="shared" si="204"/>
        <v/>
      </c>
      <c r="J866" s="112" t="s">
        <v>1328</v>
      </c>
    </row>
    <row r="867" spans="2:10" s="112" customFormat="1" hidden="1">
      <c r="B867" s="45"/>
      <c r="C867" s="45">
        <f t="shared" si="200"/>
        <v>3158</v>
      </c>
      <c r="D867" s="45">
        <f t="shared" si="201"/>
        <v>5</v>
      </c>
      <c r="E867" s="45">
        <f t="shared" si="202"/>
        <v>2017</v>
      </c>
      <c r="F867" s="45">
        <f t="shared" si="203"/>
        <v>0</v>
      </c>
      <c r="G867" s="45" t="s">
        <v>448</v>
      </c>
      <c r="H867" s="45" t="s">
        <v>460</v>
      </c>
      <c r="I867" s="162" t="str">
        <f t="shared" si="204"/>
        <v/>
      </c>
      <c r="J867" s="112" t="s">
        <v>1329</v>
      </c>
    </row>
    <row r="868" spans="2:10" s="112" customFormat="1" hidden="1">
      <c r="B868" s="45"/>
      <c r="C868" s="45">
        <f t="shared" si="200"/>
        <v>3158</v>
      </c>
      <c r="D868" s="45">
        <f t="shared" si="201"/>
        <v>5</v>
      </c>
      <c r="E868" s="45">
        <f t="shared" si="202"/>
        <v>2017</v>
      </c>
      <c r="F868" s="45">
        <f t="shared" ref="F868:F878" si="205">CB$3</f>
        <v>0</v>
      </c>
      <c r="G868" s="45" t="s">
        <v>448</v>
      </c>
      <c r="H868" s="45" t="s">
        <v>449</v>
      </c>
      <c r="I868" s="162" t="str">
        <f t="shared" ref="I868:I878" si="206">IF(ISBLANK(CB4),"",CB4)</f>
        <v/>
      </c>
      <c r="J868" s="112" t="s">
        <v>1330</v>
      </c>
    </row>
    <row r="869" spans="2:10" s="112" customFormat="1" hidden="1">
      <c r="B869" s="45"/>
      <c r="C869" s="45">
        <f t="shared" si="200"/>
        <v>3158</v>
      </c>
      <c r="D869" s="45">
        <f t="shared" si="201"/>
        <v>5</v>
      </c>
      <c r="E869" s="45">
        <f t="shared" si="202"/>
        <v>2017</v>
      </c>
      <c r="F869" s="45">
        <f t="shared" si="205"/>
        <v>0</v>
      </c>
      <c r="G869" s="45" t="s">
        <v>448</v>
      </c>
      <c r="H869" s="45" t="s">
        <v>450</v>
      </c>
      <c r="I869" s="162" t="str">
        <f t="shared" si="206"/>
        <v/>
      </c>
      <c r="J869" s="112" t="s">
        <v>1331</v>
      </c>
    </row>
    <row r="870" spans="2:10" s="112" customFormat="1" hidden="1">
      <c r="B870" s="45"/>
      <c r="C870" s="45">
        <f t="shared" si="200"/>
        <v>3158</v>
      </c>
      <c r="D870" s="45">
        <f t="shared" si="201"/>
        <v>5</v>
      </c>
      <c r="E870" s="45">
        <f t="shared" si="202"/>
        <v>2017</v>
      </c>
      <c r="F870" s="45">
        <f t="shared" si="205"/>
        <v>0</v>
      </c>
      <c r="G870" s="45" t="s">
        <v>448</v>
      </c>
      <c r="H870" s="45" t="s">
        <v>451</v>
      </c>
      <c r="I870" s="162" t="str">
        <f t="shared" si="206"/>
        <v/>
      </c>
      <c r="J870" s="112" t="s">
        <v>1332</v>
      </c>
    </row>
    <row r="871" spans="2:10" s="112" customFormat="1" hidden="1">
      <c r="B871" s="45"/>
      <c r="C871" s="45">
        <f t="shared" si="200"/>
        <v>3158</v>
      </c>
      <c r="D871" s="45">
        <f t="shared" si="201"/>
        <v>5</v>
      </c>
      <c r="E871" s="45">
        <f t="shared" si="202"/>
        <v>2017</v>
      </c>
      <c r="F871" s="45">
        <f t="shared" si="205"/>
        <v>0</v>
      </c>
      <c r="G871" s="45" t="s">
        <v>448</v>
      </c>
      <c r="H871" s="45" t="s">
        <v>452</v>
      </c>
      <c r="I871" s="162" t="str">
        <f t="shared" si="206"/>
        <v/>
      </c>
      <c r="J871" s="112" t="s">
        <v>1333</v>
      </c>
    </row>
    <row r="872" spans="2:10" s="112" customFormat="1" hidden="1">
      <c r="B872" s="45"/>
      <c r="C872" s="45">
        <f t="shared" si="200"/>
        <v>3158</v>
      </c>
      <c r="D872" s="45">
        <f t="shared" si="201"/>
        <v>5</v>
      </c>
      <c r="E872" s="45">
        <f t="shared" si="202"/>
        <v>2017</v>
      </c>
      <c r="F872" s="45">
        <f t="shared" si="205"/>
        <v>0</v>
      </c>
      <c r="G872" s="45" t="s">
        <v>448</v>
      </c>
      <c r="H872" s="45" t="s">
        <v>453</v>
      </c>
      <c r="I872" s="162" t="str">
        <f t="shared" si="206"/>
        <v/>
      </c>
      <c r="J872" s="112" t="s">
        <v>1334</v>
      </c>
    </row>
    <row r="873" spans="2:10" s="112" customFormat="1" hidden="1">
      <c r="B873" s="45"/>
      <c r="C873" s="45">
        <f t="shared" si="200"/>
        <v>3158</v>
      </c>
      <c r="D873" s="45">
        <f t="shared" si="201"/>
        <v>5</v>
      </c>
      <c r="E873" s="45">
        <f t="shared" si="202"/>
        <v>2017</v>
      </c>
      <c r="F873" s="45">
        <f t="shared" si="205"/>
        <v>0</v>
      </c>
      <c r="G873" s="45" t="s">
        <v>448</v>
      </c>
      <c r="H873" s="45" t="s">
        <v>454</v>
      </c>
      <c r="I873" s="162" t="str">
        <f t="shared" si="206"/>
        <v/>
      </c>
      <c r="J873" s="112" t="s">
        <v>1335</v>
      </c>
    </row>
    <row r="874" spans="2:10" s="112" customFormat="1" hidden="1">
      <c r="B874" s="45"/>
      <c r="C874" s="45">
        <f t="shared" si="200"/>
        <v>3158</v>
      </c>
      <c r="D874" s="45">
        <f t="shared" si="201"/>
        <v>5</v>
      </c>
      <c r="E874" s="45">
        <f t="shared" si="202"/>
        <v>2017</v>
      </c>
      <c r="F874" s="45">
        <f t="shared" si="205"/>
        <v>0</v>
      </c>
      <c r="G874" s="45" t="s">
        <v>448</v>
      </c>
      <c r="H874" s="45" t="s">
        <v>455</v>
      </c>
      <c r="I874" s="162" t="str">
        <f t="shared" si="206"/>
        <v/>
      </c>
      <c r="J874" s="112" t="s">
        <v>1336</v>
      </c>
    </row>
    <row r="875" spans="2:10" s="112" customFormat="1" hidden="1">
      <c r="B875" s="45"/>
      <c r="C875" s="45">
        <f t="shared" si="200"/>
        <v>3158</v>
      </c>
      <c r="D875" s="45">
        <f t="shared" si="201"/>
        <v>5</v>
      </c>
      <c r="E875" s="45">
        <f t="shared" si="202"/>
        <v>2017</v>
      </c>
      <c r="F875" s="45">
        <f t="shared" si="205"/>
        <v>0</v>
      </c>
      <c r="G875" s="45" t="s">
        <v>448</v>
      </c>
      <c r="H875" s="45" t="s">
        <v>456</v>
      </c>
      <c r="I875" s="162" t="str">
        <f t="shared" si="206"/>
        <v/>
      </c>
      <c r="J875" s="112" t="s">
        <v>1337</v>
      </c>
    </row>
    <row r="876" spans="2:10" s="112" customFormat="1" hidden="1">
      <c r="B876" s="45"/>
      <c r="C876" s="45">
        <f t="shared" si="200"/>
        <v>3158</v>
      </c>
      <c r="D876" s="45">
        <f t="shared" si="201"/>
        <v>5</v>
      </c>
      <c r="E876" s="45">
        <f t="shared" si="202"/>
        <v>2017</v>
      </c>
      <c r="F876" s="45">
        <f t="shared" si="205"/>
        <v>0</v>
      </c>
      <c r="G876" s="45" t="s">
        <v>448</v>
      </c>
      <c r="H876" s="45" t="s">
        <v>457</v>
      </c>
      <c r="I876" s="162" t="str">
        <f t="shared" si="206"/>
        <v/>
      </c>
      <c r="J876" s="112" t="s">
        <v>1338</v>
      </c>
    </row>
    <row r="877" spans="2:10" s="112" customFormat="1" hidden="1">
      <c r="B877" s="45"/>
      <c r="C877" s="45">
        <f t="shared" si="200"/>
        <v>3158</v>
      </c>
      <c r="D877" s="45">
        <f t="shared" si="201"/>
        <v>5</v>
      </c>
      <c r="E877" s="45">
        <f t="shared" si="202"/>
        <v>2017</v>
      </c>
      <c r="F877" s="45">
        <f t="shared" si="205"/>
        <v>0</v>
      </c>
      <c r="G877" s="45" t="s">
        <v>448</v>
      </c>
      <c r="H877" s="45" t="s">
        <v>458</v>
      </c>
      <c r="I877" s="162" t="str">
        <f t="shared" si="206"/>
        <v/>
      </c>
      <c r="J877" s="112" t="s">
        <v>1339</v>
      </c>
    </row>
    <row r="878" spans="2:10" s="112" customFormat="1" hidden="1">
      <c r="B878" s="45"/>
      <c r="C878" s="45">
        <f t="shared" si="200"/>
        <v>3158</v>
      </c>
      <c r="D878" s="45">
        <f t="shared" si="201"/>
        <v>5</v>
      </c>
      <c r="E878" s="45">
        <f t="shared" si="202"/>
        <v>2017</v>
      </c>
      <c r="F878" s="45">
        <f t="shared" si="205"/>
        <v>0</v>
      </c>
      <c r="G878" s="45" t="s">
        <v>448</v>
      </c>
      <c r="H878" s="45" t="s">
        <v>460</v>
      </c>
      <c r="I878" s="162" t="str">
        <f t="shared" si="206"/>
        <v/>
      </c>
      <c r="J878" s="112" t="s">
        <v>1340</v>
      </c>
    </row>
    <row r="879" spans="2:10" s="112" customFormat="1" hidden="1">
      <c r="B879" s="45"/>
      <c r="C879" s="45">
        <f t="shared" si="200"/>
        <v>3158</v>
      </c>
      <c r="D879" s="45">
        <f t="shared" si="201"/>
        <v>5</v>
      </c>
      <c r="E879" s="45">
        <f t="shared" si="202"/>
        <v>2017</v>
      </c>
      <c r="F879" s="45">
        <f t="shared" ref="F879:F889" si="207">CC$3</f>
        <v>0</v>
      </c>
      <c r="G879" s="45" t="s">
        <v>448</v>
      </c>
      <c r="H879" s="45" t="s">
        <v>449</v>
      </c>
      <c r="I879" s="162" t="str">
        <f t="shared" ref="I879:I889" si="208">IF(ISBLANK(CC4),"",CC4)</f>
        <v/>
      </c>
      <c r="J879" s="112" t="s">
        <v>1341</v>
      </c>
    </row>
    <row r="880" spans="2:10" s="112" customFormat="1" hidden="1">
      <c r="B880" s="45"/>
      <c r="C880" s="45">
        <f t="shared" si="200"/>
        <v>3158</v>
      </c>
      <c r="D880" s="45">
        <f t="shared" si="201"/>
        <v>5</v>
      </c>
      <c r="E880" s="45">
        <f t="shared" si="202"/>
        <v>2017</v>
      </c>
      <c r="F880" s="45">
        <f t="shared" si="207"/>
        <v>0</v>
      </c>
      <c r="G880" s="45" t="s">
        <v>448</v>
      </c>
      <c r="H880" s="45" t="s">
        <v>450</v>
      </c>
      <c r="I880" s="162" t="str">
        <f t="shared" si="208"/>
        <v/>
      </c>
      <c r="J880" s="112" t="s">
        <v>1342</v>
      </c>
    </row>
    <row r="881" spans="2:10" s="112" customFormat="1" hidden="1">
      <c r="B881" s="45"/>
      <c r="C881" s="45">
        <f t="shared" si="200"/>
        <v>3158</v>
      </c>
      <c r="D881" s="45">
        <f t="shared" si="201"/>
        <v>5</v>
      </c>
      <c r="E881" s="45">
        <f t="shared" si="202"/>
        <v>2017</v>
      </c>
      <c r="F881" s="45">
        <f t="shared" si="207"/>
        <v>0</v>
      </c>
      <c r="G881" s="45" t="s">
        <v>448</v>
      </c>
      <c r="H881" s="45" t="s">
        <v>451</v>
      </c>
      <c r="I881" s="162" t="str">
        <f t="shared" si="208"/>
        <v/>
      </c>
      <c r="J881" s="112" t="s">
        <v>1343</v>
      </c>
    </row>
    <row r="882" spans="2:10" s="112" customFormat="1" hidden="1">
      <c r="B882" s="45"/>
      <c r="C882" s="45">
        <f t="shared" si="200"/>
        <v>3158</v>
      </c>
      <c r="D882" s="45">
        <f t="shared" si="201"/>
        <v>5</v>
      </c>
      <c r="E882" s="45">
        <f t="shared" si="202"/>
        <v>2017</v>
      </c>
      <c r="F882" s="45">
        <f t="shared" si="207"/>
        <v>0</v>
      </c>
      <c r="G882" s="45" t="s">
        <v>448</v>
      </c>
      <c r="H882" s="45" t="s">
        <v>452</v>
      </c>
      <c r="I882" s="162" t="str">
        <f t="shared" si="208"/>
        <v/>
      </c>
      <c r="J882" s="112" t="s">
        <v>1344</v>
      </c>
    </row>
    <row r="883" spans="2:10" s="112" customFormat="1" hidden="1">
      <c r="B883" s="45"/>
      <c r="C883" s="45">
        <f t="shared" si="200"/>
        <v>3158</v>
      </c>
      <c r="D883" s="45">
        <f t="shared" si="201"/>
        <v>5</v>
      </c>
      <c r="E883" s="45">
        <f t="shared" si="202"/>
        <v>2017</v>
      </c>
      <c r="F883" s="45">
        <f t="shared" si="207"/>
        <v>0</v>
      </c>
      <c r="G883" s="45" t="s">
        <v>448</v>
      </c>
      <c r="H883" s="45" t="s">
        <v>453</v>
      </c>
      <c r="I883" s="162" t="str">
        <f t="shared" si="208"/>
        <v/>
      </c>
      <c r="J883" s="112" t="s">
        <v>1345</v>
      </c>
    </row>
    <row r="884" spans="2:10" s="112" customFormat="1" hidden="1">
      <c r="B884" s="45"/>
      <c r="C884" s="45">
        <f t="shared" si="200"/>
        <v>3158</v>
      </c>
      <c r="D884" s="45">
        <f t="shared" si="201"/>
        <v>5</v>
      </c>
      <c r="E884" s="45">
        <f t="shared" si="202"/>
        <v>2017</v>
      </c>
      <c r="F884" s="45">
        <f t="shared" si="207"/>
        <v>0</v>
      </c>
      <c r="G884" s="45" t="s">
        <v>448</v>
      </c>
      <c r="H884" s="45" t="s">
        <v>454</v>
      </c>
      <c r="I884" s="162" t="str">
        <f t="shared" si="208"/>
        <v/>
      </c>
      <c r="J884" s="112" t="s">
        <v>1346</v>
      </c>
    </row>
    <row r="885" spans="2:10" s="112" customFormat="1" hidden="1">
      <c r="B885" s="45"/>
      <c r="C885" s="45">
        <f t="shared" si="200"/>
        <v>3158</v>
      </c>
      <c r="D885" s="45">
        <f t="shared" si="201"/>
        <v>5</v>
      </c>
      <c r="E885" s="45">
        <f t="shared" si="202"/>
        <v>2017</v>
      </c>
      <c r="F885" s="45">
        <f t="shared" si="207"/>
        <v>0</v>
      </c>
      <c r="G885" s="45" t="s">
        <v>448</v>
      </c>
      <c r="H885" s="45" t="s">
        <v>455</v>
      </c>
      <c r="I885" s="162" t="str">
        <f t="shared" si="208"/>
        <v/>
      </c>
      <c r="J885" s="112" t="s">
        <v>1347</v>
      </c>
    </row>
    <row r="886" spans="2:10" s="112" customFormat="1" hidden="1">
      <c r="B886" s="45"/>
      <c r="C886" s="45">
        <f t="shared" si="200"/>
        <v>3158</v>
      </c>
      <c r="D886" s="45">
        <f t="shared" si="201"/>
        <v>5</v>
      </c>
      <c r="E886" s="45">
        <f t="shared" si="202"/>
        <v>2017</v>
      </c>
      <c r="F886" s="45">
        <f t="shared" si="207"/>
        <v>0</v>
      </c>
      <c r="G886" s="45" t="s">
        <v>448</v>
      </c>
      <c r="H886" s="45" t="s">
        <v>456</v>
      </c>
      <c r="I886" s="162" t="str">
        <f t="shared" si="208"/>
        <v/>
      </c>
      <c r="J886" s="112" t="s">
        <v>1348</v>
      </c>
    </row>
    <row r="887" spans="2:10" s="112" customFormat="1" hidden="1">
      <c r="B887" s="45"/>
      <c r="C887" s="45">
        <f t="shared" si="200"/>
        <v>3158</v>
      </c>
      <c r="D887" s="45">
        <f t="shared" si="201"/>
        <v>5</v>
      </c>
      <c r="E887" s="45">
        <f t="shared" si="202"/>
        <v>2017</v>
      </c>
      <c r="F887" s="45">
        <f t="shared" si="207"/>
        <v>0</v>
      </c>
      <c r="G887" s="45" t="s">
        <v>448</v>
      </c>
      <c r="H887" s="45" t="s">
        <v>457</v>
      </c>
      <c r="I887" s="162" t="str">
        <f t="shared" si="208"/>
        <v/>
      </c>
      <c r="J887" s="112" t="s">
        <v>1349</v>
      </c>
    </row>
    <row r="888" spans="2:10" s="112" customFormat="1" hidden="1">
      <c r="B888" s="45"/>
      <c r="C888" s="45">
        <f t="shared" si="200"/>
        <v>3158</v>
      </c>
      <c r="D888" s="45">
        <f t="shared" si="201"/>
        <v>5</v>
      </c>
      <c r="E888" s="45">
        <f t="shared" si="202"/>
        <v>2017</v>
      </c>
      <c r="F888" s="45">
        <f t="shared" si="207"/>
        <v>0</v>
      </c>
      <c r="G888" s="45" t="s">
        <v>448</v>
      </c>
      <c r="H888" s="45" t="s">
        <v>458</v>
      </c>
      <c r="I888" s="162" t="str">
        <f t="shared" si="208"/>
        <v/>
      </c>
      <c r="J888" s="112" t="s">
        <v>1350</v>
      </c>
    </row>
    <row r="889" spans="2:10" s="112" customFormat="1" hidden="1">
      <c r="B889" s="45"/>
      <c r="C889" s="45">
        <f t="shared" si="200"/>
        <v>3158</v>
      </c>
      <c r="D889" s="45">
        <f t="shared" si="201"/>
        <v>5</v>
      </c>
      <c r="E889" s="45">
        <f t="shared" si="202"/>
        <v>2017</v>
      </c>
      <c r="F889" s="45">
        <f t="shared" si="207"/>
        <v>0</v>
      </c>
      <c r="G889" s="45" t="s">
        <v>448</v>
      </c>
      <c r="H889" s="45" t="s">
        <v>460</v>
      </c>
      <c r="I889" s="162" t="str">
        <f t="shared" si="208"/>
        <v/>
      </c>
      <c r="J889" s="112" t="s">
        <v>1351</v>
      </c>
    </row>
    <row r="890" spans="2:10" s="112" customFormat="1" hidden="1">
      <c r="B890" s="45"/>
      <c r="C890" s="45">
        <f t="shared" si="200"/>
        <v>3158</v>
      </c>
      <c r="D890" s="45">
        <f t="shared" si="201"/>
        <v>5</v>
      </c>
      <c r="E890" s="45">
        <f t="shared" si="202"/>
        <v>2017</v>
      </c>
      <c r="F890" s="45">
        <f t="shared" ref="F890:F900" si="209">CD$3</f>
        <v>0</v>
      </c>
      <c r="G890" s="45" t="s">
        <v>448</v>
      </c>
      <c r="H890" s="45" t="s">
        <v>449</v>
      </c>
      <c r="I890" s="162" t="str">
        <f t="shared" ref="I890:I900" si="210">IF(ISBLANK(CD4),"",CD4)</f>
        <v/>
      </c>
      <c r="J890" s="112" t="s">
        <v>1352</v>
      </c>
    </row>
    <row r="891" spans="2:10" s="112" customFormat="1" hidden="1">
      <c r="B891" s="45"/>
      <c r="C891" s="45">
        <f t="shared" si="200"/>
        <v>3158</v>
      </c>
      <c r="D891" s="45">
        <f t="shared" si="201"/>
        <v>5</v>
      </c>
      <c r="E891" s="45">
        <f t="shared" si="202"/>
        <v>2017</v>
      </c>
      <c r="F891" s="45">
        <f t="shared" si="209"/>
        <v>0</v>
      </c>
      <c r="G891" s="45" t="s">
        <v>448</v>
      </c>
      <c r="H891" s="45" t="s">
        <v>450</v>
      </c>
      <c r="I891" s="162" t="str">
        <f t="shared" si="210"/>
        <v/>
      </c>
      <c r="J891" s="112" t="s">
        <v>1353</v>
      </c>
    </row>
    <row r="892" spans="2:10" s="112" customFormat="1" hidden="1">
      <c r="B892" s="45"/>
      <c r="C892" s="45">
        <f t="shared" si="200"/>
        <v>3158</v>
      </c>
      <c r="D892" s="45">
        <f t="shared" si="201"/>
        <v>5</v>
      </c>
      <c r="E892" s="45">
        <f t="shared" si="202"/>
        <v>2017</v>
      </c>
      <c r="F892" s="45">
        <f t="shared" si="209"/>
        <v>0</v>
      </c>
      <c r="G892" s="45" t="s">
        <v>448</v>
      </c>
      <c r="H892" s="45" t="s">
        <v>451</v>
      </c>
      <c r="I892" s="162" t="str">
        <f t="shared" si="210"/>
        <v/>
      </c>
      <c r="J892" s="112" t="s">
        <v>1354</v>
      </c>
    </row>
    <row r="893" spans="2:10" s="112" customFormat="1" hidden="1">
      <c r="B893" s="45"/>
      <c r="C893" s="45">
        <f t="shared" si="200"/>
        <v>3158</v>
      </c>
      <c r="D893" s="45">
        <f t="shared" si="201"/>
        <v>5</v>
      </c>
      <c r="E893" s="45">
        <f t="shared" si="202"/>
        <v>2017</v>
      </c>
      <c r="F893" s="45">
        <f t="shared" si="209"/>
        <v>0</v>
      </c>
      <c r="G893" s="45" t="s">
        <v>448</v>
      </c>
      <c r="H893" s="45" t="s">
        <v>452</v>
      </c>
      <c r="I893" s="162" t="str">
        <f t="shared" si="210"/>
        <v/>
      </c>
      <c r="J893" s="112" t="s">
        <v>1355</v>
      </c>
    </row>
    <row r="894" spans="2:10" s="112" customFormat="1" hidden="1">
      <c r="B894" s="45"/>
      <c r="C894" s="45">
        <f t="shared" si="200"/>
        <v>3158</v>
      </c>
      <c r="D894" s="45">
        <f t="shared" si="201"/>
        <v>5</v>
      </c>
      <c r="E894" s="45">
        <f t="shared" si="202"/>
        <v>2017</v>
      </c>
      <c r="F894" s="45">
        <f t="shared" si="209"/>
        <v>0</v>
      </c>
      <c r="G894" s="45" t="s">
        <v>448</v>
      </c>
      <c r="H894" s="45" t="s">
        <v>453</v>
      </c>
      <c r="I894" s="162" t="str">
        <f t="shared" si="210"/>
        <v/>
      </c>
      <c r="J894" s="112" t="s">
        <v>1356</v>
      </c>
    </row>
    <row r="895" spans="2:10" s="112" customFormat="1" hidden="1">
      <c r="B895" s="45"/>
      <c r="C895" s="45">
        <f t="shared" si="200"/>
        <v>3158</v>
      </c>
      <c r="D895" s="45">
        <f t="shared" si="201"/>
        <v>5</v>
      </c>
      <c r="E895" s="45">
        <f t="shared" si="202"/>
        <v>2017</v>
      </c>
      <c r="F895" s="45">
        <f t="shared" si="209"/>
        <v>0</v>
      </c>
      <c r="G895" s="45" t="s">
        <v>448</v>
      </c>
      <c r="H895" s="45" t="s">
        <v>454</v>
      </c>
      <c r="I895" s="162" t="str">
        <f t="shared" si="210"/>
        <v/>
      </c>
      <c r="J895" s="112" t="s">
        <v>1357</v>
      </c>
    </row>
    <row r="896" spans="2:10" s="112" customFormat="1" hidden="1">
      <c r="B896" s="45"/>
      <c r="C896" s="45">
        <f t="shared" si="200"/>
        <v>3158</v>
      </c>
      <c r="D896" s="45">
        <f t="shared" si="201"/>
        <v>5</v>
      </c>
      <c r="E896" s="45">
        <f t="shared" si="202"/>
        <v>2017</v>
      </c>
      <c r="F896" s="45">
        <f t="shared" si="209"/>
        <v>0</v>
      </c>
      <c r="G896" s="45" t="s">
        <v>448</v>
      </c>
      <c r="H896" s="45" t="s">
        <v>455</v>
      </c>
      <c r="I896" s="162" t="str">
        <f t="shared" si="210"/>
        <v/>
      </c>
      <c r="J896" s="112" t="s">
        <v>1358</v>
      </c>
    </row>
    <row r="897" spans="2:14" s="112" customFormat="1" hidden="1">
      <c r="B897" s="45"/>
      <c r="C897" s="45">
        <f t="shared" si="200"/>
        <v>3158</v>
      </c>
      <c r="D897" s="45">
        <f t="shared" si="201"/>
        <v>5</v>
      </c>
      <c r="E897" s="45">
        <f t="shared" si="202"/>
        <v>2017</v>
      </c>
      <c r="F897" s="45">
        <f t="shared" si="209"/>
        <v>0</v>
      </c>
      <c r="G897" s="45" t="s">
        <v>448</v>
      </c>
      <c r="H897" s="45" t="s">
        <v>456</v>
      </c>
      <c r="I897" s="162" t="str">
        <f t="shared" si="210"/>
        <v/>
      </c>
      <c r="J897" s="112" t="s">
        <v>1359</v>
      </c>
    </row>
    <row r="898" spans="2:14" s="112" customFormat="1" hidden="1">
      <c r="B898" s="45"/>
      <c r="C898" s="45">
        <f t="shared" si="200"/>
        <v>3158</v>
      </c>
      <c r="D898" s="45">
        <f t="shared" si="201"/>
        <v>5</v>
      </c>
      <c r="E898" s="45">
        <f t="shared" si="202"/>
        <v>2017</v>
      </c>
      <c r="F898" s="45">
        <f t="shared" si="209"/>
        <v>0</v>
      </c>
      <c r="G898" s="45" t="s">
        <v>448</v>
      </c>
      <c r="H898" s="45" t="s">
        <v>457</v>
      </c>
      <c r="I898" s="162" t="str">
        <f t="shared" si="210"/>
        <v/>
      </c>
      <c r="J898" s="112" t="s">
        <v>1360</v>
      </c>
    </row>
    <row r="899" spans="2:14" s="112" customFormat="1" hidden="1">
      <c r="B899" s="45"/>
      <c r="C899" s="45">
        <f t="shared" si="200"/>
        <v>3158</v>
      </c>
      <c r="D899" s="45">
        <f t="shared" si="201"/>
        <v>5</v>
      </c>
      <c r="E899" s="45">
        <f t="shared" si="202"/>
        <v>2017</v>
      </c>
      <c r="F899" s="45">
        <f t="shared" si="209"/>
        <v>0</v>
      </c>
      <c r="G899" s="45" t="s">
        <v>448</v>
      </c>
      <c r="H899" s="45" t="s">
        <v>458</v>
      </c>
      <c r="I899" s="162" t="str">
        <f t="shared" si="210"/>
        <v/>
      </c>
      <c r="J899" s="112" t="s">
        <v>1361</v>
      </c>
    </row>
    <row r="900" spans="2:14" s="112" customFormat="1" hidden="1">
      <c r="B900" s="45"/>
      <c r="C900" s="45">
        <f t="shared" si="200"/>
        <v>3158</v>
      </c>
      <c r="D900" s="45">
        <f t="shared" si="201"/>
        <v>5</v>
      </c>
      <c r="E900" s="45">
        <f t="shared" si="202"/>
        <v>2017</v>
      </c>
      <c r="F900" s="45">
        <f t="shared" si="209"/>
        <v>0</v>
      </c>
      <c r="G900" s="45" t="s">
        <v>448</v>
      </c>
      <c r="H900" s="45" t="s">
        <v>460</v>
      </c>
      <c r="I900" s="162" t="str">
        <f t="shared" si="210"/>
        <v/>
      </c>
      <c r="J900" s="112" t="s">
        <v>1362</v>
      </c>
    </row>
    <row r="901" spans="2:14" s="112" customFormat="1">
      <c r="B901" s="45"/>
      <c r="C901" s="45"/>
      <c r="D901" s="45"/>
      <c r="E901" s="45"/>
      <c r="F901" s="45"/>
    </row>
    <row r="902" spans="2:14" s="112" customFormat="1">
      <c r="B902" s="45"/>
      <c r="C902" s="45"/>
      <c r="D902" s="45"/>
      <c r="E902" s="45"/>
      <c r="F902" s="45"/>
    </row>
    <row r="903" spans="2:14" s="112" customFormat="1">
      <c r="B903" s="45"/>
      <c r="C903" s="45"/>
      <c r="D903" s="45"/>
      <c r="E903" s="45"/>
      <c r="F903" s="45"/>
      <c r="G903" s="45"/>
      <c r="H903" s="45"/>
      <c r="I903" s="162"/>
      <c r="J903" s="164"/>
    </row>
    <row r="904" spans="2:14" s="112" customFormat="1">
      <c r="B904" s="45"/>
      <c r="C904" s="45"/>
      <c r="D904" s="45"/>
      <c r="E904" s="45"/>
      <c r="F904" s="45"/>
      <c r="G904" s="45"/>
      <c r="H904" s="45"/>
      <c r="I904" s="162"/>
    </row>
    <row r="905" spans="2:14">
      <c r="K905" s="112"/>
      <c r="L905" s="112"/>
      <c r="M905" s="112"/>
      <c r="N905" s="112"/>
    </row>
    <row r="906" spans="2:14">
      <c r="K906" s="112"/>
      <c r="L906" s="112"/>
    </row>
    <row r="907" spans="2:14">
      <c r="K907" s="112"/>
      <c r="L907" s="112"/>
    </row>
    <row r="908" spans="2:14">
      <c r="K908" s="112"/>
      <c r="L908" s="112"/>
    </row>
    <row r="909" spans="2:14">
      <c r="K909" s="112"/>
      <c r="L909" s="112"/>
    </row>
    <row r="946" spans="7:8">
      <c r="G946" s="46" t="s">
        <v>2046</v>
      </c>
    </row>
    <row r="947" spans="7:8">
      <c r="G947" s="46">
        <v>2001</v>
      </c>
      <c r="H947" s="46">
        <v>1</v>
      </c>
    </row>
    <row r="948" spans="7:8">
      <c r="G948" s="46">
        <v>2002</v>
      </c>
      <c r="H948" s="46">
        <v>1</v>
      </c>
    </row>
    <row r="949" spans="7:8">
      <c r="G949" s="46">
        <v>2003</v>
      </c>
      <c r="H949" s="46">
        <v>1</v>
      </c>
    </row>
    <row r="950" spans="7:8">
      <c r="G950" s="46">
        <v>2004</v>
      </c>
      <c r="H950" s="46">
        <v>2</v>
      </c>
    </row>
    <row r="951" spans="7:8">
      <c r="G951" s="46">
        <v>2005</v>
      </c>
      <c r="H951" s="46">
        <v>2</v>
      </c>
    </row>
    <row r="952" spans="7:8">
      <c r="G952" s="46">
        <v>2006</v>
      </c>
      <c r="H952" s="46">
        <v>2</v>
      </c>
    </row>
    <row r="953" spans="7:8">
      <c r="G953" s="46">
        <v>2007</v>
      </c>
      <c r="H953" s="46">
        <v>3</v>
      </c>
    </row>
    <row r="954" spans="7:8">
      <c r="G954" s="46">
        <v>2008</v>
      </c>
      <c r="H954" s="46">
        <v>3</v>
      </c>
    </row>
    <row r="955" spans="7:8">
      <c r="G955" s="46">
        <v>2009</v>
      </c>
      <c r="H955" s="46">
        <v>3</v>
      </c>
    </row>
    <row r="956" spans="7:8">
      <c r="G956" s="46">
        <v>2010</v>
      </c>
      <c r="H956" s="46">
        <v>3</v>
      </c>
    </row>
    <row r="957" spans="7:8">
      <c r="G957" s="46">
        <v>2011</v>
      </c>
      <c r="H957" s="46">
        <v>4</v>
      </c>
    </row>
    <row r="958" spans="7:8">
      <c r="G958" s="46">
        <v>2012</v>
      </c>
      <c r="H958" s="46">
        <v>4</v>
      </c>
    </row>
    <row r="959" spans="7:8">
      <c r="G959" s="46">
        <v>2013</v>
      </c>
      <c r="H959" s="46">
        <v>4</v>
      </c>
    </row>
    <row r="960" spans="7:8">
      <c r="G960" s="46">
        <v>2014</v>
      </c>
      <c r="H960" s="46">
        <v>4</v>
      </c>
    </row>
  </sheetData>
  <sheetProtection password="CB72" sheet="1" objects="1" scenarios="1"/>
  <mergeCells count="4">
    <mergeCell ref="A1:C1"/>
    <mergeCell ref="F1:G1"/>
    <mergeCell ref="A17:B19"/>
    <mergeCell ref="A16:B16"/>
  </mergeCells>
  <phoneticPr fontId="0" type="noConversion"/>
  <conditionalFormatting sqref="C3:CD3">
    <cfRule type="cellIs" priority="1" stopIfTrue="1" operator="greaterThan">
      <formula>0</formula>
    </cfRule>
    <cfRule type="expression" dxfId="72" priority="2" stopIfTrue="1">
      <formula>SUM(C4:C14)&gt;0</formula>
    </cfRule>
  </conditionalFormatting>
  <conditionalFormatting sqref="D1">
    <cfRule type="expression" dxfId="71" priority="3" stopIfTrue="1">
      <formula>AND(SUM(C4:E14)&lt;&gt;0,D1=0)</formula>
    </cfRule>
  </conditionalFormatting>
  <conditionalFormatting sqref="H1">
    <cfRule type="expression" dxfId="70" priority="4" stopIfTrue="1">
      <formula>AND(SUM(C4:E14)&lt;&gt;0,H1=0)</formula>
    </cfRule>
  </conditionalFormatting>
  <conditionalFormatting sqref="C4:CD4">
    <cfRule type="cellIs" dxfId="69" priority="5" stopIfTrue="1" operator="greaterThan">
      <formula>70</formula>
    </cfRule>
  </conditionalFormatting>
  <dataValidations xWindow="378" yWindow="150" count="3">
    <dataValidation type="whole" allowBlank="1" showInputMessage="1" showErrorMessage="1" errorTitle="Ganze Zahl" error="Geben Sie eine Jahrzahl zwischen 2015 und 2018 an." sqref="D1" xr:uid="{00000000-0002-0000-0100-000000000000}">
      <formula1>2015</formula1>
      <formula2>2018</formula2>
    </dataValidation>
    <dataValidation type="whole" allowBlank="1" showInputMessage="1" showErrorMessage="1" errorTitle="Ungültige Vertragsnummer" error="Geben Sie Ihre Leistungsvertragsnummer ein." sqref="H1" xr:uid="{00000000-0002-0000-0100-000001000000}">
      <formula1>2000</formula1>
      <formula2>51629</formula2>
    </dataValidation>
    <dataValidation type="list" allowBlank="1" showInputMessage="1" showErrorMessage="1" errorTitle="Falsche BSV-Nummer" error="Geben Sie die BSV-Nummer gemäss Anhang 1.3 des Leistungsvertrags ein." promptTitle="BSV-Nr." prompt="Geben Sie die _x000a_BSV-Nr. ein oder wählen Sie aus der Liste aus." sqref="C3:CD3" xr:uid="{00000000-0002-0000-0100-000002000000}">
      <formula1>$K$22:$K$633</formula1>
    </dataValidation>
  </dataValidations>
  <pageMargins left="0.51181102362204722" right="0.27559055118110237" top="0.51181102362204722" bottom="0.27559055118110237" header="0.51181102362204722" footer="0.27559055118110237"/>
  <pageSetup paperSize="9" scale="97" orientation="landscape" r:id="rId1"/>
  <headerFooter alignWithMargins="0">
    <oddFooter>&amp;L&amp;8Druck: &amp;D, &amp;T&amp;R&amp;8VAF-Periode 2015-2018</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theme="3" tint="0.59999389629810485"/>
    <pageSetUpPr fitToPage="1"/>
  </sheetPr>
  <dimension ref="A1:IV386"/>
  <sheetViews>
    <sheetView showGridLines="0" showRowColHeaders="0" zoomScaleNormal="100" workbookViewId="0">
      <selection activeCell="U19" sqref="U19:U23"/>
    </sheetView>
  </sheetViews>
  <sheetFormatPr baseColWidth="10" defaultColWidth="10.6640625" defaultRowHeight="12.75"/>
  <cols>
    <col min="1" max="1" width="3.44140625" style="10" customWidth="1"/>
    <col min="2" max="2" width="28.44140625" style="15" customWidth="1"/>
    <col min="3" max="4" width="4.5546875" style="15" customWidth="1"/>
    <col min="5" max="5" width="6.77734375" style="15" customWidth="1"/>
    <col min="6" max="8" width="4.5546875" style="15" customWidth="1"/>
    <col min="9" max="9" width="8.88671875" style="15" customWidth="1"/>
    <col min="10" max="10" width="8.44140625" style="15" customWidth="1"/>
    <col min="11" max="11" width="6.44140625" style="15" customWidth="1"/>
    <col min="12" max="12" width="7" style="15" customWidth="1"/>
    <col min="13" max="13" width="6.88671875" style="15" customWidth="1"/>
    <col min="14" max="16" width="6.44140625" style="15" customWidth="1"/>
    <col min="17" max="17" width="6" style="15" customWidth="1"/>
    <col min="18" max="20" width="0.77734375" style="15" customWidth="1"/>
    <col min="21" max="21" width="6" style="15" customWidth="1"/>
    <col min="22" max="22" width="0.77734375" style="15" customWidth="1"/>
    <col min="23" max="23" width="4.44140625" style="15" customWidth="1"/>
    <col min="24" max="24" width="6.21875" style="15" customWidth="1"/>
    <col min="25" max="25" width="8.33203125" style="1" customWidth="1"/>
    <col min="26" max="26" width="2.109375" style="1" customWidth="1"/>
    <col min="27" max="27" width="11.6640625" style="1" customWidth="1"/>
    <col min="28" max="28" width="4.77734375" style="1" hidden="1" customWidth="1"/>
    <col min="29" max="33" width="10.6640625" style="1" hidden="1" customWidth="1"/>
    <col min="34" max="34" width="11.21875" style="1" hidden="1" customWidth="1"/>
    <col min="35" max="43" width="10.6640625" style="1" hidden="1" customWidth="1"/>
    <col min="44" max="47" width="10.6640625" style="1" customWidth="1"/>
    <col min="48" max="16384" width="10.6640625" style="1"/>
  </cols>
  <sheetData>
    <row r="1" spans="1:256" ht="13.5" thickBot="1">
      <c r="B1" s="1007" t="s">
        <v>2413</v>
      </c>
      <c r="C1" s="1007"/>
      <c r="D1" s="1007"/>
      <c r="E1" s="1007"/>
      <c r="F1" s="1007"/>
      <c r="G1" s="1007"/>
      <c r="H1" s="1007"/>
      <c r="I1" s="1007"/>
      <c r="J1" s="1010">
        <f>'Organisationsdaten (Basisinfo)'!D1</f>
        <v>2017</v>
      </c>
      <c r="K1" s="1011"/>
      <c r="M1" s="1012" t="s">
        <v>2446</v>
      </c>
      <c r="N1" s="1012"/>
      <c r="O1" s="1012"/>
      <c r="P1" s="1013">
        <f>'Organisationsdaten (Basisinfo)'!H1</f>
        <v>3158</v>
      </c>
      <c r="Q1" s="1014"/>
      <c r="R1" s="746"/>
      <c r="S1" s="746"/>
      <c r="T1" s="746"/>
      <c r="W1" s="278" t="s">
        <v>437</v>
      </c>
      <c r="X1" s="279">
        <f>'Organisationsdaten (Basisinfo)'!K1</f>
        <v>5</v>
      </c>
    </row>
    <row r="2" spans="1:256" ht="15.75" thickBot="1">
      <c r="A2" s="752"/>
      <c r="B2" s="753" t="s">
        <v>1543</v>
      </c>
      <c r="C2" s="754" t="s">
        <v>1766</v>
      </c>
      <c r="D2" s="754" t="s">
        <v>1767</v>
      </c>
      <c r="E2" s="754" t="s">
        <v>1768</v>
      </c>
      <c r="F2" s="754" t="s">
        <v>1769</v>
      </c>
      <c r="G2" s="754" t="s">
        <v>1770</v>
      </c>
      <c r="H2" s="754" t="s">
        <v>1771</v>
      </c>
      <c r="I2" s="754" t="s">
        <v>1772</v>
      </c>
      <c r="J2" s="754" t="s">
        <v>1773</v>
      </c>
      <c r="K2" s="754" t="s">
        <v>1774</v>
      </c>
      <c r="L2" s="754" t="s">
        <v>1775</v>
      </c>
      <c r="M2" s="754" t="s">
        <v>1776</v>
      </c>
      <c r="N2" s="754" t="s">
        <v>1777</v>
      </c>
      <c r="O2" s="754" t="s">
        <v>1778</v>
      </c>
      <c r="P2" s="754" t="s">
        <v>1779</v>
      </c>
      <c r="Q2" s="754" t="s">
        <v>1780</v>
      </c>
      <c r="R2" s="754"/>
      <c r="S2" s="754"/>
      <c r="T2" s="754"/>
      <c r="U2" s="754" t="s">
        <v>1784</v>
      </c>
      <c r="V2" s="754"/>
      <c r="W2" s="754" t="s">
        <v>1785</v>
      </c>
      <c r="X2" s="755" t="s">
        <v>436</v>
      </c>
      <c r="Y2" s="1008" t="s">
        <v>1786</v>
      </c>
      <c r="Z2" s="1009"/>
    </row>
    <row r="3" spans="1:256" s="16" customFormat="1" ht="27" customHeight="1" thickBot="1">
      <c r="A3" s="756">
        <v>1</v>
      </c>
      <c r="B3" s="1005" t="s">
        <v>2414</v>
      </c>
      <c r="C3" s="1015" t="s">
        <v>2447</v>
      </c>
      <c r="D3" s="1016"/>
      <c r="E3" s="1016"/>
      <c r="F3" s="1017"/>
      <c r="G3" s="1018" t="s">
        <v>2459</v>
      </c>
      <c r="H3" s="1019"/>
      <c r="I3" s="1020"/>
      <c r="J3" s="1025" t="s">
        <v>2460</v>
      </c>
      <c r="K3" s="1026"/>
      <c r="L3" s="1026"/>
      <c r="M3" s="1026"/>
      <c r="N3" s="1026"/>
      <c r="O3" s="1026"/>
      <c r="P3" s="1026"/>
      <c r="Q3" s="1026"/>
      <c r="R3" s="1026"/>
      <c r="S3" s="1026"/>
      <c r="T3" s="1026"/>
      <c r="U3" s="1026"/>
      <c r="V3" s="1026"/>
      <c r="W3" s="1026"/>
      <c r="X3" s="1027"/>
      <c r="Y3" s="1021" t="s">
        <v>1530</v>
      </c>
      <c r="Z3" s="1022"/>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row>
    <row r="4" spans="1:256" s="17" customFormat="1" ht="197.25" customHeight="1" thickBot="1">
      <c r="A4" s="757">
        <v>2</v>
      </c>
      <c r="B4" s="1006"/>
      <c r="C4" s="422" t="s">
        <v>2439</v>
      </c>
      <c r="D4" s="423" t="s">
        <v>2440</v>
      </c>
      <c r="E4" s="401" t="s">
        <v>2441</v>
      </c>
      <c r="F4" s="424" t="s">
        <v>2442</v>
      </c>
      <c r="G4" s="409" t="s">
        <v>2443</v>
      </c>
      <c r="H4" s="44" t="s">
        <v>2444</v>
      </c>
      <c r="I4" s="410" t="s">
        <v>2445</v>
      </c>
      <c r="J4" s="409" t="s">
        <v>2448</v>
      </c>
      <c r="K4" s="44" t="s">
        <v>2449</v>
      </c>
      <c r="L4" s="44" t="s">
        <v>2450</v>
      </c>
      <c r="M4" s="44" t="s">
        <v>2451</v>
      </c>
      <c r="N4" s="44" t="s">
        <v>2452</v>
      </c>
      <c r="O4" s="44" t="s">
        <v>2453</v>
      </c>
      <c r="P4" s="44" t="s">
        <v>2454</v>
      </c>
      <c r="Q4" s="44" t="s">
        <v>2455</v>
      </c>
      <c r="R4" s="782"/>
      <c r="S4" s="782"/>
      <c r="T4" s="782"/>
      <c r="U4" s="44" t="s">
        <v>2456</v>
      </c>
      <c r="V4" s="782"/>
      <c r="W4" s="44" t="s">
        <v>2457</v>
      </c>
      <c r="X4" s="410" t="s">
        <v>2458</v>
      </c>
      <c r="Y4" s="1023"/>
      <c r="Z4" s="1024"/>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c r="FV4" s="5"/>
      <c r="FW4" s="5"/>
      <c r="FX4" s="5"/>
      <c r="FY4" s="5"/>
      <c r="FZ4" s="5"/>
      <c r="GA4" s="5"/>
      <c r="GB4" s="5"/>
      <c r="GC4" s="5"/>
      <c r="GD4" s="5"/>
      <c r="GE4" s="5"/>
      <c r="GF4" s="5"/>
      <c r="GG4" s="5"/>
      <c r="GH4" s="5"/>
      <c r="GI4" s="5"/>
      <c r="GJ4" s="5"/>
      <c r="GK4" s="5"/>
      <c r="GL4" s="5"/>
      <c r="GM4" s="5"/>
      <c r="GN4" s="5"/>
      <c r="GO4" s="5"/>
      <c r="GP4" s="5"/>
      <c r="GQ4" s="5"/>
      <c r="GR4" s="5"/>
      <c r="GS4" s="5"/>
      <c r="GT4" s="5"/>
      <c r="GU4" s="5"/>
      <c r="GV4" s="5"/>
      <c r="GW4" s="5"/>
      <c r="GX4" s="5"/>
      <c r="GY4" s="5"/>
      <c r="GZ4" s="5"/>
      <c r="HA4" s="5"/>
      <c r="HB4" s="5"/>
      <c r="HC4" s="5"/>
      <c r="HD4" s="5"/>
      <c r="HE4" s="5"/>
      <c r="HF4" s="5"/>
      <c r="HG4" s="5"/>
      <c r="HH4" s="5"/>
      <c r="HI4" s="5"/>
      <c r="HJ4" s="5"/>
      <c r="HK4" s="5"/>
      <c r="HL4" s="5"/>
      <c r="HM4" s="5"/>
      <c r="HN4" s="5"/>
      <c r="HO4" s="5"/>
      <c r="HP4" s="5"/>
      <c r="HQ4" s="5"/>
      <c r="HR4" s="5"/>
      <c r="HS4" s="5"/>
      <c r="HT4" s="5"/>
      <c r="HU4" s="5"/>
      <c r="HV4" s="5"/>
      <c r="HW4" s="5"/>
      <c r="HX4" s="5"/>
      <c r="HY4" s="5"/>
      <c r="HZ4" s="5"/>
      <c r="IA4" s="5"/>
      <c r="IB4" s="5"/>
      <c r="IC4" s="5"/>
      <c r="ID4" s="5"/>
      <c r="IE4" s="5"/>
      <c r="IF4" s="5"/>
      <c r="IG4" s="5"/>
      <c r="IH4" s="5"/>
      <c r="II4" s="5"/>
      <c r="IJ4" s="5"/>
      <c r="IK4" s="5"/>
      <c r="IL4" s="5"/>
      <c r="IM4" s="5"/>
      <c r="IN4" s="5"/>
      <c r="IO4" s="5"/>
      <c r="IP4" s="5"/>
      <c r="IQ4" s="5"/>
      <c r="IR4" s="5"/>
      <c r="IS4" s="5"/>
      <c r="IT4" s="5"/>
      <c r="IU4" s="5"/>
      <c r="IV4" s="5"/>
    </row>
    <row r="5" spans="1:256" s="18" customFormat="1" ht="12" customHeight="1">
      <c r="A5" s="757">
        <v>3</v>
      </c>
      <c r="B5" s="416" t="s">
        <v>2415</v>
      </c>
      <c r="C5" s="506" t="s">
        <v>172</v>
      </c>
      <c r="D5" s="507" t="s">
        <v>172</v>
      </c>
      <c r="E5" s="118">
        <v>0</v>
      </c>
      <c r="F5" s="508" t="s">
        <v>172</v>
      </c>
      <c r="G5" s="508" t="s">
        <v>172</v>
      </c>
      <c r="H5" s="508" t="s">
        <v>172</v>
      </c>
      <c r="I5" s="507" t="s">
        <v>172</v>
      </c>
      <c r="J5" s="117">
        <v>2079.3412234412945</v>
      </c>
      <c r="K5" s="118">
        <v>0</v>
      </c>
      <c r="L5" s="118">
        <v>0</v>
      </c>
      <c r="M5" s="118">
        <v>0</v>
      </c>
      <c r="N5" s="118">
        <v>0</v>
      </c>
      <c r="O5" s="118">
        <v>227427.32334215351</v>
      </c>
      <c r="P5" s="118">
        <v>35858.253242061524</v>
      </c>
      <c r="Q5" s="118">
        <v>0</v>
      </c>
      <c r="R5" s="783"/>
      <c r="S5" s="783"/>
      <c r="T5" s="783"/>
      <c r="U5" s="118">
        <v>4050.1469262981695</v>
      </c>
      <c r="V5" s="783"/>
      <c r="W5" s="118">
        <v>0</v>
      </c>
      <c r="X5" s="413">
        <v>0</v>
      </c>
      <c r="Y5" s="778">
        <f t="shared" ref="Y5:Y13" si="0">SUM(J5:X5)</f>
        <v>269415.0647339545</v>
      </c>
      <c r="Z5" s="1031" t="s">
        <v>2461</v>
      </c>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c r="CM5" s="5"/>
      <c r="CN5" s="5"/>
      <c r="CO5" s="5"/>
      <c r="CP5" s="5"/>
      <c r="CQ5" s="5"/>
      <c r="CR5" s="5"/>
      <c r="CS5" s="5"/>
      <c r="CT5" s="5"/>
      <c r="CU5" s="5"/>
      <c r="CV5" s="5"/>
      <c r="CW5" s="5"/>
      <c r="CX5" s="5"/>
      <c r="CY5" s="5"/>
      <c r="CZ5" s="5"/>
      <c r="DA5" s="5"/>
      <c r="DB5" s="5"/>
      <c r="DC5" s="5"/>
      <c r="DD5" s="5"/>
      <c r="DE5" s="5"/>
      <c r="DF5" s="5"/>
      <c r="DG5" s="5"/>
      <c r="DH5" s="5"/>
      <c r="DI5" s="5"/>
      <c r="DJ5" s="5"/>
      <c r="DK5" s="5"/>
      <c r="DL5" s="5"/>
      <c r="DM5" s="5"/>
      <c r="DN5" s="5"/>
      <c r="DO5" s="5"/>
      <c r="DP5" s="5"/>
      <c r="DQ5" s="5"/>
      <c r="DR5" s="5"/>
      <c r="DS5" s="5"/>
      <c r="DT5" s="5"/>
      <c r="DU5" s="5"/>
      <c r="DV5" s="5"/>
      <c r="DW5" s="5"/>
      <c r="DX5" s="5"/>
      <c r="DY5" s="5"/>
      <c r="DZ5" s="5"/>
      <c r="EA5" s="5"/>
      <c r="EB5" s="5"/>
      <c r="EC5" s="5"/>
      <c r="ED5" s="5"/>
      <c r="EE5" s="5"/>
      <c r="EF5" s="5"/>
      <c r="EG5" s="5"/>
      <c r="EH5" s="5"/>
      <c r="EI5" s="5"/>
      <c r="EJ5" s="5"/>
      <c r="EK5" s="5"/>
      <c r="EL5" s="5"/>
      <c r="EM5" s="5"/>
      <c r="EN5" s="5"/>
      <c r="EO5" s="5"/>
      <c r="EP5" s="5"/>
      <c r="EQ5" s="5"/>
      <c r="ER5" s="5"/>
      <c r="ES5" s="5"/>
      <c r="ET5" s="5"/>
      <c r="EU5" s="5"/>
      <c r="EV5" s="5"/>
      <c r="EW5" s="5"/>
      <c r="EX5" s="5"/>
      <c r="EY5" s="5"/>
      <c r="EZ5" s="5"/>
      <c r="FA5" s="5"/>
      <c r="FB5" s="5"/>
      <c r="FC5" s="5"/>
      <c r="FD5" s="5"/>
      <c r="FE5" s="5"/>
      <c r="FF5" s="5"/>
      <c r="FG5" s="5"/>
      <c r="FH5" s="5"/>
      <c r="FI5" s="5"/>
      <c r="FJ5" s="5"/>
      <c r="FK5" s="5"/>
      <c r="FL5" s="5"/>
      <c r="FM5" s="5"/>
      <c r="FN5" s="5"/>
      <c r="FO5" s="5"/>
      <c r="FP5" s="5"/>
      <c r="FQ5" s="5"/>
      <c r="FR5" s="5"/>
      <c r="FS5" s="5"/>
      <c r="FT5" s="5"/>
      <c r="FU5" s="5"/>
      <c r="FV5" s="5"/>
      <c r="FW5" s="5"/>
      <c r="FX5" s="5"/>
      <c r="FY5" s="5"/>
      <c r="FZ5" s="5"/>
      <c r="GA5" s="5"/>
      <c r="GB5" s="5"/>
      <c r="GC5" s="5"/>
      <c r="GD5" s="5"/>
      <c r="GE5" s="5"/>
      <c r="GF5" s="5"/>
      <c r="GG5" s="5"/>
      <c r="GH5" s="5"/>
      <c r="GI5" s="5"/>
      <c r="GJ5" s="5"/>
      <c r="GK5" s="5"/>
      <c r="GL5" s="5"/>
      <c r="GM5" s="5"/>
      <c r="GN5" s="5"/>
      <c r="GO5" s="5"/>
      <c r="GP5" s="5"/>
      <c r="GQ5" s="5"/>
      <c r="GR5" s="5"/>
      <c r="GS5" s="5"/>
      <c r="GT5" s="5"/>
      <c r="GU5" s="5"/>
      <c r="GV5" s="5"/>
      <c r="GW5" s="5"/>
      <c r="GX5" s="5"/>
      <c r="GY5" s="5"/>
      <c r="GZ5" s="5"/>
      <c r="HA5" s="5"/>
      <c r="HB5" s="5"/>
      <c r="HC5" s="5"/>
      <c r="HD5" s="5"/>
      <c r="HE5" s="5"/>
      <c r="HF5" s="5"/>
      <c r="HG5" s="5"/>
      <c r="HH5" s="5"/>
      <c r="HI5" s="5"/>
      <c r="HJ5" s="5"/>
      <c r="HK5" s="5"/>
      <c r="HL5" s="5"/>
      <c r="HM5" s="5"/>
      <c r="HN5" s="5"/>
      <c r="HO5" s="5"/>
      <c r="HP5" s="5"/>
      <c r="HQ5" s="5"/>
      <c r="HR5" s="5"/>
      <c r="HS5" s="5"/>
      <c r="HT5" s="5"/>
      <c r="HU5" s="5"/>
      <c r="HV5" s="5"/>
      <c r="HW5" s="5"/>
      <c r="HX5" s="5"/>
      <c r="HY5" s="5"/>
      <c r="HZ5" s="5"/>
      <c r="IA5" s="5"/>
      <c r="IB5" s="5"/>
      <c r="IC5" s="5"/>
      <c r="ID5" s="5"/>
      <c r="IE5" s="5"/>
      <c r="IF5" s="5"/>
      <c r="IG5" s="5"/>
      <c r="IH5" s="5"/>
      <c r="II5" s="5"/>
      <c r="IJ5" s="5"/>
      <c r="IK5" s="5"/>
      <c r="IL5" s="5"/>
      <c r="IM5" s="5"/>
      <c r="IN5" s="5"/>
      <c r="IO5" s="5"/>
      <c r="IP5" s="5"/>
      <c r="IQ5" s="5"/>
      <c r="IR5" s="5"/>
      <c r="IS5" s="5"/>
      <c r="IT5" s="5"/>
      <c r="IU5" s="5"/>
      <c r="IV5" s="5"/>
    </row>
    <row r="6" spans="1:256" s="18" customFormat="1" ht="12" customHeight="1">
      <c r="A6" s="757">
        <v>4</v>
      </c>
      <c r="B6" s="416" t="s">
        <v>2416</v>
      </c>
      <c r="C6" s="425" t="s">
        <v>172</v>
      </c>
      <c r="D6" s="419" t="s">
        <v>172</v>
      </c>
      <c r="E6" s="120">
        <v>0</v>
      </c>
      <c r="F6" s="411" t="s">
        <v>172</v>
      </c>
      <c r="G6" s="411" t="s">
        <v>172</v>
      </c>
      <c r="H6" s="411" t="s">
        <v>172</v>
      </c>
      <c r="I6" s="419" t="s">
        <v>172</v>
      </c>
      <c r="J6" s="119">
        <v>275.33232161250254</v>
      </c>
      <c r="K6" s="120">
        <v>0</v>
      </c>
      <c r="L6" s="120">
        <v>0</v>
      </c>
      <c r="M6" s="120">
        <v>0</v>
      </c>
      <c r="N6" s="120">
        <v>0</v>
      </c>
      <c r="O6" s="120">
        <v>30114.390186657263</v>
      </c>
      <c r="P6" s="120">
        <v>4748.1077193122774</v>
      </c>
      <c r="Q6" s="120">
        <v>0</v>
      </c>
      <c r="R6" s="784"/>
      <c r="S6" s="784"/>
      <c r="T6" s="784"/>
      <c r="U6" s="120">
        <v>536.29310260288776</v>
      </c>
      <c r="V6" s="784"/>
      <c r="W6" s="120">
        <v>0</v>
      </c>
      <c r="X6" s="414">
        <v>0</v>
      </c>
      <c r="Y6" s="775">
        <f t="shared" si="0"/>
        <v>35674.123330184935</v>
      </c>
      <c r="Z6" s="1031"/>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c r="BW6" s="5"/>
      <c r="BX6" s="5"/>
      <c r="BY6" s="5"/>
      <c r="BZ6" s="5"/>
      <c r="CA6" s="5"/>
      <c r="CB6" s="5"/>
      <c r="CC6" s="5"/>
      <c r="CD6" s="5"/>
      <c r="CE6" s="5"/>
      <c r="CF6" s="5"/>
      <c r="CG6" s="5"/>
      <c r="CH6" s="5"/>
      <c r="CI6" s="5"/>
      <c r="CJ6" s="5"/>
      <c r="CK6" s="5"/>
      <c r="CL6" s="5"/>
      <c r="CM6" s="5"/>
      <c r="CN6" s="5"/>
      <c r="CO6" s="5"/>
      <c r="CP6" s="5"/>
      <c r="CQ6" s="5"/>
      <c r="CR6" s="5"/>
      <c r="CS6" s="5"/>
      <c r="CT6" s="5"/>
      <c r="CU6" s="5"/>
      <c r="CV6" s="5"/>
      <c r="CW6" s="5"/>
      <c r="CX6" s="5"/>
      <c r="CY6" s="5"/>
      <c r="CZ6" s="5"/>
      <c r="DA6" s="5"/>
      <c r="DB6" s="5"/>
      <c r="DC6" s="5"/>
      <c r="DD6" s="5"/>
      <c r="DE6" s="5"/>
      <c r="DF6" s="5"/>
      <c r="DG6" s="5"/>
      <c r="DH6" s="5"/>
      <c r="DI6" s="5"/>
      <c r="DJ6" s="5"/>
      <c r="DK6" s="5"/>
      <c r="DL6" s="5"/>
      <c r="DM6" s="5"/>
      <c r="DN6" s="5"/>
      <c r="DO6" s="5"/>
      <c r="DP6" s="5"/>
      <c r="DQ6" s="5"/>
      <c r="DR6" s="5"/>
      <c r="DS6" s="5"/>
      <c r="DT6" s="5"/>
      <c r="DU6" s="5"/>
      <c r="DV6" s="5"/>
      <c r="DW6" s="5"/>
      <c r="DX6" s="5"/>
      <c r="DY6" s="5"/>
      <c r="DZ6" s="5"/>
      <c r="EA6" s="5"/>
      <c r="EB6" s="5"/>
      <c r="EC6" s="5"/>
      <c r="ED6" s="5"/>
      <c r="EE6" s="5"/>
      <c r="EF6" s="5"/>
      <c r="EG6" s="5"/>
      <c r="EH6" s="5"/>
      <c r="EI6" s="5"/>
      <c r="EJ6" s="5"/>
      <c r="EK6" s="5"/>
      <c r="EL6" s="5"/>
      <c r="EM6" s="5"/>
      <c r="EN6" s="5"/>
      <c r="EO6" s="5"/>
      <c r="EP6" s="5"/>
      <c r="EQ6" s="5"/>
      <c r="ER6" s="5"/>
      <c r="ES6" s="5"/>
      <c r="ET6" s="5"/>
      <c r="EU6" s="5"/>
      <c r="EV6" s="5"/>
      <c r="EW6" s="5"/>
      <c r="EX6" s="5"/>
      <c r="EY6" s="5"/>
      <c r="EZ6" s="5"/>
      <c r="FA6" s="5"/>
      <c r="FB6" s="5"/>
      <c r="FC6" s="5"/>
      <c r="FD6" s="5"/>
      <c r="FE6" s="5"/>
      <c r="FF6" s="5"/>
      <c r="FG6" s="5"/>
      <c r="FH6" s="5"/>
      <c r="FI6" s="5"/>
      <c r="FJ6" s="5"/>
      <c r="FK6" s="5"/>
      <c r="FL6" s="5"/>
      <c r="FM6" s="5"/>
      <c r="FN6" s="5"/>
      <c r="FO6" s="5"/>
      <c r="FP6" s="5"/>
      <c r="FQ6" s="5"/>
      <c r="FR6" s="5"/>
      <c r="FS6" s="5"/>
      <c r="FT6" s="5"/>
      <c r="FU6" s="5"/>
      <c r="FV6" s="5"/>
      <c r="FW6" s="5"/>
      <c r="FX6" s="5"/>
      <c r="FY6" s="5"/>
      <c r="FZ6" s="5"/>
      <c r="GA6" s="5"/>
      <c r="GB6" s="5"/>
      <c r="GC6" s="5"/>
      <c r="GD6" s="5"/>
      <c r="GE6" s="5"/>
      <c r="GF6" s="5"/>
      <c r="GG6" s="5"/>
      <c r="GH6" s="5"/>
      <c r="GI6" s="5"/>
      <c r="GJ6" s="5"/>
      <c r="GK6" s="5"/>
      <c r="GL6" s="5"/>
      <c r="GM6" s="5"/>
      <c r="GN6" s="5"/>
      <c r="GO6" s="5"/>
      <c r="GP6" s="5"/>
      <c r="GQ6" s="5"/>
      <c r="GR6" s="5"/>
      <c r="GS6" s="5"/>
      <c r="GT6" s="5"/>
      <c r="GU6" s="5"/>
      <c r="GV6" s="5"/>
      <c r="GW6" s="5"/>
      <c r="GX6" s="5"/>
      <c r="GY6" s="5"/>
      <c r="GZ6" s="5"/>
      <c r="HA6" s="5"/>
      <c r="HB6" s="5"/>
      <c r="HC6" s="5"/>
      <c r="HD6" s="5"/>
      <c r="HE6" s="5"/>
      <c r="HF6" s="5"/>
      <c r="HG6" s="5"/>
      <c r="HH6" s="5"/>
      <c r="HI6" s="5"/>
      <c r="HJ6" s="5"/>
      <c r="HK6" s="5"/>
      <c r="HL6" s="5"/>
      <c r="HM6" s="5"/>
      <c r="HN6" s="5"/>
      <c r="HO6" s="5"/>
      <c r="HP6" s="5"/>
      <c r="HQ6" s="5"/>
      <c r="HR6" s="5"/>
      <c r="HS6" s="5"/>
      <c r="HT6" s="5"/>
      <c r="HU6" s="5"/>
      <c r="HV6" s="5"/>
      <c r="HW6" s="5"/>
      <c r="HX6" s="5"/>
      <c r="HY6" s="5"/>
      <c r="HZ6" s="5"/>
      <c r="IA6" s="5"/>
      <c r="IB6" s="5"/>
      <c r="IC6" s="5"/>
      <c r="ID6" s="5"/>
      <c r="IE6" s="5"/>
      <c r="IF6" s="5"/>
      <c r="IG6" s="5"/>
      <c r="IH6" s="5"/>
      <c r="II6" s="5"/>
      <c r="IJ6" s="5"/>
      <c r="IK6" s="5"/>
      <c r="IL6" s="5"/>
      <c r="IM6" s="5"/>
      <c r="IN6" s="5"/>
      <c r="IO6" s="5"/>
      <c r="IP6" s="5"/>
      <c r="IQ6" s="5"/>
      <c r="IR6" s="5"/>
      <c r="IS6" s="5"/>
      <c r="IT6" s="5"/>
      <c r="IU6" s="5"/>
      <c r="IV6" s="5"/>
    </row>
    <row r="7" spans="1:256" s="18" customFormat="1" ht="12" customHeight="1">
      <c r="A7" s="757">
        <v>5</v>
      </c>
      <c r="B7" s="416" t="s">
        <v>2417</v>
      </c>
      <c r="C7" s="425" t="s">
        <v>172</v>
      </c>
      <c r="D7" s="419" t="s">
        <v>172</v>
      </c>
      <c r="E7" s="120">
        <v>0</v>
      </c>
      <c r="F7" s="411" t="s">
        <v>172</v>
      </c>
      <c r="G7" s="411" t="s">
        <v>172</v>
      </c>
      <c r="H7" s="411" t="s">
        <v>172</v>
      </c>
      <c r="I7" s="419" t="s">
        <v>172</v>
      </c>
      <c r="J7" s="119">
        <v>18.913683257656508</v>
      </c>
      <c r="K7" s="120">
        <v>0</v>
      </c>
      <c r="L7" s="120">
        <v>0</v>
      </c>
      <c r="M7" s="120">
        <v>0</v>
      </c>
      <c r="N7" s="120">
        <v>0</v>
      </c>
      <c r="O7" s="120">
        <v>2068.6784397566025</v>
      </c>
      <c r="P7" s="120">
        <v>326.1665937016104</v>
      </c>
      <c r="Q7" s="120">
        <v>0</v>
      </c>
      <c r="R7" s="784"/>
      <c r="S7" s="784"/>
      <c r="T7" s="784"/>
      <c r="U7" s="120">
        <v>36.840127655525883</v>
      </c>
      <c r="V7" s="784"/>
      <c r="W7" s="120">
        <v>0</v>
      </c>
      <c r="X7" s="414">
        <v>0</v>
      </c>
      <c r="Y7" s="775">
        <f t="shared" si="0"/>
        <v>2450.5988443713954</v>
      </c>
      <c r="Z7" s="103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1"/>
      <c r="GD7" s="1"/>
      <c r="GE7" s="1"/>
      <c r="GF7" s="1"/>
      <c r="GG7" s="1"/>
      <c r="GH7" s="1"/>
      <c r="GI7" s="1"/>
      <c r="GJ7" s="1"/>
      <c r="GK7" s="1"/>
      <c r="GL7" s="1"/>
      <c r="GM7" s="1"/>
      <c r="GN7" s="1"/>
      <c r="GO7" s="1"/>
      <c r="GP7" s="1"/>
      <c r="GQ7" s="1"/>
      <c r="GR7" s="1"/>
      <c r="GS7" s="1"/>
      <c r="GT7" s="1"/>
      <c r="GU7" s="1"/>
      <c r="GV7" s="1"/>
      <c r="GW7" s="1"/>
      <c r="GX7" s="1"/>
      <c r="GY7" s="1"/>
      <c r="GZ7" s="1"/>
      <c r="HA7" s="1"/>
      <c r="HB7" s="1"/>
      <c r="HC7" s="1"/>
      <c r="HD7" s="1"/>
      <c r="HE7" s="1"/>
      <c r="HF7" s="1"/>
      <c r="HG7" s="1"/>
      <c r="HH7" s="1"/>
      <c r="HI7" s="1"/>
      <c r="HJ7" s="1"/>
      <c r="HK7" s="1"/>
      <c r="HL7" s="1"/>
      <c r="HM7" s="1"/>
      <c r="HN7" s="1"/>
      <c r="HO7" s="1"/>
      <c r="HP7" s="1"/>
      <c r="HQ7" s="1"/>
      <c r="HR7" s="1"/>
      <c r="HS7" s="1"/>
      <c r="HT7" s="1"/>
      <c r="HU7" s="1"/>
      <c r="HV7" s="1"/>
      <c r="HW7" s="1"/>
      <c r="HX7" s="1"/>
      <c r="HY7" s="1"/>
      <c r="HZ7" s="1"/>
      <c r="IA7" s="1"/>
      <c r="IB7" s="1"/>
      <c r="IC7" s="1"/>
      <c r="ID7" s="1"/>
      <c r="IE7" s="1"/>
      <c r="IF7" s="1"/>
      <c r="IG7" s="1"/>
      <c r="IH7" s="1"/>
      <c r="II7" s="1"/>
      <c r="IJ7" s="1"/>
      <c r="IK7" s="1"/>
      <c r="IL7" s="1"/>
      <c r="IM7" s="1"/>
      <c r="IN7" s="1"/>
      <c r="IO7" s="1"/>
      <c r="IP7" s="1"/>
      <c r="IQ7" s="1"/>
      <c r="IR7" s="1"/>
      <c r="IS7" s="1"/>
      <c r="IT7" s="1"/>
      <c r="IU7" s="1"/>
      <c r="IV7" s="1"/>
    </row>
    <row r="8" spans="1:256" s="16" customFormat="1" ht="12" customHeight="1">
      <c r="A8" s="757">
        <v>6</v>
      </c>
      <c r="B8" s="416" t="s">
        <v>2418</v>
      </c>
      <c r="C8" s="426" t="s">
        <v>172</v>
      </c>
      <c r="D8" s="420" t="s">
        <v>172</v>
      </c>
      <c r="E8" s="120">
        <v>0</v>
      </c>
      <c r="F8" s="412" t="s">
        <v>172</v>
      </c>
      <c r="G8" s="412" t="s">
        <v>172</v>
      </c>
      <c r="H8" s="412" t="s">
        <v>172</v>
      </c>
      <c r="I8" s="420" t="s">
        <v>172</v>
      </c>
      <c r="J8" s="119">
        <v>0</v>
      </c>
      <c r="K8" s="120">
        <v>0</v>
      </c>
      <c r="L8" s="120">
        <v>0</v>
      </c>
      <c r="M8" s="120">
        <v>0</v>
      </c>
      <c r="N8" s="120">
        <v>0</v>
      </c>
      <c r="O8" s="120">
        <v>0</v>
      </c>
      <c r="P8" s="120">
        <v>0</v>
      </c>
      <c r="Q8" s="120">
        <v>0</v>
      </c>
      <c r="R8" s="784"/>
      <c r="S8" s="784"/>
      <c r="T8" s="784"/>
      <c r="U8" s="120">
        <v>0</v>
      </c>
      <c r="V8" s="784"/>
      <c r="W8" s="120">
        <v>0</v>
      </c>
      <c r="X8" s="414">
        <v>0</v>
      </c>
      <c r="Y8" s="775">
        <f t="shared" si="0"/>
        <v>0</v>
      </c>
      <c r="Z8" s="103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c r="IP8" s="1"/>
      <c r="IQ8" s="1"/>
      <c r="IR8" s="1"/>
      <c r="IS8" s="1"/>
      <c r="IT8" s="1"/>
      <c r="IU8" s="1"/>
      <c r="IV8" s="1"/>
    </row>
    <row r="9" spans="1:256" s="19" customFormat="1" ht="22.5">
      <c r="A9" s="757">
        <v>7</v>
      </c>
      <c r="B9" s="781" t="s">
        <v>2419</v>
      </c>
      <c r="C9" s="426" t="s">
        <v>172</v>
      </c>
      <c r="D9" s="420" t="s">
        <v>172</v>
      </c>
      <c r="E9" s="747">
        <f t="shared" ref="E9:X9" si="1">SUM(E5:E8)</f>
        <v>0</v>
      </c>
      <c r="F9" s="412" t="s">
        <v>172</v>
      </c>
      <c r="G9" s="412" t="s">
        <v>172</v>
      </c>
      <c r="H9" s="412" t="s">
        <v>172</v>
      </c>
      <c r="I9" s="420" t="s">
        <v>172</v>
      </c>
      <c r="J9" s="773">
        <f t="shared" si="1"/>
        <v>2373.5872283114536</v>
      </c>
      <c r="K9" s="747">
        <f t="shared" si="1"/>
        <v>0</v>
      </c>
      <c r="L9" s="747">
        <f t="shared" si="1"/>
        <v>0</v>
      </c>
      <c r="M9" s="747">
        <f t="shared" si="1"/>
        <v>0</v>
      </c>
      <c r="N9" s="747">
        <f t="shared" si="1"/>
        <v>0</v>
      </c>
      <c r="O9" s="747">
        <f t="shared" si="1"/>
        <v>259610.39196856736</v>
      </c>
      <c r="P9" s="747">
        <f t="shared" si="1"/>
        <v>40932.527555075409</v>
      </c>
      <c r="Q9" s="747">
        <f t="shared" si="1"/>
        <v>0</v>
      </c>
      <c r="R9" s="785"/>
      <c r="S9" s="785"/>
      <c r="T9" s="785"/>
      <c r="U9" s="747">
        <f t="shared" si="1"/>
        <v>4623.2801565565833</v>
      </c>
      <c r="V9" s="785"/>
      <c r="W9" s="747">
        <f t="shared" si="1"/>
        <v>0</v>
      </c>
      <c r="X9" s="774">
        <f t="shared" si="1"/>
        <v>0</v>
      </c>
      <c r="Y9" s="775">
        <f t="shared" si="0"/>
        <v>307539.78690851078</v>
      </c>
      <c r="Z9" s="103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c r="IP9" s="1"/>
      <c r="IQ9" s="1"/>
      <c r="IR9" s="1"/>
      <c r="IS9" s="1"/>
      <c r="IT9" s="1"/>
      <c r="IU9" s="1"/>
      <c r="IV9" s="1"/>
    </row>
    <row r="10" spans="1:256" s="18" customFormat="1" ht="12" customHeight="1">
      <c r="A10" s="757">
        <v>8</v>
      </c>
      <c r="B10" s="416" t="s">
        <v>2420</v>
      </c>
      <c r="C10" s="426" t="s">
        <v>172</v>
      </c>
      <c r="D10" s="420" t="s">
        <v>172</v>
      </c>
      <c r="E10" s="120">
        <v>0</v>
      </c>
      <c r="F10" s="412" t="s">
        <v>172</v>
      </c>
      <c r="G10" s="412" t="s">
        <v>172</v>
      </c>
      <c r="H10" s="412" t="s">
        <v>172</v>
      </c>
      <c r="I10" s="420" t="s">
        <v>172</v>
      </c>
      <c r="J10" s="119">
        <v>0</v>
      </c>
      <c r="K10" s="120">
        <v>0</v>
      </c>
      <c r="L10" s="120">
        <v>0</v>
      </c>
      <c r="M10" s="120">
        <v>0</v>
      </c>
      <c r="N10" s="120">
        <v>0</v>
      </c>
      <c r="O10" s="120">
        <v>0</v>
      </c>
      <c r="P10" s="120">
        <v>0</v>
      </c>
      <c r="Q10" s="120">
        <v>0</v>
      </c>
      <c r="R10" s="784"/>
      <c r="S10" s="784"/>
      <c r="T10" s="784"/>
      <c r="U10" s="120">
        <v>0</v>
      </c>
      <c r="V10" s="784"/>
      <c r="W10" s="120">
        <v>0</v>
      </c>
      <c r="X10" s="414">
        <v>0</v>
      </c>
      <c r="Y10" s="775">
        <f t="shared" si="0"/>
        <v>0</v>
      </c>
      <c r="Z10" s="103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c r="GO10" s="1"/>
      <c r="GP10" s="1"/>
      <c r="GQ10" s="1"/>
      <c r="GR10" s="1"/>
      <c r="GS10" s="1"/>
      <c r="GT10" s="1"/>
      <c r="GU10" s="1"/>
      <c r="GV10" s="1"/>
      <c r="GW10" s="1"/>
      <c r="GX10" s="1"/>
      <c r="GY10" s="1"/>
      <c r="GZ10" s="1"/>
      <c r="HA10" s="1"/>
      <c r="HB10" s="1"/>
      <c r="HC10" s="1"/>
      <c r="HD10" s="1"/>
      <c r="HE10" s="1"/>
      <c r="HF10" s="1"/>
      <c r="HG10" s="1"/>
      <c r="HH10" s="1"/>
      <c r="HI10" s="1"/>
      <c r="HJ10" s="1"/>
      <c r="HK10" s="1"/>
      <c r="HL10" s="1"/>
      <c r="HM10" s="1"/>
      <c r="HN10" s="1"/>
      <c r="HO10" s="1"/>
      <c r="HP10" s="1"/>
      <c r="HQ10" s="1"/>
      <c r="HR10" s="1"/>
      <c r="HS10" s="1"/>
      <c r="HT10" s="1"/>
      <c r="HU10" s="1"/>
      <c r="HV10" s="1"/>
      <c r="HW10" s="1"/>
      <c r="HX10" s="1"/>
      <c r="HY10" s="1"/>
      <c r="HZ10" s="1"/>
      <c r="IA10" s="1"/>
      <c r="IB10" s="1"/>
      <c r="IC10" s="1"/>
      <c r="ID10" s="1"/>
      <c r="IE10" s="1"/>
      <c r="IF10" s="1"/>
      <c r="IG10" s="1"/>
      <c r="IH10" s="1"/>
      <c r="II10" s="1"/>
      <c r="IJ10" s="1"/>
      <c r="IK10" s="1"/>
      <c r="IL10" s="1"/>
      <c r="IM10" s="1"/>
      <c r="IN10" s="1"/>
      <c r="IO10" s="1"/>
      <c r="IP10" s="1"/>
      <c r="IQ10" s="1"/>
      <c r="IR10" s="1"/>
      <c r="IS10" s="1"/>
      <c r="IT10" s="1"/>
      <c r="IU10" s="1"/>
      <c r="IV10" s="1"/>
    </row>
    <row r="11" spans="1:256" s="18" customFormat="1" ht="12" customHeight="1">
      <c r="A11" s="757">
        <v>9</v>
      </c>
      <c r="B11" s="416" t="s">
        <v>2421</v>
      </c>
      <c r="C11" s="426" t="s">
        <v>172</v>
      </c>
      <c r="D11" s="420" t="s">
        <v>172</v>
      </c>
      <c r="E11" s="120">
        <v>0</v>
      </c>
      <c r="F11" s="412" t="s">
        <v>172</v>
      </c>
      <c r="G11" s="412" t="s">
        <v>172</v>
      </c>
      <c r="H11" s="412" t="s">
        <v>172</v>
      </c>
      <c r="I11" s="420" t="s">
        <v>172</v>
      </c>
      <c r="J11" s="119">
        <v>0</v>
      </c>
      <c r="K11" s="120">
        <v>0</v>
      </c>
      <c r="L11" s="120">
        <v>0</v>
      </c>
      <c r="M11" s="120">
        <v>0</v>
      </c>
      <c r="N11" s="120">
        <v>0</v>
      </c>
      <c r="O11" s="120">
        <v>167265.66</v>
      </c>
      <c r="P11" s="120">
        <v>28497.15</v>
      </c>
      <c r="Q11" s="120">
        <v>0</v>
      </c>
      <c r="R11" s="784"/>
      <c r="S11" s="784"/>
      <c r="T11" s="784"/>
      <c r="U11" s="120">
        <v>0</v>
      </c>
      <c r="V11" s="784"/>
      <c r="W11" s="120">
        <v>0</v>
      </c>
      <c r="X11" s="414">
        <v>0</v>
      </c>
      <c r="Y11" s="775">
        <f t="shared" si="0"/>
        <v>195762.81</v>
      </c>
      <c r="Z11" s="103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c r="IP11" s="1"/>
      <c r="IQ11" s="1"/>
      <c r="IR11" s="1"/>
      <c r="IS11" s="1"/>
      <c r="IT11" s="1"/>
      <c r="IU11" s="1"/>
      <c r="IV11" s="1"/>
    </row>
    <row r="12" spans="1:256" s="16" customFormat="1">
      <c r="A12" s="757">
        <v>10</v>
      </c>
      <c r="B12" s="417" t="s">
        <v>2422</v>
      </c>
      <c r="C12" s="426" t="s">
        <v>172</v>
      </c>
      <c r="D12" s="420" t="s">
        <v>172</v>
      </c>
      <c r="E12" s="120">
        <v>0.32127081977486927</v>
      </c>
      <c r="F12" s="412" t="s">
        <v>172</v>
      </c>
      <c r="G12" s="412" t="s">
        <v>172</v>
      </c>
      <c r="H12" s="412" t="s">
        <v>172</v>
      </c>
      <c r="I12" s="420" t="s">
        <v>172</v>
      </c>
      <c r="J12" s="119">
        <v>0</v>
      </c>
      <c r="K12" s="120">
        <v>0</v>
      </c>
      <c r="L12" s="120">
        <v>0</v>
      </c>
      <c r="M12" s="120">
        <v>0</v>
      </c>
      <c r="N12" s="120">
        <v>0</v>
      </c>
      <c r="O12" s="120">
        <v>0</v>
      </c>
      <c r="P12" s="120">
        <v>0</v>
      </c>
      <c r="Q12" s="120">
        <v>0</v>
      </c>
      <c r="R12" s="784"/>
      <c r="S12" s="784"/>
      <c r="T12" s="784"/>
      <c r="U12" s="120">
        <v>0</v>
      </c>
      <c r="V12" s="784"/>
      <c r="W12" s="120">
        <v>0</v>
      </c>
      <c r="X12" s="414">
        <v>0</v>
      </c>
      <c r="Y12" s="775">
        <f t="shared" si="0"/>
        <v>0</v>
      </c>
      <c r="Z12" s="103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s="1"/>
      <c r="GE12" s="1"/>
      <c r="GF12" s="1"/>
      <c r="GG12" s="1"/>
      <c r="GH12" s="1"/>
      <c r="GI12" s="1"/>
      <c r="GJ12" s="1"/>
      <c r="GK12" s="1"/>
      <c r="GL12" s="1"/>
      <c r="GM12" s="1"/>
      <c r="GN12" s="1"/>
      <c r="GO12" s="1"/>
      <c r="GP12" s="1"/>
      <c r="GQ12" s="1"/>
      <c r="GR12" s="1"/>
      <c r="GS12" s="1"/>
      <c r="GT12" s="1"/>
      <c r="GU12" s="1"/>
      <c r="GV12" s="1"/>
      <c r="GW12" s="1"/>
      <c r="GX12" s="1"/>
      <c r="GY12" s="1"/>
      <c r="GZ12" s="1"/>
      <c r="HA12" s="1"/>
      <c r="HB12" s="1"/>
      <c r="HC12" s="1"/>
      <c r="HD12" s="1"/>
      <c r="HE12" s="1"/>
      <c r="HF12" s="1"/>
      <c r="HG12" s="1"/>
      <c r="HH12" s="1"/>
      <c r="HI12" s="1"/>
      <c r="HJ12" s="1"/>
      <c r="HK12" s="1"/>
      <c r="HL12" s="1"/>
      <c r="HM12" s="1"/>
      <c r="HN12" s="1"/>
      <c r="HO12" s="1"/>
      <c r="HP12" s="1"/>
      <c r="HQ12" s="1"/>
      <c r="HR12" s="1"/>
      <c r="HS12" s="1"/>
      <c r="HT12" s="1"/>
      <c r="HU12" s="1"/>
      <c r="HV12" s="1"/>
      <c r="HW12" s="1"/>
      <c r="HX12" s="1"/>
      <c r="HY12" s="1"/>
      <c r="HZ12" s="1"/>
      <c r="IA12" s="1"/>
      <c r="IB12" s="1"/>
      <c r="IC12" s="1"/>
      <c r="ID12" s="1"/>
      <c r="IE12" s="1"/>
      <c r="IF12" s="1"/>
      <c r="IG12" s="1"/>
      <c r="IH12" s="1"/>
      <c r="II12" s="1"/>
      <c r="IJ12" s="1"/>
      <c r="IK12" s="1"/>
      <c r="IL12" s="1"/>
      <c r="IM12" s="1"/>
      <c r="IN12" s="1"/>
      <c r="IO12" s="1"/>
      <c r="IP12" s="1"/>
      <c r="IQ12" s="1"/>
      <c r="IR12" s="1"/>
      <c r="IS12" s="1"/>
      <c r="IT12" s="1"/>
      <c r="IU12" s="1"/>
      <c r="IV12" s="1"/>
    </row>
    <row r="13" spans="1:256" s="20" customFormat="1" ht="13.5" thickBot="1">
      <c r="A13" s="757">
        <v>11</v>
      </c>
      <c r="B13" s="772" t="s">
        <v>2423</v>
      </c>
      <c r="C13" s="427" t="s">
        <v>172</v>
      </c>
      <c r="D13" s="421" t="s">
        <v>172</v>
      </c>
      <c r="E13" s="747">
        <f t="shared" ref="E13:X13" si="2">SUM(E9:E12)</f>
        <v>0.32127081977486927</v>
      </c>
      <c r="F13" s="408" t="s">
        <v>172</v>
      </c>
      <c r="G13" s="408" t="s">
        <v>172</v>
      </c>
      <c r="H13" s="408" t="s">
        <v>172</v>
      </c>
      <c r="I13" s="421" t="s">
        <v>172</v>
      </c>
      <c r="J13" s="773">
        <f t="shared" si="2"/>
        <v>2373.5872283114536</v>
      </c>
      <c r="K13" s="747">
        <f t="shared" si="2"/>
        <v>0</v>
      </c>
      <c r="L13" s="747">
        <f t="shared" si="2"/>
        <v>0</v>
      </c>
      <c r="M13" s="747">
        <f t="shared" si="2"/>
        <v>0</v>
      </c>
      <c r="N13" s="747">
        <f t="shared" si="2"/>
        <v>0</v>
      </c>
      <c r="O13" s="747">
        <f t="shared" si="2"/>
        <v>426876.05196856736</v>
      </c>
      <c r="P13" s="747">
        <f t="shared" si="2"/>
        <v>69429.67755507541</v>
      </c>
      <c r="Q13" s="747">
        <f t="shared" si="2"/>
        <v>0</v>
      </c>
      <c r="R13" s="785"/>
      <c r="S13" s="785"/>
      <c r="T13" s="785"/>
      <c r="U13" s="747">
        <f t="shared" si="2"/>
        <v>4623.2801565565833</v>
      </c>
      <c r="V13" s="785"/>
      <c r="W13" s="747">
        <f t="shared" si="2"/>
        <v>0</v>
      </c>
      <c r="X13" s="774">
        <f t="shared" si="2"/>
        <v>0</v>
      </c>
      <c r="Y13" s="775">
        <f t="shared" si="0"/>
        <v>503302.59690851084</v>
      </c>
      <c r="Z13" s="1032"/>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c r="FX13" s="1"/>
      <c r="FY13" s="1"/>
      <c r="FZ13" s="1"/>
      <c r="GA13" s="1"/>
      <c r="GB13" s="1"/>
      <c r="GC13" s="1"/>
      <c r="GD13" s="1"/>
      <c r="GE13" s="1"/>
      <c r="GF13" s="1"/>
      <c r="GG13" s="1"/>
      <c r="GH13" s="1"/>
      <c r="GI13" s="1"/>
      <c r="GJ13" s="1"/>
      <c r="GK13" s="1"/>
      <c r="GL13" s="1"/>
      <c r="GM13" s="1"/>
      <c r="GN13" s="1"/>
      <c r="GO13" s="1"/>
      <c r="GP13" s="1"/>
      <c r="GQ13" s="1"/>
      <c r="GR13" s="1"/>
      <c r="GS13" s="1"/>
      <c r="GT13" s="1"/>
      <c r="GU13" s="1"/>
      <c r="GV13" s="1"/>
      <c r="GW13" s="1"/>
      <c r="GX13" s="1"/>
      <c r="GY13" s="1"/>
      <c r="GZ13" s="1"/>
      <c r="HA13" s="1"/>
      <c r="HB13" s="1"/>
      <c r="HC13" s="1"/>
      <c r="HD13" s="1"/>
      <c r="HE13" s="1"/>
      <c r="HF13" s="1"/>
      <c r="HG13" s="1"/>
      <c r="HH13" s="1"/>
      <c r="HI13" s="1"/>
      <c r="HJ13" s="1"/>
      <c r="HK13" s="1"/>
      <c r="HL13" s="1"/>
      <c r="HM13" s="1"/>
      <c r="HN13" s="1"/>
      <c r="HO13" s="1"/>
      <c r="HP13" s="1"/>
      <c r="HQ13" s="1"/>
      <c r="HR13" s="1"/>
      <c r="HS13" s="1"/>
      <c r="HT13" s="1"/>
      <c r="HU13" s="1"/>
      <c r="HV13" s="1"/>
      <c r="HW13" s="1"/>
      <c r="HX13" s="1"/>
      <c r="HY13" s="1"/>
      <c r="HZ13" s="1"/>
      <c r="IA13" s="1"/>
      <c r="IB13" s="1"/>
      <c r="IC13" s="1"/>
      <c r="ID13" s="1"/>
      <c r="IE13" s="1"/>
      <c r="IF13" s="1"/>
      <c r="IG13" s="1"/>
      <c r="IH13" s="1"/>
      <c r="II13" s="1"/>
      <c r="IJ13" s="1"/>
      <c r="IK13" s="1"/>
      <c r="IL13" s="1"/>
      <c r="IM13" s="1"/>
      <c r="IN13" s="1"/>
      <c r="IO13" s="1"/>
      <c r="IP13" s="1"/>
      <c r="IQ13" s="1"/>
      <c r="IR13" s="1"/>
      <c r="IS13" s="1"/>
      <c r="IT13" s="1"/>
      <c r="IU13" s="1"/>
      <c r="IV13" s="1"/>
    </row>
    <row r="14" spans="1:256" s="18" customFormat="1" ht="12" customHeight="1">
      <c r="A14" s="757">
        <v>12</v>
      </c>
      <c r="B14" s="416" t="s">
        <v>2424</v>
      </c>
      <c r="C14" s="425" t="s">
        <v>172</v>
      </c>
      <c r="D14" s="419" t="s">
        <v>172</v>
      </c>
      <c r="E14" s="120">
        <v>0</v>
      </c>
      <c r="F14" s="411" t="s">
        <v>172</v>
      </c>
      <c r="G14" s="411" t="s">
        <v>172</v>
      </c>
      <c r="H14" s="411" t="s">
        <v>172</v>
      </c>
      <c r="I14" s="419" t="s">
        <v>172</v>
      </c>
      <c r="J14" s="119">
        <v>0</v>
      </c>
      <c r="K14" s="120">
        <v>0</v>
      </c>
      <c r="L14" s="120">
        <v>0</v>
      </c>
      <c r="M14" s="120">
        <v>0</v>
      </c>
      <c r="N14" s="120">
        <v>0</v>
      </c>
      <c r="O14" s="120">
        <v>0</v>
      </c>
      <c r="P14" s="120">
        <v>0</v>
      </c>
      <c r="Q14" s="120">
        <v>0</v>
      </c>
      <c r="R14" s="784"/>
      <c r="S14" s="784"/>
      <c r="T14" s="784"/>
      <c r="U14" s="120">
        <v>0</v>
      </c>
      <c r="V14" s="784"/>
      <c r="W14" s="120">
        <v>0</v>
      </c>
      <c r="X14" s="414">
        <v>0</v>
      </c>
      <c r="Y14" s="779">
        <f>ROUND(SUM(J14:X14),0)</f>
        <v>0</v>
      </c>
      <c r="Z14" s="1044" t="s">
        <v>2462</v>
      </c>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c r="GB14" s="1"/>
      <c r="GC14" s="1"/>
      <c r="GD14" s="1"/>
      <c r="GE14" s="1"/>
      <c r="GF14" s="1"/>
      <c r="GG14" s="1"/>
      <c r="GH14" s="1"/>
      <c r="GI14" s="1"/>
      <c r="GJ14" s="1"/>
      <c r="GK14" s="1"/>
      <c r="GL14" s="1"/>
      <c r="GM14" s="1"/>
      <c r="GN14" s="1"/>
      <c r="GO14" s="1"/>
      <c r="GP14" s="1"/>
      <c r="GQ14" s="1"/>
      <c r="GR14" s="1"/>
      <c r="GS14" s="1"/>
      <c r="GT14" s="1"/>
      <c r="GU14" s="1"/>
      <c r="GV14" s="1"/>
      <c r="GW14" s="1"/>
      <c r="GX14" s="1"/>
      <c r="GY14" s="1"/>
      <c r="GZ14" s="1"/>
      <c r="HA14" s="1"/>
      <c r="HB14" s="1"/>
      <c r="HC14" s="1"/>
      <c r="HD14" s="1"/>
      <c r="HE14" s="1"/>
      <c r="HF14" s="1"/>
      <c r="HG14" s="1"/>
      <c r="HH14" s="1"/>
      <c r="HI14" s="1"/>
      <c r="HJ14" s="1"/>
      <c r="HK14" s="1"/>
      <c r="HL14" s="1"/>
      <c r="HM14" s="1"/>
      <c r="HN14" s="1"/>
      <c r="HO14" s="1"/>
      <c r="HP14" s="1"/>
      <c r="HQ14" s="1"/>
      <c r="HR14" s="1"/>
      <c r="HS14" s="1"/>
      <c r="HT14" s="1"/>
      <c r="HU14" s="1"/>
      <c r="HV14" s="1"/>
      <c r="HW14" s="1"/>
      <c r="HX14" s="1"/>
      <c r="HY14" s="1"/>
      <c r="HZ14" s="1"/>
      <c r="IA14" s="1"/>
      <c r="IB14" s="1"/>
      <c r="IC14" s="1"/>
      <c r="ID14" s="1"/>
      <c r="IE14" s="1"/>
      <c r="IF14" s="1"/>
      <c r="IG14" s="1"/>
      <c r="IH14" s="1"/>
      <c r="II14" s="1"/>
      <c r="IJ14" s="1"/>
      <c r="IK14" s="1"/>
      <c r="IL14" s="1"/>
      <c r="IM14" s="1"/>
      <c r="IN14" s="1"/>
      <c r="IO14" s="1"/>
      <c r="IP14" s="1"/>
      <c r="IQ14" s="1"/>
      <c r="IR14" s="1"/>
      <c r="IS14" s="1"/>
      <c r="IT14" s="1"/>
      <c r="IU14" s="1"/>
      <c r="IV14" s="1"/>
    </row>
    <row r="15" spans="1:256" s="18" customFormat="1" ht="12" customHeight="1">
      <c r="A15" s="757">
        <v>13</v>
      </c>
      <c r="B15" s="416" t="s">
        <v>2425</v>
      </c>
      <c r="C15" s="425" t="s">
        <v>172</v>
      </c>
      <c r="D15" s="419" t="s">
        <v>172</v>
      </c>
      <c r="E15" s="120">
        <v>0</v>
      </c>
      <c r="F15" s="411" t="s">
        <v>172</v>
      </c>
      <c r="G15" s="411" t="s">
        <v>172</v>
      </c>
      <c r="H15" s="411" t="s">
        <v>172</v>
      </c>
      <c r="I15" s="419" t="s">
        <v>172</v>
      </c>
      <c r="J15" s="119">
        <v>221.47886542503593</v>
      </c>
      <c r="K15" s="120">
        <v>0</v>
      </c>
      <c r="L15" s="120">
        <v>0</v>
      </c>
      <c r="M15" s="120">
        <v>0</v>
      </c>
      <c r="N15" s="120">
        <v>0</v>
      </c>
      <c r="O15" s="120">
        <v>39831.703903451933</v>
      </c>
      <c r="P15" s="120">
        <v>6478.4668658094261</v>
      </c>
      <c r="Q15" s="120">
        <v>0</v>
      </c>
      <c r="R15" s="784"/>
      <c r="S15" s="784"/>
      <c r="T15" s="784"/>
      <c r="U15" s="120">
        <v>431.39718288114852</v>
      </c>
      <c r="V15" s="784"/>
      <c r="W15" s="120">
        <v>0</v>
      </c>
      <c r="X15" s="414">
        <v>0</v>
      </c>
      <c r="Y15" s="780">
        <f>ROUND(SUM(J15:X15),0)</f>
        <v>46963</v>
      </c>
      <c r="Z15" s="103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c r="HB15" s="1"/>
      <c r="HC15" s="1"/>
      <c r="HD15" s="1"/>
      <c r="HE15" s="1"/>
      <c r="HF15" s="1"/>
      <c r="HG15" s="1"/>
      <c r="HH15" s="1"/>
      <c r="HI15" s="1"/>
      <c r="HJ15" s="1"/>
      <c r="HK15" s="1"/>
      <c r="HL15" s="1"/>
      <c r="HM15" s="1"/>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c r="IP15" s="1"/>
      <c r="IQ15" s="1"/>
      <c r="IR15" s="1"/>
      <c r="IS15" s="1"/>
      <c r="IT15" s="1"/>
      <c r="IU15" s="1"/>
      <c r="IV15" s="1"/>
    </row>
    <row r="16" spans="1:256" s="18" customFormat="1" ht="24" customHeight="1">
      <c r="A16" s="757">
        <v>14</v>
      </c>
      <c r="B16" s="417" t="s">
        <v>2426</v>
      </c>
      <c r="C16" s="425" t="s">
        <v>172</v>
      </c>
      <c r="D16" s="419" t="s">
        <v>172</v>
      </c>
      <c r="E16" s="120">
        <v>0</v>
      </c>
      <c r="F16" s="411" t="s">
        <v>172</v>
      </c>
      <c r="G16" s="411" t="s">
        <v>172</v>
      </c>
      <c r="H16" s="411" t="s">
        <v>172</v>
      </c>
      <c r="I16" s="419" t="s">
        <v>172</v>
      </c>
      <c r="J16" s="119">
        <v>1004.8574249457726</v>
      </c>
      <c r="K16" s="120">
        <v>0</v>
      </c>
      <c r="L16" s="120">
        <v>0</v>
      </c>
      <c r="M16" s="120">
        <v>0</v>
      </c>
      <c r="N16" s="120">
        <v>0</v>
      </c>
      <c r="O16" s="120">
        <v>180717.84564551388</v>
      </c>
      <c r="P16" s="120">
        <v>29393.032693574056</v>
      </c>
      <c r="Q16" s="120">
        <v>0</v>
      </c>
      <c r="R16" s="784"/>
      <c r="S16" s="784"/>
      <c r="T16" s="784"/>
      <c r="U16" s="120">
        <v>1957.2642359662796</v>
      </c>
      <c r="V16" s="784"/>
      <c r="W16" s="120">
        <v>0</v>
      </c>
      <c r="X16" s="414">
        <v>0</v>
      </c>
      <c r="Y16" s="779">
        <f>ROUND(SUM(J16:X16),0)</f>
        <v>213073</v>
      </c>
      <c r="Z16" s="103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c r="IP16" s="1"/>
      <c r="IQ16" s="1"/>
      <c r="IR16" s="1"/>
      <c r="IS16" s="1"/>
      <c r="IT16" s="1"/>
      <c r="IU16" s="1"/>
      <c r="IV16" s="1"/>
    </row>
    <row r="17" spans="1:256" s="20" customFormat="1" ht="13.5" customHeight="1" thickBot="1">
      <c r="A17" s="757">
        <v>15</v>
      </c>
      <c r="B17" s="772" t="s">
        <v>2427</v>
      </c>
      <c r="C17" s="427" t="s">
        <v>172</v>
      </c>
      <c r="D17" s="421" t="s">
        <v>172</v>
      </c>
      <c r="E17" s="747">
        <f>SUM(E14:E16)</f>
        <v>0</v>
      </c>
      <c r="F17" s="408" t="s">
        <v>172</v>
      </c>
      <c r="G17" s="408" t="s">
        <v>172</v>
      </c>
      <c r="H17" s="408" t="s">
        <v>172</v>
      </c>
      <c r="I17" s="421" t="s">
        <v>172</v>
      </c>
      <c r="J17" s="773">
        <f t="shared" ref="J17:X17" si="3">SUM(J14:J16)</f>
        <v>1226.3362903708085</v>
      </c>
      <c r="K17" s="747">
        <f t="shared" si="3"/>
        <v>0</v>
      </c>
      <c r="L17" s="747">
        <f t="shared" si="3"/>
        <v>0</v>
      </c>
      <c r="M17" s="747">
        <f t="shared" si="3"/>
        <v>0</v>
      </c>
      <c r="N17" s="747">
        <f t="shared" si="3"/>
        <v>0</v>
      </c>
      <c r="O17" s="747">
        <f t="shared" si="3"/>
        <v>220549.54954896582</v>
      </c>
      <c r="P17" s="747">
        <f t="shared" si="3"/>
        <v>35871.499559383483</v>
      </c>
      <c r="Q17" s="747">
        <f t="shared" si="3"/>
        <v>0</v>
      </c>
      <c r="R17" s="785"/>
      <c r="S17" s="785"/>
      <c r="T17" s="785"/>
      <c r="U17" s="747">
        <f t="shared" si="3"/>
        <v>2388.6614188474282</v>
      </c>
      <c r="V17" s="785"/>
      <c r="W17" s="747">
        <f t="shared" si="3"/>
        <v>0</v>
      </c>
      <c r="X17" s="774">
        <f t="shared" si="3"/>
        <v>0</v>
      </c>
      <c r="Y17" s="775">
        <f>SUM(J17:X17)</f>
        <v>260036.04681756755</v>
      </c>
      <c r="Z17" s="1032"/>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c r="GP17" s="1"/>
      <c r="GQ17" s="1"/>
      <c r="GR17" s="1"/>
      <c r="GS17" s="1"/>
      <c r="GT17" s="1"/>
      <c r="GU17" s="1"/>
      <c r="GV17" s="1"/>
      <c r="GW17" s="1"/>
      <c r="GX17" s="1"/>
      <c r="GY17" s="1"/>
      <c r="GZ17" s="1"/>
      <c r="HA17" s="1"/>
      <c r="HB17" s="1"/>
      <c r="HC17" s="1"/>
      <c r="HD17" s="1"/>
      <c r="HE17" s="1"/>
      <c r="HF17" s="1"/>
      <c r="HG17" s="1"/>
      <c r="HH17" s="1"/>
      <c r="HI17" s="1"/>
      <c r="HJ17" s="1"/>
      <c r="HK17" s="1"/>
      <c r="HL17" s="1"/>
      <c r="HM17" s="1"/>
      <c r="HN17" s="1"/>
      <c r="HO17" s="1"/>
      <c r="HP17" s="1"/>
      <c r="HQ17" s="1"/>
      <c r="HR17" s="1"/>
      <c r="HS17" s="1"/>
      <c r="HT17" s="1"/>
      <c r="HU17" s="1"/>
      <c r="HV17" s="1"/>
      <c r="HW17" s="1"/>
      <c r="HX17" s="1"/>
      <c r="HY17" s="1"/>
      <c r="HZ17" s="1"/>
      <c r="IA17" s="1"/>
      <c r="IB17" s="1"/>
      <c r="IC17" s="1"/>
      <c r="ID17" s="1"/>
      <c r="IE17" s="1"/>
      <c r="IF17" s="1"/>
      <c r="IG17" s="1"/>
      <c r="IH17" s="1"/>
      <c r="II17" s="1"/>
      <c r="IJ17" s="1"/>
      <c r="IK17" s="1"/>
      <c r="IL17" s="1"/>
      <c r="IM17" s="1"/>
      <c r="IN17" s="1"/>
      <c r="IO17" s="1"/>
      <c r="IP17" s="1"/>
      <c r="IQ17" s="1"/>
      <c r="IR17" s="1"/>
      <c r="IS17" s="1"/>
      <c r="IT17" s="1"/>
      <c r="IU17" s="1"/>
      <c r="IV17" s="1"/>
    </row>
    <row r="18" spans="1:256" s="20" customFormat="1" ht="21.75" customHeight="1">
      <c r="A18" s="757">
        <v>16</v>
      </c>
      <c r="B18" s="772" t="s">
        <v>2428</v>
      </c>
      <c r="C18" s="427" t="s">
        <v>172</v>
      </c>
      <c r="D18" s="421" t="s">
        <v>172</v>
      </c>
      <c r="E18" s="748">
        <f>E17+E13</f>
        <v>0.32127081977486927</v>
      </c>
      <c r="F18" s="408" t="s">
        <v>172</v>
      </c>
      <c r="G18" s="408" t="s">
        <v>172</v>
      </c>
      <c r="H18" s="408" t="s">
        <v>172</v>
      </c>
      <c r="I18" s="421" t="s">
        <v>172</v>
      </c>
      <c r="J18" s="776">
        <f t="shared" ref="J18:X18" si="4">J17+J13</f>
        <v>3599.9235186822621</v>
      </c>
      <c r="K18" s="748">
        <f t="shared" si="4"/>
        <v>0</v>
      </c>
      <c r="L18" s="748">
        <f t="shared" si="4"/>
        <v>0</v>
      </c>
      <c r="M18" s="748">
        <f t="shared" si="4"/>
        <v>0</v>
      </c>
      <c r="N18" s="748">
        <f t="shared" si="4"/>
        <v>0</v>
      </c>
      <c r="O18" s="748">
        <f t="shared" si="4"/>
        <v>647425.60151753318</v>
      </c>
      <c r="P18" s="748">
        <f t="shared" si="4"/>
        <v>105301.1771144589</v>
      </c>
      <c r="Q18" s="748">
        <f t="shared" si="4"/>
        <v>0</v>
      </c>
      <c r="R18" s="786"/>
      <c r="S18" s="786"/>
      <c r="T18" s="786"/>
      <c r="U18" s="748">
        <f t="shared" si="4"/>
        <v>7011.941575404011</v>
      </c>
      <c r="V18" s="786"/>
      <c r="W18" s="748">
        <f t="shared" si="4"/>
        <v>0</v>
      </c>
      <c r="X18" s="777">
        <f t="shared" si="4"/>
        <v>0</v>
      </c>
      <c r="Y18" s="775">
        <f>SUM(J18:X18)</f>
        <v>763338.64372607833</v>
      </c>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1"/>
      <c r="FR18" s="1"/>
      <c r="FS18" s="1"/>
      <c r="FT18" s="1"/>
      <c r="FU18" s="1"/>
      <c r="FV18" s="1"/>
      <c r="FW18" s="1"/>
      <c r="FX18" s="1"/>
      <c r="FY18" s="1"/>
      <c r="FZ18" s="1"/>
      <c r="GA18" s="1"/>
      <c r="GB18" s="1"/>
      <c r="GC18" s="1"/>
      <c r="GD18" s="1"/>
      <c r="GE18" s="1"/>
      <c r="GF18" s="1"/>
      <c r="GG18" s="1"/>
      <c r="GH18" s="1"/>
      <c r="GI18" s="1"/>
      <c r="GJ18" s="1"/>
      <c r="GK18" s="1"/>
      <c r="GL18" s="1"/>
      <c r="GM18" s="1"/>
      <c r="GN18" s="1"/>
      <c r="GO18" s="1"/>
      <c r="GP18" s="1"/>
      <c r="GQ18" s="1"/>
      <c r="GR18" s="1"/>
      <c r="GS18" s="1"/>
      <c r="GT18" s="1"/>
      <c r="GU18" s="1"/>
      <c r="GV18" s="1"/>
      <c r="GW18" s="1"/>
      <c r="GX18" s="1"/>
      <c r="GY18" s="1"/>
      <c r="GZ18" s="1"/>
      <c r="HA18" s="1"/>
      <c r="HB18" s="1"/>
      <c r="HC18" s="1"/>
      <c r="HD18" s="1"/>
      <c r="HE18" s="1"/>
      <c r="HF18" s="1"/>
      <c r="HG18" s="1"/>
      <c r="HH18" s="1"/>
      <c r="HI18" s="1"/>
      <c r="HJ18" s="1"/>
      <c r="HK18" s="1"/>
      <c r="HL18" s="1"/>
      <c r="HM18" s="1"/>
      <c r="HN18" s="1"/>
      <c r="HO18" s="1"/>
      <c r="HP18" s="1"/>
      <c r="HQ18" s="1"/>
      <c r="HR18" s="1"/>
      <c r="HS18" s="1"/>
      <c r="HT18" s="1"/>
      <c r="HU18" s="1"/>
      <c r="HV18" s="1"/>
      <c r="HW18" s="1"/>
      <c r="HX18" s="1"/>
      <c r="HY18" s="1"/>
      <c r="HZ18" s="1"/>
      <c r="IA18" s="1"/>
      <c r="IB18" s="1"/>
      <c r="IC18" s="1"/>
      <c r="ID18" s="1"/>
      <c r="IE18" s="1"/>
      <c r="IF18" s="1"/>
      <c r="IG18" s="1"/>
      <c r="IH18" s="1"/>
      <c r="II18" s="1"/>
      <c r="IJ18" s="1"/>
      <c r="IK18" s="1"/>
      <c r="IL18" s="1"/>
      <c r="IM18" s="1"/>
      <c r="IN18" s="1"/>
      <c r="IO18" s="1"/>
      <c r="IP18" s="1"/>
      <c r="IQ18" s="1"/>
      <c r="IR18" s="1"/>
      <c r="IS18" s="1"/>
      <c r="IT18" s="1"/>
      <c r="IU18" s="1"/>
      <c r="IV18" s="1"/>
    </row>
    <row r="19" spans="1:256" s="18" customFormat="1" ht="12" customHeight="1">
      <c r="A19" s="757">
        <v>17</v>
      </c>
      <c r="B19" s="416" t="s">
        <v>2429</v>
      </c>
      <c r="C19" s="426" t="s">
        <v>172</v>
      </c>
      <c r="D19" s="420" t="s">
        <v>172</v>
      </c>
      <c r="E19" s="412" t="s">
        <v>172</v>
      </c>
      <c r="F19" s="412" t="s">
        <v>172</v>
      </c>
      <c r="G19" s="412" t="s">
        <v>172</v>
      </c>
      <c r="H19" s="412" t="s">
        <v>172</v>
      </c>
      <c r="I19" s="420" t="s">
        <v>172</v>
      </c>
      <c r="J19" s="119">
        <v>0</v>
      </c>
      <c r="K19" s="120">
        <v>0</v>
      </c>
      <c r="L19" s="120">
        <v>0</v>
      </c>
      <c r="M19" s="120">
        <v>0</v>
      </c>
      <c r="N19" s="120">
        <v>0</v>
      </c>
      <c r="O19" s="120">
        <v>49931.05</v>
      </c>
      <c r="P19" s="120">
        <v>3929</v>
      </c>
      <c r="Q19" s="120">
        <v>0</v>
      </c>
      <c r="R19" s="784"/>
      <c r="S19" s="784"/>
      <c r="T19" s="784"/>
      <c r="U19" s="120">
        <v>0</v>
      </c>
      <c r="V19" s="784"/>
      <c r="W19" s="120">
        <v>0</v>
      </c>
      <c r="X19" s="414">
        <v>0</v>
      </c>
      <c r="Y19" s="415">
        <f>SUM(J19:Q19,U19,W19,X19)</f>
        <v>53860.05</v>
      </c>
      <c r="Z19" s="7"/>
      <c r="AA19" s="23"/>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c r="BT19" s="7"/>
      <c r="BU19" s="7"/>
      <c r="BV19" s="7"/>
      <c r="BW19" s="7"/>
      <c r="BX19" s="7"/>
      <c r="BY19" s="7"/>
      <c r="BZ19" s="7"/>
      <c r="CA19" s="7"/>
      <c r="CB19" s="7"/>
      <c r="CC19" s="7"/>
      <c r="CD19" s="7"/>
      <c r="CE19" s="7"/>
      <c r="CF19" s="7"/>
      <c r="CG19" s="7"/>
      <c r="CH19" s="7"/>
      <c r="CI19" s="7"/>
      <c r="CJ19" s="7"/>
      <c r="CK19" s="7"/>
      <c r="CL19" s="7"/>
      <c r="CM19" s="7"/>
      <c r="CN19" s="7"/>
      <c r="CO19" s="7"/>
      <c r="CP19" s="7"/>
      <c r="CQ19" s="7"/>
      <c r="CR19" s="7"/>
      <c r="CS19" s="7"/>
      <c r="CT19" s="7"/>
      <c r="CU19" s="7"/>
      <c r="CV19" s="7"/>
      <c r="CW19" s="7"/>
      <c r="CX19" s="7"/>
      <c r="CY19" s="7"/>
      <c r="CZ19" s="7"/>
      <c r="DA19" s="7"/>
      <c r="DB19" s="7"/>
      <c r="DC19" s="7"/>
      <c r="DD19" s="7"/>
      <c r="DE19" s="7"/>
      <c r="DF19" s="7"/>
      <c r="DG19" s="7"/>
      <c r="DH19" s="7"/>
      <c r="DI19" s="7"/>
      <c r="DJ19" s="7"/>
      <c r="DK19" s="7"/>
      <c r="DL19" s="7"/>
      <c r="DM19" s="7"/>
      <c r="DN19" s="7"/>
      <c r="DO19" s="7"/>
      <c r="DP19" s="7"/>
      <c r="DQ19" s="7"/>
      <c r="DR19" s="7"/>
      <c r="DS19" s="7"/>
      <c r="DT19" s="7"/>
      <c r="DU19" s="7"/>
      <c r="DV19" s="7"/>
      <c r="DW19" s="7"/>
      <c r="DX19" s="7"/>
      <c r="DY19" s="7"/>
      <c r="DZ19" s="7"/>
      <c r="EA19" s="7"/>
      <c r="EB19" s="7"/>
      <c r="EC19" s="7"/>
      <c r="ED19" s="7"/>
      <c r="EE19" s="7"/>
      <c r="EF19" s="7"/>
      <c r="EG19" s="7"/>
      <c r="EH19" s="7"/>
      <c r="EI19" s="7"/>
      <c r="EJ19" s="7"/>
      <c r="EK19" s="7"/>
      <c r="EL19" s="7"/>
      <c r="EM19" s="7"/>
      <c r="EN19" s="7"/>
      <c r="EO19" s="7"/>
      <c r="EP19" s="7"/>
      <c r="EQ19" s="7"/>
      <c r="ER19" s="7"/>
      <c r="ES19" s="7"/>
      <c r="ET19" s="7"/>
      <c r="EU19" s="7"/>
      <c r="EV19" s="7"/>
      <c r="EW19" s="7"/>
      <c r="EX19" s="7"/>
      <c r="EY19" s="7"/>
      <c r="EZ19" s="7"/>
      <c r="FA19" s="7"/>
      <c r="FB19" s="7"/>
      <c r="FC19" s="7"/>
      <c r="FD19" s="7"/>
      <c r="FE19" s="7"/>
      <c r="FF19" s="7"/>
      <c r="FG19" s="7"/>
      <c r="FH19" s="7"/>
      <c r="FI19" s="7"/>
      <c r="FJ19" s="7"/>
      <c r="FK19" s="7"/>
      <c r="FL19" s="7"/>
      <c r="FM19" s="7"/>
      <c r="FN19" s="7"/>
      <c r="FO19" s="7"/>
      <c r="FP19" s="7"/>
      <c r="FQ19" s="7"/>
      <c r="FR19" s="7"/>
      <c r="FS19" s="7"/>
      <c r="FT19" s="7"/>
      <c r="FU19" s="7"/>
      <c r="FV19" s="7"/>
      <c r="FW19" s="7"/>
      <c r="FX19" s="7"/>
      <c r="FY19" s="7"/>
      <c r="FZ19" s="7"/>
      <c r="GA19" s="7"/>
      <c r="GB19" s="7"/>
      <c r="GC19" s="7"/>
      <c r="GD19" s="7"/>
      <c r="GE19" s="7"/>
      <c r="GF19" s="7"/>
      <c r="GG19" s="7"/>
      <c r="GH19" s="7"/>
      <c r="GI19" s="7"/>
      <c r="GJ19" s="7"/>
      <c r="GK19" s="7"/>
      <c r="GL19" s="7"/>
      <c r="GM19" s="7"/>
      <c r="GN19" s="7"/>
      <c r="GO19" s="7"/>
      <c r="GP19" s="7"/>
      <c r="GQ19" s="7"/>
      <c r="GR19" s="7"/>
      <c r="GS19" s="7"/>
      <c r="GT19" s="7"/>
      <c r="GU19" s="7"/>
      <c r="GV19" s="7"/>
      <c r="GW19" s="7"/>
      <c r="GX19" s="7"/>
      <c r="GY19" s="7"/>
      <c r="GZ19" s="7"/>
      <c r="HA19" s="7"/>
      <c r="HB19" s="7"/>
      <c r="HC19" s="7"/>
      <c r="HD19" s="7"/>
      <c r="HE19" s="7"/>
      <c r="HF19" s="7"/>
      <c r="HG19" s="7"/>
      <c r="HH19" s="7"/>
      <c r="HI19" s="7"/>
      <c r="HJ19" s="7"/>
      <c r="HK19" s="7"/>
      <c r="HL19" s="7"/>
      <c r="HM19" s="7"/>
      <c r="HN19" s="7"/>
      <c r="HO19" s="7"/>
      <c r="HP19" s="7"/>
      <c r="HQ19" s="7"/>
      <c r="HR19" s="7"/>
      <c r="HS19" s="7"/>
      <c r="HT19" s="7"/>
      <c r="HU19" s="7"/>
      <c r="HV19" s="7"/>
      <c r="HW19" s="7"/>
      <c r="HX19" s="7"/>
      <c r="HY19" s="7"/>
      <c r="HZ19" s="7"/>
      <c r="IA19" s="7"/>
      <c r="IB19" s="7"/>
      <c r="IC19" s="7"/>
      <c r="ID19" s="7"/>
      <c r="IE19" s="7"/>
      <c r="IF19" s="7"/>
      <c r="IG19" s="7"/>
      <c r="IH19" s="7"/>
      <c r="II19" s="7"/>
      <c r="IJ19" s="7"/>
      <c r="IK19" s="7"/>
      <c r="IL19" s="7"/>
      <c r="IM19" s="7"/>
      <c r="IN19" s="7"/>
      <c r="IO19" s="7"/>
      <c r="IP19" s="7"/>
      <c r="IQ19" s="7"/>
      <c r="IR19" s="7"/>
      <c r="IS19" s="7"/>
      <c r="IT19" s="7"/>
      <c r="IU19" s="7"/>
      <c r="IV19" s="7"/>
    </row>
    <row r="20" spans="1:256" s="18" customFormat="1">
      <c r="A20" s="757">
        <v>18</v>
      </c>
      <c r="B20" s="417" t="s">
        <v>2430</v>
      </c>
      <c r="C20" s="426" t="s">
        <v>172</v>
      </c>
      <c r="D20" s="420" t="s">
        <v>172</v>
      </c>
      <c r="E20" s="120">
        <v>0</v>
      </c>
      <c r="F20" s="412" t="s">
        <v>172</v>
      </c>
      <c r="G20" s="412" t="s">
        <v>172</v>
      </c>
      <c r="H20" s="412" t="s">
        <v>172</v>
      </c>
      <c r="I20" s="420" t="s">
        <v>172</v>
      </c>
      <c r="J20" s="119">
        <v>12600</v>
      </c>
      <c r="K20" s="120">
        <v>0</v>
      </c>
      <c r="L20" s="120">
        <v>0</v>
      </c>
      <c r="M20" s="120">
        <v>0</v>
      </c>
      <c r="N20" s="120">
        <v>0</v>
      </c>
      <c r="O20" s="120">
        <v>200036</v>
      </c>
      <c r="P20" s="120">
        <v>0</v>
      </c>
      <c r="Q20" s="120">
        <v>0</v>
      </c>
      <c r="R20" s="784"/>
      <c r="S20" s="784"/>
      <c r="T20" s="784"/>
      <c r="U20" s="120">
        <v>8000</v>
      </c>
      <c r="V20" s="784"/>
      <c r="W20" s="120">
        <v>0</v>
      </c>
      <c r="X20" s="662"/>
      <c r="Y20" s="415">
        <f>SUM(J20:Q20,U20,W20)</f>
        <v>220636</v>
      </c>
      <c r="Z20" s="1"/>
      <c r="AA20" s="23"/>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I20" s="1"/>
      <c r="GJ20" s="1"/>
      <c r="GK20" s="1"/>
      <c r="GL20" s="1"/>
      <c r="GM20" s="1"/>
      <c r="GN20" s="1"/>
      <c r="GO20" s="1"/>
      <c r="GP20" s="1"/>
      <c r="GQ20" s="1"/>
      <c r="GR20" s="1"/>
      <c r="GS20" s="1"/>
      <c r="GT20" s="1"/>
      <c r="GU20" s="1"/>
      <c r="GV20" s="1"/>
      <c r="GW20" s="1"/>
      <c r="GX20" s="1"/>
      <c r="GY20" s="1"/>
      <c r="GZ20" s="1"/>
      <c r="HA20" s="1"/>
      <c r="HB20" s="1"/>
      <c r="HC20" s="1"/>
      <c r="HD20" s="1"/>
      <c r="HE20" s="1"/>
      <c r="HF20" s="1"/>
      <c r="HG20" s="1"/>
      <c r="HH20" s="1"/>
      <c r="HI20" s="1"/>
      <c r="HJ20" s="1"/>
      <c r="HK20" s="1"/>
      <c r="HL20" s="1"/>
      <c r="HM20" s="1"/>
      <c r="HN20" s="1"/>
      <c r="HO20" s="1"/>
      <c r="HP20" s="1"/>
      <c r="HQ20" s="1"/>
      <c r="HR20" s="1"/>
      <c r="HS20" s="1"/>
      <c r="HT20" s="1"/>
      <c r="HU20" s="1"/>
      <c r="HV20" s="1"/>
      <c r="HW20" s="1"/>
      <c r="HX20" s="1"/>
      <c r="HY20" s="1"/>
      <c r="HZ20" s="1"/>
      <c r="IA20" s="1"/>
      <c r="IB20" s="1"/>
      <c r="IC20" s="1"/>
      <c r="ID20" s="1"/>
      <c r="IE20" s="1"/>
      <c r="IF20" s="1"/>
      <c r="IG20" s="1"/>
      <c r="IH20" s="1"/>
      <c r="II20" s="1"/>
      <c r="IJ20" s="1"/>
      <c r="IK20" s="1"/>
      <c r="IL20" s="1"/>
      <c r="IM20" s="1"/>
      <c r="IN20" s="1"/>
      <c r="IO20" s="1"/>
      <c r="IP20" s="1"/>
      <c r="IQ20" s="1"/>
      <c r="IR20" s="1"/>
      <c r="IS20" s="1"/>
      <c r="IT20" s="1"/>
      <c r="IU20" s="1"/>
      <c r="IV20" s="1"/>
    </row>
    <row r="21" spans="1:256" s="18" customFormat="1" ht="27" customHeight="1">
      <c r="A21" s="757">
        <v>19</v>
      </c>
      <c r="B21" s="417" t="s">
        <v>2435</v>
      </c>
      <c r="C21" s="426" t="s">
        <v>172</v>
      </c>
      <c r="D21" s="420" t="s">
        <v>172</v>
      </c>
      <c r="E21" s="412" t="s">
        <v>172</v>
      </c>
      <c r="F21" s="412" t="s">
        <v>172</v>
      </c>
      <c r="G21" s="412" t="s">
        <v>172</v>
      </c>
      <c r="H21" s="412" t="s">
        <v>172</v>
      </c>
      <c r="I21" s="420" t="s">
        <v>172</v>
      </c>
      <c r="J21" s="119">
        <v>0</v>
      </c>
      <c r="K21" s="120">
        <v>0</v>
      </c>
      <c r="L21" s="120">
        <v>0</v>
      </c>
      <c r="M21" s="120">
        <v>0</v>
      </c>
      <c r="N21" s="120">
        <v>0</v>
      </c>
      <c r="O21" s="120">
        <v>148049.21829734341</v>
      </c>
      <c r="P21" s="120">
        <v>23342.781702656604</v>
      </c>
      <c r="Q21" s="120">
        <v>0</v>
      </c>
      <c r="R21" s="784"/>
      <c r="S21" s="784"/>
      <c r="T21" s="784"/>
      <c r="U21" s="120">
        <v>0</v>
      </c>
      <c r="V21" s="784"/>
      <c r="W21" s="120">
        <v>0</v>
      </c>
      <c r="X21" s="414">
        <v>0</v>
      </c>
      <c r="Y21" s="415">
        <f>SUM(J21:Q21,U21,W21,X21)</f>
        <v>171392</v>
      </c>
      <c r="Z21" s="1"/>
      <c r="AA21" s="23"/>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c r="FR21" s="1"/>
      <c r="FS21" s="1"/>
      <c r="FT21" s="1"/>
      <c r="FU21" s="1"/>
      <c r="FV21" s="1"/>
      <c r="FW21" s="1"/>
      <c r="FX21" s="1"/>
      <c r="FY21" s="1"/>
      <c r="FZ21" s="1"/>
      <c r="GA21" s="1"/>
      <c r="GB21" s="1"/>
      <c r="GC21" s="1"/>
      <c r="GD21" s="1"/>
      <c r="GE21" s="1"/>
      <c r="GF21" s="1"/>
      <c r="GG21" s="1"/>
      <c r="GH21" s="1"/>
      <c r="GI21" s="1"/>
      <c r="GJ21" s="1"/>
      <c r="GK21" s="1"/>
      <c r="GL21" s="1"/>
      <c r="GM21" s="1"/>
      <c r="GN21" s="1"/>
      <c r="GO21" s="1"/>
      <c r="GP21" s="1"/>
      <c r="GQ21" s="1"/>
      <c r="GR21" s="1"/>
      <c r="GS21" s="1"/>
      <c r="GT21" s="1"/>
      <c r="GU21" s="1"/>
      <c r="GV21" s="1"/>
      <c r="GW21" s="1"/>
      <c r="GX21" s="1"/>
      <c r="GY21" s="1"/>
      <c r="GZ21" s="1"/>
      <c r="HA21" s="1"/>
      <c r="HB21" s="1"/>
      <c r="HC21" s="1"/>
      <c r="HD21" s="1"/>
      <c r="HE21" s="1"/>
      <c r="HF21" s="1"/>
      <c r="HG21" s="1"/>
      <c r="HH21" s="1"/>
      <c r="HI21" s="1"/>
      <c r="HJ21" s="1"/>
      <c r="HK21" s="1"/>
      <c r="HL21" s="1"/>
      <c r="HM21" s="1"/>
      <c r="HN21" s="1"/>
      <c r="HO21" s="1"/>
      <c r="HP21" s="1"/>
      <c r="HQ21" s="1"/>
      <c r="HR21" s="1"/>
      <c r="HS21" s="1"/>
      <c r="HT21" s="1"/>
      <c r="HU21" s="1"/>
      <c r="HV21" s="1"/>
      <c r="HW21" s="1"/>
      <c r="HX21" s="1"/>
      <c r="HY21" s="1"/>
      <c r="HZ21" s="1"/>
      <c r="IA21" s="1"/>
      <c r="IB21" s="1"/>
      <c r="IC21" s="1"/>
      <c r="ID21" s="1"/>
      <c r="IE21" s="1"/>
      <c r="IF21" s="1"/>
      <c r="IG21" s="1"/>
      <c r="IH21" s="1"/>
      <c r="II21" s="1"/>
      <c r="IJ21" s="1"/>
      <c r="IK21" s="1"/>
      <c r="IL21" s="1"/>
      <c r="IM21" s="1"/>
      <c r="IN21" s="1"/>
      <c r="IO21" s="1"/>
      <c r="IP21" s="1"/>
      <c r="IQ21" s="1"/>
      <c r="IR21" s="1"/>
      <c r="IS21" s="1"/>
      <c r="IT21" s="1"/>
      <c r="IU21" s="1"/>
      <c r="IV21" s="1"/>
    </row>
    <row r="22" spans="1:256" s="18" customFormat="1" ht="27" customHeight="1">
      <c r="A22" s="757">
        <v>20</v>
      </c>
      <c r="B22" s="417" t="s">
        <v>2431</v>
      </c>
      <c r="C22" s="426" t="s">
        <v>172</v>
      </c>
      <c r="D22" s="420" t="s">
        <v>172</v>
      </c>
      <c r="E22" s="412" t="s">
        <v>172</v>
      </c>
      <c r="F22" s="412" t="s">
        <v>172</v>
      </c>
      <c r="G22" s="412" t="s">
        <v>172</v>
      </c>
      <c r="H22" s="412" t="s">
        <v>172</v>
      </c>
      <c r="I22" s="420" t="s">
        <v>172</v>
      </c>
      <c r="J22" s="119">
        <v>0</v>
      </c>
      <c r="K22" s="120">
        <v>0</v>
      </c>
      <c r="L22" s="120">
        <v>0</v>
      </c>
      <c r="M22" s="120">
        <v>0</v>
      </c>
      <c r="N22" s="120">
        <v>0</v>
      </c>
      <c r="O22" s="120">
        <v>26470</v>
      </c>
      <c r="P22" s="120">
        <v>15000</v>
      </c>
      <c r="Q22" s="120">
        <v>0</v>
      </c>
      <c r="R22" s="784"/>
      <c r="S22" s="784"/>
      <c r="T22" s="784"/>
      <c r="U22" s="120">
        <v>0</v>
      </c>
      <c r="V22" s="784"/>
      <c r="W22" s="120">
        <v>0</v>
      </c>
      <c r="X22" s="414">
        <v>0</v>
      </c>
      <c r="Y22" s="415">
        <f>SUM(J22:Q22,U22,W22,X22)</f>
        <v>41470</v>
      </c>
      <c r="Z22" s="1"/>
      <c r="AA22" s="23"/>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c r="IP22" s="1"/>
      <c r="IQ22" s="1"/>
      <c r="IR22" s="1"/>
      <c r="IS22" s="1"/>
      <c r="IT22" s="1"/>
      <c r="IU22" s="1"/>
      <c r="IV22" s="1"/>
    </row>
    <row r="23" spans="1:256" s="18" customFormat="1" ht="27" customHeight="1">
      <c r="A23" s="757">
        <v>21</v>
      </c>
      <c r="B23" s="417" t="s">
        <v>2664</v>
      </c>
      <c r="C23" s="426" t="s">
        <v>172</v>
      </c>
      <c r="D23" s="420" t="s">
        <v>172</v>
      </c>
      <c r="E23" s="412" t="s">
        <v>172</v>
      </c>
      <c r="F23" s="412" t="s">
        <v>172</v>
      </c>
      <c r="G23" s="412" t="s">
        <v>172</v>
      </c>
      <c r="H23" s="412" t="s">
        <v>172</v>
      </c>
      <c r="I23" s="420" t="s">
        <v>172</v>
      </c>
      <c r="J23" s="119">
        <v>1217.9491760692404</v>
      </c>
      <c r="K23" s="120">
        <v>0</v>
      </c>
      <c r="L23" s="120">
        <v>0</v>
      </c>
      <c r="M23" s="120">
        <v>0</v>
      </c>
      <c r="N23" s="120">
        <v>0</v>
      </c>
      <c r="O23" s="120">
        <v>219041.17513670147</v>
      </c>
      <c r="P23" s="120">
        <v>35626.168511663913</v>
      </c>
      <c r="Q23" s="120">
        <v>0</v>
      </c>
      <c r="R23" s="784"/>
      <c r="S23" s="784"/>
      <c r="T23" s="784"/>
      <c r="U23" s="120">
        <v>2372.3249730413909</v>
      </c>
      <c r="V23" s="784"/>
      <c r="W23" s="120">
        <v>0</v>
      </c>
      <c r="X23" s="414">
        <v>0</v>
      </c>
      <c r="Y23" s="415">
        <f>SUM(J23:Q23,U23,W23,X23)</f>
        <v>258257.61779747601</v>
      </c>
      <c r="Z23" s="1"/>
      <c r="AA23" s="23"/>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c r="GP23" s="1"/>
      <c r="GQ23" s="1"/>
      <c r="GR23" s="1"/>
      <c r="GS23" s="1"/>
      <c r="GT23" s="1"/>
      <c r="GU23" s="1"/>
      <c r="GV23" s="1"/>
      <c r="GW23" s="1"/>
      <c r="GX23" s="1"/>
      <c r="GY23" s="1"/>
      <c r="GZ23" s="1"/>
      <c r="HA23" s="1"/>
      <c r="HB23" s="1"/>
      <c r="HC23" s="1"/>
      <c r="HD23" s="1"/>
      <c r="HE23" s="1"/>
      <c r="HF23" s="1"/>
      <c r="HG23" s="1"/>
      <c r="HH23" s="1"/>
      <c r="HI23" s="1"/>
      <c r="HJ23" s="1"/>
      <c r="HK23" s="1"/>
      <c r="HL23" s="1"/>
      <c r="HM23" s="1"/>
      <c r="HN23" s="1"/>
      <c r="HO23" s="1"/>
      <c r="HP23" s="1"/>
      <c r="HQ23" s="1"/>
      <c r="HR23" s="1"/>
      <c r="HS23" s="1"/>
      <c r="HT23" s="1"/>
      <c r="HU23" s="1"/>
      <c r="HV23" s="1"/>
      <c r="HW23" s="1"/>
      <c r="HX23" s="1"/>
      <c r="HY23" s="1"/>
      <c r="HZ23" s="1"/>
      <c r="IA23" s="1"/>
      <c r="IB23" s="1"/>
      <c r="IC23" s="1"/>
      <c r="ID23" s="1"/>
      <c r="IE23" s="1"/>
      <c r="IF23" s="1"/>
      <c r="IG23" s="1"/>
      <c r="IH23" s="1"/>
      <c r="II23" s="1"/>
      <c r="IJ23" s="1"/>
      <c r="IK23" s="1"/>
      <c r="IL23" s="1"/>
      <c r="IM23" s="1"/>
      <c r="IN23" s="1"/>
      <c r="IO23" s="1"/>
      <c r="IP23" s="1"/>
      <c r="IQ23" s="1"/>
      <c r="IR23" s="1"/>
      <c r="IS23" s="1"/>
      <c r="IT23" s="1"/>
      <c r="IU23" s="1"/>
      <c r="IV23" s="1"/>
    </row>
    <row r="24" spans="1:256" s="16" customFormat="1" ht="27" customHeight="1" thickBot="1">
      <c r="A24" s="758">
        <v>22</v>
      </c>
      <c r="B24" s="418" t="s">
        <v>2432</v>
      </c>
      <c r="C24" s="426" t="s">
        <v>172</v>
      </c>
      <c r="D24" s="420" t="s">
        <v>172</v>
      </c>
      <c r="E24" s="412" t="s">
        <v>172</v>
      </c>
      <c r="F24" s="412" t="s">
        <v>172</v>
      </c>
      <c r="G24" s="412" t="s">
        <v>172</v>
      </c>
      <c r="H24" s="412" t="s">
        <v>172</v>
      </c>
      <c r="I24" s="420" t="s">
        <v>172</v>
      </c>
      <c r="J24" s="766">
        <v>0</v>
      </c>
      <c r="K24" s="749">
        <v>0</v>
      </c>
      <c r="L24" s="749">
        <v>0</v>
      </c>
      <c r="M24" s="749">
        <v>0</v>
      </c>
      <c r="N24" s="749">
        <v>0</v>
      </c>
      <c r="O24" s="749">
        <v>0</v>
      </c>
      <c r="P24" s="749">
        <v>0</v>
      </c>
      <c r="Q24" s="749">
        <v>0</v>
      </c>
      <c r="R24" s="787"/>
      <c r="S24" s="787"/>
      <c r="T24" s="787"/>
      <c r="U24" s="749">
        <v>0</v>
      </c>
      <c r="V24" s="787"/>
      <c r="W24" s="749">
        <v>0</v>
      </c>
      <c r="X24" s="767">
        <v>0</v>
      </c>
      <c r="Y24" s="768" t="s">
        <v>172</v>
      </c>
      <c r="Z24" s="1"/>
      <c r="AA24" s="23"/>
      <c r="AB24" s="1028" t="s">
        <v>149</v>
      </c>
      <c r="AC24" s="1028"/>
      <c r="AD24" s="1028"/>
      <c r="AE24" s="1028"/>
      <c r="AF24" s="1028"/>
      <c r="AG24" s="1028"/>
      <c r="AH24" s="1028"/>
      <c r="AI24" s="1028"/>
      <c r="AJ24" s="1028"/>
      <c r="AK24" s="1028"/>
      <c r="AL24" s="1028"/>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c r="HB24" s="1"/>
      <c r="HC24" s="1"/>
      <c r="HD24" s="1"/>
      <c r="HE24" s="1"/>
      <c r="HF24" s="1"/>
      <c r="HG24" s="1"/>
      <c r="HH24" s="1"/>
      <c r="HI24" s="1"/>
      <c r="HJ24" s="1"/>
      <c r="HK24" s="1"/>
      <c r="HL24" s="1"/>
      <c r="HM24" s="1"/>
      <c r="HN24" s="1"/>
      <c r="HO24" s="1"/>
      <c r="HP24" s="1"/>
      <c r="HQ24" s="1"/>
      <c r="HR24" s="1"/>
      <c r="HS24" s="1"/>
      <c r="HT24" s="1"/>
      <c r="HU24" s="1"/>
      <c r="HV24" s="1"/>
      <c r="HW24" s="1"/>
      <c r="HX24" s="1"/>
      <c r="HY24" s="1"/>
      <c r="HZ24" s="1"/>
      <c r="IA24" s="1"/>
      <c r="IB24" s="1"/>
      <c r="IC24" s="1"/>
      <c r="ID24" s="1"/>
      <c r="IE24" s="1"/>
      <c r="IF24" s="1"/>
      <c r="IG24" s="1"/>
      <c r="IH24" s="1"/>
      <c r="II24" s="1"/>
      <c r="IJ24" s="1"/>
      <c r="IK24" s="1"/>
      <c r="IL24" s="1"/>
      <c r="IM24" s="1"/>
      <c r="IN24" s="1"/>
      <c r="IO24" s="1"/>
      <c r="IP24" s="1"/>
      <c r="IQ24" s="1"/>
      <c r="IR24" s="1"/>
      <c r="IS24" s="1"/>
      <c r="IT24" s="1"/>
      <c r="IU24" s="1"/>
      <c r="IV24" s="1"/>
    </row>
    <row r="25" spans="1:256" s="20" customFormat="1" ht="13.5" customHeight="1" thickBot="1">
      <c r="A25" s="756">
        <v>23</v>
      </c>
      <c r="B25" s="760" t="s">
        <v>2433</v>
      </c>
      <c r="C25" s="509" t="s">
        <v>172</v>
      </c>
      <c r="D25" s="510" t="s">
        <v>172</v>
      </c>
      <c r="E25" s="750">
        <f>SUM(E19:E24)</f>
        <v>0</v>
      </c>
      <c r="F25" s="511" t="s">
        <v>172</v>
      </c>
      <c r="G25" s="511" t="s">
        <v>172</v>
      </c>
      <c r="H25" s="511" t="s">
        <v>172</v>
      </c>
      <c r="I25" s="510" t="s">
        <v>172</v>
      </c>
      <c r="J25" s="769">
        <f t="shared" ref="J25:Y25" si="5">SUM(J19:J24)</f>
        <v>13817.94917606924</v>
      </c>
      <c r="K25" s="750">
        <f t="shared" si="5"/>
        <v>0</v>
      </c>
      <c r="L25" s="750">
        <f t="shared" si="5"/>
        <v>0</v>
      </c>
      <c r="M25" s="750">
        <f t="shared" si="5"/>
        <v>0</v>
      </c>
      <c r="N25" s="750">
        <f t="shared" si="5"/>
        <v>0</v>
      </c>
      <c r="O25" s="750">
        <f t="shared" si="5"/>
        <v>643527.44343404484</v>
      </c>
      <c r="P25" s="750">
        <f t="shared" si="5"/>
        <v>77897.950214320517</v>
      </c>
      <c r="Q25" s="750">
        <f t="shared" si="5"/>
        <v>0</v>
      </c>
      <c r="R25" s="788"/>
      <c r="S25" s="788"/>
      <c r="T25" s="788"/>
      <c r="U25" s="750">
        <f t="shared" si="5"/>
        <v>10372.324973041392</v>
      </c>
      <c r="V25" s="788"/>
      <c r="W25" s="750">
        <f t="shared" si="5"/>
        <v>0</v>
      </c>
      <c r="X25" s="770">
        <f t="shared" si="5"/>
        <v>0</v>
      </c>
      <c r="Y25" s="771">
        <f t="shared" si="5"/>
        <v>745615.66779747605</v>
      </c>
      <c r="Z25" s="1"/>
      <c r="AA25" s="1"/>
      <c r="AB25" s="1" t="s">
        <v>150</v>
      </c>
      <c r="AC25" s="1" t="s">
        <v>151</v>
      </c>
      <c r="AD25" s="1" t="s">
        <v>152</v>
      </c>
      <c r="AE25" s="1" t="s">
        <v>1528</v>
      </c>
      <c r="AF25" s="1" t="s">
        <v>158</v>
      </c>
      <c r="AG25" s="1" t="s">
        <v>153</v>
      </c>
      <c r="AH25" s="1" t="s">
        <v>154</v>
      </c>
      <c r="AI25" s="1" t="s">
        <v>155</v>
      </c>
      <c r="AJ25" s="1" t="s">
        <v>1521</v>
      </c>
      <c r="AK25" s="1" t="s">
        <v>1522</v>
      </c>
      <c r="AL25" s="1" t="s">
        <v>1523</v>
      </c>
      <c r="AM25" s="1" t="s">
        <v>1525</v>
      </c>
      <c r="AN25" s="1" t="s">
        <v>143</v>
      </c>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c r="IP25" s="1"/>
      <c r="IQ25" s="1"/>
      <c r="IR25" s="1"/>
      <c r="IS25" s="1"/>
      <c r="IT25" s="1"/>
      <c r="IU25" s="1"/>
      <c r="IV25" s="1"/>
    </row>
    <row r="26" spans="1:256" s="20" customFormat="1" ht="15.95" customHeight="1" thickBot="1">
      <c r="A26" s="759">
        <v>24</v>
      </c>
      <c r="B26" s="761"/>
      <c r="C26" s="762"/>
      <c r="D26" s="762"/>
      <c r="E26" s="763"/>
      <c r="F26" s="764"/>
      <c r="G26" s="763"/>
      <c r="H26" s="763"/>
      <c r="I26" s="763"/>
      <c r="J26" s="751"/>
      <c r="K26" s="751"/>
      <c r="L26" s="751"/>
      <c r="M26" s="751"/>
      <c r="N26" s="751"/>
      <c r="O26" s="751"/>
      <c r="P26" s="751"/>
      <c r="Q26" s="751"/>
      <c r="R26" s="789"/>
      <c r="S26" s="789"/>
      <c r="T26" s="789"/>
      <c r="U26" s="751"/>
      <c r="V26" s="789"/>
      <c r="W26" s="751"/>
      <c r="X26" s="751"/>
      <c r="Y26" s="765"/>
      <c r="Z26" s="1"/>
      <c r="AA26" s="1"/>
      <c r="AB26" s="23">
        <f>'Beratung und Betreuung'!F15+'Beratung und Betreuung'!I15</f>
        <v>47</v>
      </c>
      <c r="AC26" s="23">
        <f>'Beratung und Betreuung'!K15</f>
        <v>0</v>
      </c>
      <c r="AD26" s="23">
        <f>'Beratung und Betreuung'!N15</f>
        <v>0</v>
      </c>
      <c r="AE26" s="23">
        <f>'Beratung und Betreuung'!Q15</f>
        <v>0</v>
      </c>
      <c r="AF26" s="23">
        <f>'Beratung und Betreuung'!S15</f>
        <v>0</v>
      </c>
      <c r="AG26" s="33">
        <f>KlientInnenstatistik!B15+KlientInnenstatistik!C15</f>
        <v>338</v>
      </c>
      <c r="AH26" s="33"/>
      <c r="AI26" s="33">
        <f>KlientInnenstatistik!F15+KlientInnenstatistik!G15</f>
        <v>0</v>
      </c>
      <c r="AJ26" s="33">
        <f>'Kurse Fachpersonal'!C10</f>
        <v>0</v>
      </c>
      <c r="AK26" s="33">
        <f>'Kurse Fachpersonal'!C11</f>
        <v>0</v>
      </c>
      <c r="AL26" s="33">
        <f>'Kurse Fachpersonal'!C12</f>
        <v>0</v>
      </c>
      <c r="AM26" s="1">
        <f>LUFEB!B14</f>
        <v>353</v>
      </c>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c r="HB26" s="1"/>
      <c r="HC26" s="1"/>
      <c r="HD26" s="1"/>
      <c r="HE26" s="1"/>
      <c r="HF26" s="1"/>
      <c r="HG26" s="1"/>
      <c r="HH26" s="1"/>
      <c r="HI26" s="1"/>
      <c r="HJ26" s="1"/>
      <c r="HK26" s="1"/>
      <c r="HL26" s="1"/>
      <c r="HM26" s="1"/>
      <c r="HN26" s="1"/>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c r="IO26" s="1"/>
      <c r="IP26" s="1"/>
      <c r="IQ26" s="1"/>
      <c r="IR26" s="1"/>
      <c r="IS26" s="1"/>
      <c r="IT26" s="1"/>
      <c r="IU26" s="1"/>
      <c r="IV26" s="1"/>
    </row>
    <row r="27" spans="1:256" s="18" customFormat="1" ht="12" customHeight="1">
      <c r="A27" s="757">
        <v>25</v>
      </c>
      <c r="B27" s="1033" t="s">
        <v>2665</v>
      </c>
      <c r="C27" s="1034"/>
      <c r="D27" s="1034"/>
      <c r="E27" s="1034"/>
      <c r="F27" s="1034"/>
      <c r="G27" s="1034"/>
      <c r="H27" s="1034"/>
      <c r="I27" s="1035"/>
      <c r="J27" s="589">
        <f>J19-J13</f>
        <v>-2373.5872283114536</v>
      </c>
      <c r="K27" s="590">
        <f t="shared" ref="K27:U27" si="6">K19-K13</f>
        <v>0</v>
      </c>
      <c r="L27" s="590">
        <f t="shared" si="6"/>
        <v>0</v>
      </c>
      <c r="M27" s="590">
        <f t="shared" si="6"/>
        <v>0</v>
      </c>
      <c r="N27" s="590">
        <f t="shared" si="6"/>
        <v>0</v>
      </c>
      <c r="O27" s="590">
        <f t="shared" si="6"/>
        <v>-376945.00196856738</v>
      </c>
      <c r="P27" s="590">
        <f t="shared" si="6"/>
        <v>-65500.67755507541</v>
      </c>
      <c r="Q27" s="590">
        <f t="shared" si="6"/>
        <v>0</v>
      </c>
      <c r="R27" s="590"/>
      <c r="S27" s="590"/>
      <c r="T27" s="590"/>
      <c r="U27" s="590">
        <f t="shared" si="6"/>
        <v>-4623.2801565565833</v>
      </c>
      <c r="V27" s="590"/>
      <c r="W27" s="590">
        <f>W19-W13</f>
        <v>0</v>
      </c>
      <c r="X27" s="693" t="s">
        <v>172</v>
      </c>
      <c r="Y27" s="592">
        <f>Y19-Y13</f>
        <v>-449442.54690851085</v>
      </c>
      <c r="Z27" s="1"/>
      <c r="AA27" s="1"/>
      <c r="AB27" s="33">
        <f t="shared" ref="AB27:AI27" si="7">J18</f>
        <v>3599.9235186822621</v>
      </c>
      <c r="AC27" s="33">
        <f t="shared" si="7"/>
        <v>0</v>
      </c>
      <c r="AD27" s="33">
        <f t="shared" si="7"/>
        <v>0</v>
      </c>
      <c r="AE27" s="33">
        <f t="shared" si="7"/>
        <v>0</v>
      </c>
      <c r="AF27" s="33">
        <f t="shared" si="7"/>
        <v>0</v>
      </c>
      <c r="AG27" s="33">
        <f t="shared" si="7"/>
        <v>647425.60151753318</v>
      </c>
      <c r="AH27" s="33">
        <f t="shared" si="7"/>
        <v>105301.1771144589</v>
      </c>
      <c r="AI27" s="33">
        <f t="shared" si="7"/>
        <v>0</v>
      </c>
      <c r="AJ27" s="33" t="e">
        <f>#REF!</f>
        <v>#REF!</v>
      </c>
      <c r="AK27" s="33" t="e">
        <f>#REF!</f>
        <v>#REF!</v>
      </c>
      <c r="AL27" s="33" t="e">
        <f>#REF!</f>
        <v>#REF!</v>
      </c>
      <c r="AM27" s="33">
        <f>U18</f>
        <v>7011.941575404011</v>
      </c>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c r="FR27" s="1"/>
      <c r="FS27" s="1"/>
      <c r="FT27" s="1"/>
      <c r="FU27" s="1"/>
      <c r="FV27" s="1"/>
      <c r="FW27" s="1"/>
      <c r="FX27" s="1"/>
      <c r="FY27" s="1"/>
      <c r="FZ27" s="1"/>
      <c r="GA27" s="1"/>
      <c r="GB27" s="1"/>
      <c r="GC27" s="1"/>
      <c r="GD27" s="1"/>
      <c r="GE27" s="1"/>
      <c r="GF27" s="1"/>
      <c r="GG27" s="1"/>
      <c r="GH27" s="1"/>
      <c r="GI27" s="1"/>
      <c r="GJ27" s="1"/>
      <c r="GK27" s="1"/>
      <c r="GL27" s="1"/>
      <c r="GM27" s="1"/>
      <c r="GN27" s="1"/>
      <c r="GO27" s="1"/>
      <c r="GP27" s="1"/>
      <c r="GQ27" s="1"/>
      <c r="GR27" s="1"/>
      <c r="GS27" s="1"/>
      <c r="GT27" s="1"/>
      <c r="GU27" s="1"/>
      <c r="GV27" s="1"/>
      <c r="GW27" s="1"/>
      <c r="GX27" s="1"/>
      <c r="GY27" s="1"/>
      <c r="GZ27" s="1"/>
      <c r="HA27" s="1"/>
      <c r="HB27" s="1"/>
      <c r="HC27" s="1"/>
      <c r="HD27" s="1"/>
      <c r="HE27" s="1"/>
      <c r="HF27" s="1"/>
      <c r="HG27" s="1"/>
      <c r="HH27" s="1"/>
      <c r="HI27" s="1"/>
      <c r="HJ27" s="1"/>
      <c r="HK27" s="1"/>
      <c r="HL27" s="1"/>
      <c r="HM27" s="1"/>
      <c r="HN27" s="1"/>
      <c r="HO27" s="1"/>
      <c r="HP27" s="1"/>
      <c r="HQ27" s="1"/>
      <c r="HR27" s="1"/>
      <c r="HS27" s="1"/>
      <c r="HT27" s="1"/>
      <c r="HU27" s="1"/>
      <c r="HV27" s="1"/>
      <c r="HW27" s="1"/>
      <c r="HX27" s="1"/>
      <c r="HY27" s="1"/>
      <c r="HZ27" s="1"/>
      <c r="IA27" s="1"/>
      <c r="IB27" s="1"/>
      <c r="IC27" s="1"/>
      <c r="ID27" s="1"/>
      <c r="IE27" s="1"/>
      <c r="IF27" s="1"/>
      <c r="IG27" s="1"/>
      <c r="IH27" s="1"/>
      <c r="II27" s="1"/>
      <c r="IJ27" s="1"/>
      <c r="IK27" s="1"/>
      <c r="IL27" s="1"/>
      <c r="IM27" s="1"/>
      <c r="IN27" s="1"/>
      <c r="IO27" s="1"/>
      <c r="IP27" s="1"/>
      <c r="IQ27" s="1"/>
      <c r="IR27" s="1"/>
      <c r="IS27" s="1"/>
      <c r="IT27" s="1"/>
      <c r="IU27" s="1"/>
      <c r="IV27" s="1"/>
    </row>
    <row r="28" spans="1:256" s="18" customFormat="1" ht="29.25" customHeight="1">
      <c r="A28" s="757">
        <v>26</v>
      </c>
      <c r="B28" s="1036" t="s">
        <v>2666</v>
      </c>
      <c r="C28" s="1037" t="s">
        <v>172</v>
      </c>
      <c r="D28" s="1037" t="s">
        <v>172</v>
      </c>
      <c r="E28" s="1037"/>
      <c r="F28" s="1037" t="s">
        <v>172</v>
      </c>
      <c r="G28" s="1037" t="s">
        <v>172</v>
      </c>
      <c r="H28" s="1037" t="s">
        <v>172</v>
      </c>
      <c r="I28" s="1038" t="s">
        <v>172</v>
      </c>
      <c r="J28" s="593">
        <f t="shared" ref="J28:Y28" si="8">J27-J17+J22+J23</f>
        <v>-2381.9743426130217</v>
      </c>
      <c r="K28" s="594">
        <f t="shared" si="8"/>
        <v>0</v>
      </c>
      <c r="L28" s="594">
        <f t="shared" si="8"/>
        <v>0</v>
      </c>
      <c r="M28" s="594">
        <f t="shared" si="8"/>
        <v>0</v>
      </c>
      <c r="N28" s="594">
        <f t="shared" si="8"/>
        <v>0</v>
      </c>
      <c r="O28" s="594">
        <f t="shared" si="8"/>
        <v>-351983.3763808317</v>
      </c>
      <c r="P28" s="594">
        <f t="shared" si="8"/>
        <v>-50746.008602794987</v>
      </c>
      <c r="Q28" s="594">
        <f t="shared" si="8"/>
        <v>0</v>
      </c>
      <c r="R28" s="594"/>
      <c r="S28" s="594"/>
      <c r="T28" s="594"/>
      <c r="U28" s="594">
        <f t="shared" si="8"/>
        <v>-4639.6166023626201</v>
      </c>
      <c r="V28" s="594"/>
      <c r="W28" s="594">
        <f t="shared" si="8"/>
        <v>0</v>
      </c>
      <c r="X28" s="694" t="s">
        <v>172</v>
      </c>
      <c r="Y28" s="596">
        <f t="shared" si="8"/>
        <v>-409750.97592860239</v>
      </c>
      <c r="Z28" s="1"/>
      <c r="AA28" s="1"/>
      <c r="AB28" s="1"/>
      <c r="AC28" s="1">
        <f t="shared" ref="AC28:AM28" si="9">COUNTIF(AC26:AC27,"&gt;0")</f>
        <v>0</v>
      </c>
      <c r="AD28" s="1">
        <f t="shared" si="9"/>
        <v>0</v>
      </c>
      <c r="AE28" s="1">
        <f t="shared" si="9"/>
        <v>0</v>
      </c>
      <c r="AF28" s="1">
        <f t="shared" si="9"/>
        <v>0</v>
      </c>
      <c r="AG28" s="1">
        <f t="shared" si="9"/>
        <v>2</v>
      </c>
      <c r="AH28" s="1">
        <v>0</v>
      </c>
      <c r="AI28" s="1">
        <f t="shared" si="9"/>
        <v>0</v>
      </c>
      <c r="AJ28" s="1">
        <f t="shared" si="9"/>
        <v>0</v>
      </c>
      <c r="AK28" s="1">
        <f t="shared" si="9"/>
        <v>0</v>
      </c>
      <c r="AL28" s="1">
        <f t="shared" si="9"/>
        <v>0</v>
      </c>
      <c r="AM28" s="1">
        <f t="shared" si="9"/>
        <v>2</v>
      </c>
      <c r="AN28" s="1">
        <f>COUNTIF(AB28:AM28,1)</f>
        <v>0</v>
      </c>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c r="GP28" s="1"/>
      <c r="GQ28" s="1"/>
      <c r="GR28" s="1"/>
      <c r="GS28" s="1"/>
      <c r="GT28" s="1"/>
      <c r="GU28" s="1"/>
      <c r="GV28" s="1"/>
      <c r="GW28" s="1"/>
      <c r="GX28" s="1"/>
      <c r="GY28" s="1"/>
      <c r="GZ28" s="1"/>
      <c r="HA28" s="1"/>
      <c r="HB28" s="1"/>
      <c r="HC28" s="1"/>
      <c r="HD28" s="1"/>
      <c r="HE28" s="1"/>
      <c r="HF28" s="1"/>
      <c r="HG28" s="1"/>
      <c r="HH28" s="1"/>
      <c r="HI28" s="1"/>
      <c r="HJ28" s="1"/>
      <c r="HK28" s="1"/>
      <c r="HL28" s="1"/>
      <c r="HM28" s="1"/>
      <c r="HN28" s="1"/>
      <c r="HO28" s="1"/>
      <c r="HP28" s="1"/>
      <c r="HQ28" s="1"/>
      <c r="HR28" s="1"/>
      <c r="HS28" s="1"/>
      <c r="HT28" s="1"/>
      <c r="HU28" s="1"/>
      <c r="HV28" s="1"/>
      <c r="HW28" s="1"/>
      <c r="HX28" s="1"/>
      <c r="HY28" s="1"/>
      <c r="HZ28" s="1"/>
      <c r="IA28" s="1"/>
      <c r="IB28" s="1"/>
      <c r="IC28" s="1"/>
      <c r="ID28" s="1"/>
      <c r="IE28" s="1"/>
      <c r="IF28" s="1"/>
      <c r="IG28" s="1"/>
      <c r="IH28" s="1"/>
      <c r="II28" s="1"/>
      <c r="IJ28" s="1"/>
      <c r="IK28" s="1"/>
      <c r="IL28" s="1"/>
      <c r="IM28" s="1"/>
      <c r="IN28" s="1"/>
      <c r="IO28" s="1"/>
      <c r="IP28" s="1"/>
      <c r="IQ28" s="1"/>
      <c r="IR28" s="1"/>
      <c r="IS28" s="1"/>
      <c r="IT28" s="1"/>
      <c r="IU28" s="1"/>
      <c r="IV28" s="1"/>
    </row>
    <row r="29" spans="1:256" s="18" customFormat="1" ht="23.25" customHeight="1">
      <c r="A29" s="757">
        <v>27</v>
      </c>
      <c r="B29" s="1036" t="s">
        <v>2434</v>
      </c>
      <c r="C29" s="1037" t="s">
        <v>172</v>
      </c>
      <c r="D29" s="1037" t="s">
        <v>172</v>
      </c>
      <c r="E29" s="1037"/>
      <c r="F29" s="1037" t="s">
        <v>172</v>
      </c>
      <c r="G29" s="1037" t="s">
        <v>172</v>
      </c>
      <c r="H29" s="1037" t="s">
        <v>172</v>
      </c>
      <c r="I29" s="1038" t="s">
        <v>172</v>
      </c>
      <c r="J29" s="593">
        <f t="shared" ref="J29:Y29" si="10">J28+J21</f>
        <v>-2381.9743426130217</v>
      </c>
      <c r="K29" s="594">
        <f t="shared" si="10"/>
        <v>0</v>
      </c>
      <c r="L29" s="594">
        <f t="shared" si="10"/>
        <v>0</v>
      </c>
      <c r="M29" s="594">
        <f t="shared" si="10"/>
        <v>0</v>
      </c>
      <c r="N29" s="594">
        <f t="shared" si="10"/>
        <v>0</v>
      </c>
      <c r="O29" s="594">
        <f t="shared" si="10"/>
        <v>-203934.15808348829</v>
      </c>
      <c r="P29" s="594">
        <f t="shared" si="10"/>
        <v>-27403.226900138383</v>
      </c>
      <c r="Q29" s="594">
        <f t="shared" si="10"/>
        <v>0</v>
      </c>
      <c r="R29" s="594"/>
      <c r="S29" s="594"/>
      <c r="T29" s="594"/>
      <c r="U29" s="594">
        <f t="shared" si="10"/>
        <v>-4639.6166023626201</v>
      </c>
      <c r="V29" s="594"/>
      <c r="W29" s="594">
        <f t="shared" si="10"/>
        <v>0</v>
      </c>
      <c r="X29" s="694" t="s">
        <v>172</v>
      </c>
      <c r="Y29" s="596">
        <f t="shared" si="10"/>
        <v>-238358.97592860239</v>
      </c>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
      <c r="FV29" s="1"/>
      <c r="FW29" s="1"/>
      <c r="FX29" s="1"/>
      <c r="FY29" s="1"/>
      <c r="FZ29" s="1"/>
      <c r="GA29" s="1"/>
      <c r="GB29" s="1"/>
      <c r="GC29" s="1"/>
      <c r="GD29" s="1"/>
      <c r="GE29" s="1"/>
      <c r="GF29" s="1"/>
      <c r="GG29" s="1"/>
      <c r="GH29" s="1"/>
      <c r="GI29" s="1"/>
      <c r="GJ29" s="1"/>
      <c r="GK29" s="1"/>
      <c r="GL29" s="1"/>
      <c r="GM29" s="1"/>
      <c r="GN29" s="1"/>
      <c r="GO29" s="1"/>
      <c r="GP29" s="1"/>
      <c r="GQ29" s="1"/>
      <c r="GR29" s="1"/>
      <c r="GS29" s="1"/>
      <c r="GT29" s="1"/>
      <c r="GU29" s="1"/>
      <c r="GV29" s="1"/>
      <c r="GW29" s="1"/>
      <c r="GX29" s="1"/>
      <c r="GY29" s="1"/>
      <c r="GZ29" s="1"/>
      <c r="HA29" s="1"/>
      <c r="HB29" s="1"/>
      <c r="HC29" s="1"/>
      <c r="HD29" s="1"/>
      <c r="HE29" s="1"/>
      <c r="HF29" s="1"/>
      <c r="HG29" s="1"/>
      <c r="HH29" s="1"/>
      <c r="HI29" s="1"/>
      <c r="HJ29" s="1"/>
      <c r="HK29" s="1"/>
      <c r="HL29" s="1"/>
      <c r="HM29" s="1"/>
      <c r="HN29" s="1"/>
      <c r="HO29" s="1"/>
      <c r="HP29" s="1"/>
      <c r="HQ29" s="1"/>
      <c r="HR29" s="1"/>
      <c r="HS29" s="1"/>
      <c r="HT29" s="1"/>
      <c r="HU29" s="1"/>
      <c r="HV29" s="1"/>
      <c r="HW29" s="1"/>
      <c r="HX29" s="1"/>
      <c r="HY29" s="1"/>
      <c r="HZ29" s="1"/>
      <c r="IA29" s="1"/>
      <c r="IB29" s="1"/>
      <c r="IC29" s="1"/>
      <c r="ID29" s="1"/>
      <c r="IE29" s="1"/>
      <c r="IF29" s="1"/>
      <c r="IG29" s="1"/>
      <c r="IH29" s="1"/>
      <c r="II29" s="1"/>
      <c r="IJ29" s="1"/>
      <c r="IK29" s="1"/>
      <c r="IL29" s="1"/>
      <c r="IM29" s="1"/>
      <c r="IN29" s="1"/>
      <c r="IO29" s="1"/>
      <c r="IP29" s="1"/>
      <c r="IQ29" s="1"/>
      <c r="IR29" s="1"/>
      <c r="IS29" s="1"/>
      <c r="IT29" s="1"/>
      <c r="IU29" s="1"/>
      <c r="IV29" s="1"/>
    </row>
    <row r="30" spans="1:256" s="18" customFormat="1" ht="17.25" customHeight="1" thickBot="1">
      <c r="A30" s="757">
        <v>28</v>
      </c>
      <c r="B30" s="1039" t="s">
        <v>2436</v>
      </c>
      <c r="C30" s="1040" t="s">
        <v>172</v>
      </c>
      <c r="D30" s="1040" t="s">
        <v>172</v>
      </c>
      <c r="E30" s="1040"/>
      <c r="F30" s="1040" t="s">
        <v>172</v>
      </c>
      <c r="G30" s="1040" t="s">
        <v>172</v>
      </c>
      <c r="H30" s="1040" t="s">
        <v>172</v>
      </c>
      <c r="I30" s="1041" t="s">
        <v>172</v>
      </c>
      <c r="J30" s="597">
        <f t="shared" ref="J30:Y30" si="11">J29+J20</f>
        <v>10218.025657386977</v>
      </c>
      <c r="K30" s="598">
        <f t="shared" si="11"/>
        <v>0</v>
      </c>
      <c r="L30" s="598">
        <f t="shared" si="11"/>
        <v>0</v>
      </c>
      <c r="M30" s="598">
        <f t="shared" si="11"/>
        <v>0</v>
      </c>
      <c r="N30" s="598">
        <f t="shared" si="11"/>
        <v>0</v>
      </c>
      <c r="O30" s="598">
        <f t="shared" si="11"/>
        <v>-3898.1580834882916</v>
      </c>
      <c r="P30" s="598">
        <f t="shared" si="11"/>
        <v>-27403.226900138383</v>
      </c>
      <c r="Q30" s="598">
        <f t="shared" si="11"/>
        <v>0</v>
      </c>
      <c r="R30" s="598"/>
      <c r="S30" s="598"/>
      <c r="T30" s="598"/>
      <c r="U30" s="598">
        <f t="shared" si="11"/>
        <v>3360.3833976373799</v>
      </c>
      <c r="V30" s="598"/>
      <c r="W30" s="598">
        <f t="shared" si="11"/>
        <v>0</v>
      </c>
      <c r="X30" s="599" t="s">
        <v>172</v>
      </c>
      <c r="Y30" s="600">
        <f t="shared" si="11"/>
        <v>-17722.975928602391</v>
      </c>
      <c r="Z30" s="1"/>
      <c r="AA30" s="1"/>
      <c r="AB30" s="1028" t="s">
        <v>1524</v>
      </c>
      <c r="AC30" s="1028"/>
      <c r="AD30" s="1028"/>
      <c r="AE30" s="1028"/>
      <c r="AF30" s="1028"/>
      <c r="AG30" s="1028"/>
      <c r="AH30" s="1028"/>
      <c r="AI30" s="1028"/>
      <c r="AJ30" s="1028"/>
      <c r="AK30" s="1028"/>
      <c r="AL30" s="1028"/>
      <c r="AM30" s="1028"/>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c r="HF30" s="1"/>
      <c r="HG30" s="1"/>
      <c r="HH30" s="1"/>
      <c r="HI30" s="1"/>
      <c r="HJ30" s="1"/>
      <c r="HK30" s="1"/>
      <c r="HL30" s="1"/>
      <c r="HM30" s="1"/>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c r="IP30" s="1"/>
      <c r="IQ30" s="1"/>
      <c r="IR30" s="1"/>
      <c r="IS30" s="1"/>
      <c r="IT30" s="1"/>
      <c r="IU30" s="1"/>
      <c r="IV30" s="1"/>
    </row>
    <row r="31" spans="1:256" s="20" customFormat="1">
      <c r="A31" s="601" t="s">
        <v>2647</v>
      </c>
      <c r="B31" s="406"/>
      <c r="C31" s="407"/>
      <c r="D31" s="407"/>
      <c r="E31" s="407"/>
      <c r="F31" s="21"/>
      <c r="G31" s="21"/>
      <c r="H31" s="21"/>
      <c r="I31" s="22"/>
      <c r="J31" s="504"/>
      <c r="K31" s="504"/>
      <c r="L31" s="504"/>
      <c r="M31" s="504"/>
      <c r="N31" s="504"/>
      <c r="O31" s="504"/>
      <c r="P31" s="504"/>
      <c r="Q31" s="504"/>
      <c r="R31" s="504"/>
      <c r="S31" s="504"/>
      <c r="T31" s="504"/>
      <c r="U31" s="504"/>
      <c r="V31" s="504"/>
      <c r="W31" s="504"/>
      <c r="X31" s="504"/>
      <c r="Y31" s="5"/>
      <c r="Z31" s="1"/>
      <c r="AA31" s="1"/>
      <c r="AB31" s="33">
        <f t="shared" ref="AB31:AI31" si="12">J13</f>
        <v>2373.5872283114536</v>
      </c>
      <c r="AC31" s="33">
        <f t="shared" si="12"/>
        <v>0</v>
      </c>
      <c r="AD31" s="33">
        <f t="shared" si="12"/>
        <v>0</v>
      </c>
      <c r="AE31" s="33">
        <f t="shared" si="12"/>
        <v>0</v>
      </c>
      <c r="AF31" s="33">
        <f t="shared" si="12"/>
        <v>0</v>
      </c>
      <c r="AG31" s="33">
        <f t="shared" si="12"/>
        <v>426876.05196856736</v>
      </c>
      <c r="AH31" s="33">
        <f t="shared" si="12"/>
        <v>69429.67755507541</v>
      </c>
      <c r="AI31" s="33">
        <f t="shared" si="12"/>
        <v>0</v>
      </c>
      <c r="AJ31" s="33" t="e">
        <f>#REF!</f>
        <v>#REF!</v>
      </c>
      <c r="AK31" s="33" t="e">
        <f>#REF!</f>
        <v>#REF!</v>
      </c>
      <c r="AL31" s="33" t="e">
        <f>#REF!</f>
        <v>#REF!</v>
      </c>
      <c r="AM31" s="33">
        <f>U13</f>
        <v>4623.2801565565833</v>
      </c>
      <c r="AN31" s="33" t="e">
        <f>#REF!</f>
        <v>#REF!</v>
      </c>
      <c r="AO31" s="33">
        <f>W13</f>
        <v>0</v>
      </c>
      <c r="AP31" s="33">
        <f>X13</f>
        <v>0</v>
      </c>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c r="FR31" s="1"/>
      <c r="FS31" s="1"/>
      <c r="FT31" s="1"/>
      <c r="FU31" s="1"/>
      <c r="FV31" s="1"/>
      <c r="FW31" s="1"/>
      <c r="FX31" s="1"/>
      <c r="FY31" s="1"/>
      <c r="FZ31" s="1"/>
      <c r="GA31" s="1"/>
      <c r="GB31" s="1"/>
      <c r="GC31" s="1"/>
      <c r="GD31" s="1"/>
      <c r="GE31" s="1"/>
      <c r="GF31" s="1"/>
      <c r="GG31" s="1"/>
      <c r="GH31" s="1"/>
      <c r="GI31" s="1"/>
      <c r="GJ31" s="1"/>
      <c r="GK31" s="1"/>
      <c r="GL31" s="1"/>
      <c r="GM31" s="1"/>
      <c r="GN31" s="1"/>
      <c r="GO31" s="1"/>
      <c r="GP31" s="1"/>
      <c r="GQ31" s="1"/>
      <c r="GR31" s="1"/>
      <c r="GS31" s="1"/>
      <c r="GT31" s="1"/>
      <c r="GU31" s="1"/>
      <c r="GV31" s="1"/>
      <c r="GW31" s="1"/>
      <c r="GX31" s="1"/>
      <c r="GY31" s="1"/>
      <c r="GZ31" s="1"/>
      <c r="HA31" s="1"/>
      <c r="HB31" s="1"/>
      <c r="HC31" s="1"/>
      <c r="HD31" s="1"/>
      <c r="HE31" s="1"/>
      <c r="HF31" s="1"/>
      <c r="HG31" s="1"/>
      <c r="HH31" s="1"/>
      <c r="HI31" s="1"/>
      <c r="HJ31" s="1"/>
      <c r="HK31" s="1"/>
      <c r="HL31" s="1"/>
      <c r="HM31" s="1"/>
      <c r="HN31" s="1"/>
      <c r="HO31" s="1"/>
      <c r="HP31" s="1"/>
      <c r="HQ31" s="1"/>
      <c r="HR31" s="1"/>
      <c r="HS31" s="1"/>
      <c r="HT31" s="1"/>
      <c r="HU31" s="1"/>
      <c r="HV31" s="1"/>
      <c r="HW31" s="1"/>
      <c r="HX31" s="1"/>
      <c r="HY31" s="1"/>
      <c r="HZ31" s="1"/>
      <c r="IA31" s="1"/>
      <c r="IB31" s="1"/>
      <c r="IC31" s="1"/>
      <c r="ID31" s="1"/>
      <c r="IE31" s="1"/>
      <c r="IF31" s="1"/>
      <c r="IG31" s="1"/>
      <c r="IH31" s="1"/>
      <c r="II31" s="1"/>
      <c r="IJ31" s="1"/>
      <c r="IK31" s="1"/>
      <c r="IL31" s="1"/>
      <c r="IM31" s="1"/>
      <c r="IN31" s="1"/>
      <c r="IO31" s="1"/>
      <c r="IP31" s="1"/>
      <c r="IQ31" s="1"/>
      <c r="IR31" s="1"/>
      <c r="IS31" s="1"/>
      <c r="IT31" s="1"/>
      <c r="IU31" s="1"/>
      <c r="IV31" s="1"/>
    </row>
    <row r="32" spans="1:256">
      <c r="A32" s="1043" t="s">
        <v>2663</v>
      </c>
      <c r="B32" s="1043"/>
      <c r="C32" s="1043"/>
      <c r="D32" s="1043"/>
      <c r="E32" s="1043"/>
      <c r="F32" s="1043"/>
      <c r="G32" s="1043"/>
      <c r="H32" s="1043"/>
      <c r="I32" s="1043"/>
      <c r="J32" s="505"/>
      <c r="K32" s="505"/>
      <c r="L32" s="505"/>
      <c r="M32" s="505"/>
      <c r="N32" s="505"/>
      <c r="O32" s="505"/>
      <c r="P32" s="505"/>
      <c r="Q32" s="505"/>
      <c r="R32" s="505"/>
      <c r="S32" s="505"/>
      <c r="T32" s="505"/>
      <c r="U32" s="505"/>
      <c r="V32" s="505"/>
      <c r="W32" s="505"/>
      <c r="X32" s="505"/>
      <c r="Y32" s="5"/>
      <c r="AB32" s="33">
        <f t="shared" ref="AB32:AI32" si="13">J18</f>
        <v>3599.9235186822621</v>
      </c>
      <c r="AC32" s="33">
        <f t="shared" si="13"/>
        <v>0</v>
      </c>
      <c r="AD32" s="33">
        <f t="shared" si="13"/>
        <v>0</v>
      </c>
      <c r="AE32" s="33">
        <f t="shared" si="13"/>
        <v>0</v>
      </c>
      <c r="AF32" s="33">
        <f t="shared" si="13"/>
        <v>0</v>
      </c>
      <c r="AG32" s="33">
        <f t="shared" si="13"/>
        <v>647425.60151753318</v>
      </c>
      <c r="AH32" s="33">
        <f t="shared" si="13"/>
        <v>105301.1771144589</v>
      </c>
      <c r="AI32" s="33">
        <f t="shared" si="13"/>
        <v>0</v>
      </c>
      <c r="AJ32" s="33" t="e">
        <f>#REF!</f>
        <v>#REF!</v>
      </c>
      <c r="AK32" s="33" t="e">
        <f>#REF!</f>
        <v>#REF!</v>
      </c>
      <c r="AL32" s="33" t="e">
        <f>#REF!</f>
        <v>#REF!</v>
      </c>
      <c r="AM32" s="33">
        <f>U18</f>
        <v>7011.941575404011</v>
      </c>
      <c r="AN32" s="33" t="e">
        <f>#REF!</f>
        <v>#REF!</v>
      </c>
      <c r="AO32" s="33">
        <f>W18</f>
        <v>0</v>
      </c>
      <c r="AP32" s="33">
        <f>X18</f>
        <v>0</v>
      </c>
    </row>
    <row r="33" spans="1:256" ht="12" customHeight="1">
      <c r="A33" s="1043"/>
      <c r="B33" s="1043"/>
      <c r="C33" s="1043"/>
      <c r="D33" s="1043"/>
      <c r="E33" s="1043"/>
      <c r="F33" s="1043"/>
      <c r="G33" s="1043"/>
      <c r="H33" s="1043"/>
      <c r="I33" s="1043"/>
      <c r="J33" s="1030" t="str">
        <f>IF(AN28&lt;&gt;0,"Die blaue Markierung verschwindet, sobald die Angaben für diese Leistung sowohl in der Kostenrechnung als auch in der Leistungstatistik vorhanden sind.","")</f>
        <v/>
      </c>
      <c r="K33" s="1030"/>
      <c r="L33" s="1030"/>
      <c r="M33" s="1030"/>
      <c r="N33" s="1030"/>
      <c r="O33" s="1030"/>
      <c r="P33" s="1030"/>
      <c r="Q33" s="1030"/>
      <c r="R33" s="1030"/>
      <c r="S33" s="1030"/>
      <c r="T33" s="1030"/>
      <c r="U33" s="1030"/>
      <c r="V33" s="1030"/>
      <c r="W33" s="1030"/>
      <c r="X33" s="1030"/>
      <c r="Y33" s="1030"/>
      <c r="AB33" s="1">
        <f>COUNTIF(AB31:AB32,"&gt;0")</f>
        <v>2</v>
      </c>
      <c r="AC33" s="1">
        <f t="shared" ref="AC33:AM33" si="14">COUNTIF(AC31:AC32,"&gt;0")</f>
        <v>0</v>
      </c>
      <c r="AD33" s="1">
        <f t="shared" si="14"/>
        <v>0</v>
      </c>
      <c r="AE33" s="1">
        <f t="shared" si="14"/>
        <v>0</v>
      </c>
      <c r="AF33" s="1">
        <f t="shared" si="14"/>
        <v>0</v>
      </c>
      <c r="AG33" s="1">
        <f t="shared" si="14"/>
        <v>2</v>
      </c>
      <c r="AH33" s="1">
        <f t="shared" si="14"/>
        <v>2</v>
      </c>
      <c r="AI33" s="1">
        <f t="shared" si="14"/>
        <v>0</v>
      </c>
      <c r="AJ33" s="1">
        <f t="shared" si="14"/>
        <v>0</v>
      </c>
      <c r="AK33" s="1">
        <f t="shared" si="14"/>
        <v>0</v>
      </c>
      <c r="AL33" s="1">
        <f t="shared" si="14"/>
        <v>0</v>
      </c>
      <c r="AM33" s="1">
        <f t="shared" si="14"/>
        <v>2</v>
      </c>
      <c r="AN33" s="1">
        <f>COUNTIF(AN31:AN32,"&gt;0")</f>
        <v>0</v>
      </c>
      <c r="AO33" s="1">
        <f>COUNTIF(AO31:AO32,"&gt;0")</f>
        <v>0</v>
      </c>
      <c r="AP33" s="1">
        <f>COUNTIF(AP31:AP32,"&gt;0")</f>
        <v>0</v>
      </c>
      <c r="AQ33" s="1">
        <f>COUNTIF(AB33:AP33,1)</f>
        <v>0</v>
      </c>
    </row>
    <row r="34" spans="1:256" s="20" customFormat="1">
      <c r="A34" s="1042" t="s">
        <v>2438</v>
      </c>
      <c r="B34" s="1042"/>
      <c r="C34" s="1042"/>
      <c r="D34" s="1042"/>
      <c r="E34" s="1042"/>
      <c r="F34" s="21"/>
      <c r="G34" s="21"/>
      <c r="H34" s="21"/>
      <c r="I34" s="22"/>
      <c r="J34" s="1030"/>
      <c r="K34" s="1030"/>
      <c r="L34" s="1030"/>
      <c r="M34" s="1030"/>
      <c r="N34" s="1030"/>
      <c r="O34" s="1030"/>
      <c r="P34" s="1030"/>
      <c r="Q34" s="1030"/>
      <c r="R34" s="1030"/>
      <c r="S34" s="1030"/>
      <c r="T34" s="1030"/>
      <c r="U34" s="1030"/>
      <c r="V34" s="1030"/>
      <c r="W34" s="1030"/>
      <c r="X34" s="1030"/>
      <c r="Y34" s="1030"/>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c r="FD34" s="1"/>
      <c r="FE34" s="1"/>
      <c r="FF34" s="1"/>
      <c r="FG34" s="1"/>
      <c r="FH34" s="1"/>
      <c r="FI34" s="1"/>
      <c r="FJ34" s="1"/>
      <c r="FK34" s="1"/>
      <c r="FL34" s="1"/>
      <c r="FM34" s="1"/>
      <c r="FN34" s="1"/>
      <c r="FO34" s="1"/>
      <c r="FP34" s="1"/>
      <c r="FQ34" s="1"/>
      <c r="FR34" s="1"/>
      <c r="FS34" s="1"/>
      <c r="FT34" s="1"/>
      <c r="FU34" s="1"/>
      <c r="FV34" s="1"/>
      <c r="FW34" s="1"/>
      <c r="FX34" s="1"/>
      <c r="FY34" s="1"/>
      <c r="FZ34" s="1"/>
      <c r="GA34" s="1"/>
      <c r="GB34" s="1"/>
      <c r="GC34" s="1"/>
      <c r="GD34" s="1"/>
      <c r="GE34" s="1"/>
      <c r="GF34" s="1"/>
      <c r="GG34" s="1"/>
      <c r="GH34" s="1"/>
      <c r="GI34" s="1"/>
      <c r="GJ34" s="1"/>
      <c r="GK34" s="1"/>
      <c r="GL34" s="1"/>
      <c r="GM34" s="1"/>
      <c r="GN34" s="1"/>
      <c r="GO34" s="1"/>
      <c r="GP34" s="1"/>
      <c r="GQ34" s="1"/>
      <c r="GR34" s="1"/>
      <c r="GS34" s="1"/>
      <c r="GT34" s="1"/>
      <c r="GU34" s="1"/>
      <c r="GV34" s="1"/>
      <c r="GW34" s="1"/>
      <c r="GX34" s="1"/>
      <c r="GY34" s="1"/>
      <c r="GZ34" s="1"/>
      <c r="HA34" s="1"/>
      <c r="HB34" s="1"/>
      <c r="HC34" s="1"/>
      <c r="HD34" s="1"/>
      <c r="HE34" s="1"/>
      <c r="HF34" s="1"/>
      <c r="HG34" s="1"/>
      <c r="HH34" s="1"/>
      <c r="HI34" s="1"/>
      <c r="HJ34" s="1"/>
      <c r="HK34" s="1"/>
      <c r="HL34" s="1"/>
      <c r="HM34" s="1"/>
      <c r="HN34" s="1"/>
      <c r="HO34" s="1"/>
      <c r="HP34" s="1"/>
      <c r="HQ34" s="1"/>
      <c r="HR34" s="1"/>
      <c r="HS34" s="1"/>
      <c r="HT34" s="1"/>
      <c r="HU34" s="1"/>
      <c r="HV34" s="1"/>
      <c r="HW34" s="1"/>
      <c r="HX34" s="1"/>
      <c r="HY34" s="1"/>
      <c r="HZ34" s="1"/>
      <c r="IA34" s="1"/>
      <c r="IB34" s="1"/>
      <c r="IC34" s="1"/>
      <c r="ID34" s="1"/>
      <c r="IE34" s="1"/>
      <c r="IF34" s="1"/>
      <c r="IG34" s="1"/>
      <c r="IH34" s="1"/>
      <c r="II34" s="1"/>
      <c r="IJ34" s="1"/>
      <c r="IK34" s="1"/>
      <c r="IL34" s="1"/>
      <c r="IM34" s="1"/>
      <c r="IN34" s="1"/>
      <c r="IO34" s="1"/>
      <c r="IP34" s="1"/>
      <c r="IQ34" s="1"/>
      <c r="IR34" s="1"/>
      <c r="IS34" s="1"/>
      <c r="IT34" s="1"/>
      <c r="IU34" s="1"/>
      <c r="IV34" s="1"/>
    </row>
    <row r="35" spans="1:256" s="18" customFormat="1">
      <c r="A35" s="22"/>
      <c r="E35" s="15"/>
      <c r="F35" s="15"/>
      <c r="J35" s="1029" t="str">
        <f>IF(AQ33&lt;&gt;0,"Die rote Markierung verschwindet, sobald für diesen Kostenträger auch direkte Kosten erfasst worden sind.","")</f>
        <v/>
      </c>
      <c r="K35" s="1029"/>
      <c r="L35" s="1029"/>
      <c r="M35" s="1029"/>
      <c r="N35" s="1029"/>
      <c r="O35" s="1029"/>
      <c r="P35" s="1029"/>
      <c r="Q35" s="1029"/>
      <c r="R35" s="1029"/>
      <c r="S35" s="1029"/>
      <c r="T35" s="1029"/>
      <c r="U35" s="1029"/>
      <c r="V35" s="1029"/>
      <c r="W35" s="1029"/>
      <c r="X35" s="1029"/>
      <c r="Y35" s="1029"/>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c r="HB35" s="1"/>
      <c r="HC35" s="1"/>
      <c r="HD35" s="1"/>
      <c r="HE35" s="1"/>
      <c r="HF35" s="1"/>
      <c r="HG35" s="1"/>
      <c r="HH35" s="1"/>
      <c r="HI35" s="1"/>
      <c r="HJ35" s="1"/>
      <c r="HK35" s="1"/>
      <c r="HL35" s="1"/>
      <c r="HM35" s="1"/>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c r="IO35" s="1"/>
      <c r="IP35" s="1"/>
      <c r="IQ35" s="1"/>
      <c r="IR35" s="1"/>
      <c r="IS35" s="1"/>
      <c r="IT35" s="1"/>
      <c r="IU35" s="1"/>
      <c r="IV35" s="1"/>
    </row>
    <row r="36" spans="1:256" s="18" customFormat="1">
      <c r="A36" s="22"/>
      <c r="J36" s="1029"/>
      <c r="K36" s="1029"/>
      <c r="L36" s="1029"/>
      <c r="M36" s="1029"/>
      <c r="N36" s="1029"/>
      <c r="O36" s="1029"/>
      <c r="P36" s="1029"/>
      <c r="Q36" s="1029"/>
      <c r="R36" s="1029"/>
      <c r="S36" s="1029"/>
      <c r="T36" s="1029"/>
      <c r="U36" s="1029"/>
      <c r="V36" s="1029"/>
      <c r="W36" s="1029"/>
      <c r="X36" s="1029"/>
      <c r="Y36" s="1029"/>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c r="FO36" s="1"/>
      <c r="FP36" s="1"/>
      <c r="FQ36" s="1"/>
      <c r="FR36" s="1"/>
      <c r="FS36" s="1"/>
      <c r="FT36" s="1"/>
      <c r="FU36" s="1"/>
      <c r="FV36" s="1"/>
      <c r="FW36" s="1"/>
      <c r="FX36" s="1"/>
      <c r="FY36" s="1"/>
      <c r="FZ36" s="1"/>
      <c r="GA36" s="1"/>
      <c r="GB36" s="1"/>
      <c r="GC36" s="1"/>
      <c r="GD36" s="1"/>
      <c r="GE36" s="1"/>
      <c r="GF36" s="1"/>
      <c r="GG36" s="1"/>
      <c r="GH36" s="1"/>
      <c r="GI36" s="1"/>
      <c r="GJ36" s="1"/>
      <c r="GK36" s="1"/>
      <c r="GL36" s="1"/>
      <c r="GM36" s="1"/>
      <c r="GN36" s="1"/>
      <c r="GO36" s="1"/>
      <c r="GP36" s="1"/>
      <c r="GQ36" s="1"/>
      <c r="GR36" s="1"/>
      <c r="GS36" s="1"/>
      <c r="GT36" s="1"/>
      <c r="GU36" s="1"/>
      <c r="GV36" s="1"/>
      <c r="GW36" s="1"/>
      <c r="GX36" s="1"/>
      <c r="GY36" s="1"/>
      <c r="GZ36" s="1"/>
      <c r="HA36" s="1"/>
      <c r="HB36" s="1"/>
      <c r="HC36" s="1"/>
      <c r="HD36" s="1"/>
      <c r="HE36" s="1"/>
      <c r="HF36" s="1"/>
      <c r="HG36" s="1"/>
      <c r="HH36" s="1"/>
      <c r="HI36" s="1"/>
      <c r="HJ36" s="1"/>
      <c r="HK36" s="1"/>
      <c r="HL36" s="1"/>
      <c r="HM36" s="1"/>
      <c r="HN36" s="1"/>
      <c r="HO36" s="1"/>
      <c r="HP36" s="1"/>
      <c r="HQ36" s="1"/>
      <c r="HR36" s="1"/>
      <c r="HS36" s="1"/>
      <c r="HT36" s="1"/>
      <c r="HU36" s="1"/>
      <c r="HV36" s="1"/>
      <c r="HW36" s="1"/>
      <c r="HX36" s="1"/>
      <c r="HY36" s="1"/>
      <c r="HZ36" s="1"/>
      <c r="IA36" s="1"/>
      <c r="IB36" s="1"/>
      <c r="IC36" s="1"/>
      <c r="ID36" s="1"/>
      <c r="IE36" s="1"/>
      <c r="IF36" s="1"/>
      <c r="IG36" s="1"/>
      <c r="IH36" s="1"/>
      <c r="II36" s="1"/>
      <c r="IJ36" s="1"/>
      <c r="IK36" s="1"/>
      <c r="IL36" s="1"/>
      <c r="IM36" s="1"/>
      <c r="IN36" s="1"/>
      <c r="IO36" s="1"/>
      <c r="IP36" s="1"/>
      <c r="IQ36" s="1"/>
      <c r="IR36" s="1"/>
      <c r="IS36" s="1"/>
      <c r="IT36" s="1"/>
      <c r="IU36" s="1"/>
      <c r="IV36" s="1"/>
    </row>
    <row r="37" spans="1:256" s="18" customFormat="1">
      <c r="A37" s="22"/>
      <c r="J37" s="503"/>
      <c r="K37" s="503"/>
      <c r="L37" s="503"/>
      <c r="M37" s="503"/>
      <c r="N37" s="503"/>
      <c r="O37" s="503"/>
      <c r="P37" s="503"/>
      <c r="Q37" s="503"/>
      <c r="R37" s="503"/>
      <c r="S37" s="503"/>
      <c r="T37" s="503"/>
      <c r="U37" s="503"/>
      <c r="V37" s="503"/>
      <c r="W37" s="503"/>
      <c r="X37" s="503"/>
      <c r="Y37" s="503"/>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c r="FT37" s="1"/>
      <c r="FU37" s="1"/>
      <c r="FV37" s="1"/>
      <c r="FW37" s="1"/>
      <c r="FX37" s="1"/>
      <c r="FY37" s="1"/>
      <c r="FZ37" s="1"/>
      <c r="GA37" s="1"/>
      <c r="GB37" s="1"/>
      <c r="GC37" s="1"/>
      <c r="GD37" s="1"/>
      <c r="GE37" s="1"/>
      <c r="GF37" s="1"/>
      <c r="GG37" s="1"/>
      <c r="GH37" s="1"/>
      <c r="GI37" s="1"/>
      <c r="GJ37" s="1"/>
      <c r="GK37" s="1"/>
      <c r="GL37" s="1"/>
      <c r="GM37" s="1"/>
      <c r="GN37" s="1"/>
      <c r="GO37" s="1"/>
      <c r="GP37" s="1"/>
      <c r="GQ37" s="1"/>
      <c r="GR37" s="1"/>
      <c r="GS37" s="1"/>
      <c r="GT37" s="1"/>
      <c r="GU37" s="1"/>
      <c r="GV37" s="1"/>
      <c r="GW37" s="1"/>
      <c r="GX37" s="1"/>
      <c r="GY37" s="1"/>
      <c r="GZ37" s="1"/>
      <c r="HA37" s="1"/>
      <c r="HB37" s="1"/>
      <c r="HC37" s="1"/>
      <c r="HD37" s="1"/>
      <c r="HE37" s="1"/>
      <c r="HF37" s="1"/>
      <c r="HG37" s="1"/>
      <c r="HH37" s="1"/>
      <c r="HI37" s="1"/>
      <c r="HJ37" s="1"/>
      <c r="HK37" s="1"/>
      <c r="HL37" s="1"/>
      <c r="HM37" s="1"/>
      <c r="HN37" s="1"/>
      <c r="HO37" s="1"/>
      <c r="HP37" s="1"/>
      <c r="HQ37" s="1"/>
      <c r="HR37" s="1"/>
      <c r="HS37" s="1"/>
      <c r="HT37" s="1"/>
      <c r="HU37" s="1"/>
      <c r="HV37" s="1"/>
      <c r="HW37" s="1"/>
      <c r="HX37" s="1"/>
      <c r="HY37" s="1"/>
      <c r="HZ37" s="1"/>
      <c r="IA37" s="1"/>
      <c r="IB37" s="1"/>
      <c r="IC37" s="1"/>
      <c r="ID37" s="1"/>
      <c r="IE37" s="1"/>
      <c r="IF37" s="1"/>
      <c r="IG37" s="1"/>
      <c r="IH37" s="1"/>
      <c r="II37" s="1"/>
      <c r="IJ37" s="1"/>
      <c r="IK37" s="1"/>
      <c r="IL37" s="1"/>
      <c r="IM37" s="1"/>
      <c r="IN37" s="1"/>
      <c r="IO37" s="1"/>
      <c r="IP37" s="1"/>
      <c r="IQ37" s="1"/>
      <c r="IR37" s="1"/>
      <c r="IS37" s="1"/>
      <c r="IT37" s="1"/>
      <c r="IU37" s="1"/>
      <c r="IV37" s="1"/>
    </row>
    <row r="38" spans="1:256" s="18" customFormat="1">
      <c r="A38" s="22"/>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c r="FT38" s="1"/>
      <c r="FU38" s="1"/>
      <c r="FV38" s="1"/>
      <c r="FW38" s="1"/>
      <c r="FX38" s="1"/>
      <c r="FY38" s="1"/>
      <c r="FZ38" s="1"/>
      <c r="GA38" s="1"/>
      <c r="GB38" s="1"/>
      <c r="GC38" s="1"/>
      <c r="GD38" s="1"/>
      <c r="GE38" s="1"/>
      <c r="GF38" s="1"/>
      <c r="GG38" s="1"/>
      <c r="GH38" s="1"/>
      <c r="GI38" s="1"/>
      <c r="GJ38" s="1"/>
      <c r="GK38" s="1"/>
      <c r="GL38" s="1"/>
      <c r="GM38" s="1"/>
      <c r="GN38" s="1"/>
      <c r="GO38" s="1"/>
      <c r="GP38" s="1"/>
      <c r="GQ38" s="1"/>
      <c r="GR38" s="1"/>
      <c r="GS38" s="1"/>
      <c r="GT38" s="1"/>
      <c r="GU38" s="1"/>
      <c r="GV38" s="1"/>
      <c r="GW38" s="1"/>
      <c r="GX38" s="1"/>
      <c r="GY38" s="1"/>
      <c r="GZ38" s="1"/>
      <c r="HA38" s="1"/>
      <c r="HB38" s="1"/>
      <c r="HC38" s="1"/>
      <c r="HD38" s="1"/>
      <c r="HE38" s="1"/>
      <c r="HF38" s="1"/>
      <c r="HG38" s="1"/>
      <c r="HH38" s="1"/>
      <c r="HI38" s="1"/>
      <c r="HJ38" s="1"/>
      <c r="HK38" s="1"/>
      <c r="HL38" s="1"/>
      <c r="HM38" s="1"/>
      <c r="HN38" s="1"/>
      <c r="HO38" s="1"/>
      <c r="HP38" s="1"/>
      <c r="HQ38" s="1"/>
      <c r="HR38" s="1"/>
      <c r="HS38" s="1"/>
      <c r="HT38" s="1"/>
      <c r="HU38" s="1"/>
      <c r="HV38" s="1"/>
      <c r="HW38" s="1"/>
      <c r="HX38" s="1"/>
      <c r="HY38" s="1"/>
      <c r="HZ38" s="1"/>
      <c r="IA38" s="1"/>
      <c r="IB38" s="1"/>
      <c r="IC38" s="1"/>
      <c r="ID38" s="1"/>
      <c r="IE38" s="1"/>
      <c r="IF38" s="1"/>
      <c r="IG38" s="1"/>
      <c r="IH38" s="1"/>
      <c r="II38" s="1"/>
      <c r="IJ38" s="1"/>
      <c r="IK38" s="1"/>
      <c r="IL38" s="1"/>
      <c r="IM38" s="1"/>
      <c r="IN38" s="1"/>
      <c r="IO38" s="1"/>
      <c r="IP38" s="1"/>
      <c r="IQ38" s="1"/>
      <c r="IR38" s="1"/>
      <c r="IS38" s="1"/>
      <c r="IT38" s="1"/>
      <c r="IU38" s="1"/>
      <c r="IV38" s="1"/>
    </row>
    <row r="39" spans="1:256" s="18" customFormat="1">
      <c r="A39" s="22"/>
      <c r="K39" s="34"/>
      <c r="L39" s="34"/>
      <c r="M39" s="34"/>
      <c r="N39" s="35"/>
      <c r="O39" s="35"/>
      <c r="P39" s="35"/>
      <c r="Q39" s="35"/>
      <c r="R39" s="35"/>
      <c r="S39" s="35"/>
      <c r="T39" s="35"/>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
      <c r="FV39" s="1"/>
      <c r="FW39" s="1"/>
      <c r="FX39" s="1"/>
      <c r="FY39" s="1"/>
      <c r="FZ39" s="1"/>
      <c r="GA39" s="1"/>
      <c r="GB39" s="1"/>
      <c r="GC39" s="1"/>
      <c r="GD39" s="1"/>
      <c r="GE39" s="1"/>
      <c r="GF39" s="1"/>
      <c r="GG39" s="1"/>
      <c r="GH39" s="1"/>
      <c r="GI39" s="1"/>
      <c r="GJ39" s="1"/>
      <c r="GK39" s="1"/>
      <c r="GL39" s="1"/>
      <c r="GM39" s="1"/>
      <c r="GN39" s="1"/>
      <c r="GO39" s="1"/>
      <c r="GP39" s="1"/>
      <c r="GQ39" s="1"/>
      <c r="GR39" s="1"/>
      <c r="GS39" s="1"/>
      <c r="GT39" s="1"/>
      <c r="GU39" s="1"/>
      <c r="GV39" s="1"/>
      <c r="GW39" s="1"/>
      <c r="GX39" s="1"/>
      <c r="GY39" s="1"/>
      <c r="GZ39" s="1"/>
      <c r="HA39" s="1"/>
      <c r="HB39" s="1"/>
      <c r="HC39" s="1"/>
      <c r="HD39" s="1"/>
      <c r="HE39" s="1"/>
      <c r="HF39" s="1"/>
      <c r="HG39" s="1"/>
      <c r="HH39" s="1"/>
      <c r="HI39" s="1"/>
      <c r="HJ39" s="1"/>
      <c r="HK39" s="1"/>
      <c r="HL39" s="1"/>
      <c r="HM39" s="1"/>
      <c r="HN39" s="1"/>
      <c r="HO39" s="1"/>
      <c r="HP39" s="1"/>
      <c r="HQ39" s="1"/>
      <c r="HR39" s="1"/>
      <c r="HS39" s="1"/>
      <c r="HT39" s="1"/>
      <c r="HU39" s="1"/>
      <c r="HV39" s="1"/>
      <c r="HW39" s="1"/>
      <c r="HX39" s="1"/>
      <c r="HY39" s="1"/>
      <c r="HZ39" s="1"/>
      <c r="IA39" s="1"/>
      <c r="IB39" s="1"/>
      <c r="IC39" s="1"/>
      <c r="ID39" s="1"/>
      <c r="IE39" s="1"/>
      <c r="IF39" s="1"/>
      <c r="IG39" s="1"/>
      <c r="IH39" s="1"/>
      <c r="II39" s="1"/>
      <c r="IJ39" s="1"/>
      <c r="IK39" s="1"/>
      <c r="IL39" s="1"/>
      <c r="IM39" s="1"/>
      <c r="IN39" s="1"/>
      <c r="IO39" s="1"/>
      <c r="IP39" s="1"/>
      <c r="IQ39" s="1"/>
      <c r="IR39" s="1"/>
      <c r="IS39" s="1"/>
      <c r="IT39" s="1"/>
      <c r="IU39" s="1"/>
      <c r="IV39" s="1"/>
    </row>
    <row r="40" spans="1:256" s="18" customFormat="1" hidden="1">
      <c r="A40" s="22"/>
      <c r="C40" s="115" t="s">
        <v>441</v>
      </c>
      <c r="D40" s="115" t="s">
        <v>442</v>
      </c>
      <c r="E40" s="115" t="s">
        <v>443</v>
      </c>
      <c r="F40" s="115" t="s">
        <v>461</v>
      </c>
      <c r="G40" s="115" t="s">
        <v>445</v>
      </c>
      <c r="H40" s="115" t="s">
        <v>446</v>
      </c>
      <c r="I40" s="115" t="s">
        <v>447</v>
      </c>
      <c r="J40" s="45" t="s">
        <v>471</v>
      </c>
      <c r="K40" s="15"/>
      <c r="L40" s="15"/>
      <c r="M40" s="15"/>
      <c r="N40" s="15"/>
      <c r="O40" s="15"/>
      <c r="P40" s="15"/>
      <c r="Q40" s="15"/>
      <c r="R40" s="15"/>
      <c r="S40" s="15"/>
      <c r="T40" s="15"/>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1"/>
      <c r="GC40" s="1"/>
      <c r="GD40" s="1"/>
      <c r="GE40" s="1"/>
      <c r="GF40" s="1"/>
      <c r="GG40" s="1"/>
      <c r="GH40" s="1"/>
      <c r="GI40" s="1"/>
      <c r="GJ40" s="1"/>
      <c r="GK40" s="1"/>
      <c r="GL40" s="1"/>
      <c r="GM40" s="1"/>
      <c r="GN40" s="1"/>
      <c r="GO40" s="1"/>
      <c r="GP40" s="1"/>
      <c r="GQ40" s="1"/>
      <c r="GR40" s="1"/>
      <c r="GS40" s="1"/>
      <c r="GT40" s="1"/>
      <c r="GU40" s="1"/>
      <c r="GV40" s="1"/>
      <c r="GW40" s="1"/>
      <c r="GX40" s="1"/>
      <c r="GY40" s="1"/>
      <c r="GZ40" s="1"/>
      <c r="HA40" s="1"/>
      <c r="HB40" s="1"/>
      <c r="HC40" s="1"/>
      <c r="HD40" s="1"/>
      <c r="HE40" s="1"/>
      <c r="HF40" s="1"/>
      <c r="HG40" s="1"/>
      <c r="HH40" s="1"/>
      <c r="HI40" s="1"/>
      <c r="HJ40" s="1"/>
      <c r="HK40" s="1"/>
      <c r="HL40" s="1"/>
      <c r="HM40" s="1"/>
      <c r="HN40" s="1"/>
      <c r="HO40" s="1"/>
      <c r="HP40" s="1"/>
      <c r="HQ40" s="1"/>
      <c r="HR40" s="1"/>
      <c r="HS40" s="1"/>
      <c r="HT40" s="1"/>
      <c r="HU40" s="1"/>
      <c r="HV40" s="1"/>
      <c r="HW40" s="1"/>
      <c r="HX40" s="1"/>
      <c r="HY40" s="1"/>
      <c r="HZ40" s="1"/>
      <c r="IA40" s="1"/>
      <c r="IB40" s="1"/>
      <c r="IC40" s="1"/>
      <c r="ID40" s="1"/>
      <c r="IE40" s="1"/>
      <c r="IF40" s="1"/>
      <c r="IG40" s="1"/>
      <c r="IH40" s="1"/>
      <c r="II40" s="1"/>
      <c r="IJ40" s="1"/>
      <c r="IK40" s="1"/>
      <c r="IL40" s="1"/>
      <c r="IM40" s="1"/>
      <c r="IN40" s="1"/>
      <c r="IO40" s="1"/>
      <c r="IP40" s="1"/>
      <c r="IQ40" s="1"/>
      <c r="IR40" s="1"/>
      <c r="IS40" s="1"/>
      <c r="IT40" s="1"/>
      <c r="IU40" s="1"/>
      <c r="IV40" s="1"/>
    </row>
    <row r="41" spans="1:256" s="18" customFormat="1" ht="15" hidden="1" customHeight="1">
      <c r="A41" s="22"/>
      <c r="C41" s="115">
        <f t="shared" ref="C41:C104" si="15">P$1</f>
        <v>3158</v>
      </c>
      <c r="D41" s="115">
        <f>X$1</f>
        <v>5</v>
      </c>
      <c r="E41" s="115">
        <f>J$1</f>
        <v>2017</v>
      </c>
      <c r="F41" s="115">
        <v>1</v>
      </c>
      <c r="G41" s="115" t="s">
        <v>462</v>
      </c>
      <c r="H41" s="115" t="s">
        <v>463</v>
      </c>
      <c r="I41" s="166">
        <f>IF(ISBLANK(J5),"",J5)</f>
        <v>2079.3412234412945</v>
      </c>
      <c r="J41" s="167" t="s">
        <v>550</v>
      </c>
      <c r="K41" s="992" t="s">
        <v>464</v>
      </c>
      <c r="L41" s="993" t="s">
        <v>157</v>
      </c>
      <c r="M41" s="15"/>
      <c r="N41" s="15"/>
      <c r="O41" s="15"/>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c r="EG41" s="1"/>
      <c r="EH41" s="1"/>
      <c r="EI41" s="1"/>
      <c r="EJ41" s="1"/>
      <c r="EK41" s="1"/>
      <c r="EL41" s="1"/>
      <c r="EM41" s="1"/>
      <c r="EN41" s="1"/>
      <c r="EO41" s="1"/>
      <c r="EP41" s="1"/>
      <c r="EQ41" s="1"/>
      <c r="ER41" s="1"/>
      <c r="ES41" s="1"/>
      <c r="ET41" s="1"/>
      <c r="EU41" s="1"/>
      <c r="EV41" s="1"/>
      <c r="EW41" s="1"/>
      <c r="EX41" s="1"/>
      <c r="EY41" s="1"/>
      <c r="EZ41" s="1"/>
      <c r="FA41" s="1"/>
      <c r="FB41" s="1"/>
      <c r="FC41" s="1"/>
      <c r="FD41" s="1"/>
      <c r="FE41" s="1"/>
      <c r="FF41" s="1"/>
      <c r="FG41" s="1"/>
      <c r="FH41" s="1"/>
      <c r="FI41" s="1"/>
      <c r="FJ41" s="1"/>
      <c r="FK41" s="1"/>
      <c r="FL41" s="1"/>
      <c r="FM41" s="1"/>
      <c r="FN41" s="1"/>
      <c r="FO41" s="1"/>
      <c r="FP41" s="1"/>
      <c r="FQ41" s="1"/>
      <c r="FR41" s="1"/>
      <c r="FS41" s="1"/>
      <c r="FT41" s="1"/>
      <c r="FU41" s="1"/>
      <c r="FV41" s="1"/>
      <c r="FW41" s="1"/>
      <c r="FX41" s="1"/>
      <c r="FY41" s="1"/>
      <c r="FZ41" s="1"/>
      <c r="GA41" s="1"/>
      <c r="GB41" s="1"/>
      <c r="GC41" s="1"/>
      <c r="GD41" s="1"/>
      <c r="GE41" s="1"/>
      <c r="GF41" s="1"/>
      <c r="GG41" s="1"/>
      <c r="GH41" s="1"/>
      <c r="GI41" s="1"/>
      <c r="GJ41" s="1"/>
      <c r="GK41" s="1"/>
      <c r="GL41" s="1"/>
      <c r="GM41" s="1"/>
      <c r="GN41" s="1"/>
      <c r="GO41" s="1"/>
      <c r="GP41" s="1"/>
      <c r="GQ41" s="1"/>
      <c r="GR41" s="1"/>
      <c r="GS41" s="1"/>
      <c r="GT41" s="1"/>
      <c r="GU41" s="1"/>
      <c r="GV41" s="1"/>
      <c r="GW41" s="1"/>
      <c r="GX41" s="1"/>
      <c r="GY41" s="1"/>
      <c r="GZ41" s="1"/>
      <c r="HA41" s="1"/>
      <c r="HB41" s="1"/>
      <c r="HC41" s="1"/>
      <c r="HD41" s="1"/>
      <c r="HE41" s="1"/>
      <c r="HF41" s="1"/>
      <c r="HG41" s="1"/>
      <c r="HH41" s="1"/>
      <c r="HI41" s="1"/>
      <c r="HJ41" s="1"/>
      <c r="HK41" s="1"/>
      <c r="HL41" s="1"/>
      <c r="HM41" s="1"/>
      <c r="HN41" s="1"/>
      <c r="HO41" s="1"/>
      <c r="HP41" s="1"/>
      <c r="HQ41" s="1"/>
      <c r="HR41" s="1"/>
      <c r="HS41" s="1"/>
      <c r="HT41" s="1"/>
      <c r="HU41" s="1"/>
      <c r="HV41" s="1"/>
      <c r="HW41" s="1"/>
      <c r="HX41" s="1"/>
      <c r="HY41" s="1"/>
      <c r="HZ41" s="1"/>
      <c r="IA41" s="1"/>
      <c r="IB41" s="1"/>
      <c r="IC41" s="1"/>
      <c r="ID41" s="1"/>
      <c r="IE41" s="1"/>
      <c r="IF41" s="1"/>
      <c r="IG41" s="1"/>
      <c r="IH41" s="1"/>
      <c r="II41" s="1"/>
      <c r="IJ41" s="1"/>
      <c r="IK41" s="1"/>
      <c r="IL41" s="1"/>
      <c r="IM41" s="1"/>
      <c r="IN41" s="1"/>
      <c r="IO41" s="1"/>
      <c r="IP41" s="1"/>
      <c r="IQ41" s="1"/>
      <c r="IR41" s="1"/>
      <c r="IS41" s="1"/>
      <c r="IT41" s="1"/>
      <c r="IU41" s="1"/>
      <c r="IV41" s="1"/>
    </row>
    <row r="42" spans="1:256" s="18" customFormat="1" hidden="1">
      <c r="A42" s="22"/>
      <c r="C42" s="115">
        <f t="shared" si="15"/>
        <v>3158</v>
      </c>
      <c r="D42" s="115">
        <f t="shared" ref="D42:D105" si="16">X$1</f>
        <v>5</v>
      </c>
      <c r="E42" s="115">
        <f t="shared" ref="E42:E105" si="17">J$1</f>
        <v>2017</v>
      </c>
      <c r="F42" s="115">
        <v>1</v>
      </c>
      <c r="G42" s="115" t="s">
        <v>462</v>
      </c>
      <c r="H42" s="115" t="s">
        <v>465</v>
      </c>
      <c r="I42" s="166">
        <f>IF(ISBLANK(J6),"",J6)</f>
        <v>275.33232161250254</v>
      </c>
      <c r="J42" s="167" t="s">
        <v>551</v>
      </c>
      <c r="K42" s="992"/>
      <c r="L42" s="994"/>
      <c r="M42" s="15"/>
      <c r="N42" s="15"/>
      <c r="O42" s="15"/>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c r="EG42" s="1"/>
      <c r="EH42" s="1"/>
      <c r="EI42" s="1"/>
      <c r="EJ42" s="1"/>
      <c r="EK42" s="1"/>
      <c r="EL42" s="1"/>
      <c r="EM42" s="1"/>
      <c r="EN42" s="1"/>
      <c r="EO42" s="1"/>
      <c r="EP42" s="1"/>
      <c r="EQ42" s="1"/>
      <c r="ER42" s="1"/>
      <c r="ES42" s="1"/>
      <c r="ET42" s="1"/>
      <c r="EU42" s="1"/>
      <c r="EV42" s="1"/>
      <c r="EW42" s="1"/>
      <c r="EX42" s="1"/>
      <c r="EY42" s="1"/>
      <c r="EZ42" s="1"/>
      <c r="FA42" s="1"/>
      <c r="FB42" s="1"/>
      <c r="FC42" s="1"/>
      <c r="FD42" s="1"/>
      <c r="FE42" s="1"/>
      <c r="FF42" s="1"/>
      <c r="FG42" s="1"/>
      <c r="FH42" s="1"/>
      <c r="FI42" s="1"/>
      <c r="FJ42" s="1"/>
      <c r="FK42" s="1"/>
      <c r="FL42" s="1"/>
      <c r="FM42" s="1"/>
      <c r="FN42" s="1"/>
      <c r="FO42" s="1"/>
      <c r="FP42" s="1"/>
      <c r="FQ42" s="1"/>
      <c r="FR42" s="1"/>
      <c r="FS42" s="1"/>
      <c r="FT42" s="1"/>
      <c r="FU42" s="1"/>
      <c r="FV42" s="1"/>
      <c r="FW42" s="1"/>
      <c r="FX42" s="1"/>
      <c r="FY42" s="1"/>
      <c r="FZ42" s="1"/>
      <c r="GA42" s="1"/>
      <c r="GB42" s="1"/>
      <c r="GC42" s="1"/>
      <c r="GD42" s="1"/>
      <c r="GE42" s="1"/>
      <c r="GF42" s="1"/>
      <c r="GG42" s="1"/>
      <c r="GH42" s="1"/>
      <c r="GI42" s="1"/>
      <c r="GJ42" s="1"/>
      <c r="GK42" s="1"/>
      <c r="GL42" s="1"/>
      <c r="GM42" s="1"/>
      <c r="GN42" s="1"/>
      <c r="GO42" s="1"/>
      <c r="GP42" s="1"/>
      <c r="GQ42" s="1"/>
      <c r="GR42" s="1"/>
      <c r="GS42" s="1"/>
      <c r="GT42" s="1"/>
      <c r="GU42" s="1"/>
      <c r="GV42" s="1"/>
      <c r="GW42" s="1"/>
      <c r="GX42" s="1"/>
      <c r="GY42" s="1"/>
      <c r="GZ42" s="1"/>
      <c r="HA42" s="1"/>
      <c r="HB42" s="1"/>
      <c r="HC42" s="1"/>
      <c r="HD42" s="1"/>
      <c r="HE42" s="1"/>
      <c r="HF42" s="1"/>
      <c r="HG42" s="1"/>
      <c r="HH42" s="1"/>
      <c r="HI42" s="1"/>
      <c r="HJ42" s="1"/>
      <c r="HK42" s="1"/>
      <c r="HL42" s="1"/>
      <c r="HM42" s="1"/>
      <c r="HN42" s="1"/>
      <c r="HO42" s="1"/>
      <c r="HP42" s="1"/>
      <c r="HQ42" s="1"/>
      <c r="HR42" s="1"/>
      <c r="HS42" s="1"/>
      <c r="HT42" s="1"/>
      <c r="HU42" s="1"/>
      <c r="HV42" s="1"/>
      <c r="HW42" s="1"/>
      <c r="HX42" s="1"/>
      <c r="HY42" s="1"/>
      <c r="HZ42" s="1"/>
      <c r="IA42" s="1"/>
      <c r="IB42" s="1"/>
      <c r="IC42" s="1"/>
      <c r="ID42" s="1"/>
      <c r="IE42" s="1"/>
      <c r="IF42" s="1"/>
      <c r="IG42" s="1"/>
      <c r="IH42" s="1"/>
      <c r="II42" s="1"/>
      <c r="IJ42" s="1"/>
      <c r="IK42" s="1"/>
      <c r="IL42" s="1"/>
      <c r="IM42" s="1"/>
      <c r="IN42" s="1"/>
      <c r="IO42" s="1"/>
      <c r="IP42" s="1"/>
      <c r="IQ42" s="1"/>
      <c r="IR42" s="1"/>
      <c r="IS42" s="1"/>
      <c r="IT42" s="1"/>
      <c r="IU42" s="1"/>
      <c r="IV42" s="1"/>
    </row>
    <row r="43" spans="1:256" hidden="1">
      <c r="C43" s="115">
        <f t="shared" si="15"/>
        <v>3158</v>
      </c>
      <c r="D43" s="115">
        <f t="shared" si="16"/>
        <v>5</v>
      </c>
      <c r="E43" s="115">
        <f t="shared" si="17"/>
        <v>2017</v>
      </c>
      <c r="F43" s="115">
        <v>1</v>
      </c>
      <c r="G43" s="115" t="s">
        <v>462</v>
      </c>
      <c r="H43" s="115" t="s">
        <v>466</v>
      </c>
      <c r="I43" s="166">
        <f>IF(ISBLANK(J7),"",J7)</f>
        <v>18.913683257656508</v>
      </c>
      <c r="J43" s="167" t="s">
        <v>552</v>
      </c>
      <c r="K43" s="992"/>
      <c r="L43" s="994"/>
    </row>
    <row r="44" spans="1:256" hidden="1">
      <c r="C44" s="115">
        <f t="shared" si="15"/>
        <v>3158</v>
      </c>
      <c r="D44" s="115">
        <f t="shared" si="16"/>
        <v>5</v>
      </c>
      <c r="E44" s="115">
        <f t="shared" si="17"/>
        <v>2017</v>
      </c>
      <c r="F44" s="115">
        <v>1</v>
      </c>
      <c r="G44" s="115" t="s">
        <v>462</v>
      </c>
      <c r="H44" s="115" t="s">
        <v>467</v>
      </c>
      <c r="I44" s="166">
        <f>IF(ISBLANK(J8),"",J8)</f>
        <v>0</v>
      </c>
      <c r="J44" s="167" t="s">
        <v>553</v>
      </c>
      <c r="K44" s="992"/>
      <c r="L44" s="994"/>
    </row>
    <row r="45" spans="1:256" hidden="1">
      <c r="C45" s="115">
        <f t="shared" si="15"/>
        <v>3158</v>
      </c>
      <c r="D45" s="115">
        <f t="shared" si="16"/>
        <v>5</v>
      </c>
      <c r="E45" s="115">
        <f t="shared" si="17"/>
        <v>2017</v>
      </c>
      <c r="F45" s="115">
        <v>1</v>
      </c>
      <c r="G45" s="115" t="s">
        <v>462</v>
      </c>
      <c r="H45" s="115" t="s">
        <v>455</v>
      </c>
      <c r="I45" s="166">
        <f>IF(J9=0,"",J9)</f>
        <v>2373.5872283114536</v>
      </c>
      <c r="J45" s="188"/>
      <c r="K45" s="992"/>
      <c r="L45" s="994"/>
    </row>
    <row r="46" spans="1:256" hidden="1">
      <c r="C46" s="115">
        <f t="shared" si="15"/>
        <v>3158</v>
      </c>
      <c r="D46" s="115">
        <f t="shared" si="16"/>
        <v>5</v>
      </c>
      <c r="E46" s="115">
        <f t="shared" si="17"/>
        <v>2017</v>
      </c>
      <c r="F46" s="115">
        <v>1</v>
      </c>
      <c r="G46" s="115" t="s">
        <v>462</v>
      </c>
      <c r="H46" s="115" t="s">
        <v>468</v>
      </c>
      <c r="I46" s="166">
        <f>IF(ISBLANK(J10),"",J10)</f>
        <v>0</v>
      </c>
      <c r="J46" s="167" t="s">
        <v>555</v>
      </c>
      <c r="K46" s="992"/>
      <c r="L46" s="994"/>
    </row>
    <row r="47" spans="1:256" hidden="1">
      <c r="C47" s="115">
        <f t="shared" si="15"/>
        <v>3158</v>
      </c>
      <c r="D47" s="115">
        <f t="shared" si="16"/>
        <v>5</v>
      </c>
      <c r="E47" s="115">
        <f t="shared" si="17"/>
        <v>2017</v>
      </c>
      <c r="F47" s="115">
        <v>1</v>
      </c>
      <c r="G47" s="115" t="s">
        <v>462</v>
      </c>
      <c r="H47" s="115" t="s">
        <v>469</v>
      </c>
      <c r="I47" s="166">
        <f>IF(ISBLANK(J11),"",J11)</f>
        <v>0</v>
      </c>
      <c r="J47" s="167" t="s">
        <v>556</v>
      </c>
      <c r="K47" s="992"/>
      <c r="L47" s="994"/>
    </row>
    <row r="48" spans="1:256" hidden="1">
      <c r="C48" s="115">
        <f t="shared" si="15"/>
        <v>3158</v>
      </c>
      <c r="D48" s="115">
        <f t="shared" si="16"/>
        <v>5</v>
      </c>
      <c r="E48" s="115">
        <f t="shared" si="17"/>
        <v>2017</v>
      </c>
      <c r="F48" s="115">
        <v>1</v>
      </c>
      <c r="G48" s="115" t="s">
        <v>462</v>
      </c>
      <c r="H48" s="115" t="s">
        <v>470</v>
      </c>
      <c r="I48" s="166">
        <f>IF(ISBLANK(J12),"",J12)</f>
        <v>0</v>
      </c>
      <c r="J48" s="167" t="s">
        <v>557</v>
      </c>
      <c r="K48" s="992"/>
      <c r="L48" s="994"/>
    </row>
    <row r="49" spans="3:12" hidden="1">
      <c r="C49" s="115">
        <f t="shared" si="15"/>
        <v>3158</v>
      </c>
      <c r="D49" s="115">
        <f t="shared" si="16"/>
        <v>5</v>
      </c>
      <c r="E49" s="115">
        <f t="shared" si="17"/>
        <v>2017</v>
      </c>
      <c r="F49" s="115">
        <v>1</v>
      </c>
      <c r="G49" s="115" t="s">
        <v>462</v>
      </c>
      <c r="H49" s="115" t="s">
        <v>72</v>
      </c>
      <c r="I49" s="166">
        <f>IF(J13=0,"",J13)</f>
        <v>2373.5872283114536</v>
      </c>
      <c r="J49" s="188"/>
      <c r="K49" s="992"/>
      <c r="L49" s="994"/>
    </row>
    <row r="50" spans="3:12" hidden="1">
      <c r="C50" s="115">
        <f t="shared" si="15"/>
        <v>3158</v>
      </c>
      <c r="D50" s="115">
        <f t="shared" si="16"/>
        <v>5</v>
      </c>
      <c r="E50" s="115">
        <f t="shared" si="17"/>
        <v>2017</v>
      </c>
      <c r="F50" s="115">
        <v>1</v>
      </c>
      <c r="G50" s="115" t="s">
        <v>462</v>
      </c>
      <c r="H50" s="115" t="s">
        <v>73</v>
      </c>
      <c r="I50" s="166">
        <f>IF(ISBLANK(J14),"",J14)</f>
        <v>0</v>
      </c>
      <c r="J50" s="167" t="s">
        <v>559</v>
      </c>
      <c r="K50" s="992"/>
      <c r="L50" s="994"/>
    </row>
    <row r="51" spans="3:12" hidden="1">
      <c r="C51" s="115">
        <f t="shared" si="15"/>
        <v>3158</v>
      </c>
      <c r="D51" s="115">
        <f t="shared" si="16"/>
        <v>5</v>
      </c>
      <c r="E51" s="115">
        <f t="shared" si="17"/>
        <v>2017</v>
      </c>
      <c r="F51" s="115">
        <v>1</v>
      </c>
      <c r="G51" s="115" t="s">
        <v>462</v>
      </c>
      <c r="H51" s="115" t="s">
        <v>74</v>
      </c>
      <c r="I51" s="166">
        <f>IF(ISBLANK(J15),"",J15)</f>
        <v>221.47886542503593</v>
      </c>
      <c r="J51" s="167" t="s">
        <v>1363</v>
      </c>
      <c r="K51" s="992"/>
      <c r="L51" s="994"/>
    </row>
    <row r="52" spans="3:12" hidden="1">
      <c r="C52" s="115">
        <f t="shared" si="15"/>
        <v>3158</v>
      </c>
      <c r="D52" s="115">
        <f t="shared" si="16"/>
        <v>5</v>
      </c>
      <c r="E52" s="115">
        <f t="shared" si="17"/>
        <v>2017</v>
      </c>
      <c r="F52" s="115">
        <v>1</v>
      </c>
      <c r="G52" s="115" t="s">
        <v>462</v>
      </c>
      <c r="H52" s="115" t="s">
        <v>75</v>
      </c>
      <c r="I52" s="166">
        <f>IF(ISBLANK(J16),"",J16)</f>
        <v>1004.8574249457726</v>
      </c>
      <c r="J52" s="167" t="s">
        <v>1364</v>
      </c>
      <c r="K52" s="992"/>
      <c r="L52" s="994"/>
    </row>
    <row r="53" spans="3:12" hidden="1">
      <c r="C53" s="115">
        <f t="shared" si="15"/>
        <v>3158</v>
      </c>
      <c r="D53" s="115">
        <f t="shared" si="16"/>
        <v>5</v>
      </c>
      <c r="E53" s="115">
        <f t="shared" si="17"/>
        <v>2017</v>
      </c>
      <c r="F53" s="115">
        <v>1</v>
      </c>
      <c r="G53" s="115" t="s">
        <v>462</v>
      </c>
      <c r="H53" s="115" t="s">
        <v>76</v>
      </c>
      <c r="I53" s="166">
        <f>IF(J17=0,"",J17)</f>
        <v>1226.3362903708085</v>
      </c>
      <c r="J53" s="188"/>
      <c r="K53" s="992"/>
      <c r="L53" s="994"/>
    </row>
    <row r="54" spans="3:12" hidden="1">
      <c r="C54" s="115">
        <f t="shared" si="15"/>
        <v>3158</v>
      </c>
      <c r="D54" s="115">
        <f t="shared" si="16"/>
        <v>5</v>
      </c>
      <c r="E54" s="115">
        <f t="shared" si="17"/>
        <v>2017</v>
      </c>
      <c r="F54" s="115">
        <v>1</v>
      </c>
      <c r="G54" s="115" t="s">
        <v>462</v>
      </c>
      <c r="H54" s="115" t="s">
        <v>1386</v>
      </c>
      <c r="I54" s="166">
        <f t="shared" ref="I54:I59" si="18">IF(ISBLANK(J19),"",J19)</f>
        <v>0</v>
      </c>
      <c r="J54" s="167" t="s">
        <v>1366</v>
      </c>
      <c r="K54" s="992"/>
      <c r="L54" s="994"/>
    </row>
    <row r="55" spans="3:12" hidden="1">
      <c r="C55" s="115">
        <f t="shared" si="15"/>
        <v>3158</v>
      </c>
      <c r="D55" s="115">
        <f t="shared" si="16"/>
        <v>5</v>
      </c>
      <c r="E55" s="115">
        <f t="shared" si="17"/>
        <v>2017</v>
      </c>
      <c r="F55" s="115">
        <v>1</v>
      </c>
      <c r="G55" s="115" t="s">
        <v>462</v>
      </c>
      <c r="H55" s="115" t="s">
        <v>458</v>
      </c>
      <c r="I55" s="166">
        <f t="shared" si="18"/>
        <v>12600</v>
      </c>
      <c r="J55" s="167" t="s">
        <v>1367</v>
      </c>
      <c r="K55" s="992"/>
      <c r="L55" s="994"/>
    </row>
    <row r="56" spans="3:12" hidden="1">
      <c r="C56" s="115">
        <f t="shared" si="15"/>
        <v>3158</v>
      </c>
      <c r="D56" s="115">
        <f t="shared" si="16"/>
        <v>5</v>
      </c>
      <c r="E56" s="115">
        <f t="shared" si="17"/>
        <v>2017</v>
      </c>
      <c r="F56" s="115">
        <v>1</v>
      </c>
      <c r="G56" s="115" t="s">
        <v>462</v>
      </c>
      <c r="H56" s="115" t="s">
        <v>460</v>
      </c>
      <c r="I56" s="166">
        <f t="shared" si="18"/>
        <v>0</v>
      </c>
      <c r="J56" s="167" t="s">
        <v>1368</v>
      </c>
      <c r="K56" s="992"/>
      <c r="L56" s="994"/>
    </row>
    <row r="57" spans="3:12" hidden="1">
      <c r="C57" s="115">
        <f t="shared" si="15"/>
        <v>3158</v>
      </c>
      <c r="D57" s="115">
        <f>X$1</f>
        <v>5</v>
      </c>
      <c r="E57" s="115">
        <f t="shared" si="17"/>
        <v>2017</v>
      </c>
      <c r="F57" s="115">
        <v>1</v>
      </c>
      <c r="G57" s="115" t="s">
        <v>462</v>
      </c>
      <c r="H57" s="115" t="s">
        <v>1387</v>
      </c>
      <c r="I57" s="166">
        <f t="shared" si="18"/>
        <v>0</v>
      </c>
      <c r="J57" s="167" t="s">
        <v>1369</v>
      </c>
      <c r="K57" s="992"/>
      <c r="L57" s="994"/>
    </row>
    <row r="58" spans="3:12" hidden="1">
      <c r="C58" s="115">
        <f t="shared" si="15"/>
        <v>3158</v>
      </c>
      <c r="D58" s="115">
        <f>X$1</f>
        <v>5</v>
      </c>
      <c r="E58" s="115">
        <f t="shared" si="17"/>
        <v>2017</v>
      </c>
      <c r="F58" s="115">
        <v>1</v>
      </c>
      <c r="G58" s="115" t="s">
        <v>462</v>
      </c>
      <c r="H58" s="115" t="s">
        <v>1388</v>
      </c>
      <c r="I58" s="166">
        <f t="shared" si="18"/>
        <v>1217.9491760692404</v>
      </c>
      <c r="J58" s="167" t="s">
        <v>1370</v>
      </c>
      <c r="K58" s="992"/>
      <c r="L58" s="994"/>
    </row>
    <row r="59" spans="3:12" hidden="1">
      <c r="C59" s="115">
        <f t="shared" si="15"/>
        <v>3158</v>
      </c>
      <c r="D59" s="115">
        <f t="shared" si="16"/>
        <v>5</v>
      </c>
      <c r="E59" s="115">
        <f t="shared" si="17"/>
        <v>2017</v>
      </c>
      <c r="F59" s="115">
        <v>1</v>
      </c>
      <c r="G59" s="115" t="s">
        <v>462</v>
      </c>
      <c r="H59" s="115" t="s">
        <v>1389</v>
      </c>
      <c r="I59" s="166">
        <f t="shared" si="18"/>
        <v>0</v>
      </c>
      <c r="J59" s="167" t="s">
        <v>1371</v>
      </c>
      <c r="K59" s="992"/>
      <c r="L59" s="994"/>
    </row>
    <row r="60" spans="3:12" hidden="1">
      <c r="C60" s="115">
        <f t="shared" si="15"/>
        <v>3158</v>
      </c>
      <c r="D60" s="115">
        <f t="shared" si="16"/>
        <v>5</v>
      </c>
      <c r="E60" s="115">
        <f t="shared" si="17"/>
        <v>2017</v>
      </c>
      <c r="F60" s="115">
        <v>1</v>
      </c>
      <c r="G60" s="115" t="s">
        <v>462</v>
      </c>
      <c r="H60" s="115" t="s">
        <v>1390</v>
      </c>
      <c r="I60" s="166">
        <f>IF(J25=0,"",J25)</f>
        <v>13817.94917606924</v>
      </c>
      <c r="J60" s="188"/>
      <c r="K60" s="992"/>
      <c r="L60" s="995"/>
    </row>
    <row r="61" spans="3:12" ht="12.75" hidden="1" customHeight="1">
      <c r="C61" s="115">
        <f t="shared" si="15"/>
        <v>3158</v>
      </c>
      <c r="D61" s="115">
        <f t="shared" si="16"/>
        <v>5</v>
      </c>
      <c r="E61" s="115">
        <f t="shared" si="17"/>
        <v>2017</v>
      </c>
      <c r="F61" s="115">
        <v>2</v>
      </c>
      <c r="G61" s="115" t="s">
        <v>462</v>
      </c>
      <c r="H61" s="115" t="s">
        <v>463</v>
      </c>
      <c r="I61" s="166">
        <f>IF(ISBLANK(K5),"",K5)</f>
        <v>0</v>
      </c>
      <c r="J61" s="167" t="s">
        <v>561</v>
      </c>
      <c r="K61" s="992"/>
      <c r="L61" s="996" t="s">
        <v>1542</v>
      </c>
    </row>
    <row r="62" spans="3:12" hidden="1">
      <c r="C62" s="115">
        <f t="shared" si="15"/>
        <v>3158</v>
      </c>
      <c r="D62" s="115">
        <f t="shared" si="16"/>
        <v>5</v>
      </c>
      <c r="E62" s="115">
        <f t="shared" si="17"/>
        <v>2017</v>
      </c>
      <c r="F62" s="115">
        <v>2</v>
      </c>
      <c r="G62" s="115" t="s">
        <v>462</v>
      </c>
      <c r="H62" s="115" t="s">
        <v>465</v>
      </c>
      <c r="I62" s="166">
        <f>IF(ISBLANK(K6),"",K6)</f>
        <v>0</v>
      </c>
      <c r="J62" s="167" t="s">
        <v>562</v>
      </c>
      <c r="K62" s="992"/>
      <c r="L62" s="997"/>
    </row>
    <row r="63" spans="3:12" ht="15" hidden="1" customHeight="1">
      <c r="C63" s="115">
        <f t="shared" si="15"/>
        <v>3158</v>
      </c>
      <c r="D63" s="115">
        <f t="shared" si="16"/>
        <v>5</v>
      </c>
      <c r="E63" s="115">
        <f t="shared" si="17"/>
        <v>2017</v>
      </c>
      <c r="F63" s="115">
        <v>2</v>
      </c>
      <c r="G63" s="115" t="s">
        <v>462</v>
      </c>
      <c r="H63" s="115" t="s">
        <v>466</v>
      </c>
      <c r="I63" s="166">
        <f>IF(ISBLANK(K7),"",K7)</f>
        <v>0</v>
      </c>
      <c r="J63" s="167" t="s">
        <v>563</v>
      </c>
      <c r="K63" s="992"/>
      <c r="L63" s="997"/>
    </row>
    <row r="64" spans="3:12" hidden="1">
      <c r="C64" s="115">
        <f t="shared" si="15"/>
        <v>3158</v>
      </c>
      <c r="D64" s="115">
        <f t="shared" si="16"/>
        <v>5</v>
      </c>
      <c r="E64" s="115">
        <f t="shared" si="17"/>
        <v>2017</v>
      </c>
      <c r="F64" s="115">
        <v>2</v>
      </c>
      <c r="G64" s="115" t="s">
        <v>462</v>
      </c>
      <c r="H64" s="115" t="s">
        <v>467</v>
      </c>
      <c r="I64" s="166">
        <f>IF(ISBLANK(K8),"",K8)</f>
        <v>0</v>
      </c>
      <c r="J64" s="167" t="s">
        <v>564</v>
      </c>
      <c r="K64" s="992"/>
      <c r="L64" s="997"/>
    </row>
    <row r="65" spans="3:12" hidden="1">
      <c r="C65" s="115">
        <f t="shared" si="15"/>
        <v>3158</v>
      </c>
      <c r="D65" s="115">
        <f t="shared" si="16"/>
        <v>5</v>
      </c>
      <c r="E65" s="115">
        <f t="shared" si="17"/>
        <v>2017</v>
      </c>
      <c r="F65" s="115">
        <v>2</v>
      </c>
      <c r="G65" s="115" t="s">
        <v>462</v>
      </c>
      <c r="H65" s="115" t="s">
        <v>455</v>
      </c>
      <c r="I65" s="166" t="str">
        <f>IF(K9=0,"",K9)</f>
        <v/>
      </c>
      <c r="J65" s="167"/>
      <c r="K65" s="992"/>
      <c r="L65" s="997"/>
    </row>
    <row r="66" spans="3:12" hidden="1">
      <c r="C66" s="115">
        <f t="shared" si="15"/>
        <v>3158</v>
      </c>
      <c r="D66" s="115">
        <f t="shared" si="16"/>
        <v>5</v>
      </c>
      <c r="E66" s="115">
        <f t="shared" si="17"/>
        <v>2017</v>
      </c>
      <c r="F66" s="115">
        <v>2</v>
      </c>
      <c r="G66" s="115" t="s">
        <v>462</v>
      </c>
      <c r="H66" s="115" t="s">
        <v>468</v>
      </c>
      <c r="I66" s="166">
        <f>IF(ISBLANK(K10),"",K10)</f>
        <v>0</v>
      </c>
      <c r="J66" s="167" t="s">
        <v>566</v>
      </c>
      <c r="K66" s="992"/>
      <c r="L66" s="997"/>
    </row>
    <row r="67" spans="3:12" hidden="1">
      <c r="C67" s="115">
        <f t="shared" si="15"/>
        <v>3158</v>
      </c>
      <c r="D67" s="115">
        <f t="shared" si="16"/>
        <v>5</v>
      </c>
      <c r="E67" s="115">
        <f t="shared" si="17"/>
        <v>2017</v>
      </c>
      <c r="F67" s="115">
        <v>2</v>
      </c>
      <c r="G67" s="115" t="s">
        <v>462</v>
      </c>
      <c r="H67" s="115" t="s">
        <v>469</v>
      </c>
      <c r="I67" s="166">
        <f>IF(ISBLANK(K11),"",K11)</f>
        <v>0</v>
      </c>
      <c r="J67" s="167" t="s">
        <v>567</v>
      </c>
      <c r="K67" s="992"/>
      <c r="L67" s="997"/>
    </row>
    <row r="68" spans="3:12" hidden="1">
      <c r="C68" s="115">
        <f t="shared" si="15"/>
        <v>3158</v>
      </c>
      <c r="D68" s="115">
        <f t="shared" si="16"/>
        <v>5</v>
      </c>
      <c r="E68" s="115">
        <f t="shared" si="17"/>
        <v>2017</v>
      </c>
      <c r="F68" s="115">
        <v>2</v>
      </c>
      <c r="G68" s="115" t="s">
        <v>462</v>
      </c>
      <c r="H68" s="115" t="s">
        <v>470</v>
      </c>
      <c r="I68" s="166">
        <f>IF(ISBLANK(K12),"",K12)</f>
        <v>0</v>
      </c>
      <c r="J68" s="167" t="s">
        <v>568</v>
      </c>
      <c r="K68" s="992"/>
      <c r="L68" s="997"/>
    </row>
    <row r="69" spans="3:12" hidden="1">
      <c r="C69" s="115">
        <f t="shared" si="15"/>
        <v>3158</v>
      </c>
      <c r="D69" s="115">
        <f t="shared" si="16"/>
        <v>5</v>
      </c>
      <c r="E69" s="115">
        <f t="shared" si="17"/>
        <v>2017</v>
      </c>
      <c r="F69" s="115">
        <v>2</v>
      </c>
      <c r="G69" s="115" t="s">
        <v>462</v>
      </c>
      <c r="H69" s="115" t="s">
        <v>72</v>
      </c>
      <c r="I69" s="166" t="str">
        <f>IF(K13=0,"",K13)</f>
        <v/>
      </c>
      <c r="J69" s="167"/>
      <c r="K69" s="992"/>
      <c r="L69" s="997"/>
    </row>
    <row r="70" spans="3:12" hidden="1">
      <c r="C70" s="115">
        <f t="shared" si="15"/>
        <v>3158</v>
      </c>
      <c r="D70" s="115">
        <f t="shared" si="16"/>
        <v>5</v>
      </c>
      <c r="E70" s="115">
        <f t="shared" si="17"/>
        <v>2017</v>
      </c>
      <c r="F70" s="115">
        <v>2</v>
      </c>
      <c r="G70" s="115" t="s">
        <v>462</v>
      </c>
      <c r="H70" s="115" t="s">
        <v>73</v>
      </c>
      <c r="I70" s="166">
        <f>IF(ISBLANK(K14),"",K14)</f>
        <v>0</v>
      </c>
      <c r="J70" s="167" t="s">
        <v>570</v>
      </c>
      <c r="K70" s="992"/>
      <c r="L70" s="997"/>
    </row>
    <row r="71" spans="3:12" hidden="1">
      <c r="C71" s="115">
        <f t="shared" si="15"/>
        <v>3158</v>
      </c>
      <c r="D71" s="115">
        <f t="shared" si="16"/>
        <v>5</v>
      </c>
      <c r="E71" s="115">
        <f t="shared" si="17"/>
        <v>2017</v>
      </c>
      <c r="F71" s="115">
        <v>2</v>
      </c>
      <c r="G71" s="115" t="s">
        <v>462</v>
      </c>
      <c r="H71" s="115" t="s">
        <v>74</v>
      </c>
      <c r="I71" s="166">
        <f>IF(ISBLANK(K15),"",K15)</f>
        <v>0</v>
      </c>
      <c r="J71" s="167" t="s">
        <v>1372</v>
      </c>
      <c r="K71" s="992"/>
      <c r="L71" s="997"/>
    </row>
    <row r="72" spans="3:12" hidden="1">
      <c r="C72" s="115">
        <f t="shared" si="15"/>
        <v>3158</v>
      </c>
      <c r="D72" s="115">
        <f t="shared" si="16"/>
        <v>5</v>
      </c>
      <c r="E72" s="115">
        <f t="shared" si="17"/>
        <v>2017</v>
      </c>
      <c r="F72" s="115">
        <v>2</v>
      </c>
      <c r="G72" s="115" t="s">
        <v>462</v>
      </c>
      <c r="H72" s="115" t="s">
        <v>75</v>
      </c>
      <c r="I72" s="166">
        <f>IF(ISBLANK(K16),"",K16)</f>
        <v>0</v>
      </c>
      <c r="J72" s="167" t="s">
        <v>1373</v>
      </c>
      <c r="K72" s="992"/>
      <c r="L72" s="997"/>
    </row>
    <row r="73" spans="3:12" hidden="1">
      <c r="C73" s="115">
        <f t="shared" si="15"/>
        <v>3158</v>
      </c>
      <c r="D73" s="115">
        <f t="shared" si="16"/>
        <v>5</v>
      </c>
      <c r="E73" s="115">
        <f t="shared" si="17"/>
        <v>2017</v>
      </c>
      <c r="F73" s="115">
        <v>2</v>
      </c>
      <c r="G73" s="115" t="s">
        <v>462</v>
      </c>
      <c r="H73" s="115" t="s">
        <v>76</v>
      </c>
      <c r="I73" s="166" t="str">
        <f>IF(K17=0,"",K17)</f>
        <v/>
      </c>
      <c r="J73" s="167"/>
      <c r="K73" s="992"/>
      <c r="L73" s="997"/>
    </row>
    <row r="74" spans="3:12" hidden="1">
      <c r="C74" s="115">
        <f t="shared" si="15"/>
        <v>3158</v>
      </c>
      <c r="D74" s="115">
        <f t="shared" si="16"/>
        <v>5</v>
      </c>
      <c r="E74" s="115">
        <f t="shared" si="17"/>
        <v>2017</v>
      </c>
      <c r="F74" s="115">
        <v>2</v>
      </c>
      <c r="G74" s="115" t="s">
        <v>462</v>
      </c>
      <c r="H74" s="115" t="s">
        <v>1386</v>
      </c>
      <c r="I74" s="166">
        <f t="shared" ref="I74:I79" si="19">IF(ISBLANK(K19),"",K19)</f>
        <v>0</v>
      </c>
      <c r="J74" s="167" t="s">
        <v>1375</v>
      </c>
      <c r="K74" s="992"/>
      <c r="L74" s="997"/>
    </row>
    <row r="75" spans="3:12" hidden="1">
      <c r="C75" s="115">
        <f t="shared" si="15"/>
        <v>3158</v>
      </c>
      <c r="D75" s="115">
        <f t="shared" si="16"/>
        <v>5</v>
      </c>
      <c r="E75" s="115">
        <f t="shared" si="17"/>
        <v>2017</v>
      </c>
      <c r="F75" s="115">
        <v>2</v>
      </c>
      <c r="G75" s="115" t="s">
        <v>462</v>
      </c>
      <c r="H75" s="115" t="s">
        <v>458</v>
      </c>
      <c r="I75" s="166">
        <f t="shared" si="19"/>
        <v>0</v>
      </c>
      <c r="J75" s="167" t="s">
        <v>1376</v>
      </c>
      <c r="K75" s="992"/>
      <c r="L75" s="997"/>
    </row>
    <row r="76" spans="3:12" hidden="1">
      <c r="C76" s="115">
        <f t="shared" si="15"/>
        <v>3158</v>
      </c>
      <c r="D76" s="115">
        <f t="shared" si="16"/>
        <v>5</v>
      </c>
      <c r="E76" s="115">
        <f t="shared" si="17"/>
        <v>2017</v>
      </c>
      <c r="F76" s="115">
        <v>2</v>
      </c>
      <c r="G76" s="115" t="s">
        <v>462</v>
      </c>
      <c r="H76" s="115" t="s">
        <v>460</v>
      </c>
      <c r="I76" s="166">
        <f t="shared" si="19"/>
        <v>0</v>
      </c>
      <c r="J76" s="167" t="s">
        <v>1377</v>
      </c>
      <c r="K76" s="992"/>
      <c r="L76" s="997"/>
    </row>
    <row r="77" spans="3:12" hidden="1">
      <c r="C77" s="115">
        <f t="shared" si="15"/>
        <v>3158</v>
      </c>
      <c r="D77" s="115">
        <f t="shared" si="16"/>
        <v>5</v>
      </c>
      <c r="E77" s="115">
        <f t="shared" si="17"/>
        <v>2017</v>
      </c>
      <c r="F77" s="115">
        <v>2</v>
      </c>
      <c r="G77" s="115" t="s">
        <v>462</v>
      </c>
      <c r="H77" s="115" t="s">
        <v>1387</v>
      </c>
      <c r="I77" s="166">
        <f t="shared" si="19"/>
        <v>0</v>
      </c>
      <c r="J77" s="167" t="s">
        <v>1378</v>
      </c>
      <c r="K77" s="992"/>
      <c r="L77" s="997"/>
    </row>
    <row r="78" spans="3:12" hidden="1">
      <c r="C78" s="115">
        <f t="shared" si="15"/>
        <v>3158</v>
      </c>
      <c r="D78" s="115">
        <f t="shared" si="16"/>
        <v>5</v>
      </c>
      <c r="E78" s="115">
        <f t="shared" si="17"/>
        <v>2017</v>
      </c>
      <c r="F78" s="115">
        <v>2</v>
      </c>
      <c r="G78" s="115" t="s">
        <v>462</v>
      </c>
      <c r="H78" s="115" t="s">
        <v>1388</v>
      </c>
      <c r="I78" s="166">
        <f t="shared" si="19"/>
        <v>0</v>
      </c>
      <c r="J78" s="167" t="s">
        <v>1379</v>
      </c>
      <c r="K78" s="992"/>
      <c r="L78" s="997"/>
    </row>
    <row r="79" spans="3:12" hidden="1">
      <c r="C79" s="115">
        <f t="shared" si="15"/>
        <v>3158</v>
      </c>
      <c r="D79" s="115">
        <f t="shared" si="16"/>
        <v>5</v>
      </c>
      <c r="E79" s="115">
        <f t="shared" si="17"/>
        <v>2017</v>
      </c>
      <c r="F79" s="115">
        <v>2</v>
      </c>
      <c r="G79" s="115" t="s">
        <v>462</v>
      </c>
      <c r="H79" s="115" t="s">
        <v>1389</v>
      </c>
      <c r="I79" s="166">
        <f t="shared" si="19"/>
        <v>0</v>
      </c>
      <c r="J79" s="167" t="s">
        <v>1380</v>
      </c>
      <c r="K79" s="992"/>
      <c r="L79" s="997"/>
    </row>
    <row r="80" spans="3:12" hidden="1">
      <c r="C80" s="115">
        <f t="shared" si="15"/>
        <v>3158</v>
      </c>
      <c r="D80" s="115">
        <f t="shared" si="16"/>
        <v>5</v>
      </c>
      <c r="E80" s="115">
        <f t="shared" si="17"/>
        <v>2017</v>
      </c>
      <c r="F80" s="115">
        <v>2</v>
      </c>
      <c r="G80" s="115" t="s">
        <v>462</v>
      </c>
      <c r="H80" s="115" t="s">
        <v>1390</v>
      </c>
      <c r="I80" s="166" t="str">
        <f>IF(K25=0,"",K25)</f>
        <v/>
      </c>
      <c r="J80" s="167"/>
      <c r="K80" s="992"/>
      <c r="L80" s="998"/>
    </row>
    <row r="81" spans="3:12" ht="12.75" hidden="1" customHeight="1">
      <c r="C81" s="115">
        <f t="shared" si="15"/>
        <v>3158</v>
      </c>
      <c r="D81" s="115">
        <f t="shared" si="16"/>
        <v>5</v>
      </c>
      <c r="E81" s="115">
        <f t="shared" si="17"/>
        <v>2017</v>
      </c>
      <c r="F81" s="115">
        <v>3</v>
      </c>
      <c r="G81" s="115" t="s">
        <v>462</v>
      </c>
      <c r="H81" s="115" t="s">
        <v>463</v>
      </c>
      <c r="I81" s="166">
        <f>IF(ISBLANK(L5),"",L5)</f>
        <v>0</v>
      </c>
      <c r="J81" s="167" t="s">
        <v>572</v>
      </c>
      <c r="K81" s="992"/>
      <c r="L81" s="996" t="s">
        <v>167</v>
      </c>
    </row>
    <row r="82" spans="3:12" hidden="1">
      <c r="C82" s="115">
        <f t="shared" si="15"/>
        <v>3158</v>
      </c>
      <c r="D82" s="115">
        <f t="shared" si="16"/>
        <v>5</v>
      </c>
      <c r="E82" s="115">
        <f t="shared" si="17"/>
        <v>2017</v>
      </c>
      <c r="F82" s="115">
        <v>3</v>
      </c>
      <c r="G82" s="115" t="s">
        <v>462</v>
      </c>
      <c r="H82" s="115" t="s">
        <v>465</v>
      </c>
      <c r="I82" s="166">
        <f>IF(ISBLANK(L6),"",L6)</f>
        <v>0</v>
      </c>
      <c r="J82" s="167" t="s">
        <v>573</v>
      </c>
      <c r="K82" s="992"/>
      <c r="L82" s="997"/>
    </row>
    <row r="83" spans="3:12" hidden="1">
      <c r="C83" s="115">
        <f t="shared" si="15"/>
        <v>3158</v>
      </c>
      <c r="D83" s="115">
        <f t="shared" si="16"/>
        <v>5</v>
      </c>
      <c r="E83" s="115">
        <f t="shared" si="17"/>
        <v>2017</v>
      </c>
      <c r="F83" s="115">
        <v>3</v>
      </c>
      <c r="G83" s="115" t="s">
        <v>462</v>
      </c>
      <c r="H83" s="115" t="s">
        <v>466</v>
      </c>
      <c r="I83" s="166">
        <f>IF(ISBLANK(L7),"",L7)</f>
        <v>0</v>
      </c>
      <c r="J83" s="167" t="s">
        <v>574</v>
      </c>
      <c r="K83" s="992"/>
      <c r="L83" s="997"/>
    </row>
    <row r="84" spans="3:12" ht="12.75" hidden="1" customHeight="1">
      <c r="C84" s="115">
        <f t="shared" si="15"/>
        <v>3158</v>
      </c>
      <c r="D84" s="115">
        <f t="shared" si="16"/>
        <v>5</v>
      </c>
      <c r="E84" s="115">
        <f t="shared" si="17"/>
        <v>2017</v>
      </c>
      <c r="F84" s="115">
        <v>3</v>
      </c>
      <c r="G84" s="115" t="s">
        <v>462</v>
      </c>
      <c r="H84" s="115" t="s">
        <v>467</v>
      </c>
      <c r="I84" s="166">
        <f>IF(ISBLANK(L8),"",L8)</f>
        <v>0</v>
      </c>
      <c r="J84" s="167" t="s">
        <v>575</v>
      </c>
      <c r="K84" s="992"/>
      <c r="L84" s="997"/>
    </row>
    <row r="85" spans="3:12" ht="12.75" hidden="1" customHeight="1">
      <c r="C85" s="115">
        <f t="shared" si="15"/>
        <v>3158</v>
      </c>
      <c r="D85" s="115">
        <f t="shared" si="16"/>
        <v>5</v>
      </c>
      <c r="E85" s="115">
        <f t="shared" si="17"/>
        <v>2017</v>
      </c>
      <c r="F85" s="115">
        <v>3</v>
      </c>
      <c r="G85" s="115" t="s">
        <v>462</v>
      </c>
      <c r="H85" s="115" t="s">
        <v>455</v>
      </c>
      <c r="I85" s="166" t="str">
        <f>IF(L9=0,"",L9)</f>
        <v/>
      </c>
      <c r="J85" s="167"/>
      <c r="K85" s="992"/>
      <c r="L85" s="997"/>
    </row>
    <row r="86" spans="3:12" ht="12.75" hidden="1" customHeight="1">
      <c r="C86" s="115">
        <f t="shared" si="15"/>
        <v>3158</v>
      </c>
      <c r="D86" s="115">
        <f t="shared" si="16"/>
        <v>5</v>
      </c>
      <c r="E86" s="115">
        <f t="shared" si="17"/>
        <v>2017</v>
      </c>
      <c r="F86" s="115">
        <v>3</v>
      </c>
      <c r="G86" s="115" t="s">
        <v>462</v>
      </c>
      <c r="H86" s="115" t="s">
        <v>468</v>
      </c>
      <c r="I86" s="166">
        <f>IF(ISBLANK(L10),"",L10)</f>
        <v>0</v>
      </c>
      <c r="J86" s="167" t="s">
        <v>577</v>
      </c>
      <c r="K86" s="992"/>
      <c r="L86" s="997"/>
    </row>
    <row r="87" spans="3:12" ht="12.75" hidden="1" customHeight="1">
      <c r="C87" s="115">
        <f t="shared" si="15"/>
        <v>3158</v>
      </c>
      <c r="D87" s="115">
        <f t="shared" si="16"/>
        <v>5</v>
      </c>
      <c r="E87" s="115">
        <f t="shared" si="17"/>
        <v>2017</v>
      </c>
      <c r="F87" s="115">
        <v>3</v>
      </c>
      <c r="G87" s="115" t="s">
        <v>462</v>
      </c>
      <c r="H87" s="115" t="s">
        <v>469</v>
      </c>
      <c r="I87" s="166">
        <f>IF(ISBLANK(L11),"",L11)</f>
        <v>0</v>
      </c>
      <c r="J87" s="167" t="s">
        <v>578</v>
      </c>
      <c r="K87" s="992"/>
      <c r="L87" s="997"/>
    </row>
    <row r="88" spans="3:12" ht="12.75" hidden="1" customHeight="1">
      <c r="C88" s="115">
        <f t="shared" si="15"/>
        <v>3158</v>
      </c>
      <c r="D88" s="115">
        <f t="shared" si="16"/>
        <v>5</v>
      </c>
      <c r="E88" s="115">
        <f t="shared" si="17"/>
        <v>2017</v>
      </c>
      <c r="F88" s="115">
        <v>3</v>
      </c>
      <c r="G88" s="115" t="s">
        <v>462</v>
      </c>
      <c r="H88" s="115" t="s">
        <v>470</v>
      </c>
      <c r="I88" s="166">
        <f>IF(ISBLANK(L12),"",L12)</f>
        <v>0</v>
      </c>
      <c r="J88" s="167" t="s">
        <v>579</v>
      </c>
      <c r="K88" s="992"/>
      <c r="L88" s="997"/>
    </row>
    <row r="89" spans="3:12" ht="12.75" hidden="1" customHeight="1">
      <c r="C89" s="115">
        <f t="shared" si="15"/>
        <v>3158</v>
      </c>
      <c r="D89" s="115">
        <f t="shared" si="16"/>
        <v>5</v>
      </c>
      <c r="E89" s="115">
        <f t="shared" si="17"/>
        <v>2017</v>
      </c>
      <c r="F89" s="115">
        <v>3</v>
      </c>
      <c r="G89" s="115" t="s">
        <v>462</v>
      </c>
      <c r="H89" s="115" t="s">
        <v>72</v>
      </c>
      <c r="I89" s="166" t="str">
        <f>IF(L13=0,"",L13)</f>
        <v/>
      </c>
      <c r="J89" s="167"/>
      <c r="K89" s="992"/>
      <c r="L89" s="997"/>
    </row>
    <row r="90" spans="3:12" ht="12.75" hidden="1" customHeight="1">
      <c r="C90" s="115">
        <f t="shared" si="15"/>
        <v>3158</v>
      </c>
      <c r="D90" s="115">
        <f t="shared" si="16"/>
        <v>5</v>
      </c>
      <c r="E90" s="115">
        <f t="shared" si="17"/>
        <v>2017</v>
      </c>
      <c r="F90" s="115">
        <v>3</v>
      </c>
      <c r="G90" s="115" t="s">
        <v>462</v>
      </c>
      <c r="H90" s="115" t="s">
        <v>73</v>
      </c>
      <c r="I90" s="166">
        <f>IF(ISBLANK(L14),"",L14)</f>
        <v>0</v>
      </c>
      <c r="J90" s="167" t="s">
        <v>581</v>
      </c>
      <c r="K90" s="992"/>
      <c r="L90" s="997"/>
    </row>
    <row r="91" spans="3:12" ht="12.75" hidden="1" customHeight="1">
      <c r="C91" s="115">
        <f t="shared" si="15"/>
        <v>3158</v>
      </c>
      <c r="D91" s="115">
        <f t="shared" si="16"/>
        <v>5</v>
      </c>
      <c r="E91" s="115">
        <f t="shared" si="17"/>
        <v>2017</v>
      </c>
      <c r="F91" s="115">
        <v>3</v>
      </c>
      <c r="G91" s="115" t="s">
        <v>462</v>
      </c>
      <c r="H91" s="115" t="s">
        <v>74</v>
      </c>
      <c r="I91" s="166">
        <f>IF(ISBLANK(L15),"",L15)</f>
        <v>0</v>
      </c>
      <c r="J91" s="167" t="s">
        <v>1382</v>
      </c>
      <c r="K91" s="992"/>
      <c r="L91" s="997"/>
    </row>
    <row r="92" spans="3:12" ht="12.75" hidden="1" customHeight="1">
      <c r="C92" s="115">
        <f t="shared" si="15"/>
        <v>3158</v>
      </c>
      <c r="D92" s="115">
        <f t="shared" si="16"/>
        <v>5</v>
      </c>
      <c r="E92" s="115">
        <f t="shared" si="17"/>
        <v>2017</v>
      </c>
      <c r="F92" s="115">
        <v>3</v>
      </c>
      <c r="G92" s="115" t="s">
        <v>462</v>
      </c>
      <c r="H92" s="115" t="s">
        <v>75</v>
      </c>
      <c r="I92" s="166">
        <f>IF(ISBLANK(L16),"",L16)</f>
        <v>0</v>
      </c>
      <c r="J92" s="167" t="s">
        <v>1</v>
      </c>
      <c r="K92" s="992"/>
      <c r="L92" s="997"/>
    </row>
    <row r="93" spans="3:12" ht="12.75" hidden="1" customHeight="1">
      <c r="C93" s="115">
        <f t="shared" si="15"/>
        <v>3158</v>
      </c>
      <c r="D93" s="115">
        <f t="shared" si="16"/>
        <v>5</v>
      </c>
      <c r="E93" s="115">
        <f t="shared" si="17"/>
        <v>2017</v>
      </c>
      <c r="F93" s="115">
        <v>3</v>
      </c>
      <c r="G93" s="115" t="s">
        <v>462</v>
      </c>
      <c r="H93" s="115" t="s">
        <v>76</v>
      </c>
      <c r="I93" s="166" t="str">
        <f>IF(L17=0,"",L17)</f>
        <v/>
      </c>
      <c r="J93" s="167"/>
      <c r="K93" s="992"/>
      <c r="L93" s="997"/>
    </row>
    <row r="94" spans="3:12" ht="12.75" hidden="1" customHeight="1">
      <c r="C94" s="115">
        <f t="shared" si="15"/>
        <v>3158</v>
      </c>
      <c r="D94" s="115">
        <f t="shared" si="16"/>
        <v>5</v>
      </c>
      <c r="E94" s="115">
        <f t="shared" si="17"/>
        <v>2017</v>
      </c>
      <c r="F94" s="115">
        <v>3</v>
      </c>
      <c r="G94" s="115" t="s">
        <v>462</v>
      </c>
      <c r="H94" s="115" t="s">
        <v>1386</v>
      </c>
      <c r="I94" s="166">
        <f t="shared" ref="I94:I99" si="20">IF(ISBLANK(L19),"",L19)</f>
        <v>0</v>
      </c>
      <c r="J94" s="167" t="s">
        <v>2</v>
      </c>
      <c r="K94" s="992"/>
      <c r="L94" s="997"/>
    </row>
    <row r="95" spans="3:12" ht="12.75" hidden="1" customHeight="1">
      <c r="C95" s="115">
        <f t="shared" si="15"/>
        <v>3158</v>
      </c>
      <c r="D95" s="115">
        <f t="shared" si="16"/>
        <v>5</v>
      </c>
      <c r="E95" s="115">
        <f t="shared" si="17"/>
        <v>2017</v>
      </c>
      <c r="F95" s="115">
        <v>3</v>
      </c>
      <c r="G95" s="115" t="s">
        <v>462</v>
      </c>
      <c r="H95" s="115" t="s">
        <v>458</v>
      </c>
      <c r="I95" s="166">
        <f t="shared" si="20"/>
        <v>0</v>
      </c>
      <c r="J95" s="167" t="s">
        <v>46</v>
      </c>
      <c r="K95" s="992"/>
      <c r="L95" s="997"/>
    </row>
    <row r="96" spans="3:12" ht="12.75" hidden="1" customHeight="1">
      <c r="C96" s="115">
        <f t="shared" si="15"/>
        <v>3158</v>
      </c>
      <c r="D96" s="115">
        <f t="shared" si="16"/>
        <v>5</v>
      </c>
      <c r="E96" s="115">
        <f t="shared" si="17"/>
        <v>2017</v>
      </c>
      <c r="F96" s="115">
        <v>3</v>
      </c>
      <c r="G96" s="115" t="s">
        <v>462</v>
      </c>
      <c r="H96" s="115" t="s">
        <v>460</v>
      </c>
      <c r="I96" s="166">
        <f t="shared" si="20"/>
        <v>0</v>
      </c>
      <c r="J96" s="167" t="s">
        <v>47</v>
      </c>
      <c r="K96" s="992"/>
      <c r="L96" s="997"/>
    </row>
    <row r="97" spans="3:12" ht="12.75" hidden="1" customHeight="1">
      <c r="C97" s="115">
        <f t="shared" si="15"/>
        <v>3158</v>
      </c>
      <c r="D97" s="115">
        <f t="shared" si="16"/>
        <v>5</v>
      </c>
      <c r="E97" s="115">
        <f t="shared" si="17"/>
        <v>2017</v>
      </c>
      <c r="F97" s="115">
        <v>3</v>
      </c>
      <c r="G97" s="115" t="s">
        <v>462</v>
      </c>
      <c r="H97" s="115" t="s">
        <v>1387</v>
      </c>
      <c r="I97" s="166">
        <f t="shared" si="20"/>
        <v>0</v>
      </c>
      <c r="J97" s="167" t="s">
        <v>48</v>
      </c>
      <c r="K97" s="992"/>
      <c r="L97" s="997"/>
    </row>
    <row r="98" spans="3:12" ht="12.75" hidden="1" customHeight="1">
      <c r="C98" s="115">
        <f t="shared" si="15"/>
        <v>3158</v>
      </c>
      <c r="D98" s="115">
        <f t="shared" si="16"/>
        <v>5</v>
      </c>
      <c r="E98" s="115">
        <f t="shared" si="17"/>
        <v>2017</v>
      </c>
      <c r="F98" s="115">
        <v>3</v>
      </c>
      <c r="G98" s="115" t="s">
        <v>462</v>
      </c>
      <c r="H98" s="115" t="s">
        <v>1388</v>
      </c>
      <c r="I98" s="166">
        <f t="shared" si="20"/>
        <v>0</v>
      </c>
      <c r="J98" s="167" t="s">
        <v>49</v>
      </c>
      <c r="K98" s="992"/>
      <c r="L98" s="997"/>
    </row>
    <row r="99" spans="3:12" ht="12.75" hidden="1" customHeight="1">
      <c r="C99" s="115">
        <f t="shared" si="15"/>
        <v>3158</v>
      </c>
      <c r="D99" s="115">
        <f t="shared" si="16"/>
        <v>5</v>
      </c>
      <c r="E99" s="115">
        <f t="shared" si="17"/>
        <v>2017</v>
      </c>
      <c r="F99" s="115">
        <v>3</v>
      </c>
      <c r="G99" s="115" t="s">
        <v>462</v>
      </c>
      <c r="H99" s="115" t="s">
        <v>1389</v>
      </c>
      <c r="I99" s="166">
        <f t="shared" si="20"/>
        <v>0</v>
      </c>
      <c r="J99" s="167" t="s">
        <v>50</v>
      </c>
      <c r="K99" s="992"/>
      <c r="L99" s="997"/>
    </row>
    <row r="100" spans="3:12" ht="12.75" hidden="1" customHeight="1">
      <c r="C100" s="115">
        <f t="shared" si="15"/>
        <v>3158</v>
      </c>
      <c r="D100" s="115">
        <f t="shared" si="16"/>
        <v>5</v>
      </c>
      <c r="E100" s="115">
        <f t="shared" si="17"/>
        <v>2017</v>
      </c>
      <c r="F100" s="115">
        <v>3</v>
      </c>
      <c r="G100" s="115" t="s">
        <v>462</v>
      </c>
      <c r="H100" s="115" t="s">
        <v>1390</v>
      </c>
      <c r="I100" s="166" t="str">
        <f>IF(L25=0,"",L25)</f>
        <v/>
      </c>
      <c r="J100" s="167"/>
      <c r="K100" s="992"/>
      <c r="L100" s="998"/>
    </row>
    <row r="101" spans="3:12" ht="12.75" hidden="1" customHeight="1">
      <c r="C101" s="115">
        <f t="shared" si="15"/>
        <v>3158</v>
      </c>
      <c r="D101" s="115">
        <f t="shared" si="16"/>
        <v>5</v>
      </c>
      <c r="E101" s="115">
        <f t="shared" si="17"/>
        <v>2017</v>
      </c>
      <c r="F101" s="115">
        <v>4</v>
      </c>
      <c r="G101" s="115" t="s">
        <v>462</v>
      </c>
      <c r="H101" s="115" t="s">
        <v>463</v>
      </c>
      <c r="I101" s="166">
        <f>IF(ISBLANK(M5),"",M5)</f>
        <v>0</v>
      </c>
      <c r="J101" s="167" t="s">
        <v>583</v>
      </c>
      <c r="K101" s="992"/>
      <c r="L101" s="996" t="s">
        <v>1528</v>
      </c>
    </row>
    <row r="102" spans="3:12" ht="12.75" hidden="1" customHeight="1">
      <c r="C102" s="115">
        <f t="shared" si="15"/>
        <v>3158</v>
      </c>
      <c r="D102" s="115">
        <f t="shared" si="16"/>
        <v>5</v>
      </c>
      <c r="E102" s="115">
        <f t="shared" si="17"/>
        <v>2017</v>
      </c>
      <c r="F102" s="115">
        <v>4</v>
      </c>
      <c r="G102" s="115" t="s">
        <v>462</v>
      </c>
      <c r="H102" s="115" t="s">
        <v>465</v>
      </c>
      <c r="I102" s="166">
        <f>IF(ISBLANK(M6),"",M6)</f>
        <v>0</v>
      </c>
      <c r="J102" s="167" t="s">
        <v>584</v>
      </c>
      <c r="K102" s="992"/>
      <c r="L102" s="997"/>
    </row>
    <row r="103" spans="3:12" ht="12.75" hidden="1" customHeight="1">
      <c r="C103" s="115">
        <f t="shared" si="15"/>
        <v>3158</v>
      </c>
      <c r="D103" s="115">
        <f t="shared" si="16"/>
        <v>5</v>
      </c>
      <c r="E103" s="115">
        <f t="shared" si="17"/>
        <v>2017</v>
      </c>
      <c r="F103" s="115">
        <v>4</v>
      </c>
      <c r="G103" s="115" t="s">
        <v>462</v>
      </c>
      <c r="H103" s="115" t="s">
        <v>466</v>
      </c>
      <c r="I103" s="166">
        <f>IF(ISBLANK(M7),"",M7)</f>
        <v>0</v>
      </c>
      <c r="J103" s="167" t="s">
        <v>585</v>
      </c>
      <c r="K103" s="992"/>
      <c r="L103" s="997"/>
    </row>
    <row r="104" spans="3:12" ht="12.75" hidden="1" customHeight="1">
      <c r="C104" s="115">
        <f t="shared" si="15"/>
        <v>3158</v>
      </c>
      <c r="D104" s="115">
        <f t="shared" si="16"/>
        <v>5</v>
      </c>
      <c r="E104" s="115">
        <f t="shared" si="17"/>
        <v>2017</v>
      </c>
      <c r="F104" s="115">
        <v>4</v>
      </c>
      <c r="G104" s="115" t="s">
        <v>462</v>
      </c>
      <c r="H104" s="115" t="s">
        <v>467</v>
      </c>
      <c r="I104" s="166">
        <f>IF(ISBLANK(M8),"",M8)</f>
        <v>0</v>
      </c>
      <c r="J104" s="167" t="s">
        <v>586</v>
      </c>
      <c r="K104" s="992"/>
      <c r="L104" s="997"/>
    </row>
    <row r="105" spans="3:12" ht="12.75" hidden="1" customHeight="1">
      <c r="C105" s="115">
        <f t="shared" ref="C105:C168" si="21">P$1</f>
        <v>3158</v>
      </c>
      <c r="D105" s="115">
        <f t="shared" si="16"/>
        <v>5</v>
      </c>
      <c r="E105" s="115">
        <f t="shared" si="17"/>
        <v>2017</v>
      </c>
      <c r="F105" s="115">
        <v>4</v>
      </c>
      <c r="G105" s="115" t="s">
        <v>462</v>
      </c>
      <c r="H105" s="115" t="s">
        <v>455</v>
      </c>
      <c r="I105" s="166" t="str">
        <f>IF(M9=0,"",M9)</f>
        <v/>
      </c>
      <c r="J105" s="167"/>
      <c r="K105" s="992"/>
      <c r="L105" s="997"/>
    </row>
    <row r="106" spans="3:12" hidden="1">
      <c r="C106" s="115">
        <f t="shared" si="21"/>
        <v>3158</v>
      </c>
      <c r="D106" s="115">
        <f t="shared" ref="D106:D169" si="22">X$1</f>
        <v>5</v>
      </c>
      <c r="E106" s="115">
        <f t="shared" ref="E106:E169" si="23">J$1</f>
        <v>2017</v>
      </c>
      <c r="F106" s="115">
        <v>4</v>
      </c>
      <c r="G106" s="115" t="s">
        <v>462</v>
      </c>
      <c r="H106" s="115" t="s">
        <v>468</v>
      </c>
      <c r="I106" s="166">
        <f>IF(ISBLANK(M10),"",M10)</f>
        <v>0</v>
      </c>
      <c r="J106" s="167" t="s">
        <v>588</v>
      </c>
      <c r="K106" s="992"/>
      <c r="L106" s="997"/>
    </row>
    <row r="107" spans="3:12" hidden="1">
      <c r="C107" s="115">
        <f t="shared" si="21"/>
        <v>3158</v>
      </c>
      <c r="D107" s="115">
        <f t="shared" si="22"/>
        <v>5</v>
      </c>
      <c r="E107" s="115">
        <f t="shared" si="23"/>
        <v>2017</v>
      </c>
      <c r="F107" s="115">
        <v>4</v>
      </c>
      <c r="G107" s="115" t="s">
        <v>462</v>
      </c>
      <c r="H107" s="115" t="s">
        <v>469</v>
      </c>
      <c r="I107" s="166">
        <f>IF(ISBLANK(M11),"",M11)</f>
        <v>0</v>
      </c>
      <c r="J107" s="167" t="s">
        <v>589</v>
      </c>
      <c r="K107" s="992"/>
      <c r="L107" s="997"/>
    </row>
    <row r="108" spans="3:12" hidden="1">
      <c r="C108" s="115">
        <f t="shared" si="21"/>
        <v>3158</v>
      </c>
      <c r="D108" s="115">
        <f t="shared" si="22"/>
        <v>5</v>
      </c>
      <c r="E108" s="115">
        <f t="shared" si="23"/>
        <v>2017</v>
      </c>
      <c r="F108" s="115">
        <v>4</v>
      </c>
      <c r="G108" s="115" t="s">
        <v>462</v>
      </c>
      <c r="H108" s="115" t="s">
        <v>470</v>
      </c>
      <c r="I108" s="166">
        <f>IF(ISBLANK(M12),"",M12)</f>
        <v>0</v>
      </c>
      <c r="J108" s="167" t="s">
        <v>590</v>
      </c>
      <c r="K108" s="992"/>
      <c r="L108" s="997"/>
    </row>
    <row r="109" spans="3:12" hidden="1">
      <c r="C109" s="115">
        <f t="shared" si="21"/>
        <v>3158</v>
      </c>
      <c r="D109" s="115">
        <f t="shared" si="22"/>
        <v>5</v>
      </c>
      <c r="E109" s="115">
        <f t="shared" si="23"/>
        <v>2017</v>
      </c>
      <c r="F109" s="115">
        <v>4</v>
      </c>
      <c r="G109" s="115" t="s">
        <v>462</v>
      </c>
      <c r="H109" s="115" t="s">
        <v>72</v>
      </c>
      <c r="I109" s="166" t="str">
        <f>IF(M13=0,"",M13)</f>
        <v/>
      </c>
      <c r="J109" s="167"/>
      <c r="K109" s="992"/>
      <c r="L109" s="997"/>
    </row>
    <row r="110" spans="3:12" hidden="1">
      <c r="C110" s="115">
        <f t="shared" si="21"/>
        <v>3158</v>
      </c>
      <c r="D110" s="115">
        <f t="shared" si="22"/>
        <v>5</v>
      </c>
      <c r="E110" s="115">
        <f t="shared" si="23"/>
        <v>2017</v>
      </c>
      <c r="F110" s="115">
        <v>4</v>
      </c>
      <c r="G110" s="115" t="s">
        <v>462</v>
      </c>
      <c r="H110" s="115" t="s">
        <v>73</v>
      </c>
      <c r="I110" s="166">
        <f>IF(ISBLANK(M14),"",M14)</f>
        <v>0</v>
      </c>
      <c r="J110" s="167" t="s">
        <v>592</v>
      </c>
      <c r="K110" s="992"/>
      <c r="L110" s="997"/>
    </row>
    <row r="111" spans="3:12" hidden="1">
      <c r="C111" s="115">
        <f t="shared" si="21"/>
        <v>3158</v>
      </c>
      <c r="D111" s="115">
        <f t="shared" si="22"/>
        <v>5</v>
      </c>
      <c r="E111" s="115">
        <f t="shared" si="23"/>
        <v>2017</v>
      </c>
      <c r="F111" s="115">
        <v>4</v>
      </c>
      <c r="G111" s="115" t="s">
        <v>462</v>
      </c>
      <c r="H111" s="115" t="s">
        <v>74</v>
      </c>
      <c r="I111" s="166">
        <f>IF(ISBLANK(M15),"",M15)</f>
        <v>0</v>
      </c>
      <c r="J111" s="167" t="s">
        <v>51</v>
      </c>
      <c r="K111" s="992"/>
      <c r="L111" s="997"/>
    </row>
    <row r="112" spans="3:12" hidden="1">
      <c r="C112" s="115">
        <f t="shared" si="21"/>
        <v>3158</v>
      </c>
      <c r="D112" s="115">
        <f t="shared" si="22"/>
        <v>5</v>
      </c>
      <c r="E112" s="115">
        <f t="shared" si="23"/>
        <v>2017</v>
      </c>
      <c r="F112" s="115">
        <v>4</v>
      </c>
      <c r="G112" s="115" t="s">
        <v>462</v>
      </c>
      <c r="H112" s="115" t="s">
        <v>75</v>
      </c>
      <c r="I112" s="166">
        <f>IF(ISBLANK(M16),"",M16)</f>
        <v>0</v>
      </c>
      <c r="J112" s="167" t="s">
        <v>52</v>
      </c>
      <c r="K112" s="992"/>
      <c r="L112" s="997"/>
    </row>
    <row r="113" spans="3:12" hidden="1">
      <c r="C113" s="115">
        <f t="shared" si="21"/>
        <v>3158</v>
      </c>
      <c r="D113" s="115">
        <f t="shared" si="22"/>
        <v>5</v>
      </c>
      <c r="E113" s="115">
        <f t="shared" si="23"/>
        <v>2017</v>
      </c>
      <c r="F113" s="115">
        <v>4</v>
      </c>
      <c r="G113" s="115" t="s">
        <v>462</v>
      </c>
      <c r="H113" s="115" t="s">
        <v>76</v>
      </c>
      <c r="I113" s="166" t="str">
        <f>IF(M17=0,"",M17)</f>
        <v/>
      </c>
      <c r="J113" s="167"/>
      <c r="K113" s="992"/>
      <c r="L113" s="997"/>
    </row>
    <row r="114" spans="3:12" hidden="1">
      <c r="C114" s="115">
        <f t="shared" si="21"/>
        <v>3158</v>
      </c>
      <c r="D114" s="115">
        <f t="shared" si="22"/>
        <v>5</v>
      </c>
      <c r="E114" s="115">
        <f t="shared" si="23"/>
        <v>2017</v>
      </c>
      <c r="F114" s="115">
        <v>4</v>
      </c>
      <c r="G114" s="115" t="s">
        <v>462</v>
      </c>
      <c r="H114" s="115" t="s">
        <v>1386</v>
      </c>
      <c r="I114" s="166">
        <f t="shared" ref="I114:I119" si="24">IF(ISBLANK(M19),"",M19)</f>
        <v>0</v>
      </c>
      <c r="J114" s="167" t="s">
        <v>54</v>
      </c>
      <c r="K114" s="992"/>
      <c r="L114" s="997"/>
    </row>
    <row r="115" spans="3:12" hidden="1">
      <c r="C115" s="115">
        <f t="shared" si="21"/>
        <v>3158</v>
      </c>
      <c r="D115" s="115">
        <f t="shared" si="22"/>
        <v>5</v>
      </c>
      <c r="E115" s="115">
        <f t="shared" si="23"/>
        <v>2017</v>
      </c>
      <c r="F115" s="115">
        <v>4</v>
      </c>
      <c r="G115" s="115" t="s">
        <v>462</v>
      </c>
      <c r="H115" s="115" t="s">
        <v>458</v>
      </c>
      <c r="I115" s="166">
        <f t="shared" si="24"/>
        <v>0</v>
      </c>
      <c r="J115" s="167" t="s">
        <v>55</v>
      </c>
      <c r="K115" s="992"/>
      <c r="L115" s="997"/>
    </row>
    <row r="116" spans="3:12" hidden="1">
      <c r="C116" s="115">
        <f t="shared" si="21"/>
        <v>3158</v>
      </c>
      <c r="D116" s="115">
        <f t="shared" si="22"/>
        <v>5</v>
      </c>
      <c r="E116" s="115">
        <f t="shared" si="23"/>
        <v>2017</v>
      </c>
      <c r="F116" s="115">
        <v>4</v>
      </c>
      <c r="G116" s="115" t="s">
        <v>462</v>
      </c>
      <c r="H116" s="115" t="s">
        <v>460</v>
      </c>
      <c r="I116" s="166">
        <f t="shared" si="24"/>
        <v>0</v>
      </c>
      <c r="J116" s="167" t="s">
        <v>56</v>
      </c>
      <c r="K116" s="992"/>
      <c r="L116" s="997"/>
    </row>
    <row r="117" spans="3:12" hidden="1">
      <c r="C117" s="115">
        <f t="shared" si="21"/>
        <v>3158</v>
      </c>
      <c r="D117" s="115">
        <f t="shared" si="22"/>
        <v>5</v>
      </c>
      <c r="E117" s="115">
        <f t="shared" si="23"/>
        <v>2017</v>
      </c>
      <c r="F117" s="115">
        <v>4</v>
      </c>
      <c r="G117" s="115" t="s">
        <v>462</v>
      </c>
      <c r="H117" s="115" t="s">
        <v>1387</v>
      </c>
      <c r="I117" s="166">
        <f t="shared" si="24"/>
        <v>0</v>
      </c>
      <c r="J117" s="167" t="s">
        <v>57</v>
      </c>
      <c r="K117" s="992"/>
      <c r="L117" s="997"/>
    </row>
    <row r="118" spans="3:12" hidden="1">
      <c r="C118" s="115">
        <f t="shared" si="21"/>
        <v>3158</v>
      </c>
      <c r="D118" s="115">
        <f t="shared" si="22"/>
        <v>5</v>
      </c>
      <c r="E118" s="115">
        <f t="shared" si="23"/>
        <v>2017</v>
      </c>
      <c r="F118" s="115">
        <v>4</v>
      </c>
      <c r="G118" s="115" t="s">
        <v>462</v>
      </c>
      <c r="H118" s="115" t="s">
        <v>1388</v>
      </c>
      <c r="I118" s="166">
        <f t="shared" si="24"/>
        <v>0</v>
      </c>
      <c r="J118" s="167" t="s">
        <v>58</v>
      </c>
      <c r="K118" s="992"/>
      <c r="L118" s="997"/>
    </row>
    <row r="119" spans="3:12" hidden="1">
      <c r="C119" s="115">
        <f t="shared" si="21"/>
        <v>3158</v>
      </c>
      <c r="D119" s="115">
        <f t="shared" si="22"/>
        <v>5</v>
      </c>
      <c r="E119" s="115">
        <f t="shared" si="23"/>
        <v>2017</v>
      </c>
      <c r="F119" s="115">
        <v>4</v>
      </c>
      <c r="G119" s="115" t="s">
        <v>462</v>
      </c>
      <c r="H119" s="115" t="s">
        <v>1389</v>
      </c>
      <c r="I119" s="166">
        <f t="shared" si="24"/>
        <v>0</v>
      </c>
      <c r="J119" s="167" t="s">
        <v>59</v>
      </c>
      <c r="K119" s="992"/>
      <c r="L119" s="997"/>
    </row>
    <row r="120" spans="3:12" hidden="1">
      <c r="C120" s="115">
        <f t="shared" si="21"/>
        <v>3158</v>
      </c>
      <c r="D120" s="115">
        <f t="shared" si="22"/>
        <v>5</v>
      </c>
      <c r="E120" s="115">
        <f t="shared" si="23"/>
        <v>2017</v>
      </c>
      <c r="F120" s="115">
        <v>4</v>
      </c>
      <c r="G120" s="115" t="s">
        <v>462</v>
      </c>
      <c r="H120" s="115" t="s">
        <v>1390</v>
      </c>
      <c r="I120" s="166" t="str">
        <f>IF(M25=0,"",M25)</f>
        <v/>
      </c>
      <c r="J120" s="167"/>
      <c r="K120" s="992"/>
      <c r="L120" s="998"/>
    </row>
    <row r="121" spans="3:12" ht="12.75" hidden="1" customHeight="1">
      <c r="C121" s="115">
        <f t="shared" si="21"/>
        <v>3158</v>
      </c>
      <c r="D121" s="204">
        <f t="shared" si="22"/>
        <v>5</v>
      </c>
      <c r="E121" s="204">
        <f t="shared" si="23"/>
        <v>2017</v>
      </c>
      <c r="F121" s="204">
        <v>15</v>
      </c>
      <c r="G121" s="204" t="s">
        <v>462</v>
      </c>
      <c r="H121" s="204" t="s">
        <v>463</v>
      </c>
      <c r="I121" s="205">
        <f>IF(ISBLANK(N5),"",N5)</f>
        <v>0</v>
      </c>
      <c r="J121" s="206" t="s">
        <v>594</v>
      </c>
      <c r="K121" s="992"/>
      <c r="L121" s="999" t="s">
        <v>156</v>
      </c>
    </row>
    <row r="122" spans="3:12" hidden="1">
      <c r="C122" s="115">
        <f t="shared" si="21"/>
        <v>3158</v>
      </c>
      <c r="D122" s="204">
        <f t="shared" si="22"/>
        <v>5</v>
      </c>
      <c r="E122" s="204">
        <f t="shared" si="23"/>
        <v>2017</v>
      </c>
      <c r="F122" s="204">
        <v>15</v>
      </c>
      <c r="G122" s="204" t="s">
        <v>462</v>
      </c>
      <c r="H122" s="204" t="s">
        <v>465</v>
      </c>
      <c r="I122" s="205">
        <f>IF(ISBLANK(N6),"",N6)</f>
        <v>0</v>
      </c>
      <c r="J122" s="206" t="s">
        <v>595</v>
      </c>
      <c r="K122" s="992"/>
      <c r="L122" s="1000"/>
    </row>
    <row r="123" spans="3:12" hidden="1">
      <c r="C123" s="115">
        <f t="shared" si="21"/>
        <v>3158</v>
      </c>
      <c r="D123" s="204">
        <f t="shared" si="22"/>
        <v>5</v>
      </c>
      <c r="E123" s="204">
        <f t="shared" si="23"/>
        <v>2017</v>
      </c>
      <c r="F123" s="204">
        <v>15</v>
      </c>
      <c r="G123" s="204" t="s">
        <v>462</v>
      </c>
      <c r="H123" s="204" t="s">
        <v>466</v>
      </c>
      <c r="I123" s="205">
        <f>IF(ISBLANK(N7),"",N7)</f>
        <v>0</v>
      </c>
      <c r="J123" s="206" t="s">
        <v>596</v>
      </c>
      <c r="K123" s="992"/>
      <c r="L123" s="1000"/>
    </row>
    <row r="124" spans="3:12" hidden="1">
      <c r="C124" s="115">
        <f t="shared" si="21"/>
        <v>3158</v>
      </c>
      <c r="D124" s="204">
        <f t="shared" si="22"/>
        <v>5</v>
      </c>
      <c r="E124" s="204">
        <f t="shared" si="23"/>
        <v>2017</v>
      </c>
      <c r="F124" s="204">
        <v>15</v>
      </c>
      <c r="G124" s="204" t="s">
        <v>462</v>
      </c>
      <c r="H124" s="204" t="s">
        <v>467</v>
      </c>
      <c r="I124" s="205">
        <f>IF(ISBLANK(N8),"",N8)</f>
        <v>0</v>
      </c>
      <c r="J124" s="206" t="s">
        <v>597</v>
      </c>
      <c r="K124" s="992"/>
      <c r="L124" s="1000"/>
    </row>
    <row r="125" spans="3:12" hidden="1">
      <c r="C125" s="115">
        <f t="shared" si="21"/>
        <v>3158</v>
      </c>
      <c r="D125" s="204">
        <f t="shared" si="22"/>
        <v>5</v>
      </c>
      <c r="E125" s="204">
        <f t="shared" si="23"/>
        <v>2017</v>
      </c>
      <c r="F125" s="204">
        <v>15</v>
      </c>
      <c r="G125" s="204" t="s">
        <v>462</v>
      </c>
      <c r="H125" s="204" t="s">
        <v>455</v>
      </c>
      <c r="I125" s="205" t="str">
        <f>IF(N9=0,"",N9)</f>
        <v/>
      </c>
      <c r="J125" s="206"/>
      <c r="K125" s="992"/>
      <c r="L125" s="1000"/>
    </row>
    <row r="126" spans="3:12" hidden="1">
      <c r="C126" s="115">
        <f t="shared" si="21"/>
        <v>3158</v>
      </c>
      <c r="D126" s="204">
        <f t="shared" si="22"/>
        <v>5</v>
      </c>
      <c r="E126" s="204">
        <f t="shared" si="23"/>
        <v>2017</v>
      </c>
      <c r="F126" s="204">
        <v>15</v>
      </c>
      <c r="G126" s="204" t="s">
        <v>462</v>
      </c>
      <c r="H126" s="204" t="s">
        <v>468</v>
      </c>
      <c r="I126" s="205">
        <f>IF(ISBLANK(N10),"",N10)</f>
        <v>0</v>
      </c>
      <c r="J126" s="206" t="s">
        <v>599</v>
      </c>
      <c r="K126" s="992"/>
      <c r="L126" s="1000"/>
    </row>
    <row r="127" spans="3:12" hidden="1">
      <c r="C127" s="115">
        <f t="shared" si="21"/>
        <v>3158</v>
      </c>
      <c r="D127" s="204">
        <f t="shared" si="22"/>
        <v>5</v>
      </c>
      <c r="E127" s="204">
        <f t="shared" si="23"/>
        <v>2017</v>
      </c>
      <c r="F127" s="204">
        <v>15</v>
      </c>
      <c r="G127" s="204" t="s">
        <v>462</v>
      </c>
      <c r="H127" s="204" t="s">
        <v>469</v>
      </c>
      <c r="I127" s="205">
        <f>IF(ISBLANK(N11),"",N11)</f>
        <v>0</v>
      </c>
      <c r="J127" s="206" t="s">
        <v>600</v>
      </c>
      <c r="K127" s="992"/>
      <c r="L127" s="1000"/>
    </row>
    <row r="128" spans="3:12" hidden="1">
      <c r="C128" s="115">
        <f t="shared" si="21"/>
        <v>3158</v>
      </c>
      <c r="D128" s="204">
        <f t="shared" si="22"/>
        <v>5</v>
      </c>
      <c r="E128" s="204">
        <f t="shared" si="23"/>
        <v>2017</v>
      </c>
      <c r="F128" s="204">
        <v>15</v>
      </c>
      <c r="G128" s="204" t="s">
        <v>462</v>
      </c>
      <c r="H128" s="204" t="s">
        <v>470</v>
      </c>
      <c r="I128" s="205">
        <f>IF(ISBLANK(N12),"",N12)</f>
        <v>0</v>
      </c>
      <c r="J128" s="206" t="s">
        <v>601</v>
      </c>
      <c r="K128" s="992"/>
      <c r="L128" s="1000"/>
    </row>
    <row r="129" spans="3:12" hidden="1">
      <c r="C129" s="115">
        <f t="shared" si="21"/>
        <v>3158</v>
      </c>
      <c r="D129" s="204">
        <f t="shared" si="22"/>
        <v>5</v>
      </c>
      <c r="E129" s="204">
        <f t="shared" si="23"/>
        <v>2017</v>
      </c>
      <c r="F129" s="204">
        <v>15</v>
      </c>
      <c r="G129" s="204" t="s">
        <v>462</v>
      </c>
      <c r="H129" s="204" t="s">
        <v>72</v>
      </c>
      <c r="I129" s="205" t="str">
        <f>IF(N13=0,"",N13)</f>
        <v/>
      </c>
      <c r="J129" s="206"/>
      <c r="K129" s="992"/>
      <c r="L129" s="1000"/>
    </row>
    <row r="130" spans="3:12" hidden="1">
      <c r="C130" s="115">
        <f t="shared" si="21"/>
        <v>3158</v>
      </c>
      <c r="D130" s="204">
        <f t="shared" si="22"/>
        <v>5</v>
      </c>
      <c r="E130" s="204">
        <f t="shared" si="23"/>
        <v>2017</v>
      </c>
      <c r="F130" s="204">
        <v>15</v>
      </c>
      <c r="G130" s="204" t="s">
        <v>462</v>
      </c>
      <c r="H130" s="204" t="s">
        <v>73</v>
      </c>
      <c r="I130" s="205">
        <f>IF(ISBLANK(N14),"",N14)</f>
        <v>0</v>
      </c>
      <c r="J130" s="206" t="s">
        <v>603</v>
      </c>
      <c r="K130" s="992"/>
      <c r="L130" s="1000"/>
    </row>
    <row r="131" spans="3:12" hidden="1">
      <c r="C131" s="115">
        <f t="shared" si="21"/>
        <v>3158</v>
      </c>
      <c r="D131" s="204">
        <f t="shared" si="22"/>
        <v>5</v>
      </c>
      <c r="E131" s="204">
        <f t="shared" si="23"/>
        <v>2017</v>
      </c>
      <c r="F131" s="204">
        <v>15</v>
      </c>
      <c r="G131" s="204" t="s">
        <v>462</v>
      </c>
      <c r="H131" s="204" t="s">
        <v>74</v>
      </c>
      <c r="I131" s="205">
        <f>IF(ISBLANK(N15),"",N15)</f>
        <v>0</v>
      </c>
      <c r="J131" s="206" t="s">
        <v>60</v>
      </c>
      <c r="K131" s="992"/>
      <c r="L131" s="1000"/>
    </row>
    <row r="132" spans="3:12" hidden="1">
      <c r="C132" s="115">
        <f t="shared" si="21"/>
        <v>3158</v>
      </c>
      <c r="D132" s="204">
        <f t="shared" si="22"/>
        <v>5</v>
      </c>
      <c r="E132" s="204">
        <f t="shared" si="23"/>
        <v>2017</v>
      </c>
      <c r="F132" s="204">
        <v>15</v>
      </c>
      <c r="G132" s="204" t="s">
        <v>462</v>
      </c>
      <c r="H132" s="204" t="s">
        <v>75</v>
      </c>
      <c r="I132" s="205">
        <f>IF(ISBLANK(N16),"",N16)</f>
        <v>0</v>
      </c>
      <c r="J132" s="206" t="s">
        <v>61</v>
      </c>
      <c r="K132" s="992"/>
      <c r="L132" s="1000"/>
    </row>
    <row r="133" spans="3:12" hidden="1">
      <c r="C133" s="115">
        <f t="shared" si="21"/>
        <v>3158</v>
      </c>
      <c r="D133" s="204">
        <f t="shared" si="22"/>
        <v>5</v>
      </c>
      <c r="E133" s="204">
        <f t="shared" si="23"/>
        <v>2017</v>
      </c>
      <c r="F133" s="204">
        <v>15</v>
      </c>
      <c r="G133" s="204" t="s">
        <v>462</v>
      </c>
      <c r="H133" s="204" t="s">
        <v>76</v>
      </c>
      <c r="I133" s="205" t="str">
        <f>IF(N17=0,"",N17)</f>
        <v/>
      </c>
      <c r="J133" s="206"/>
      <c r="K133" s="992"/>
      <c r="L133" s="1000"/>
    </row>
    <row r="134" spans="3:12" hidden="1">
      <c r="C134" s="115">
        <f t="shared" si="21"/>
        <v>3158</v>
      </c>
      <c r="D134" s="204">
        <f t="shared" si="22"/>
        <v>5</v>
      </c>
      <c r="E134" s="204">
        <f t="shared" si="23"/>
        <v>2017</v>
      </c>
      <c r="F134" s="204">
        <v>15</v>
      </c>
      <c r="G134" s="204" t="s">
        <v>462</v>
      </c>
      <c r="H134" s="204" t="s">
        <v>1386</v>
      </c>
      <c r="I134" s="205">
        <f t="shared" ref="I134:I139" si="25">IF(ISBLANK(N19),"",N19)</f>
        <v>0</v>
      </c>
      <c r="J134" s="206" t="s">
        <v>63</v>
      </c>
      <c r="K134" s="992"/>
      <c r="L134" s="1000"/>
    </row>
    <row r="135" spans="3:12" hidden="1">
      <c r="C135" s="115">
        <f t="shared" si="21"/>
        <v>3158</v>
      </c>
      <c r="D135" s="204">
        <f t="shared" si="22"/>
        <v>5</v>
      </c>
      <c r="E135" s="204">
        <f t="shared" si="23"/>
        <v>2017</v>
      </c>
      <c r="F135" s="204">
        <v>15</v>
      </c>
      <c r="G135" s="204" t="s">
        <v>462</v>
      </c>
      <c r="H135" s="204" t="s">
        <v>458</v>
      </c>
      <c r="I135" s="205">
        <f t="shared" si="25"/>
        <v>0</v>
      </c>
      <c r="J135" s="206" t="s">
        <v>64</v>
      </c>
      <c r="K135" s="992"/>
      <c r="L135" s="1000"/>
    </row>
    <row r="136" spans="3:12" hidden="1">
      <c r="C136" s="115">
        <f t="shared" si="21"/>
        <v>3158</v>
      </c>
      <c r="D136" s="204">
        <f t="shared" si="22"/>
        <v>5</v>
      </c>
      <c r="E136" s="204">
        <f t="shared" si="23"/>
        <v>2017</v>
      </c>
      <c r="F136" s="204">
        <v>15</v>
      </c>
      <c r="G136" s="204" t="s">
        <v>462</v>
      </c>
      <c r="H136" s="204" t="s">
        <v>460</v>
      </c>
      <c r="I136" s="205">
        <f t="shared" si="25"/>
        <v>0</v>
      </c>
      <c r="J136" s="206" t="s">
        <v>65</v>
      </c>
      <c r="K136" s="992"/>
      <c r="L136" s="1000"/>
    </row>
    <row r="137" spans="3:12" hidden="1">
      <c r="C137" s="115">
        <f t="shared" si="21"/>
        <v>3158</v>
      </c>
      <c r="D137" s="204">
        <f t="shared" si="22"/>
        <v>5</v>
      </c>
      <c r="E137" s="204">
        <f t="shared" si="23"/>
        <v>2017</v>
      </c>
      <c r="F137" s="204">
        <v>15</v>
      </c>
      <c r="G137" s="204" t="s">
        <v>462</v>
      </c>
      <c r="H137" s="204" t="s">
        <v>1387</v>
      </c>
      <c r="I137" s="205">
        <f t="shared" si="25"/>
        <v>0</v>
      </c>
      <c r="J137" s="206" t="s">
        <v>66</v>
      </c>
      <c r="K137" s="992"/>
      <c r="L137" s="1000"/>
    </row>
    <row r="138" spans="3:12" hidden="1">
      <c r="C138" s="115">
        <f t="shared" si="21"/>
        <v>3158</v>
      </c>
      <c r="D138" s="204">
        <f t="shared" si="22"/>
        <v>5</v>
      </c>
      <c r="E138" s="204">
        <f t="shared" si="23"/>
        <v>2017</v>
      </c>
      <c r="F138" s="204">
        <v>15</v>
      </c>
      <c r="G138" s="204" t="s">
        <v>462</v>
      </c>
      <c r="H138" s="204" t="s">
        <v>1388</v>
      </c>
      <c r="I138" s="205">
        <f t="shared" si="25"/>
        <v>0</v>
      </c>
      <c r="J138" s="206" t="s">
        <v>67</v>
      </c>
      <c r="K138" s="992"/>
      <c r="L138" s="1000"/>
    </row>
    <row r="139" spans="3:12" hidden="1">
      <c r="C139" s="115">
        <f t="shared" si="21"/>
        <v>3158</v>
      </c>
      <c r="D139" s="204">
        <f t="shared" si="22"/>
        <v>5</v>
      </c>
      <c r="E139" s="204">
        <f t="shared" si="23"/>
        <v>2017</v>
      </c>
      <c r="F139" s="204">
        <v>15</v>
      </c>
      <c r="G139" s="204" t="s">
        <v>462</v>
      </c>
      <c r="H139" s="204" t="s">
        <v>1389</v>
      </c>
      <c r="I139" s="205">
        <f t="shared" si="25"/>
        <v>0</v>
      </c>
      <c r="J139" s="206" t="s">
        <v>68</v>
      </c>
      <c r="K139" s="992"/>
      <c r="L139" s="1000"/>
    </row>
    <row r="140" spans="3:12" hidden="1">
      <c r="C140" s="115">
        <f t="shared" si="21"/>
        <v>3158</v>
      </c>
      <c r="D140" s="204">
        <f t="shared" si="22"/>
        <v>5</v>
      </c>
      <c r="E140" s="204">
        <f t="shared" si="23"/>
        <v>2017</v>
      </c>
      <c r="F140" s="204">
        <v>15</v>
      </c>
      <c r="G140" s="204" t="s">
        <v>462</v>
      </c>
      <c r="H140" s="204" t="s">
        <v>1390</v>
      </c>
      <c r="I140" s="205" t="str">
        <f>IF(N25=0,"",N25)</f>
        <v/>
      </c>
      <c r="J140" s="206"/>
      <c r="K140" s="992"/>
      <c r="L140" s="1001"/>
    </row>
    <row r="141" spans="3:12" ht="12.75" hidden="1" customHeight="1">
      <c r="C141" s="115">
        <f t="shared" si="21"/>
        <v>3158</v>
      </c>
      <c r="D141" s="115">
        <f t="shared" si="22"/>
        <v>5</v>
      </c>
      <c r="E141" s="115">
        <f t="shared" si="23"/>
        <v>2017</v>
      </c>
      <c r="F141" s="115">
        <v>5</v>
      </c>
      <c r="G141" s="115" t="s">
        <v>462</v>
      </c>
      <c r="H141" s="115" t="s">
        <v>463</v>
      </c>
      <c r="I141" s="166">
        <f>IF(ISBLANK(O5),"",O5)</f>
        <v>227427.32334215351</v>
      </c>
      <c r="J141" s="167" t="s">
        <v>605</v>
      </c>
      <c r="K141" s="992"/>
      <c r="L141" s="996" t="s">
        <v>427</v>
      </c>
    </row>
    <row r="142" spans="3:12" hidden="1">
      <c r="C142" s="115">
        <f t="shared" si="21"/>
        <v>3158</v>
      </c>
      <c r="D142" s="115">
        <f t="shared" si="22"/>
        <v>5</v>
      </c>
      <c r="E142" s="115">
        <f t="shared" si="23"/>
        <v>2017</v>
      </c>
      <c r="F142" s="115">
        <v>5</v>
      </c>
      <c r="G142" s="115" t="s">
        <v>462</v>
      </c>
      <c r="H142" s="115" t="s">
        <v>465</v>
      </c>
      <c r="I142" s="166">
        <f>IF(ISBLANK(O6),"",O6)</f>
        <v>30114.390186657263</v>
      </c>
      <c r="J142" s="167" t="s">
        <v>606</v>
      </c>
      <c r="K142" s="992"/>
      <c r="L142" s="997"/>
    </row>
    <row r="143" spans="3:12" hidden="1">
      <c r="C143" s="115">
        <f t="shared" si="21"/>
        <v>3158</v>
      </c>
      <c r="D143" s="115">
        <f t="shared" si="22"/>
        <v>5</v>
      </c>
      <c r="E143" s="115">
        <f t="shared" si="23"/>
        <v>2017</v>
      </c>
      <c r="F143" s="115">
        <v>5</v>
      </c>
      <c r="G143" s="115" t="s">
        <v>462</v>
      </c>
      <c r="H143" s="115" t="s">
        <v>466</v>
      </c>
      <c r="I143" s="166">
        <f>IF(ISBLANK(O7),"",O7)</f>
        <v>2068.6784397566025</v>
      </c>
      <c r="J143" s="167" t="s">
        <v>607</v>
      </c>
      <c r="K143" s="992"/>
      <c r="L143" s="997"/>
    </row>
    <row r="144" spans="3:12" hidden="1">
      <c r="C144" s="115">
        <f t="shared" si="21"/>
        <v>3158</v>
      </c>
      <c r="D144" s="115">
        <f t="shared" si="22"/>
        <v>5</v>
      </c>
      <c r="E144" s="115">
        <f t="shared" si="23"/>
        <v>2017</v>
      </c>
      <c r="F144" s="115">
        <v>5</v>
      </c>
      <c r="G144" s="115" t="s">
        <v>462</v>
      </c>
      <c r="H144" s="115" t="s">
        <v>467</v>
      </c>
      <c r="I144" s="166">
        <f>IF(ISBLANK(O8),"",O8)</f>
        <v>0</v>
      </c>
      <c r="J144" s="167" t="s">
        <v>608</v>
      </c>
      <c r="K144" s="992"/>
      <c r="L144" s="997"/>
    </row>
    <row r="145" spans="3:12" hidden="1">
      <c r="C145" s="115">
        <f t="shared" si="21"/>
        <v>3158</v>
      </c>
      <c r="D145" s="115">
        <f t="shared" si="22"/>
        <v>5</v>
      </c>
      <c r="E145" s="115">
        <f t="shared" si="23"/>
        <v>2017</v>
      </c>
      <c r="F145" s="115">
        <v>5</v>
      </c>
      <c r="G145" s="115" t="s">
        <v>462</v>
      </c>
      <c r="H145" s="115" t="s">
        <v>455</v>
      </c>
      <c r="I145" s="166">
        <f>IF(O9=0,"",O9)</f>
        <v>259610.39196856736</v>
      </c>
      <c r="J145" s="167"/>
      <c r="K145" s="992"/>
      <c r="L145" s="997"/>
    </row>
    <row r="146" spans="3:12" hidden="1">
      <c r="C146" s="115">
        <f t="shared" si="21"/>
        <v>3158</v>
      </c>
      <c r="D146" s="115">
        <f t="shared" si="22"/>
        <v>5</v>
      </c>
      <c r="E146" s="115">
        <f t="shared" si="23"/>
        <v>2017</v>
      </c>
      <c r="F146" s="115">
        <v>5</v>
      </c>
      <c r="G146" s="115" t="s">
        <v>462</v>
      </c>
      <c r="H146" s="115" t="s">
        <v>468</v>
      </c>
      <c r="I146" s="166">
        <f>IF(ISBLANK(O10),"",O10)</f>
        <v>0</v>
      </c>
      <c r="J146" s="167" t="s">
        <v>610</v>
      </c>
      <c r="K146" s="992"/>
      <c r="L146" s="997"/>
    </row>
    <row r="147" spans="3:12" hidden="1">
      <c r="C147" s="115">
        <f t="shared" si="21"/>
        <v>3158</v>
      </c>
      <c r="D147" s="115">
        <f t="shared" si="22"/>
        <v>5</v>
      </c>
      <c r="E147" s="115">
        <f t="shared" si="23"/>
        <v>2017</v>
      </c>
      <c r="F147" s="115">
        <v>5</v>
      </c>
      <c r="G147" s="115" t="s">
        <v>462</v>
      </c>
      <c r="H147" s="115" t="s">
        <v>469</v>
      </c>
      <c r="I147" s="166">
        <f>IF(ISBLANK(O11),"",O11)</f>
        <v>167265.66</v>
      </c>
      <c r="J147" s="167" t="s">
        <v>611</v>
      </c>
      <c r="K147" s="992"/>
      <c r="L147" s="997"/>
    </row>
    <row r="148" spans="3:12" hidden="1">
      <c r="C148" s="115">
        <f t="shared" si="21"/>
        <v>3158</v>
      </c>
      <c r="D148" s="115">
        <f t="shared" si="22"/>
        <v>5</v>
      </c>
      <c r="E148" s="115">
        <f t="shared" si="23"/>
        <v>2017</v>
      </c>
      <c r="F148" s="115">
        <v>5</v>
      </c>
      <c r="G148" s="115" t="s">
        <v>462</v>
      </c>
      <c r="H148" s="115" t="s">
        <v>470</v>
      </c>
      <c r="I148" s="166">
        <f>IF(ISBLANK(O12),"",O12)</f>
        <v>0</v>
      </c>
      <c r="J148" s="167" t="s">
        <v>612</v>
      </c>
      <c r="K148" s="992"/>
      <c r="L148" s="997"/>
    </row>
    <row r="149" spans="3:12" hidden="1">
      <c r="C149" s="115">
        <f t="shared" si="21"/>
        <v>3158</v>
      </c>
      <c r="D149" s="115">
        <f t="shared" si="22"/>
        <v>5</v>
      </c>
      <c r="E149" s="115">
        <f t="shared" si="23"/>
        <v>2017</v>
      </c>
      <c r="F149" s="115">
        <v>5</v>
      </c>
      <c r="G149" s="115" t="s">
        <v>462</v>
      </c>
      <c r="H149" s="115" t="s">
        <v>72</v>
      </c>
      <c r="I149" s="166">
        <f>IF(O13=0,"",O13)</f>
        <v>426876.05196856736</v>
      </c>
      <c r="J149" s="167"/>
      <c r="K149" s="992"/>
      <c r="L149" s="997"/>
    </row>
    <row r="150" spans="3:12" hidden="1">
      <c r="C150" s="115">
        <f t="shared" si="21"/>
        <v>3158</v>
      </c>
      <c r="D150" s="115">
        <f t="shared" si="22"/>
        <v>5</v>
      </c>
      <c r="E150" s="115">
        <f t="shared" si="23"/>
        <v>2017</v>
      </c>
      <c r="F150" s="115">
        <v>5</v>
      </c>
      <c r="G150" s="115" t="s">
        <v>462</v>
      </c>
      <c r="H150" s="115" t="s">
        <v>73</v>
      </c>
      <c r="I150" s="166">
        <f>IF(ISBLANK(O14),"",O14)</f>
        <v>0</v>
      </c>
      <c r="J150" s="167" t="s">
        <v>614</v>
      </c>
      <c r="K150" s="992"/>
      <c r="L150" s="997"/>
    </row>
    <row r="151" spans="3:12" hidden="1">
      <c r="C151" s="115">
        <f t="shared" si="21"/>
        <v>3158</v>
      </c>
      <c r="D151" s="115">
        <f t="shared" si="22"/>
        <v>5</v>
      </c>
      <c r="E151" s="115">
        <f t="shared" si="23"/>
        <v>2017</v>
      </c>
      <c r="F151" s="115">
        <v>5</v>
      </c>
      <c r="G151" s="115" t="s">
        <v>462</v>
      </c>
      <c r="H151" s="115" t="s">
        <v>74</v>
      </c>
      <c r="I151" s="166">
        <f>IF(ISBLANK(O15),"",O15)</f>
        <v>39831.703903451933</v>
      </c>
      <c r="J151" s="167" t="s">
        <v>70</v>
      </c>
      <c r="K151" s="992"/>
      <c r="L151" s="997"/>
    </row>
    <row r="152" spans="3:12" hidden="1">
      <c r="C152" s="115">
        <f t="shared" si="21"/>
        <v>3158</v>
      </c>
      <c r="D152" s="115">
        <f t="shared" si="22"/>
        <v>5</v>
      </c>
      <c r="E152" s="115">
        <f t="shared" si="23"/>
        <v>2017</v>
      </c>
      <c r="F152" s="115">
        <v>5</v>
      </c>
      <c r="G152" s="115" t="s">
        <v>462</v>
      </c>
      <c r="H152" s="115" t="s">
        <v>75</v>
      </c>
      <c r="I152" s="166">
        <f>IF(ISBLANK(O16),"",O16)</f>
        <v>180717.84564551388</v>
      </c>
      <c r="J152" s="167" t="s">
        <v>71</v>
      </c>
      <c r="K152" s="992"/>
      <c r="L152" s="997"/>
    </row>
    <row r="153" spans="3:12" hidden="1">
      <c r="C153" s="115">
        <f t="shared" si="21"/>
        <v>3158</v>
      </c>
      <c r="D153" s="115">
        <f t="shared" si="22"/>
        <v>5</v>
      </c>
      <c r="E153" s="115">
        <f t="shared" si="23"/>
        <v>2017</v>
      </c>
      <c r="F153" s="115">
        <v>5</v>
      </c>
      <c r="G153" s="115" t="s">
        <v>462</v>
      </c>
      <c r="H153" s="115" t="s">
        <v>76</v>
      </c>
      <c r="I153" s="166">
        <f>IF(O17=0,"",O17)</f>
        <v>220549.54954896582</v>
      </c>
      <c r="J153" s="167"/>
      <c r="K153" s="992"/>
      <c r="L153" s="997"/>
    </row>
    <row r="154" spans="3:12" hidden="1">
      <c r="C154" s="115">
        <f t="shared" si="21"/>
        <v>3158</v>
      </c>
      <c r="D154" s="115">
        <f t="shared" si="22"/>
        <v>5</v>
      </c>
      <c r="E154" s="115">
        <f t="shared" si="23"/>
        <v>2017</v>
      </c>
      <c r="F154" s="115">
        <v>5</v>
      </c>
      <c r="G154" s="115" t="s">
        <v>462</v>
      </c>
      <c r="H154" s="115" t="s">
        <v>1386</v>
      </c>
      <c r="I154" s="166">
        <f t="shared" ref="I154:I159" si="26">IF(ISBLANK(O19),"",O19)</f>
        <v>49931.05</v>
      </c>
      <c r="J154" s="167" t="s">
        <v>1546</v>
      </c>
      <c r="K154" s="992"/>
      <c r="L154" s="997"/>
    </row>
    <row r="155" spans="3:12" hidden="1">
      <c r="C155" s="115">
        <f t="shared" si="21"/>
        <v>3158</v>
      </c>
      <c r="D155" s="115">
        <f t="shared" si="22"/>
        <v>5</v>
      </c>
      <c r="E155" s="115">
        <f t="shared" si="23"/>
        <v>2017</v>
      </c>
      <c r="F155" s="115">
        <v>5</v>
      </c>
      <c r="G155" s="115" t="s">
        <v>462</v>
      </c>
      <c r="H155" s="115" t="s">
        <v>458</v>
      </c>
      <c r="I155" s="166">
        <f t="shared" si="26"/>
        <v>200036</v>
      </c>
      <c r="J155" s="167" t="s">
        <v>1547</v>
      </c>
      <c r="K155" s="992"/>
      <c r="L155" s="997"/>
    </row>
    <row r="156" spans="3:12" hidden="1">
      <c r="C156" s="115">
        <f t="shared" si="21"/>
        <v>3158</v>
      </c>
      <c r="D156" s="115">
        <f t="shared" si="22"/>
        <v>5</v>
      </c>
      <c r="E156" s="115">
        <f t="shared" si="23"/>
        <v>2017</v>
      </c>
      <c r="F156" s="115">
        <v>5</v>
      </c>
      <c r="G156" s="115" t="s">
        <v>462</v>
      </c>
      <c r="H156" s="115" t="s">
        <v>460</v>
      </c>
      <c r="I156" s="166">
        <f t="shared" si="26"/>
        <v>148049.21829734341</v>
      </c>
      <c r="J156" s="167" t="s">
        <v>1548</v>
      </c>
      <c r="K156" s="992"/>
      <c r="L156" s="997"/>
    </row>
    <row r="157" spans="3:12" hidden="1">
      <c r="C157" s="115">
        <f t="shared" si="21"/>
        <v>3158</v>
      </c>
      <c r="D157" s="115">
        <f t="shared" si="22"/>
        <v>5</v>
      </c>
      <c r="E157" s="115">
        <f t="shared" si="23"/>
        <v>2017</v>
      </c>
      <c r="F157" s="115">
        <v>5</v>
      </c>
      <c r="G157" s="115" t="s">
        <v>462</v>
      </c>
      <c r="H157" s="115" t="s">
        <v>1387</v>
      </c>
      <c r="I157" s="166">
        <f t="shared" si="26"/>
        <v>26470</v>
      </c>
      <c r="J157" s="167" t="s">
        <v>1549</v>
      </c>
      <c r="K157" s="992"/>
      <c r="L157" s="997"/>
    </row>
    <row r="158" spans="3:12" hidden="1">
      <c r="C158" s="115">
        <f t="shared" si="21"/>
        <v>3158</v>
      </c>
      <c r="D158" s="115">
        <f t="shared" si="22"/>
        <v>5</v>
      </c>
      <c r="E158" s="115">
        <f t="shared" si="23"/>
        <v>2017</v>
      </c>
      <c r="F158" s="115">
        <v>5</v>
      </c>
      <c r="G158" s="115" t="s">
        <v>462</v>
      </c>
      <c r="H158" s="115" t="s">
        <v>1388</v>
      </c>
      <c r="I158" s="166">
        <f t="shared" si="26"/>
        <v>219041.17513670147</v>
      </c>
      <c r="J158" s="167" t="s">
        <v>1550</v>
      </c>
      <c r="K158" s="992"/>
      <c r="L158" s="997"/>
    </row>
    <row r="159" spans="3:12" hidden="1">
      <c r="C159" s="115">
        <f t="shared" si="21"/>
        <v>3158</v>
      </c>
      <c r="D159" s="115">
        <f t="shared" si="22"/>
        <v>5</v>
      </c>
      <c r="E159" s="115">
        <f t="shared" si="23"/>
        <v>2017</v>
      </c>
      <c r="F159" s="115">
        <v>5</v>
      </c>
      <c r="G159" s="115" t="s">
        <v>462</v>
      </c>
      <c r="H159" s="115" t="s">
        <v>1389</v>
      </c>
      <c r="I159" s="166">
        <f t="shared" si="26"/>
        <v>0</v>
      </c>
      <c r="J159" s="167" t="s">
        <v>1551</v>
      </c>
      <c r="K159" s="992"/>
      <c r="L159" s="997"/>
    </row>
    <row r="160" spans="3:12" hidden="1">
      <c r="C160" s="115">
        <f t="shared" si="21"/>
        <v>3158</v>
      </c>
      <c r="D160" s="115">
        <f t="shared" si="22"/>
        <v>5</v>
      </c>
      <c r="E160" s="115">
        <f t="shared" si="23"/>
        <v>2017</v>
      </c>
      <c r="F160" s="115">
        <v>5</v>
      </c>
      <c r="G160" s="115" t="s">
        <v>462</v>
      </c>
      <c r="H160" s="115" t="s">
        <v>1390</v>
      </c>
      <c r="I160" s="166">
        <f>IF(O25=0,"",O25)</f>
        <v>643527.44343404484</v>
      </c>
      <c r="J160" s="167"/>
      <c r="K160" s="992"/>
      <c r="L160" s="998"/>
    </row>
    <row r="161" spans="3:12" ht="12.75" hidden="1" customHeight="1">
      <c r="C161" s="115">
        <f t="shared" si="21"/>
        <v>3158</v>
      </c>
      <c r="D161" s="115">
        <f t="shared" si="22"/>
        <v>5</v>
      </c>
      <c r="E161" s="115">
        <f t="shared" si="23"/>
        <v>2017</v>
      </c>
      <c r="F161" s="115">
        <v>6</v>
      </c>
      <c r="G161" s="115" t="s">
        <v>462</v>
      </c>
      <c r="H161" s="115" t="s">
        <v>463</v>
      </c>
      <c r="I161" s="166">
        <f>IF(ISBLANK(P5),"",P5)</f>
        <v>35858.253242061524</v>
      </c>
      <c r="J161" s="167" t="s">
        <v>616</v>
      </c>
      <c r="K161" s="992"/>
      <c r="L161" s="996" t="s">
        <v>428</v>
      </c>
    </row>
    <row r="162" spans="3:12" hidden="1">
      <c r="C162" s="115">
        <f t="shared" si="21"/>
        <v>3158</v>
      </c>
      <c r="D162" s="115">
        <f t="shared" si="22"/>
        <v>5</v>
      </c>
      <c r="E162" s="115">
        <f t="shared" si="23"/>
        <v>2017</v>
      </c>
      <c r="F162" s="115">
        <v>6</v>
      </c>
      <c r="G162" s="115" t="s">
        <v>462</v>
      </c>
      <c r="H162" s="115" t="s">
        <v>465</v>
      </c>
      <c r="I162" s="166">
        <f>IF(ISBLANK(P6),"",P6)</f>
        <v>4748.1077193122774</v>
      </c>
      <c r="J162" s="167" t="s">
        <v>617</v>
      </c>
      <c r="K162" s="992"/>
      <c r="L162" s="997"/>
    </row>
    <row r="163" spans="3:12" hidden="1">
      <c r="C163" s="115">
        <f t="shared" si="21"/>
        <v>3158</v>
      </c>
      <c r="D163" s="115">
        <f t="shared" si="22"/>
        <v>5</v>
      </c>
      <c r="E163" s="115">
        <f t="shared" si="23"/>
        <v>2017</v>
      </c>
      <c r="F163" s="115">
        <v>6</v>
      </c>
      <c r="G163" s="115" t="s">
        <v>462</v>
      </c>
      <c r="H163" s="115" t="s">
        <v>466</v>
      </c>
      <c r="I163" s="166">
        <f>IF(ISBLANK(P7),"",P7)</f>
        <v>326.1665937016104</v>
      </c>
      <c r="J163" s="167" t="s">
        <v>618</v>
      </c>
      <c r="K163" s="992"/>
      <c r="L163" s="997"/>
    </row>
    <row r="164" spans="3:12" hidden="1">
      <c r="C164" s="115">
        <f t="shared" si="21"/>
        <v>3158</v>
      </c>
      <c r="D164" s="115">
        <f t="shared" si="22"/>
        <v>5</v>
      </c>
      <c r="E164" s="115">
        <f t="shared" si="23"/>
        <v>2017</v>
      </c>
      <c r="F164" s="115">
        <v>6</v>
      </c>
      <c r="G164" s="115" t="s">
        <v>462</v>
      </c>
      <c r="H164" s="115" t="s">
        <v>467</v>
      </c>
      <c r="I164" s="166">
        <f>IF(ISBLANK(P8),"",P8)</f>
        <v>0</v>
      </c>
      <c r="J164" s="167" t="s">
        <v>619</v>
      </c>
      <c r="K164" s="992"/>
      <c r="L164" s="997"/>
    </row>
    <row r="165" spans="3:12" hidden="1">
      <c r="C165" s="115">
        <f t="shared" si="21"/>
        <v>3158</v>
      </c>
      <c r="D165" s="115">
        <f t="shared" si="22"/>
        <v>5</v>
      </c>
      <c r="E165" s="115">
        <f t="shared" si="23"/>
        <v>2017</v>
      </c>
      <c r="F165" s="115">
        <v>6</v>
      </c>
      <c r="G165" s="115" t="s">
        <v>462</v>
      </c>
      <c r="H165" s="115" t="s">
        <v>455</v>
      </c>
      <c r="I165" s="166">
        <f>IF(P9=0,"",P9)</f>
        <v>40932.527555075409</v>
      </c>
      <c r="J165" s="167"/>
      <c r="K165" s="992"/>
      <c r="L165" s="997"/>
    </row>
    <row r="166" spans="3:12" hidden="1">
      <c r="C166" s="115">
        <f t="shared" si="21"/>
        <v>3158</v>
      </c>
      <c r="D166" s="115">
        <f t="shared" si="22"/>
        <v>5</v>
      </c>
      <c r="E166" s="115">
        <f t="shared" si="23"/>
        <v>2017</v>
      </c>
      <c r="F166" s="115">
        <v>6</v>
      </c>
      <c r="G166" s="115" t="s">
        <v>462</v>
      </c>
      <c r="H166" s="115" t="s">
        <v>468</v>
      </c>
      <c r="I166" s="166">
        <f>IF(ISBLANK(P10),"",P10)</f>
        <v>0</v>
      </c>
      <c r="J166" s="167" t="s">
        <v>621</v>
      </c>
      <c r="K166" s="992"/>
      <c r="L166" s="997"/>
    </row>
    <row r="167" spans="3:12" hidden="1">
      <c r="C167" s="115">
        <f t="shared" si="21"/>
        <v>3158</v>
      </c>
      <c r="D167" s="115">
        <f t="shared" si="22"/>
        <v>5</v>
      </c>
      <c r="E167" s="115">
        <f t="shared" si="23"/>
        <v>2017</v>
      </c>
      <c r="F167" s="115">
        <v>6</v>
      </c>
      <c r="G167" s="115" t="s">
        <v>462</v>
      </c>
      <c r="H167" s="115" t="s">
        <v>469</v>
      </c>
      <c r="I167" s="166">
        <f>IF(ISBLANK(P11),"",P11)</f>
        <v>28497.15</v>
      </c>
      <c r="J167" s="167" t="s">
        <v>622</v>
      </c>
      <c r="K167" s="992"/>
      <c r="L167" s="997"/>
    </row>
    <row r="168" spans="3:12" hidden="1">
      <c r="C168" s="115">
        <f t="shared" si="21"/>
        <v>3158</v>
      </c>
      <c r="D168" s="115">
        <f t="shared" si="22"/>
        <v>5</v>
      </c>
      <c r="E168" s="115">
        <f t="shared" si="23"/>
        <v>2017</v>
      </c>
      <c r="F168" s="115">
        <v>6</v>
      </c>
      <c r="G168" s="115" t="s">
        <v>462</v>
      </c>
      <c r="H168" s="115" t="s">
        <v>470</v>
      </c>
      <c r="I168" s="166">
        <f>IF(ISBLANK(P12),"",P12)</f>
        <v>0</v>
      </c>
      <c r="J168" s="167" t="s">
        <v>623</v>
      </c>
      <c r="K168" s="992"/>
      <c r="L168" s="997"/>
    </row>
    <row r="169" spans="3:12" hidden="1">
      <c r="C169" s="115">
        <f t="shared" ref="C169:C232" si="27">P$1</f>
        <v>3158</v>
      </c>
      <c r="D169" s="115">
        <f t="shared" si="22"/>
        <v>5</v>
      </c>
      <c r="E169" s="115">
        <f t="shared" si="23"/>
        <v>2017</v>
      </c>
      <c r="F169" s="115">
        <v>6</v>
      </c>
      <c r="G169" s="115" t="s">
        <v>462</v>
      </c>
      <c r="H169" s="115" t="s">
        <v>72</v>
      </c>
      <c r="I169" s="166">
        <f>IF(P13=0,"",P13)</f>
        <v>69429.67755507541</v>
      </c>
      <c r="J169" s="167"/>
      <c r="K169" s="992"/>
      <c r="L169" s="997"/>
    </row>
    <row r="170" spans="3:12" hidden="1">
      <c r="C170" s="115">
        <f t="shared" si="27"/>
        <v>3158</v>
      </c>
      <c r="D170" s="115">
        <f t="shared" ref="D170:D233" si="28">X$1</f>
        <v>5</v>
      </c>
      <c r="E170" s="115">
        <f t="shared" ref="E170:E233" si="29">J$1</f>
        <v>2017</v>
      </c>
      <c r="F170" s="115">
        <v>6</v>
      </c>
      <c r="G170" s="115" t="s">
        <v>462</v>
      </c>
      <c r="H170" s="115" t="s">
        <v>73</v>
      </c>
      <c r="I170" s="166">
        <f>IF(ISBLANK(P14),"",P14)</f>
        <v>0</v>
      </c>
      <c r="J170" s="167" t="s">
        <v>625</v>
      </c>
      <c r="K170" s="992"/>
      <c r="L170" s="997"/>
    </row>
    <row r="171" spans="3:12" hidden="1">
      <c r="C171" s="115">
        <f t="shared" si="27"/>
        <v>3158</v>
      </c>
      <c r="D171" s="115">
        <f t="shared" si="28"/>
        <v>5</v>
      </c>
      <c r="E171" s="115">
        <f t="shared" si="29"/>
        <v>2017</v>
      </c>
      <c r="F171" s="115">
        <v>6</v>
      </c>
      <c r="G171" s="115" t="s">
        <v>462</v>
      </c>
      <c r="H171" s="115" t="s">
        <v>74</v>
      </c>
      <c r="I171" s="166">
        <f>IF(ISBLANK(P15),"",P15)</f>
        <v>6478.4668658094261</v>
      </c>
      <c r="J171" s="167" t="s">
        <v>1552</v>
      </c>
      <c r="K171" s="992"/>
      <c r="L171" s="997"/>
    </row>
    <row r="172" spans="3:12" hidden="1">
      <c r="C172" s="115">
        <f t="shared" si="27"/>
        <v>3158</v>
      </c>
      <c r="D172" s="115">
        <f t="shared" si="28"/>
        <v>5</v>
      </c>
      <c r="E172" s="115">
        <f t="shared" si="29"/>
        <v>2017</v>
      </c>
      <c r="F172" s="115">
        <v>6</v>
      </c>
      <c r="G172" s="115" t="s">
        <v>462</v>
      </c>
      <c r="H172" s="115" t="s">
        <v>75</v>
      </c>
      <c r="I172" s="166">
        <f>IF(ISBLANK(P16),"",P16)</f>
        <v>29393.032693574056</v>
      </c>
      <c r="J172" s="167" t="s">
        <v>1553</v>
      </c>
      <c r="K172" s="992"/>
      <c r="L172" s="997"/>
    </row>
    <row r="173" spans="3:12" hidden="1">
      <c r="C173" s="115">
        <f t="shared" si="27"/>
        <v>3158</v>
      </c>
      <c r="D173" s="115">
        <f t="shared" si="28"/>
        <v>5</v>
      </c>
      <c r="E173" s="115">
        <f t="shared" si="29"/>
        <v>2017</v>
      </c>
      <c r="F173" s="115">
        <v>6</v>
      </c>
      <c r="G173" s="115" t="s">
        <v>462</v>
      </c>
      <c r="H173" s="115" t="s">
        <v>76</v>
      </c>
      <c r="I173" s="166">
        <f>IF(P17=0,"",P17)</f>
        <v>35871.499559383483</v>
      </c>
      <c r="J173" s="167"/>
      <c r="K173" s="992"/>
      <c r="L173" s="997"/>
    </row>
    <row r="174" spans="3:12" hidden="1">
      <c r="C174" s="115">
        <f t="shared" si="27"/>
        <v>3158</v>
      </c>
      <c r="D174" s="115">
        <f t="shared" si="28"/>
        <v>5</v>
      </c>
      <c r="E174" s="115">
        <f t="shared" si="29"/>
        <v>2017</v>
      </c>
      <c r="F174" s="115">
        <v>6</v>
      </c>
      <c r="G174" s="115" t="s">
        <v>462</v>
      </c>
      <c r="H174" s="115" t="s">
        <v>1386</v>
      </c>
      <c r="I174" s="166">
        <f t="shared" ref="I174:I179" si="30">IF(ISBLANK(P19),"",P19)</f>
        <v>3929</v>
      </c>
      <c r="J174" s="167" t="s">
        <v>1555</v>
      </c>
      <c r="K174" s="992"/>
      <c r="L174" s="997"/>
    </row>
    <row r="175" spans="3:12" hidden="1">
      <c r="C175" s="115">
        <f t="shared" si="27"/>
        <v>3158</v>
      </c>
      <c r="D175" s="115">
        <f t="shared" si="28"/>
        <v>5</v>
      </c>
      <c r="E175" s="115">
        <f t="shared" si="29"/>
        <v>2017</v>
      </c>
      <c r="F175" s="115">
        <v>6</v>
      </c>
      <c r="G175" s="115" t="s">
        <v>462</v>
      </c>
      <c r="H175" s="115" t="s">
        <v>458</v>
      </c>
      <c r="I175" s="166">
        <f t="shared" si="30"/>
        <v>0</v>
      </c>
      <c r="J175" s="167" t="s">
        <v>1556</v>
      </c>
      <c r="K175" s="992"/>
      <c r="L175" s="997"/>
    </row>
    <row r="176" spans="3:12" hidden="1">
      <c r="C176" s="115">
        <f t="shared" si="27"/>
        <v>3158</v>
      </c>
      <c r="D176" s="115">
        <f t="shared" si="28"/>
        <v>5</v>
      </c>
      <c r="E176" s="115">
        <f t="shared" si="29"/>
        <v>2017</v>
      </c>
      <c r="F176" s="115">
        <v>6</v>
      </c>
      <c r="G176" s="115" t="s">
        <v>462</v>
      </c>
      <c r="H176" s="115" t="s">
        <v>460</v>
      </c>
      <c r="I176" s="166">
        <f t="shared" si="30"/>
        <v>23342.781702656604</v>
      </c>
      <c r="J176" s="167" t="s">
        <v>1557</v>
      </c>
      <c r="K176" s="992"/>
      <c r="L176" s="997"/>
    </row>
    <row r="177" spans="3:12" hidden="1">
      <c r="C177" s="115">
        <f t="shared" si="27"/>
        <v>3158</v>
      </c>
      <c r="D177" s="115">
        <f t="shared" si="28"/>
        <v>5</v>
      </c>
      <c r="E177" s="115">
        <f t="shared" si="29"/>
        <v>2017</v>
      </c>
      <c r="F177" s="115">
        <v>6</v>
      </c>
      <c r="G177" s="115" t="s">
        <v>462</v>
      </c>
      <c r="H177" s="115" t="s">
        <v>1387</v>
      </c>
      <c r="I177" s="166">
        <f t="shared" si="30"/>
        <v>15000</v>
      </c>
      <c r="J177" s="167" t="s">
        <v>1558</v>
      </c>
      <c r="K177" s="992"/>
      <c r="L177" s="997"/>
    </row>
    <row r="178" spans="3:12" hidden="1">
      <c r="C178" s="115">
        <f t="shared" si="27"/>
        <v>3158</v>
      </c>
      <c r="D178" s="115">
        <f t="shared" si="28"/>
        <v>5</v>
      </c>
      <c r="E178" s="115">
        <f t="shared" si="29"/>
        <v>2017</v>
      </c>
      <c r="F178" s="115">
        <v>6</v>
      </c>
      <c r="G178" s="115" t="s">
        <v>462</v>
      </c>
      <c r="H178" s="115" t="s">
        <v>1388</v>
      </c>
      <c r="I178" s="166">
        <f t="shared" si="30"/>
        <v>35626.168511663913</v>
      </c>
      <c r="J178" s="167" t="s">
        <v>1559</v>
      </c>
      <c r="K178" s="992"/>
      <c r="L178" s="997"/>
    </row>
    <row r="179" spans="3:12" hidden="1">
      <c r="C179" s="115">
        <f t="shared" si="27"/>
        <v>3158</v>
      </c>
      <c r="D179" s="115">
        <f t="shared" si="28"/>
        <v>5</v>
      </c>
      <c r="E179" s="115">
        <f t="shared" si="29"/>
        <v>2017</v>
      </c>
      <c r="F179" s="115">
        <v>6</v>
      </c>
      <c r="G179" s="115" t="s">
        <v>462</v>
      </c>
      <c r="H179" s="115" t="s">
        <v>1389</v>
      </c>
      <c r="I179" s="166">
        <f t="shared" si="30"/>
        <v>0</v>
      </c>
      <c r="J179" s="167" t="s">
        <v>1560</v>
      </c>
      <c r="K179" s="992"/>
      <c r="L179" s="997"/>
    </row>
    <row r="180" spans="3:12" hidden="1">
      <c r="C180" s="115">
        <f t="shared" si="27"/>
        <v>3158</v>
      </c>
      <c r="D180" s="115">
        <f t="shared" si="28"/>
        <v>5</v>
      </c>
      <c r="E180" s="115">
        <f t="shared" si="29"/>
        <v>2017</v>
      </c>
      <c r="F180" s="115">
        <v>6</v>
      </c>
      <c r="G180" s="115" t="s">
        <v>462</v>
      </c>
      <c r="H180" s="115" t="s">
        <v>1390</v>
      </c>
      <c r="I180" s="166">
        <f>IF(P25=0,"",P25)</f>
        <v>77897.950214320517</v>
      </c>
      <c r="J180" s="167"/>
      <c r="K180" s="992"/>
      <c r="L180" s="998"/>
    </row>
    <row r="181" spans="3:12" ht="12.75" hidden="1" customHeight="1">
      <c r="C181" s="115">
        <f t="shared" si="27"/>
        <v>3158</v>
      </c>
      <c r="D181" s="115">
        <f t="shared" si="28"/>
        <v>5</v>
      </c>
      <c r="E181" s="115">
        <f t="shared" si="29"/>
        <v>2017</v>
      </c>
      <c r="F181" s="115">
        <v>7</v>
      </c>
      <c r="G181" s="115" t="s">
        <v>462</v>
      </c>
      <c r="H181" s="115" t="s">
        <v>463</v>
      </c>
      <c r="I181" s="166">
        <f>IF(ISBLANK(Q5),"",Q5)</f>
        <v>0</v>
      </c>
      <c r="J181" s="167" t="s">
        <v>627</v>
      </c>
      <c r="K181" s="992"/>
      <c r="L181" s="996" t="s">
        <v>429</v>
      </c>
    </row>
    <row r="182" spans="3:12" hidden="1">
      <c r="C182" s="115">
        <f t="shared" si="27"/>
        <v>3158</v>
      </c>
      <c r="D182" s="115">
        <f t="shared" si="28"/>
        <v>5</v>
      </c>
      <c r="E182" s="115">
        <f t="shared" si="29"/>
        <v>2017</v>
      </c>
      <c r="F182" s="115">
        <v>7</v>
      </c>
      <c r="G182" s="115" t="s">
        <v>462</v>
      </c>
      <c r="H182" s="115" t="s">
        <v>465</v>
      </c>
      <c r="I182" s="166">
        <f>IF(ISBLANK(Q6),"",Q6)</f>
        <v>0</v>
      </c>
      <c r="J182" s="167" t="s">
        <v>628</v>
      </c>
      <c r="K182" s="992"/>
      <c r="L182" s="997"/>
    </row>
    <row r="183" spans="3:12" hidden="1">
      <c r="C183" s="115">
        <f t="shared" si="27"/>
        <v>3158</v>
      </c>
      <c r="D183" s="115">
        <f t="shared" si="28"/>
        <v>5</v>
      </c>
      <c r="E183" s="115">
        <f t="shared" si="29"/>
        <v>2017</v>
      </c>
      <c r="F183" s="115">
        <v>7</v>
      </c>
      <c r="G183" s="115" t="s">
        <v>462</v>
      </c>
      <c r="H183" s="115" t="s">
        <v>466</v>
      </c>
      <c r="I183" s="166">
        <f>IF(ISBLANK(Q7),"",Q7)</f>
        <v>0</v>
      </c>
      <c r="J183" s="167" t="s">
        <v>629</v>
      </c>
      <c r="K183" s="992"/>
      <c r="L183" s="997"/>
    </row>
    <row r="184" spans="3:12" hidden="1">
      <c r="C184" s="115">
        <f t="shared" si="27"/>
        <v>3158</v>
      </c>
      <c r="D184" s="115">
        <f t="shared" si="28"/>
        <v>5</v>
      </c>
      <c r="E184" s="115">
        <f t="shared" si="29"/>
        <v>2017</v>
      </c>
      <c r="F184" s="115">
        <v>7</v>
      </c>
      <c r="G184" s="115" t="s">
        <v>462</v>
      </c>
      <c r="H184" s="115" t="s">
        <v>467</v>
      </c>
      <c r="I184" s="166">
        <f>IF(ISBLANK(Q8),"",Q8)</f>
        <v>0</v>
      </c>
      <c r="J184" s="167" t="s">
        <v>630</v>
      </c>
      <c r="K184" s="992"/>
      <c r="L184" s="997"/>
    </row>
    <row r="185" spans="3:12" hidden="1">
      <c r="C185" s="115">
        <f t="shared" si="27"/>
        <v>3158</v>
      </c>
      <c r="D185" s="115">
        <f t="shared" si="28"/>
        <v>5</v>
      </c>
      <c r="E185" s="115">
        <f t="shared" si="29"/>
        <v>2017</v>
      </c>
      <c r="F185" s="115">
        <v>7</v>
      </c>
      <c r="G185" s="115" t="s">
        <v>462</v>
      </c>
      <c r="H185" s="115" t="s">
        <v>455</v>
      </c>
      <c r="I185" s="166" t="str">
        <f>IF(Q9=0,"",Q9)</f>
        <v/>
      </c>
      <c r="J185" s="167"/>
      <c r="K185" s="992"/>
      <c r="L185" s="997"/>
    </row>
    <row r="186" spans="3:12" hidden="1">
      <c r="C186" s="115">
        <f t="shared" si="27"/>
        <v>3158</v>
      </c>
      <c r="D186" s="115">
        <f t="shared" si="28"/>
        <v>5</v>
      </c>
      <c r="E186" s="115">
        <f t="shared" si="29"/>
        <v>2017</v>
      </c>
      <c r="F186" s="115">
        <v>7</v>
      </c>
      <c r="G186" s="115" t="s">
        <v>462</v>
      </c>
      <c r="H186" s="115" t="s">
        <v>468</v>
      </c>
      <c r="I186" s="166">
        <f>IF(ISBLANK(Q10),"",Q10)</f>
        <v>0</v>
      </c>
      <c r="J186" s="167" t="s">
        <v>632</v>
      </c>
      <c r="K186" s="992"/>
      <c r="L186" s="997"/>
    </row>
    <row r="187" spans="3:12" hidden="1">
      <c r="C187" s="115">
        <f t="shared" si="27"/>
        <v>3158</v>
      </c>
      <c r="D187" s="115">
        <f t="shared" si="28"/>
        <v>5</v>
      </c>
      <c r="E187" s="115">
        <f t="shared" si="29"/>
        <v>2017</v>
      </c>
      <c r="F187" s="115">
        <v>7</v>
      </c>
      <c r="G187" s="115" t="s">
        <v>462</v>
      </c>
      <c r="H187" s="115" t="s">
        <v>469</v>
      </c>
      <c r="I187" s="166">
        <f>IF(ISBLANK(Q11),"",Q11)</f>
        <v>0</v>
      </c>
      <c r="J187" s="167" t="s">
        <v>633</v>
      </c>
      <c r="K187" s="992"/>
      <c r="L187" s="997"/>
    </row>
    <row r="188" spans="3:12" hidden="1">
      <c r="C188" s="115">
        <f t="shared" si="27"/>
        <v>3158</v>
      </c>
      <c r="D188" s="115">
        <f t="shared" si="28"/>
        <v>5</v>
      </c>
      <c r="E188" s="115">
        <f t="shared" si="29"/>
        <v>2017</v>
      </c>
      <c r="F188" s="115">
        <v>7</v>
      </c>
      <c r="G188" s="115" t="s">
        <v>462</v>
      </c>
      <c r="H188" s="115" t="s">
        <v>470</v>
      </c>
      <c r="I188" s="166">
        <f>IF(ISBLANK(Q12),"",Q12)</f>
        <v>0</v>
      </c>
      <c r="J188" s="167" t="s">
        <v>634</v>
      </c>
      <c r="K188" s="992"/>
      <c r="L188" s="997"/>
    </row>
    <row r="189" spans="3:12" hidden="1">
      <c r="C189" s="115">
        <f t="shared" si="27"/>
        <v>3158</v>
      </c>
      <c r="D189" s="115">
        <f t="shared" si="28"/>
        <v>5</v>
      </c>
      <c r="E189" s="115">
        <f t="shared" si="29"/>
        <v>2017</v>
      </c>
      <c r="F189" s="115">
        <v>7</v>
      </c>
      <c r="G189" s="115" t="s">
        <v>462</v>
      </c>
      <c r="H189" s="115" t="s">
        <v>72</v>
      </c>
      <c r="I189" s="166" t="str">
        <f>IF(Q13=0,"",Q13)</f>
        <v/>
      </c>
      <c r="J189" s="167"/>
      <c r="K189" s="992"/>
      <c r="L189" s="997"/>
    </row>
    <row r="190" spans="3:12" hidden="1">
      <c r="C190" s="115">
        <f t="shared" si="27"/>
        <v>3158</v>
      </c>
      <c r="D190" s="115">
        <f t="shared" si="28"/>
        <v>5</v>
      </c>
      <c r="E190" s="115">
        <f t="shared" si="29"/>
        <v>2017</v>
      </c>
      <c r="F190" s="115">
        <v>7</v>
      </c>
      <c r="G190" s="115" t="s">
        <v>462</v>
      </c>
      <c r="H190" s="115" t="s">
        <v>73</v>
      </c>
      <c r="I190" s="166">
        <f>IF(ISBLANK(Q14),"",Q14)</f>
        <v>0</v>
      </c>
      <c r="J190" s="167" t="s">
        <v>636</v>
      </c>
      <c r="K190" s="992"/>
      <c r="L190" s="997"/>
    </row>
    <row r="191" spans="3:12" hidden="1">
      <c r="C191" s="115">
        <f t="shared" si="27"/>
        <v>3158</v>
      </c>
      <c r="D191" s="115">
        <f t="shared" si="28"/>
        <v>5</v>
      </c>
      <c r="E191" s="115">
        <f t="shared" si="29"/>
        <v>2017</v>
      </c>
      <c r="F191" s="115">
        <v>7</v>
      </c>
      <c r="G191" s="115" t="s">
        <v>462</v>
      </c>
      <c r="H191" s="115" t="s">
        <v>74</v>
      </c>
      <c r="I191" s="166">
        <f>IF(ISBLANK(Q15),"",Q15)</f>
        <v>0</v>
      </c>
      <c r="J191" s="167" t="s">
        <v>1561</v>
      </c>
      <c r="K191" s="992"/>
      <c r="L191" s="997"/>
    </row>
    <row r="192" spans="3:12" hidden="1">
      <c r="C192" s="115">
        <f t="shared" si="27"/>
        <v>3158</v>
      </c>
      <c r="D192" s="115">
        <f t="shared" si="28"/>
        <v>5</v>
      </c>
      <c r="E192" s="115">
        <f t="shared" si="29"/>
        <v>2017</v>
      </c>
      <c r="F192" s="115">
        <v>7</v>
      </c>
      <c r="G192" s="115" t="s">
        <v>462</v>
      </c>
      <c r="H192" s="115" t="s">
        <v>75</v>
      </c>
      <c r="I192" s="166">
        <f>IF(ISBLANK(Q16),"",Q16)</f>
        <v>0</v>
      </c>
      <c r="J192" s="167" t="s">
        <v>189</v>
      </c>
      <c r="K192" s="992"/>
      <c r="L192" s="997"/>
    </row>
    <row r="193" spans="3:12" hidden="1">
      <c r="C193" s="115">
        <f t="shared" si="27"/>
        <v>3158</v>
      </c>
      <c r="D193" s="115">
        <f t="shared" si="28"/>
        <v>5</v>
      </c>
      <c r="E193" s="115">
        <f t="shared" si="29"/>
        <v>2017</v>
      </c>
      <c r="F193" s="115">
        <v>7</v>
      </c>
      <c r="G193" s="115" t="s">
        <v>462</v>
      </c>
      <c r="H193" s="115" t="s">
        <v>76</v>
      </c>
      <c r="I193" s="166" t="str">
        <f>IF(Q17=0,"",Q17)</f>
        <v/>
      </c>
      <c r="J193" s="167"/>
      <c r="K193" s="992"/>
      <c r="L193" s="997"/>
    </row>
    <row r="194" spans="3:12" hidden="1">
      <c r="C194" s="115">
        <f t="shared" si="27"/>
        <v>3158</v>
      </c>
      <c r="D194" s="115">
        <f t="shared" si="28"/>
        <v>5</v>
      </c>
      <c r="E194" s="115">
        <f t="shared" si="29"/>
        <v>2017</v>
      </c>
      <c r="F194" s="115">
        <v>7</v>
      </c>
      <c r="G194" s="115" t="s">
        <v>462</v>
      </c>
      <c r="H194" s="115" t="s">
        <v>1386</v>
      </c>
      <c r="I194" s="166">
        <f t="shared" ref="I194:I199" si="31">IF(ISBLANK(Q19),"",Q19)</f>
        <v>0</v>
      </c>
      <c r="J194" s="167" t="s">
        <v>191</v>
      </c>
      <c r="K194" s="992"/>
      <c r="L194" s="997"/>
    </row>
    <row r="195" spans="3:12" hidden="1">
      <c r="C195" s="115">
        <f t="shared" si="27"/>
        <v>3158</v>
      </c>
      <c r="D195" s="115">
        <f t="shared" si="28"/>
        <v>5</v>
      </c>
      <c r="E195" s="115">
        <f t="shared" si="29"/>
        <v>2017</v>
      </c>
      <c r="F195" s="115">
        <v>7</v>
      </c>
      <c r="G195" s="115" t="s">
        <v>462</v>
      </c>
      <c r="H195" s="115" t="s">
        <v>458</v>
      </c>
      <c r="I195" s="166">
        <f t="shared" si="31"/>
        <v>0</v>
      </c>
      <c r="J195" s="167" t="s">
        <v>192</v>
      </c>
      <c r="K195" s="992"/>
      <c r="L195" s="997"/>
    </row>
    <row r="196" spans="3:12" hidden="1">
      <c r="C196" s="115">
        <f t="shared" si="27"/>
        <v>3158</v>
      </c>
      <c r="D196" s="115">
        <f t="shared" si="28"/>
        <v>5</v>
      </c>
      <c r="E196" s="115">
        <f t="shared" si="29"/>
        <v>2017</v>
      </c>
      <c r="F196" s="115">
        <v>7</v>
      </c>
      <c r="G196" s="115" t="s">
        <v>462</v>
      </c>
      <c r="H196" s="115" t="s">
        <v>460</v>
      </c>
      <c r="I196" s="166">
        <f t="shared" si="31"/>
        <v>0</v>
      </c>
      <c r="J196" s="167" t="s">
        <v>193</v>
      </c>
      <c r="K196" s="992"/>
      <c r="L196" s="997"/>
    </row>
    <row r="197" spans="3:12" hidden="1">
      <c r="C197" s="115">
        <f t="shared" si="27"/>
        <v>3158</v>
      </c>
      <c r="D197" s="115">
        <f t="shared" si="28"/>
        <v>5</v>
      </c>
      <c r="E197" s="115">
        <f t="shared" si="29"/>
        <v>2017</v>
      </c>
      <c r="F197" s="115">
        <v>7</v>
      </c>
      <c r="G197" s="115" t="s">
        <v>462</v>
      </c>
      <c r="H197" s="115" t="s">
        <v>1387</v>
      </c>
      <c r="I197" s="166">
        <f t="shared" si="31"/>
        <v>0</v>
      </c>
      <c r="J197" s="167" t="s">
        <v>194</v>
      </c>
      <c r="K197" s="992"/>
      <c r="L197" s="997"/>
    </row>
    <row r="198" spans="3:12" hidden="1">
      <c r="C198" s="115">
        <f t="shared" si="27"/>
        <v>3158</v>
      </c>
      <c r="D198" s="115">
        <f t="shared" si="28"/>
        <v>5</v>
      </c>
      <c r="E198" s="115">
        <f t="shared" si="29"/>
        <v>2017</v>
      </c>
      <c r="F198" s="115">
        <v>7</v>
      </c>
      <c r="G198" s="115" t="s">
        <v>462</v>
      </c>
      <c r="H198" s="115" t="s">
        <v>1388</v>
      </c>
      <c r="I198" s="166">
        <f t="shared" si="31"/>
        <v>0</v>
      </c>
      <c r="J198" s="167" t="s">
        <v>195</v>
      </c>
      <c r="K198" s="992"/>
      <c r="L198" s="997"/>
    </row>
    <row r="199" spans="3:12" hidden="1">
      <c r="C199" s="115">
        <f t="shared" si="27"/>
        <v>3158</v>
      </c>
      <c r="D199" s="115">
        <f t="shared" si="28"/>
        <v>5</v>
      </c>
      <c r="E199" s="115">
        <f t="shared" si="29"/>
        <v>2017</v>
      </c>
      <c r="F199" s="115">
        <v>7</v>
      </c>
      <c r="G199" s="115" t="s">
        <v>462</v>
      </c>
      <c r="H199" s="115" t="s">
        <v>1389</v>
      </c>
      <c r="I199" s="166">
        <f t="shared" si="31"/>
        <v>0</v>
      </c>
      <c r="J199" s="167" t="s">
        <v>196</v>
      </c>
      <c r="K199" s="992"/>
      <c r="L199" s="997"/>
    </row>
    <row r="200" spans="3:12" hidden="1">
      <c r="C200" s="115">
        <f t="shared" si="27"/>
        <v>3158</v>
      </c>
      <c r="D200" s="115">
        <f t="shared" si="28"/>
        <v>5</v>
      </c>
      <c r="E200" s="115">
        <f t="shared" si="29"/>
        <v>2017</v>
      </c>
      <c r="F200" s="115">
        <v>7</v>
      </c>
      <c r="G200" s="115" t="s">
        <v>462</v>
      </c>
      <c r="H200" s="115" t="s">
        <v>1390</v>
      </c>
      <c r="I200" s="166" t="str">
        <f>IF(Q25=0,"",Q25)</f>
        <v/>
      </c>
      <c r="J200" s="167"/>
      <c r="K200" s="992"/>
      <c r="L200" s="998"/>
    </row>
    <row r="201" spans="3:12" ht="12.75" hidden="1" customHeight="1">
      <c r="C201" s="115">
        <f t="shared" si="27"/>
        <v>3158</v>
      </c>
      <c r="D201" s="115">
        <f t="shared" si="28"/>
        <v>5</v>
      </c>
      <c r="E201" s="115">
        <f t="shared" si="29"/>
        <v>2017</v>
      </c>
      <c r="F201" s="115">
        <v>8</v>
      </c>
      <c r="G201" s="115" t="s">
        <v>462</v>
      </c>
      <c r="H201" s="115" t="s">
        <v>463</v>
      </c>
      <c r="I201" s="166"/>
      <c r="J201" s="167" t="s">
        <v>638</v>
      </c>
      <c r="K201" s="992"/>
      <c r="L201" s="996" t="s">
        <v>430</v>
      </c>
    </row>
    <row r="202" spans="3:12" hidden="1">
      <c r="C202" s="115">
        <f t="shared" si="27"/>
        <v>3158</v>
      </c>
      <c r="D202" s="115">
        <f t="shared" si="28"/>
        <v>5</v>
      </c>
      <c r="E202" s="115">
        <f t="shared" si="29"/>
        <v>2017</v>
      </c>
      <c r="F202" s="115">
        <v>8</v>
      </c>
      <c r="G202" s="115" t="s">
        <v>462</v>
      </c>
      <c r="H202" s="115" t="s">
        <v>465</v>
      </c>
      <c r="I202" s="166"/>
      <c r="J202" s="167" t="s">
        <v>639</v>
      </c>
      <c r="K202" s="992"/>
      <c r="L202" s="997"/>
    </row>
    <row r="203" spans="3:12" hidden="1">
      <c r="C203" s="115">
        <f t="shared" si="27"/>
        <v>3158</v>
      </c>
      <c r="D203" s="115">
        <f t="shared" si="28"/>
        <v>5</v>
      </c>
      <c r="E203" s="115">
        <f t="shared" si="29"/>
        <v>2017</v>
      </c>
      <c r="F203" s="115">
        <v>8</v>
      </c>
      <c r="G203" s="115" t="s">
        <v>462</v>
      </c>
      <c r="H203" s="115" t="s">
        <v>466</v>
      </c>
      <c r="I203" s="166"/>
      <c r="J203" s="167" t="s">
        <v>640</v>
      </c>
      <c r="K203" s="992"/>
      <c r="L203" s="997"/>
    </row>
    <row r="204" spans="3:12" hidden="1">
      <c r="C204" s="115">
        <f t="shared" si="27"/>
        <v>3158</v>
      </c>
      <c r="D204" s="115">
        <f t="shared" si="28"/>
        <v>5</v>
      </c>
      <c r="E204" s="115">
        <f t="shared" si="29"/>
        <v>2017</v>
      </c>
      <c r="F204" s="115">
        <v>8</v>
      </c>
      <c r="G204" s="115" t="s">
        <v>462</v>
      </c>
      <c r="H204" s="115" t="s">
        <v>467</v>
      </c>
      <c r="I204" s="166"/>
      <c r="J204" s="167" t="s">
        <v>641</v>
      </c>
      <c r="K204" s="992"/>
      <c r="L204" s="997"/>
    </row>
    <row r="205" spans="3:12" hidden="1">
      <c r="C205" s="115">
        <f t="shared" si="27"/>
        <v>3158</v>
      </c>
      <c r="D205" s="115">
        <f t="shared" si="28"/>
        <v>5</v>
      </c>
      <c r="E205" s="115">
        <f t="shared" si="29"/>
        <v>2017</v>
      </c>
      <c r="F205" s="115">
        <v>8</v>
      </c>
      <c r="G205" s="115" t="s">
        <v>462</v>
      </c>
      <c r="H205" s="115" t="s">
        <v>455</v>
      </c>
      <c r="I205" s="166"/>
      <c r="J205" s="167"/>
      <c r="K205" s="992"/>
      <c r="L205" s="997"/>
    </row>
    <row r="206" spans="3:12" hidden="1">
      <c r="C206" s="115">
        <f t="shared" si="27"/>
        <v>3158</v>
      </c>
      <c r="D206" s="115">
        <f t="shared" si="28"/>
        <v>5</v>
      </c>
      <c r="E206" s="115">
        <f t="shared" si="29"/>
        <v>2017</v>
      </c>
      <c r="F206" s="115">
        <v>8</v>
      </c>
      <c r="G206" s="115" t="s">
        <v>462</v>
      </c>
      <c r="H206" s="115" t="s">
        <v>468</v>
      </c>
      <c r="I206" s="166"/>
      <c r="J206" s="167" t="s">
        <v>643</v>
      </c>
      <c r="K206" s="992"/>
      <c r="L206" s="997"/>
    </row>
    <row r="207" spans="3:12" hidden="1">
      <c r="C207" s="115">
        <f t="shared" si="27"/>
        <v>3158</v>
      </c>
      <c r="D207" s="115">
        <f t="shared" si="28"/>
        <v>5</v>
      </c>
      <c r="E207" s="115">
        <f t="shared" si="29"/>
        <v>2017</v>
      </c>
      <c r="F207" s="115">
        <v>8</v>
      </c>
      <c r="G207" s="115" t="s">
        <v>462</v>
      </c>
      <c r="H207" s="115" t="s">
        <v>469</v>
      </c>
      <c r="I207" s="166"/>
      <c r="J207" s="167" t="s">
        <v>644</v>
      </c>
      <c r="K207" s="992"/>
      <c r="L207" s="997"/>
    </row>
    <row r="208" spans="3:12" hidden="1">
      <c r="C208" s="115">
        <f t="shared" si="27"/>
        <v>3158</v>
      </c>
      <c r="D208" s="115">
        <f t="shared" si="28"/>
        <v>5</v>
      </c>
      <c r="E208" s="115">
        <f t="shared" si="29"/>
        <v>2017</v>
      </c>
      <c r="F208" s="115">
        <v>8</v>
      </c>
      <c r="G208" s="115" t="s">
        <v>462</v>
      </c>
      <c r="H208" s="115" t="s">
        <v>470</v>
      </c>
      <c r="I208" s="166"/>
      <c r="J208" s="167" t="s">
        <v>645</v>
      </c>
      <c r="K208" s="992"/>
      <c r="L208" s="997"/>
    </row>
    <row r="209" spans="3:12" hidden="1">
      <c r="C209" s="115">
        <f t="shared" si="27"/>
        <v>3158</v>
      </c>
      <c r="D209" s="115">
        <f t="shared" si="28"/>
        <v>5</v>
      </c>
      <c r="E209" s="115">
        <f t="shared" si="29"/>
        <v>2017</v>
      </c>
      <c r="F209" s="115">
        <v>8</v>
      </c>
      <c r="G209" s="115" t="s">
        <v>462</v>
      </c>
      <c r="H209" s="115" t="s">
        <v>72</v>
      </c>
      <c r="I209" s="166"/>
      <c r="J209" s="167"/>
      <c r="K209" s="992"/>
      <c r="L209" s="997"/>
    </row>
    <row r="210" spans="3:12" hidden="1">
      <c r="C210" s="115">
        <f t="shared" si="27"/>
        <v>3158</v>
      </c>
      <c r="D210" s="115">
        <f t="shared" si="28"/>
        <v>5</v>
      </c>
      <c r="E210" s="115">
        <f t="shared" si="29"/>
        <v>2017</v>
      </c>
      <c r="F210" s="115">
        <v>8</v>
      </c>
      <c r="G210" s="115" t="s">
        <v>462</v>
      </c>
      <c r="H210" s="115" t="s">
        <v>73</v>
      </c>
      <c r="I210" s="166"/>
      <c r="J210" s="167" t="s">
        <v>647</v>
      </c>
      <c r="K210" s="992"/>
      <c r="L210" s="997"/>
    </row>
    <row r="211" spans="3:12" hidden="1">
      <c r="C211" s="115">
        <f t="shared" si="27"/>
        <v>3158</v>
      </c>
      <c r="D211" s="115">
        <f t="shared" si="28"/>
        <v>5</v>
      </c>
      <c r="E211" s="115">
        <f t="shared" si="29"/>
        <v>2017</v>
      </c>
      <c r="F211" s="115">
        <v>8</v>
      </c>
      <c r="G211" s="115" t="s">
        <v>462</v>
      </c>
      <c r="H211" s="115" t="s">
        <v>74</v>
      </c>
      <c r="I211" s="166"/>
      <c r="J211" s="167" t="s">
        <v>198</v>
      </c>
      <c r="K211" s="992"/>
      <c r="L211" s="997"/>
    </row>
    <row r="212" spans="3:12" hidden="1">
      <c r="C212" s="115">
        <f t="shared" si="27"/>
        <v>3158</v>
      </c>
      <c r="D212" s="115">
        <f t="shared" si="28"/>
        <v>5</v>
      </c>
      <c r="E212" s="115">
        <f t="shared" si="29"/>
        <v>2017</v>
      </c>
      <c r="F212" s="115">
        <v>8</v>
      </c>
      <c r="G212" s="115" t="s">
        <v>462</v>
      </c>
      <c r="H212" s="115" t="s">
        <v>75</v>
      </c>
      <c r="I212" s="166"/>
      <c r="J212" s="167" t="s">
        <v>199</v>
      </c>
      <c r="K212" s="992"/>
      <c r="L212" s="997"/>
    </row>
    <row r="213" spans="3:12" hidden="1">
      <c r="C213" s="115">
        <f t="shared" si="27"/>
        <v>3158</v>
      </c>
      <c r="D213" s="115">
        <f t="shared" si="28"/>
        <v>5</v>
      </c>
      <c r="E213" s="115">
        <f t="shared" si="29"/>
        <v>2017</v>
      </c>
      <c r="F213" s="115">
        <v>8</v>
      </c>
      <c r="G213" s="115" t="s">
        <v>462</v>
      </c>
      <c r="H213" s="115" t="s">
        <v>76</v>
      </c>
      <c r="I213" s="166"/>
      <c r="J213" s="167"/>
      <c r="K213" s="992"/>
      <c r="L213" s="997"/>
    </row>
    <row r="214" spans="3:12" hidden="1">
      <c r="C214" s="115">
        <f t="shared" si="27"/>
        <v>3158</v>
      </c>
      <c r="D214" s="115">
        <f t="shared" si="28"/>
        <v>5</v>
      </c>
      <c r="E214" s="115">
        <f t="shared" si="29"/>
        <v>2017</v>
      </c>
      <c r="F214" s="115">
        <v>8</v>
      </c>
      <c r="G214" s="115" t="s">
        <v>462</v>
      </c>
      <c r="H214" s="115" t="s">
        <v>1386</v>
      </c>
      <c r="I214" s="166"/>
      <c r="J214" s="167" t="s">
        <v>201</v>
      </c>
      <c r="K214" s="992"/>
      <c r="L214" s="997"/>
    </row>
    <row r="215" spans="3:12" hidden="1">
      <c r="C215" s="115">
        <f t="shared" si="27"/>
        <v>3158</v>
      </c>
      <c r="D215" s="115">
        <f t="shared" si="28"/>
        <v>5</v>
      </c>
      <c r="E215" s="115">
        <f t="shared" si="29"/>
        <v>2017</v>
      </c>
      <c r="F215" s="115">
        <v>8</v>
      </c>
      <c r="G215" s="115" t="s">
        <v>462</v>
      </c>
      <c r="H215" s="115" t="s">
        <v>458</v>
      </c>
      <c r="I215" s="166"/>
      <c r="J215" s="167" t="s">
        <v>202</v>
      </c>
      <c r="K215" s="992"/>
      <c r="L215" s="997"/>
    </row>
    <row r="216" spans="3:12" hidden="1">
      <c r="C216" s="115">
        <f t="shared" si="27"/>
        <v>3158</v>
      </c>
      <c r="D216" s="115">
        <f t="shared" si="28"/>
        <v>5</v>
      </c>
      <c r="E216" s="115">
        <f t="shared" si="29"/>
        <v>2017</v>
      </c>
      <c r="F216" s="115">
        <v>8</v>
      </c>
      <c r="G216" s="115" t="s">
        <v>462</v>
      </c>
      <c r="H216" s="115" t="s">
        <v>460</v>
      </c>
      <c r="I216" s="166"/>
      <c r="J216" s="167" t="s">
        <v>203</v>
      </c>
      <c r="K216" s="992"/>
      <c r="L216" s="997"/>
    </row>
    <row r="217" spans="3:12" hidden="1">
      <c r="C217" s="115">
        <f t="shared" si="27"/>
        <v>3158</v>
      </c>
      <c r="D217" s="115">
        <f t="shared" si="28"/>
        <v>5</v>
      </c>
      <c r="E217" s="115">
        <f t="shared" si="29"/>
        <v>2017</v>
      </c>
      <c r="F217" s="115">
        <v>8</v>
      </c>
      <c r="G217" s="115" t="s">
        <v>462</v>
      </c>
      <c r="H217" s="115" t="s">
        <v>1387</v>
      </c>
      <c r="I217" s="166"/>
      <c r="J217" s="167" t="s">
        <v>204</v>
      </c>
      <c r="K217" s="992"/>
      <c r="L217" s="997"/>
    </row>
    <row r="218" spans="3:12" hidden="1">
      <c r="C218" s="115">
        <f t="shared" si="27"/>
        <v>3158</v>
      </c>
      <c r="D218" s="115">
        <f t="shared" si="28"/>
        <v>5</v>
      </c>
      <c r="E218" s="115">
        <f t="shared" si="29"/>
        <v>2017</v>
      </c>
      <c r="F218" s="115">
        <v>8</v>
      </c>
      <c r="G218" s="115" t="s">
        <v>462</v>
      </c>
      <c r="H218" s="115" t="s">
        <v>1388</v>
      </c>
      <c r="I218" s="166"/>
      <c r="J218" s="167" t="s">
        <v>205</v>
      </c>
      <c r="K218" s="992"/>
      <c r="L218" s="997"/>
    </row>
    <row r="219" spans="3:12" hidden="1">
      <c r="C219" s="115">
        <f t="shared" si="27"/>
        <v>3158</v>
      </c>
      <c r="D219" s="115">
        <f t="shared" si="28"/>
        <v>5</v>
      </c>
      <c r="E219" s="115">
        <f t="shared" si="29"/>
        <v>2017</v>
      </c>
      <c r="F219" s="115">
        <v>8</v>
      </c>
      <c r="G219" s="115" t="s">
        <v>462</v>
      </c>
      <c r="H219" s="115" t="s">
        <v>1389</v>
      </c>
      <c r="I219" s="166"/>
      <c r="J219" s="167" t="s">
        <v>206</v>
      </c>
      <c r="K219" s="992"/>
      <c r="L219" s="997"/>
    </row>
    <row r="220" spans="3:12" hidden="1">
      <c r="C220" s="115">
        <f t="shared" si="27"/>
        <v>3158</v>
      </c>
      <c r="D220" s="115">
        <f t="shared" si="28"/>
        <v>5</v>
      </c>
      <c r="E220" s="115">
        <f t="shared" si="29"/>
        <v>2017</v>
      </c>
      <c r="F220" s="115">
        <v>8</v>
      </c>
      <c r="G220" s="115" t="s">
        <v>462</v>
      </c>
      <c r="H220" s="115" t="s">
        <v>1390</v>
      </c>
      <c r="I220" s="166"/>
      <c r="J220" s="167"/>
      <c r="K220" s="992"/>
      <c r="L220" s="998"/>
    </row>
    <row r="221" spans="3:12" ht="12.75" hidden="1" customHeight="1">
      <c r="C221" s="115">
        <f t="shared" si="27"/>
        <v>3158</v>
      </c>
      <c r="D221" s="115">
        <f t="shared" si="28"/>
        <v>5</v>
      </c>
      <c r="E221" s="115">
        <f t="shared" si="29"/>
        <v>2017</v>
      </c>
      <c r="F221" s="115">
        <v>9</v>
      </c>
      <c r="G221" s="115" t="s">
        <v>462</v>
      </c>
      <c r="H221" s="115" t="s">
        <v>463</v>
      </c>
      <c r="I221" s="166"/>
      <c r="J221" s="167" t="s">
        <v>649</v>
      </c>
      <c r="K221" s="992"/>
      <c r="L221" s="996" t="s">
        <v>431</v>
      </c>
    </row>
    <row r="222" spans="3:12" hidden="1">
      <c r="C222" s="115">
        <f t="shared" si="27"/>
        <v>3158</v>
      </c>
      <c r="D222" s="115">
        <f t="shared" si="28"/>
        <v>5</v>
      </c>
      <c r="E222" s="115">
        <f t="shared" si="29"/>
        <v>2017</v>
      </c>
      <c r="F222" s="115">
        <v>9</v>
      </c>
      <c r="G222" s="115" t="s">
        <v>462</v>
      </c>
      <c r="H222" s="115" t="s">
        <v>465</v>
      </c>
      <c r="I222" s="166"/>
      <c r="J222" s="167" t="s">
        <v>650</v>
      </c>
      <c r="K222" s="992"/>
      <c r="L222" s="997"/>
    </row>
    <row r="223" spans="3:12" hidden="1">
      <c r="C223" s="115">
        <f t="shared" si="27"/>
        <v>3158</v>
      </c>
      <c r="D223" s="115">
        <f t="shared" si="28"/>
        <v>5</v>
      </c>
      <c r="E223" s="115">
        <f t="shared" si="29"/>
        <v>2017</v>
      </c>
      <c r="F223" s="115">
        <v>9</v>
      </c>
      <c r="G223" s="115" t="s">
        <v>462</v>
      </c>
      <c r="H223" s="115" t="s">
        <v>466</v>
      </c>
      <c r="I223" s="166"/>
      <c r="J223" s="167" t="s">
        <v>651</v>
      </c>
      <c r="K223" s="992"/>
      <c r="L223" s="997"/>
    </row>
    <row r="224" spans="3:12" hidden="1">
      <c r="C224" s="115">
        <f t="shared" si="27"/>
        <v>3158</v>
      </c>
      <c r="D224" s="115">
        <f t="shared" si="28"/>
        <v>5</v>
      </c>
      <c r="E224" s="115">
        <f t="shared" si="29"/>
        <v>2017</v>
      </c>
      <c r="F224" s="115">
        <v>9</v>
      </c>
      <c r="G224" s="115" t="s">
        <v>462</v>
      </c>
      <c r="H224" s="115" t="s">
        <v>467</v>
      </c>
      <c r="I224" s="166"/>
      <c r="J224" s="167" t="s">
        <v>652</v>
      </c>
      <c r="K224" s="992"/>
      <c r="L224" s="997"/>
    </row>
    <row r="225" spans="3:12" hidden="1">
      <c r="C225" s="115">
        <f t="shared" si="27"/>
        <v>3158</v>
      </c>
      <c r="D225" s="115">
        <f t="shared" si="28"/>
        <v>5</v>
      </c>
      <c r="E225" s="115">
        <f t="shared" si="29"/>
        <v>2017</v>
      </c>
      <c r="F225" s="115">
        <v>9</v>
      </c>
      <c r="G225" s="115" t="s">
        <v>462</v>
      </c>
      <c r="H225" s="115" t="s">
        <v>455</v>
      </c>
      <c r="I225" s="166"/>
      <c r="J225" s="167"/>
      <c r="K225" s="992"/>
      <c r="L225" s="997"/>
    </row>
    <row r="226" spans="3:12" hidden="1">
      <c r="C226" s="115">
        <f t="shared" si="27"/>
        <v>3158</v>
      </c>
      <c r="D226" s="115">
        <f t="shared" si="28"/>
        <v>5</v>
      </c>
      <c r="E226" s="115">
        <f t="shared" si="29"/>
        <v>2017</v>
      </c>
      <c r="F226" s="115">
        <v>9</v>
      </c>
      <c r="G226" s="115" t="s">
        <v>462</v>
      </c>
      <c r="H226" s="115" t="s">
        <v>468</v>
      </c>
      <c r="I226" s="166"/>
      <c r="J226" s="167" t="s">
        <v>654</v>
      </c>
      <c r="K226" s="992"/>
      <c r="L226" s="997"/>
    </row>
    <row r="227" spans="3:12" hidden="1">
      <c r="C227" s="115">
        <f t="shared" si="27"/>
        <v>3158</v>
      </c>
      <c r="D227" s="115">
        <f t="shared" si="28"/>
        <v>5</v>
      </c>
      <c r="E227" s="115">
        <f t="shared" si="29"/>
        <v>2017</v>
      </c>
      <c r="F227" s="115">
        <v>9</v>
      </c>
      <c r="G227" s="115" t="s">
        <v>462</v>
      </c>
      <c r="H227" s="115" t="s">
        <v>469</v>
      </c>
      <c r="I227" s="166"/>
      <c r="J227" s="167" t="s">
        <v>655</v>
      </c>
      <c r="K227" s="992"/>
      <c r="L227" s="997"/>
    </row>
    <row r="228" spans="3:12" hidden="1">
      <c r="C228" s="115">
        <f t="shared" si="27"/>
        <v>3158</v>
      </c>
      <c r="D228" s="115">
        <f t="shared" si="28"/>
        <v>5</v>
      </c>
      <c r="E228" s="115">
        <f t="shared" si="29"/>
        <v>2017</v>
      </c>
      <c r="F228" s="115">
        <v>9</v>
      </c>
      <c r="G228" s="115" t="s">
        <v>462</v>
      </c>
      <c r="H228" s="115" t="s">
        <v>470</v>
      </c>
      <c r="I228" s="166"/>
      <c r="J228" s="167" t="s">
        <v>656</v>
      </c>
      <c r="K228" s="992"/>
      <c r="L228" s="997"/>
    </row>
    <row r="229" spans="3:12" hidden="1">
      <c r="C229" s="115">
        <f t="shared" si="27"/>
        <v>3158</v>
      </c>
      <c r="D229" s="115">
        <f t="shared" si="28"/>
        <v>5</v>
      </c>
      <c r="E229" s="115">
        <f t="shared" si="29"/>
        <v>2017</v>
      </c>
      <c r="F229" s="115">
        <v>9</v>
      </c>
      <c r="G229" s="115" t="s">
        <v>462</v>
      </c>
      <c r="H229" s="115" t="s">
        <v>72</v>
      </c>
      <c r="I229" s="166"/>
      <c r="J229" s="167"/>
      <c r="K229" s="992"/>
      <c r="L229" s="997"/>
    </row>
    <row r="230" spans="3:12" hidden="1">
      <c r="C230" s="115">
        <f t="shared" si="27"/>
        <v>3158</v>
      </c>
      <c r="D230" s="115">
        <f t="shared" si="28"/>
        <v>5</v>
      </c>
      <c r="E230" s="115">
        <f t="shared" si="29"/>
        <v>2017</v>
      </c>
      <c r="F230" s="115">
        <v>9</v>
      </c>
      <c r="G230" s="115" t="s">
        <v>462</v>
      </c>
      <c r="H230" s="115" t="s">
        <v>73</v>
      </c>
      <c r="I230" s="166"/>
      <c r="J230" s="167" t="s">
        <v>658</v>
      </c>
      <c r="K230" s="992"/>
      <c r="L230" s="997"/>
    </row>
    <row r="231" spans="3:12" hidden="1">
      <c r="C231" s="115">
        <f t="shared" si="27"/>
        <v>3158</v>
      </c>
      <c r="D231" s="115">
        <f t="shared" si="28"/>
        <v>5</v>
      </c>
      <c r="E231" s="115">
        <f t="shared" si="29"/>
        <v>2017</v>
      </c>
      <c r="F231" s="115">
        <v>9</v>
      </c>
      <c r="G231" s="115" t="s">
        <v>462</v>
      </c>
      <c r="H231" s="115" t="s">
        <v>74</v>
      </c>
      <c r="I231" s="166"/>
      <c r="J231" s="167" t="s">
        <v>207</v>
      </c>
      <c r="K231" s="992"/>
      <c r="L231" s="997"/>
    </row>
    <row r="232" spans="3:12" hidden="1">
      <c r="C232" s="115">
        <f t="shared" si="27"/>
        <v>3158</v>
      </c>
      <c r="D232" s="115">
        <f t="shared" si="28"/>
        <v>5</v>
      </c>
      <c r="E232" s="115">
        <f t="shared" si="29"/>
        <v>2017</v>
      </c>
      <c r="F232" s="115">
        <v>9</v>
      </c>
      <c r="G232" s="115" t="s">
        <v>462</v>
      </c>
      <c r="H232" s="115" t="s">
        <v>75</v>
      </c>
      <c r="I232" s="166"/>
      <c r="J232" s="167" t="s">
        <v>208</v>
      </c>
      <c r="K232" s="992"/>
      <c r="L232" s="997"/>
    </row>
    <row r="233" spans="3:12" hidden="1">
      <c r="C233" s="115">
        <f t="shared" ref="C233:C296" si="32">P$1</f>
        <v>3158</v>
      </c>
      <c r="D233" s="115">
        <f t="shared" si="28"/>
        <v>5</v>
      </c>
      <c r="E233" s="115">
        <f t="shared" si="29"/>
        <v>2017</v>
      </c>
      <c r="F233" s="115">
        <v>9</v>
      </c>
      <c r="G233" s="115" t="s">
        <v>462</v>
      </c>
      <c r="H233" s="115" t="s">
        <v>76</v>
      </c>
      <c r="I233" s="166"/>
      <c r="J233" s="167"/>
      <c r="K233" s="992"/>
      <c r="L233" s="997"/>
    </row>
    <row r="234" spans="3:12" hidden="1">
      <c r="C234" s="115">
        <f t="shared" si="32"/>
        <v>3158</v>
      </c>
      <c r="D234" s="115">
        <f t="shared" ref="D234:D317" si="33">X$1</f>
        <v>5</v>
      </c>
      <c r="E234" s="115">
        <f t="shared" ref="E234:E317" si="34">J$1</f>
        <v>2017</v>
      </c>
      <c r="F234" s="115">
        <v>9</v>
      </c>
      <c r="G234" s="115" t="s">
        <v>462</v>
      </c>
      <c r="H234" s="115" t="s">
        <v>1386</v>
      </c>
      <c r="I234" s="166"/>
      <c r="J234" s="167" t="s">
        <v>210</v>
      </c>
      <c r="K234" s="992"/>
      <c r="L234" s="997"/>
    </row>
    <row r="235" spans="3:12" hidden="1">
      <c r="C235" s="115">
        <f t="shared" si="32"/>
        <v>3158</v>
      </c>
      <c r="D235" s="115">
        <f t="shared" si="33"/>
        <v>5</v>
      </c>
      <c r="E235" s="115">
        <f t="shared" si="34"/>
        <v>2017</v>
      </c>
      <c r="F235" s="115">
        <v>9</v>
      </c>
      <c r="G235" s="115" t="s">
        <v>462</v>
      </c>
      <c r="H235" s="115" t="s">
        <v>458</v>
      </c>
      <c r="I235" s="166"/>
      <c r="J235" s="167" t="s">
        <v>211</v>
      </c>
      <c r="K235" s="992"/>
      <c r="L235" s="997"/>
    </row>
    <row r="236" spans="3:12" hidden="1">
      <c r="C236" s="115">
        <f t="shared" si="32"/>
        <v>3158</v>
      </c>
      <c r="D236" s="115">
        <f t="shared" si="33"/>
        <v>5</v>
      </c>
      <c r="E236" s="115">
        <f t="shared" si="34"/>
        <v>2017</v>
      </c>
      <c r="F236" s="115">
        <v>9</v>
      </c>
      <c r="G236" s="115" t="s">
        <v>462</v>
      </c>
      <c r="H236" s="115" t="s">
        <v>460</v>
      </c>
      <c r="I236" s="166"/>
      <c r="J236" s="167" t="s">
        <v>212</v>
      </c>
      <c r="K236" s="992"/>
      <c r="L236" s="997"/>
    </row>
    <row r="237" spans="3:12" hidden="1">
      <c r="C237" s="115">
        <f t="shared" si="32"/>
        <v>3158</v>
      </c>
      <c r="D237" s="115">
        <f t="shared" si="33"/>
        <v>5</v>
      </c>
      <c r="E237" s="115">
        <f t="shared" si="34"/>
        <v>2017</v>
      </c>
      <c r="F237" s="115">
        <v>9</v>
      </c>
      <c r="G237" s="115" t="s">
        <v>462</v>
      </c>
      <c r="H237" s="115" t="s">
        <v>1387</v>
      </c>
      <c r="I237" s="166"/>
      <c r="J237" s="167" t="s">
        <v>213</v>
      </c>
      <c r="K237" s="992"/>
      <c r="L237" s="997"/>
    </row>
    <row r="238" spans="3:12" hidden="1">
      <c r="C238" s="115">
        <f t="shared" si="32"/>
        <v>3158</v>
      </c>
      <c r="D238" s="115">
        <f t="shared" si="33"/>
        <v>5</v>
      </c>
      <c r="E238" s="115">
        <f t="shared" si="34"/>
        <v>2017</v>
      </c>
      <c r="F238" s="115">
        <v>9</v>
      </c>
      <c r="G238" s="115" t="s">
        <v>462</v>
      </c>
      <c r="H238" s="115" t="s">
        <v>1388</v>
      </c>
      <c r="I238" s="166"/>
      <c r="J238" s="167" t="s">
        <v>214</v>
      </c>
      <c r="K238" s="992"/>
      <c r="L238" s="997"/>
    </row>
    <row r="239" spans="3:12" hidden="1">
      <c r="C239" s="115">
        <f t="shared" si="32"/>
        <v>3158</v>
      </c>
      <c r="D239" s="115">
        <f t="shared" si="33"/>
        <v>5</v>
      </c>
      <c r="E239" s="115">
        <f t="shared" si="34"/>
        <v>2017</v>
      </c>
      <c r="F239" s="115">
        <v>9</v>
      </c>
      <c r="G239" s="115" t="s">
        <v>462</v>
      </c>
      <c r="H239" s="115" t="s">
        <v>1389</v>
      </c>
      <c r="I239" s="166"/>
      <c r="J239" s="167" t="s">
        <v>215</v>
      </c>
      <c r="K239" s="992"/>
      <c r="L239" s="997"/>
    </row>
    <row r="240" spans="3:12" hidden="1">
      <c r="C240" s="115">
        <f t="shared" si="32"/>
        <v>3158</v>
      </c>
      <c r="D240" s="115">
        <f t="shared" si="33"/>
        <v>5</v>
      </c>
      <c r="E240" s="115">
        <f t="shared" si="34"/>
        <v>2017</v>
      </c>
      <c r="F240" s="115">
        <v>9</v>
      </c>
      <c r="G240" s="115" t="s">
        <v>462</v>
      </c>
      <c r="H240" s="115" t="s">
        <v>1390</v>
      </c>
      <c r="I240" s="166"/>
      <c r="J240" s="167"/>
      <c r="K240" s="992"/>
      <c r="L240" s="998"/>
    </row>
    <row r="241" spans="3:12" ht="12.75" hidden="1" customHeight="1">
      <c r="C241" s="115">
        <f t="shared" si="32"/>
        <v>3158</v>
      </c>
      <c r="D241" s="115">
        <f t="shared" si="33"/>
        <v>5</v>
      </c>
      <c r="E241" s="115">
        <f t="shared" si="34"/>
        <v>2017</v>
      </c>
      <c r="F241" s="115">
        <v>10</v>
      </c>
      <c r="G241" s="115" t="s">
        <v>462</v>
      </c>
      <c r="H241" s="115" t="s">
        <v>463</v>
      </c>
      <c r="I241" s="166"/>
      <c r="J241" s="167" t="s">
        <v>660</v>
      </c>
      <c r="K241" s="992"/>
      <c r="L241" s="996" t="s">
        <v>432</v>
      </c>
    </row>
    <row r="242" spans="3:12" hidden="1">
      <c r="C242" s="115">
        <f t="shared" si="32"/>
        <v>3158</v>
      </c>
      <c r="D242" s="115">
        <f t="shared" si="33"/>
        <v>5</v>
      </c>
      <c r="E242" s="115">
        <f t="shared" si="34"/>
        <v>2017</v>
      </c>
      <c r="F242" s="115">
        <v>10</v>
      </c>
      <c r="G242" s="115" t="s">
        <v>462</v>
      </c>
      <c r="H242" s="115" t="s">
        <v>465</v>
      </c>
      <c r="I242" s="166"/>
      <c r="J242" s="167" t="s">
        <v>661</v>
      </c>
      <c r="K242" s="992"/>
      <c r="L242" s="997"/>
    </row>
    <row r="243" spans="3:12" hidden="1">
      <c r="C243" s="115">
        <f t="shared" si="32"/>
        <v>3158</v>
      </c>
      <c r="D243" s="115">
        <f t="shared" si="33"/>
        <v>5</v>
      </c>
      <c r="E243" s="115">
        <f t="shared" si="34"/>
        <v>2017</v>
      </c>
      <c r="F243" s="115">
        <v>10</v>
      </c>
      <c r="G243" s="115" t="s">
        <v>462</v>
      </c>
      <c r="H243" s="115" t="s">
        <v>466</v>
      </c>
      <c r="I243" s="166"/>
      <c r="J243" s="167" t="s">
        <v>662</v>
      </c>
      <c r="K243" s="992"/>
      <c r="L243" s="997"/>
    </row>
    <row r="244" spans="3:12" hidden="1">
      <c r="C244" s="115">
        <f t="shared" si="32"/>
        <v>3158</v>
      </c>
      <c r="D244" s="115">
        <f t="shared" si="33"/>
        <v>5</v>
      </c>
      <c r="E244" s="115">
        <f t="shared" si="34"/>
        <v>2017</v>
      </c>
      <c r="F244" s="115">
        <v>10</v>
      </c>
      <c r="G244" s="115" t="s">
        <v>462</v>
      </c>
      <c r="H244" s="115" t="s">
        <v>467</v>
      </c>
      <c r="I244" s="166"/>
      <c r="J244" s="167" t="s">
        <v>663</v>
      </c>
      <c r="K244" s="992"/>
      <c r="L244" s="997"/>
    </row>
    <row r="245" spans="3:12" hidden="1">
      <c r="C245" s="115">
        <f t="shared" si="32"/>
        <v>3158</v>
      </c>
      <c r="D245" s="115">
        <f t="shared" si="33"/>
        <v>5</v>
      </c>
      <c r="E245" s="115">
        <f t="shared" si="34"/>
        <v>2017</v>
      </c>
      <c r="F245" s="115">
        <v>10</v>
      </c>
      <c r="G245" s="115" t="s">
        <v>462</v>
      </c>
      <c r="H245" s="115" t="s">
        <v>455</v>
      </c>
      <c r="I245" s="166"/>
      <c r="J245" s="167"/>
      <c r="K245" s="992"/>
      <c r="L245" s="997"/>
    </row>
    <row r="246" spans="3:12" hidden="1">
      <c r="C246" s="115">
        <f t="shared" si="32"/>
        <v>3158</v>
      </c>
      <c r="D246" s="115">
        <f t="shared" si="33"/>
        <v>5</v>
      </c>
      <c r="E246" s="115">
        <f t="shared" si="34"/>
        <v>2017</v>
      </c>
      <c r="F246" s="115">
        <v>10</v>
      </c>
      <c r="G246" s="115" t="s">
        <v>462</v>
      </c>
      <c r="H246" s="115" t="s">
        <v>468</v>
      </c>
      <c r="I246" s="166"/>
      <c r="J246" s="167" t="s">
        <v>665</v>
      </c>
      <c r="K246" s="992"/>
      <c r="L246" s="997"/>
    </row>
    <row r="247" spans="3:12" hidden="1">
      <c r="C247" s="115">
        <f t="shared" si="32"/>
        <v>3158</v>
      </c>
      <c r="D247" s="115">
        <f t="shared" si="33"/>
        <v>5</v>
      </c>
      <c r="E247" s="115">
        <f t="shared" si="34"/>
        <v>2017</v>
      </c>
      <c r="F247" s="115">
        <v>10</v>
      </c>
      <c r="G247" s="115" t="s">
        <v>462</v>
      </c>
      <c r="H247" s="115" t="s">
        <v>469</v>
      </c>
      <c r="I247" s="166"/>
      <c r="J247" s="167" t="s">
        <v>666</v>
      </c>
      <c r="K247" s="992"/>
      <c r="L247" s="997"/>
    </row>
    <row r="248" spans="3:12" hidden="1">
      <c r="C248" s="115">
        <f t="shared" si="32"/>
        <v>3158</v>
      </c>
      <c r="D248" s="115">
        <f t="shared" si="33"/>
        <v>5</v>
      </c>
      <c r="E248" s="115">
        <f t="shared" si="34"/>
        <v>2017</v>
      </c>
      <c r="F248" s="115">
        <v>10</v>
      </c>
      <c r="G248" s="115" t="s">
        <v>462</v>
      </c>
      <c r="H248" s="115" t="s">
        <v>470</v>
      </c>
      <c r="I248" s="166"/>
      <c r="J248" s="167" t="s">
        <v>667</v>
      </c>
      <c r="K248" s="992"/>
      <c r="L248" s="997"/>
    </row>
    <row r="249" spans="3:12" hidden="1">
      <c r="C249" s="115">
        <f t="shared" si="32"/>
        <v>3158</v>
      </c>
      <c r="D249" s="115">
        <f t="shared" si="33"/>
        <v>5</v>
      </c>
      <c r="E249" s="115">
        <f t="shared" si="34"/>
        <v>2017</v>
      </c>
      <c r="F249" s="115">
        <v>10</v>
      </c>
      <c r="G249" s="115" t="s">
        <v>462</v>
      </c>
      <c r="H249" s="115" t="s">
        <v>72</v>
      </c>
      <c r="I249" s="166"/>
      <c r="J249" s="167"/>
      <c r="K249" s="992"/>
      <c r="L249" s="997"/>
    </row>
    <row r="250" spans="3:12" hidden="1">
      <c r="C250" s="115">
        <f t="shared" si="32"/>
        <v>3158</v>
      </c>
      <c r="D250" s="115">
        <f t="shared" si="33"/>
        <v>5</v>
      </c>
      <c r="E250" s="115">
        <f t="shared" si="34"/>
        <v>2017</v>
      </c>
      <c r="F250" s="115">
        <v>10</v>
      </c>
      <c r="G250" s="115" t="s">
        <v>462</v>
      </c>
      <c r="H250" s="115" t="s">
        <v>73</v>
      </c>
      <c r="I250" s="166"/>
      <c r="J250" s="167" t="s">
        <v>669</v>
      </c>
      <c r="K250" s="992"/>
      <c r="L250" s="997"/>
    </row>
    <row r="251" spans="3:12" hidden="1">
      <c r="C251" s="115">
        <f t="shared" si="32"/>
        <v>3158</v>
      </c>
      <c r="D251" s="115">
        <f t="shared" si="33"/>
        <v>5</v>
      </c>
      <c r="E251" s="115">
        <f t="shared" si="34"/>
        <v>2017</v>
      </c>
      <c r="F251" s="115">
        <v>10</v>
      </c>
      <c r="G251" s="115" t="s">
        <v>462</v>
      </c>
      <c r="H251" s="115" t="s">
        <v>74</v>
      </c>
      <c r="I251" s="166"/>
      <c r="J251" s="167" t="s">
        <v>217</v>
      </c>
      <c r="K251" s="992"/>
      <c r="L251" s="997"/>
    </row>
    <row r="252" spans="3:12" hidden="1">
      <c r="C252" s="115">
        <f t="shared" si="32"/>
        <v>3158</v>
      </c>
      <c r="D252" s="115">
        <f t="shared" si="33"/>
        <v>5</v>
      </c>
      <c r="E252" s="115">
        <f t="shared" si="34"/>
        <v>2017</v>
      </c>
      <c r="F252" s="115">
        <v>10</v>
      </c>
      <c r="G252" s="115" t="s">
        <v>462</v>
      </c>
      <c r="H252" s="115" t="s">
        <v>75</v>
      </c>
      <c r="I252" s="166"/>
      <c r="J252" s="167" t="s">
        <v>218</v>
      </c>
      <c r="K252" s="992"/>
      <c r="L252" s="997"/>
    </row>
    <row r="253" spans="3:12" hidden="1">
      <c r="C253" s="115">
        <f t="shared" si="32"/>
        <v>3158</v>
      </c>
      <c r="D253" s="115">
        <f t="shared" si="33"/>
        <v>5</v>
      </c>
      <c r="E253" s="115">
        <f t="shared" si="34"/>
        <v>2017</v>
      </c>
      <c r="F253" s="115">
        <v>10</v>
      </c>
      <c r="G253" s="115" t="s">
        <v>462</v>
      </c>
      <c r="H253" s="115" t="s">
        <v>76</v>
      </c>
      <c r="I253" s="166"/>
      <c r="J253" s="167"/>
      <c r="K253" s="992"/>
      <c r="L253" s="997"/>
    </row>
    <row r="254" spans="3:12" hidden="1">
      <c r="C254" s="115">
        <f t="shared" si="32"/>
        <v>3158</v>
      </c>
      <c r="D254" s="115">
        <f t="shared" si="33"/>
        <v>5</v>
      </c>
      <c r="E254" s="115">
        <f t="shared" si="34"/>
        <v>2017</v>
      </c>
      <c r="F254" s="115">
        <v>10</v>
      </c>
      <c r="G254" s="115" t="s">
        <v>462</v>
      </c>
      <c r="H254" s="115" t="s">
        <v>1386</v>
      </c>
      <c r="I254" s="166"/>
      <c r="J254" s="167" t="s">
        <v>219</v>
      </c>
      <c r="K254" s="992"/>
      <c r="L254" s="997"/>
    </row>
    <row r="255" spans="3:12" hidden="1">
      <c r="C255" s="115">
        <f t="shared" si="32"/>
        <v>3158</v>
      </c>
      <c r="D255" s="115">
        <f t="shared" si="33"/>
        <v>5</v>
      </c>
      <c r="E255" s="115">
        <f t="shared" si="34"/>
        <v>2017</v>
      </c>
      <c r="F255" s="115">
        <v>10</v>
      </c>
      <c r="G255" s="115" t="s">
        <v>462</v>
      </c>
      <c r="H255" s="115" t="s">
        <v>458</v>
      </c>
      <c r="I255" s="166"/>
      <c r="J255" s="167" t="s">
        <v>220</v>
      </c>
      <c r="K255" s="992"/>
      <c r="L255" s="997"/>
    </row>
    <row r="256" spans="3:12" hidden="1">
      <c r="C256" s="115">
        <f t="shared" si="32"/>
        <v>3158</v>
      </c>
      <c r="D256" s="115">
        <f t="shared" si="33"/>
        <v>5</v>
      </c>
      <c r="E256" s="115">
        <f t="shared" si="34"/>
        <v>2017</v>
      </c>
      <c r="F256" s="115">
        <v>10</v>
      </c>
      <c r="G256" s="115" t="s">
        <v>462</v>
      </c>
      <c r="H256" s="115" t="s">
        <v>460</v>
      </c>
      <c r="I256" s="166"/>
      <c r="J256" s="167" t="s">
        <v>221</v>
      </c>
      <c r="K256" s="992"/>
      <c r="L256" s="997"/>
    </row>
    <row r="257" spans="3:12" hidden="1">
      <c r="C257" s="115">
        <f t="shared" si="32"/>
        <v>3158</v>
      </c>
      <c r="D257" s="115">
        <f t="shared" si="33"/>
        <v>5</v>
      </c>
      <c r="E257" s="115">
        <f t="shared" si="34"/>
        <v>2017</v>
      </c>
      <c r="F257" s="115">
        <v>10</v>
      </c>
      <c r="G257" s="115" t="s">
        <v>462</v>
      </c>
      <c r="H257" s="115" t="s">
        <v>1387</v>
      </c>
      <c r="I257" s="166"/>
      <c r="J257" s="167" t="s">
        <v>222</v>
      </c>
      <c r="K257" s="992"/>
      <c r="L257" s="997"/>
    </row>
    <row r="258" spans="3:12" hidden="1">
      <c r="C258" s="115">
        <f t="shared" si="32"/>
        <v>3158</v>
      </c>
      <c r="D258" s="115">
        <f t="shared" si="33"/>
        <v>5</v>
      </c>
      <c r="E258" s="115">
        <f t="shared" si="34"/>
        <v>2017</v>
      </c>
      <c r="F258" s="115">
        <v>10</v>
      </c>
      <c r="G258" s="115" t="s">
        <v>462</v>
      </c>
      <c r="H258" s="115" t="s">
        <v>1388</v>
      </c>
      <c r="I258" s="166"/>
      <c r="J258" s="167" t="s">
        <v>223</v>
      </c>
      <c r="K258" s="992"/>
      <c r="L258" s="997"/>
    </row>
    <row r="259" spans="3:12" hidden="1">
      <c r="C259" s="115">
        <f t="shared" si="32"/>
        <v>3158</v>
      </c>
      <c r="D259" s="115">
        <f t="shared" si="33"/>
        <v>5</v>
      </c>
      <c r="E259" s="115">
        <f t="shared" si="34"/>
        <v>2017</v>
      </c>
      <c r="F259" s="115">
        <v>10</v>
      </c>
      <c r="G259" s="115" t="s">
        <v>462</v>
      </c>
      <c r="H259" s="115" t="s">
        <v>1389</v>
      </c>
      <c r="I259" s="166"/>
      <c r="J259" s="167" t="s">
        <v>224</v>
      </c>
      <c r="K259" s="992"/>
      <c r="L259" s="997"/>
    </row>
    <row r="260" spans="3:12" hidden="1">
      <c r="C260" s="115">
        <f t="shared" si="32"/>
        <v>3158</v>
      </c>
      <c r="D260" s="115">
        <f t="shared" si="33"/>
        <v>5</v>
      </c>
      <c r="E260" s="115">
        <f t="shared" si="34"/>
        <v>2017</v>
      </c>
      <c r="F260" s="115">
        <v>10</v>
      </c>
      <c r="G260" s="115" t="s">
        <v>462</v>
      </c>
      <c r="H260" s="115" t="s">
        <v>1390</v>
      </c>
      <c r="I260" s="166"/>
      <c r="J260" s="167"/>
      <c r="K260" s="992"/>
      <c r="L260" s="998"/>
    </row>
    <row r="261" spans="3:12" ht="12.75" hidden="1" customHeight="1">
      <c r="C261" s="115">
        <f t="shared" si="32"/>
        <v>3158</v>
      </c>
      <c r="D261" s="115">
        <f t="shared" si="33"/>
        <v>5</v>
      </c>
      <c r="E261" s="115">
        <f t="shared" si="34"/>
        <v>2017</v>
      </c>
      <c r="F261" s="115">
        <v>11</v>
      </c>
      <c r="G261" s="115" t="s">
        <v>462</v>
      </c>
      <c r="H261" s="115" t="s">
        <v>463</v>
      </c>
      <c r="I261" s="166">
        <f>IF(ISBLANK(U5),"",U5)</f>
        <v>4050.1469262981695</v>
      </c>
      <c r="J261" s="167" t="s">
        <v>671</v>
      </c>
      <c r="K261" s="992"/>
      <c r="L261" s="996" t="s">
        <v>433</v>
      </c>
    </row>
    <row r="262" spans="3:12" hidden="1">
      <c r="C262" s="115">
        <f t="shared" si="32"/>
        <v>3158</v>
      </c>
      <c r="D262" s="115">
        <f t="shared" si="33"/>
        <v>5</v>
      </c>
      <c r="E262" s="115">
        <f t="shared" si="34"/>
        <v>2017</v>
      </c>
      <c r="F262" s="115">
        <v>11</v>
      </c>
      <c r="G262" s="115" t="s">
        <v>462</v>
      </c>
      <c r="H262" s="115" t="s">
        <v>465</v>
      </c>
      <c r="I262" s="166">
        <f>IF(ISBLANK(U6),"",U6)</f>
        <v>536.29310260288776</v>
      </c>
      <c r="J262" s="167" t="s">
        <v>672</v>
      </c>
      <c r="K262" s="992"/>
      <c r="L262" s="997"/>
    </row>
    <row r="263" spans="3:12" hidden="1">
      <c r="C263" s="115">
        <f t="shared" si="32"/>
        <v>3158</v>
      </c>
      <c r="D263" s="115">
        <f t="shared" si="33"/>
        <v>5</v>
      </c>
      <c r="E263" s="115">
        <f t="shared" si="34"/>
        <v>2017</v>
      </c>
      <c r="F263" s="115">
        <v>11</v>
      </c>
      <c r="G263" s="115" t="s">
        <v>462</v>
      </c>
      <c r="H263" s="115" t="s">
        <v>466</v>
      </c>
      <c r="I263" s="166">
        <f>IF(ISBLANK(U7),"",U7)</f>
        <v>36.840127655525883</v>
      </c>
      <c r="J263" s="167" t="s">
        <v>673</v>
      </c>
      <c r="K263" s="992"/>
      <c r="L263" s="997"/>
    </row>
    <row r="264" spans="3:12" hidden="1">
      <c r="C264" s="115">
        <f t="shared" si="32"/>
        <v>3158</v>
      </c>
      <c r="D264" s="115">
        <f t="shared" si="33"/>
        <v>5</v>
      </c>
      <c r="E264" s="115">
        <f t="shared" si="34"/>
        <v>2017</v>
      </c>
      <c r="F264" s="115">
        <v>11</v>
      </c>
      <c r="G264" s="115" t="s">
        <v>462</v>
      </c>
      <c r="H264" s="115" t="s">
        <v>467</v>
      </c>
      <c r="I264" s="166">
        <f>IF(ISBLANK(U8),"",U8)</f>
        <v>0</v>
      </c>
      <c r="J264" s="167" t="s">
        <v>674</v>
      </c>
      <c r="K264" s="992"/>
      <c r="L264" s="997"/>
    </row>
    <row r="265" spans="3:12" hidden="1">
      <c r="C265" s="115">
        <f t="shared" si="32"/>
        <v>3158</v>
      </c>
      <c r="D265" s="115">
        <f t="shared" si="33"/>
        <v>5</v>
      </c>
      <c r="E265" s="115">
        <f t="shared" si="34"/>
        <v>2017</v>
      </c>
      <c r="F265" s="115">
        <v>11</v>
      </c>
      <c r="G265" s="115" t="s">
        <v>462</v>
      </c>
      <c r="H265" s="115" t="s">
        <v>455</v>
      </c>
      <c r="I265" s="166">
        <f>IF(U9=0,"",U9)</f>
        <v>4623.2801565565833</v>
      </c>
      <c r="J265" s="167"/>
      <c r="K265" s="992"/>
      <c r="L265" s="997"/>
    </row>
    <row r="266" spans="3:12" hidden="1">
      <c r="C266" s="115">
        <f t="shared" si="32"/>
        <v>3158</v>
      </c>
      <c r="D266" s="115">
        <f t="shared" si="33"/>
        <v>5</v>
      </c>
      <c r="E266" s="115">
        <f t="shared" si="34"/>
        <v>2017</v>
      </c>
      <c r="F266" s="115">
        <v>11</v>
      </c>
      <c r="G266" s="115" t="s">
        <v>462</v>
      </c>
      <c r="H266" s="115" t="s">
        <v>468</v>
      </c>
      <c r="I266" s="166">
        <f>IF(ISBLANK(U10),"",U10)</f>
        <v>0</v>
      </c>
      <c r="J266" s="167" t="s">
        <v>676</v>
      </c>
      <c r="K266" s="992"/>
      <c r="L266" s="997"/>
    </row>
    <row r="267" spans="3:12" hidden="1">
      <c r="C267" s="115">
        <f t="shared" si="32"/>
        <v>3158</v>
      </c>
      <c r="D267" s="115">
        <f t="shared" si="33"/>
        <v>5</v>
      </c>
      <c r="E267" s="115">
        <f t="shared" si="34"/>
        <v>2017</v>
      </c>
      <c r="F267" s="115">
        <v>11</v>
      </c>
      <c r="G267" s="115" t="s">
        <v>462</v>
      </c>
      <c r="H267" s="115" t="s">
        <v>469</v>
      </c>
      <c r="I267" s="166">
        <f>IF(ISBLANK(U11),"",U11)</f>
        <v>0</v>
      </c>
      <c r="J267" s="167" t="s">
        <v>677</v>
      </c>
      <c r="K267" s="992"/>
      <c r="L267" s="997"/>
    </row>
    <row r="268" spans="3:12" hidden="1">
      <c r="C268" s="115">
        <f t="shared" si="32"/>
        <v>3158</v>
      </c>
      <c r="D268" s="115">
        <f t="shared" si="33"/>
        <v>5</v>
      </c>
      <c r="E268" s="115">
        <f t="shared" si="34"/>
        <v>2017</v>
      </c>
      <c r="F268" s="115">
        <v>11</v>
      </c>
      <c r="G268" s="115" t="s">
        <v>462</v>
      </c>
      <c r="H268" s="115" t="s">
        <v>470</v>
      </c>
      <c r="I268" s="166">
        <f>IF(ISBLANK(U12),"",U12)</f>
        <v>0</v>
      </c>
      <c r="J268" s="167" t="s">
        <v>678</v>
      </c>
      <c r="K268" s="992"/>
      <c r="L268" s="997"/>
    </row>
    <row r="269" spans="3:12" hidden="1">
      <c r="C269" s="115">
        <f t="shared" si="32"/>
        <v>3158</v>
      </c>
      <c r="D269" s="115">
        <f t="shared" si="33"/>
        <v>5</v>
      </c>
      <c r="E269" s="115">
        <f t="shared" si="34"/>
        <v>2017</v>
      </c>
      <c r="F269" s="115">
        <v>11</v>
      </c>
      <c r="G269" s="115" t="s">
        <v>462</v>
      </c>
      <c r="H269" s="115" t="s">
        <v>72</v>
      </c>
      <c r="I269" s="166">
        <f>IF(U13=0,"",U13)</f>
        <v>4623.2801565565833</v>
      </c>
      <c r="J269" s="167"/>
      <c r="K269" s="992"/>
      <c r="L269" s="997"/>
    </row>
    <row r="270" spans="3:12" hidden="1">
      <c r="C270" s="115">
        <f t="shared" si="32"/>
        <v>3158</v>
      </c>
      <c r="D270" s="115">
        <f t="shared" si="33"/>
        <v>5</v>
      </c>
      <c r="E270" s="115">
        <f t="shared" si="34"/>
        <v>2017</v>
      </c>
      <c r="F270" s="115">
        <v>11</v>
      </c>
      <c r="G270" s="115" t="s">
        <v>462</v>
      </c>
      <c r="H270" s="115" t="s">
        <v>73</v>
      </c>
      <c r="I270" s="166">
        <f>IF(ISBLANK(U14),"",U14)</f>
        <v>0</v>
      </c>
      <c r="J270" s="167" t="s">
        <v>680</v>
      </c>
      <c r="K270" s="992"/>
      <c r="L270" s="997"/>
    </row>
    <row r="271" spans="3:12" hidden="1">
      <c r="C271" s="115">
        <f t="shared" si="32"/>
        <v>3158</v>
      </c>
      <c r="D271" s="115">
        <f t="shared" si="33"/>
        <v>5</v>
      </c>
      <c r="E271" s="115">
        <f t="shared" si="34"/>
        <v>2017</v>
      </c>
      <c r="F271" s="115">
        <v>11</v>
      </c>
      <c r="G271" s="115" t="s">
        <v>462</v>
      </c>
      <c r="H271" s="115" t="s">
        <v>74</v>
      </c>
      <c r="I271" s="166">
        <f>IF(ISBLANK(U15),"",U15)</f>
        <v>431.39718288114852</v>
      </c>
      <c r="J271" s="167" t="s">
        <v>225</v>
      </c>
      <c r="K271" s="992"/>
      <c r="L271" s="997"/>
    </row>
    <row r="272" spans="3:12" hidden="1">
      <c r="C272" s="115">
        <f t="shared" si="32"/>
        <v>3158</v>
      </c>
      <c r="D272" s="115">
        <f t="shared" si="33"/>
        <v>5</v>
      </c>
      <c r="E272" s="115">
        <f t="shared" si="34"/>
        <v>2017</v>
      </c>
      <c r="F272" s="115">
        <v>11</v>
      </c>
      <c r="G272" s="115" t="s">
        <v>462</v>
      </c>
      <c r="H272" s="115" t="s">
        <v>75</v>
      </c>
      <c r="I272" s="166">
        <f>IF(ISBLANK(U16),"",U16)</f>
        <v>1957.2642359662796</v>
      </c>
      <c r="J272" s="167" t="s">
        <v>226</v>
      </c>
      <c r="K272" s="992"/>
      <c r="L272" s="997"/>
    </row>
    <row r="273" spans="3:12" hidden="1">
      <c r="C273" s="115">
        <f t="shared" si="32"/>
        <v>3158</v>
      </c>
      <c r="D273" s="115">
        <f t="shared" si="33"/>
        <v>5</v>
      </c>
      <c r="E273" s="115">
        <f t="shared" si="34"/>
        <v>2017</v>
      </c>
      <c r="F273" s="115">
        <v>11</v>
      </c>
      <c r="G273" s="115" t="s">
        <v>462</v>
      </c>
      <c r="H273" s="115" t="s">
        <v>76</v>
      </c>
      <c r="I273" s="166">
        <f>IF(U17=0,"",U17)</f>
        <v>2388.6614188474282</v>
      </c>
      <c r="J273" s="167"/>
      <c r="K273" s="992"/>
      <c r="L273" s="997"/>
    </row>
    <row r="274" spans="3:12" hidden="1">
      <c r="C274" s="115">
        <f t="shared" si="32"/>
        <v>3158</v>
      </c>
      <c r="D274" s="115">
        <f t="shared" si="33"/>
        <v>5</v>
      </c>
      <c r="E274" s="115">
        <f t="shared" si="34"/>
        <v>2017</v>
      </c>
      <c r="F274" s="115">
        <v>11</v>
      </c>
      <c r="G274" s="115" t="s">
        <v>462</v>
      </c>
      <c r="H274" s="115" t="s">
        <v>1386</v>
      </c>
      <c r="I274" s="166">
        <f t="shared" ref="I274:I279" si="35">IF(ISBLANK(U19),"",U19)</f>
        <v>0</v>
      </c>
      <c r="J274" s="167" t="s">
        <v>227</v>
      </c>
      <c r="K274" s="992"/>
      <c r="L274" s="997"/>
    </row>
    <row r="275" spans="3:12" hidden="1">
      <c r="C275" s="115">
        <f t="shared" si="32"/>
        <v>3158</v>
      </c>
      <c r="D275" s="115">
        <f t="shared" si="33"/>
        <v>5</v>
      </c>
      <c r="E275" s="115">
        <f t="shared" si="34"/>
        <v>2017</v>
      </c>
      <c r="F275" s="115">
        <v>11</v>
      </c>
      <c r="G275" s="115" t="s">
        <v>462</v>
      </c>
      <c r="H275" s="115" t="s">
        <v>458</v>
      </c>
      <c r="I275" s="166">
        <f t="shared" si="35"/>
        <v>8000</v>
      </c>
      <c r="J275" s="167" t="s">
        <v>228</v>
      </c>
      <c r="K275" s="992"/>
      <c r="L275" s="997"/>
    </row>
    <row r="276" spans="3:12" hidden="1">
      <c r="C276" s="115">
        <f t="shared" si="32"/>
        <v>3158</v>
      </c>
      <c r="D276" s="115">
        <f t="shared" si="33"/>
        <v>5</v>
      </c>
      <c r="E276" s="115">
        <f t="shared" si="34"/>
        <v>2017</v>
      </c>
      <c r="F276" s="115">
        <v>11</v>
      </c>
      <c r="G276" s="115" t="s">
        <v>462</v>
      </c>
      <c r="H276" s="115" t="s">
        <v>460</v>
      </c>
      <c r="I276" s="166">
        <f t="shared" si="35"/>
        <v>0</v>
      </c>
      <c r="J276" s="167" t="s">
        <v>229</v>
      </c>
      <c r="K276" s="992"/>
      <c r="L276" s="997"/>
    </row>
    <row r="277" spans="3:12" hidden="1">
      <c r="C277" s="115">
        <f t="shared" si="32"/>
        <v>3158</v>
      </c>
      <c r="D277" s="115">
        <f t="shared" si="33"/>
        <v>5</v>
      </c>
      <c r="E277" s="115">
        <f t="shared" si="34"/>
        <v>2017</v>
      </c>
      <c r="F277" s="115">
        <v>11</v>
      </c>
      <c r="G277" s="115" t="s">
        <v>462</v>
      </c>
      <c r="H277" s="115" t="s">
        <v>1387</v>
      </c>
      <c r="I277" s="166">
        <f t="shared" si="35"/>
        <v>0</v>
      </c>
      <c r="J277" s="167" t="s">
        <v>230</v>
      </c>
      <c r="K277" s="992"/>
      <c r="L277" s="997"/>
    </row>
    <row r="278" spans="3:12" hidden="1">
      <c r="C278" s="115">
        <f t="shared" si="32"/>
        <v>3158</v>
      </c>
      <c r="D278" s="115">
        <f t="shared" si="33"/>
        <v>5</v>
      </c>
      <c r="E278" s="115">
        <f t="shared" si="34"/>
        <v>2017</v>
      </c>
      <c r="F278" s="115">
        <v>11</v>
      </c>
      <c r="G278" s="115" t="s">
        <v>462</v>
      </c>
      <c r="H278" s="115" t="s">
        <v>1388</v>
      </c>
      <c r="I278" s="166">
        <f t="shared" si="35"/>
        <v>2372.3249730413909</v>
      </c>
      <c r="J278" s="167" t="s">
        <v>231</v>
      </c>
      <c r="K278" s="992"/>
      <c r="L278" s="997"/>
    </row>
    <row r="279" spans="3:12" hidden="1">
      <c r="C279" s="115">
        <f t="shared" si="32"/>
        <v>3158</v>
      </c>
      <c r="D279" s="115">
        <f t="shared" si="33"/>
        <v>5</v>
      </c>
      <c r="E279" s="115">
        <f t="shared" si="34"/>
        <v>2017</v>
      </c>
      <c r="F279" s="115">
        <v>11</v>
      </c>
      <c r="G279" s="115" t="s">
        <v>462</v>
      </c>
      <c r="H279" s="115" t="s">
        <v>1389</v>
      </c>
      <c r="I279" s="166">
        <f t="shared" si="35"/>
        <v>0</v>
      </c>
      <c r="J279" s="167" t="s">
        <v>232</v>
      </c>
      <c r="K279" s="992"/>
      <c r="L279" s="997"/>
    </row>
    <row r="280" spans="3:12" hidden="1">
      <c r="C280" s="115">
        <f t="shared" si="32"/>
        <v>3158</v>
      </c>
      <c r="D280" s="115">
        <f t="shared" si="33"/>
        <v>5</v>
      </c>
      <c r="E280" s="115">
        <f t="shared" si="34"/>
        <v>2017</v>
      </c>
      <c r="F280" s="115">
        <v>11</v>
      </c>
      <c r="G280" s="115" t="s">
        <v>462</v>
      </c>
      <c r="H280" s="115" t="s">
        <v>1390</v>
      </c>
      <c r="I280" s="166">
        <f>IF(U25=0,"",U25)</f>
        <v>10372.324973041392</v>
      </c>
      <c r="J280" s="167"/>
      <c r="K280" s="992"/>
      <c r="L280" s="998"/>
    </row>
    <row r="281" spans="3:12" ht="12.75" hidden="1" customHeight="1">
      <c r="C281" s="115">
        <f t="shared" si="32"/>
        <v>3158</v>
      </c>
      <c r="D281" s="207">
        <f t="shared" si="33"/>
        <v>5</v>
      </c>
      <c r="E281" s="207">
        <f t="shared" si="34"/>
        <v>2017</v>
      </c>
      <c r="F281" s="207">
        <v>12</v>
      </c>
      <c r="G281" s="207" t="s">
        <v>462</v>
      </c>
      <c r="H281" s="207" t="s">
        <v>463</v>
      </c>
      <c r="I281" s="208"/>
      <c r="J281" s="209" t="s">
        <v>682</v>
      </c>
      <c r="K281" s="992"/>
      <c r="L281" s="1002" t="s">
        <v>459</v>
      </c>
    </row>
    <row r="282" spans="3:12" hidden="1">
      <c r="C282" s="115">
        <f t="shared" si="32"/>
        <v>3158</v>
      </c>
      <c r="D282" s="207">
        <f t="shared" si="33"/>
        <v>5</v>
      </c>
      <c r="E282" s="207">
        <f t="shared" si="34"/>
        <v>2017</v>
      </c>
      <c r="F282" s="207">
        <v>12</v>
      </c>
      <c r="G282" s="207" t="s">
        <v>462</v>
      </c>
      <c r="H282" s="207" t="s">
        <v>465</v>
      </c>
      <c r="I282" s="208"/>
      <c r="J282" s="209" t="s">
        <v>683</v>
      </c>
      <c r="K282" s="992"/>
      <c r="L282" s="1003"/>
    </row>
    <row r="283" spans="3:12" hidden="1">
      <c r="C283" s="115">
        <f t="shared" si="32"/>
        <v>3158</v>
      </c>
      <c r="D283" s="207">
        <f t="shared" si="33"/>
        <v>5</v>
      </c>
      <c r="E283" s="207">
        <f t="shared" si="34"/>
        <v>2017</v>
      </c>
      <c r="F283" s="207">
        <v>12</v>
      </c>
      <c r="G283" s="207" t="s">
        <v>462</v>
      </c>
      <c r="H283" s="207" t="s">
        <v>466</v>
      </c>
      <c r="I283" s="208"/>
      <c r="J283" s="209" t="s">
        <v>684</v>
      </c>
      <c r="K283" s="992"/>
      <c r="L283" s="1003"/>
    </row>
    <row r="284" spans="3:12" hidden="1">
      <c r="C284" s="115">
        <f t="shared" si="32"/>
        <v>3158</v>
      </c>
      <c r="D284" s="207">
        <f t="shared" si="33"/>
        <v>5</v>
      </c>
      <c r="E284" s="207">
        <f t="shared" si="34"/>
        <v>2017</v>
      </c>
      <c r="F284" s="207">
        <v>12</v>
      </c>
      <c r="G284" s="207" t="s">
        <v>462</v>
      </c>
      <c r="H284" s="207" t="s">
        <v>467</v>
      </c>
      <c r="I284" s="208"/>
      <c r="J284" s="209" t="s">
        <v>685</v>
      </c>
      <c r="K284" s="992"/>
      <c r="L284" s="1003"/>
    </row>
    <row r="285" spans="3:12" hidden="1">
      <c r="C285" s="115">
        <f t="shared" si="32"/>
        <v>3158</v>
      </c>
      <c r="D285" s="207">
        <f t="shared" si="33"/>
        <v>5</v>
      </c>
      <c r="E285" s="207">
        <f t="shared" si="34"/>
        <v>2017</v>
      </c>
      <c r="F285" s="207">
        <v>12</v>
      </c>
      <c r="G285" s="207" t="s">
        <v>462</v>
      </c>
      <c r="H285" s="207" t="s">
        <v>455</v>
      </c>
      <c r="I285" s="208"/>
      <c r="J285" s="209"/>
      <c r="K285" s="992"/>
      <c r="L285" s="1003"/>
    </row>
    <row r="286" spans="3:12" hidden="1">
      <c r="C286" s="115">
        <f t="shared" si="32"/>
        <v>3158</v>
      </c>
      <c r="D286" s="207">
        <f t="shared" si="33"/>
        <v>5</v>
      </c>
      <c r="E286" s="207">
        <f t="shared" si="34"/>
        <v>2017</v>
      </c>
      <c r="F286" s="207">
        <v>12</v>
      </c>
      <c r="G286" s="207" t="s">
        <v>462</v>
      </c>
      <c r="H286" s="207" t="s">
        <v>468</v>
      </c>
      <c r="I286" s="208"/>
      <c r="J286" s="209" t="s">
        <v>687</v>
      </c>
      <c r="K286" s="992"/>
      <c r="L286" s="1003"/>
    </row>
    <row r="287" spans="3:12" hidden="1">
      <c r="C287" s="115">
        <f t="shared" si="32"/>
        <v>3158</v>
      </c>
      <c r="D287" s="207">
        <f t="shared" si="33"/>
        <v>5</v>
      </c>
      <c r="E287" s="207">
        <f t="shared" si="34"/>
        <v>2017</v>
      </c>
      <c r="F287" s="207">
        <v>12</v>
      </c>
      <c r="G287" s="207" t="s">
        <v>462</v>
      </c>
      <c r="H287" s="207" t="s">
        <v>469</v>
      </c>
      <c r="I287" s="208"/>
      <c r="J287" s="209" t="s">
        <v>688</v>
      </c>
      <c r="K287" s="992"/>
      <c r="L287" s="1003"/>
    </row>
    <row r="288" spans="3:12" hidden="1">
      <c r="C288" s="115">
        <f t="shared" si="32"/>
        <v>3158</v>
      </c>
      <c r="D288" s="207">
        <f t="shared" si="33"/>
        <v>5</v>
      </c>
      <c r="E288" s="207">
        <f t="shared" si="34"/>
        <v>2017</v>
      </c>
      <c r="F288" s="207">
        <v>12</v>
      </c>
      <c r="G288" s="207" t="s">
        <v>462</v>
      </c>
      <c r="H288" s="207" t="s">
        <v>470</v>
      </c>
      <c r="I288" s="208"/>
      <c r="J288" s="209" t="s">
        <v>689</v>
      </c>
      <c r="K288" s="992"/>
      <c r="L288" s="1003"/>
    </row>
    <row r="289" spans="3:12" hidden="1">
      <c r="C289" s="115">
        <f t="shared" si="32"/>
        <v>3158</v>
      </c>
      <c r="D289" s="207">
        <f t="shared" si="33"/>
        <v>5</v>
      </c>
      <c r="E289" s="207">
        <f t="shared" si="34"/>
        <v>2017</v>
      </c>
      <c r="F289" s="207">
        <v>12</v>
      </c>
      <c r="G289" s="207" t="s">
        <v>462</v>
      </c>
      <c r="H289" s="207" t="s">
        <v>72</v>
      </c>
      <c r="I289" s="208"/>
      <c r="J289" s="209"/>
      <c r="K289" s="992"/>
      <c r="L289" s="1003"/>
    </row>
    <row r="290" spans="3:12" hidden="1">
      <c r="C290" s="115">
        <f t="shared" si="32"/>
        <v>3158</v>
      </c>
      <c r="D290" s="207">
        <f t="shared" si="33"/>
        <v>5</v>
      </c>
      <c r="E290" s="207">
        <f t="shared" si="34"/>
        <v>2017</v>
      </c>
      <c r="F290" s="207">
        <v>12</v>
      </c>
      <c r="G290" s="207" t="s">
        <v>462</v>
      </c>
      <c r="H290" s="207" t="s">
        <v>73</v>
      </c>
      <c r="I290" s="208"/>
      <c r="J290" s="209" t="s">
        <v>691</v>
      </c>
      <c r="K290" s="992"/>
      <c r="L290" s="1003"/>
    </row>
    <row r="291" spans="3:12" hidden="1">
      <c r="C291" s="115">
        <f t="shared" si="32"/>
        <v>3158</v>
      </c>
      <c r="D291" s="207">
        <f t="shared" si="33"/>
        <v>5</v>
      </c>
      <c r="E291" s="207">
        <f t="shared" si="34"/>
        <v>2017</v>
      </c>
      <c r="F291" s="207">
        <v>12</v>
      </c>
      <c r="G291" s="207" t="s">
        <v>462</v>
      </c>
      <c r="H291" s="207" t="s">
        <v>74</v>
      </c>
      <c r="I291" s="208"/>
      <c r="J291" s="209" t="s">
        <v>233</v>
      </c>
      <c r="K291" s="992"/>
      <c r="L291" s="1003"/>
    </row>
    <row r="292" spans="3:12" hidden="1">
      <c r="C292" s="115">
        <f t="shared" si="32"/>
        <v>3158</v>
      </c>
      <c r="D292" s="207">
        <f t="shared" si="33"/>
        <v>5</v>
      </c>
      <c r="E292" s="207">
        <f t="shared" si="34"/>
        <v>2017</v>
      </c>
      <c r="F292" s="207">
        <v>12</v>
      </c>
      <c r="G292" s="207" t="s">
        <v>462</v>
      </c>
      <c r="H292" s="207" t="s">
        <v>75</v>
      </c>
      <c r="I292" s="208"/>
      <c r="J292" s="209" t="s">
        <v>234</v>
      </c>
      <c r="K292" s="992"/>
      <c r="L292" s="1003"/>
    </row>
    <row r="293" spans="3:12" hidden="1">
      <c r="C293" s="115">
        <f t="shared" si="32"/>
        <v>3158</v>
      </c>
      <c r="D293" s="207">
        <f t="shared" si="33"/>
        <v>5</v>
      </c>
      <c r="E293" s="207">
        <f t="shared" si="34"/>
        <v>2017</v>
      </c>
      <c r="F293" s="207">
        <v>12</v>
      </c>
      <c r="G293" s="207" t="s">
        <v>462</v>
      </c>
      <c r="H293" s="207" t="s">
        <v>76</v>
      </c>
      <c r="I293" s="208"/>
      <c r="J293" s="209"/>
      <c r="K293" s="992"/>
      <c r="L293" s="1003"/>
    </row>
    <row r="294" spans="3:12" hidden="1">
      <c r="C294" s="115">
        <f t="shared" si="32"/>
        <v>3158</v>
      </c>
      <c r="D294" s="207">
        <f t="shared" si="33"/>
        <v>5</v>
      </c>
      <c r="E294" s="207">
        <f t="shared" si="34"/>
        <v>2017</v>
      </c>
      <c r="F294" s="207">
        <v>12</v>
      </c>
      <c r="G294" s="207" t="s">
        <v>462</v>
      </c>
      <c r="H294" s="207" t="s">
        <v>1386</v>
      </c>
      <c r="I294" s="208"/>
      <c r="J294" s="209" t="s">
        <v>235</v>
      </c>
      <c r="K294" s="992"/>
      <c r="L294" s="1003"/>
    </row>
    <row r="295" spans="3:12" hidden="1">
      <c r="C295" s="115">
        <f t="shared" si="32"/>
        <v>3158</v>
      </c>
      <c r="D295" s="207">
        <f t="shared" si="33"/>
        <v>5</v>
      </c>
      <c r="E295" s="207">
        <f t="shared" si="34"/>
        <v>2017</v>
      </c>
      <c r="F295" s="207">
        <v>12</v>
      </c>
      <c r="G295" s="207" t="s">
        <v>462</v>
      </c>
      <c r="H295" s="207" t="s">
        <v>458</v>
      </c>
      <c r="I295" s="208"/>
      <c r="J295" s="209" t="s">
        <v>236</v>
      </c>
      <c r="K295" s="992"/>
      <c r="L295" s="1003"/>
    </row>
    <row r="296" spans="3:12" hidden="1">
      <c r="C296" s="115">
        <f t="shared" si="32"/>
        <v>3158</v>
      </c>
      <c r="D296" s="207">
        <f t="shared" si="33"/>
        <v>5</v>
      </c>
      <c r="E296" s="207">
        <f t="shared" si="34"/>
        <v>2017</v>
      </c>
      <c r="F296" s="207">
        <v>12</v>
      </c>
      <c r="G296" s="207" t="s">
        <v>462</v>
      </c>
      <c r="H296" s="207" t="s">
        <v>460</v>
      </c>
      <c r="I296" s="208"/>
      <c r="J296" s="209" t="s">
        <v>237</v>
      </c>
      <c r="K296" s="992"/>
      <c r="L296" s="1003"/>
    </row>
    <row r="297" spans="3:12" hidden="1">
      <c r="C297" s="115">
        <f t="shared" ref="C297:C356" si="36">P$1</f>
        <v>3158</v>
      </c>
      <c r="D297" s="207">
        <f t="shared" si="33"/>
        <v>5</v>
      </c>
      <c r="E297" s="207">
        <f t="shared" si="34"/>
        <v>2017</v>
      </c>
      <c r="F297" s="207">
        <v>12</v>
      </c>
      <c r="G297" s="207" t="s">
        <v>462</v>
      </c>
      <c r="H297" s="207" t="s">
        <v>1387</v>
      </c>
      <c r="I297" s="208"/>
      <c r="J297" s="209" t="s">
        <v>238</v>
      </c>
      <c r="K297" s="992"/>
      <c r="L297" s="1003"/>
    </row>
    <row r="298" spans="3:12" hidden="1">
      <c r="C298" s="115">
        <f t="shared" si="36"/>
        <v>3158</v>
      </c>
      <c r="D298" s="207">
        <f t="shared" si="33"/>
        <v>5</v>
      </c>
      <c r="E298" s="207">
        <f t="shared" si="34"/>
        <v>2017</v>
      </c>
      <c r="F298" s="207">
        <v>12</v>
      </c>
      <c r="G298" s="207" t="s">
        <v>462</v>
      </c>
      <c r="H298" s="207" t="s">
        <v>1388</v>
      </c>
      <c r="I298" s="208"/>
      <c r="J298" s="209" t="s">
        <v>239</v>
      </c>
      <c r="K298" s="992"/>
      <c r="L298" s="1003"/>
    </row>
    <row r="299" spans="3:12" hidden="1">
      <c r="C299" s="115">
        <f t="shared" si="36"/>
        <v>3158</v>
      </c>
      <c r="D299" s="207">
        <f t="shared" si="33"/>
        <v>5</v>
      </c>
      <c r="E299" s="207">
        <f t="shared" si="34"/>
        <v>2017</v>
      </c>
      <c r="F299" s="207">
        <v>12</v>
      </c>
      <c r="G299" s="207" t="s">
        <v>462</v>
      </c>
      <c r="H299" s="207" t="s">
        <v>1389</v>
      </c>
      <c r="I299" s="208"/>
      <c r="J299" s="209" t="s">
        <v>240</v>
      </c>
      <c r="K299" s="992"/>
      <c r="L299" s="1003"/>
    </row>
    <row r="300" spans="3:12" hidden="1">
      <c r="C300" s="115">
        <f t="shared" si="36"/>
        <v>3158</v>
      </c>
      <c r="D300" s="207">
        <f t="shared" si="33"/>
        <v>5</v>
      </c>
      <c r="E300" s="207">
        <f t="shared" si="34"/>
        <v>2017</v>
      </c>
      <c r="F300" s="207">
        <v>12</v>
      </c>
      <c r="G300" s="207" t="s">
        <v>462</v>
      </c>
      <c r="H300" s="207" t="s">
        <v>1390</v>
      </c>
      <c r="I300" s="208"/>
      <c r="J300" s="209"/>
      <c r="K300" s="992"/>
      <c r="L300" s="1004"/>
    </row>
    <row r="301" spans="3:12" ht="12.75" hidden="1" customHeight="1">
      <c r="C301" s="115">
        <f t="shared" si="36"/>
        <v>3158</v>
      </c>
      <c r="D301" s="115">
        <f t="shared" si="33"/>
        <v>5</v>
      </c>
      <c r="E301" s="115">
        <f t="shared" si="34"/>
        <v>2017</v>
      </c>
      <c r="F301" s="115">
        <v>13</v>
      </c>
      <c r="G301" s="115" t="s">
        <v>462</v>
      </c>
      <c r="H301" s="115" t="s">
        <v>463</v>
      </c>
      <c r="I301" s="166">
        <f>IF(ISBLANK(W5),"",W5)</f>
        <v>0</v>
      </c>
      <c r="J301" s="167" t="s">
        <v>693</v>
      </c>
      <c r="K301" s="992"/>
      <c r="L301" s="996" t="s">
        <v>434</v>
      </c>
    </row>
    <row r="302" spans="3:12" hidden="1">
      <c r="C302" s="115">
        <f t="shared" si="36"/>
        <v>3158</v>
      </c>
      <c r="D302" s="115">
        <f t="shared" si="33"/>
        <v>5</v>
      </c>
      <c r="E302" s="115">
        <f t="shared" si="34"/>
        <v>2017</v>
      </c>
      <c r="F302" s="115">
        <v>13</v>
      </c>
      <c r="G302" s="115" t="s">
        <v>462</v>
      </c>
      <c r="H302" s="115" t="s">
        <v>465</v>
      </c>
      <c r="I302" s="166">
        <f>IF(ISBLANK(W6),"",W6)</f>
        <v>0</v>
      </c>
      <c r="J302" s="167" t="s">
        <v>694</v>
      </c>
      <c r="K302" s="992"/>
      <c r="L302" s="997"/>
    </row>
    <row r="303" spans="3:12" hidden="1">
      <c r="C303" s="115">
        <f t="shared" si="36"/>
        <v>3158</v>
      </c>
      <c r="D303" s="115">
        <f t="shared" si="33"/>
        <v>5</v>
      </c>
      <c r="E303" s="115">
        <f t="shared" si="34"/>
        <v>2017</v>
      </c>
      <c r="F303" s="115">
        <v>13</v>
      </c>
      <c r="G303" s="115" t="s">
        <v>462</v>
      </c>
      <c r="H303" s="115" t="s">
        <v>466</v>
      </c>
      <c r="I303" s="166">
        <f>IF(ISBLANK(W7),"",W7)</f>
        <v>0</v>
      </c>
      <c r="J303" s="167" t="s">
        <v>695</v>
      </c>
      <c r="K303" s="992"/>
      <c r="L303" s="997"/>
    </row>
    <row r="304" spans="3:12" hidden="1">
      <c r="C304" s="115">
        <f t="shared" si="36"/>
        <v>3158</v>
      </c>
      <c r="D304" s="115">
        <f t="shared" si="33"/>
        <v>5</v>
      </c>
      <c r="E304" s="115">
        <f t="shared" si="34"/>
        <v>2017</v>
      </c>
      <c r="F304" s="115">
        <v>13</v>
      </c>
      <c r="G304" s="115" t="s">
        <v>462</v>
      </c>
      <c r="H304" s="115" t="s">
        <v>467</v>
      </c>
      <c r="I304" s="166">
        <f>IF(ISBLANK(W8),"",W8)</f>
        <v>0</v>
      </c>
      <c r="J304" s="167" t="s">
        <v>696</v>
      </c>
      <c r="K304" s="992"/>
      <c r="L304" s="997"/>
    </row>
    <row r="305" spans="3:12" hidden="1">
      <c r="C305" s="115">
        <f t="shared" si="36"/>
        <v>3158</v>
      </c>
      <c r="D305" s="115">
        <f t="shared" si="33"/>
        <v>5</v>
      </c>
      <c r="E305" s="115">
        <f t="shared" si="34"/>
        <v>2017</v>
      </c>
      <c r="F305" s="115">
        <v>13</v>
      </c>
      <c r="G305" s="115" t="s">
        <v>462</v>
      </c>
      <c r="H305" s="115" t="s">
        <v>455</v>
      </c>
      <c r="I305" s="166" t="str">
        <f>IF(W9=0,"",W9)</f>
        <v/>
      </c>
      <c r="J305" s="167"/>
      <c r="K305" s="992"/>
      <c r="L305" s="997"/>
    </row>
    <row r="306" spans="3:12" hidden="1">
      <c r="C306" s="115">
        <f t="shared" si="36"/>
        <v>3158</v>
      </c>
      <c r="D306" s="115">
        <f t="shared" si="33"/>
        <v>5</v>
      </c>
      <c r="E306" s="115">
        <f t="shared" si="34"/>
        <v>2017</v>
      </c>
      <c r="F306" s="115">
        <v>13</v>
      </c>
      <c r="G306" s="115" t="s">
        <v>462</v>
      </c>
      <c r="H306" s="115" t="s">
        <v>468</v>
      </c>
      <c r="I306" s="166">
        <f>IF(ISBLANK(W10),"",W10)</f>
        <v>0</v>
      </c>
      <c r="J306" s="167" t="s">
        <v>698</v>
      </c>
      <c r="K306" s="992"/>
      <c r="L306" s="997"/>
    </row>
    <row r="307" spans="3:12" hidden="1">
      <c r="C307" s="115">
        <f t="shared" si="36"/>
        <v>3158</v>
      </c>
      <c r="D307" s="115">
        <f t="shared" si="33"/>
        <v>5</v>
      </c>
      <c r="E307" s="115">
        <f t="shared" si="34"/>
        <v>2017</v>
      </c>
      <c r="F307" s="115">
        <v>13</v>
      </c>
      <c r="G307" s="115" t="s">
        <v>462</v>
      </c>
      <c r="H307" s="115" t="s">
        <v>469</v>
      </c>
      <c r="I307" s="166">
        <f>IF(ISBLANK(W11),"",W11)</f>
        <v>0</v>
      </c>
      <c r="J307" s="167" t="s">
        <v>699</v>
      </c>
      <c r="K307" s="992"/>
      <c r="L307" s="997"/>
    </row>
    <row r="308" spans="3:12" hidden="1">
      <c r="C308" s="115">
        <f t="shared" si="36"/>
        <v>3158</v>
      </c>
      <c r="D308" s="115">
        <f t="shared" si="33"/>
        <v>5</v>
      </c>
      <c r="E308" s="115">
        <f t="shared" si="34"/>
        <v>2017</v>
      </c>
      <c r="F308" s="115">
        <v>13</v>
      </c>
      <c r="G308" s="115" t="s">
        <v>462</v>
      </c>
      <c r="H308" s="115" t="s">
        <v>470</v>
      </c>
      <c r="I308" s="166">
        <f>IF(ISBLANK(W12),"",W12)</f>
        <v>0</v>
      </c>
      <c r="J308" s="167" t="s">
        <v>700</v>
      </c>
      <c r="K308" s="992"/>
      <c r="L308" s="997"/>
    </row>
    <row r="309" spans="3:12" hidden="1">
      <c r="C309" s="115">
        <f t="shared" si="36"/>
        <v>3158</v>
      </c>
      <c r="D309" s="115">
        <f t="shared" si="33"/>
        <v>5</v>
      </c>
      <c r="E309" s="115">
        <f t="shared" si="34"/>
        <v>2017</v>
      </c>
      <c r="F309" s="115">
        <v>13</v>
      </c>
      <c r="G309" s="115" t="s">
        <v>462</v>
      </c>
      <c r="H309" s="115" t="s">
        <v>72</v>
      </c>
      <c r="I309" s="166" t="str">
        <f>IF(W13=0,"",W13)</f>
        <v/>
      </c>
      <c r="J309" s="167"/>
      <c r="K309" s="992"/>
      <c r="L309" s="997"/>
    </row>
    <row r="310" spans="3:12" hidden="1">
      <c r="C310" s="115">
        <f t="shared" si="36"/>
        <v>3158</v>
      </c>
      <c r="D310" s="115">
        <f t="shared" si="33"/>
        <v>5</v>
      </c>
      <c r="E310" s="115">
        <f t="shared" si="34"/>
        <v>2017</v>
      </c>
      <c r="F310" s="115">
        <v>13</v>
      </c>
      <c r="G310" s="115" t="s">
        <v>462</v>
      </c>
      <c r="H310" s="115" t="s">
        <v>73</v>
      </c>
      <c r="I310" s="166">
        <f>IF(ISBLANK(W14),"",W14)</f>
        <v>0</v>
      </c>
      <c r="J310" s="167" t="s">
        <v>702</v>
      </c>
      <c r="K310" s="992"/>
      <c r="L310" s="997"/>
    </row>
    <row r="311" spans="3:12" hidden="1">
      <c r="C311" s="115">
        <f t="shared" si="36"/>
        <v>3158</v>
      </c>
      <c r="D311" s="115">
        <f t="shared" si="33"/>
        <v>5</v>
      </c>
      <c r="E311" s="115">
        <f t="shared" si="34"/>
        <v>2017</v>
      </c>
      <c r="F311" s="115">
        <v>13</v>
      </c>
      <c r="G311" s="115" t="s">
        <v>462</v>
      </c>
      <c r="H311" s="115" t="s">
        <v>74</v>
      </c>
      <c r="I311" s="166">
        <f>IF(ISBLANK(W15),"",W15)</f>
        <v>0</v>
      </c>
      <c r="J311" s="167" t="s">
        <v>241</v>
      </c>
      <c r="K311" s="992"/>
      <c r="L311" s="997"/>
    </row>
    <row r="312" spans="3:12" hidden="1">
      <c r="C312" s="115">
        <f t="shared" si="36"/>
        <v>3158</v>
      </c>
      <c r="D312" s="115">
        <f t="shared" si="33"/>
        <v>5</v>
      </c>
      <c r="E312" s="115">
        <f t="shared" si="34"/>
        <v>2017</v>
      </c>
      <c r="F312" s="115">
        <v>13</v>
      </c>
      <c r="G312" s="115" t="s">
        <v>462</v>
      </c>
      <c r="H312" s="115" t="s">
        <v>75</v>
      </c>
      <c r="I312" s="166">
        <f>IF(ISBLANK(W16),"",W16)</f>
        <v>0</v>
      </c>
      <c r="J312" s="167" t="s">
        <v>242</v>
      </c>
      <c r="K312" s="992"/>
      <c r="L312" s="997"/>
    </row>
    <row r="313" spans="3:12" hidden="1">
      <c r="C313" s="115">
        <f t="shared" si="36"/>
        <v>3158</v>
      </c>
      <c r="D313" s="115">
        <f t="shared" si="33"/>
        <v>5</v>
      </c>
      <c r="E313" s="115">
        <f t="shared" si="34"/>
        <v>2017</v>
      </c>
      <c r="F313" s="115">
        <v>13</v>
      </c>
      <c r="G313" s="115" t="s">
        <v>462</v>
      </c>
      <c r="H313" s="115" t="s">
        <v>76</v>
      </c>
      <c r="I313" s="166" t="str">
        <f>IF(W17=0,"",W17)</f>
        <v/>
      </c>
      <c r="J313" s="167"/>
      <c r="K313" s="992"/>
      <c r="L313" s="997"/>
    </row>
    <row r="314" spans="3:12" hidden="1">
      <c r="C314" s="115">
        <f t="shared" si="36"/>
        <v>3158</v>
      </c>
      <c r="D314" s="115">
        <f t="shared" si="33"/>
        <v>5</v>
      </c>
      <c r="E314" s="115">
        <f t="shared" si="34"/>
        <v>2017</v>
      </c>
      <c r="F314" s="115">
        <v>13</v>
      </c>
      <c r="G314" s="115" t="s">
        <v>462</v>
      </c>
      <c r="H314" s="115" t="s">
        <v>1386</v>
      </c>
      <c r="I314" s="166">
        <f t="shared" ref="I314:I319" si="37">IF(ISBLANK(W19),"",W19)</f>
        <v>0</v>
      </c>
      <c r="J314" s="167" t="s">
        <v>243</v>
      </c>
      <c r="K314" s="992"/>
      <c r="L314" s="997"/>
    </row>
    <row r="315" spans="3:12" hidden="1">
      <c r="C315" s="115">
        <f t="shared" si="36"/>
        <v>3158</v>
      </c>
      <c r="D315" s="115">
        <f t="shared" si="33"/>
        <v>5</v>
      </c>
      <c r="E315" s="115">
        <f t="shared" si="34"/>
        <v>2017</v>
      </c>
      <c r="F315" s="115">
        <v>13</v>
      </c>
      <c r="G315" s="115" t="s">
        <v>462</v>
      </c>
      <c r="H315" s="115" t="s">
        <v>458</v>
      </c>
      <c r="I315" s="166">
        <f t="shared" si="37"/>
        <v>0</v>
      </c>
      <c r="J315" s="167" t="s">
        <v>244</v>
      </c>
      <c r="K315" s="992"/>
      <c r="L315" s="997"/>
    </row>
    <row r="316" spans="3:12" hidden="1">
      <c r="C316" s="115">
        <f t="shared" si="36"/>
        <v>3158</v>
      </c>
      <c r="D316" s="115">
        <f t="shared" si="33"/>
        <v>5</v>
      </c>
      <c r="E316" s="115">
        <f t="shared" si="34"/>
        <v>2017</v>
      </c>
      <c r="F316" s="115">
        <v>13</v>
      </c>
      <c r="G316" s="115" t="s">
        <v>462</v>
      </c>
      <c r="H316" s="115" t="s">
        <v>460</v>
      </c>
      <c r="I316" s="166">
        <f t="shared" si="37"/>
        <v>0</v>
      </c>
      <c r="J316" s="167" t="s">
        <v>245</v>
      </c>
      <c r="K316" s="992"/>
      <c r="L316" s="997"/>
    </row>
    <row r="317" spans="3:12" hidden="1">
      <c r="C317" s="115">
        <f t="shared" si="36"/>
        <v>3158</v>
      </c>
      <c r="D317" s="115">
        <f t="shared" si="33"/>
        <v>5</v>
      </c>
      <c r="E317" s="115">
        <f t="shared" si="34"/>
        <v>2017</v>
      </c>
      <c r="F317" s="115">
        <v>13</v>
      </c>
      <c r="G317" s="115" t="s">
        <v>462</v>
      </c>
      <c r="H317" s="115" t="s">
        <v>1387</v>
      </c>
      <c r="I317" s="166">
        <f t="shared" si="37"/>
        <v>0</v>
      </c>
      <c r="J317" s="167" t="s">
        <v>246</v>
      </c>
      <c r="K317" s="992"/>
      <c r="L317" s="997"/>
    </row>
    <row r="318" spans="3:12" hidden="1">
      <c r="C318" s="115">
        <f t="shared" si="36"/>
        <v>3158</v>
      </c>
      <c r="D318" s="115">
        <f t="shared" ref="D318:D356" si="38">X$1</f>
        <v>5</v>
      </c>
      <c r="E318" s="115">
        <f t="shared" ref="E318:E356" si="39">J$1</f>
        <v>2017</v>
      </c>
      <c r="F318" s="115">
        <v>13</v>
      </c>
      <c r="G318" s="115" t="s">
        <v>462</v>
      </c>
      <c r="H318" s="115" t="s">
        <v>1388</v>
      </c>
      <c r="I318" s="166">
        <f t="shared" si="37"/>
        <v>0</v>
      </c>
      <c r="J318" s="167" t="s">
        <v>247</v>
      </c>
      <c r="K318" s="992"/>
      <c r="L318" s="997"/>
    </row>
    <row r="319" spans="3:12" hidden="1">
      <c r="C319" s="115">
        <f t="shared" si="36"/>
        <v>3158</v>
      </c>
      <c r="D319" s="115">
        <f t="shared" si="38"/>
        <v>5</v>
      </c>
      <c r="E319" s="115">
        <f t="shared" si="39"/>
        <v>2017</v>
      </c>
      <c r="F319" s="115">
        <v>13</v>
      </c>
      <c r="G319" s="115" t="s">
        <v>462</v>
      </c>
      <c r="H319" s="115" t="s">
        <v>1389</v>
      </c>
      <c r="I319" s="166">
        <f t="shared" si="37"/>
        <v>0</v>
      </c>
      <c r="J319" s="167" t="s">
        <v>248</v>
      </c>
      <c r="K319" s="992"/>
      <c r="L319" s="997"/>
    </row>
    <row r="320" spans="3:12" hidden="1">
      <c r="C320" s="115">
        <f t="shared" si="36"/>
        <v>3158</v>
      </c>
      <c r="D320" s="115">
        <f t="shared" si="38"/>
        <v>5</v>
      </c>
      <c r="E320" s="115">
        <f t="shared" si="39"/>
        <v>2017</v>
      </c>
      <c r="F320" s="115">
        <v>13</v>
      </c>
      <c r="G320" s="115" t="s">
        <v>462</v>
      </c>
      <c r="H320" s="115" t="s">
        <v>1390</v>
      </c>
      <c r="I320" s="166" t="str">
        <f>IF(W25=0,"",W25)</f>
        <v/>
      </c>
      <c r="J320" s="167"/>
      <c r="K320" s="992"/>
      <c r="L320" s="998"/>
    </row>
    <row r="321" spans="3:12" ht="12.75" hidden="1" customHeight="1">
      <c r="C321" s="115">
        <f t="shared" si="36"/>
        <v>3158</v>
      </c>
      <c r="D321" s="115">
        <f t="shared" si="38"/>
        <v>5</v>
      </c>
      <c r="E321" s="115">
        <f t="shared" si="39"/>
        <v>2017</v>
      </c>
      <c r="F321" s="115">
        <v>14</v>
      </c>
      <c r="G321" s="115" t="s">
        <v>462</v>
      </c>
      <c r="H321" s="115" t="s">
        <v>463</v>
      </c>
      <c r="I321" s="166">
        <f>IF(ISBLANK(X5),"",X5)</f>
        <v>0</v>
      </c>
      <c r="J321" s="121" t="s">
        <v>704</v>
      </c>
      <c r="K321" s="992"/>
      <c r="L321" s="996" t="s">
        <v>435</v>
      </c>
    </row>
    <row r="322" spans="3:12" hidden="1">
      <c r="C322" s="115">
        <f t="shared" si="36"/>
        <v>3158</v>
      </c>
      <c r="D322" s="115">
        <f t="shared" si="38"/>
        <v>5</v>
      </c>
      <c r="E322" s="115">
        <f t="shared" si="39"/>
        <v>2017</v>
      </c>
      <c r="F322" s="115">
        <v>14</v>
      </c>
      <c r="G322" s="115" t="s">
        <v>462</v>
      </c>
      <c r="H322" s="115" t="s">
        <v>465</v>
      </c>
      <c r="I322" s="166">
        <f>IF(ISBLANK(X6),"",X6)</f>
        <v>0</v>
      </c>
      <c r="J322" s="121" t="s">
        <v>705</v>
      </c>
      <c r="K322" s="992"/>
      <c r="L322" s="997"/>
    </row>
    <row r="323" spans="3:12" hidden="1">
      <c r="C323" s="115">
        <f t="shared" si="36"/>
        <v>3158</v>
      </c>
      <c r="D323" s="115">
        <f t="shared" si="38"/>
        <v>5</v>
      </c>
      <c r="E323" s="115">
        <f t="shared" si="39"/>
        <v>2017</v>
      </c>
      <c r="F323" s="115">
        <v>14</v>
      </c>
      <c r="G323" s="115" t="s">
        <v>462</v>
      </c>
      <c r="H323" s="115" t="s">
        <v>466</v>
      </c>
      <c r="I323" s="166">
        <f>IF(ISBLANK(X7),"",X7)</f>
        <v>0</v>
      </c>
      <c r="J323" s="121" t="s">
        <v>706</v>
      </c>
      <c r="K323" s="992"/>
      <c r="L323" s="997"/>
    </row>
    <row r="324" spans="3:12" hidden="1">
      <c r="C324" s="115">
        <f t="shared" si="36"/>
        <v>3158</v>
      </c>
      <c r="D324" s="115">
        <f t="shared" si="38"/>
        <v>5</v>
      </c>
      <c r="E324" s="115">
        <f t="shared" si="39"/>
        <v>2017</v>
      </c>
      <c r="F324" s="115">
        <v>14</v>
      </c>
      <c r="G324" s="115" t="s">
        <v>462</v>
      </c>
      <c r="H324" s="115" t="s">
        <v>467</v>
      </c>
      <c r="I324" s="166">
        <f>IF(ISBLANK(X8),"",X8)</f>
        <v>0</v>
      </c>
      <c r="J324" s="121" t="s">
        <v>707</v>
      </c>
      <c r="K324" s="992"/>
      <c r="L324" s="997"/>
    </row>
    <row r="325" spans="3:12" hidden="1">
      <c r="C325" s="115">
        <f t="shared" si="36"/>
        <v>3158</v>
      </c>
      <c r="D325" s="115">
        <f t="shared" si="38"/>
        <v>5</v>
      </c>
      <c r="E325" s="115">
        <f t="shared" si="39"/>
        <v>2017</v>
      </c>
      <c r="F325" s="115">
        <v>14</v>
      </c>
      <c r="G325" s="115" t="s">
        <v>462</v>
      </c>
      <c r="H325" s="115" t="s">
        <v>455</v>
      </c>
      <c r="I325" s="166" t="str">
        <f>IF(X9=0,"",X9)</f>
        <v/>
      </c>
      <c r="J325" s="121"/>
      <c r="K325" s="992"/>
      <c r="L325" s="997"/>
    </row>
    <row r="326" spans="3:12" hidden="1">
      <c r="C326" s="115">
        <f t="shared" si="36"/>
        <v>3158</v>
      </c>
      <c r="D326" s="115">
        <f t="shared" si="38"/>
        <v>5</v>
      </c>
      <c r="E326" s="115">
        <f t="shared" si="39"/>
        <v>2017</v>
      </c>
      <c r="F326" s="115">
        <v>14</v>
      </c>
      <c r="G326" s="115" t="s">
        <v>462</v>
      </c>
      <c r="H326" s="115" t="s">
        <v>468</v>
      </c>
      <c r="I326" s="166">
        <f>IF(ISBLANK(X10),"",X10)</f>
        <v>0</v>
      </c>
      <c r="J326" s="121" t="s">
        <v>709</v>
      </c>
      <c r="K326" s="992"/>
      <c r="L326" s="997"/>
    </row>
    <row r="327" spans="3:12" hidden="1">
      <c r="C327" s="115">
        <f t="shared" si="36"/>
        <v>3158</v>
      </c>
      <c r="D327" s="115">
        <f t="shared" si="38"/>
        <v>5</v>
      </c>
      <c r="E327" s="115">
        <f t="shared" si="39"/>
        <v>2017</v>
      </c>
      <c r="F327" s="115">
        <v>14</v>
      </c>
      <c r="G327" s="115" t="s">
        <v>462</v>
      </c>
      <c r="H327" s="115" t="s">
        <v>469</v>
      </c>
      <c r="I327" s="166">
        <f>IF(ISBLANK(X11),"",X11)</f>
        <v>0</v>
      </c>
      <c r="J327" s="121" t="s">
        <v>710</v>
      </c>
      <c r="K327" s="992"/>
      <c r="L327" s="997"/>
    </row>
    <row r="328" spans="3:12" hidden="1">
      <c r="C328" s="115">
        <f t="shared" si="36"/>
        <v>3158</v>
      </c>
      <c r="D328" s="115">
        <f t="shared" si="38"/>
        <v>5</v>
      </c>
      <c r="E328" s="115">
        <f t="shared" si="39"/>
        <v>2017</v>
      </c>
      <c r="F328" s="115">
        <v>14</v>
      </c>
      <c r="G328" s="115" t="s">
        <v>462</v>
      </c>
      <c r="H328" s="115" t="s">
        <v>470</v>
      </c>
      <c r="I328" s="166">
        <f>IF(ISBLANK(X12),"",X12)</f>
        <v>0</v>
      </c>
      <c r="J328" s="121" t="s">
        <v>711</v>
      </c>
      <c r="K328" s="992"/>
      <c r="L328" s="997"/>
    </row>
    <row r="329" spans="3:12" hidden="1">
      <c r="C329" s="115">
        <f t="shared" si="36"/>
        <v>3158</v>
      </c>
      <c r="D329" s="115">
        <f t="shared" si="38"/>
        <v>5</v>
      </c>
      <c r="E329" s="115">
        <f t="shared" si="39"/>
        <v>2017</v>
      </c>
      <c r="F329" s="115">
        <v>14</v>
      </c>
      <c r="G329" s="115" t="s">
        <v>462</v>
      </c>
      <c r="H329" s="115" t="s">
        <v>72</v>
      </c>
      <c r="I329" s="166" t="str">
        <f>IF(X13=0,"",X13)</f>
        <v/>
      </c>
      <c r="J329" s="121"/>
      <c r="K329" s="992"/>
      <c r="L329" s="997"/>
    </row>
    <row r="330" spans="3:12" hidden="1">
      <c r="C330" s="115">
        <f t="shared" si="36"/>
        <v>3158</v>
      </c>
      <c r="D330" s="115">
        <f t="shared" si="38"/>
        <v>5</v>
      </c>
      <c r="E330" s="115">
        <f t="shared" si="39"/>
        <v>2017</v>
      </c>
      <c r="F330" s="115">
        <v>14</v>
      </c>
      <c r="G330" s="115" t="s">
        <v>462</v>
      </c>
      <c r="H330" s="115" t="s">
        <v>73</v>
      </c>
      <c r="I330" s="166">
        <f>IF(ISBLANK(X14),"",X14)</f>
        <v>0</v>
      </c>
      <c r="J330" s="121" t="s">
        <v>713</v>
      </c>
      <c r="K330" s="992"/>
      <c r="L330" s="997"/>
    </row>
    <row r="331" spans="3:12" hidden="1">
      <c r="C331" s="115">
        <f t="shared" si="36"/>
        <v>3158</v>
      </c>
      <c r="D331" s="115">
        <f t="shared" si="38"/>
        <v>5</v>
      </c>
      <c r="E331" s="115">
        <f t="shared" si="39"/>
        <v>2017</v>
      </c>
      <c r="F331" s="115">
        <v>14</v>
      </c>
      <c r="G331" s="115" t="s">
        <v>462</v>
      </c>
      <c r="H331" s="115" t="s">
        <v>74</v>
      </c>
      <c r="I331" s="166">
        <f>IF(ISBLANK(X15),"",X15)</f>
        <v>0</v>
      </c>
      <c r="J331" s="121" t="s">
        <v>255</v>
      </c>
      <c r="K331" s="992"/>
      <c r="L331" s="997"/>
    </row>
    <row r="332" spans="3:12" hidden="1">
      <c r="C332" s="115">
        <f t="shared" si="36"/>
        <v>3158</v>
      </c>
      <c r="D332" s="115">
        <f t="shared" si="38"/>
        <v>5</v>
      </c>
      <c r="E332" s="115">
        <f t="shared" si="39"/>
        <v>2017</v>
      </c>
      <c r="F332" s="115">
        <v>14</v>
      </c>
      <c r="G332" s="115" t="s">
        <v>462</v>
      </c>
      <c r="H332" s="115" t="s">
        <v>75</v>
      </c>
      <c r="I332" s="166">
        <f>IF(ISBLANK(X16),"",X16)</f>
        <v>0</v>
      </c>
      <c r="J332" s="121" t="s">
        <v>256</v>
      </c>
      <c r="K332" s="992"/>
      <c r="L332" s="997"/>
    </row>
    <row r="333" spans="3:12" hidden="1">
      <c r="C333" s="115">
        <f t="shared" si="36"/>
        <v>3158</v>
      </c>
      <c r="D333" s="115">
        <f t="shared" si="38"/>
        <v>5</v>
      </c>
      <c r="E333" s="115">
        <f t="shared" si="39"/>
        <v>2017</v>
      </c>
      <c r="F333" s="115">
        <v>14</v>
      </c>
      <c r="G333" s="115" t="s">
        <v>462</v>
      </c>
      <c r="H333" s="115" t="s">
        <v>76</v>
      </c>
      <c r="I333" s="166" t="str">
        <f>IF(X17=0,"",X17)</f>
        <v/>
      </c>
      <c r="J333" s="121"/>
      <c r="K333" s="992"/>
      <c r="L333" s="997"/>
    </row>
    <row r="334" spans="3:12" hidden="1">
      <c r="C334" s="115">
        <f t="shared" si="36"/>
        <v>3158</v>
      </c>
      <c r="D334" s="115">
        <f t="shared" si="38"/>
        <v>5</v>
      </c>
      <c r="E334" s="115">
        <f t="shared" si="39"/>
        <v>2017</v>
      </c>
      <c r="F334" s="115">
        <v>14</v>
      </c>
      <c r="G334" s="115" t="s">
        <v>462</v>
      </c>
      <c r="H334" s="115" t="s">
        <v>1386</v>
      </c>
      <c r="I334" s="166">
        <f t="shared" ref="I334:I339" si="40">IF(ISBLANK(X19),"",X19)</f>
        <v>0</v>
      </c>
      <c r="J334" s="121" t="s">
        <v>249</v>
      </c>
      <c r="K334" s="992"/>
      <c r="L334" s="997"/>
    </row>
    <row r="335" spans="3:12" hidden="1">
      <c r="C335" s="115">
        <f t="shared" si="36"/>
        <v>3158</v>
      </c>
      <c r="D335" s="115">
        <f t="shared" si="38"/>
        <v>5</v>
      </c>
      <c r="E335" s="115">
        <f t="shared" si="39"/>
        <v>2017</v>
      </c>
      <c r="F335" s="115">
        <v>14</v>
      </c>
      <c r="G335" s="115" t="s">
        <v>462</v>
      </c>
      <c r="H335" s="115" t="s">
        <v>458</v>
      </c>
      <c r="I335" s="166" t="str">
        <f t="shared" si="40"/>
        <v/>
      </c>
      <c r="J335" s="121" t="s">
        <v>250</v>
      </c>
      <c r="K335" s="992"/>
      <c r="L335" s="997"/>
    </row>
    <row r="336" spans="3:12" hidden="1">
      <c r="C336" s="115">
        <f t="shared" si="36"/>
        <v>3158</v>
      </c>
      <c r="D336" s="115">
        <f t="shared" si="38"/>
        <v>5</v>
      </c>
      <c r="E336" s="115">
        <f t="shared" si="39"/>
        <v>2017</v>
      </c>
      <c r="F336" s="115">
        <v>14</v>
      </c>
      <c r="G336" s="115" t="s">
        <v>462</v>
      </c>
      <c r="H336" s="115" t="s">
        <v>460</v>
      </c>
      <c r="I336" s="166">
        <f t="shared" si="40"/>
        <v>0</v>
      </c>
      <c r="J336" s="121" t="s">
        <v>251</v>
      </c>
      <c r="K336" s="992"/>
      <c r="L336" s="997"/>
    </row>
    <row r="337" spans="3:12" hidden="1">
      <c r="C337" s="115">
        <f t="shared" si="36"/>
        <v>3158</v>
      </c>
      <c r="D337" s="115">
        <f t="shared" si="38"/>
        <v>5</v>
      </c>
      <c r="E337" s="115">
        <f t="shared" si="39"/>
        <v>2017</v>
      </c>
      <c r="F337" s="115">
        <v>14</v>
      </c>
      <c r="G337" s="115" t="s">
        <v>462</v>
      </c>
      <c r="H337" s="115" t="s">
        <v>1387</v>
      </c>
      <c r="I337" s="166">
        <f t="shared" si="40"/>
        <v>0</v>
      </c>
      <c r="J337" s="121" t="s">
        <v>252</v>
      </c>
      <c r="K337" s="992"/>
      <c r="L337" s="997"/>
    </row>
    <row r="338" spans="3:12" hidden="1">
      <c r="C338" s="115">
        <f t="shared" si="36"/>
        <v>3158</v>
      </c>
      <c r="D338" s="115">
        <f t="shared" si="38"/>
        <v>5</v>
      </c>
      <c r="E338" s="115">
        <f t="shared" si="39"/>
        <v>2017</v>
      </c>
      <c r="F338" s="115">
        <v>14</v>
      </c>
      <c r="G338" s="115" t="s">
        <v>462</v>
      </c>
      <c r="H338" s="115" t="s">
        <v>1388</v>
      </c>
      <c r="I338" s="166">
        <f t="shared" si="40"/>
        <v>0</v>
      </c>
      <c r="J338" s="121" t="s">
        <v>253</v>
      </c>
      <c r="K338" s="992"/>
      <c r="L338" s="997"/>
    </row>
    <row r="339" spans="3:12" hidden="1">
      <c r="C339" s="115">
        <f t="shared" si="36"/>
        <v>3158</v>
      </c>
      <c r="D339" s="115">
        <f t="shared" si="38"/>
        <v>5</v>
      </c>
      <c r="E339" s="115">
        <f t="shared" si="39"/>
        <v>2017</v>
      </c>
      <c r="F339" s="115">
        <v>14</v>
      </c>
      <c r="G339" s="115" t="s">
        <v>462</v>
      </c>
      <c r="H339" s="115" t="s">
        <v>1389</v>
      </c>
      <c r="I339" s="166">
        <f t="shared" si="40"/>
        <v>0</v>
      </c>
      <c r="J339" s="121" t="s">
        <v>254</v>
      </c>
      <c r="K339" s="992"/>
      <c r="L339" s="997"/>
    </row>
    <row r="340" spans="3:12" hidden="1">
      <c r="C340" s="115">
        <f t="shared" si="36"/>
        <v>3158</v>
      </c>
      <c r="D340" s="115">
        <f t="shared" si="38"/>
        <v>5</v>
      </c>
      <c r="E340" s="115">
        <f t="shared" si="39"/>
        <v>2017</v>
      </c>
      <c r="F340" s="115">
        <v>14</v>
      </c>
      <c r="G340" s="115" t="s">
        <v>462</v>
      </c>
      <c r="H340" s="115" t="s">
        <v>1390</v>
      </c>
      <c r="I340" s="166" t="str">
        <f>IF(X25=0,"",X25)</f>
        <v/>
      </c>
      <c r="J340" s="121"/>
      <c r="K340" s="992"/>
      <c r="L340" s="998"/>
    </row>
    <row r="341" spans="3:12" ht="12.75" hidden="1" customHeight="1">
      <c r="C341" s="115">
        <f t="shared" si="36"/>
        <v>3158</v>
      </c>
      <c r="D341" s="115">
        <f t="shared" si="38"/>
        <v>5</v>
      </c>
      <c r="E341" s="115">
        <f t="shared" si="39"/>
        <v>2017</v>
      </c>
      <c r="F341" s="22"/>
      <c r="G341" s="115" t="s">
        <v>1835</v>
      </c>
      <c r="H341" s="22" t="s">
        <v>1386</v>
      </c>
      <c r="I341" s="166">
        <f t="shared" ref="I341:I346" si="41">IF(ISBLANK(Y19),"",Y19)</f>
        <v>53860.05</v>
      </c>
      <c r="J341" s="121" t="s">
        <v>2675</v>
      </c>
      <c r="L341" s="996" t="s">
        <v>1530</v>
      </c>
    </row>
    <row r="342" spans="3:12" hidden="1">
      <c r="C342" s="115">
        <f t="shared" si="36"/>
        <v>3158</v>
      </c>
      <c r="D342" s="115">
        <f t="shared" si="38"/>
        <v>5</v>
      </c>
      <c r="E342" s="115">
        <f t="shared" si="39"/>
        <v>2017</v>
      </c>
      <c r="F342" s="22"/>
      <c r="G342" s="115" t="s">
        <v>1835</v>
      </c>
      <c r="H342" s="22" t="s">
        <v>458</v>
      </c>
      <c r="I342" s="166">
        <f t="shared" si="41"/>
        <v>220636</v>
      </c>
      <c r="J342" s="121" t="s">
        <v>2676</v>
      </c>
      <c r="L342" s="997"/>
    </row>
    <row r="343" spans="3:12" hidden="1">
      <c r="C343" s="115">
        <f t="shared" si="36"/>
        <v>3158</v>
      </c>
      <c r="D343" s="115">
        <f t="shared" si="38"/>
        <v>5</v>
      </c>
      <c r="E343" s="115">
        <f t="shared" si="39"/>
        <v>2017</v>
      </c>
      <c r="F343" s="22"/>
      <c r="G343" s="115" t="s">
        <v>1835</v>
      </c>
      <c r="H343" s="22" t="s">
        <v>460</v>
      </c>
      <c r="I343" s="166">
        <f t="shared" si="41"/>
        <v>171392</v>
      </c>
      <c r="J343" s="121" t="s">
        <v>2677</v>
      </c>
      <c r="L343" s="997"/>
    </row>
    <row r="344" spans="3:12" hidden="1">
      <c r="C344" s="115">
        <f t="shared" si="36"/>
        <v>3158</v>
      </c>
      <c r="D344" s="115">
        <f t="shared" si="38"/>
        <v>5</v>
      </c>
      <c r="E344" s="115">
        <f t="shared" si="39"/>
        <v>2017</v>
      </c>
      <c r="F344" s="22"/>
      <c r="G344" s="115" t="s">
        <v>1835</v>
      </c>
      <c r="H344" s="22" t="s">
        <v>1387</v>
      </c>
      <c r="I344" s="166">
        <f t="shared" si="41"/>
        <v>41470</v>
      </c>
      <c r="J344" s="121" t="s">
        <v>2678</v>
      </c>
      <c r="L344" s="997"/>
    </row>
    <row r="345" spans="3:12" hidden="1">
      <c r="C345" s="115">
        <f t="shared" si="36"/>
        <v>3158</v>
      </c>
      <c r="D345" s="115">
        <f t="shared" si="38"/>
        <v>5</v>
      </c>
      <c r="E345" s="115">
        <f t="shared" si="39"/>
        <v>2017</v>
      </c>
      <c r="F345" s="22"/>
      <c r="G345" s="115" t="s">
        <v>1835</v>
      </c>
      <c r="H345" s="22" t="s">
        <v>1388</v>
      </c>
      <c r="I345" s="166">
        <f t="shared" si="41"/>
        <v>258257.61779747601</v>
      </c>
      <c r="J345" s="121" t="s">
        <v>2679</v>
      </c>
      <c r="L345" s="997"/>
    </row>
    <row r="346" spans="3:12" hidden="1">
      <c r="C346" s="115">
        <f t="shared" si="36"/>
        <v>3158</v>
      </c>
      <c r="D346" s="115">
        <f t="shared" si="38"/>
        <v>5</v>
      </c>
      <c r="E346" s="115">
        <f t="shared" si="39"/>
        <v>2017</v>
      </c>
      <c r="F346" s="22"/>
      <c r="G346" s="115" t="s">
        <v>1835</v>
      </c>
      <c r="H346" s="22" t="s">
        <v>1389</v>
      </c>
      <c r="I346" s="166" t="str">
        <f t="shared" si="41"/>
        <v>-</v>
      </c>
      <c r="J346" s="121"/>
      <c r="L346" s="997"/>
    </row>
    <row r="347" spans="3:12" hidden="1">
      <c r="C347" s="115">
        <f t="shared" si="36"/>
        <v>3158</v>
      </c>
      <c r="D347" s="115">
        <f t="shared" si="38"/>
        <v>5</v>
      </c>
      <c r="E347" s="115">
        <f t="shared" si="39"/>
        <v>2017</v>
      </c>
      <c r="F347" s="22"/>
      <c r="G347" s="115" t="s">
        <v>1835</v>
      </c>
      <c r="H347" s="115" t="s">
        <v>463</v>
      </c>
      <c r="I347" s="166">
        <f>IF(ISBLANK(Y5),"",Y5)</f>
        <v>269415.0647339545</v>
      </c>
      <c r="J347" s="121"/>
      <c r="L347" s="997"/>
    </row>
    <row r="348" spans="3:12" hidden="1">
      <c r="C348" s="115">
        <f t="shared" si="36"/>
        <v>3158</v>
      </c>
      <c r="D348" s="115">
        <f t="shared" si="38"/>
        <v>5</v>
      </c>
      <c r="E348" s="115">
        <f t="shared" si="39"/>
        <v>2017</v>
      </c>
      <c r="G348" s="115" t="s">
        <v>1835</v>
      </c>
      <c r="H348" s="115" t="s">
        <v>465</v>
      </c>
      <c r="I348" s="116">
        <f>IF(ISBLANK(Y6),"",Y6)</f>
        <v>35674.123330184935</v>
      </c>
      <c r="J348" s="121"/>
      <c r="L348" s="997"/>
    </row>
    <row r="349" spans="3:12" hidden="1">
      <c r="C349" s="115">
        <f t="shared" si="36"/>
        <v>3158</v>
      </c>
      <c r="D349" s="115">
        <f t="shared" si="38"/>
        <v>5</v>
      </c>
      <c r="E349" s="115">
        <f t="shared" si="39"/>
        <v>2017</v>
      </c>
      <c r="G349" s="115" t="s">
        <v>1835</v>
      </c>
      <c r="H349" s="115" t="s">
        <v>466</v>
      </c>
      <c r="I349" s="116">
        <f>IF(ISBLANK(Y7),"",Y7)</f>
        <v>2450.5988443713954</v>
      </c>
      <c r="J349" s="121"/>
      <c r="L349" s="997"/>
    </row>
    <row r="350" spans="3:12" hidden="1">
      <c r="C350" s="115">
        <f t="shared" si="36"/>
        <v>3158</v>
      </c>
      <c r="D350" s="115">
        <f t="shared" si="38"/>
        <v>5</v>
      </c>
      <c r="E350" s="115">
        <f t="shared" si="39"/>
        <v>2017</v>
      </c>
      <c r="G350" s="115" t="s">
        <v>1835</v>
      </c>
      <c r="H350" s="115" t="s">
        <v>467</v>
      </c>
      <c r="I350" s="116">
        <f>IF(ISBLANK(Y8),"",Y8)</f>
        <v>0</v>
      </c>
      <c r="J350" s="121"/>
      <c r="L350" s="997"/>
    </row>
    <row r="351" spans="3:12" hidden="1">
      <c r="C351" s="115">
        <f t="shared" si="36"/>
        <v>3158</v>
      </c>
      <c r="D351" s="115">
        <f t="shared" si="38"/>
        <v>5</v>
      </c>
      <c r="E351" s="115">
        <f t="shared" si="39"/>
        <v>2017</v>
      </c>
      <c r="G351" s="115" t="s">
        <v>1835</v>
      </c>
      <c r="H351" s="115" t="s">
        <v>468</v>
      </c>
      <c r="I351" s="116">
        <f>IF(ISBLANK(Y10),"",Y10)</f>
        <v>0</v>
      </c>
      <c r="J351" s="121"/>
      <c r="L351" s="997"/>
    </row>
    <row r="352" spans="3:12" hidden="1">
      <c r="C352" s="115">
        <f t="shared" si="36"/>
        <v>3158</v>
      </c>
      <c r="D352" s="115">
        <f t="shared" si="38"/>
        <v>5</v>
      </c>
      <c r="E352" s="115">
        <f t="shared" si="39"/>
        <v>2017</v>
      </c>
      <c r="G352" s="115" t="s">
        <v>1835</v>
      </c>
      <c r="H352" s="115" t="s">
        <v>469</v>
      </c>
      <c r="I352" s="116">
        <f>IF(ISBLANK(Y11),"",Y11)</f>
        <v>195762.81</v>
      </c>
      <c r="J352" s="121"/>
      <c r="L352" s="997"/>
    </row>
    <row r="353" spans="3:12" hidden="1">
      <c r="C353" s="115">
        <f t="shared" si="36"/>
        <v>3158</v>
      </c>
      <c r="D353" s="115">
        <f t="shared" si="38"/>
        <v>5</v>
      </c>
      <c r="E353" s="115">
        <f t="shared" si="39"/>
        <v>2017</v>
      </c>
      <c r="G353" s="115" t="s">
        <v>1835</v>
      </c>
      <c r="H353" s="115" t="s">
        <v>470</v>
      </c>
      <c r="I353" s="116">
        <f>IF(ISBLANK(Y12),"",Y12)</f>
        <v>0</v>
      </c>
      <c r="J353" s="121"/>
      <c r="L353" s="997"/>
    </row>
    <row r="354" spans="3:12" hidden="1">
      <c r="C354" s="115">
        <f t="shared" si="36"/>
        <v>3158</v>
      </c>
      <c r="D354" s="115">
        <f t="shared" si="38"/>
        <v>5</v>
      </c>
      <c r="E354" s="115">
        <f t="shared" si="39"/>
        <v>2017</v>
      </c>
      <c r="G354" s="115" t="s">
        <v>1835</v>
      </c>
      <c r="H354" s="115" t="s">
        <v>73</v>
      </c>
      <c r="I354" s="116">
        <f>IF(ISBLANK(Y14),"",Y14)</f>
        <v>0</v>
      </c>
      <c r="J354" s="121"/>
      <c r="L354" s="997"/>
    </row>
    <row r="355" spans="3:12" hidden="1">
      <c r="C355" s="115">
        <f t="shared" si="36"/>
        <v>3158</v>
      </c>
      <c r="D355" s="115">
        <f t="shared" si="38"/>
        <v>5</v>
      </c>
      <c r="E355" s="115">
        <f t="shared" si="39"/>
        <v>2017</v>
      </c>
      <c r="G355" s="115" t="s">
        <v>1835</v>
      </c>
      <c r="H355" s="115" t="s">
        <v>74</v>
      </c>
      <c r="I355" s="116">
        <f>IF(ISBLANK(Y15),"",Y15)</f>
        <v>46963</v>
      </c>
      <c r="J355" s="121"/>
      <c r="L355" s="997"/>
    </row>
    <row r="356" spans="3:12" hidden="1">
      <c r="C356" s="115">
        <f t="shared" si="36"/>
        <v>3158</v>
      </c>
      <c r="D356" s="115">
        <f t="shared" si="38"/>
        <v>5</v>
      </c>
      <c r="E356" s="115">
        <f t="shared" si="39"/>
        <v>2017</v>
      </c>
      <c r="G356" s="115" t="s">
        <v>1835</v>
      </c>
      <c r="H356" s="115" t="s">
        <v>75</v>
      </c>
      <c r="I356" s="116">
        <f>IF(ISBLANK(Y16),"",Y16)</f>
        <v>213073</v>
      </c>
      <c r="J356" s="121"/>
      <c r="L356" s="998"/>
    </row>
    <row r="357" spans="3:12" hidden="1"/>
    <row r="358" spans="3:12" hidden="1"/>
    <row r="359" spans="3:12" hidden="1"/>
    <row r="360" spans="3:12" hidden="1"/>
    <row r="371" spans="10:11">
      <c r="J371" s="18"/>
      <c r="K371" s="18"/>
    </row>
    <row r="372" spans="10:11">
      <c r="J372" s="18"/>
      <c r="K372" s="18"/>
    </row>
    <row r="373" spans="10:11">
      <c r="J373" s="18"/>
      <c r="K373" s="18"/>
    </row>
    <row r="374" spans="10:11">
      <c r="J374" s="18"/>
      <c r="K374" s="18"/>
    </row>
    <row r="375" spans="10:11">
      <c r="J375" s="18"/>
      <c r="K375" s="18"/>
    </row>
    <row r="376" spans="10:11">
      <c r="J376" s="18"/>
      <c r="K376" s="18"/>
    </row>
    <row r="377" spans="10:11">
      <c r="J377" s="18"/>
      <c r="K377" s="18"/>
    </row>
    <row r="378" spans="10:11">
      <c r="J378" s="18"/>
      <c r="K378" s="18"/>
    </row>
    <row r="379" spans="10:11">
      <c r="J379" s="18"/>
      <c r="K379" s="18"/>
    </row>
    <row r="380" spans="10:11">
      <c r="J380" s="18"/>
      <c r="K380" s="18"/>
    </row>
    <row r="381" spans="10:11">
      <c r="J381" s="18"/>
      <c r="K381" s="18"/>
    </row>
    <row r="382" spans="10:11">
      <c r="J382" s="18"/>
      <c r="K382" s="18"/>
    </row>
    <row r="383" spans="10:11">
      <c r="J383" s="18"/>
      <c r="K383" s="18"/>
    </row>
    <row r="384" spans="10:11">
      <c r="J384" s="18"/>
      <c r="K384" s="18"/>
    </row>
    <row r="385" spans="10:11">
      <c r="J385" s="18"/>
      <c r="K385" s="18"/>
    </row>
    <row r="386" spans="10:11">
      <c r="J386" s="18"/>
      <c r="K386" s="18"/>
    </row>
  </sheetData>
  <sheetProtection password="CB72" sheet="1" objects="1" scenarios="1"/>
  <mergeCells count="39">
    <mergeCell ref="AB30:AM30"/>
    <mergeCell ref="J35:Y36"/>
    <mergeCell ref="J33:Y34"/>
    <mergeCell ref="Z5:Z13"/>
    <mergeCell ref="B27:I27"/>
    <mergeCell ref="B28:I28"/>
    <mergeCell ref="B29:I29"/>
    <mergeCell ref="B30:I30"/>
    <mergeCell ref="A34:E34"/>
    <mergeCell ref="A32:I33"/>
    <mergeCell ref="AB24:AL24"/>
    <mergeCell ref="Z14:Z17"/>
    <mergeCell ref="B3:B4"/>
    <mergeCell ref="B1:I1"/>
    <mergeCell ref="Y2:Z2"/>
    <mergeCell ref="J1:K1"/>
    <mergeCell ref="M1:O1"/>
    <mergeCell ref="P1:Q1"/>
    <mergeCell ref="C3:F3"/>
    <mergeCell ref="G3:I3"/>
    <mergeCell ref="Y3:Z4"/>
    <mergeCell ref="J3:X3"/>
    <mergeCell ref="L341:L356"/>
    <mergeCell ref="L221:L240"/>
    <mergeCell ref="L241:L260"/>
    <mergeCell ref="L261:L280"/>
    <mergeCell ref="L281:L300"/>
    <mergeCell ref="K41:K340"/>
    <mergeCell ref="L41:L60"/>
    <mergeCell ref="L61:L80"/>
    <mergeCell ref="L81:L100"/>
    <mergeCell ref="L101:L120"/>
    <mergeCell ref="L301:L320"/>
    <mergeCell ref="L321:L340"/>
    <mergeCell ref="L121:L140"/>
    <mergeCell ref="L141:L160"/>
    <mergeCell ref="L161:L180"/>
    <mergeCell ref="L181:L200"/>
    <mergeCell ref="L201:L220"/>
  </mergeCells>
  <phoneticPr fontId="0" type="noConversion"/>
  <conditionalFormatting sqref="U31:V31 J31:R31">
    <cfRule type="expression" dxfId="68" priority="3" stopIfTrue="1">
      <formula>AB$28=1</formula>
    </cfRule>
  </conditionalFormatting>
  <conditionalFormatting sqref="J32:M32 O32:R32">
    <cfRule type="expression" dxfId="67" priority="2" stopIfTrue="1">
      <formula>AB$33=1</formula>
    </cfRule>
  </conditionalFormatting>
  <conditionalFormatting sqref="N32">
    <cfRule type="expression" dxfId="66" priority="1" stopIfTrue="1">
      <formula>AG$33=1</formula>
    </cfRule>
  </conditionalFormatting>
  <conditionalFormatting sqref="T31">
    <cfRule type="expression" dxfId="65" priority="24" stopIfTrue="1">
      <formula>AJ$28=1</formula>
    </cfRule>
  </conditionalFormatting>
  <conditionalFormatting sqref="W32:X32">
    <cfRule type="expression" dxfId="64" priority="27" stopIfTrue="1">
      <formula>AO$33=1</formula>
    </cfRule>
  </conditionalFormatting>
  <conditionalFormatting sqref="U32:V32">
    <cfRule type="expression" dxfId="63" priority="29" stopIfTrue="1">
      <formula>AM$33=1</formula>
    </cfRule>
  </conditionalFormatting>
  <conditionalFormatting sqref="T32">
    <cfRule type="expression" dxfId="62" priority="31" stopIfTrue="1">
      <formula>AJ$33=1</formula>
    </cfRule>
  </conditionalFormatting>
  <conditionalFormatting sqref="S31">
    <cfRule type="expression" dxfId="61" priority="32" stopIfTrue="1">
      <formula>AJ$28=1</formula>
    </cfRule>
  </conditionalFormatting>
  <conditionalFormatting sqref="S32">
    <cfRule type="expression" dxfId="60" priority="34" stopIfTrue="1">
      <formula>AJ$33=1</formula>
    </cfRule>
  </conditionalFormatting>
  <dataValidations count="1">
    <dataValidation allowBlank="1" showInputMessage="1" showErrorMessage="1" errorTitle="Ganze Zahl" error="Bitte auf ganze Zahlen runden_x000a_Zahl zwischen 0 und 30'000'000" sqref="J5:X8 J22:X23 E5:E8 E10:E12 E14:E16 E20 J14:X16 J19:W21 J10:X12 X21 X19" xr:uid="{00000000-0002-0000-0200-000000000000}"/>
  </dataValidations>
  <pageMargins left="0.27559055118110237" right="0.23622047244094491" top="0.15748031496062992" bottom="0.15748031496062992" header="0.15748031496062992" footer="0.15748031496062992"/>
  <pageSetup paperSize="8" orientation="landscape" r:id="rId1"/>
  <headerFooter alignWithMargins="0">
    <oddFooter>&amp;L&amp;8Druck: &amp;D, &amp;T&amp;R&amp;8VAF-Periode 2015-2018</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theme="3" tint="0.59999389629810485"/>
  </sheetPr>
  <dimension ref="A1:IV428"/>
  <sheetViews>
    <sheetView showGridLines="0" zoomScale="70" zoomScaleNormal="70" zoomScaleSheetLayoutView="70" workbookViewId="0">
      <selection activeCell="C7" sqref="C7"/>
    </sheetView>
  </sheetViews>
  <sheetFormatPr baseColWidth="10" defaultColWidth="10.6640625" defaultRowHeight="12.75"/>
  <cols>
    <col min="1" max="1" width="3.77734375" style="1" customWidth="1"/>
    <col min="2" max="2" width="30.5546875" style="1" customWidth="1"/>
    <col min="3" max="3" width="12.77734375" style="1" customWidth="1"/>
    <col min="4" max="4" width="12.5546875" style="1" customWidth="1"/>
    <col min="5" max="5" width="14" style="1" customWidth="1"/>
    <col min="6" max="6" width="9.44140625" style="1" customWidth="1"/>
    <col min="7" max="7" width="13" style="1" customWidth="1"/>
    <col min="8" max="8" width="14.6640625" style="1" customWidth="1"/>
    <col min="9" max="9" width="13.109375" style="1" customWidth="1"/>
    <col min="10" max="10" width="17.33203125" style="1" customWidth="1"/>
    <col min="11" max="11" width="13.21875" style="1" customWidth="1"/>
    <col min="12" max="12" width="14" style="1" customWidth="1"/>
    <col min="13" max="13" width="13" style="1" customWidth="1"/>
    <col min="14" max="14" width="14.77734375" style="1" customWidth="1"/>
    <col min="15" max="15" width="13.109375" style="1" customWidth="1"/>
    <col min="16" max="16" width="12.6640625" style="1" customWidth="1"/>
    <col min="17" max="17" width="15.44140625" style="1" customWidth="1"/>
    <col min="18" max="19" width="20.5546875" style="1" customWidth="1"/>
    <col min="20" max="20" width="10.6640625" style="1" customWidth="1"/>
    <col min="21" max="33" width="10.6640625" style="169" hidden="1" customWidth="1"/>
    <col min="34" max="36" width="10.6640625" style="1" hidden="1" customWidth="1"/>
    <col min="37" max="16384" width="10.6640625" style="1"/>
  </cols>
  <sheetData>
    <row r="1" spans="1:256" s="26" customFormat="1" ht="18.75" customHeight="1">
      <c r="A1" s="1078" t="s">
        <v>2463</v>
      </c>
      <c r="B1" s="1078"/>
      <c r="C1" s="1078"/>
      <c r="D1" s="110">
        <f>'Organisationsdaten (Basisinfo)'!D1</f>
        <v>2017</v>
      </c>
      <c r="E1" s="80" t="s">
        <v>2483</v>
      </c>
      <c r="F1" s="110">
        <f>'Organisationsdaten (Basisinfo)'!H1</f>
        <v>3158</v>
      </c>
      <c r="G1" s="28">
        <f>D1</f>
        <v>2017</v>
      </c>
      <c r="H1" s="80" t="str">
        <f>E1</f>
        <v>Contrat n°</v>
      </c>
      <c r="I1" s="28">
        <f>F1</f>
        <v>3158</v>
      </c>
      <c r="J1" s="28">
        <f>G1</f>
        <v>2017</v>
      </c>
      <c r="K1" s="28">
        <f>I1</f>
        <v>3158</v>
      </c>
      <c r="L1" s="28">
        <f>G1</f>
        <v>2017</v>
      </c>
      <c r="M1" s="630" t="str">
        <f>H1</f>
        <v>Contrat n°</v>
      </c>
      <c r="N1" s="28">
        <f>I1</f>
        <v>3158</v>
      </c>
      <c r="O1" s="28">
        <f>L1</f>
        <v>2017</v>
      </c>
      <c r="P1" s="630" t="str">
        <f>M1</f>
        <v>Contrat n°</v>
      </c>
      <c r="Q1" s="28">
        <f>N1</f>
        <v>3158</v>
      </c>
      <c r="R1" s="28">
        <f>O1</f>
        <v>2017</v>
      </c>
      <c r="S1" s="28">
        <f>Q1</f>
        <v>3158</v>
      </c>
      <c r="U1" s="168"/>
      <c r="V1" s="168"/>
      <c r="W1" s="168"/>
      <c r="X1" s="168"/>
      <c r="Y1" s="168"/>
      <c r="Z1" s="168"/>
      <c r="AA1" s="168"/>
      <c r="AB1" s="168"/>
      <c r="AC1" s="168"/>
      <c r="AD1" s="168"/>
      <c r="AE1" s="168"/>
      <c r="AF1" s="168"/>
      <c r="AG1" s="168"/>
    </row>
    <row r="2" spans="1:256" ht="1.5" customHeight="1" thickBot="1">
      <c r="A2" s="3"/>
      <c r="C2" s="107"/>
      <c r="D2" s="107"/>
      <c r="E2" s="107"/>
      <c r="F2" s="107"/>
      <c r="G2" s="107"/>
      <c r="H2" s="107"/>
      <c r="I2" s="107"/>
      <c r="J2" s="107"/>
      <c r="K2" s="107"/>
      <c r="L2" s="107"/>
      <c r="M2" s="107"/>
      <c r="N2" s="107"/>
      <c r="O2" s="107"/>
      <c r="P2" s="107"/>
      <c r="Q2" s="107"/>
      <c r="R2" s="107"/>
      <c r="S2" s="107"/>
      <c r="Z2" s="170"/>
      <c r="AA2" s="170"/>
      <c r="AB2" s="170"/>
      <c r="AC2" s="170"/>
      <c r="AD2" s="170"/>
      <c r="AE2" s="170"/>
      <c r="AF2" s="170"/>
      <c r="AG2" s="170"/>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5"/>
      <c r="DC2" s="5"/>
      <c r="DD2" s="5"/>
      <c r="DE2" s="5"/>
      <c r="DF2" s="5"/>
      <c r="DG2" s="5"/>
      <c r="DH2" s="5"/>
      <c r="DI2" s="5"/>
      <c r="DJ2" s="5"/>
      <c r="DK2" s="5"/>
      <c r="DL2" s="5"/>
      <c r="DM2" s="5"/>
      <c r="DN2" s="5"/>
      <c r="DO2" s="5"/>
      <c r="DP2" s="5"/>
      <c r="DQ2" s="5"/>
      <c r="DR2" s="5"/>
      <c r="DS2" s="5"/>
      <c r="DT2" s="5"/>
      <c r="DU2" s="5"/>
      <c r="DV2" s="5"/>
      <c r="DW2" s="5"/>
      <c r="DX2" s="5"/>
      <c r="DY2" s="5"/>
      <c r="DZ2" s="5"/>
      <c r="EA2" s="5"/>
      <c r="EB2" s="5"/>
      <c r="EC2" s="5"/>
      <c r="ED2" s="5"/>
      <c r="EE2" s="5"/>
      <c r="EF2" s="5"/>
      <c r="EG2" s="5"/>
      <c r="EH2" s="5"/>
      <c r="EI2" s="5"/>
      <c r="EJ2" s="5"/>
      <c r="EK2" s="5"/>
      <c r="EL2" s="5"/>
      <c r="EM2" s="5"/>
      <c r="EN2" s="5"/>
      <c r="EO2" s="5"/>
      <c r="EP2" s="5"/>
      <c r="EQ2" s="5"/>
      <c r="ER2" s="5"/>
      <c r="ES2" s="5"/>
      <c r="ET2" s="5"/>
      <c r="EU2" s="5"/>
      <c r="EV2" s="5"/>
      <c r="EW2" s="5"/>
      <c r="EX2" s="5"/>
      <c r="EY2" s="5"/>
      <c r="EZ2" s="5"/>
      <c r="FA2" s="5"/>
      <c r="FB2" s="5"/>
      <c r="FC2" s="5"/>
      <c r="FD2" s="5"/>
      <c r="FE2" s="5"/>
      <c r="FF2" s="5"/>
      <c r="FG2" s="5"/>
      <c r="FH2" s="5"/>
      <c r="FI2" s="5"/>
      <c r="FJ2" s="5"/>
      <c r="FK2" s="5"/>
      <c r="FL2" s="5"/>
      <c r="FM2" s="5"/>
      <c r="FN2" s="5"/>
      <c r="FO2" s="5"/>
      <c r="FP2" s="5"/>
      <c r="FQ2" s="5"/>
      <c r="FR2" s="5"/>
      <c r="FS2" s="5"/>
      <c r="FT2" s="5"/>
      <c r="FU2" s="5"/>
      <c r="FV2" s="5"/>
      <c r="FW2" s="5"/>
      <c r="FX2" s="5"/>
      <c r="FY2" s="5"/>
      <c r="FZ2" s="5"/>
      <c r="GA2" s="5"/>
      <c r="GB2" s="5"/>
      <c r="GC2" s="5"/>
      <c r="GD2" s="5"/>
      <c r="GE2" s="5"/>
      <c r="GF2" s="5"/>
      <c r="GG2" s="5"/>
      <c r="GH2" s="5"/>
      <c r="GI2" s="5"/>
      <c r="GJ2" s="5"/>
      <c r="GK2" s="5"/>
      <c r="GL2" s="5"/>
      <c r="GM2" s="5"/>
      <c r="GN2" s="5"/>
      <c r="GO2" s="5"/>
      <c r="GP2" s="5"/>
      <c r="GQ2" s="5"/>
      <c r="GR2" s="5"/>
      <c r="GS2" s="5"/>
      <c r="GT2" s="5"/>
      <c r="GU2" s="5"/>
      <c r="GV2" s="5"/>
      <c r="GW2" s="5"/>
      <c r="GX2" s="5"/>
      <c r="GY2" s="5"/>
      <c r="GZ2" s="5"/>
      <c r="HA2" s="5"/>
      <c r="HB2" s="5"/>
      <c r="HC2" s="5"/>
      <c r="HD2" s="5"/>
      <c r="HE2" s="5"/>
      <c r="HF2" s="5"/>
      <c r="HG2" s="5"/>
      <c r="HH2" s="5"/>
      <c r="HI2" s="5"/>
      <c r="HJ2" s="5"/>
      <c r="HK2" s="5"/>
      <c r="HL2" s="5"/>
      <c r="HM2" s="5"/>
      <c r="HN2" s="5"/>
      <c r="HO2" s="5"/>
      <c r="HP2" s="5"/>
      <c r="HQ2" s="5"/>
      <c r="HR2" s="5"/>
      <c r="HS2" s="5"/>
      <c r="HT2" s="5"/>
      <c r="HU2" s="5"/>
      <c r="HV2" s="5"/>
      <c r="HW2" s="5"/>
      <c r="HX2" s="5"/>
      <c r="HY2" s="5"/>
      <c r="HZ2" s="5"/>
      <c r="IA2" s="5"/>
      <c r="IB2" s="5"/>
      <c r="IC2" s="5"/>
      <c r="ID2" s="5"/>
      <c r="IE2" s="5"/>
      <c r="IF2" s="5"/>
      <c r="IG2" s="5"/>
      <c r="IH2" s="5"/>
      <c r="II2" s="5"/>
      <c r="IJ2" s="5"/>
      <c r="IK2" s="5"/>
      <c r="IL2" s="5"/>
      <c r="IM2" s="5"/>
      <c r="IN2" s="5"/>
      <c r="IO2" s="5"/>
      <c r="IP2" s="5"/>
      <c r="IQ2" s="5"/>
      <c r="IR2" s="5"/>
      <c r="IS2" s="5"/>
      <c r="IT2" s="5"/>
      <c r="IU2" s="5"/>
      <c r="IV2" s="5"/>
    </row>
    <row r="3" spans="1:256" s="12" customFormat="1" ht="28.5" customHeight="1" thickBot="1">
      <c r="A3" s="1100"/>
      <c r="B3" s="1101"/>
      <c r="C3" s="1048" t="s">
        <v>2667</v>
      </c>
      <c r="D3" s="1049"/>
      <c r="E3" s="1049"/>
      <c r="F3" s="1050"/>
      <c r="G3" s="1105" t="s">
        <v>2482</v>
      </c>
      <c r="H3" s="1106"/>
      <c r="I3" s="1107"/>
      <c r="J3" s="1055" t="s">
        <v>2449</v>
      </c>
      <c r="K3" s="1056"/>
      <c r="L3" s="1055" t="s">
        <v>2450</v>
      </c>
      <c r="M3" s="1061"/>
      <c r="N3" s="1056"/>
      <c r="O3" s="1055" t="s">
        <v>2451</v>
      </c>
      <c r="P3" s="1061"/>
      <c r="Q3" s="1056"/>
      <c r="R3" s="1112" t="s">
        <v>2484</v>
      </c>
      <c r="S3" s="1113"/>
      <c r="U3" s="171"/>
      <c r="V3" s="171"/>
      <c r="W3" s="171"/>
      <c r="X3" s="171"/>
      <c r="Y3" s="171"/>
      <c r="Z3" s="172"/>
      <c r="AA3" s="172"/>
      <c r="AB3" s="172"/>
      <c r="AC3" s="172"/>
      <c r="AD3" s="172"/>
      <c r="AE3" s="172"/>
      <c r="AF3" s="172"/>
      <c r="AG3" s="172"/>
      <c r="AH3" s="13"/>
      <c r="AI3" s="13"/>
      <c r="AJ3" s="13"/>
      <c r="AK3" s="13"/>
      <c r="AL3" s="13"/>
      <c r="AM3" s="13"/>
      <c r="AN3" s="13"/>
      <c r="AO3" s="13"/>
      <c r="AP3" s="13"/>
      <c r="AQ3" s="13"/>
      <c r="AR3" s="13"/>
      <c r="AS3" s="13"/>
      <c r="AT3" s="13"/>
      <c r="AU3" s="13"/>
      <c r="AV3" s="13"/>
      <c r="AW3" s="13"/>
      <c r="AX3" s="13"/>
      <c r="AY3" s="13"/>
      <c r="AZ3" s="13"/>
      <c r="BA3" s="13"/>
      <c r="BB3" s="13"/>
      <c r="BC3" s="13"/>
      <c r="BD3" s="13"/>
      <c r="BE3" s="13"/>
      <c r="BF3" s="13"/>
      <c r="BG3" s="13"/>
      <c r="BH3" s="13"/>
      <c r="BI3" s="13"/>
      <c r="BJ3" s="13"/>
      <c r="BK3" s="13"/>
      <c r="BL3" s="13"/>
      <c r="BM3" s="13"/>
      <c r="BN3" s="13"/>
      <c r="BO3" s="13"/>
      <c r="BP3" s="13"/>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3"/>
      <c r="CZ3" s="13"/>
      <c r="DA3" s="13"/>
      <c r="DB3" s="13"/>
      <c r="DC3" s="13"/>
      <c r="DD3" s="13"/>
      <c r="DE3" s="13"/>
      <c r="DF3" s="13"/>
      <c r="DG3" s="13"/>
      <c r="DH3" s="13"/>
      <c r="DI3" s="13"/>
      <c r="DJ3" s="13"/>
      <c r="DK3" s="13"/>
      <c r="DL3" s="13"/>
      <c r="DM3" s="13"/>
      <c r="DN3" s="13"/>
      <c r="DO3" s="13"/>
      <c r="DP3" s="13"/>
      <c r="DQ3" s="13"/>
      <c r="DR3" s="13"/>
      <c r="DS3" s="13"/>
      <c r="DT3" s="13"/>
      <c r="DU3" s="13"/>
      <c r="DV3" s="13"/>
      <c r="DW3" s="13"/>
      <c r="DX3" s="13"/>
      <c r="DY3" s="13"/>
      <c r="DZ3" s="13"/>
      <c r="EA3" s="13"/>
      <c r="EB3" s="13"/>
      <c r="EC3" s="13"/>
      <c r="ED3" s="13"/>
      <c r="EE3" s="13"/>
      <c r="EF3" s="13"/>
      <c r="EG3" s="13"/>
      <c r="EH3" s="13"/>
      <c r="EI3" s="13"/>
      <c r="EJ3" s="13"/>
      <c r="EK3" s="13"/>
      <c r="EL3" s="13"/>
      <c r="EM3" s="13"/>
      <c r="EN3" s="13"/>
      <c r="EO3" s="13"/>
      <c r="EP3" s="13"/>
      <c r="EQ3" s="13"/>
      <c r="ER3" s="13"/>
      <c r="ES3" s="13"/>
      <c r="ET3" s="13"/>
      <c r="EU3" s="13"/>
      <c r="EV3" s="13"/>
      <c r="EW3" s="13"/>
      <c r="EX3" s="13"/>
      <c r="EY3" s="13"/>
      <c r="EZ3" s="13"/>
      <c r="FA3" s="13"/>
      <c r="FB3" s="13"/>
      <c r="FC3" s="13"/>
      <c r="FD3" s="13"/>
      <c r="FE3" s="13"/>
      <c r="FF3" s="13"/>
      <c r="FG3" s="13"/>
      <c r="FH3" s="13"/>
      <c r="FI3" s="13"/>
      <c r="FJ3" s="13"/>
      <c r="FK3" s="13"/>
      <c r="FL3" s="13"/>
      <c r="FM3" s="13"/>
      <c r="FN3" s="13"/>
      <c r="FO3" s="13"/>
      <c r="FP3" s="13"/>
      <c r="FQ3" s="13"/>
      <c r="FR3" s="13"/>
      <c r="FS3" s="13"/>
      <c r="FT3" s="13"/>
      <c r="FU3" s="13"/>
      <c r="FV3" s="13"/>
      <c r="FW3" s="13"/>
      <c r="FX3" s="13"/>
      <c r="FY3" s="13"/>
      <c r="FZ3" s="13"/>
      <c r="GA3" s="13"/>
      <c r="GB3" s="13"/>
      <c r="GC3" s="13"/>
      <c r="GD3" s="13"/>
      <c r="GE3" s="13"/>
      <c r="GF3" s="13"/>
      <c r="GG3" s="13"/>
      <c r="GH3" s="13"/>
      <c r="GI3" s="13"/>
      <c r="GJ3" s="13"/>
      <c r="GK3" s="13"/>
      <c r="GL3" s="13"/>
      <c r="GM3" s="13"/>
      <c r="GN3" s="13"/>
      <c r="GO3" s="13"/>
      <c r="GP3" s="13"/>
      <c r="GQ3" s="13"/>
      <c r="GR3" s="13"/>
      <c r="GS3" s="13"/>
      <c r="GT3" s="13"/>
      <c r="GU3" s="13"/>
      <c r="GV3" s="13"/>
      <c r="GW3" s="13"/>
      <c r="GX3" s="13"/>
      <c r="GY3" s="13"/>
      <c r="GZ3" s="13"/>
      <c r="HA3" s="13"/>
      <c r="HB3" s="13"/>
      <c r="HC3" s="13"/>
      <c r="HD3" s="13"/>
      <c r="HE3" s="13"/>
      <c r="HF3" s="13"/>
      <c r="HG3" s="13"/>
      <c r="HH3" s="13"/>
      <c r="HI3" s="13"/>
      <c r="HJ3" s="13"/>
      <c r="HK3" s="13"/>
      <c r="HL3" s="13"/>
      <c r="HM3" s="13"/>
      <c r="HN3" s="13"/>
      <c r="HO3" s="13"/>
      <c r="HP3" s="13"/>
      <c r="HQ3" s="13"/>
      <c r="HR3" s="13"/>
      <c r="HS3" s="13"/>
      <c r="HT3" s="13"/>
      <c r="HU3" s="13"/>
      <c r="HV3" s="13"/>
      <c r="HW3" s="13"/>
      <c r="HX3" s="13"/>
      <c r="HY3" s="13"/>
      <c r="HZ3" s="13"/>
      <c r="IA3" s="13"/>
      <c r="IB3" s="13"/>
      <c r="IC3" s="13"/>
      <c r="ID3" s="13"/>
      <c r="IE3" s="13"/>
      <c r="IF3" s="13"/>
      <c r="IG3" s="13"/>
      <c r="IH3" s="13"/>
      <c r="II3" s="13"/>
      <c r="IJ3" s="13"/>
      <c r="IK3" s="13"/>
      <c r="IL3" s="13"/>
      <c r="IM3" s="13"/>
      <c r="IN3" s="13"/>
      <c r="IO3" s="13"/>
      <c r="IP3" s="13"/>
      <c r="IQ3" s="13"/>
      <c r="IR3" s="13"/>
      <c r="IS3" s="13"/>
      <c r="IT3" s="13"/>
      <c r="IU3" s="13"/>
      <c r="IV3" s="13"/>
    </row>
    <row r="4" spans="1:256" s="72" customFormat="1" ht="20.25" customHeight="1">
      <c r="A4" s="1102"/>
      <c r="B4" s="1077"/>
      <c r="C4" s="626" t="s">
        <v>2474</v>
      </c>
      <c r="D4" s="627" t="s">
        <v>2479</v>
      </c>
      <c r="E4" s="624" t="s">
        <v>2481</v>
      </c>
      <c r="F4" s="1045" t="s">
        <v>2480</v>
      </c>
      <c r="G4" s="629" t="s">
        <v>2479</v>
      </c>
      <c r="H4" s="623" t="s">
        <v>2481</v>
      </c>
      <c r="I4" s="1108" t="s">
        <v>2485</v>
      </c>
      <c r="J4" s="1057" t="s">
        <v>2488</v>
      </c>
      <c r="K4" s="1059" t="s">
        <v>2489</v>
      </c>
      <c r="L4" s="218" t="s">
        <v>2486</v>
      </c>
      <c r="M4" s="1062" t="s">
        <v>2487</v>
      </c>
      <c r="N4" s="1045"/>
      <c r="O4" s="218" t="s">
        <v>2486</v>
      </c>
      <c r="P4" s="1062" t="s">
        <v>2487</v>
      </c>
      <c r="Q4" s="1045"/>
      <c r="R4" s="1114" t="s">
        <v>2475</v>
      </c>
      <c r="S4" s="1045" t="s">
        <v>2491</v>
      </c>
      <c r="U4" s="173"/>
      <c r="V4" s="173"/>
      <c r="W4" s="173"/>
      <c r="X4" s="173"/>
      <c r="Y4" s="173"/>
      <c r="Z4" s="174"/>
      <c r="AA4" s="174"/>
      <c r="AB4" s="174"/>
      <c r="AC4" s="174"/>
      <c r="AD4" s="174"/>
      <c r="AE4" s="174"/>
      <c r="AF4" s="174"/>
      <c r="AG4" s="174"/>
      <c r="AH4" s="73"/>
      <c r="AI4" s="73"/>
      <c r="AJ4" s="73"/>
      <c r="AK4" s="73"/>
      <c r="AL4" s="73"/>
      <c r="AM4" s="73"/>
      <c r="AN4" s="73"/>
      <c r="AO4" s="73"/>
      <c r="AP4" s="73"/>
      <c r="AQ4" s="73"/>
      <c r="AR4" s="73"/>
      <c r="AS4" s="73"/>
      <c r="AT4" s="73"/>
      <c r="AU4" s="73"/>
      <c r="AV4" s="73"/>
      <c r="AW4" s="73"/>
      <c r="AX4" s="73"/>
      <c r="AY4" s="73"/>
      <c r="AZ4" s="73"/>
      <c r="BA4" s="73"/>
      <c r="BB4" s="73"/>
      <c r="BC4" s="73"/>
      <c r="BD4" s="73"/>
      <c r="BE4" s="73"/>
      <c r="BF4" s="73"/>
      <c r="BG4" s="73"/>
      <c r="BH4" s="73"/>
      <c r="BI4" s="73"/>
      <c r="BJ4" s="73"/>
      <c r="BK4" s="73"/>
      <c r="BL4" s="73"/>
      <c r="BM4" s="73"/>
      <c r="BN4" s="73"/>
      <c r="BO4" s="73"/>
      <c r="BP4" s="73"/>
      <c r="BQ4" s="73"/>
      <c r="BR4" s="73"/>
      <c r="BS4" s="73"/>
      <c r="BT4" s="73"/>
      <c r="BU4" s="73"/>
      <c r="BV4" s="73"/>
      <c r="BW4" s="73"/>
      <c r="BX4" s="73"/>
      <c r="BY4" s="73"/>
      <c r="BZ4" s="73"/>
      <c r="CA4" s="73"/>
      <c r="CB4" s="73"/>
      <c r="CC4" s="73"/>
      <c r="CD4" s="73"/>
      <c r="CE4" s="73"/>
      <c r="CF4" s="73"/>
      <c r="CG4" s="73"/>
      <c r="CH4" s="73"/>
      <c r="CI4" s="73"/>
      <c r="CJ4" s="73"/>
      <c r="CK4" s="73"/>
      <c r="CL4" s="73"/>
      <c r="CM4" s="73"/>
      <c r="CN4" s="73"/>
      <c r="CO4" s="73"/>
      <c r="CP4" s="73"/>
      <c r="CQ4" s="73"/>
      <c r="CR4" s="73"/>
      <c r="CS4" s="73"/>
      <c r="CT4" s="73"/>
      <c r="CU4" s="73"/>
      <c r="CV4" s="73"/>
      <c r="CW4" s="73"/>
      <c r="CX4" s="73"/>
      <c r="CY4" s="73"/>
      <c r="CZ4" s="73"/>
      <c r="DA4" s="73"/>
      <c r="DB4" s="73"/>
      <c r="DC4" s="73"/>
      <c r="DD4" s="73"/>
      <c r="DE4" s="73"/>
      <c r="DF4" s="73"/>
      <c r="DG4" s="73"/>
      <c r="DH4" s="73"/>
      <c r="DI4" s="73"/>
      <c r="DJ4" s="73"/>
      <c r="DK4" s="73"/>
      <c r="DL4" s="73"/>
      <c r="DM4" s="73"/>
      <c r="DN4" s="73"/>
      <c r="DO4" s="73"/>
      <c r="DP4" s="73"/>
      <c r="DQ4" s="73"/>
      <c r="DR4" s="73"/>
      <c r="DS4" s="73"/>
      <c r="DT4" s="73"/>
      <c r="DU4" s="73"/>
      <c r="DV4" s="73"/>
      <c r="DW4" s="73"/>
      <c r="DX4" s="73"/>
      <c r="DY4" s="73"/>
      <c r="DZ4" s="73"/>
      <c r="EA4" s="73"/>
      <c r="EB4" s="73"/>
      <c r="EC4" s="73"/>
      <c r="ED4" s="73"/>
      <c r="EE4" s="73"/>
      <c r="EF4" s="73"/>
      <c r="EG4" s="73"/>
      <c r="EH4" s="73"/>
      <c r="EI4" s="73"/>
      <c r="EJ4" s="73"/>
      <c r="EK4" s="73"/>
      <c r="EL4" s="73"/>
      <c r="EM4" s="73"/>
      <c r="EN4" s="73"/>
      <c r="EO4" s="73"/>
      <c r="EP4" s="73"/>
      <c r="EQ4" s="73"/>
      <c r="ER4" s="73"/>
      <c r="ES4" s="73"/>
      <c r="ET4" s="73"/>
      <c r="EU4" s="73"/>
      <c r="EV4" s="73"/>
      <c r="EW4" s="73"/>
      <c r="EX4" s="73"/>
      <c r="EY4" s="73"/>
      <c r="EZ4" s="73"/>
      <c r="FA4" s="73"/>
      <c r="FB4" s="73"/>
      <c r="FC4" s="73"/>
      <c r="FD4" s="73"/>
      <c r="FE4" s="73"/>
      <c r="FF4" s="73"/>
      <c r="FG4" s="73"/>
      <c r="FH4" s="73"/>
      <c r="FI4" s="73"/>
      <c r="FJ4" s="73"/>
      <c r="FK4" s="73"/>
      <c r="FL4" s="73"/>
      <c r="FM4" s="73"/>
      <c r="FN4" s="73"/>
      <c r="FO4" s="73"/>
      <c r="FP4" s="73"/>
      <c r="FQ4" s="73"/>
      <c r="FR4" s="73"/>
      <c r="FS4" s="73"/>
      <c r="FT4" s="73"/>
      <c r="FU4" s="73"/>
      <c r="FV4" s="73"/>
      <c r="FW4" s="73"/>
      <c r="FX4" s="73"/>
      <c r="FY4" s="73"/>
      <c r="FZ4" s="73"/>
      <c r="GA4" s="73"/>
      <c r="GB4" s="73"/>
      <c r="GC4" s="73"/>
      <c r="GD4" s="73"/>
      <c r="GE4" s="73"/>
      <c r="GF4" s="73"/>
      <c r="GG4" s="73"/>
      <c r="GH4" s="73"/>
      <c r="GI4" s="73"/>
      <c r="GJ4" s="73"/>
      <c r="GK4" s="73"/>
      <c r="GL4" s="73"/>
      <c r="GM4" s="73"/>
      <c r="GN4" s="73"/>
      <c r="GO4" s="73"/>
      <c r="GP4" s="73"/>
      <c r="GQ4" s="73"/>
      <c r="GR4" s="73"/>
      <c r="GS4" s="73"/>
      <c r="GT4" s="73"/>
      <c r="GU4" s="73"/>
      <c r="GV4" s="73"/>
      <c r="GW4" s="73"/>
      <c r="GX4" s="73"/>
      <c r="GY4" s="73"/>
      <c r="GZ4" s="73"/>
      <c r="HA4" s="73"/>
      <c r="HB4" s="73"/>
      <c r="HC4" s="73"/>
      <c r="HD4" s="73"/>
      <c r="HE4" s="73"/>
      <c r="HF4" s="73"/>
      <c r="HG4" s="73"/>
      <c r="HH4" s="73"/>
      <c r="HI4" s="73"/>
      <c r="HJ4" s="73"/>
      <c r="HK4" s="73"/>
      <c r="HL4" s="73"/>
      <c r="HM4" s="73"/>
      <c r="HN4" s="73"/>
      <c r="HO4" s="73"/>
      <c r="HP4" s="73"/>
      <c r="HQ4" s="73"/>
      <c r="HR4" s="73"/>
      <c r="HS4" s="73"/>
      <c r="HT4" s="73"/>
      <c r="HU4" s="73"/>
      <c r="HV4" s="73"/>
      <c r="HW4" s="73"/>
      <c r="HX4" s="73"/>
      <c r="HY4" s="73"/>
      <c r="HZ4" s="73"/>
      <c r="IA4" s="73"/>
      <c r="IB4" s="73"/>
      <c r="IC4" s="73"/>
      <c r="ID4" s="73"/>
      <c r="IE4" s="73"/>
      <c r="IF4" s="73"/>
      <c r="IG4" s="73"/>
      <c r="IH4" s="73"/>
      <c r="II4" s="73"/>
      <c r="IJ4" s="73"/>
      <c r="IK4" s="73"/>
      <c r="IL4" s="73"/>
      <c r="IM4" s="73"/>
      <c r="IN4" s="73"/>
      <c r="IO4" s="73"/>
      <c r="IP4" s="73"/>
      <c r="IQ4" s="73"/>
      <c r="IR4" s="73"/>
      <c r="IS4" s="73"/>
      <c r="IT4" s="73"/>
      <c r="IU4" s="73"/>
      <c r="IV4" s="73"/>
    </row>
    <row r="5" spans="1:256" s="72" customFormat="1" ht="8.25" customHeight="1">
      <c r="A5" s="1102"/>
      <c r="B5" s="1077"/>
      <c r="C5" s="1051" t="s">
        <v>2475</v>
      </c>
      <c r="D5" s="1063" t="s">
        <v>2475</v>
      </c>
      <c r="E5" s="1063" t="s">
        <v>2475</v>
      </c>
      <c r="F5" s="1046"/>
      <c r="G5" s="1094" t="s">
        <v>2475</v>
      </c>
      <c r="H5" s="1096" t="s">
        <v>2475</v>
      </c>
      <c r="I5" s="1109"/>
      <c r="J5" s="1057"/>
      <c r="K5" s="1059"/>
      <c r="L5" s="1051" t="s">
        <v>2475</v>
      </c>
      <c r="M5" s="1063" t="s">
        <v>2475</v>
      </c>
      <c r="N5" s="1065" t="s">
        <v>2490</v>
      </c>
      <c r="O5" s="1051" t="s">
        <v>2475</v>
      </c>
      <c r="P5" s="1063" t="s">
        <v>2475</v>
      </c>
      <c r="Q5" s="1065" t="s">
        <v>2490</v>
      </c>
      <c r="R5" s="1051"/>
      <c r="S5" s="1065"/>
      <c r="U5" s="173"/>
      <c r="V5" s="173"/>
      <c r="W5" s="173"/>
      <c r="X5" s="173"/>
      <c r="Y5" s="173"/>
      <c r="Z5" s="173"/>
      <c r="AA5" s="173"/>
      <c r="AB5" s="173"/>
      <c r="AC5" s="173"/>
      <c r="AD5" s="173"/>
      <c r="AE5" s="173"/>
      <c r="AF5" s="173"/>
      <c r="AG5" s="173"/>
    </row>
    <row r="6" spans="1:256" s="72" customFormat="1" ht="15.75" customHeight="1" thickBot="1">
      <c r="A6" s="1103"/>
      <c r="B6" s="1104"/>
      <c r="C6" s="1052"/>
      <c r="D6" s="1093"/>
      <c r="E6" s="1064"/>
      <c r="F6" s="1047"/>
      <c r="G6" s="1095"/>
      <c r="H6" s="1097"/>
      <c r="I6" s="1110"/>
      <c r="J6" s="1058"/>
      <c r="K6" s="1060"/>
      <c r="L6" s="1053"/>
      <c r="M6" s="1064"/>
      <c r="N6" s="1066"/>
      <c r="O6" s="1053"/>
      <c r="P6" s="1064"/>
      <c r="Q6" s="1066"/>
      <c r="R6" s="1053"/>
      <c r="S6" s="1066"/>
      <c r="U6" s="173"/>
      <c r="V6" s="173"/>
      <c r="W6" s="173"/>
      <c r="X6" s="173"/>
      <c r="Y6" s="173"/>
      <c r="Z6" s="173"/>
      <c r="AA6" s="173"/>
      <c r="AB6" s="173"/>
      <c r="AC6" s="173"/>
      <c r="AD6" s="173"/>
      <c r="AE6" s="173"/>
      <c r="AF6" s="173"/>
      <c r="AG6" s="173"/>
    </row>
    <row r="7" spans="1:256" ht="27" customHeight="1">
      <c r="A7" s="1079" t="s">
        <v>2653</v>
      </c>
      <c r="B7" s="512" t="s">
        <v>2464</v>
      </c>
      <c r="C7" s="283"/>
      <c r="D7" s="625">
        <v>16.25</v>
      </c>
      <c r="E7" s="625"/>
      <c r="F7" s="153">
        <v>1</v>
      </c>
      <c r="G7" s="132">
        <v>72</v>
      </c>
      <c r="H7" s="68"/>
      <c r="I7" s="86">
        <v>17</v>
      </c>
      <c r="J7" s="132"/>
      <c r="K7" s="86"/>
      <c r="L7" s="283"/>
      <c r="M7" s="212"/>
      <c r="N7" s="153"/>
      <c r="O7" s="288"/>
      <c r="P7" s="222"/>
      <c r="Q7" s="153"/>
      <c r="R7" s="283"/>
      <c r="S7" s="153"/>
      <c r="IR7" s="72"/>
    </row>
    <row r="8" spans="1:256" ht="15.75" customHeight="1">
      <c r="A8" s="1080"/>
      <c r="B8" s="513" t="s">
        <v>2465</v>
      </c>
      <c r="C8" s="133"/>
      <c r="D8" s="62"/>
      <c r="E8" s="62"/>
      <c r="F8" s="63"/>
      <c r="G8" s="133"/>
      <c r="H8" s="62"/>
      <c r="I8" s="63"/>
      <c r="J8" s="133"/>
      <c r="K8" s="63"/>
      <c r="L8" s="133"/>
      <c r="M8" s="138"/>
      <c r="N8" s="63"/>
      <c r="O8" s="289"/>
      <c r="P8" s="223"/>
      <c r="Q8" s="63"/>
      <c r="R8" s="133"/>
      <c r="S8" s="63"/>
      <c r="IR8" s="72"/>
    </row>
    <row r="9" spans="1:256" ht="15.75" customHeight="1">
      <c r="A9" s="1080"/>
      <c r="B9" s="513" t="s">
        <v>2466</v>
      </c>
      <c r="C9" s="133">
        <v>13</v>
      </c>
      <c r="D9" s="62">
        <v>17.25</v>
      </c>
      <c r="E9" s="62"/>
      <c r="F9" s="63">
        <v>8</v>
      </c>
      <c r="G9" s="133">
        <v>50.5</v>
      </c>
      <c r="H9" s="62"/>
      <c r="I9" s="63">
        <v>18</v>
      </c>
      <c r="J9" s="133"/>
      <c r="K9" s="63"/>
      <c r="L9" s="133"/>
      <c r="M9" s="138"/>
      <c r="N9" s="63"/>
      <c r="O9" s="289"/>
      <c r="P9" s="223"/>
      <c r="Q9" s="63"/>
      <c r="R9" s="133"/>
      <c r="S9" s="63"/>
      <c r="IR9" s="72"/>
    </row>
    <row r="10" spans="1:256" ht="15.75" customHeight="1">
      <c r="A10" s="1080"/>
      <c r="B10" s="513" t="s">
        <v>2467</v>
      </c>
      <c r="C10" s="133"/>
      <c r="D10" s="62"/>
      <c r="E10" s="62"/>
      <c r="F10" s="63"/>
      <c r="G10" s="133"/>
      <c r="H10" s="62"/>
      <c r="I10" s="63"/>
      <c r="J10" s="133"/>
      <c r="K10" s="63"/>
      <c r="L10" s="133"/>
      <c r="M10" s="138"/>
      <c r="N10" s="63"/>
      <c r="O10" s="288"/>
      <c r="P10" s="222"/>
      <c r="Q10" s="153"/>
      <c r="R10" s="133"/>
      <c r="S10" s="63"/>
    </row>
    <row r="11" spans="1:256" ht="15.75" customHeight="1">
      <c r="A11" s="1080"/>
      <c r="B11" s="513" t="s">
        <v>2468</v>
      </c>
      <c r="C11" s="133"/>
      <c r="D11" s="62">
        <v>12</v>
      </c>
      <c r="E11" s="62"/>
      <c r="F11" s="63">
        <v>2</v>
      </c>
      <c r="G11" s="133">
        <v>17</v>
      </c>
      <c r="H11" s="62"/>
      <c r="I11" s="63">
        <v>1</v>
      </c>
      <c r="J11" s="133"/>
      <c r="K11" s="63"/>
      <c r="L11" s="133"/>
      <c r="M11" s="138"/>
      <c r="N11" s="63"/>
      <c r="O11" s="289"/>
      <c r="P11" s="223"/>
      <c r="Q11" s="63"/>
      <c r="R11" s="133"/>
      <c r="S11" s="63"/>
    </row>
    <row r="12" spans="1:256" ht="15.75" customHeight="1">
      <c r="A12" s="1080"/>
      <c r="B12" s="513" t="s">
        <v>2469</v>
      </c>
      <c r="C12" s="133"/>
      <c r="D12" s="62"/>
      <c r="E12" s="62"/>
      <c r="F12" s="63"/>
      <c r="G12" s="133"/>
      <c r="H12" s="62"/>
      <c r="I12" s="63"/>
      <c r="J12" s="133"/>
      <c r="K12" s="63"/>
      <c r="L12" s="133"/>
      <c r="M12" s="138"/>
      <c r="N12" s="63"/>
      <c r="O12" s="289"/>
      <c r="P12" s="223"/>
      <c r="Q12" s="63"/>
      <c r="R12" s="133"/>
      <c r="S12" s="63"/>
    </row>
    <row r="13" spans="1:256" ht="15.75" customHeight="1">
      <c r="A13" s="1080"/>
      <c r="B13" s="513" t="s">
        <v>2470</v>
      </c>
      <c r="C13" s="133"/>
      <c r="D13" s="62"/>
      <c r="E13" s="62"/>
      <c r="F13" s="63"/>
      <c r="G13" s="133"/>
      <c r="H13" s="62"/>
      <c r="I13" s="63"/>
      <c r="J13" s="133"/>
      <c r="K13" s="63"/>
      <c r="L13" s="133"/>
      <c r="M13" s="138"/>
      <c r="N13" s="63"/>
      <c r="O13" s="289"/>
      <c r="P13" s="223"/>
      <c r="Q13" s="63"/>
      <c r="R13" s="133"/>
      <c r="S13" s="63"/>
      <c r="U13" s="1054" t="s">
        <v>136</v>
      </c>
      <c r="V13" s="1054"/>
      <c r="W13" s="1054"/>
      <c r="X13" s="1054"/>
      <c r="Y13" s="1054"/>
      <c r="Z13" s="1054"/>
      <c r="AA13" s="1054"/>
      <c r="AB13" s="1054"/>
      <c r="AC13" s="1054"/>
      <c r="AD13" s="1054"/>
      <c r="AE13" s="1054"/>
      <c r="AF13" s="1054"/>
      <c r="AG13" s="1054"/>
    </row>
    <row r="14" spans="1:256" ht="15.75" customHeight="1">
      <c r="A14" s="1080"/>
      <c r="B14" s="513" t="s">
        <v>2471</v>
      </c>
      <c r="C14" s="133"/>
      <c r="D14" s="62"/>
      <c r="E14" s="62"/>
      <c r="F14" s="63"/>
      <c r="G14" s="133"/>
      <c r="H14" s="62"/>
      <c r="I14" s="63"/>
      <c r="J14" s="133"/>
      <c r="K14" s="63"/>
      <c r="L14" s="133"/>
      <c r="M14" s="138"/>
      <c r="N14" s="63"/>
      <c r="O14" s="289"/>
      <c r="P14" s="223"/>
      <c r="Q14" s="63"/>
      <c r="R14" s="133"/>
      <c r="S14" s="63"/>
      <c r="U14" s="175" t="s">
        <v>1768</v>
      </c>
      <c r="V14" s="175" t="s">
        <v>1769</v>
      </c>
      <c r="W14" s="175" t="s">
        <v>1770</v>
      </c>
      <c r="X14" s="175" t="s">
        <v>1771</v>
      </c>
      <c r="Y14" s="175" t="s">
        <v>1772</v>
      </c>
      <c r="Z14" s="175" t="s">
        <v>1773</v>
      </c>
      <c r="AA14" s="175" t="s">
        <v>1774</v>
      </c>
      <c r="AB14" s="175" t="s">
        <v>1775</v>
      </c>
      <c r="AC14" s="175" t="s">
        <v>1777</v>
      </c>
      <c r="AD14" s="175" t="s">
        <v>1778</v>
      </c>
      <c r="AE14" s="175" t="s">
        <v>1780</v>
      </c>
      <c r="AF14" s="175" t="s">
        <v>1781</v>
      </c>
      <c r="AG14" s="175" t="s">
        <v>1782</v>
      </c>
      <c r="AH14" s="175" t="s">
        <v>1783</v>
      </c>
      <c r="AI14" s="170" t="s">
        <v>143</v>
      </c>
    </row>
    <row r="15" spans="1:256" ht="15.75" customHeight="1">
      <c r="A15" s="1080"/>
      <c r="B15" s="81" t="s">
        <v>1530</v>
      </c>
      <c r="C15" s="284">
        <f>ROUND(SUM(C7:C14),2)</f>
        <v>13</v>
      </c>
      <c r="D15" s="134">
        <f>ROUND(SUM(D7:D14),2)</f>
        <v>45.5</v>
      </c>
      <c r="E15" s="134">
        <f>ROUND(SUM(E7:E14),2)</f>
        <v>0</v>
      </c>
      <c r="F15" s="123">
        <f>SUM(F7:F14)</f>
        <v>11</v>
      </c>
      <c r="G15" s="134">
        <f>ROUND(SUM(G7:G14),2)</f>
        <v>139.5</v>
      </c>
      <c r="H15" s="134">
        <f>ROUND(SUM(H7:H14),2)</f>
        <v>0</v>
      </c>
      <c r="I15" s="123">
        <f>SUM(I7:I14)</f>
        <v>36</v>
      </c>
      <c r="J15" s="284">
        <f>ROUND(SUM(J7:J14),2)</f>
        <v>0</v>
      </c>
      <c r="K15" s="287">
        <f>SUM(K7:K14)</f>
        <v>0</v>
      </c>
      <c r="L15" s="284">
        <f>ROUND(SUM(L7:L14),2)</f>
        <v>0</v>
      </c>
      <c r="M15" s="134">
        <f>ROUND(SUM(M7:M14),2)</f>
        <v>0</v>
      </c>
      <c r="N15" s="123">
        <f>SUM(N7:N14)</f>
        <v>0</v>
      </c>
      <c r="O15" s="284">
        <f>ROUND(SUM(O7:O14),2)</f>
        <v>0</v>
      </c>
      <c r="P15" s="134">
        <f>ROUND(SUM(P7:P14),2)</f>
        <v>0</v>
      </c>
      <c r="Q15" s="224">
        <f>SUM(Q7:Q14)</f>
        <v>0</v>
      </c>
      <c r="R15" s="290">
        <f>ROUND(SUM(R7:R14),2)</f>
        <v>0</v>
      </c>
      <c r="S15" s="224">
        <f>SUM(S7:S14)</f>
        <v>0</v>
      </c>
      <c r="U15" s="176">
        <f>D15-D19</f>
        <v>0</v>
      </c>
      <c r="V15" s="176">
        <f>E15-E19</f>
        <v>0</v>
      </c>
      <c r="W15" s="177">
        <f>IF(OR(F15-F19&lt;&gt;0,F48-F51&lt;&gt;0,F15-F48&lt;&gt;0),1,0)</f>
        <v>0</v>
      </c>
      <c r="X15" s="178">
        <f>G15-G19</f>
        <v>0</v>
      </c>
      <c r="Y15" s="178">
        <f>H15-H19</f>
        <v>0</v>
      </c>
      <c r="Z15" s="178">
        <f>IF(OR(I15-I19&lt;&gt;0,I48-I51&lt;&gt;0,I15-I48&lt;&gt;0),1,0)</f>
        <v>0</v>
      </c>
      <c r="AA15" s="178">
        <v>0</v>
      </c>
      <c r="AB15" s="178">
        <f>IF(K15-K48&lt;&gt;0,1,0)</f>
        <v>0</v>
      </c>
      <c r="AC15" s="178">
        <f>M15-M19</f>
        <v>0</v>
      </c>
      <c r="AD15" s="178">
        <f>IF(OR(N15-N19&lt;&gt;0,N48-N51&lt;&gt;0,N15-N48&lt;&gt;0),1,0)</f>
        <v>0</v>
      </c>
      <c r="AE15" s="178">
        <f>P15-P19</f>
        <v>0</v>
      </c>
      <c r="AF15" s="178">
        <f>IF(OR(Q15-Q19&lt;&gt;0,Q48-Q51&lt;&gt;0,Q15-Q48&lt;&gt;0),1,0)</f>
        <v>0</v>
      </c>
      <c r="AG15" s="178">
        <f>R15-R19</f>
        <v>0</v>
      </c>
      <c r="AH15" s="178">
        <f>IF(OR(S15-S19&lt;&gt;0,S15-S48&lt;&gt;0),1,0)</f>
        <v>0</v>
      </c>
      <c r="AI15" s="176">
        <f>SUM(COUNTIF(U15:AH15,"&lt;&gt;0"))</f>
        <v>0</v>
      </c>
    </row>
    <row r="16" spans="1:256" s="8" customFormat="1" ht="15.75" customHeight="1" thickBot="1">
      <c r="A16" s="1080"/>
      <c r="B16" s="876" t="s">
        <v>2503</v>
      </c>
      <c r="C16" s="515"/>
      <c r="D16" s="135">
        <v>8.25</v>
      </c>
      <c r="E16" s="135"/>
      <c r="F16" s="111">
        <v>5</v>
      </c>
      <c r="G16" s="136">
        <v>72.5</v>
      </c>
      <c r="H16" s="135"/>
      <c r="I16" s="111">
        <v>24</v>
      </c>
      <c r="J16" s="878"/>
      <c r="K16" s="879"/>
      <c r="L16" s="219"/>
      <c r="M16" s="213"/>
      <c r="N16" s="111"/>
      <c r="O16" s="229"/>
      <c r="P16" s="225"/>
      <c r="Q16" s="91"/>
      <c r="R16" s="136"/>
      <c r="S16" s="111"/>
      <c r="T16" s="1"/>
      <c r="U16" s="170"/>
      <c r="V16" s="170"/>
      <c r="W16" s="170"/>
      <c r="X16" s="170"/>
      <c r="Y16" s="170"/>
      <c r="Z16" s="179"/>
      <c r="AA16" s="179"/>
      <c r="AB16" s="179"/>
      <c r="AC16" s="179"/>
      <c r="AD16" s="179"/>
      <c r="AE16" s="179"/>
      <c r="AF16" s="179"/>
      <c r="AG16" s="179"/>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7"/>
      <c r="BV16" s="7"/>
      <c r="BW16" s="7"/>
      <c r="BX16" s="7"/>
      <c r="BY16" s="7"/>
      <c r="BZ16" s="7"/>
      <c r="CA16" s="7"/>
      <c r="CB16" s="7"/>
      <c r="CC16" s="7"/>
      <c r="CD16" s="7"/>
      <c r="CE16" s="7"/>
      <c r="CF16" s="7"/>
      <c r="CG16" s="7"/>
      <c r="CH16" s="7"/>
      <c r="CI16" s="7"/>
      <c r="CJ16" s="7"/>
      <c r="CK16" s="7"/>
      <c r="CL16" s="7"/>
      <c r="CM16" s="7"/>
      <c r="CN16" s="7"/>
      <c r="CO16" s="7"/>
      <c r="CP16" s="7"/>
      <c r="CQ16" s="7"/>
      <c r="CR16" s="7"/>
      <c r="CS16" s="7"/>
      <c r="CT16" s="7"/>
      <c r="CU16" s="7"/>
      <c r="CV16" s="7"/>
      <c r="CW16" s="7"/>
      <c r="CX16" s="7"/>
      <c r="CY16" s="7"/>
      <c r="CZ16" s="7"/>
      <c r="DA16" s="7"/>
      <c r="DB16" s="7"/>
      <c r="DC16" s="7"/>
      <c r="DD16" s="7"/>
      <c r="DE16" s="7"/>
      <c r="DF16" s="7"/>
      <c r="DG16" s="7"/>
      <c r="DH16" s="7"/>
      <c r="DI16" s="7"/>
      <c r="DJ16" s="7"/>
      <c r="DK16" s="7"/>
      <c r="DL16" s="7"/>
      <c r="DM16" s="7"/>
      <c r="DN16" s="7"/>
      <c r="DO16" s="7"/>
      <c r="DP16" s="7"/>
      <c r="DQ16" s="7"/>
      <c r="DR16" s="7"/>
      <c r="DS16" s="7"/>
      <c r="DT16" s="7"/>
      <c r="DU16" s="7"/>
      <c r="DV16" s="7"/>
      <c r="DW16" s="7"/>
      <c r="DX16" s="7"/>
      <c r="DY16" s="7"/>
      <c r="DZ16" s="7"/>
      <c r="EA16" s="7"/>
      <c r="EB16" s="7"/>
      <c r="EC16" s="7"/>
      <c r="ED16" s="7"/>
      <c r="EE16" s="7"/>
      <c r="EF16" s="7"/>
      <c r="EG16" s="7"/>
      <c r="EH16" s="7"/>
      <c r="EI16" s="7"/>
      <c r="EJ16" s="7"/>
      <c r="EK16" s="7"/>
      <c r="EL16" s="7"/>
      <c r="EM16" s="7"/>
      <c r="EN16" s="7"/>
      <c r="EO16" s="7"/>
      <c r="EP16" s="7"/>
      <c r="EQ16" s="7"/>
      <c r="ER16" s="7"/>
      <c r="ES16" s="7"/>
      <c r="ET16" s="7"/>
      <c r="EU16" s="7"/>
      <c r="EV16" s="7"/>
      <c r="EW16" s="7"/>
      <c r="EX16" s="7"/>
      <c r="EY16" s="7"/>
      <c r="EZ16" s="7"/>
      <c r="FA16" s="7"/>
      <c r="FB16" s="7"/>
      <c r="FC16" s="7"/>
      <c r="FD16" s="7"/>
      <c r="FE16" s="7"/>
      <c r="FF16" s="7"/>
      <c r="FG16" s="7"/>
      <c r="FH16" s="7"/>
      <c r="FI16" s="7"/>
      <c r="FJ16" s="7"/>
      <c r="FK16" s="7"/>
      <c r="FL16" s="7"/>
      <c r="FM16" s="7"/>
      <c r="FN16" s="7"/>
      <c r="FO16" s="7"/>
      <c r="FP16" s="7"/>
      <c r="FQ16" s="7"/>
      <c r="FR16" s="7"/>
      <c r="FS16" s="7"/>
      <c r="FT16" s="7"/>
      <c r="FU16" s="7"/>
      <c r="FV16" s="7"/>
      <c r="FW16" s="7"/>
      <c r="FX16" s="7"/>
      <c r="FY16" s="7"/>
      <c r="FZ16" s="7"/>
      <c r="GA16" s="7"/>
      <c r="GB16" s="7"/>
      <c r="GC16" s="7"/>
      <c r="GD16" s="7"/>
      <c r="GE16" s="7"/>
      <c r="GF16" s="7"/>
      <c r="GG16" s="7"/>
      <c r="GH16" s="7"/>
      <c r="GI16" s="7"/>
      <c r="GJ16" s="7"/>
      <c r="GK16" s="7"/>
      <c r="GL16" s="7"/>
      <c r="GM16" s="7"/>
      <c r="GN16" s="7"/>
      <c r="GO16" s="7"/>
      <c r="GP16" s="7"/>
      <c r="GQ16" s="7"/>
      <c r="GR16" s="7"/>
      <c r="GS16" s="7"/>
      <c r="GT16" s="7"/>
      <c r="GU16" s="7"/>
      <c r="GV16" s="7"/>
      <c r="GW16" s="7"/>
      <c r="GX16" s="7"/>
      <c r="GY16" s="7"/>
      <c r="GZ16" s="7"/>
      <c r="HA16" s="7"/>
      <c r="HB16" s="7"/>
      <c r="HC16" s="7"/>
      <c r="HD16" s="7"/>
      <c r="HE16" s="7"/>
      <c r="HF16" s="7"/>
      <c r="HG16" s="7"/>
      <c r="HH16" s="7"/>
      <c r="HI16" s="7"/>
      <c r="HJ16" s="7"/>
      <c r="HK16" s="7"/>
      <c r="HL16" s="7"/>
      <c r="HM16" s="7"/>
      <c r="HN16" s="7"/>
      <c r="HO16" s="7"/>
      <c r="HP16" s="7"/>
      <c r="HQ16" s="7"/>
      <c r="HR16" s="7"/>
      <c r="HS16" s="7"/>
      <c r="HT16" s="7"/>
      <c r="HU16" s="7"/>
      <c r="HV16" s="7"/>
      <c r="HW16" s="7"/>
      <c r="HX16" s="7"/>
      <c r="HY16" s="7"/>
      <c r="HZ16" s="7"/>
      <c r="IA16" s="7"/>
      <c r="IB16" s="7"/>
      <c r="IC16" s="7"/>
      <c r="ID16" s="7"/>
      <c r="IE16" s="7"/>
      <c r="IF16" s="7"/>
      <c r="IG16" s="7"/>
      <c r="IH16" s="7"/>
      <c r="II16" s="7"/>
      <c r="IJ16" s="7"/>
      <c r="IK16" s="7"/>
      <c r="IL16" s="7"/>
      <c r="IM16" s="7"/>
      <c r="IN16" s="7"/>
      <c r="IO16" s="7"/>
      <c r="IP16" s="7"/>
      <c r="IQ16" s="7"/>
      <c r="IR16" s="7"/>
      <c r="IS16" s="7"/>
      <c r="IT16" s="7"/>
      <c r="IU16" s="7"/>
      <c r="IV16" s="7"/>
    </row>
    <row r="17" spans="1:256" s="5" customFormat="1" ht="15">
      <c r="A17" s="1080"/>
      <c r="B17" s="512" t="s">
        <v>2472</v>
      </c>
      <c r="C17" s="220"/>
      <c r="D17" s="137">
        <v>45.5</v>
      </c>
      <c r="E17" s="68"/>
      <c r="F17" s="86">
        <v>11</v>
      </c>
      <c r="G17" s="132">
        <v>139.5</v>
      </c>
      <c r="H17" s="68"/>
      <c r="I17" s="86">
        <v>36</v>
      </c>
      <c r="J17" s="220"/>
      <c r="K17" s="686"/>
      <c r="L17" s="220"/>
      <c r="M17" s="137"/>
      <c r="N17" s="86"/>
      <c r="O17" s="220"/>
      <c r="P17" s="137"/>
      <c r="Q17" s="86"/>
      <c r="R17" s="132"/>
      <c r="S17" s="86"/>
      <c r="T17" s="1"/>
      <c r="U17" s="170"/>
      <c r="V17" s="170"/>
      <c r="W17" s="170"/>
      <c r="X17" s="170"/>
      <c r="Y17" s="170"/>
      <c r="Z17" s="169"/>
      <c r="AA17" s="169"/>
      <c r="AB17" s="169"/>
      <c r="AC17" s="169"/>
      <c r="AD17" s="169"/>
      <c r="AE17" s="169"/>
      <c r="AF17" s="169"/>
      <c r="AG17" s="169"/>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c r="GP17" s="1"/>
      <c r="GQ17" s="1"/>
      <c r="GR17" s="1"/>
      <c r="GS17" s="1"/>
      <c r="GT17" s="1"/>
      <c r="GU17" s="1"/>
      <c r="GV17" s="1"/>
      <c r="GW17" s="1"/>
      <c r="GX17" s="1"/>
      <c r="GY17" s="1"/>
      <c r="GZ17" s="1"/>
      <c r="HA17" s="1"/>
      <c r="HB17" s="1"/>
      <c r="HC17" s="1"/>
      <c r="HD17" s="1"/>
      <c r="HE17" s="1"/>
      <c r="HF17" s="1"/>
      <c r="HG17" s="1"/>
      <c r="HH17" s="1"/>
      <c r="HI17" s="1"/>
      <c r="HJ17" s="1"/>
      <c r="HK17" s="1"/>
      <c r="HL17" s="1"/>
      <c r="HM17" s="1"/>
      <c r="HN17" s="1"/>
      <c r="HO17" s="1"/>
      <c r="HP17" s="1"/>
      <c r="HQ17" s="1"/>
      <c r="HR17" s="1"/>
      <c r="HS17" s="1"/>
      <c r="HT17" s="1"/>
      <c r="HU17" s="1"/>
      <c r="HV17" s="1"/>
      <c r="HW17" s="1"/>
      <c r="HX17" s="1"/>
      <c r="HY17" s="1"/>
      <c r="HZ17" s="1"/>
      <c r="IA17" s="1"/>
      <c r="IB17" s="1"/>
      <c r="IC17" s="1"/>
      <c r="ID17" s="1"/>
      <c r="IE17" s="1"/>
      <c r="IF17" s="1"/>
      <c r="IG17" s="1"/>
      <c r="IH17" s="1"/>
      <c r="II17" s="1"/>
      <c r="IJ17" s="1"/>
      <c r="IK17" s="1"/>
      <c r="IL17" s="1"/>
      <c r="IM17" s="1"/>
      <c r="IN17" s="1"/>
      <c r="IO17" s="1"/>
      <c r="IP17" s="1"/>
      <c r="IQ17" s="1"/>
      <c r="IR17" s="1"/>
      <c r="IS17" s="1"/>
      <c r="IT17" s="1"/>
      <c r="IU17" s="1"/>
      <c r="IV17" s="1"/>
    </row>
    <row r="18" spans="1:256" s="5" customFormat="1" ht="29.25" customHeight="1">
      <c r="A18" s="1080"/>
      <c r="B18" s="628" t="s">
        <v>2473</v>
      </c>
      <c r="C18" s="221"/>
      <c r="D18" s="138"/>
      <c r="E18" s="62"/>
      <c r="F18" s="63"/>
      <c r="G18" s="133"/>
      <c r="H18" s="62"/>
      <c r="I18" s="63"/>
      <c r="J18" s="221"/>
      <c r="K18" s="687"/>
      <c r="L18" s="221"/>
      <c r="M18" s="138"/>
      <c r="N18" s="63"/>
      <c r="O18" s="221"/>
      <c r="P18" s="138"/>
      <c r="Q18" s="63"/>
      <c r="R18" s="133"/>
      <c r="S18" s="63"/>
      <c r="T18" s="1"/>
      <c r="U18" s="1067" t="s">
        <v>149</v>
      </c>
      <c r="V18" s="1067"/>
      <c r="W18" s="1067"/>
      <c r="X18" s="1067"/>
      <c r="Y18" s="1067"/>
      <c r="Z18" s="1067"/>
      <c r="AA18" s="1067"/>
      <c r="AB18" s="1067"/>
      <c r="AC18" s="1067"/>
      <c r="AD18" s="1067"/>
      <c r="AE18" s="169"/>
      <c r="AF18" s="169"/>
      <c r="AG18" s="169"/>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1"/>
      <c r="FR18" s="1"/>
      <c r="FS18" s="1"/>
      <c r="FT18" s="1"/>
      <c r="FU18" s="1"/>
      <c r="FV18" s="1"/>
      <c r="FW18" s="1"/>
      <c r="FX18" s="1"/>
      <c r="FY18" s="1"/>
      <c r="FZ18" s="1"/>
      <c r="GA18" s="1"/>
      <c r="GB18" s="1"/>
      <c r="GC18" s="1"/>
      <c r="GD18" s="1"/>
      <c r="GE18" s="1"/>
      <c r="GF18" s="1"/>
      <c r="GG18" s="1"/>
      <c r="GH18" s="1"/>
      <c r="GI18" s="1"/>
      <c r="GJ18" s="1"/>
      <c r="GK18" s="1"/>
      <c r="GL18" s="1"/>
      <c r="GM18" s="1"/>
      <c r="GN18" s="1"/>
      <c r="GO18" s="1"/>
      <c r="GP18" s="1"/>
      <c r="GQ18" s="1"/>
      <c r="GR18" s="1"/>
      <c r="GS18" s="1"/>
      <c r="GT18" s="1"/>
      <c r="GU18" s="1"/>
      <c r="GV18" s="1"/>
      <c r="GW18" s="1"/>
      <c r="GX18" s="1"/>
      <c r="GY18" s="1"/>
      <c r="GZ18" s="1"/>
      <c r="HA18" s="1"/>
      <c r="HB18" s="1"/>
      <c r="HC18" s="1"/>
      <c r="HD18" s="1"/>
      <c r="HE18" s="1"/>
      <c r="HF18" s="1"/>
      <c r="HG18" s="1"/>
      <c r="HH18" s="1"/>
      <c r="HI18" s="1"/>
      <c r="HJ18" s="1"/>
      <c r="HK18" s="1"/>
      <c r="HL18" s="1"/>
      <c r="HM18" s="1"/>
      <c r="HN18" s="1"/>
      <c r="HO18" s="1"/>
      <c r="HP18" s="1"/>
      <c r="HQ18" s="1"/>
      <c r="HR18" s="1"/>
      <c r="HS18" s="1"/>
      <c r="HT18" s="1"/>
      <c r="HU18" s="1"/>
      <c r="HV18" s="1"/>
      <c r="HW18" s="1"/>
      <c r="HX18" s="1"/>
      <c r="HY18" s="1"/>
      <c r="HZ18" s="1"/>
      <c r="IA18" s="1"/>
      <c r="IB18" s="1"/>
      <c r="IC18" s="1"/>
      <c r="ID18" s="1"/>
      <c r="IE18" s="1"/>
      <c r="IF18" s="1"/>
      <c r="IG18" s="1"/>
      <c r="IH18" s="1"/>
      <c r="II18" s="1"/>
      <c r="IJ18" s="1"/>
      <c r="IK18" s="1"/>
      <c r="IL18" s="1"/>
      <c r="IM18" s="1"/>
      <c r="IN18" s="1"/>
      <c r="IO18" s="1"/>
      <c r="IP18" s="1"/>
      <c r="IQ18" s="1"/>
      <c r="IR18" s="1"/>
      <c r="IS18" s="1"/>
      <c r="IT18" s="1"/>
      <c r="IU18" s="1"/>
      <c r="IV18" s="1"/>
    </row>
    <row r="19" spans="1:256" s="9" customFormat="1" ht="15.75" customHeight="1" thickBot="1">
      <c r="A19" s="1080"/>
      <c r="B19" s="514" t="s">
        <v>1530</v>
      </c>
      <c r="C19" s="210"/>
      <c r="D19" s="139">
        <f>ROUND(SUM(D17:D18),2)</f>
        <v>45.5</v>
      </c>
      <c r="E19" s="139">
        <f>ROUND(SUM(E17:E18),2)</f>
        <v>0</v>
      </c>
      <c r="F19" s="140">
        <f>SUM(F17:F18)</f>
        <v>11</v>
      </c>
      <c r="G19" s="139">
        <f>ROUND(SUM(G17:G18),2)</f>
        <v>139.5</v>
      </c>
      <c r="H19" s="139">
        <f>ROUND(SUM(H17:H18),2)</f>
        <v>0</v>
      </c>
      <c r="I19" s="140">
        <f>SUM(I17:I18)</f>
        <v>36</v>
      </c>
      <c r="J19" s="210"/>
      <c r="K19" s="880"/>
      <c r="L19" s="210"/>
      <c r="M19" s="139">
        <f>ROUND(SUM(M17:M18),2)</f>
        <v>0</v>
      </c>
      <c r="N19" s="140">
        <f>SUM(N17:N18)</f>
        <v>0</v>
      </c>
      <c r="O19" s="210"/>
      <c r="P19" s="139">
        <f>ROUND(SUM(P17:P18),2)</f>
        <v>0</v>
      </c>
      <c r="Q19" s="226">
        <f>SUM(Q17:Q18)</f>
        <v>0</v>
      </c>
      <c r="R19" s="291">
        <f>ROUND(SUM(R17:R18),2)</f>
        <v>0</v>
      </c>
      <c r="S19" s="226">
        <f>SUM(S17:S18)</f>
        <v>0</v>
      </c>
      <c r="T19" s="1"/>
      <c r="U19" s="169" t="s">
        <v>150</v>
      </c>
      <c r="V19" s="169" t="s">
        <v>151</v>
      </c>
      <c r="W19" s="169" t="s">
        <v>152</v>
      </c>
      <c r="X19" s="169" t="s">
        <v>1528</v>
      </c>
      <c r="Y19" s="5" t="s">
        <v>1480</v>
      </c>
      <c r="Z19" s="169" t="s">
        <v>143</v>
      </c>
      <c r="AA19" s="169"/>
      <c r="AB19" s="169"/>
      <c r="AC19" s="169"/>
      <c r="AD19" s="169"/>
      <c r="AE19" s="169"/>
      <c r="AF19" s="170"/>
      <c r="AG19" s="169"/>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c r="IP19" s="1"/>
      <c r="IQ19" s="1"/>
      <c r="IR19" s="1"/>
      <c r="IS19" s="1"/>
      <c r="IT19" s="1"/>
      <c r="IU19" s="1"/>
      <c r="IV19" s="1"/>
    </row>
    <row r="20" spans="1:256" s="32" customFormat="1" ht="15.75" customHeight="1" thickBot="1">
      <c r="A20" s="1082" t="s">
        <v>2576</v>
      </c>
      <c r="B20" s="1083"/>
      <c r="C20" s="211"/>
      <c r="D20" s="141"/>
      <c r="E20" s="141"/>
      <c r="F20" s="142"/>
      <c r="G20" s="143"/>
      <c r="H20" s="141"/>
      <c r="I20" s="142"/>
      <c r="J20" s="881"/>
      <c r="K20" s="882"/>
      <c r="L20" s="211"/>
      <c r="M20" s="144"/>
      <c r="N20" s="142"/>
      <c r="O20" s="227"/>
      <c r="P20" s="228"/>
      <c r="Q20" s="89"/>
      <c r="R20" s="143"/>
      <c r="S20" s="142"/>
      <c r="U20" s="180">
        <f>'Kostenrechnung konsolidiert'!J18</f>
        <v>3599.9235186822621</v>
      </c>
      <c r="V20" s="180">
        <f>'Kostenrechnung konsolidiert'!K18</f>
        <v>0</v>
      </c>
      <c r="W20" s="180">
        <f>'Kostenrechnung konsolidiert'!L18</f>
        <v>0</v>
      </c>
      <c r="X20" s="180">
        <f>'Kostenrechnung konsolidiert'!M18</f>
        <v>0</v>
      </c>
      <c r="Y20" s="180">
        <f>'Kostenrechnung konsolidiert'!N18</f>
        <v>0</v>
      </c>
      <c r="Z20" s="169"/>
      <c r="AA20" s="181"/>
      <c r="AB20" s="181"/>
      <c r="AC20" s="181"/>
      <c r="AD20" s="181"/>
      <c r="AE20" s="169"/>
      <c r="AF20" s="182"/>
      <c r="AG20" s="183"/>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c r="BM20" s="24"/>
      <c r="BN20" s="24"/>
      <c r="BO20" s="24"/>
      <c r="BP20" s="24"/>
      <c r="BQ20" s="24"/>
      <c r="BR20" s="24"/>
      <c r="BS20" s="24"/>
      <c r="BT20" s="24"/>
      <c r="BU20" s="24"/>
      <c r="BV20" s="24"/>
      <c r="BW20" s="24"/>
      <c r="BX20" s="24"/>
      <c r="BY20" s="24"/>
      <c r="BZ20" s="24"/>
      <c r="CA20" s="24"/>
      <c r="CB20" s="24"/>
      <c r="CC20" s="24"/>
      <c r="CD20" s="24"/>
      <c r="CE20" s="24"/>
      <c r="CF20" s="24"/>
      <c r="CG20" s="24"/>
      <c r="CH20" s="24"/>
      <c r="CI20" s="24"/>
      <c r="CJ20" s="24"/>
      <c r="CK20" s="24"/>
      <c r="CL20" s="24"/>
      <c r="CM20" s="24"/>
      <c r="CN20" s="24"/>
      <c r="CO20" s="24"/>
      <c r="CP20" s="24"/>
      <c r="CQ20" s="24"/>
      <c r="CR20" s="24"/>
      <c r="CS20" s="24"/>
      <c r="CT20" s="24"/>
      <c r="CU20" s="24"/>
      <c r="CV20" s="24"/>
      <c r="CW20" s="24"/>
      <c r="CX20" s="24"/>
      <c r="CY20" s="24"/>
      <c r="CZ20" s="24"/>
      <c r="DA20" s="24"/>
      <c r="DB20" s="24"/>
      <c r="DC20" s="24"/>
      <c r="DD20" s="24"/>
      <c r="DE20" s="24"/>
      <c r="DF20" s="24"/>
      <c r="DG20" s="24"/>
      <c r="DH20" s="24"/>
      <c r="DI20" s="24"/>
      <c r="DJ20" s="24"/>
      <c r="DK20" s="24"/>
      <c r="DL20" s="24"/>
      <c r="DM20" s="24"/>
      <c r="DN20" s="24"/>
      <c r="DO20" s="24"/>
      <c r="DP20" s="24"/>
      <c r="DQ20" s="24"/>
      <c r="DR20" s="24"/>
      <c r="DS20" s="24"/>
      <c r="DT20" s="24"/>
      <c r="DU20" s="24"/>
      <c r="DV20" s="24"/>
      <c r="DW20" s="24"/>
      <c r="DX20" s="24"/>
      <c r="DY20" s="24"/>
      <c r="DZ20" s="24"/>
      <c r="EA20" s="24"/>
      <c r="EB20" s="24"/>
      <c r="EC20" s="24"/>
      <c r="ED20" s="24"/>
      <c r="EE20" s="24"/>
      <c r="EF20" s="24"/>
      <c r="EG20" s="24"/>
      <c r="EH20" s="24"/>
      <c r="EI20" s="24"/>
      <c r="EJ20" s="24"/>
      <c r="EK20" s="24"/>
      <c r="EL20" s="24"/>
      <c r="EM20" s="24"/>
      <c r="EN20" s="24"/>
      <c r="EO20" s="24"/>
      <c r="EP20" s="24"/>
      <c r="EQ20" s="24"/>
      <c r="ER20" s="24"/>
      <c r="ES20" s="24"/>
      <c r="ET20" s="24"/>
      <c r="EU20" s="24"/>
      <c r="EV20" s="24"/>
      <c r="EW20" s="24"/>
      <c r="EX20" s="24"/>
      <c r="EY20" s="24"/>
      <c r="EZ20" s="24"/>
      <c r="FA20" s="24"/>
      <c r="FB20" s="24"/>
      <c r="FC20" s="24"/>
      <c r="FD20" s="24"/>
      <c r="FE20" s="24"/>
      <c r="FF20" s="24"/>
      <c r="FG20" s="24"/>
      <c r="FH20" s="24"/>
      <c r="FI20" s="24"/>
      <c r="FJ20" s="24"/>
      <c r="FK20" s="24"/>
      <c r="FL20" s="24"/>
      <c r="FM20" s="24"/>
      <c r="FN20" s="24"/>
      <c r="FO20" s="24"/>
      <c r="FP20" s="24"/>
      <c r="FQ20" s="24"/>
      <c r="FR20" s="24"/>
      <c r="FS20" s="24"/>
      <c r="FT20" s="24"/>
      <c r="FU20" s="24"/>
      <c r="FV20" s="24"/>
      <c r="FW20" s="24"/>
      <c r="FX20" s="24"/>
      <c r="FY20" s="24"/>
      <c r="FZ20" s="24"/>
      <c r="GA20" s="24"/>
      <c r="GB20" s="24"/>
      <c r="GC20" s="24"/>
      <c r="GD20" s="24"/>
      <c r="GE20" s="24"/>
      <c r="GF20" s="24"/>
      <c r="GG20" s="24"/>
      <c r="GH20" s="24"/>
      <c r="GI20" s="24"/>
      <c r="GJ20" s="24"/>
      <c r="GK20" s="24"/>
      <c r="GL20" s="24"/>
      <c r="GM20" s="24"/>
      <c r="GN20" s="24"/>
      <c r="GO20" s="24"/>
      <c r="GP20" s="24"/>
      <c r="GQ20" s="24"/>
      <c r="GR20" s="24"/>
      <c r="GS20" s="24"/>
      <c r="GT20" s="24"/>
      <c r="GU20" s="24"/>
      <c r="GV20" s="24"/>
      <c r="GW20" s="24"/>
      <c r="GX20" s="24"/>
      <c r="GY20" s="24"/>
      <c r="GZ20" s="24"/>
      <c r="HA20" s="24"/>
      <c r="HB20" s="24"/>
      <c r="HC20" s="24"/>
      <c r="HD20" s="24"/>
      <c r="HE20" s="24"/>
      <c r="HF20" s="24"/>
      <c r="HG20" s="24"/>
      <c r="HH20" s="24"/>
      <c r="HI20" s="24"/>
      <c r="HJ20" s="24"/>
      <c r="HK20" s="24"/>
      <c r="HL20" s="24"/>
      <c r="HM20" s="24"/>
      <c r="HN20" s="24"/>
      <c r="HO20" s="24"/>
      <c r="HP20" s="24"/>
      <c r="HQ20" s="24"/>
      <c r="HR20" s="24"/>
      <c r="HS20" s="24"/>
      <c r="HT20" s="24"/>
      <c r="HU20" s="24"/>
      <c r="HV20" s="24"/>
      <c r="HW20" s="24"/>
      <c r="HX20" s="24"/>
      <c r="HY20" s="24"/>
      <c r="HZ20" s="24"/>
      <c r="IA20" s="24"/>
      <c r="IB20" s="24"/>
      <c r="IC20" s="24"/>
      <c r="ID20" s="24"/>
      <c r="IE20" s="24"/>
      <c r="IF20" s="24"/>
      <c r="IG20" s="24"/>
      <c r="IH20" s="24"/>
      <c r="II20" s="24"/>
      <c r="IJ20" s="24"/>
      <c r="IK20" s="24"/>
      <c r="IL20" s="24"/>
      <c r="IM20" s="24"/>
      <c r="IN20" s="24"/>
      <c r="IO20" s="24"/>
      <c r="IP20" s="24"/>
      <c r="IQ20" s="24"/>
      <c r="IR20" s="24"/>
      <c r="IS20" s="24"/>
      <c r="IT20" s="24"/>
      <c r="IU20" s="24"/>
      <c r="IV20" s="24"/>
    </row>
    <row r="21" spans="1:256" s="7" customFormat="1" ht="15" customHeight="1">
      <c r="A21" s="1079" t="s">
        <v>2653</v>
      </c>
      <c r="B21" s="516" t="s">
        <v>1741</v>
      </c>
      <c r="C21" s="519"/>
      <c r="D21" s="76"/>
      <c r="E21" s="76"/>
      <c r="F21" s="86"/>
      <c r="G21" s="77"/>
      <c r="H21" s="76"/>
      <c r="I21" s="86">
        <v>1</v>
      </c>
      <c r="J21" s="77"/>
      <c r="K21" s="86"/>
      <c r="L21" s="77"/>
      <c r="M21" s="214"/>
      <c r="N21" s="86"/>
      <c r="O21" s="77"/>
      <c r="P21" s="214"/>
      <c r="Q21" s="86"/>
      <c r="R21" s="77"/>
      <c r="S21" s="86"/>
      <c r="U21" s="181">
        <f>SUM(C15:I15)</f>
        <v>245</v>
      </c>
      <c r="V21" s="181">
        <f>J15+K15</f>
        <v>0</v>
      </c>
      <c r="W21" s="181">
        <f>L15+M15+N15</f>
        <v>0</v>
      </c>
      <c r="X21" s="181">
        <f>O15+P15+Q15</f>
        <v>0</v>
      </c>
      <c r="Y21" s="181">
        <f>R15+S15</f>
        <v>0</v>
      </c>
      <c r="Z21" s="169"/>
      <c r="AA21" s="181"/>
      <c r="AB21" s="181"/>
      <c r="AC21" s="181"/>
      <c r="AD21" s="181"/>
      <c r="AE21" s="181"/>
      <c r="AF21" s="179"/>
      <c r="AG21" s="169"/>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c r="FR21" s="1"/>
      <c r="FS21" s="1"/>
      <c r="FT21" s="1"/>
      <c r="FU21" s="1"/>
      <c r="FV21" s="1"/>
      <c r="FW21" s="1"/>
      <c r="FX21" s="1"/>
      <c r="FY21" s="1"/>
      <c r="FZ21" s="1"/>
      <c r="GA21" s="1"/>
      <c r="GB21" s="1"/>
      <c r="GC21" s="1"/>
      <c r="GD21" s="1"/>
      <c r="GE21" s="1"/>
      <c r="GF21" s="1"/>
      <c r="GG21" s="1"/>
      <c r="GH21" s="1"/>
      <c r="GI21" s="1"/>
      <c r="GJ21" s="1"/>
      <c r="GK21" s="1"/>
      <c r="GL21" s="1"/>
      <c r="GM21" s="1"/>
      <c r="GN21" s="1"/>
      <c r="GO21" s="1"/>
      <c r="GP21" s="1"/>
      <c r="GQ21" s="1"/>
      <c r="GR21" s="1"/>
      <c r="GS21" s="1"/>
      <c r="GT21" s="1"/>
      <c r="GU21" s="1"/>
      <c r="GV21" s="1"/>
      <c r="GW21" s="1"/>
      <c r="GX21" s="1"/>
      <c r="GY21" s="1"/>
      <c r="GZ21" s="1"/>
      <c r="HA21" s="1"/>
      <c r="HB21" s="1"/>
      <c r="HC21" s="1"/>
      <c r="HD21" s="1"/>
      <c r="HE21" s="1"/>
      <c r="HF21" s="1"/>
      <c r="HG21" s="1"/>
      <c r="HH21" s="1"/>
      <c r="HI21" s="1"/>
      <c r="HJ21" s="1"/>
      <c r="HK21" s="1"/>
      <c r="HL21" s="1"/>
      <c r="HM21" s="1"/>
      <c r="HN21" s="1"/>
      <c r="HO21" s="1"/>
      <c r="HP21" s="1"/>
      <c r="HQ21" s="1"/>
      <c r="HR21" s="1"/>
      <c r="HS21" s="1"/>
      <c r="HT21" s="1"/>
      <c r="HU21" s="1"/>
      <c r="HV21" s="1"/>
      <c r="HW21" s="1"/>
      <c r="HX21" s="1"/>
      <c r="HY21" s="1"/>
      <c r="HZ21" s="1"/>
      <c r="IA21" s="1"/>
      <c r="IB21" s="1"/>
      <c r="IC21" s="1"/>
      <c r="ID21" s="1"/>
      <c r="IE21" s="1"/>
      <c r="IF21" s="1"/>
      <c r="IG21" s="1"/>
      <c r="IH21" s="1"/>
      <c r="II21" s="1"/>
      <c r="IJ21" s="1"/>
      <c r="IK21" s="1"/>
      <c r="IL21" s="1"/>
      <c r="IM21" s="1"/>
      <c r="IN21" s="1"/>
      <c r="IO21" s="1"/>
      <c r="IP21" s="1"/>
      <c r="IQ21" s="1"/>
      <c r="IR21" s="1"/>
      <c r="IS21" s="1"/>
      <c r="IT21" s="1"/>
      <c r="IU21" s="1"/>
      <c r="IV21" s="1"/>
    </row>
    <row r="22" spans="1:256" s="7" customFormat="1" ht="15" customHeight="1">
      <c r="A22" s="1080"/>
      <c r="B22" s="517" t="s">
        <v>1742</v>
      </c>
      <c r="C22" s="520"/>
      <c r="D22" s="74"/>
      <c r="E22" s="74"/>
      <c r="F22" s="63"/>
      <c r="G22" s="78"/>
      <c r="H22" s="74"/>
      <c r="I22" s="63"/>
      <c r="J22" s="78"/>
      <c r="K22" s="63"/>
      <c r="L22" s="78"/>
      <c r="M22" s="215"/>
      <c r="N22" s="63"/>
      <c r="O22" s="78"/>
      <c r="P22" s="215"/>
      <c r="Q22" s="63"/>
      <c r="R22" s="78"/>
      <c r="S22" s="63"/>
      <c r="U22" s="169"/>
      <c r="V22" s="169">
        <f>COUNTIF(V20:V21,"&gt;0")</f>
        <v>0</v>
      </c>
      <c r="W22" s="169">
        <f>COUNTIF(W20:W21,"&gt;0")</f>
        <v>0</v>
      </c>
      <c r="X22" s="169">
        <f>COUNTIF(X20:X21,"&gt;0")</f>
        <v>0</v>
      </c>
      <c r="Y22" s="169">
        <f>COUNTIF(Y20:Y21,"&gt;0")</f>
        <v>0</v>
      </c>
      <c r="Z22" s="169">
        <f>COUNTIF(U22:Y22,1)</f>
        <v>0</v>
      </c>
      <c r="AA22" s="169"/>
      <c r="AB22" s="169"/>
      <c r="AC22" s="169"/>
      <c r="AD22" s="169"/>
      <c r="AE22" s="169"/>
      <c r="AF22" s="179"/>
      <c r="AG22" s="169"/>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c r="IP22" s="1"/>
      <c r="IQ22" s="1"/>
      <c r="IR22" s="1"/>
      <c r="IS22" s="1"/>
      <c r="IT22" s="1"/>
      <c r="IU22" s="1"/>
      <c r="IV22" s="1"/>
    </row>
    <row r="23" spans="1:256" s="7" customFormat="1" ht="15" customHeight="1">
      <c r="A23" s="1080"/>
      <c r="B23" s="517" t="s">
        <v>1743</v>
      </c>
      <c r="C23" s="1068" t="str">
        <f>IF(Z22&lt;&gt;0,"Die blaue Markierung verschwindet, sobald die Angaben für diese Leistung sowohl in der Kostenrechnung als auch in der Leistungstatistik vorhanden sind.","")</f>
        <v/>
      </c>
      <c r="D23" s="1069"/>
      <c r="E23" s="1070"/>
      <c r="F23" s="63"/>
      <c r="G23" s="78"/>
      <c r="H23" s="74"/>
      <c r="I23" s="63"/>
      <c r="J23" s="78"/>
      <c r="K23" s="63"/>
      <c r="L23" s="78"/>
      <c r="M23" s="215"/>
      <c r="N23" s="63"/>
      <c r="O23" s="78"/>
      <c r="P23" s="215"/>
      <c r="Q23" s="63"/>
      <c r="R23" s="78"/>
      <c r="S23" s="63"/>
      <c r="U23" s="184"/>
      <c r="V23" s="184"/>
      <c r="W23" s="184"/>
      <c r="X23" s="184"/>
      <c r="Y23" s="184"/>
      <c r="Z23" s="169"/>
      <c r="AA23" s="169"/>
      <c r="AB23" s="169"/>
      <c r="AC23" s="169"/>
      <c r="AD23" s="169"/>
      <c r="AE23" s="169"/>
      <c r="AF23" s="169"/>
      <c r="AG23" s="169"/>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c r="GP23" s="1"/>
      <c r="GQ23" s="1"/>
      <c r="GR23" s="1"/>
      <c r="GS23" s="1"/>
      <c r="GT23" s="1"/>
      <c r="GU23" s="1"/>
      <c r="GV23" s="1"/>
      <c r="GW23" s="1"/>
      <c r="GX23" s="1"/>
      <c r="GY23" s="1"/>
      <c r="GZ23" s="1"/>
      <c r="HA23" s="1"/>
      <c r="HB23" s="1"/>
      <c r="HC23" s="1"/>
      <c r="HD23" s="1"/>
      <c r="HE23" s="1"/>
      <c r="HF23" s="1"/>
      <c r="HG23" s="1"/>
      <c r="HH23" s="1"/>
      <c r="HI23" s="1"/>
      <c r="HJ23" s="1"/>
      <c r="HK23" s="1"/>
      <c r="HL23" s="1"/>
      <c r="HM23" s="1"/>
      <c r="HN23" s="1"/>
      <c r="HO23" s="1"/>
      <c r="HP23" s="1"/>
      <c r="HQ23" s="1"/>
      <c r="HR23" s="1"/>
      <c r="HS23" s="1"/>
      <c r="HT23" s="1"/>
      <c r="HU23" s="1"/>
      <c r="HV23" s="1"/>
      <c r="HW23" s="1"/>
      <c r="HX23" s="1"/>
      <c r="HY23" s="1"/>
      <c r="HZ23" s="1"/>
      <c r="IA23" s="1"/>
      <c r="IB23" s="1"/>
      <c r="IC23" s="1"/>
      <c r="ID23" s="1"/>
      <c r="IE23" s="1"/>
      <c r="IF23" s="1"/>
      <c r="IG23" s="1"/>
      <c r="IH23" s="1"/>
      <c r="II23" s="1"/>
      <c r="IJ23" s="1"/>
      <c r="IK23" s="1"/>
      <c r="IL23" s="1"/>
      <c r="IM23" s="1"/>
      <c r="IN23" s="1"/>
      <c r="IO23" s="1"/>
      <c r="IP23" s="1"/>
      <c r="IQ23" s="1"/>
      <c r="IR23" s="1"/>
      <c r="IS23" s="1"/>
      <c r="IT23" s="1"/>
      <c r="IU23" s="1"/>
      <c r="IV23" s="1"/>
    </row>
    <row r="24" spans="1:256" s="7" customFormat="1" ht="15" customHeight="1">
      <c r="A24" s="1080"/>
      <c r="B24" s="517" t="s">
        <v>1744</v>
      </c>
      <c r="C24" s="1071"/>
      <c r="D24" s="1072"/>
      <c r="E24" s="1073"/>
      <c r="F24" s="63"/>
      <c r="G24" s="78"/>
      <c r="H24" s="74"/>
      <c r="I24" s="63"/>
      <c r="J24" s="78"/>
      <c r="K24" s="63"/>
      <c r="L24" s="78"/>
      <c r="M24" s="215"/>
      <c r="N24" s="63"/>
      <c r="O24" s="78"/>
      <c r="P24" s="215"/>
      <c r="Q24" s="63"/>
      <c r="R24" s="78"/>
      <c r="S24" s="63"/>
      <c r="U24" s="184"/>
      <c r="V24" s="184"/>
      <c r="W24" s="179"/>
      <c r="X24" s="179"/>
      <c r="Y24" s="179"/>
      <c r="Z24" s="179"/>
      <c r="AA24" s="179"/>
      <c r="AB24" s="179"/>
      <c r="AC24" s="179"/>
      <c r="AD24" s="179"/>
      <c r="AE24" s="179"/>
      <c r="AF24" s="179"/>
      <c r="AG24" s="179"/>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c r="HB24" s="1"/>
      <c r="HC24" s="1"/>
      <c r="HD24" s="1"/>
      <c r="HE24" s="1"/>
      <c r="HF24" s="1"/>
      <c r="HG24" s="1"/>
      <c r="HH24" s="1"/>
      <c r="HI24" s="1"/>
      <c r="HJ24" s="1"/>
      <c r="HK24" s="1"/>
      <c r="HL24" s="1"/>
      <c r="HM24" s="1"/>
      <c r="HN24" s="1"/>
      <c r="HO24" s="1"/>
      <c r="HP24" s="1"/>
      <c r="HQ24" s="1"/>
      <c r="HR24" s="1"/>
      <c r="HS24" s="1"/>
      <c r="HT24" s="1"/>
      <c r="HU24" s="1"/>
      <c r="HV24" s="1"/>
      <c r="HW24" s="1"/>
      <c r="HX24" s="1"/>
      <c r="HY24" s="1"/>
      <c r="HZ24" s="1"/>
      <c r="IA24" s="1"/>
      <c r="IB24" s="1"/>
      <c r="IC24" s="1"/>
      <c r="ID24" s="1"/>
      <c r="IE24" s="1"/>
      <c r="IF24" s="1"/>
      <c r="IG24" s="1"/>
      <c r="IH24" s="1"/>
      <c r="II24" s="1"/>
      <c r="IJ24" s="1"/>
      <c r="IK24" s="1"/>
      <c r="IL24" s="1"/>
      <c r="IM24" s="1"/>
      <c r="IN24" s="1"/>
      <c r="IO24" s="1"/>
      <c r="IP24" s="1"/>
      <c r="IQ24" s="1"/>
      <c r="IR24" s="1"/>
      <c r="IS24" s="1"/>
      <c r="IT24" s="1"/>
      <c r="IU24" s="1"/>
      <c r="IV24" s="1"/>
    </row>
    <row r="25" spans="1:256" s="7" customFormat="1" ht="15" customHeight="1">
      <c r="A25" s="1080"/>
      <c r="B25" s="517" t="s">
        <v>1745</v>
      </c>
      <c r="C25" s="1071"/>
      <c r="D25" s="1072"/>
      <c r="E25" s="1073"/>
      <c r="F25" s="63"/>
      <c r="G25" s="78"/>
      <c r="H25" s="74"/>
      <c r="I25" s="63"/>
      <c r="J25" s="78"/>
      <c r="K25" s="63"/>
      <c r="L25" s="78"/>
      <c r="M25" s="215"/>
      <c r="N25" s="63"/>
      <c r="O25" s="78"/>
      <c r="P25" s="215"/>
      <c r="Q25" s="63"/>
      <c r="R25" s="78"/>
      <c r="S25" s="63"/>
      <c r="U25" s="184"/>
      <c r="V25" s="184"/>
      <c r="W25" s="179"/>
      <c r="X25" s="179"/>
      <c r="Y25" s="179"/>
      <c r="Z25" s="179"/>
      <c r="AA25" s="179"/>
      <c r="AB25" s="179"/>
      <c r="AC25" s="179"/>
      <c r="AD25" s="179"/>
      <c r="AE25" s="179"/>
      <c r="AF25" s="179"/>
      <c r="AG25" s="179"/>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c r="IP25" s="1"/>
      <c r="IQ25" s="1"/>
      <c r="IR25" s="1"/>
      <c r="IS25" s="1"/>
      <c r="IT25" s="1"/>
      <c r="IU25" s="1"/>
      <c r="IV25" s="1"/>
    </row>
    <row r="26" spans="1:256" s="7" customFormat="1" ht="15" customHeight="1">
      <c r="A26" s="1080"/>
      <c r="B26" s="517" t="s">
        <v>1746</v>
      </c>
      <c r="C26" s="1071"/>
      <c r="D26" s="1072"/>
      <c r="E26" s="1073"/>
      <c r="F26" s="63"/>
      <c r="G26" s="78"/>
      <c r="H26" s="74"/>
      <c r="I26" s="63"/>
      <c r="J26" s="78"/>
      <c r="K26" s="63"/>
      <c r="L26" s="78"/>
      <c r="M26" s="215"/>
      <c r="N26" s="63"/>
      <c r="O26" s="78"/>
      <c r="P26" s="215"/>
      <c r="Q26" s="63"/>
      <c r="R26" s="78"/>
      <c r="S26" s="63"/>
      <c r="U26" s="184"/>
      <c r="V26" s="184"/>
      <c r="W26" s="179"/>
      <c r="X26" s="179"/>
      <c r="Y26" s="179"/>
      <c r="Z26" s="179"/>
      <c r="AA26" s="179"/>
      <c r="AB26" s="179"/>
      <c r="AC26" s="179"/>
      <c r="AD26" s="179"/>
      <c r="AE26" s="179"/>
      <c r="AF26" s="179"/>
      <c r="AG26" s="179"/>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c r="HB26" s="1"/>
      <c r="HC26" s="1"/>
      <c r="HD26" s="1"/>
      <c r="HE26" s="1"/>
      <c r="HF26" s="1"/>
      <c r="HG26" s="1"/>
      <c r="HH26" s="1"/>
      <c r="HI26" s="1"/>
      <c r="HJ26" s="1"/>
      <c r="HK26" s="1"/>
      <c r="HL26" s="1"/>
      <c r="HM26" s="1"/>
      <c r="HN26" s="1"/>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c r="IO26" s="1"/>
      <c r="IP26" s="1"/>
      <c r="IQ26" s="1"/>
      <c r="IR26" s="1"/>
      <c r="IS26" s="1"/>
      <c r="IT26" s="1"/>
      <c r="IU26" s="1"/>
      <c r="IV26" s="1"/>
    </row>
    <row r="27" spans="1:256" s="7" customFormat="1" ht="15" customHeight="1">
      <c r="A27" s="1080"/>
      <c r="B27" s="517" t="s">
        <v>1747</v>
      </c>
      <c r="C27" s="1071"/>
      <c r="D27" s="1072"/>
      <c r="E27" s="1073"/>
      <c r="F27" s="63"/>
      <c r="G27" s="78"/>
      <c r="H27" s="74"/>
      <c r="I27" s="63"/>
      <c r="J27" s="78"/>
      <c r="K27" s="63"/>
      <c r="L27" s="78"/>
      <c r="M27" s="215"/>
      <c r="N27" s="63"/>
      <c r="O27" s="78"/>
      <c r="P27" s="215"/>
      <c r="Q27" s="63"/>
      <c r="R27" s="78"/>
      <c r="S27" s="63"/>
      <c r="U27" s="184"/>
      <c r="V27" s="184"/>
      <c r="W27" s="179"/>
      <c r="X27" s="179"/>
      <c r="Y27" s="179"/>
      <c r="Z27" s="179"/>
      <c r="AA27" s="179"/>
      <c r="AB27" s="179"/>
      <c r="AC27" s="179"/>
      <c r="AD27" s="179"/>
      <c r="AE27" s="179"/>
      <c r="AF27" s="179"/>
      <c r="AG27" s="179"/>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c r="FR27" s="1"/>
      <c r="FS27" s="1"/>
      <c r="FT27" s="1"/>
      <c r="FU27" s="1"/>
      <c r="FV27" s="1"/>
      <c r="FW27" s="1"/>
      <c r="FX27" s="1"/>
      <c r="FY27" s="1"/>
      <c r="FZ27" s="1"/>
      <c r="GA27" s="1"/>
      <c r="GB27" s="1"/>
      <c r="GC27" s="1"/>
      <c r="GD27" s="1"/>
      <c r="GE27" s="1"/>
      <c r="GF27" s="1"/>
      <c r="GG27" s="1"/>
      <c r="GH27" s="1"/>
      <c r="GI27" s="1"/>
      <c r="GJ27" s="1"/>
      <c r="GK27" s="1"/>
      <c r="GL27" s="1"/>
      <c r="GM27" s="1"/>
      <c r="GN27" s="1"/>
      <c r="GO27" s="1"/>
      <c r="GP27" s="1"/>
      <c r="GQ27" s="1"/>
      <c r="GR27" s="1"/>
      <c r="GS27" s="1"/>
      <c r="GT27" s="1"/>
      <c r="GU27" s="1"/>
      <c r="GV27" s="1"/>
      <c r="GW27" s="1"/>
      <c r="GX27" s="1"/>
      <c r="GY27" s="1"/>
      <c r="GZ27" s="1"/>
      <c r="HA27" s="1"/>
      <c r="HB27" s="1"/>
      <c r="HC27" s="1"/>
      <c r="HD27" s="1"/>
      <c r="HE27" s="1"/>
      <c r="HF27" s="1"/>
      <c r="HG27" s="1"/>
      <c r="HH27" s="1"/>
      <c r="HI27" s="1"/>
      <c r="HJ27" s="1"/>
      <c r="HK27" s="1"/>
      <c r="HL27" s="1"/>
      <c r="HM27" s="1"/>
      <c r="HN27" s="1"/>
      <c r="HO27" s="1"/>
      <c r="HP27" s="1"/>
      <c r="HQ27" s="1"/>
      <c r="HR27" s="1"/>
      <c r="HS27" s="1"/>
      <c r="HT27" s="1"/>
      <c r="HU27" s="1"/>
      <c r="HV27" s="1"/>
      <c r="HW27" s="1"/>
      <c r="HX27" s="1"/>
      <c r="HY27" s="1"/>
      <c r="HZ27" s="1"/>
      <c r="IA27" s="1"/>
      <c r="IB27" s="1"/>
      <c r="IC27" s="1"/>
      <c r="ID27" s="1"/>
      <c r="IE27" s="1"/>
      <c r="IF27" s="1"/>
      <c r="IG27" s="1"/>
      <c r="IH27" s="1"/>
      <c r="II27" s="1"/>
      <c r="IJ27" s="1"/>
      <c r="IK27" s="1"/>
      <c r="IL27" s="1"/>
      <c r="IM27" s="1"/>
      <c r="IN27" s="1"/>
      <c r="IO27" s="1"/>
      <c r="IP27" s="1"/>
      <c r="IQ27" s="1"/>
      <c r="IR27" s="1"/>
      <c r="IS27" s="1"/>
      <c r="IT27" s="1"/>
      <c r="IU27" s="1"/>
      <c r="IV27" s="1"/>
    </row>
    <row r="28" spans="1:256" s="7" customFormat="1" ht="15" customHeight="1">
      <c r="A28" s="1080"/>
      <c r="B28" s="517" t="s">
        <v>1748</v>
      </c>
      <c r="C28" s="1071"/>
      <c r="D28" s="1072"/>
      <c r="E28" s="1073"/>
      <c r="F28" s="63"/>
      <c r="G28" s="78"/>
      <c r="H28" s="74"/>
      <c r="I28" s="63"/>
      <c r="J28" s="78"/>
      <c r="K28" s="63"/>
      <c r="L28" s="78"/>
      <c r="M28" s="215"/>
      <c r="N28" s="63"/>
      <c r="O28" s="78"/>
      <c r="P28" s="215"/>
      <c r="Q28" s="63"/>
      <c r="R28" s="78"/>
      <c r="S28" s="63"/>
      <c r="U28" s="184"/>
      <c r="V28" s="184"/>
      <c r="W28" s="179"/>
      <c r="X28" s="179"/>
      <c r="Y28" s="179"/>
      <c r="Z28" s="179"/>
      <c r="AA28" s="179"/>
      <c r="AB28" s="179"/>
      <c r="AC28" s="179"/>
      <c r="AD28" s="179"/>
      <c r="AE28" s="179"/>
      <c r="AF28" s="179"/>
      <c r="AG28" s="179"/>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c r="GP28" s="1"/>
      <c r="GQ28" s="1"/>
      <c r="GR28" s="1"/>
      <c r="GS28" s="1"/>
      <c r="GT28" s="1"/>
      <c r="GU28" s="1"/>
      <c r="GV28" s="1"/>
      <c r="GW28" s="1"/>
      <c r="GX28" s="1"/>
      <c r="GY28" s="1"/>
      <c r="GZ28" s="1"/>
      <c r="HA28" s="1"/>
      <c r="HB28" s="1"/>
      <c r="HC28" s="1"/>
      <c r="HD28" s="1"/>
      <c r="HE28" s="1"/>
      <c r="HF28" s="1"/>
      <c r="HG28" s="1"/>
      <c r="HH28" s="1"/>
      <c r="HI28" s="1"/>
      <c r="HJ28" s="1"/>
      <c r="HK28" s="1"/>
      <c r="HL28" s="1"/>
      <c r="HM28" s="1"/>
      <c r="HN28" s="1"/>
      <c r="HO28" s="1"/>
      <c r="HP28" s="1"/>
      <c r="HQ28" s="1"/>
      <c r="HR28" s="1"/>
      <c r="HS28" s="1"/>
      <c r="HT28" s="1"/>
      <c r="HU28" s="1"/>
      <c r="HV28" s="1"/>
      <c r="HW28" s="1"/>
      <c r="HX28" s="1"/>
      <c r="HY28" s="1"/>
      <c r="HZ28" s="1"/>
      <c r="IA28" s="1"/>
      <c r="IB28" s="1"/>
      <c r="IC28" s="1"/>
      <c r="ID28" s="1"/>
      <c r="IE28" s="1"/>
      <c r="IF28" s="1"/>
      <c r="IG28" s="1"/>
      <c r="IH28" s="1"/>
      <c r="II28" s="1"/>
      <c r="IJ28" s="1"/>
      <c r="IK28" s="1"/>
      <c r="IL28" s="1"/>
      <c r="IM28" s="1"/>
      <c r="IN28" s="1"/>
      <c r="IO28" s="1"/>
      <c r="IP28" s="1"/>
      <c r="IQ28" s="1"/>
      <c r="IR28" s="1"/>
      <c r="IS28" s="1"/>
      <c r="IT28" s="1"/>
      <c r="IU28" s="1"/>
      <c r="IV28" s="1"/>
    </row>
    <row r="29" spans="1:256" s="7" customFormat="1" ht="15" customHeight="1">
      <c r="A29" s="1080"/>
      <c r="B29" s="517" t="s">
        <v>1749</v>
      </c>
      <c r="C29" s="1074"/>
      <c r="D29" s="1075"/>
      <c r="E29" s="1076"/>
      <c r="F29" s="63"/>
      <c r="G29" s="78"/>
      <c r="H29" s="74"/>
      <c r="I29" s="63"/>
      <c r="J29" s="78"/>
      <c r="K29" s="63"/>
      <c r="L29" s="78"/>
      <c r="M29" s="215"/>
      <c r="N29" s="63"/>
      <c r="O29" s="78"/>
      <c r="P29" s="215"/>
      <c r="Q29" s="63"/>
      <c r="R29" s="78"/>
      <c r="S29" s="63"/>
      <c r="U29" s="184"/>
      <c r="V29" s="184"/>
      <c r="W29" s="184"/>
      <c r="X29" s="184"/>
      <c r="Y29" s="184"/>
      <c r="Z29" s="169"/>
      <c r="AA29" s="169"/>
      <c r="AB29" s="169"/>
      <c r="AC29" s="169"/>
      <c r="AD29" s="169"/>
      <c r="AE29" s="169"/>
      <c r="AF29" s="169"/>
      <c r="AG29" s="169"/>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
      <c r="FV29" s="1"/>
      <c r="FW29" s="1"/>
      <c r="FX29" s="1"/>
      <c r="FY29" s="1"/>
      <c r="FZ29" s="1"/>
      <c r="GA29" s="1"/>
      <c r="GB29" s="1"/>
      <c r="GC29" s="1"/>
      <c r="GD29" s="1"/>
      <c r="GE29" s="1"/>
      <c r="GF29" s="1"/>
      <c r="GG29" s="1"/>
      <c r="GH29" s="1"/>
      <c r="GI29" s="1"/>
      <c r="GJ29" s="1"/>
      <c r="GK29" s="1"/>
      <c r="GL29" s="1"/>
      <c r="GM29" s="1"/>
      <c r="GN29" s="1"/>
      <c r="GO29" s="1"/>
      <c r="GP29" s="1"/>
      <c r="GQ29" s="1"/>
      <c r="GR29" s="1"/>
      <c r="GS29" s="1"/>
      <c r="GT29" s="1"/>
      <c r="GU29" s="1"/>
      <c r="GV29" s="1"/>
      <c r="GW29" s="1"/>
      <c r="GX29" s="1"/>
      <c r="GY29" s="1"/>
      <c r="GZ29" s="1"/>
      <c r="HA29" s="1"/>
      <c r="HB29" s="1"/>
      <c r="HC29" s="1"/>
      <c r="HD29" s="1"/>
      <c r="HE29" s="1"/>
      <c r="HF29" s="1"/>
      <c r="HG29" s="1"/>
      <c r="HH29" s="1"/>
      <c r="HI29" s="1"/>
      <c r="HJ29" s="1"/>
      <c r="HK29" s="1"/>
      <c r="HL29" s="1"/>
      <c r="HM29" s="1"/>
      <c r="HN29" s="1"/>
      <c r="HO29" s="1"/>
      <c r="HP29" s="1"/>
      <c r="HQ29" s="1"/>
      <c r="HR29" s="1"/>
      <c r="HS29" s="1"/>
      <c r="HT29" s="1"/>
      <c r="HU29" s="1"/>
      <c r="HV29" s="1"/>
      <c r="HW29" s="1"/>
      <c r="HX29" s="1"/>
      <c r="HY29" s="1"/>
      <c r="HZ29" s="1"/>
      <c r="IA29" s="1"/>
      <c r="IB29" s="1"/>
      <c r="IC29" s="1"/>
      <c r="ID29" s="1"/>
      <c r="IE29" s="1"/>
      <c r="IF29" s="1"/>
      <c r="IG29" s="1"/>
      <c r="IH29" s="1"/>
      <c r="II29" s="1"/>
      <c r="IJ29" s="1"/>
      <c r="IK29" s="1"/>
      <c r="IL29" s="1"/>
      <c r="IM29" s="1"/>
      <c r="IN29" s="1"/>
      <c r="IO29" s="1"/>
      <c r="IP29" s="1"/>
      <c r="IQ29" s="1"/>
      <c r="IR29" s="1"/>
      <c r="IS29" s="1"/>
      <c r="IT29" s="1"/>
      <c r="IU29" s="1"/>
      <c r="IV29" s="1"/>
    </row>
    <row r="30" spans="1:256" s="7" customFormat="1" ht="15" customHeight="1">
      <c r="A30" s="1080"/>
      <c r="B30" s="517" t="s">
        <v>1750</v>
      </c>
      <c r="C30" s="520"/>
      <c r="D30" s="74"/>
      <c r="E30" s="74"/>
      <c r="F30" s="63"/>
      <c r="G30" s="78"/>
      <c r="H30" s="74"/>
      <c r="I30" s="63"/>
      <c r="J30" s="78"/>
      <c r="K30" s="63"/>
      <c r="L30" s="78"/>
      <c r="M30" s="215"/>
      <c r="N30" s="63"/>
      <c r="O30" s="78"/>
      <c r="P30" s="215"/>
      <c r="Q30" s="63"/>
      <c r="R30" s="78"/>
      <c r="S30" s="63"/>
      <c r="U30" s="184"/>
      <c r="V30" s="184"/>
      <c r="W30" s="184"/>
      <c r="X30" s="184"/>
      <c r="Y30" s="184"/>
      <c r="Z30" s="169"/>
      <c r="AA30" s="169"/>
      <c r="AB30" s="169"/>
      <c r="AC30" s="169"/>
      <c r="AD30" s="169"/>
      <c r="AE30" s="169"/>
      <c r="AF30" s="169"/>
      <c r="AG30" s="169"/>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c r="HF30" s="1"/>
      <c r="HG30" s="1"/>
      <c r="HH30" s="1"/>
      <c r="HI30" s="1"/>
      <c r="HJ30" s="1"/>
      <c r="HK30" s="1"/>
      <c r="HL30" s="1"/>
      <c r="HM30" s="1"/>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c r="IP30" s="1"/>
      <c r="IQ30" s="1"/>
      <c r="IR30" s="1"/>
      <c r="IS30" s="1"/>
      <c r="IT30" s="1"/>
      <c r="IU30" s="1"/>
      <c r="IV30" s="1"/>
    </row>
    <row r="31" spans="1:256" s="7" customFormat="1" ht="15" customHeight="1">
      <c r="A31" s="1080"/>
      <c r="B31" s="517" t="s">
        <v>1751</v>
      </c>
      <c r="C31" s="1084" t="str">
        <f>IF(AI15&lt;&gt;0,"Die rote Markierung verschwindet, sobald die Totale übereinstimmen","")</f>
        <v/>
      </c>
      <c r="D31" s="1085"/>
      <c r="E31" s="1086"/>
      <c r="F31" s="145"/>
      <c r="G31" s="78"/>
      <c r="H31" s="74"/>
      <c r="I31" s="145"/>
      <c r="J31" s="78"/>
      <c r="K31" s="145"/>
      <c r="L31" s="78"/>
      <c r="M31" s="215"/>
      <c r="N31" s="145"/>
      <c r="O31" s="78"/>
      <c r="P31" s="215"/>
      <c r="Q31" s="145"/>
      <c r="R31" s="78"/>
      <c r="S31" s="63"/>
      <c r="U31" s="184"/>
      <c r="V31" s="184"/>
      <c r="W31" s="184"/>
      <c r="X31" s="184"/>
      <c r="Y31" s="184"/>
      <c r="Z31" s="169"/>
      <c r="AA31" s="169"/>
      <c r="AB31" s="169"/>
      <c r="AC31" s="169"/>
      <c r="AD31" s="169"/>
      <c r="AE31" s="169"/>
      <c r="AF31" s="169"/>
      <c r="AG31" s="169"/>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c r="FR31" s="1"/>
      <c r="FS31" s="1"/>
      <c r="FT31" s="1"/>
      <c r="FU31" s="1"/>
      <c r="FV31" s="1"/>
      <c r="FW31" s="1"/>
      <c r="FX31" s="1"/>
      <c r="FY31" s="1"/>
      <c r="FZ31" s="1"/>
      <c r="GA31" s="1"/>
      <c r="GB31" s="1"/>
      <c r="GC31" s="1"/>
      <c r="GD31" s="1"/>
      <c r="GE31" s="1"/>
      <c r="GF31" s="1"/>
      <c r="GG31" s="1"/>
      <c r="GH31" s="1"/>
      <c r="GI31" s="1"/>
      <c r="GJ31" s="1"/>
      <c r="GK31" s="1"/>
      <c r="GL31" s="1"/>
      <c r="GM31" s="1"/>
      <c r="GN31" s="1"/>
      <c r="GO31" s="1"/>
      <c r="GP31" s="1"/>
      <c r="GQ31" s="1"/>
      <c r="GR31" s="1"/>
      <c r="GS31" s="1"/>
      <c r="GT31" s="1"/>
      <c r="GU31" s="1"/>
      <c r="GV31" s="1"/>
      <c r="GW31" s="1"/>
      <c r="GX31" s="1"/>
      <c r="GY31" s="1"/>
      <c r="GZ31" s="1"/>
      <c r="HA31" s="1"/>
      <c r="HB31" s="1"/>
      <c r="HC31" s="1"/>
      <c r="HD31" s="1"/>
      <c r="HE31" s="1"/>
      <c r="HF31" s="1"/>
      <c r="HG31" s="1"/>
      <c r="HH31" s="1"/>
      <c r="HI31" s="1"/>
      <c r="HJ31" s="1"/>
      <c r="HK31" s="1"/>
      <c r="HL31" s="1"/>
      <c r="HM31" s="1"/>
      <c r="HN31" s="1"/>
      <c r="HO31" s="1"/>
      <c r="HP31" s="1"/>
      <c r="HQ31" s="1"/>
      <c r="HR31" s="1"/>
      <c r="HS31" s="1"/>
      <c r="HT31" s="1"/>
      <c r="HU31" s="1"/>
      <c r="HV31" s="1"/>
      <c r="HW31" s="1"/>
      <c r="HX31" s="1"/>
      <c r="HY31" s="1"/>
      <c r="HZ31" s="1"/>
      <c r="IA31" s="1"/>
      <c r="IB31" s="1"/>
      <c r="IC31" s="1"/>
      <c r="ID31" s="1"/>
      <c r="IE31" s="1"/>
      <c r="IF31" s="1"/>
      <c r="IG31" s="1"/>
      <c r="IH31" s="1"/>
      <c r="II31" s="1"/>
      <c r="IJ31" s="1"/>
      <c r="IK31" s="1"/>
      <c r="IL31" s="1"/>
      <c r="IM31" s="1"/>
      <c r="IN31" s="1"/>
      <c r="IO31" s="1"/>
      <c r="IP31" s="1"/>
      <c r="IQ31" s="1"/>
      <c r="IR31" s="1"/>
      <c r="IS31" s="1"/>
      <c r="IT31" s="1"/>
      <c r="IU31" s="1"/>
      <c r="IV31" s="1"/>
    </row>
    <row r="32" spans="1:256" s="7" customFormat="1" ht="15" customHeight="1">
      <c r="A32" s="1080"/>
      <c r="B32" s="517" t="s">
        <v>1752</v>
      </c>
      <c r="C32" s="1087"/>
      <c r="D32" s="1088"/>
      <c r="E32" s="1089"/>
      <c r="F32" s="63"/>
      <c r="G32" s="78"/>
      <c r="H32" s="74"/>
      <c r="I32" s="63"/>
      <c r="J32" s="78"/>
      <c r="K32" s="63"/>
      <c r="L32" s="78"/>
      <c r="M32" s="215"/>
      <c r="N32" s="63"/>
      <c r="O32" s="78"/>
      <c r="P32" s="215"/>
      <c r="Q32" s="63"/>
      <c r="R32" s="78"/>
      <c r="S32" s="63"/>
      <c r="U32" s="184"/>
      <c r="V32" s="184"/>
      <c r="W32" s="184"/>
      <c r="X32" s="184"/>
      <c r="Y32" s="184"/>
      <c r="Z32" s="169"/>
      <c r="AA32" s="169"/>
      <c r="AB32" s="169"/>
      <c r="AC32" s="169"/>
      <c r="AD32" s="169"/>
      <c r="AE32" s="169"/>
      <c r="AF32" s="169"/>
      <c r="AG32" s="169"/>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c r="EJ32" s="1"/>
      <c r="EK32" s="1"/>
      <c r="EL32" s="1"/>
      <c r="EM32" s="1"/>
      <c r="EN32" s="1"/>
      <c r="EO32" s="1"/>
      <c r="EP32" s="1"/>
      <c r="EQ32" s="1"/>
      <c r="ER32" s="1"/>
      <c r="ES32" s="1"/>
      <c r="ET32" s="1"/>
      <c r="EU32" s="1"/>
      <c r="EV32" s="1"/>
      <c r="EW32" s="1"/>
      <c r="EX32" s="1"/>
      <c r="EY32" s="1"/>
      <c r="EZ32" s="1"/>
      <c r="FA32" s="1"/>
      <c r="FB32" s="1"/>
      <c r="FC32" s="1"/>
      <c r="FD32" s="1"/>
      <c r="FE32" s="1"/>
      <c r="FF32" s="1"/>
      <c r="FG32" s="1"/>
      <c r="FH32" s="1"/>
      <c r="FI32" s="1"/>
      <c r="FJ32" s="1"/>
      <c r="FK32" s="1"/>
      <c r="FL32" s="1"/>
      <c r="FM32" s="1"/>
      <c r="FN32" s="1"/>
      <c r="FO32" s="1"/>
      <c r="FP32" s="1"/>
      <c r="FQ32" s="1"/>
      <c r="FR32" s="1"/>
      <c r="FS32" s="1"/>
      <c r="FT32" s="1"/>
      <c r="FU32" s="1"/>
      <c r="FV32" s="1"/>
      <c r="FW32" s="1"/>
      <c r="FX32" s="1"/>
      <c r="FY32" s="1"/>
      <c r="FZ32" s="1"/>
      <c r="GA32" s="1"/>
      <c r="GB32" s="1"/>
      <c r="GC32" s="1"/>
      <c r="GD32" s="1"/>
      <c r="GE32" s="1"/>
      <c r="GF32" s="1"/>
      <c r="GG32" s="1"/>
      <c r="GH32" s="1"/>
      <c r="GI32" s="1"/>
      <c r="GJ32" s="1"/>
      <c r="GK32" s="1"/>
      <c r="GL32" s="1"/>
      <c r="GM32" s="1"/>
      <c r="GN32" s="1"/>
      <c r="GO32" s="1"/>
      <c r="GP32" s="1"/>
      <c r="GQ32" s="1"/>
      <c r="GR32" s="1"/>
      <c r="GS32" s="1"/>
      <c r="GT32" s="1"/>
      <c r="GU32" s="1"/>
      <c r="GV32" s="1"/>
      <c r="GW32" s="1"/>
      <c r="GX32" s="1"/>
      <c r="GY32" s="1"/>
      <c r="GZ32" s="1"/>
      <c r="HA32" s="1"/>
      <c r="HB32" s="1"/>
      <c r="HC32" s="1"/>
      <c r="HD32" s="1"/>
      <c r="HE32" s="1"/>
      <c r="HF32" s="1"/>
      <c r="HG32" s="1"/>
      <c r="HH32" s="1"/>
      <c r="HI32" s="1"/>
      <c r="HJ32" s="1"/>
      <c r="HK32" s="1"/>
      <c r="HL32" s="1"/>
      <c r="HM32" s="1"/>
      <c r="HN32" s="1"/>
      <c r="HO32" s="1"/>
      <c r="HP32" s="1"/>
      <c r="HQ32" s="1"/>
      <c r="HR32" s="1"/>
      <c r="HS32" s="1"/>
      <c r="HT32" s="1"/>
      <c r="HU32" s="1"/>
      <c r="HV32" s="1"/>
      <c r="HW32" s="1"/>
      <c r="HX32" s="1"/>
      <c r="HY32" s="1"/>
      <c r="HZ32" s="1"/>
      <c r="IA32" s="1"/>
      <c r="IB32" s="1"/>
      <c r="IC32" s="1"/>
      <c r="ID32" s="1"/>
      <c r="IE32" s="1"/>
      <c r="IF32" s="1"/>
      <c r="IG32" s="1"/>
      <c r="IH32" s="1"/>
      <c r="II32" s="1"/>
      <c r="IJ32" s="1"/>
      <c r="IK32" s="1"/>
      <c r="IL32" s="1"/>
      <c r="IM32" s="1"/>
      <c r="IN32" s="1"/>
      <c r="IO32" s="1"/>
      <c r="IP32" s="1"/>
      <c r="IQ32" s="1"/>
      <c r="IR32" s="1"/>
      <c r="IS32" s="1"/>
      <c r="IT32" s="1"/>
      <c r="IU32" s="1"/>
      <c r="IV32" s="1"/>
    </row>
    <row r="33" spans="1:256" s="7" customFormat="1" ht="15" customHeight="1">
      <c r="A33" s="1080"/>
      <c r="B33" s="517" t="s">
        <v>1753</v>
      </c>
      <c r="C33" s="1087"/>
      <c r="D33" s="1088"/>
      <c r="E33" s="1089"/>
      <c r="F33" s="63"/>
      <c r="G33" s="78"/>
      <c r="H33" s="74"/>
      <c r="I33" s="63"/>
      <c r="J33" s="78"/>
      <c r="K33" s="63"/>
      <c r="L33" s="78"/>
      <c r="M33" s="215"/>
      <c r="N33" s="63"/>
      <c r="O33" s="78"/>
      <c r="P33" s="215"/>
      <c r="Q33" s="63"/>
      <c r="R33" s="78"/>
      <c r="S33" s="63"/>
      <c r="U33" s="184"/>
      <c r="V33" s="184"/>
      <c r="W33" s="184"/>
      <c r="X33" s="184"/>
      <c r="Y33" s="184"/>
      <c r="Z33" s="169"/>
      <c r="AA33" s="169"/>
      <c r="AB33" s="169"/>
      <c r="AC33" s="169"/>
      <c r="AD33" s="169"/>
      <c r="AE33" s="169"/>
      <c r="AF33" s="169"/>
      <c r="AG33" s="169"/>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c r="FT33" s="1"/>
      <c r="FU33" s="1"/>
      <c r="FV33" s="1"/>
      <c r="FW33" s="1"/>
      <c r="FX33" s="1"/>
      <c r="FY33" s="1"/>
      <c r="FZ33" s="1"/>
      <c r="GA33" s="1"/>
      <c r="GB33" s="1"/>
      <c r="GC33" s="1"/>
      <c r="GD33" s="1"/>
      <c r="GE33" s="1"/>
      <c r="GF33" s="1"/>
      <c r="GG33" s="1"/>
      <c r="GH33" s="1"/>
      <c r="GI33" s="1"/>
      <c r="GJ33" s="1"/>
      <c r="GK33" s="1"/>
      <c r="GL33" s="1"/>
      <c r="GM33" s="1"/>
      <c r="GN33" s="1"/>
      <c r="GO33" s="1"/>
      <c r="GP33" s="1"/>
      <c r="GQ33" s="1"/>
      <c r="GR33" s="1"/>
      <c r="GS33" s="1"/>
      <c r="GT33" s="1"/>
      <c r="GU33" s="1"/>
      <c r="GV33" s="1"/>
      <c r="GW33" s="1"/>
      <c r="GX33" s="1"/>
      <c r="GY33" s="1"/>
      <c r="GZ33" s="1"/>
      <c r="HA33" s="1"/>
      <c r="HB33" s="1"/>
      <c r="HC33" s="1"/>
      <c r="HD33" s="1"/>
      <c r="HE33" s="1"/>
      <c r="HF33" s="1"/>
      <c r="HG33" s="1"/>
      <c r="HH33" s="1"/>
      <c r="HI33" s="1"/>
      <c r="HJ33" s="1"/>
      <c r="HK33" s="1"/>
      <c r="HL33" s="1"/>
      <c r="HM33" s="1"/>
      <c r="HN33" s="1"/>
      <c r="HO33" s="1"/>
      <c r="HP33" s="1"/>
      <c r="HQ33" s="1"/>
      <c r="HR33" s="1"/>
      <c r="HS33" s="1"/>
      <c r="HT33" s="1"/>
      <c r="HU33" s="1"/>
      <c r="HV33" s="1"/>
      <c r="HW33" s="1"/>
      <c r="HX33" s="1"/>
      <c r="HY33" s="1"/>
      <c r="HZ33" s="1"/>
      <c r="IA33" s="1"/>
      <c r="IB33" s="1"/>
      <c r="IC33" s="1"/>
      <c r="ID33" s="1"/>
      <c r="IE33" s="1"/>
      <c r="IF33" s="1"/>
      <c r="IG33" s="1"/>
      <c r="IH33" s="1"/>
      <c r="II33" s="1"/>
      <c r="IJ33" s="1"/>
      <c r="IK33" s="1"/>
      <c r="IL33" s="1"/>
      <c r="IM33" s="1"/>
      <c r="IN33" s="1"/>
      <c r="IO33" s="1"/>
      <c r="IP33" s="1"/>
      <c r="IQ33" s="1"/>
      <c r="IR33" s="1"/>
      <c r="IS33" s="1"/>
      <c r="IT33" s="1"/>
      <c r="IU33" s="1"/>
      <c r="IV33" s="1"/>
    </row>
    <row r="34" spans="1:256" s="7" customFormat="1" ht="15" customHeight="1">
      <c r="A34" s="1080"/>
      <c r="B34" s="517" t="s">
        <v>1754</v>
      </c>
      <c r="C34" s="1090"/>
      <c r="D34" s="1091"/>
      <c r="E34" s="1092"/>
      <c r="F34" s="63"/>
      <c r="G34" s="78"/>
      <c r="H34" s="74"/>
      <c r="I34" s="63"/>
      <c r="J34" s="78"/>
      <c r="K34" s="63"/>
      <c r="L34" s="78"/>
      <c r="M34" s="215"/>
      <c r="N34" s="63"/>
      <c r="O34" s="78"/>
      <c r="P34" s="215"/>
      <c r="Q34" s="63"/>
      <c r="R34" s="78"/>
      <c r="S34" s="63"/>
      <c r="U34" s="184"/>
      <c r="V34" s="184"/>
      <c r="W34" s="184"/>
      <c r="X34" s="184"/>
      <c r="Y34" s="184"/>
      <c r="Z34" s="169"/>
      <c r="AA34" s="169"/>
      <c r="AB34" s="169"/>
      <c r="AC34" s="169"/>
      <c r="AD34" s="169"/>
      <c r="AE34" s="169"/>
      <c r="AF34" s="169"/>
      <c r="AG34" s="169"/>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c r="FD34" s="1"/>
      <c r="FE34" s="1"/>
      <c r="FF34" s="1"/>
      <c r="FG34" s="1"/>
      <c r="FH34" s="1"/>
      <c r="FI34" s="1"/>
      <c r="FJ34" s="1"/>
      <c r="FK34" s="1"/>
      <c r="FL34" s="1"/>
      <c r="FM34" s="1"/>
      <c r="FN34" s="1"/>
      <c r="FO34" s="1"/>
      <c r="FP34" s="1"/>
      <c r="FQ34" s="1"/>
      <c r="FR34" s="1"/>
      <c r="FS34" s="1"/>
      <c r="FT34" s="1"/>
      <c r="FU34" s="1"/>
      <c r="FV34" s="1"/>
      <c r="FW34" s="1"/>
      <c r="FX34" s="1"/>
      <c r="FY34" s="1"/>
      <c r="FZ34" s="1"/>
      <c r="GA34" s="1"/>
      <c r="GB34" s="1"/>
      <c r="GC34" s="1"/>
      <c r="GD34" s="1"/>
      <c r="GE34" s="1"/>
      <c r="GF34" s="1"/>
      <c r="GG34" s="1"/>
      <c r="GH34" s="1"/>
      <c r="GI34" s="1"/>
      <c r="GJ34" s="1"/>
      <c r="GK34" s="1"/>
      <c r="GL34" s="1"/>
      <c r="GM34" s="1"/>
      <c r="GN34" s="1"/>
      <c r="GO34" s="1"/>
      <c r="GP34" s="1"/>
      <c r="GQ34" s="1"/>
      <c r="GR34" s="1"/>
      <c r="GS34" s="1"/>
      <c r="GT34" s="1"/>
      <c r="GU34" s="1"/>
      <c r="GV34" s="1"/>
      <c r="GW34" s="1"/>
      <c r="GX34" s="1"/>
      <c r="GY34" s="1"/>
      <c r="GZ34" s="1"/>
      <c r="HA34" s="1"/>
      <c r="HB34" s="1"/>
      <c r="HC34" s="1"/>
      <c r="HD34" s="1"/>
      <c r="HE34" s="1"/>
      <c r="HF34" s="1"/>
      <c r="HG34" s="1"/>
      <c r="HH34" s="1"/>
      <c r="HI34" s="1"/>
      <c r="HJ34" s="1"/>
      <c r="HK34" s="1"/>
      <c r="HL34" s="1"/>
      <c r="HM34" s="1"/>
      <c r="HN34" s="1"/>
      <c r="HO34" s="1"/>
      <c r="HP34" s="1"/>
      <c r="HQ34" s="1"/>
      <c r="HR34" s="1"/>
      <c r="HS34" s="1"/>
      <c r="HT34" s="1"/>
      <c r="HU34" s="1"/>
      <c r="HV34" s="1"/>
      <c r="HW34" s="1"/>
      <c r="HX34" s="1"/>
      <c r="HY34" s="1"/>
      <c r="HZ34" s="1"/>
      <c r="IA34" s="1"/>
      <c r="IB34" s="1"/>
      <c r="IC34" s="1"/>
      <c r="ID34" s="1"/>
      <c r="IE34" s="1"/>
      <c r="IF34" s="1"/>
      <c r="IG34" s="1"/>
      <c r="IH34" s="1"/>
      <c r="II34" s="1"/>
      <c r="IJ34" s="1"/>
      <c r="IK34" s="1"/>
      <c r="IL34" s="1"/>
      <c r="IM34" s="1"/>
      <c r="IN34" s="1"/>
      <c r="IO34" s="1"/>
      <c r="IP34" s="1"/>
      <c r="IQ34" s="1"/>
      <c r="IR34" s="1"/>
      <c r="IS34" s="1"/>
      <c r="IT34" s="1"/>
      <c r="IU34" s="1"/>
      <c r="IV34" s="1"/>
    </row>
    <row r="35" spans="1:256" s="7" customFormat="1" ht="15" customHeight="1">
      <c r="A35" s="1080"/>
      <c r="B35" s="517" t="s">
        <v>1755</v>
      </c>
      <c r="C35" s="520"/>
      <c r="D35" s="74"/>
      <c r="E35" s="74"/>
      <c r="F35" s="63"/>
      <c r="G35" s="78"/>
      <c r="H35" s="74"/>
      <c r="I35" s="63"/>
      <c r="J35" s="78"/>
      <c r="K35" s="63"/>
      <c r="L35" s="78"/>
      <c r="M35" s="215"/>
      <c r="N35" s="63"/>
      <c r="O35" s="78"/>
      <c r="P35" s="215"/>
      <c r="Q35" s="63"/>
      <c r="R35" s="78"/>
      <c r="S35" s="63"/>
      <c r="U35" s="184"/>
      <c r="V35" s="184"/>
      <c r="W35" s="184"/>
      <c r="X35" s="184"/>
      <c r="Y35" s="184"/>
      <c r="Z35" s="169"/>
      <c r="AA35" s="169"/>
      <c r="AB35" s="169"/>
      <c r="AC35" s="169"/>
      <c r="AD35" s="169"/>
      <c r="AE35" s="169"/>
      <c r="AF35" s="169"/>
      <c r="AG35" s="169"/>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c r="HB35" s="1"/>
      <c r="HC35" s="1"/>
      <c r="HD35" s="1"/>
      <c r="HE35" s="1"/>
      <c r="HF35" s="1"/>
      <c r="HG35" s="1"/>
      <c r="HH35" s="1"/>
      <c r="HI35" s="1"/>
      <c r="HJ35" s="1"/>
      <c r="HK35" s="1"/>
      <c r="HL35" s="1"/>
      <c r="HM35" s="1"/>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c r="IO35" s="1"/>
      <c r="IP35" s="1"/>
      <c r="IQ35" s="1"/>
      <c r="IR35" s="1"/>
      <c r="IS35" s="1"/>
      <c r="IT35" s="1"/>
      <c r="IU35" s="1"/>
      <c r="IV35" s="1"/>
    </row>
    <row r="36" spans="1:256" s="7" customFormat="1" ht="15" customHeight="1">
      <c r="A36" s="1080"/>
      <c r="B36" s="517" t="s">
        <v>1756</v>
      </c>
      <c r="C36" s="520"/>
      <c r="D36" s="74"/>
      <c r="E36" s="74"/>
      <c r="F36" s="63"/>
      <c r="G36" s="78"/>
      <c r="H36" s="74"/>
      <c r="I36" s="63"/>
      <c r="J36" s="78"/>
      <c r="K36" s="63"/>
      <c r="L36" s="78"/>
      <c r="M36" s="215"/>
      <c r="N36" s="63"/>
      <c r="O36" s="78"/>
      <c r="P36" s="215"/>
      <c r="Q36" s="63"/>
      <c r="R36" s="78"/>
      <c r="S36" s="63"/>
      <c r="U36" s="184"/>
      <c r="V36" s="184"/>
      <c r="W36" s="184"/>
      <c r="X36" s="184"/>
      <c r="Y36" s="184"/>
      <c r="Z36" s="169"/>
      <c r="AA36" s="169"/>
      <c r="AB36" s="169"/>
      <c r="AC36" s="169"/>
      <c r="AD36" s="169"/>
      <c r="AE36" s="169"/>
      <c r="AF36" s="169"/>
      <c r="AG36" s="169"/>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c r="FO36" s="1"/>
      <c r="FP36" s="1"/>
      <c r="FQ36" s="1"/>
      <c r="FR36" s="1"/>
      <c r="FS36" s="1"/>
      <c r="FT36" s="1"/>
      <c r="FU36" s="1"/>
      <c r="FV36" s="1"/>
      <c r="FW36" s="1"/>
      <c r="FX36" s="1"/>
      <c r="FY36" s="1"/>
      <c r="FZ36" s="1"/>
      <c r="GA36" s="1"/>
      <c r="GB36" s="1"/>
      <c r="GC36" s="1"/>
      <c r="GD36" s="1"/>
      <c r="GE36" s="1"/>
      <c r="GF36" s="1"/>
      <c r="GG36" s="1"/>
      <c r="GH36" s="1"/>
      <c r="GI36" s="1"/>
      <c r="GJ36" s="1"/>
      <c r="GK36" s="1"/>
      <c r="GL36" s="1"/>
      <c r="GM36" s="1"/>
      <c r="GN36" s="1"/>
      <c r="GO36" s="1"/>
      <c r="GP36" s="1"/>
      <c r="GQ36" s="1"/>
      <c r="GR36" s="1"/>
      <c r="GS36" s="1"/>
      <c r="GT36" s="1"/>
      <c r="GU36" s="1"/>
      <c r="GV36" s="1"/>
      <c r="GW36" s="1"/>
      <c r="GX36" s="1"/>
      <c r="GY36" s="1"/>
      <c r="GZ36" s="1"/>
      <c r="HA36" s="1"/>
      <c r="HB36" s="1"/>
      <c r="HC36" s="1"/>
      <c r="HD36" s="1"/>
      <c r="HE36" s="1"/>
      <c r="HF36" s="1"/>
      <c r="HG36" s="1"/>
      <c r="HH36" s="1"/>
      <c r="HI36" s="1"/>
      <c r="HJ36" s="1"/>
      <c r="HK36" s="1"/>
      <c r="HL36" s="1"/>
      <c r="HM36" s="1"/>
      <c r="HN36" s="1"/>
      <c r="HO36" s="1"/>
      <c r="HP36" s="1"/>
      <c r="HQ36" s="1"/>
      <c r="HR36" s="1"/>
      <c r="HS36" s="1"/>
      <c r="HT36" s="1"/>
      <c r="HU36" s="1"/>
      <c r="HV36" s="1"/>
      <c r="HW36" s="1"/>
      <c r="HX36" s="1"/>
      <c r="HY36" s="1"/>
      <c r="HZ36" s="1"/>
      <c r="IA36" s="1"/>
      <c r="IB36" s="1"/>
      <c r="IC36" s="1"/>
      <c r="ID36" s="1"/>
      <c r="IE36" s="1"/>
      <c r="IF36" s="1"/>
      <c r="IG36" s="1"/>
      <c r="IH36" s="1"/>
      <c r="II36" s="1"/>
      <c r="IJ36" s="1"/>
      <c r="IK36" s="1"/>
      <c r="IL36" s="1"/>
      <c r="IM36" s="1"/>
      <c r="IN36" s="1"/>
      <c r="IO36" s="1"/>
      <c r="IP36" s="1"/>
      <c r="IQ36" s="1"/>
      <c r="IR36" s="1"/>
      <c r="IS36" s="1"/>
      <c r="IT36" s="1"/>
      <c r="IU36" s="1"/>
      <c r="IV36" s="1"/>
    </row>
    <row r="37" spans="1:256" s="7" customFormat="1" ht="15" customHeight="1">
      <c r="A37" s="1080"/>
      <c r="B37" s="517" t="s">
        <v>1757</v>
      </c>
      <c r="C37" s="520"/>
      <c r="D37" s="74"/>
      <c r="E37" s="74"/>
      <c r="F37" s="63"/>
      <c r="G37" s="78"/>
      <c r="H37" s="74"/>
      <c r="I37" s="63"/>
      <c r="J37" s="78"/>
      <c r="K37" s="63"/>
      <c r="L37" s="78"/>
      <c r="M37" s="215"/>
      <c r="N37" s="63"/>
      <c r="O37" s="78"/>
      <c r="P37" s="215"/>
      <c r="Q37" s="63"/>
      <c r="R37" s="78"/>
      <c r="S37" s="63"/>
      <c r="U37" s="184"/>
      <c r="V37" s="184"/>
      <c r="W37" s="184"/>
      <c r="X37" s="184"/>
      <c r="Y37" s="184"/>
      <c r="Z37" s="169"/>
      <c r="AA37" s="169"/>
      <c r="AB37" s="169"/>
      <c r="AC37" s="169"/>
      <c r="AD37" s="169"/>
      <c r="AE37" s="169"/>
      <c r="AF37" s="169"/>
      <c r="AG37" s="169"/>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c r="FT37" s="1"/>
      <c r="FU37" s="1"/>
      <c r="FV37" s="1"/>
      <c r="FW37" s="1"/>
      <c r="FX37" s="1"/>
      <c r="FY37" s="1"/>
      <c r="FZ37" s="1"/>
      <c r="GA37" s="1"/>
      <c r="GB37" s="1"/>
      <c r="GC37" s="1"/>
      <c r="GD37" s="1"/>
      <c r="GE37" s="1"/>
      <c r="GF37" s="1"/>
      <c r="GG37" s="1"/>
      <c r="GH37" s="1"/>
      <c r="GI37" s="1"/>
      <c r="GJ37" s="1"/>
      <c r="GK37" s="1"/>
      <c r="GL37" s="1"/>
      <c r="GM37" s="1"/>
      <c r="GN37" s="1"/>
      <c r="GO37" s="1"/>
      <c r="GP37" s="1"/>
      <c r="GQ37" s="1"/>
      <c r="GR37" s="1"/>
      <c r="GS37" s="1"/>
      <c r="GT37" s="1"/>
      <c r="GU37" s="1"/>
      <c r="GV37" s="1"/>
      <c r="GW37" s="1"/>
      <c r="GX37" s="1"/>
      <c r="GY37" s="1"/>
      <c r="GZ37" s="1"/>
      <c r="HA37" s="1"/>
      <c r="HB37" s="1"/>
      <c r="HC37" s="1"/>
      <c r="HD37" s="1"/>
      <c r="HE37" s="1"/>
      <c r="HF37" s="1"/>
      <c r="HG37" s="1"/>
      <c r="HH37" s="1"/>
      <c r="HI37" s="1"/>
      <c r="HJ37" s="1"/>
      <c r="HK37" s="1"/>
      <c r="HL37" s="1"/>
      <c r="HM37" s="1"/>
      <c r="HN37" s="1"/>
      <c r="HO37" s="1"/>
      <c r="HP37" s="1"/>
      <c r="HQ37" s="1"/>
      <c r="HR37" s="1"/>
      <c r="HS37" s="1"/>
      <c r="HT37" s="1"/>
      <c r="HU37" s="1"/>
      <c r="HV37" s="1"/>
      <c r="HW37" s="1"/>
      <c r="HX37" s="1"/>
      <c r="HY37" s="1"/>
      <c r="HZ37" s="1"/>
      <c r="IA37" s="1"/>
      <c r="IB37" s="1"/>
      <c r="IC37" s="1"/>
      <c r="ID37" s="1"/>
      <c r="IE37" s="1"/>
      <c r="IF37" s="1"/>
      <c r="IG37" s="1"/>
      <c r="IH37" s="1"/>
      <c r="II37" s="1"/>
      <c r="IJ37" s="1"/>
      <c r="IK37" s="1"/>
      <c r="IL37" s="1"/>
      <c r="IM37" s="1"/>
      <c r="IN37" s="1"/>
      <c r="IO37" s="1"/>
      <c r="IP37" s="1"/>
      <c r="IQ37" s="1"/>
      <c r="IR37" s="1"/>
      <c r="IS37" s="1"/>
      <c r="IT37" s="1"/>
      <c r="IU37" s="1"/>
      <c r="IV37" s="1"/>
    </row>
    <row r="38" spans="1:256" s="7" customFormat="1" ht="15" customHeight="1">
      <c r="A38" s="1080"/>
      <c r="B38" s="517" t="s">
        <v>1758</v>
      </c>
      <c r="C38" s="520"/>
      <c r="D38" s="74"/>
      <c r="E38" s="74"/>
      <c r="F38" s="63"/>
      <c r="G38" s="78"/>
      <c r="H38" s="74"/>
      <c r="I38" s="63"/>
      <c r="J38" s="78"/>
      <c r="K38" s="63"/>
      <c r="L38" s="78"/>
      <c r="M38" s="215"/>
      <c r="N38" s="63"/>
      <c r="O38" s="78"/>
      <c r="P38" s="215"/>
      <c r="Q38" s="63"/>
      <c r="R38" s="78"/>
      <c r="S38" s="63"/>
      <c r="U38" s="184"/>
      <c r="V38" s="184"/>
      <c r="W38" s="184"/>
      <c r="X38" s="184"/>
      <c r="Y38" s="184"/>
      <c r="Z38" s="169"/>
      <c r="AA38" s="169"/>
      <c r="AB38" s="169"/>
      <c r="AC38" s="169"/>
      <c r="AD38" s="169"/>
      <c r="AE38" s="169"/>
      <c r="AF38" s="169"/>
      <c r="AG38" s="169"/>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c r="FT38" s="1"/>
      <c r="FU38" s="1"/>
      <c r="FV38" s="1"/>
      <c r="FW38" s="1"/>
      <c r="FX38" s="1"/>
      <c r="FY38" s="1"/>
      <c r="FZ38" s="1"/>
      <c r="GA38" s="1"/>
      <c r="GB38" s="1"/>
      <c r="GC38" s="1"/>
      <c r="GD38" s="1"/>
      <c r="GE38" s="1"/>
      <c r="GF38" s="1"/>
      <c r="GG38" s="1"/>
      <c r="GH38" s="1"/>
      <c r="GI38" s="1"/>
      <c r="GJ38" s="1"/>
      <c r="GK38" s="1"/>
      <c r="GL38" s="1"/>
      <c r="GM38" s="1"/>
      <c r="GN38" s="1"/>
      <c r="GO38" s="1"/>
      <c r="GP38" s="1"/>
      <c r="GQ38" s="1"/>
      <c r="GR38" s="1"/>
      <c r="GS38" s="1"/>
      <c r="GT38" s="1"/>
      <c r="GU38" s="1"/>
      <c r="GV38" s="1"/>
      <c r="GW38" s="1"/>
      <c r="GX38" s="1"/>
      <c r="GY38" s="1"/>
      <c r="GZ38" s="1"/>
      <c r="HA38" s="1"/>
      <c r="HB38" s="1"/>
      <c r="HC38" s="1"/>
      <c r="HD38" s="1"/>
      <c r="HE38" s="1"/>
      <c r="HF38" s="1"/>
      <c r="HG38" s="1"/>
      <c r="HH38" s="1"/>
      <c r="HI38" s="1"/>
      <c r="HJ38" s="1"/>
      <c r="HK38" s="1"/>
      <c r="HL38" s="1"/>
      <c r="HM38" s="1"/>
      <c r="HN38" s="1"/>
      <c r="HO38" s="1"/>
      <c r="HP38" s="1"/>
      <c r="HQ38" s="1"/>
      <c r="HR38" s="1"/>
      <c r="HS38" s="1"/>
      <c r="HT38" s="1"/>
      <c r="HU38" s="1"/>
      <c r="HV38" s="1"/>
      <c r="HW38" s="1"/>
      <c r="HX38" s="1"/>
      <c r="HY38" s="1"/>
      <c r="HZ38" s="1"/>
      <c r="IA38" s="1"/>
      <c r="IB38" s="1"/>
      <c r="IC38" s="1"/>
      <c r="ID38" s="1"/>
      <c r="IE38" s="1"/>
      <c r="IF38" s="1"/>
      <c r="IG38" s="1"/>
      <c r="IH38" s="1"/>
      <c r="II38" s="1"/>
      <c r="IJ38" s="1"/>
      <c r="IK38" s="1"/>
      <c r="IL38" s="1"/>
      <c r="IM38" s="1"/>
      <c r="IN38" s="1"/>
      <c r="IO38" s="1"/>
      <c r="IP38" s="1"/>
      <c r="IQ38" s="1"/>
      <c r="IR38" s="1"/>
      <c r="IS38" s="1"/>
      <c r="IT38" s="1"/>
      <c r="IU38" s="1"/>
      <c r="IV38" s="1"/>
    </row>
    <row r="39" spans="1:256" s="7" customFormat="1" ht="15" customHeight="1">
      <c r="A39" s="1080"/>
      <c r="B39" s="517" t="s">
        <v>1759</v>
      </c>
      <c r="C39" s="520"/>
      <c r="D39" s="74"/>
      <c r="E39" s="74"/>
      <c r="F39" s="63"/>
      <c r="G39" s="78"/>
      <c r="H39" s="74"/>
      <c r="I39" s="63"/>
      <c r="J39" s="78"/>
      <c r="K39" s="63"/>
      <c r="L39" s="78"/>
      <c r="M39" s="215"/>
      <c r="N39" s="63"/>
      <c r="O39" s="78"/>
      <c r="P39" s="215"/>
      <c r="Q39" s="63"/>
      <c r="R39" s="78"/>
      <c r="S39" s="63"/>
      <c r="U39" s="184"/>
      <c r="V39" s="184"/>
      <c r="W39" s="184"/>
      <c r="X39" s="184"/>
      <c r="Y39" s="184"/>
      <c r="Z39" s="169"/>
      <c r="AA39" s="169"/>
      <c r="AB39" s="169"/>
      <c r="AC39" s="169"/>
      <c r="AD39" s="169"/>
      <c r="AE39" s="169"/>
      <c r="AF39" s="169"/>
      <c r="AG39" s="169"/>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
      <c r="FV39" s="1"/>
      <c r="FW39" s="1"/>
      <c r="FX39" s="1"/>
      <c r="FY39" s="1"/>
      <c r="FZ39" s="1"/>
      <c r="GA39" s="1"/>
      <c r="GB39" s="1"/>
      <c r="GC39" s="1"/>
      <c r="GD39" s="1"/>
      <c r="GE39" s="1"/>
      <c r="GF39" s="1"/>
      <c r="GG39" s="1"/>
      <c r="GH39" s="1"/>
      <c r="GI39" s="1"/>
      <c r="GJ39" s="1"/>
      <c r="GK39" s="1"/>
      <c r="GL39" s="1"/>
      <c r="GM39" s="1"/>
      <c r="GN39" s="1"/>
      <c r="GO39" s="1"/>
      <c r="GP39" s="1"/>
      <c r="GQ39" s="1"/>
      <c r="GR39" s="1"/>
      <c r="GS39" s="1"/>
      <c r="GT39" s="1"/>
      <c r="GU39" s="1"/>
      <c r="GV39" s="1"/>
      <c r="GW39" s="1"/>
      <c r="GX39" s="1"/>
      <c r="GY39" s="1"/>
      <c r="GZ39" s="1"/>
      <c r="HA39" s="1"/>
      <c r="HB39" s="1"/>
      <c r="HC39" s="1"/>
      <c r="HD39" s="1"/>
      <c r="HE39" s="1"/>
      <c r="HF39" s="1"/>
      <c r="HG39" s="1"/>
      <c r="HH39" s="1"/>
      <c r="HI39" s="1"/>
      <c r="HJ39" s="1"/>
      <c r="HK39" s="1"/>
      <c r="HL39" s="1"/>
      <c r="HM39" s="1"/>
      <c r="HN39" s="1"/>
      <c r="HO39" s="1"/>
      <c r="HP39" s="1"/>
      <c r="HQ39" s="1"/>
      <c r="HR39" s="1"/>
      <c r="HS39" s="1"/>
      <c r="HT39" s="1"/>
      <c r="HU39" s="1"/>
      <c r="HV39" s="1"/>
      <c r="HW39" s="1"/>
      <c r="HX39" s="1"/>
      <c r="HY39" s="1"/>
      <c r="HZ39" s="1"/>
      <c r="IA39" s="1"/>
      <c r="IB39" s="1"/>
      <c r="IC39" s="1"/>
      <c r="ID39" s="1"/>
      <c r="IE39" s="1"/>
      <c r="IF39" s="1"/>
      <c r="IG39" s="1"/>
      <c r="IH39" s="1"/>
      <c r="II39" s="1"/>
      <c r="IJ39" s="1"/>
      <c r="IK39" s="1"/>
      <c r="IL39" s="1"/>
      <c r="IM39" s="1"/>
      <c r="IN39" s="1"/>
      <c r="IO39" s="1"/>
      <c r="IP39" s="1"/>
      <c r="IQ39" s="1"/>
      <c r="IR39" s="1"/>
      <c r="IS39" s="1"/>
      <c r="IT39" s="1"/>
      <c r="IU39" s="1"/>
      <c r="IV39" s="1"/>
    </row>
    <row r="40" spans="1:256" s="7" customFormat="1" ht="15" customHeight="1">
      <c r="A40" s="1080"/>
      <c r="B40" s="517" t="s">
        <v>1760</v>
      </c>
      <c r="C40" s="520"/>
      <c r="D40" s="74"/>
      <c r="E40" s="74"/>
      <c r="F40" s="63"/>
      <c r="G40" s="78"/>
      <c r="H40" s="74"/>
      <c r="I40" s="63"/>
      <c r="J40" s="78"/>
      <c r="K40" s="63"/>
      <c r="L40" s="78"/>
      <c r="M40" s="215"/>
      <c r="N40" s="63"/>
      <c r="O40" s="78"/>
      <c r="P40" s="215"/>
      <c r="Q40" s="63"/>
      <c r="R40" s="78"/>
      <c r="S40" s="63"/>
      <c r="U40" s="184"/>
      <c r="V40" s="184"/>
      <c r="W40" s="184"/>
      <c r="X40" s="184"/>
      <c r="Y40" s="184"/>
      <c r="Z40" s="169"/>
      <c r="AA40" s="169"/>
      <c r="AB40" s="169"/>
      <c r="AC40" s="169"/>
      <c r="AD40" s="169"/>
      <c r="AE40" s="169"/>
      <c r="AF40" s="169"/>
      <c r="AG40" s="169"/>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1"/>
      <c r="GC40" s="1"/>
      <c r="GD40" s="1"/>
      <c r="GE40" s="1"/>
      <c r="GF40" s="1"/>
      <c r="GG40" s="1"/>
      <c r="GH40" s="1"/>
      <c r="GI40" s="1"/>
      <c r="GJ40" s="1"/>
      <c r="GK40" s="1"/>
      <c r="GL40" s="1"/>
      <c r="GM40" s="1"/>
      <c r="GN40" s="1"/>
      <c r="GO40" s="1"/>
      <c r="GP40" s="1"/>
      <c r="GQ40" s="1"/>
      <c r="GR40" s="1"/>
      <c r="GS40" s="1"/>
      <c r="GT40" s="1"/>
      <c r="GU40" s="1"/>
      <c r="GV40" s="1"/>
      <c r="GW40" s="1"/>
      <c r="GX40" s="1"/>
      <c r="GY40" s="1"/>
      <c r="GZ40" s="1"/>
      <c r="HA40" s="1"/>
      <c r="HB40" s="1"/>
      <c r="HC40" s="1"/>
      <c r="HD40" s="1"/>
      <c r="HE40" s="1"/>
      <c r="HF40" s="1"/>
      <c r="HG40" s="1"/>
      <c r="HH40" s="1"/>
      <c r="HI40" s="1"/>
      <c r="HJ40" s="1"/>
      <c r="HK40" s="1"/>
      <c r="HL40" s="1"/>
      <c r="HM40" s="1"/>
      <c r="HN40" s="1"/>
      <c r="HO40" s="1"/>
      <c r="HP40" s="1"/>
      <c r="HQ40" s="1"/>
      <c r="HR40" s="1"/>
      <c r="HS40" s="1"/>
      <c r="HT40" s="1"/>
      <c r="HU40" s="1"/>
      <c r="HV40" s="1"/>
      <c r="HW40" s="1"/>
      <c r="HX40" s="1"/>
      <c r="HY40" s="1"/>
      <c r="HZ40" s="1"/>
      <c r="IA40" s="1"/>
      <c r="IB40" s="1"/>
      <c r="IC40" s="1"/>
      <c r="ID40" s="1"/>
      <c r="IE40" s="1"/>
      <c r="IF40" s="1"/>
      <c r="IG40" s="1"/>
      <c r="IH40" s="1"/>
      <c r="II40" s="1"/>
      <c r="IJ40" s="1"/>
      <c r="IK40" s="1"/>
      <c r="IL40" s="1"/>
      <c r="IM40" s="1"/>
      <c r="IN40" s="1"/>
      <c r="IO40" s="1"/>
      <c r="IP40" s="1"/>
      <c r="IQ40" s="1"/>
      <c r="IR40" s="1"/>
      <c r="IS40" s="1"/>
      <c r="IT40" s="1"/>
      <c r="IU40" s="1"/>
      <c r="IV40" s="1"/>
    </row>
    <row r="41" spans="1:256" s="7" customFormat="1" ht="15" customHeight="1">
      <c r="A41" s="1080"/>
      <c r="B41" s="517" t="s">
        <v>1761</v>
      </c>
      <c r="C41" s="520"/>
      <c r="D41" s="74"/>
      <c r="E41" s="74"/>
      <c r="F41" s="63"/>
      <c r="G41" s="78"/>
      <c r="H41" s="74"/>
      <c r="I41" s="63"/>
      <c r="J41" s="78"/>
      <c r="K41" s="63"/>
      <c r="L41" s="78"/>
      <c r="M41" s="215"/>
      <c r="N41" s="63"/>
      <c r="O41" s="78"/>
      <c r="P41" s="215"/>
      <c r="Q41" s="63"/>
      <c r="R41" s="78"/>
      <c r="S41" s="63"/>
      <c r="U41" s="184"/>
      <c r="V41" s="184"/>
      <c r="W41" s="184"/>
      <c r="X41" s="184"/>
      <c r="Y41" s="184"/>
      <c r="Z41" s="169"/>
      <c r="AA41" s="169"/>
      <c r="AB41" s="169"/>
      <c r="AC41" s="169"/>
      <c r="AD41" s="169"/>
      <c r="AE41" s="169"/>
      <c r="AF41" s="169"/>
      <c r="AG41" s="169"/>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c r="EG41" s="1"/>
      <c r="EH41" s="1"/>
      <c r="EI41" s="1"/>
      <c r="EJ41" s="1"/>
      <c r="EK41" s="1"/>
      <c r="EL41" s="1"/>
      <c r="EM41" s="1"/>
      <c r="EN41" s="1"/>
      <c r="EO41" s="1"/>
      <c r="EP41" s="1"/>
      <c r="EQ41" s="1"/>
      <c r="ER41" s="1"/>
      <c r="ES41" s="1"/>
      <c r="ET41" s="1"/>
      <c r="EU41" s="1"/>
      <c r="EV41" s="1"/>
      <c r="EW41" s="1"/>
      <c r="EX41" s="1"/>
      <c r="EY41" s="1"/>
      <c r="EZ41" s="1"/>
      <c r="FA41" s="1"/>
      <c r="FB41" s="1"/>
      <c r="FC41" s="1"/>
      <c r="FD41" s="1"/>
      <c r="FE41" s="1"/>
      <c r="FF41" s="1"/>
      <c r="FG41" s="1"/>
      <c r="FH41" s="1"/>
      <c r="FI41" s="1"/>
      <c r="FJ41" s="1"/>
      <c r="FK41" s="1"/>
      <c r="FL41" s="1"/>
      <c r="FM41" s="1"/>
      <c r="FN41" s="1"/>
      <c r="FO41" s="1"/>
      <c r="FP41" s="1"/>
      <c r="FQ41" s="1"/>
      <c r="FR41" s="1"/>
      <c r="FS41" s="1"/>
      <c r="FT41" s="1"/>
      <c r="FU41" s="1"/>
      <c r="FV41" s="1"/>
      <c r="FW41" s="1"/>
      <c r="FX41" s="1"/>
      <c r="FY41" s="1"/>
      <c r="FZ41" s="1"/>
      <c r="GA41" s="1"/>
      <c r="GB41" s="1"/>
      <c r="GC41" s="1"/>
      <c r="GD41" s="1"/>
      <c r="GE41" s="1"/>
      <c r="GF41" s="1"/>
      <c r="GG41" s="1"/>
      <c r="GH41" s="1"/>
      <c r="GI41" s="1"/>
      <c r="GJ41" s="1"/>
      <c r="GK41" s="1"/>
      <c r="GL41" s="1"/>
      <c r="GM41" s="1"/>
      <c r="GN41" s="1"/>
      <c r="GO41" s="1"/>
      <c r="GP41" s="1"/>
      <c r="GQ41" s="1"/>
      <c r="GR41" s="1"/>
      <c r="GS41" s="1"/>
      <c r="GT41" s="1"/>
      <c r="GU41" s="1"/>
      <c r="GV41" s="1"/>
      <c r="GW41" s="1"/>
      <c r="GX41" s="1"/>
      <c r="GY41" s="1"/>
      <c r="GZ41" s="1"/>
      <c r="HA41" s="1"/>
      <c r="HB41" s="1"/>
      <c r="HC41" s="1"/>
      <c r="HD41" s="1"/>
      <c r="HE41" s="1"/>
      <c r="HF41" s="1"/>
      <c r="HG41" s="1"/>
      <c r="HH41" s="1"/>
      <c r="HI41" s="1"/>
      <c r="HJ41" s="1"/>
      <c r="HK41" s="1"/>
      <c r="HL41" s="1"/>
      <c r="HM41" s="1"/>
      <c r="HN41" s="1"/>
      <c r="HO41" s="1"/>
      <c r="HP41" s="1"/>
      <c r="HQ41" s="1"/>
      <c r="HR41" s="1"/>
      <c r="HS41" s="1"/>
      <c r="HT41" s="1"/>
      <c r="HU41" s="1"/>
      <c r="HV41" s="1"/>
      <c r="HW41" s="1"/>
      <c r="HX41" s="1"/>
      <c r="HY41" s="1"/>
      <c r="HZ41" s="1"/>
      <c r="IA41" s="1"/>
      <c r="IB41" s="1"/>
      <c r="IC41" s="1"/>
      <c r="ID41" s="1"/>
      <c r="IE41" s="1"/>
      <c r="IF41" s="1"/>
      <c r="IG41" s="1"/>
      <c r="IH41" s="1"/>
      <c r="II41" s="1"/>
      <c r="IJ41" s="1"/>
      <c r="IK41" s="1"/>
      <c r="IL41" s="1"/>
      <c r="IM41" s="1"/>
      <c r="IN41" s="1"/>
      <c r="IO41" s="1"/>
      <c r="IP41" s="1"/>
      <c r="IQ41" s="1"/>
      <c r="IR41" s="1"/>
      <c r="IS41" s="1"/>
      <c r="IT41" s="1"/>
      <c r="IU41" s="1"/>
      <c r="IV41" s="1"/>
    </row>
    <row r="42" spans="1:256" s="7" customFormat="1" ht="15" customHeight="1">
      <c r="A42" s="1080"/>
      <c r="B42" s="517" t="s">
        <v>1762</v>
      </c>
      <c r="C42" s="520"/>
      <c r="D42" s="74"/>
      <c r="E42" s="74"/>
      <c r="F42" s="63"/>
      <c r="G42" s="78"/>
      <c r="H42" s="74"/>
      <c r="I42" s="63"/>
      <c r="J42" s="78"/>
      <c r="K42" s="63"/>
      <c r="L42" s="78"/>
      <c r="M42" s="215"/>
      <c r="N42" s="63"/>
      <c r="O42" s="78"/>
      <c r="P42" s="215"/>
      <c r="Q42" s="63"/>
      <c r="R42" s="78"/>
      <c r="S42" s="63"/>
      <c r="U42" s="184"/>
      <c r="V42" s="184"/>
      <c r="W42" s="184"/>
      <c r="X42" s="184"/>
      <c r="Y42" s="184"/>
      <c r="Z42" s="169"/>
      <c r="AA42" s="169"/>
      <c r="AB42" s="169"/>
      <c r="AC42" s="169"/>
      <c r="AD42" s="169"/>
      <c r="AE42" s="169"/>
      <c r="AF42" s="169"/>
      <c r="AG42" s="169"/>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c r="EG42" s="1"/>
      <c r="EH42" s="1"/>
      <c r="EI42" s="1"/>
      <c r="EJ42" s="1"/>
      <c r="EK42" s="1"/>
      <c r="EL42" s="1"/>
      <c r="EM42" s="1"/>
      <c r="EN42" s="1"/>
      <c r="EO42" s="1"/>
      <c r="EP42" s="1"/>
      <c r="EQ42" s="1"/>
      <c r="ER42" s="1"/>
      <c r="ES42" s="1"/>
      <c r="ET42" s="1"/>
      <c r="EU42" s="1"/>
      <c r="EV42" s="1"/>
      <c r="EW42" s="1"/>
      <c r="EX42" s="1"/>
      <c r="EY42" s="1"/>
      <c r="EZ42" s="1"/>
      <c r="FA42" s="1"/>
      <c r="FB42" s="1"/>
      <c r="FC42" s="1"/>
      <c r="FD42" s="1"/>
      <c r="FE42" s="1"/>
      <c r="FF42" s="1"/>
      <c r="FG42" s="1"/>
      <c r="FH42" s="1"/>
      <c r="FI42" s="1"/>
      <c r="FJ42" s="1"/>
      <c r="FK42" s="1"/>
      <c r="FL42" s="1"/>
      <c r="FM42" s="1"/>
      <c r="FN42" s="1"/>
      <c r="FO42" s="1"/>
      <c r="FP42" s="1"/>
      <c r="FQ42" s="1"/>
      <c r="FR42" s="1"/>
      <c r="FS42" s="1"/>
      <c r="FT42" s="1"/>
      <c r="FU42" s="1"/>
      <c r="FV42" s="1"/>
      <c r="FW42" s="1"/>
      <c r="FX42" s="1"/>
      <c r="FY42" s="1"/>
      <c r="FZ42" s="1"/>
      <c r="GA42" s="1"/>
      <c r="GB42" s="1"/>
      <c r="GC42" s="1"/>
      <c r="GD42" s="1"/>
      <c r="GE42" s="1"/>
      <c r="GF42" s="1"/>
      <c r="GG42" s="1"/>
      <c r="GH42" s="1"/>
      <c r="GI42" s="1"/>
      <c r="GJ42" s="1"/>
      <c r="GK42" s="1"/>
      <c r="GL42" s="1"/>
      <c r="GM42" s="1"/>
      <c r="GN42" s="1"/>
      <c r="GO42" s="1"/>
      <c r="GP42" s="1"/>
      <c r="GQ42" s="1"/>
      <c r="GR42" s="1"/>
      <c r="GS42" s="1"/>
      <c r="GT42" s="1"/>
      <c r="GU42" s="1"/>
      <c r="GV42" s="1"/>
      <c r="GW42" s="1"/>
      <c r="GX42" s="1"/>
      <c r="GY42" s="1"/>
      <c r="GZ42" s="1"/>
      <c r="HA42" s="1"/>
      <c r="HB42" s="1"/>
      <c r="HC42" s="1"/>
      <c r="HD42" s="1"/>
      <c r="HE42" s="1"/>
      <c r="HF42" s="1"/>
      <c r="HG42" s="1"/>
      <c r="HH42" s="1"/>
      <c r="HI42" s="1"/>
      <c r="HJ42" s="1"/>
      <c r="HK42" s="1"/>
      <c r="HL42" s="1"/>
      <c r="HM42" s="1"/>
      <c r="HN42" s="1"/>
      <c r="HO42" s="1"/>
      <c r="HP42" s="1"/>
      <c r="HQ42" s="1"/>
      <c r="HR42" s="1"/>
      <c r="HS42" s="1"/>
      <c r="HT42" s="1"/>
      <c r="HU42" s="1"/>
      <c r="HV42" s="1"/>
      <c r="HW42" s="1"/>
      <c r="HX42" s="1"/>
      <c r="HY42" s="1"/>
      <c r="HZ42" s="1"/>
      <c r="IA42" s="1"/>
      <c r="IB42" s="1"/>
      <c r="IC42" s="1"/>
      <c r="ID42" s="1"/>
      <c r="IE42" s="1"/>
      <c r="IF42" s="1"/>
      <c r="IG42" s="1"/>
      <c r="IH42" s="1"/>
      <c r="II42" s="1"/>
      <c r="IJ42" s="1"/>
      <c r="IK42" s="1"/>
      <c r="IL42" s="1"/>
      <c r="IM42" s="1"/>
      <c r="IN42" s="1"/>
      <c r="IO42" s="1"/>
      <c r="IP42" s="1"/>
      <c r="IQ42" s="1"/>
      <c r="IR42" s="1"/>
      <c r="IS42" s="1"/>
      <c r="IT42" s="1"/>
      <c r="IU42" s="1"/>
      <c r="IV42" s="1"/>
    </row>
    <row r="43" spans="1:256" s="7" customFormat="1" ht="15" customHeight="1">
      <c r="A43" s="1080"/>
      <c r="B43" s="517" t="s">
        <v>1763</v>
      </c>
      <c r="C43" s="520"/>
      <c r="D43" s="74"/>
      <c r="E43" s="74"/>
      <c r="F43" s="63"/>
      <c r="G43" s="78"/>
      <c r="H43" s="74"/>
      <c r="I43" s="63"/>
      <c r="J43" s="78"/>
      <c r="K43" s="63"/>
      <c r="L43" s="78"/>
      <c r="M43" s="215"/>
      <c r="N43" s="63"/>
      <c r="O43" s="78"/>
      <c r="P43" s="215"/>
      <c r="Q43" s="63"/>
      <c r="R43" s="78"/>
      <c r="S43" s="63"/>
      <c r="U43" s="184"/>
      <c r="V43" s="184"/>
      <c r="W43" s="184"/>
      <c r="X43" s="184"/>
      <c r="Y43" s="184"/>
      <c r="Z43" s="169"/>
      <c r="AA43" s="169"/>
      <c r="AB43" s="169"/>
      <c r="AC43" s="169"/>
      <c r="AD43" s="169"/>
      <c r="AE43" s="169"/>
      <c r="AF43" s="169"/>
      <c r="AG43" s="169"/>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c r="EG43" s="1"/>
      <c r="EH43" s="1"/>
      <c r="EI43" s="1"/>
      <c r="EJ43" s="1"/>
      <c r="EK43" s="1"/>
      <c r="EL43" s="1"/>
      <c r="EM43" s="1"/>
      <c r="EN43" s="1"/>
      <c r="EO43" s="1"/>
      <c r="EP43" s="1"/>
      <c r="EQ43" s="1"/>
      <c r="ER43" s="1"/>
      <c r="ES43" s="1"/>
      <c r="ET43" s="1"/>
      <c r="EU43" s="1"/>
      <c r="EV43" s="1"/>
      <c r="EW43" s="1"/>
      <c r="EX43" s="1"/>
      <c r="EY43" s="1"/>
      <c r="EZ43" s="1"/>
      <c r="FA43" s="1"/>
      <c r="FB43" s="1"/>
      <c r="FC43" s="1"/>
      <c r="FD43" s="1"/>
      <c r="FE43" s="1"/>
      <c r="FF43" s="1"/>
      <c r="FG43" s="1"/>
      <c r="FH43" s="1"/>
      <c r="FI43" s="1"/>
      <c r="FJ43" s="1"/>
      <c r="FK43" s="1"/>
      <c r="FL43" s="1"/>
      <c r="FM43" s="1"/>
      <c r="FN43" s="1"/>
      <c r="FO43" s="1"/>
      <c r="FP43" s="1"/>
      <c r="FQ43" s="1"/>
      <c r="FR43" s="1"/>
      <c r="FS43" s="1"/>
      <c r="FT43" s="1"/>
      <c r="FU43" s="1"/>
      <c r="FV43" s="1"/>
      <c r="FW43" s="1"/>
      <c r="FX43" s="1"/>
      <c r="FY43" s="1"/>
      <c r="FZ43" s="1"/>
      <c r="GA43" s="1"/>
      <c r="GB43" s="1"/>
      <c r="GC43" s="1"/>
      <c r="GD43" s="1"/>
      <c r="GE43" s="1"/>
      <c r="GF43" s="1"/>
      <c r="GG43" s="1"/>
      <c r="GH43" s="1"/>
      <c r="GI43" s="1"/>
      <c r="GJ43" s="1"/>
      <c r="GK43" s="1"/>
      <c r="GL43" s="1"/>
      <c r="GM43" s="1"/>
      <c r="GN43" s="1"/>
      <c r="GO43" s="1"/>
      <c r="GP43" s="1"/>
      <c r="GQ43" s="1"/>
      <c r="GR43" s="1"/>
      <c r="GS43" s="1"/>
      <c r="GT43" s="1"/>
      <c r="GU43" s="1"/>
      <c r="GV43" s="1"/>
      <c r="GW43" s="1"/>
      <c r="GX43" s="1"/>
      <c r="GY43" s="1"/>
      <c r="GZ43" s="1"/>
      <c r="HA43" s="1"/>
      <c r="HB43" s="1"/>
      <c r="HC43" s="1"/>
      <c r="HD43" s="1"/>
      <c r="HE43" s="1"/>
      <c r="HF43" s="1"/>
      <c r="HG43" s="1"/>
      <c r="HH43" s="1"/>
      <c r="HI43" s="1"/>
      <c r="HJ43" s="1"/>
      <c r="HK43" s="1"/>
      <c r="HL43" s="1"/>
      <c r="HM43" s="1"/>
      <c r="HN43" s="1"/>
      <c r="HO43" s="1"/>
      <c r="HP43" s="1"/>
      <c r="HQ43" s="1"/>
      <c r="HR43" s="1"/>
      <c r="HS43" s="1"/>
      <c r="HT43" s="1"/>
      <c r="HU43" s="1"/>
      <c r="HV43" s="1"/>
      <c r="HW43" s="1"/>
      <c r="HX43" s="1"/>
      <c r="HY43" s="1"/>
      <c r="HZ43" s="1"/>
      <c r="IA43" s="1"/>
      <c r="IB43" s="1"/>
      <c r="IC43" s="1"/>
      <c r="ID43" s="1"/>
      <c r="IE43" s="1"/>
      <c r="IF43" s="1"/>
      <c r="IG43" s="1"/>
      <c r="IH43" s="1"/>
      <c r="II43" s="1"/>
      <c r="IJ43" s="1"/>
      <c r="IK43" s="1"/>
      <c r="IL43" s="1"/>
      <c r="IM43" s="1"/>
      <c r="IN43" s="1"/>
      <c r="IO43" s="1"/>
      <c r="IP43" s="1"/>
      <c r="IQ43" s="1"/>
      <c r="IR43" s="1"/>
      <c r="IS43" s="1"/>
      <c r="IT43" s="1"/>
      <c r="IU43" s="1"/>
      <c r="IV43" s="1"/>
    </row>
    <row r="44" spans="1:256" s="7" customFormat="1" ht="15" customHeight="1">
      <c r="A44" s="1080"/>
      <c r="B44" s="517" t="s">
        <v>1764</v>
      </c>
      <c r="C44" s="520"/>
      <c r="D44" s="74"/>
      <c r="E44" s="74"/>
      <c r="F44" s="63">
        <v>11</v>
      </c>
      <c r="G44" s="78"/>
      <c r="H44" s="74"/>
      <c r="I44" s="63">
        <v>35</v>
      </c>
      <c r="J44" s="78"/>
      <c r="K44" s="63"/>
      <c r="L44" s="78"/>
      <c r="M44" s="215"/>
      <c r="N44" s="63"/>
      <c r="O44" s="78"/>
      <c r="P44" s="215"/>
      <c r="Q44" s="63"/>
      <c r="R44" s="78"/>
      <c r="S44" s="63"/>
      <c r="U44" s="184"/>
      <c r="V44" s="184"/>
      <c r="W44" s="184"/>
      <c r="X44" s="184"/>
      <c r="Y44" s="184"/>
      <c r="Z44" s="169"/>
      <c r="AA44" s="169"/>
      <c r="AB44" s="169"/>
      <c r="AC44" s="169"/>
      <c r="AD44" s="169"/>
      <c r="AE44" s="169"/>
      <c r="AF44" s="169"/>
      <c r="AG44" s="169"/>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c r="EJ44" s="1"/>
      <c r="EK44" s="1"/>
      <c r="EL44" s="1"/>
      <c r="EM44" s="1"/>
      <c r="EN44" s="1"/>
      <c r="EO44" s="1"/>
      <c r="EP44" s="1"/>
      <c r="EQ44" s="1"/>
      <c r="ER44" s="1"/>
      <c r="ES44" s="1"/>
      <c r="ET44" s="1"/>
      <c r="EU44" s="1"/>
      <c r="EV44" s="1"/>
      <c r="EW44" s="1"/>
      <c r="EX44" s="1"/>
      <c r="EY44" s="1"/>
      <c r="EZ44" s="1"/>
      <c r="FA44" s="1"/>
      <c r="FB44" s="1"/>
      <c r="FC44" s="1"/>
      <c r="FD44" s="1"/>
      <c r="FE44" s="1"/>
      <c r="FF44" s="1"/>
      <c r="FG44" s="1"/>
      <c r="FH44" s="1"/>
      <c r="FI44" s="1"/>
      <c r="FJ44" s="1"/>
      <c r="FK44" s="1"/>
      <c r="FL44" s="1"/>
      <c r="FM44" s="1"/>
      <c r="FN44" s="1"/>
      <c r="FO44" s="1"/>
      <c r="FP44" s="1"/>
      <c r="FQ44" s="1"/>
      <c r="FR44" s="1"/>
      <c r="FS44" s="1"/>
      <c r="FT44" s="1"/>
      <c r="FU44" s="1"/>
      <c r="FV44" s="1"/>
      <c r="FW44" s="1"/>
      <c r="FX44" s="1"/>
      <c r="FY44" s="1"/>
      <c r="FZ44" s="1"/>
      <c r="GA44" s="1"/>
      <c r="GB44" s="1"/>
      <c r="GC44" s="1"/>
      <c r="GD44" s="1"/>
      <c r="GE44" s="1"/>
      <c r="GF44" s="1"/>
      <c r="GG44" s="1"/>
      <c r="GH44" s="1"/>
      <c r="GI44" s="1"/>
      <c r="GJ44" s="1"/>
      <c r="GK44" s="1"/>
      <c r="GL44" s="1"/>
      <c r="GM44" s="1"/>
      <c r="GN44" s="1"/>
      <c r="GO44" s="1"/>
      <c r="GP44" s="1"/>
      <c r="GQ44" s="1"/>
      <c r="GR44" s="1"/>
      <c r="GS44" s="1"/>
      <c r="GT44" s="1"/>
      <c r="GU44" s="1"/>
      <c r="GV44" s="1"/>
      <c r="GW44" s="1"/>
      <c r="GX44" s="1"/>
      <c r="GY44" s="1"/>
      <c r="GZ44" s="1"/>
      <c r="HA44" s="1"/>
      <c r="HB44" s="1"/>
      <c r="HC44" s="1"/>
      <c r="HD44" s="1"/>
      <c r="HE44" s="1"/>
      <c r="HF44" s="1"/>
      <c r="HG44" s="1"/>
      <c r="HH44" s="1"/>
      <c r="HI44" s="1"/>
      <c r="HJ44" s="1"/>
      <c r="HK44" s="1"/>
      <c r="HL44" s="1"/>
      <c r="HM44" s="1"/>
      <c r="HN44" s="1"/>
      <c r="HO44" s="1"/>
      <c r="HP44" s="1"/>
      <c r="HQ44" s="1"/>
      <c r="HR44" s="1"/>
      <c r="HS44" s="1"/>
      <c r="HT44" s="1"/>
      <c r="HU44" s="1"/>
      <c r="HV44" s="1"/>
      <c r="HW44" s="1"/>
      <c r="HX44" s="1"/>
      <c r="HY44" s="1"/>
      <c r="HZ44" s="1"/>
      <c r="IA44" s="1"/>
      <c r="IB44" s="1"/>
      <c r="IC44" s="1"/>
      <c r="ID44" s="1"/>
      <c r="IE44" s="1"/>
      <c r="IF44" s="1"/>
      <c r="IG44" s="1"/>
      <c r="IH44" s="1"/>
      <c r="II44" s="1"/>
      <c r="IJ44" s="1"/>
      <c r="IK44" s="1"/>
      <c r="IL44" s="1"/>
      <c r="IM44" s="1"/>
      <c r="IN44" s="1"/>
      <c r="IO44" s="1"/>
      <c r="IP44" s="1"/>
      <c r="IQ44" s="1"/>
      <c r="IR44" s="1"/>
      <c r="IS44" s="1"/>
      <c r="IT44" s="1"/>
      <c r="IU44" s="1"/>
      <c r="IV44" s="1"/>
    </row>
    <row r="45" spans="1:256" ht="15" customHeight="1">
      <c r="A45" s="1080"/>
      <c r="B45" s="517" t="s">
        <v>1765</v>
      </c>
      <c r="C45" s="521"/>
      <c r="D45" s="75"/>
      <c r="E45" s="75"/>
      <c r="F45" s="63"/>
      <c r="G45" s="79"/>
      <c r="H45" s="75"/>
      <c r="I45" s="63"/>
      <c r="J45" s="79"/>
      <c r="K45" s="63"/>
      <c r="L45" s="79"/>
      <c r="M45" s="216"/>
      <c r="N45" s="63"/>
      <c r="O45" s="79"/>
      <c r="P45" s="216"/>
      <c r="Q45" s="63"/>
      <c r="R45" s="79"/>
      <c r="S45" s="63"/>
    </row>
    <row r="46" spans="1:256" ht="15" customHeight="1">
      <c r="A46" s="1080"/>
      <c r="B46" s="517" t="s">
        <v>1531</v>
      </c>
      <c r="C46" s="521"/>
      <c r="D46" s="75"/>
      <c r="E46" s="75"/>
      <c r="F46" s="63"/>
      <c r="G46" s="79"/>
      <c r="H46" s="75"/>
      <c r="I46" s="63"/>
      <c r="J46" s="79"/>
      <c r="K46" s="63"/>
      <c r="L46" s="79"/>
      <c r="M46" s="216"/>
      <c r="N46" s="63"/>
      <c r="O46" s="79"/>
      <c r="P46" s="216"/>
      <c r="Q46" s="63"/>
      <c r="R46" s="79"/>
      <c r="S46" s="63"/>
    </row>
    <row r="47" spans="1:256" ht="30">
      <c r="A47" s="1080"/>
      <c r="B47" s="513" t="s">
        <v>2476</v>
      </c>
      <c r="C47" s="521"/>
      <c r="D47" s="75"/>
      <c r="E47" s="75"/>
      <c r="F47" s="63"/>
      <c r="G47" s="79"/>
      <c r="H47" s="75"/>
      <c r="I47" s="63"/>
      <c r="J47" s="79"/>
      <c r="K47" s="63"/>
      <c r="L47" s="79"/>
      <c r="M47" s="216"/>
      <c r="N47" s="63"/>
      <c r="O47" s="79"/>
      <c r="P47" s="216"/>
      <c r="Q47" s="63"/>
      <c r="R47" s="79"/>
      <c r="S47" s="63"/>
    </row>
    <row r="48" spans="1:256" ht="16.5" thickBot="1">
      <c r="A48" s="1080"/>
      <c r="B48" s="514" t="s">
        <v>1530</v>
      </c>
      <c r="C48" s="522"/>
      <c r="D48" s="83"/>
      <c r="E48" s="83"/>
      <c r="F48" s="140">
        <f>SUM(F21:F47)</f>
        <v>11</v>
      </c>
      <c r="G48" s="82"/>
      <c r="H48" s="84"/>
      <c r="I48" s="140">
        <f>SUM(I21:I47)</f>
        <v>36</v>
      </c>
      <c r="J48" s="82"/>
      <c r="K48" s="140">
        <f>SUM(K21:K47)</f>
        <v>0</v>
      </c>
      <c r="L48" s="285"/>
      <c r="M48" s="286"/>
      <c r="N48" s="287">
        <f>SUM(N21:N47)</f>
        <v>0</v>
      </c>
      <c r="O48" s="82"/>
      <c r="P48" s="217"/>
      <c r="Q48" s="140">
        <f>SUM(Q21:Q47)</f>
        <v>0</v>
      </c>
      <c r="R48" s="684" t="s">
        <v>172</v>
      </c>
      <c r="S48" s="287">
        <f>SUM(S21:S47)</f>
        <v>0</v>
      </c>
    </row>
    <row r="49" spans="1:256" s="7" customFormat="1" ht="15" customHeight="1">
      <c r="A49" s="1080"/>
      <c r="B49" s="518" t="s">
        <v>2477</v>
      </c>
      <c r="C49" s="523"/>
      <c r="D49" s="76"/>
      <c r="E49" s="76"/>
      <c r="F49" s="86">
        <v>2</v>
      </c>
      <c r="G49" s="77"/>
      <c r="H49" s="76"/>
      <c r="I49" s="86">
        <v>12</v>
      </c>
      <c r="J49" s="77"/>
      <c r="K49" s="883"/>
      <c r="L49" s="77"/>
      <c r="M49" s="76"/>
      <c r="N49" s="86"/>
      <c r="O49" s="77"/>
      <c r="P49" s="214"/>
      <c r="Q49" s="299"/>
      <c r="R49" s="685"/>
      <c r="S49" s="686"/>
      <c r="U49" s="179"/>
      <c r="V49" s="179"/>
      <c r="W49" s="179"/>
      <c r="X49" s="179"/>
      <c r="Y49" s="179"/>
      <c r="Z49" s="169"/>
      <c r="AA49" s="169"/>
      <c r="AB49" s="169"/>
      <c r="AC49" s="169"/>
      <c r="AD49" s="169"/>
      <c r="AE49" s="169"/>
      <c r="AF49" s="169"/>
      <c r="AG49" s="169"/>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c r="EJ49" s="1"/>
      <c r="EK49" s="1"/>
      <c r="EL49" s="1"/>
      <c r="EM49" s="1"/>
      <c r="EN49" s="1"/>
      <c r="EO49" s="1"/>
      <c r="EP49" s="1"/>
      <c r="EQ49" s="1"/>
      <c r="ER49" s="1"/>
      <c r="ES49" s="1"/>
      <c r="ET49" s="1"/>
      <c r="EU49" s="1"/>
      <c r="EV49" s="1"/>
      <c r="EW49" s="1"/>
      <c r="EX49" s="1"/>
      <c r="EY49" s="1"/>
      <c r="EZ49" s="1"/>
      <c r="FA49" s="1"/>
      <c r="FB49" s="1"/>
      <c r="FC49" s="1"/>
      <c r="FD49" s="1"/>
      <c r="FE49" s="1"/>
      <c r="FF49" s="1"/>
      <c r="FG49" s="1"/>
      <c r="FH49" s="1"/>
      <c r="FI49" s="1"/>
      <c r="FJ49" s="1"/>
      <c r="FK49" s="1"/>
      <c r="FL49" s="1"/>
      <c r="FM49" s="1"/>
      <c r="FN49" s="1"/>
      <c r="FO49" s="1"/>
      <c r="FP49" s="1"/>
      <c r="FQ49" s="1"/>
      <c r="FR49" s="1"/>
      <c r="FS49" s="1"/>
      <c r="FT49" s="1"/>
      <c r="FU49" s="1"/>
      <c r="FV49" s="1"/>
      <c r="FW49" s="1"/>
      <c r="FX49" s="1"/>
      <c r="FY49" s="1"/>
      <c r="FZ49" s="1"/>
      <c r="GA49" s="1"/>
      <c r="GB49" s="1"/>
      <c r="GC49" s="1"/>
      <c r="GD49" s="1"/>
      <c r="GE49" s="1"/>
      <c r="GF49" s="1"/>
      <c r="GG49" s="1"/>
      <c r="GH49" s="1"/>
      <c r="GI49" s="1"/>
      <c r="GJ49" s="1"/>
      <c r="GK49" s="1"/>
      <c r="GL49" s="1"/>
      <c r="GM49" s="1"/>
      <c r="GN49" s="1"/>
      <c r="GO49" s="1"/>
      <c r="GP49" s="1"/>
      <c r="GQ49" s="1"/>
      <c r="GR49" s="1"/>
      <c r="GS49" s="1"/>
      <c r="GT49" s="1"/>
      <c r="GU49" s="1"/>
      <c r="GV49" s="1"/>
      <c r="GW49" s="1"/>
      <c r="GX49" s="1"/>
      <c r="GY49" s="1"/>
      <c r="GZ49" s="1"/>
      <c r="HA49" s="1"/>
      <c r="HB49" s="1"/>
      <c r="HC49" s="1"/>
      <c r="HD49" s="1"/>
      <c r="HE49" s="1"/>
      <c r="HF49" s="1"/>
      <c r="HG49" s="1"/>
      <c r="HH49" s="1"/>
      <c r="HI49" s="1"/>
      <c r="HJ49" s="1"/>
      <c r="HK49" s="1"/>
      <c r="HL49" s="1"/>
      <c r="HM49" s="1"/>
      <c r="HN49" s="1"/>
      <c r="HO49" s="1"/>
      <c r="HP49" s="1"/>
      <c r="HQ49" s="1"/>
      <c r="HR49" s="1"/>
      <c r="HS49" s="1"/>
      <c r="HT49" s="1"/>
      <c r="HU49" s="1"/>
      <c r="HV49" s="1"/>
      <c r="HW49" s="1"/>
      <c r="HX49" s="1"/>
      <c r="HY49" s="1"/>
      <c r="HZ49" s="1"/>
      <c r="IA49" s="1"/>
      <c r="IB49" s="1"/>
      <c r="IC49" s="1"/>
      <c r="ID49" s="1"/>
      <c r="IE49" s="1"/>
      <c r="IF49" s="1"/>
      <c r="IG49" s="1"/>
      <c r="IH49" s="1"/>
      <c r="II49" s="1"/>
      <c r="IJ49" s="1"/>
      <c r="IK49" s="1"/>
      <c r="IL49" s="1"/>
      <c r="IM49" s="1"/>
      <c r="IN49" s="1"/>
      <c r="IO49" s="1"/>
      <c r="IP49" s="1"/>
      <c r="IQ49" s="1"/>
      <c r="IR49" s="1"/>
      <c r="IS49" s="1"/>
      <c r="IT49" s="1"/>
      <c r="IU49" s="1"/>
      <c r="IV49" s="1"/>
    </row>
    <row r="50" spans="1:256" ht="15">
      <c r="A50" s="1080"/>
      <c r="B50" s="513" t="s">
        <v>2478</v>
      </c>
      <c r="C50" s="521"/>
      <c r="D50" s="75"/>
      <c r="E50" s="75"/>
      <c r="F50" s="63">
        <v>9</v>
      </c>
      <c r="G50" s="79"/>
      <c r="H50" s="75"/>
      <c r="I50" s="63">
        <v>24</v>
      </c>
      <c r="J50" s="79"/>
      <c r="K50" s="884"/>
      <c r="L50" s="79"/>
      <c r="M50" s="75"/>
      <c r="N50" s="63"/>
      <c r="O50" s="79"/>
      <c r="P50" s="216"/>
      <c r="Q50" s="300"/>
      <c r="R50" s="259"/>
      <c r="S50" s="687"/>
    </row>
    <row r="51" spans="1:256" ht="16.5" thickBot="1">
      <c r="A51" s="1081"/>
      <c r="B51" s="514" t="s">
        <v>1530</v>
      </c>
      <c r="C51" s="522"/>
      <c r="D51" s="83"/>
      <c r="E51" s="83"/>
      <c r="F51" s="140">
        <f>SUM(F49:F50)</f>
        <v>11</v>
      </c>
      <c r="G51" s="82"/>
      <c r="H51" s="84"/>
      <c r="I51" s="140">
        <f>SUM(I49:I50)</f>
        <v>36</v>
      </c>
      <c r="J51" s="82"/>
      <c r="K51" s="885"/>
      <c r="L51" s="82"/>
      <c r="M51" s="84"/>
      <c r="N51" s="226">
        <f>SUM(N49:N50)</f>
        <v>0</v>
      </c>
      <c r="O51" s="82"/>
      <c r="P51" s="217"/>
      <c r="Q51" s="683">
        <f>SUM(Q49:Q50)</f>
        <v>0</v>
      </c>
      <c r="R51" s="292" t="s">
        <v>172</v>
      </c>
      <c r="S51" s="688" t="s">
        <v>172</v>
      </c>
    </row>
    <row r="52" spans="1:256" ht="15">
      <c r="A52" s="1098"/>
      <c r="B52" s="1099"/>
      <c r="D52" s="107"/>
      <c r="E52" s="107"/>
      <c r="F52" s="107"/>
      <c r="G52" s="107"/>
      <c r="H52" s="107"/>
      <c r="I52" s="107"/>
      <c r="J52" s="107"/>
      <c r="K52" s="107"/>
      <c r="L52" s="107"/>
      <c r="M52" s="107"/>
      <c r="N52" s="107"/>
      <c r="O52" s="107"/>
      <c r="P52" s="107"/>
      <c r="Q52" s="107"/>
      <c r="R52" s="107"/>
      <c r="S52" s="107"/>
    </row>
    <row r="53" spans="1:256" hidden="1">
      <c r="D53" s="242" t="s">
        <v>1477</v>
      </c>
      <c r="E53" s="233">
        <f>SUM(D15:E15,G15:H15,D20:E20,G20:H20)/SUM(C15:E15,G15:H15,D20:E20,G20:H20)</f>
        <v>0.93434343434343436</v>
      </c>
    </row>
    <row r="54" spans="1:256" hidden="1">
      <c r="D54" s="242" t="s">
        <v>1478</v>
      </c>
      <c r="E54" s="233" t="e">
        <f>SUM(M15,M20)/SUM(L15,M15,M20)</f>
        <v>#DIV/0!</v>
      </c>
    </row>
    <row r="55" spans="1:256" hidden="1">
      <c r="D55" s="242" t="s">
        <v>1479</v>
      </c>
      <c r="E55" s="233" t="e">
        <f>SUM(P15,P20)/SUM(O15,P15,P20)</f>
        <v>#DIV/0!</v>
      </c>
    </row>
    <row r="56" spans="1:256" hidden="1">
      <c r="C56" s="34"/>
      <c r="D56" s="34"/>
      <c r="E56" s="34"/>
      <c r="F56" s="35"/>
      <c r="G56" s="35"/>
      <c r="H56" s="35"/>
      <c r="I56" s="35"/>
    </row>
    <row r="57" spans="1:256" hidden="1">
      <c r="C57" s="5"/>
      <c r="D57" s="5"/>
      <c r="E57" s="5"/>
      <c r="F57" s="5"/>
      <c r="G57" s="36"/>
      <c r="H57" s="5"/>
      <c r="I57" s="5"/>
    </row>
    <row r="58" spans="1:256" ht="12.75" hidden="1" customHeight="1">
      <c r="C58" s="27" t="s">
        <v>439</v>
      </c>
      <c r="D58" s="185">
        <f>'Organisationsdaten (Basisinfo)'!K1</f>
        <v>5</v>
      </c>
      <c r="E58" s="5"/>
      <c r="F58" s="5"/>
      <c r="G58" s="36"/>
      <c r="H58" s="5"/>
      <c r="I58" s="39"/>
    </row>
    <row r="59" spans="1:256" hidden="1">
      <c r="C59" s="5"/>
      <c r="D59" s="5"/>
      <c r="E59" s="5"/>
      <c r="F59" s="5"/>
      <c r="G59" s="36"/>
      <c r="H59" s="5"/>
      <c r="I59" s="39"/>
    </row>
    <row r="60" spans="1:256" hidden="1">
      <c r="C60" s="186" t="s">
        <v>441</v>
      </c>
      <c r="D60" s="186" t="s">
        <v>442</v>
      </c>
      <c r="E60" s="186" t="s">
        <v>443</v>
      </c>
      <c r="F60" s="115" t="s">
        <v>1391</v>
      </c>
      <c r="G60" s="115" t="s">
        <v>1392</v>
      </c>
      <c r="H60" s="115" t="s">
        <v>1393</v>
      </c>
      <c r="I60" s="115" t="s">
        <v>1394</v>
      </c>
      <c r="J60" s="115" t="s">
        <v>445</v>
      </c>
      <c r="K60" s="186" t="s">
        <v>446</v>
      </c>
      <c r="L60" s="186" t="s">
        <v>447</v>
      </c>
      <c r="M60" s="186" t="s">
        <v>471</v>
      </c>
    </row>
    <row r="61" spans="1:256" hidden="1">
      <c r="C61" s="1">
        <f>F$1</f>
        <v>3158</v>
      </c>
      <c r="D61" s="1">
        <f t="shared" ref="D61:D149" si="0">D$58</f>
        <v>5</v>
      </c>
      <c r="E61" s="1">
        <f>D$1</f>
        <v>2017</v>
      </c>
      <c r="F61" s="230">
        <v>1</v>
      </c>
      <c r="G61" s="231">
        <v>1</v>
      </c>
      <c r="H61" s="186">
        <v>-1</v>
      </c>
      <c r="I61" s="186"/>
      <c r="J61" s="232" t="s">
        <v>79</v>
      </c>
      <c r="K61" s="232" t="s">
        <v>1400</v>
      </c>
      <c r="L61" s="23" t="str">
        <f>IF(ISBLANK(C7),"",C7)</f>
        <v/>
      </c>
      <c r="M61" s="233" t="s">
        <v>475</v>
      </c>
    </row>
    <row r="62" spans="1:256" ht="12.75" hidden="1" customHeight="1">
      <c r="C62" s="1">
        <f t="shared" ref="C62:C133" si="1">F$1</f>
        <v>3158</v>
      </c>
      <c r="D62" s="1">
        <f t="shared" si="0"/>
        <v>5</v>
      </c>
      <c r="E62" s="1">
        <f t="shared" ref="E62:E125" si="2">D$1</f>
        <v>2017</v>
      </c>
      <c r="F62" s="186">
        <v>1</v>
      </c>
      <c r="G62" s="186">
        <v>1</v>
      </c>
      <c r="H62" s="186">
        <v>-1</v>
      </c>
      <c r="I62" s="186"/>
      <c r="J62" s="115" t="s">
        <v>79</v>
      </c>
      <c r="K62" s="115" t="s">
        <v>80</v>
      </c>
      <c r="L62" s="23">
        <f>IF(ISBLANK(D7),"",D7)</f>
        <v>16.25</v>
      </c>
      <c r="M62" s="167" t="s">
        <v>486</v>
      </c>
      <c r="N62" s="1077" t="s">
        <v>81</v>
      </c>
    </row>
    <row r="63" spans="1:256" hidden="1">
      <c r="C63" s="1">
        <f t="shared" si="1"/>
        <v>3158</v>
      </c>
      <c r="D63" s="1">
        <f t="shared" si="0"/>
        <v>5</v>
      </c>
      <c r="E63" s="1">
        <f t="shared" si="2"/>
        <v>2017</v>
      </c>
      <c r="F63" s="186">
        <v>1</v>
      </c>
      <c r="G63" s="186">
        <v>1</v>
      </c>
      <c r="H63" s="186">
        <v>-1</v>
      </c>
      <c r="I63" s="186"/>
      <c r="J63" s="115" t="s">
        <v>79</v>
      </c>
      <c r="K63" s="115" t="s">
        <v>82</v>
      </c>
      <c r="L63" s="23" t="str">
        <f>IF(ISBLANK(E7),"",E7)</f>
        <v/>
      </c>
      <c r="M63" s="167" t="s">
        <v>497</v>
      </c>
      <c r="N63" s="1077"/>
    </row>
    <row r="64" spans="1:256" hidden="1">
      <c r="C64" s="1">
        <f t="shared" si="1"/>
        <v>3158</v>
      </c>
      <c r="D64" s="1">
        <f t="shared" si="0"/>
        <v>5</v>
      </c>
      <c r="E64" s="1">
        <f t="shared" si="2"/>
        <v>2017</v>
      </c>
      <c r="F64" s="186">
        <v>1</v>
      </c>
      <c r="G64" s="186">
        <v>1</v>
      </c>
      <c r="H64" s="186">
        <v>-1</v>
      </c>
      <c r="I64" s="186"/>
      <c r="J64" s="115" t="s">
        <v>79</v>
      </c>
      <c r="K64" s="115" t="s">
        <v>83</v>
      </c>
      <c r="L64" s="33">
        <f>IF(ISBLANK(F7),"",F7)</f>
        <v>1</v>
      </c>
      <c r="M64" s="167" t="s">
        <v>508</v>
      </c>
      <c r="N64" s="1077"/>
    </row>
    <row r="65" spans="3:14" hidden="1">
      <c r="C65" s="1">
        <f t="shared" si="1"/>
        <v>3158</v>
      </c>
      <c r="D65" s="1">
        <f t="shared" si="0"/>
        <v>5</v>
      </c>
      <c r="E65" s="1">
        <f t="shared" si="2"/>
        <v>2017</v>
      </c>
      <c r="F65" s="186">
        <v>1</v>
      </c>
      <c r="G65" s="186">
        <v>2</v>
      </c>
      <c r="H65" s="186">
        <v>-1</v>
      </c>
      <c r="I65" s="186"/>
      <c r="J65" s="115" t="s">
        <v>79</v>
      </c>
      <c r="K65" s="115" t="s">
        <v>80</v>
      </c>
      <c r="L65" s="23">
        <f>IF(ISBLANK(G7),"",G7)</f>
        <v>72</v>
      </c>
      <c r="M65" s="167" t="s">
        <v>519</v>
      </c>
      <c r="N65" s="1077"/>
    </row>
    <row r="66" spans="3:14" hidden="1">
      <c r="C66" s="1">
        <f t="shared" si="1"/>
        <v>3158</v>
      </c>
      <c r="D66" s="1">
        <f t="shared" si="0"/>
        <v>5</v>
      </c>
      <c r="E66" s="1">
        <f t="shared" si="2"/>
        <v>2017</v>
      </c>
      <c r="F66" s="186">
        <v>1</v>
      </c>
      <c r="G66" s="186">
        <v>2</v>
      </c>
      <c r="H66" s="186">
        <v>-1</v>
      </c>
      <c r="I66" s="186"/>
      <c r="J66" s="115" t="s">
        <v>79</v>
      </c>
      <c r="K66" s="115" t="s">
        <v>82</v>
      </c>
      <c r="L66" s="23" t="str">
        <f>IF(ISBLANK(H7),"",H7)</f>
        <v/>
      </c>
      <c r="M66" s="167" t="s">
        <v>530</v>
      </c>
      <c r="N66" s="1077"/>
    </row>
    <row r="67" spans="3:14" hidden="1">
      <c r="C67" s="1">
        <f t="shared" si="1"/>
        <v>3158</v>
      </c>
      <c r="D67" s="1">
        <f t="shared" si="0"/>
        <v>5</v>
      </c>
      <c r="E67" s="1">
        <f t="shared" si="2"/>
        <v>2017</v>
      </c>
      <c r="F67" s="186">
        <v>1</v>
      </c>
      <c r="G67" s="186">
        <v>2</v>
      </c>
      <c r="H67" s="186">
        <v>-1</v>
      </c>
      <c r="I67" s="186"/>
      <c r="J67" s="115" t="s">
        <v>79</v>
      </c>
      <c r="K67" s="115" t="s">
        <v>1482</v>
      </c>
      <c r="L67" s="33">
        <f>IF(ISBLANK(I7),"",I7)</f>
        <v>17</v>
      </c>
      <c r="M67" s="167" t="s">
        <v>541</v>
      </c>
      <c r="N67" s="1077"/>
    </row>
    <row r="68" spans="3:14" hidden="1">
      <c r="C68" s="1">
        <f t="shared" si="1"/>
        <v>3158</v>
      </c>
      <c r="D68" s="1">
        <f t="shared" si="0"/>
        <v>5</v>
      </c>
      <c r="E68" s="1">
        <f t="shared" si="2"/>
        <v>2017</v>
      </c>
      <c r="F68" s="186">
        <v>1</v>
      </c>
      <c r="G68" s="186">
        <v>3</v>
      </c>
      <c r="H68" s="186">
        <v>-1</v>
      </c>
      <c r="I68" s="186"/>
      <c r="J68" s="115" t="s">
        <v>79</v>
      </c>
      <c r="K68" s="186" t="s">
        <v>80</v>
      </c>
      <c r="L68" s="23" t="str">
        <f>IF(ISBLANK(J7),"",J7)</f>
        <v/>
      </c>
      <c r="M68" s="167" t="s">
        <v>552</v>
      </c>
      <c r="N68" s="1077"/>
    </row>
    <row r="69" spans="3:14" hidden="1">
      <c r="C69" s="1">
        <f t="shared" si="1"/>
        <v>3158</v>
      </c>
      <c r="D69" s="1">
        <f t="shared" si="0"/>
        <v>5</v>
      </c>
      <c r="E69" s="1">
        <f t="shared" si="2"/>
        <v>2017</v>
      </c>
      <c r="F69" s="186">
        <v>1</v>
      </c>
      <c r="G69" s="186">
        <v>3</v>
      </c>
      <c r="H69" s="186">
        <v>-1</v>
      </c>
      <c r="I69" s="186"/>
      <c r="J69" s="115" t="s">
        <v>79</v>
      </c>
      <c r="K69" s="115" t="s">
        <v>83</v>
      </c>
      <c r="L69" s="33" t="str">
        <f>IF(ISBLANK(K7),"",K7)</f>
        <v/>
      </c>
      <c r="M69" s="167" t="s">
        <v>563</v>
      </c>
      <c r="N69" s="1077"/>
    </row>
    <row r="70" spans="3:14" hidden="1">
      <c r="C70" s="234">
        <f>F$1</f>
        <v>3158</v>
      </c>
      <c r="D70" s="234">
        <f t="shared" si="0"/>
        <v>5</v>
      </c>
      <c r="E70" s="234">
        <f>D$1</f>
        <v>2017</v>
      </c>
      <c r="F70" s="230">
        <v>1</v>
      </c>
      <c r="G70" s="231">
        <v>4</v>
      </c>
      <c r="H70" s="230">
        <v>-1</v>
      </c>
      <c r="I70" s="230"/>
      <c r="J70" s="232" t="s">
        <v>79</v>
      </c>
      <c r="K70" s="232" t="s">
        <v>1400</v>
      </c>
      <c r="L70" s="23" t="str">
        <f>IF(ISBLANK(L7),"",L7)</f>
        <v/>
      </c>
      <c r="M70" s="233" t="s">
        <v>574</v>
      </c>
      <c r="N70" s="1077"/>
    </row>
    <row r="71" spans="3:14" hidden="1">
      <c r="C71" s="1">
        <f t="shared" si="1"/>
        <v>3158</v>
      </c>
      <c r="D71" s="1">
        <f t="shared" si="0"/>
        <v>5</v>
      </c>
      <c r="E71" s="1">
        <f t="shared" si="2"/>
        <v>2017</v>
      </c>
      <c r="F71" s="186">
        <v>1</v>
      </c>
      <c r="G71" s="186">
        <v>4</v>
      </c>
      <c r="H71" s="186">
        <v>-1</v>
      </c>
      <c r="I71" s="186"/>
      <c r="J71" s="115" t="s">
        <v>79</v>
      </c>
      <c r="K71" s="186" t="s">
        <v>80</v>
      </c>
      <c r="L71" s="23" t="str">
        <f>IF(ISBLANK(M7),"",M7)</f>
        <v/>
      </c>
      <c r="M71" s="206" t="s">
        <v>585</v>
      </c>
      <c r="N71" s="1077"/>
    </row>
    <row r="72" spans="3:14" hidden="1">
      <c r="C72" s="1">
        <f t="shared" si="1"/>
        <v>3158</v>
      </c>
      <c r="D72" s="1">
        <f t="shared" si="0"/>
        <v>5</v>
      </c>
      <c r="E72" s="1">
        <f t="shared" si="2"/>
        <v>2017</v>
      </c>
      <c r="F72" s="186">
        <v>1</v>
      </c>
      <c r="G72" s="186">
        <v>4</v>
      </c>
      <c r="H72" s="186">
        <v>-1</v>
      </c>
      <c r="I72" s="186"/>
      <c r="J72" s="115" t="s">
        <v>79</v>
      </c>
      <c r="K72" s="115" t="s">
        <v>83</v>
      </c>
      <c r="L72" s="33" t="str">
        <f>IF(ISBLANK(N7),"",N7)</f>
        <v/>
      </c>
      <c r="M72" s="206" t="s">
        <v>596</v>
      </c>
      <c r="N72" s="1077"/>
    </row>
    <row r="73" spans="3:14" hidden="1">
      <c r="C73" s="234">
        <f>F$1</f>
        <v>3158</v>
      </c>
      <c r="D73" s="234">
        <f t="shared" si="0"/>
        <v>5</v>
      </c>
      <c r="E73" s="234">
        <f>D$1</f>
        <v>2017</v>
      </c>
      <c r="F73" s="230">
        <v>1</v>
      </c>
      <c r="G73" s="231">
        <v>5</v>
      </c>
      <c r="H73" s="230">
        <v>-1</v>
      </c>
      <c r="I73" s="230"/>
      <c r="J73" s="232" t="s">
        <v>79</v>
      </c>
      <c r="K73" s="232" t="s">
        <v>1400</v>
      </c>
      <c r="L73" s="23" t="str">
        <f>IF(ISBLANK(O7),"",O7)</f>
        <v/>
      </c>
      <c r="M73" s="233" t="s">
        <v>607</v>
      </c>
      <c r="N73" s="1077"/>
    </row>
    <row r="74" spans="3:14" hidden="1">
      <c r="C74" s="1">
        <f t="shared" si="1"/>
        <v>3158</v>
      </c>
      <c r="D74" s="1">
        <f t="shared" si="0"/>
        <v>5</v>
      </c>
      <c r="E74" s="1">
        <f t="shared" si="2"/>
        <v>2017</v>
      </c>
      <c r="F74" s="186">
        <v>1</v>
      </c>
      <c r="G74" s="186">
        <v>5</v>
      </c>
      <c r="H74" s="186">
        <v>-1</v>
      </c>
      <c r="I74" s="186"/>
      <c r="J74" s="115" t="s">
        <v>79</v>
      </c>
      <c r="K74" s="186" t="s">
        <v>80</v>
      </c>
      <c r="L74" s="23" t="str">
        <f>IF(ISBLANK(P7),"",P7)</f>
        <v/>
      </c>
      <c r="M74" s="206" t="s">
        <v>618</v>
      </c>
      <c r="N74" s="1077"/>
    </row>
    <row r="75" spans="3:14" hidden="1">
      <c r="C75" s="1">
        <f t="shared" si="1"/>
        <v>3158</v>
      </c>
      <c r="D75" s="1">
        <f t="shared" si="0"/>
        <v>5</v>
      </c>
      <c r="E75" s="1">
        <f t="shared" si="2"/>
        <v>2017</v>
      </c>
      <c r="F75" s="186">
        <v>1</v>
      </c>
      <c r="G75" s="186">
        <v>5</v>
      </c>
      <c r="H75" s="186">
        <v>-1</v>
      </c>
      <c r="I75" s="186"/>
      <c r="J75" s="115" t="s">
        <v>79</v>
      </c>
      <c r="K75" s="115" t="s">
        <v>83</v>
      </c>
      <c r="L75" s="33" t="str">
        <f>IF(ISBLANK(Q7),"",Q7)</f>
        <v/>
      </c>
      <c r="M75" s="206" t="s">
        <v>629</v>
      </c>
      <c r="N75" s="1077"/>
    </row>
    <row r="76" spans="3:14" hidden="1">
      <c r="C76" s="234">
        <f t="shared" si="1"/>
        <v>3158</v>
      </c>
      <c r="D76" s="234">
        <f t="shared" si="0"/>
        <v>5</v>
      </c>
      <c r="E76" s="234">
        <f t="shared" si="2"/>
        <v>2017</v>
      </c>
      <c r="F76" s="230">
        <v>1</v>
      </c>
      <c r="G76" s="230">
        <v>10</v>
      </c>
      <c r="H76" s="230">
        <v>-1</v>
      </c>
      <c r="I76" s="230"/>
      <c r="J76" s="204" t="s">
        <v>79</v>
      </c>
      <c r="K76" s="230" t="s">
        <v>80</v>
      </c>
      <c r="L76" s="33" t="str">
        <f>IF(ISBLANK(R7),"",R7)</f>
        <v/>
      </c>
      <c r="M76" s="206" t="s">
        <v>640</v>
      </c>
      <c r="N76" s="1077"/>
    </row>
    <row r="77" spans="3:14" hidden="1">
      <c r="C77" s="234">
        <f t="shared" si="1"/>
        <v>3158</v>
      </c>
      <c r="D77" s="234">
        <f t="shared" si="0"/>
        <v>5</v>
      </c>
      <c r="E77" s="234">
        <f t="shared" si="2"/>
        <v>2017</v>
      </c>
      <c r="F77" s="230">
        <v>1</v>
      </c>
      <c r="G77" s="230">
        <v>10</v>
      </c>
      <c r="H77" s="230">
        <v>-1</v>
      </c>
      <c r="I77" s="230"/>
      <c r="J77" s="204" t="s">
        <v>79</v>
      </c>
      <c r="K77" s="204" t="s">
        <v>83</v>
      </c>
      <c r="L77" s="33" t="str">
        <f>IF(ISBLANK(S7),"",S7)</f>
        <v/>
      </c>
      <c r="M77" s="206" t="s">
        <v>651</v>
      </c>
      <c r="N77" s="1077"/>
    </row>
    <row r="78" spans="3:14" hidden="1">
      <c r="C78" s="234">
        <f>F$1</f>
        <v>3158</v>
      </c>
      <c r="D78" s="234">
        <f t="shared" si="0"/>
        <v>5</v>
      </c>
      <c r="E78" s="234">
        <f>D$1</f>
        <v>2017</v>
      </c>
      <c r="F78" s="230">
        <v>2</v>
      </c>
      <c r="G78" s="231">
        <v>1</v>
      </c>
      <c r="H78" s="230">
        <v>-1</v>
      </c>
      <c r="I78" s="230"/>
      <c r="J78" s="232" t="s">
        <v>79</v>
      </c>
      <c r="K78" s="232" t="s">
        <v>1400</v>
      </c>
      <c r="L78" s="235" t="str">
        <f>IF(ISBLANK(C8),"",C8)</f>
        <v/>
      </c>
      <c r="M78" s="233" t="s">
        <v>476</v>
      </c>
      <c r="N78" s="1077"/>
    </row>
    <row r="79" spans="3:14" hidden="1">
      <c r="C79" s="1">
        <f t="shared" si="1"/>
        <v>3158</v>
      </c>
      <c r="D79" s="1">
        <f t="shared" si="0"/>
        <v>5</v>
      </c>
      <c r="E79" s="1">
        <f t="shared" si="2"/>
        <v>2017</v>
      </c>
      <c r="F79" s="186">
        <v>2</v>
      </c>
      <c r="G79" s="186">
        <v>1</v>
      </c>
      <c r="H79" s="186">
        <v>-1</v>
      </c>
      <c r="I79" s="186"/>
      <c r="J79" s="115" t="s">
        <v>79</v>
      </c>
      <c r="K79" s="115" t="s">
        <v>80</v>
      </c>
      <c r="L79" s="23" t="str">
        <f>IF(ISBLANK(D8),"",D8)</f>
        <v/>
      </c>
      <c r="M79" s="167" t="s">
        <v>487</v>
      </c>
      <c r="N79" s="1077"/>
    </row>
    <row r="80" spans="3:14" hidden="1">
      <c r="C80" s="1">
        <f t="shared" si="1"/>
        <v>3158</v>
      </c>
      <c r="D80" s="1">
        <f t="shared" si="0"/>
        <v>5</v>
      </c>
      <c r="E80" s="1">
        <f t="shared" si="2"/>
        <v>2017</v>
      </c>
      <c r="F80" s="186">
        <v>2</v>
      </c>
      <c r="G80" s="186">
        <v>1</v>
      </c>
      <c r="H80" s="186">
        <v>-1</v>
      </c>
      <c r="I80" s="186"/>
      <c r="J80" s="115" t="s">
        <v>79</v>
      </c>
      <c r="K80" s="115" t="s">
        <v>82</v>
      </c>
      <c r="L80" s="23" t="str">
        <f>IF(ISBLANK(E8),"",E8)</f>
        <v/>
      </c>
      <c r="M80" s="167" t="s">
        <v>498</v>
      </c>
      <c r="N80" s="1077"/>
    </row>
    <row r="81" spans="3:14" hidden="1">
      <c r="C81" s="1">
        <f t="shared" si="1"/>
        <v>3158</v>
      </c>
      <c r="D81" s="1">
        <f t="shared" si="0"/>
        <v>5</v>
      </c>
      <c r="E81" s="1">
        <f t="shared" si="2"/>
        <v>2017</v>
      </c>
      <c r="F81" s="186">
        <v>2</v>
      </c>
      <c r="G81" s="186">
        <v>1</v>
      </c>
      <c r="H81" s="186">
        <v>-1</v>
      </c>
      <c r="I81" s="186"/>
      <c r="J81" s="115" t="s">
        <v>79</v>
      </c>
      <c r="K81" s="115" t="s">
        <v>83</v>
      </c>
      <c r="L81" s="33" t="str">
        <f>IF(ISBLANK(F8),"",F8)</f>
        <v/>
      </c>
      <c r="M81" s="167" t="s">
        <v>509</v>
      </c>
      <c r="N81" s="1077"/>
    </row>
    <row r="82" spans="3:14" hidden="1">
      <c r="C82" s="1">
        <f t="shared" si="1"/>
        <v>3158</v>
      </c>
      <c r="D82" s="1">
        <f t="shared" si="0"/>
        <v>5</v>
      </c>
      <c r="E82" s="1">
        <f t="shared" si="2"/>
        <v>2017</v>
      </c>
      <c r="F82" s="186">
        <v>2</v>
      </c>
      <c r="G82" s="186">
        <v>2</v>
      </c>
      <c r="H82" s="186">
        <v>-1</v>
      </c>
      <c r="I82" s="186"/>
      <c r="J82" s="115" t="s">
        <v>79</v>
      </c>
      <c r="K82" s="115" t="s">
        <v>80</v>
      </c>
      <c r="L82" s="23" t="str">
        <f>IF(ISBLANK(G8),"",G8)</f>
        <v/>
      </c>
      <c r="M82" s="167" t="s">
        <v>520</v>
      </c>
      <c r="N82" s="1077"/>
    </row>
    <row r="83" spans="3:14" hidden="1">
      <c r="C83" s="1">
        <f t="shared" si="1"/>
        <v>3158</v>
      </c>
      <c r="D83" s="1">
        <f t="shared" si="0"/>
        <v>5</v>
      </c>
      <c r="E83" s="1">
        <f t="shared" si="2"/>
        <v>2017</v>
      </c>
      <c r="F83" s="186">
        <v>2</v>
      </c>
      <c r="G83" s="186">
        <v>2</v>
      </c>
      <c r="H83" s="186">
        <v>-1</v>
      </c>
      <c r="I83" s="186"/>
      <c r="J83" s="115" t="s">
        <v>79</v>
      </c>
      <c r="K83" s="115" t="s">
        <v>82</v>
      </c>
      <c r="L83" s="23" t="str">
        <f>IF(ISBLANK(H8),"",H8)</f>
        <v/>
      </c>
      <c r="M83" s="167" t="s">
        <v>531</v>
      </c>
      <c r="N83" s="1077"/>
    </row>
    <row r="84" spans="3:14" hidden="1">
      <c r="C84" s="1">
        <f t="shared" si="1"/>
        <v>3158</v>
      </c>
      <c r="D84" s="1">
        <f t="shared" si="0"/>
        <v>5</v>
      </c>
      <c r="E84" s="1">
        <f t="shared" si="2"/>
        <v>2017</v>
      </c>
      <c r="F84" s="186">
        <v>2</v>
      </c>
      <c r="G84" s="186">
        <v>2</v>
      </c>
      <c r="H84" s="186">
        <v>-1</v>
      </c>
      <c r="I84" s="186"/>
      <c r="J84" s="115" t="s">
        <v>79</v>
      </c>
      <c r="K84" s="115" t="s">
        <v>1482</v>
      </c>
      <c r="L84" s="33" t="str">
        <f>IF(ISBLANK(I8),"",I8)</f>
        <v/>
      </c>
      <c r="M84" s="167" t="s">
        <v>542</v>
      </c>
      <c r="N84" s="1077"/>
    </row>
    <row r="85" spans="3:14" hidden="1">
      <c r="C85" s="1">
        <f t="shared" si="1"/>
        <v>3158</v>
      </c>
      <c r="D85" s="1">
        <f t="shared" si="0"/>
        <v>5</v>
      </c>
      <c r="E85" s="1">
        <f t="shared" si="2"/>
        <v>2017</v>
      </c>
      <c r="F85" s="186">
        <v>2</v>
      </c>
      <c r="G85" s="186">
        <v>3</v>
      </c>
      <c r="H85" s="186">
        <v>-1</v>
      </c>
      <c r="I85" s="186"/>
      <c r="J85" s="115" t="s">
        <v>79</v>
      </c>
      <c r="K85" s="186" t="s">
        <v>80</v>
      </c>
      <c r="L85" s="23" t="str">
        <f>IF(ISBLANK(J8),"",J8)</f>
        <v/>
      </c>
      <c r="M85" s="167" t="s">
        <v>553</v>
      </c>
      <c r="N85" s="1077"/>
    </row>
    <row r="86" spans="3:14" hidden="1">
      <c r="C86" s="1">
        <f t="shared" si="1"/>
        <v>3158</v>
      </c>
      <c r="D86" s="1">
        <f t="shared" si="0"/>
        <v>5</v>
      </c>
      <c r="E86" s="1">
        <f t="shared" si="2"/>
        <v>2017</v>
      </c>
      <c r="F86" s="186">
        <v>2</v>
      </c>
      <c r="G86" s="186">
        <v>3</v>
      </c>
      <c r="H86" s="186">
        <v>-1</v>
      </c>
      <c r="I86" s="186"/>
      <c r="J86" s="115" t="s">
        <v>79</v>
      </c>
      <c r="K86" s="115" t="s">
        <v>83</v>
      </c>
      <c r="L86" s="33" t="str">
        <f>IF(ISBLANK(K8),"",K8)</f>
        <v/>
      </c>
      <c r="M86" s="167" t="s">
        <v>564</v>
      </c>
      <c r="N86" s="1077"/>
    </row>
    <row r="87" spans="3:14" hidden="1">
      <c r="C87" s="234">
        <f>F$1</f>
        <v>3158</v>
      </c>
      <c r="D87" s="234">
        <f t="shared" si="0"/>
        <v>5</v>
      </c>
      <c r="E87" s="234">
        <f>D$1</f>
        <v>2017</v>
      </c>
      <c r="F87" s="230">
        <v>2</v>
      </c>
      <c r="G87" s="231">
        <v>4</v>
      </c>
      <c r="H87" s="230">
        <v>-1</v>
      </c>
      <c r="I87" s="230"/>
      <c r="J87" s="232" t="s">
        <v>79</v>
      </c>
      <c r="K87" s="232" t="s">
        <v>1400</v>
      </c>
      <c r="L87" s="23" t="str">
        <f>IF(ISBLANK(L8),"",L8)</f>
        <v/>
      </c>
      <c r="M87" s="233" t="s">
        <v>575</v>
      </c>
      <c r="N87" s="1077"/>
    </row>
    <row r="88" spans="3:14" hidden="1">
      <c r="C88" s="1">
        <f t="shared" si="1"/>
        <v>3158</v>
      </c>
      <c r="D88" s="1">
        <f t="shared" si="0"/>
        <v>5</v>
      </c>
      <c r="E88" s="1">
        <f t="shared" si="2"/>
        <v>2017</v>
      </c>
      <c r="F88" s="186">
        <v>2</v>
      </c>
      <c r="G88" s="186">
        <v>4</v>
      </c>
      <c r="H88" s="186">
        <v>-1</v>
      </c>
      <c r="I88" s="186"/>
      <c r="J88" s="115" t="s">
        <v>79</v>
      </c>
      <c r="K88" s="186" t="s">
        <v>80</v>
      </c>
      <c r="L88" s="23" t="str">
        <f>IF(ISBLANK(M8),"",M8)</f>
        <v/>
      </c>
      <c r="M88" s="206" t="s">
        <v>586</v>
      </c>
      <c r="N88" s="1077"/>
    </row>
    <row r="89" spans="3:14" hidden="1">
      <c r="C89" s="1">
        <f t="shared" si="1"/>
        <v>3158</v>
      </c>
      <c r="D89" s="1">
        <f t="shared" si="0"/>
        <v>5</v>
      </c>
      <c r="E89" s="1">
        <f t="shared" si="2"/>
        <v>2017</v>
      </c>
      <c r="F89" s="186">
        <v>2</v>
      </c>
      <c r="G89" s="186">
        <v>4</v>
      </c>
      <c r="H89" s="186">
        <v>-1</v>
      </c>
      <c r="I89" s="186"/>
      <c r="J89" s="115" t="s">
        <v>79</v>
      </c>
      <c r="K89" s="115" t="s">
        <v>83</v>
      </c>
      <c r="L89" s="33" t="str">
        <f>IF(ISBLANK(N8),"",N8)</f>
        <v/>
      </c>
      <c r="M89" s="206" t="s">
        <v>597</v>
      </c>
      <c r="N89" s="1077"/>
    </row>
    <row r="90" spans="3:14" hidden="1">
      <c r="C90" s="234">
        <f>F$1</f>
        <v>3158</v>
      </c>
      <c r="D90" s="234">
        <f t="shared" si="0"/>
        <v>5</v>
      </c>
      <c r="E90" s="234">
        <f>D$1</f>
        <v>2017</v>
      </c>
      <c r="F90" s="230">
        <v>2</v>
      </c>
      <c r="G90" s="231">
        <v>5</v>
      </c>
      <c r="H90" s="230">
        <v>-1</v>
      </c>
      <c r="I90" s="230"/>
      <c r="J90" s="232" t="s">
        <v>79</v>
      </c>
      <c r="K90" s="232" t="s">
        <v>1400</v>
      </c>
      <c r="L90" s="23" t="str">
        <f>IF(ISBLANK(O8),"",O8)</f>
        <v/>
      </c>
      <c r="M90" s="236" t="s">
        <v>608</v>
      </c>
      <c r="N90" s="1077"/>
    </row>
    <row r="91" spans="3:14" hidden="1">
      <c r="C91" s="1">
        <f t="shared" si="1"/>
        <v>3158</v>
      </c>
      <c r="D91" s="1">
        <f t="shared" si="0"/>
        <v>5</v>
      </c>
      <c r="E91" s="1">
        <f t="shared" si="2"/>
        <v>2017</v>
      </c>
      <c r="F91" s="186">
        <v>2</v>
      </c>
      <c r="G91" s="186">
        <v>5</v>
      </c>
      <c r="H91" s="186">
        <v>-1</v>
      </c>
      <c r="I91" s="186"/>
      <c r="J91" s="115" t="s">
        <v>79</v>
      </c>
      <c r="K91" s="186" t="s">
        <v>80</v>
      </c>
      <c r="L91" s="23" t="str">
        <f>IF(ISBLANK(P8),"",P8)</f>
        <v/>
      </c>
      <c r="M91" s="206" t="s">
        <v>619</v>
      </c>
      <c r="N91" s="1077"/>
    </row>
    <row r="92" spans="3:14" hidden="1">
      <c r="C92" s="1">
        <f t="shared" si="1"/>
        <v>3158</v>
      </c>
      <c r="D92" s="1">
        <f t="shared" si="0"/>
        <v>5</v>
      </c>
      <c r="E92" s="1">
        <f t="shared" si="2"/>
        <v>2017</v>
      </c>
      <c r="F92" s="186">
        <v>2</v>
      </c>
      <c r="G92" s="186">
        <v>5</v>
      </c>
      <c r="H92" s="186">
        <v>-1</v>
      </c>
      <c r="I92" s="186"/>
      <c r="J92" s="115" t="s">
        <v>79</v>
      </c>
      <c r="K92" s="115" t="s">
        <v>83</v>
      </c>
      <c r="L92" s="33" t="str">
        <f>IF(ISBLANK(Q8),"",Q8)</f>
        <v/>
      </c>
      <c r="M92" s="206" t="s">
        <v>630</v>
      </c>
      <c r="N92" s="1077"/>
    </row>
    <row r="93" spans="3:14" hidden="1">
      <c r="C93" s="234">
        <f>F$1</f>
        <v>3158</v>
      </c>
      <c r="D93" s="234">
        <f t="shared" si="0"/>
        <v>5</v>
      </c>
      <c r="E93" s="234">
        <f t="shared" si="2"/>
        <v>2017</v>
      </c>
      <c r="F93" s="230">
        <v>2</v>
      </c>
      <c r="G93" s="230">
        <v>10</v>
      </c>
      <c r="H93" s="230">
        <v>-1</v>
      </c>
      <c r="I93" s="230"/>
      <c r="J93" s="204" t="s">
        <v>79</v>
      </c>
      <c r="K93" s="230" t="s">
        <v>80</v>
      </c>
      <c r="L93" s="33" t="str">
        <f>IF(ISBLANK(R8),"",R8)</f>
        <v/>
      </c>
      <c r="M93" s="206" t="s">
        <v>641</v>
      </c>
      <c r="N93" s="1077"/>
    </row>
    <row r="94" spans="3:14" hidden="1">
      <c r="C94" s="234">
        <f>F$1</f>
        <v>3158</v>
      </c>
      <c r="D94" s="234">
        <f t="shared" si="0"/>
        <v>5</v>
      </c>
      <c r="E94" s="234">
        <f t="shared" si="2"/>
        <v>2017</v>
      </c>
      <c r="F94" s="230">
        <v>2</v>
      </c>
      <c r="G94" s="230">
        <v>10</v>
      </c>
      <c r="H94" s="230">
        <v>-1</v>
      </c>
      <c r="I94" s="230"/>
      <c r="J94" s="204" t="s">
        <v>79</v>
      </c>
      <c r="K94" s="204" t="s">
        <v>83</v>
      </c>
      <c r="L94" s="33" t="str">
        <f>IF(ISBLANK(S8),"",S8)</f>
        <v/>
      </c>
      <c r="M94" s="206" t="s">
        <v>652</v>
      </c>
      <c r="N94" s="1077"/>
    </row>
    <row r="95" spans="3:14" hidden="1">
      <c r="C95" s="234">
        <f>F$1</f>
        <v>3158</v>
      </c>
      <c r="D95" s="234">
        <f t="shared" si="0"/>
        <v>5</v>
      </c>
      <c r="E95" s="234">
        <f>D$1</f>
        <v>2017</v>
      </c>
      <c r="F95" s="230">
        <v>3</v>
      </c>
      <c r="G95" s="231">
        <v>1</v>
      </c>
      <c r="H95" s="230">
        <v>-1</v>
      </c>
      <c r="I95" s="230"/>
      <c r="J95" s="232" t="s">
        <v>79</v>
      </c>
      <c r="K95" s="232" t="s">
        <v>1400</v>
      </c>
      <c r="L95" s="235">
        <f>IF(ISBLANK(C9),"",C9)</f>
        <v>13</v>
      </c>
      <c r="M95" s="233" t="s">
        <v>477</v>
      </c>
      <c r="N95" s="1077"/>
    </row>
    <row r="96" spans="3:14" hidden="1">
      <c r="C96" s="1">
        <f t="shared" si="1"/>
        <v>3158</v>
      </c>
      <c r="D96" s="1">
        <f t="shared" si="0"/>
        <v>5</v>
      </c>
      <c r="E96" s="1">
        <f t="shared" si="2"/>
        <v>2017</v>
      </c>
      <c r="F96" s="186">
        <v>3</v>
      </c>
      <c r="G96" s="186">
        <v>1</v>
      </c>
      <c r="H96" s="186">
        <v>-1</v>
      </c>
      <c r="I96" s="186"/>
      <c r="J96" s="115" t="s">
        <v>79</v>
      </c>
      <c r="K96" s="115" t="s">
        <v>80</v>
      </c>
      <c r="L96" s="23">
        <f>IF(ISBLANK(D9),"",D9)</f>
        <v>17.25</v>
      </c>
      <c r="M96" s="167" t="s">
        <v>488</v>
      </c>
      <c r="N96" s="1077"/>
    </row>
    <row r="97" spans="3:14" hidden="1">
      <c r="C97" s="1">
        <f t="shared" si="1"/>
        <v>3158</v>
      </c>
      <c r="D97" s="1">
        <f t="shared" si="0"/>
        <v>5</v>
      </c>
      <c r="E97" s="1">
        <f t="shared" si="2"/>
        <v>2017</v>
      </c>
      <c r="F97" s="186">
        <v>3</v>
      </c>
      <c r="G97" s="186">
        <v>1</v>
      </c>
      <c r="H97" s="186">
        <v>-1</v>
      </c>
      <c r="I97" s="186"/>
      <c r="J97" s="115" t="s">
        <v>79</v>
      </c>
      <c r="K97" s="115" t="s">
        <v>82</v>
      </c>
      <c r="L97" s="23" t="str">
        <f>IF(ISBLANK(E9),"",E9)</f>
        <v/>
      </c>
      <c r="M97" s="167" t="s">
        <v>499</v>
      </c>
      <c r="N97" s="1077"/>
    </row>
    <row r="98" spans="3:14" hidden="1">
      <c r="C98" s="1">
        <f t="shared" si="1"/>
        <v>3158</v>
      </c>
      <c r="D98" s="1">
        <f t="shared" si="0"/>
        <v>5</v>
      </c>
      <c r="E98" s="1">
        <f t="shared" si="2"/>
        <v>2017</v>
      </c>
      <c r="F98" s="186">
        <v>3</v>
      </c>
      <c r="G98" s="186">
        <v>1</v>
      </c>
      <c r="H98" s="186">
        <v>-1</v>
      </c>
      <c r="I98" s="186"/>
      <c r="J98" s="115" t="s">
        <v>79</v>
      </c>
      <c r="K98" s="115" t="s">
        <v>83</v>
      </c>
      <c r="L98" s="33">
        <f>IF(ISBLANK(F9),"",F9)</f>
        <v>8</v>
      </c>
      <c r="M98" s="167" t="s">
        <v>510</v>
      </c>
      <c r="N98" s="1077"/>
    </row>
    <row r="99" spans="3:14" hidden="1">
      <c r="C99" s="1">
        <f t="shared" si="1"/>
        <v>3158</v>
      </c>
      <c r="D99" s="1">
        <f t="shared" si="0"/>
        <v>5</v>
      </c>
      <c r="E99" s="1">
        <f t="shared" si="2"/>
        <v>2017</v>
      </c>
      <c r="F99" s="186">
        <v>3</v>
      </c>
      <c r="G99" s="186">
        <v>2</v>
      </c>
      <c r="H99" s="186">
        <v>-1</v>
      </c>
      <c r="I99" s="186"/>
      <c r="J99" s="115" t="s">
        <v>79</v>
      </c>
      <c r="K99" s="115" t="s">
        <v>80</v>
      </c>
      <c r="L99" s="23">
        <f>IF(ISBLANK(G9),"",G9)</f>
        <v>50.5</v>
      </c>
      <c r="M99" s="167" t="s">
        <v>521</v>
      </c>
      <c r="N99" s="1077"/>
    </row>
    <row r="100" spans="3:14" hidden="1">
      <c r="C100" s="1">
        <f t="shared" si="1"/>
        <v>3158</v>
      </c>
      <c r="D100" s="1">
        <f t="shared" si="0"/>
        <v>5</v>
      </c>
      <c r="E100" s="1">
        <f t="shared" si="2"/>
        <v>2017</v>
      </c>
      <c r="F100" s="186">
        <v>3</v>
      </c>
      <c r="G100" s="186">
        <v>2</v>
      </c>
      <c r="H100" s="186">
        <v>-1</v>
      </c>
      <c r="I100" s="186"/>
      <c r="J100" s="115" t="s">
        <v>79</v>
      </c>
      <c r="K100" s="115" t="s">
        <v>82</v>
      </c>
      <c r="L100" s="23" t="str">
        <f>IF(ISBLANK(H9),"",H9)</f>
        <v/>
      </c>
      <c r="M100" s="167" t="s">
        <v>532</v>
      </c>
      <c r="N100" s="1077"/>
    </row>
    <row r="101" spans="3:14" hidden="1">
      <c r="C101" s="1">
        <f t="shared" si="1"/>
        <v>3158</v>
      </c>
      <c r="D101" s="1">
        <f t="shared" si="0"/>
        <v>5</v>
      </c>
      <c r="E101" s="1">
        <f t="shared" si="2"/>
        <v>2017</v>
      </c>
      <c r="F101" s="186">
        <v>3</v>
      </c>
      <c r="G101" s="186">
        <v>2</v>
      </c>
      <c r="H101" s="186">
        <v>-1</v>
      </c>
      <c r="I101" s="186"/>
      <c r="J101" s="115" t="s">
        <v>79</v>
      </c>
      <c r="K101" s="115" t="s">
        <v>1482</v>
      </c>
      <c r="L101" s="33">
        <f>IF(ISBLANK(I9),"",I9)</f>
        <v>18</v>
      </c>
      <c r="M101" s="167" t="s">
        <v>543</v>
      </c>
      <c r="N101" s="1077"/>
    </row>
    <row r="102" spans="3:14" hidden="1">
      <c r="C102" s="1">
        <f t="shared" si="1"/>
        <v>3158</v>
      </c>
      <c r="D102" s="1">
        <f t="shared" si="0"/>
        <v>5</v>
      </c>
      <c r="E102" s="1">
        <f t="shared" si="2"/>
        <v>2017</v>
      </c>
      <c r="F102" s="186">
        <v>3</v>
      </c>
      <c r="G102" s="186">
        <v>3</v>
      </c>
      <c r="H102" s="186">
        <v>-1</v>
      </c>
      <c r="I102" s="186"/>
      <c r="J102" s="115" t="s">
        <v>79</v>
      </c>
      <c r="K102" s="186" t="s">
        <v>80</v>
      </c>
      <c r="L102" s="23" t="str">
        <f>IF(ISBLANK(J9),"",J9)</f>
        <v/>
      </c>
      <c r="M102" s="167" t="s">
        <v>554</v>
      </c>
      <c r="N102" s="1077"/>
    </row>
    <row r="103" spans="3:14" hidden="1">
      <c r="C103" s="1">
        <f t="shared" si="1"/>
        <v>3158</v>
      </c>
      <c r="D103" s="1">
        <f t="shared" si="0"/>
        <v>5</v>
      </c>
      <c r="E103" s="1">
        <f t="shared" si="2"/>
        <v>2017</v>
      </c>
      <c r="F103" s="186">
        <v>3</v>
      </c>
      <c r="G103" s="186">
        <v>3</v>
      </c>
      <c r="H103" s="186">
        <v>-1</v>
      </c>
      <c r="I103" s="186"/>
      <c r="J103" s="115" t="s">
        <v>79</v>
      </c>
      <c r="K103" s="115" t="s">
        <v>83</v>
      </c>
      <c r="L103" s="33" t="str">
        <f>IF(ISBLANK(K9),"",K9)</f>
        <v/>
      </c>
      <c r="M103" s="167" t="s">
        <v>565</v>
      </c>
      <c r="N103" s="1077"/>
    </row>
    <row r="104" spans="3:14" hidden="1">
      <c r="C104" s="234">
        <f>F$1</f>
        <v>3158</v>
      </c>
      <c r="D104" s="234">
        <f t="shared" si="0"/>
        <v>5</v>
      </c>
      <c r="E104" s="234">
        <f>D$1</f>
        <v>2017</v>
      </c>
      <c r="F104" s="230">
        <v>3</v>
      </c>
      <c r="G104" s="231">
        <v>4</v>
      </c>
      <c r="H104" s="230">
        <v>-1</v>
      </c>
      <c r="I104" s="230"/>
      <c r="J104" s="232" t="s">
        <v>79</v>
      </c>
      <c r="K104" s="232" t="s">
        <v>1400</v>
      </c>
      <c r="L104" s="235" t="str">
        <f>IF(ISBLANK(L9),"",L9)</f>
        <v/>
      </c>
      <c r="M104" s="233" t="s">
        <v>576</v>
      </c>
      <c r="N104" s="1077"/>
    </row>
    <row r="105" spans="3:14" hidden="1">
      <c r="C105" s="1">
        <f t="shared" si="1"/>
        <v>3158</v>
      </c>
      <c r="D105" s="1">
        <f t="shared" si="0"/>
        <v>5</v>
      </c>
      <c r="E105" s="1">
        <f t="shared" si="2"/>
        <v>2017</v>
      </c>
      <c r="F105" s="186">
        <v>3</v>
      </c>
      <c r="G105" s="186">
        <v>4</v>
      </c>
      <c r="H105" s="186">
        <v>-1</v>
      </c>
      <c r="I105" s="186"/>
      <c r="J105" s="115" t="s">
        <v>79</v>
      </c>
      <c r="K105" s="186" t="s">
        <v>80</v>
      </c>
      <c r="L105" s="23" t="str">
        <f>IF(ISBLANK(M9),"",M9)</f>
        <v/>
      </c>
      <c r="M105" s="206" t="s">
        <v>587</v>
      </c>
      <c r="N105" s="1077"/>
    </row>
    <row r="106" spans="3:14" hidden="1">
      <c r="C106" s="1">
        <f t="shared" si="1"/>
        <v>3158</v>
      </c>
      <c r="D106" s="1">
        <f t="shared" si="0"/>
        <v>5</v>
      </c>
      <c r="E106" s="1">
        <f t="shared" si="2"/>
        <v>2017</v>
      </c>
      <c r="F106" s="186">
        <v>3</v>
      </c>
      <c r="G106" s="186">
        <v>4</v>
      </c>
      <c r="H106" s="186">
        <v>-1</v>
      </c>
      <c r="I106" s="186"/>
      <c r="J106" s="115" t="s">
        <v>79</v>
      </c>
      <c r="K106" s="115" t="s">
        <v>83</v>
      </c>
      <c r="L106" s="33" t="str">
        <f>IF(ISBLANK(N9),"",N9)</f>
        <v/>
      </c>
      <c r="M106" s="206" t="s">
        <v>598</v>
      </c>
      <c r="N106" s="1077"/>
    </row>
    <row r="107" spans="3:14" hidden="1">
      <c r="C107" s="234">
        <f>F$1</f>
        <v>3158</v>
      </c>
      <c r="D107" s="234">
        <f t="shared" si="0"/>
        <v>5</v>
      </c>
      <c r="E107" s="234">
        <f>D$1</f>
        <v>2017</v>
      </c>
      <c r="F107" s="230">
        <v>3</v>
      </c>
      <c r="G107" s="231">
        <v>5</v>
      </c>
      <c r="H107" s="230">
        <v>-1</v>
      </c>
      <c r="I107" s="230"/>
      <c r="J107" s="232" t="s">
        <v>79</v>
      </c>
      <c r="K107" s="232" t="s">
        <v>1400</v>
      </c>
      <c r="L107" s="23" t="str">
        <f>IF(ISBLANK(O9),"",O9)</f>
        <v/>
      </c>
      <c r="M107" s="236" t="s">
        <v>609</v>
      </c>
      <c r="N107" s="1077"/>
    </row>
    <row r="108" spans="3:14" hidden="1">
      <c r="C108" s="1">
        <f t="shared" si="1"/>
        <v>3158</v>
      </c>
      <c r="D108" s="1">
        <f t="shared" si="0"/>
        <v>5</v>
      </c>
      <c r="E108" s="1">
        <f t="shared" si="2"/>
        <v>2017</v>
      </c>
      <c r="F108" s="186">
        <v>3</v>
      </c>
      <c r="G108" s="186">
        <v>5</v>
      </c>
      <c r="H108" s="186">
        <v>-1</v>
      </c>
      <c r="I108" s="186"/>
      <c r="J108" s="115" t="s">
        <v>79</v>
      </c>
      <c r="K108" s="186" t="s">
        <v>80</v>
      </c>
      <c r="L108" s="23" t="str">
        <f>IF(ISBLANK(P9),"",P9)</f>
        <v/>
      </c>
      <c r="M108" s="206" t="s">
        <v>620</v>
      </c>
      <c r="N108" s="1077"/>
    </row>
    <row r="109" spans="3:14" hidden="1">
      <c r="C109" s="1">
        <f t="shared" si="1"/>
        <v>3158</v>
      </c>
      <c r="D109" s="1">
        <f t="shared" si="0"/>
        <v>5</v>
      </c>
      <c r="E109" s="1">
        <f t="shared" si="2"/>
        <v>2017</v>
      </c>
      <c r="F109" s="186">
        <v>3</v>
      </c>
      <c r="G109" s="186">
        <v>5</v>
      </c>
      <c r="H109" s="186">
        <v>-1</v>
      </c>
      <c r="I109" s="186"/>
      <c r="J109" s="115" t="s">
        <v>79</v>
      </c>
      <c r="K109" s="115" t="s">
        <v>83</v>
      </c>
      <c r="L109" s="33" t="str">
        <f>IF(ISBLANK(Q9),"",Q9)</f>
        <v/>
      </c>
      <c r="M109" s="206" t="s">
        <v>631</v>
      </c>
      <c r="N109" s="1077"/>
    </row>
    <row r="110" spans="3:14" hidden="1">
      <c r="C110" s="234">
        <f t="shared" si="1"/>
        <v>3158</v>
      </c>
      <c r="D110" s="234">
        <f t="shared" si="0"/>
        <v>5</v>
      </c>
      <c r="E110" s="234">
        <f t="shared" si="2"/>
        <v>2017</v>
      </c>
      <c r="F110" s="230">
        <v>3</v>
      </c>
      <c r="G110" s="230">
        <v>10</v>
      </c>
      <c r="H110" s="230">
        <v>-1</v>
      </c>
      <c r="I110" s="230"/>
      <c r="J110" s="204" t="s">
        <v>79</v>
      </c>
      <c r="K110" s="230" t="s">
        <v>80</v>
      </c>
      <c r="L110" s="33" t="str">
        <f>IF(ISBLANK(R9),"",R9)</f>
        <v/>
      </c>
      <c r="M110" s="206" t="s">
        <v>642</v>
      </c>
      <c r="N110" s="1077"/>
    </row>
    <row r="111" spans="3:14" hidden="1">
      <c r="C111" s="234">
        <f t="shared" si="1"/>
        <v>3158</v>
      </c>
      <c r="D111" s="234">
        <f t="shared" si="0"/>
        <v>5</v>
      </c>
      <c r="E111" s="234">
        <f t="shared" si="2"/>
        <v>2017</v>
      </c>
      <c r="F111" s="230">
        <v>3</v>
      </c>
      <c r="G111" s="230">
        <v>10</v>
      </c>
      <c r="H111" s="230">
        <v>-1</v>
      </c>
      <c r="I111" s="230"/>
      <c r="J111" s="204" t="s">
        <v>79</v>
      </c>
      <c r="K111" s="204" t="s">
        <v>83</v>
      </c>
      <c r="L111" s="33" t="str">
        <f>IF(ISBLANK(S9),"",S9)</f>
        <v/>
      </c>
      <c r="M111" s="206" t="s">
        <v>653</v>
      </c>
      <c r="N111" s="1077"/>
    </row>
    <row r="112" spans="3:14" hidden="1">
      <c r="C112" s="234">
        <f>F$1</f>
        <v>3158</v>
      </c>
      <c r="D112" s="234">
        <f t="shared" si="0"/>
        <v>5</v>
      </c>
      <c r="E112" s="234">
        <f>D$1</f>
        <v>2017</v>
      </c>
      <c r="F112" s="230">
        <v>4</v>
      </c>
      <c r="G112" s="231">
        <v>1</v>
      </c>
      <c r="H112" s="230">
        <v>-1</v>
      </c>
      <c r="I112" s="230"/>
      <c r="J112" s="232" t="s">
        <v>79</v>
      </c>
      <c r="K112" s="232" t="s">
        <v>1400</v>
      </c>
      <c r="L112" s="235" t="str">
        <f>IF(ISBLANK(C10),"",C10)</f>
        <v/>
      </c>
      <c r="M112" s="233" t="s">
        <v>478</v>
      </c>
      <c r="N112" s="1077"/>
    </row>
    <row r="113" spans="3:14" hidden="1">
      <c r="C113" s="1">
        <f t="shared" si="1"/>
        <v>3158</v>
      </c>
      <c r="D113" s="1">
        <f t="shared" si="0"/>
        <v>5</v>
      </c>
      <c r="E113" s="1">
        <f t="shared" si="2"/>
        <v>2017</v>
      </c>
      <c r="F113" s="186">
        <v>4</v>
      </c>
      <c r="G113" s="186">
        <v>1</v>
      </c>
      <c r="H113" s="186">
        <v>-1</v>
      </c>
      <c r="I113" s="186"/>
      <c r="J113" s="115" t="s">
        <v>79</v>
      </c>
      <c r="K113" s="115" t="s">
        <v>80</v>
      </c>
      <c r="L113" s="23" t="str">
        <f>IF(ISBLANK(D10),"",D10)</f>
        <v/>
      </c>
      <c r="M113" s="167" t="s">
        <v>489</v>
      </c>
      <c r="N113" s="1077"/>
    </row>
    <row r="114" spans="3:14" hidden="1">
      <c r="C114" s="1">
        <f t="shared" si="1"/>
        <v>3158</v>
      </c>
      <c r="D114" s="1">
        <f t="shared" si="0"/>
        <v>5</v>
      </c>
      <c r="E114" s="1">
        <f t="shared" si="2"/>
        <v>2017</v>
      </c>
      <c r="F114" s="186">
        <v>4</v>
      </c>
      <c r="G114" s="186">
        <v>1</v>
      </c>
      <c r="H114" s="186">
        <v>-1</v>
      </c>
      <c r="I114" s="186"/>
      <c r="J114" s="115" t="s">
        <v>79</v>
      </c>
      <c r="K114" s="115" t="s">
        <v>82</v>
      </c>
      <c r="L114" s="23" t="str">
        <f>IF(ISBLANK(E10),"",E10)</f>
        <v/>
      </c>
      <c r="M114" s="167" t="s">
        <v>500</v>
      </c>
      <c r="N114" s="1077"/>
    </row>
    <row r="115" spans="3:14" hidden="1">
      <c r="C115" s="1">
        <f t="shared" si="1"/>
        <v>3158</v>
      </c>
      <c r="D115" s="1">
        <f t="shared" si="0"/>
        <v>5</v>
      </c>
      <c r="E115" s="1">
        <f t="shared" si="2"/>
        <v>2017</v>
      </c>
      <c r="F115" s="186">
        <v>4</v>
      </c>
      <c r="G115" s="186">
        <v>1</v>
      </c>
      <c r="H115" s="186">
        <v>-1</v>
      </c>
      <c r="I115" s="186"/>
      <c r="J115" s="115" t="s">
        <v>79</v>
      </c>
      <c r="K115" s="115" t="s">
        <v>83</v>
      </c>
      <c r="L115" s="33" t="str">
        <f>IF(ISBLANK(F10),"",F10)</f>
        <v/>
      </c>
      <c r="M115" s="167" t="s">
        <v>511</v>
      </c>
      <c r="N115" s="1077"/>
    </row>
    <row r="116" spans="3:14" hidden="1">
      <c r="C116" s="1">
        <f t="shared" si="1"/>
        <v>3158</v>
      </c>
      <c r="D116" s="1">
        <f t="shared" si="0"/>
        <v>5</v>
      </c>
      <c r="E116" s="1">
        <f t="shared" si="2"/>
        <v>2017</v>
      </c>
      <c r="F116" s="186">
        <v>4</v>
      </c>
      <c r="G116" s="186">
        <v>2</v>
      </c>
      <c r="H116" s="186">
        <v>-1</v>
      </c>
      <c r="I116" s="186"/>
      <c r="J116" s="115" t="s">
        <v>79</v>
      </c>
      <c r="K116" s="115" t="s">
        <v>80</v>
      </c>
      <c r="L116" s="23" t="str">
        <f>IF(ISBLANK(G10),"",G10)</f>
        <v/>
      </c>
      <c r="M116" s="167" t="s">
        <v>522</v>
      </c>
      <c r="N116" s="1077"/>
    </row>
    <row r="117" spans="3:14" hidden="1">
      <c r="C117" s="1">
        <f t="shared" si="1"/>
        <v>3158</v>
      </c>
      <c r="D117" s="1">
        <f t="shared" si="0"/>
        <v>5</v>
      </c>
      <c r="E117" s="1">
        <f t="shared" si="2"/>
        <v>2017</v>
      </c>
      <c r="F117" s="186">
        <v>4</v>
      </c>
      <c r="G117" s="186">
        <v>2</v>
      </c>
      <c r="H117" s="186">
        <v>-1</v>
      </c>
      <c r="I117" s="186"/>
      <c r="J117" s="115" t="s">
        <v>79</v>
      </c>
      <c r="K117" s="115" t="s">
        <v>82</v>
      </c>
      <c r="L117" s="23" t="str">
        <f>IF(ISBLANK(H10),"",H10)</f>
        <v/>
      </c>
      <c r="M117" s="167" t="s">
        <v>533</v>
      </c>
      <c r="N117" s="1077"/>
    </row>
    <row r="118" spans="3:14" hidden="1">
      <c r="C118" s="1">
        <f t="shared" si="1"/>
        <v>3158</v>
      </c>
      <c r="D118" s="1">
        <f t="shared" si="0"/>
        <v>5</v>
      </c>
      <c r="E118" s="1">
        <f t="shared" si="2"/>
        <v>2017</v>
      </c>
      <c r="F118" s="186">
        <v>4</v>
      </c>
      <c r="G118" s="186">
        <v>2</v>
      </c>
      <c r="H118" s="186">
        <v>-1</v>
      </c>
      <c r="I118" s="186"/>
      <c r="J118" s="115" t="s">
        <v>79</v>
      </c>
      <c r="K118" s="115" t="s">
        <v>1482</v>
      </c>
      <c r="L118" s="33" t="str">
        <f>IF(ISBLANK(I10),"",I10)</f>
        <v/>
      </c>
      <c r="M118" s="167" t="s">
        <v>544</v>
      </c>
      <c r="N118" s="1077"/>
    </row>
    <row r="119" spans="3:14" hidden="1">
      <c r="C119" s="1">
        <f t="shared" si="1"/>
        <v>3158</v>
      </c>
      <c r="D119" s="1">
        <f t="shared" si="0"/>
        <v>5</v>
      </c>
      <c r="E119" s="1">
        <f t="shared" si="2"/>
        <v>2017</v>
      </c>
      <c r="F119" s="186">
        <v>4</v>
      </c>
      <c r="G119" s="186">
        <v>3</v>
      </c>
      <c r="H119" s="186">
        <v>-1</v>
      </c>
      <c r="I119" s="186"/>
      <c r="J119" s="115" t="s">
        <v>79</v>
      </c>
      <c r="K119" s="186" t="s">
        <v>80</v>
      </c>
      <c r="L119" s="23" t="str">
        <f>IF(ISBLANK(J10),"",J10)</f>
        <v/>
      </c>
      <c r="M119" s="167" t="s">
        <v>555</v>
      </c>
      <c r="N119" s="1077"/>
    </row>
    <row r="120" spans="3:14" hidden="1">
      <c r="C120" s="1">
        <f t="shared" si="1"/>
        <v>3158</v>
      </c>
      <c r="D120" s="1">
        <f t="shared" si="0"/>
        <v>5</v>
      </c>
      <c r="E120" s="1">
        <f t="shared" si="2"/>
        <v>2017</v>
      </c>
      <c r="F120" s="186">
        <v>4</v>
      </c>
      <c r="G120" s="186">
        <v>3</v>
      </c>
      <c r="H120" s="186">
        <v>-1</v>
      </c>
      <c r="I120" s="186"/>
      <c r="J120" s="115" t="s">
        <v>79</v>
      </c>
      <c r="K120" s="115" t="s">
        <v>83</v>
      </c>
      <c r="L120" s="33" t="str">
        <f>IF(ISBLANK(K10),"",K10)</f>
        <v/>
      </c>
      <c r="M120" s="167" t="s">
        <v>566</v>
      </c>
      <c r="N120" s="1077"/>
    </row>
    <row r="121" spans="3:14" hidden="1">
      <c r="C121" s="234">
        <f>F$1</f>
        <v>3158</v>
      </c>
      <c r="D121" s="234">
        <f t="shared" si="0"/>
        <v>5</v>
      </c>
      <c r="E121" s="234">
        <f>D$1</f>
        <v>2017</v>
      </c>
      <c r="F121" s="230">
        <v>4</v>
      </c>
      <c r="G121" s="231">
        <v>4</v>
      </c>
      <c r="H121" s="230">
        <v>-1</v>
      </c>
      <c r="I121" s="230"/>
      <c r="J121" s="232" t="s">
        <v>79</v>
      </c>
      <c r="K121" s="232" t="s">
        <v>1400</v>
      </c>
      <c r="L121" s="23" t="str">
        <f>IF(ISBLANK(L10),"",L10)</f>
        <v/>
      </c>
      <c r="M121" s="233" t="s">
        <v>577</v>
      </c>
      <c r="N121" s="1077"/>
    </row>
    <row r="122" spans="3:14" hidden="1">
      <c r="C122" s="1">
        <f t="shared" si="1"/>
        <v>3158</v>
      </c>
      <c r="D122" s="1">
        <f t="shared" si="0"/>
        <v>5</v>
      </c>
      <c r="E122" s="1">
        <f t="shared" si="2"/>
        <v>2017</v>
      </c>
      <c r="F122" s="186">
        <v>4</v>
      </c>
      <c r="G122" s="186">
        <v>4</v>
      </c>
      <c r="H122" s="186">
        <v>-1</v>
      </c>
      <c r="I122" s="186"/>
      <c r="J122" s="115" t="s">
        <v>79</v>
      </c>
      <c r="K122" s="186" t="s">
        <v>80</v>
      </c>
      <c r="L122" s="23" t="str">
        <f>IF(ISBLANK(M10),"",M10)</f>
        <v/>
      </c>
      <c r="M122" s="206" t="s">
        <v>588</v>
      </c>
      <c r="N122" s="1077"/>
    </row>
    <row r="123" spans="3:14" hidden="1">
      <c r="C123" s="1">
        <f t="shared" si="1"/>
        <v>3158</v>
      </c>
      <c r="D123" s="1">
        <f t="shared" si="0"/>
        <v>5</v>
      </c>
      <c r="E123" s="1">
        <f t="shared" si="2"/>
        <v>2017</v>
      </c>
      <c r="F123" s="186">
        <v>4</v>
      </c>
      <c r="G123" s="186">
        <v>4</v>
      </c>
      <c r="H123" s="186">
        <v>-1</v>
      </c>
      <c r="I123" s="186"/>
      <c r="J123" s="115" t="s">
        <v>79</v>
      </c>
      <c r="K123" s="115" t="s">
        <v>83</v>
      </c>
      <c r="L123" s="33" t="str">
        <f>IF(ISBLANK(N10),"",N10)</f>
        <v/>
      </c>
      <c r="M123" s="206" t="s">
        <v>599</v>
      </c>
      <c r="N123" s="1077"/>
    </row>
    <row r="124" spans="3:14" hidden="1">
      <c r="C124" s="234">
        <f>F$1</f>
        <v>3158</v>
      </c>
      <c r="D124" s="234">
        <f t="shared" si="0"/>
        <v>5</v>
      </c>
      <c r="E124" s="234">
        <f>D$1</f>
        <v>2017</v>
      </c>
      <c r="F124" s="230">
        <v>4</v>
      </c>
      <c r="G124" s="231">
        <v>5</v>
      </c>
      <c r="H124" s="230">
        <v>-1</v>
      </c>
      <c r="I124" s="230"/>
      <c r="J124" s="232" t="s">
        <v>79</v>
      </c>
      <c r="K124" s="232" t="s">
        <v>1400</v>
      </c>
      <c r="L124" s="23" t="str">
        <f>IF(ISBLANK(O10),"",O10)</f>
        <v/>
      </c>
      <c r="M124" s="236" t="s">
        <v>610</v>
      </c>
      <c r="N124" s="1077"/>
    </row>
    <row r="125" spans="3:14" hidden="1">
      <c r="C125" s="1">
        <f t="shared" si="1"/>
        <v>3158</v>
      </c>
      <c r="D125" s="1">
        <f t="shared" si="0"/>
        <v>5</v>
      </c>
      <c r="E125" s="1">
        <f t="shared" si="2"/>
        <v>2017</v>
      </c>
      <c r="F125" s="186">
        <v>4</v>
      </c>
      <c r="G125" s="186">
        <v>5</v>
      </c>
      <c r="H125" s="186">
        <v>-1</v>
      </c>
      <c r="I125" s="186"/>
      <c r="J125" s="115" t="s">
        <v>79</v>
      </c>
      <c r="K125" s="186" t="s">
        <v>80</v>
      </c>
      <c r="L125" s="23" t="str">
        <f>IF(ISBLANK(P10),"",P10)</f>
        <v/>
      </c>
      <c r="M125" s="206" t="s">
        <v>621</v>
      </c>
      <c r="N125" s="1077"/>
    </row>
    <row r="126" spans="3:14" hidden="1">
      <c r="C126" s="1">
        <f t="shared" si="1"/>
        <v>3158</v>
      </c>
      <c r="D126" s="1">
        <f t="shared" si="0"/>
        <v>5</v>
      </c>
      <c r="E126" s="1">
        <f t="shared" ref="E126:E188" si="3">D$1</f>
        <v>2017</v>
      </c>
      <c r="F126" s="186">
        <v>4</v>
      </c>
      <c r="G126" s="186">
        <v>5</v>
      </c>
      <c r="H126" s="186">
        <v>-1</v>
      </c>
      <c r="I126" s="186"/>
      <c r="J126" s="115" t="s">
        <v>79</v>
      </c>
      <c r="K126" s="115" t="s">
        <v>83</v>
      </c>
      <c r="L126" s="33" t="str">
        <f>IF(ISBLANK(Q10),"",Q10)</f>
        <v/>
      </c>
      <c r="M126" s="206" t="s">
        <v>632</v>
      </c>
      <c r="N126" s="1077"/>
    </row>
    <row r="127" spans="3:14" hidden="1">
      <c r="C127" s="234">
        <f>F$1</f>
        <v>3158</v>
      </c>
      <c r="D127" s="234">
        <f t="shared" si="0"/>
        <v>5</v>
      </c>
      <c r="E127" s="234">
        <f t="shared" si="3"/>
        <v>2017</v>
      </c>
      <c r="F127" s="230">
        <v>4</v>
      </c>
      <c r="G127" s="230">
        <v>10</v>
      </c>
      <c r="H127" s="230">
        <v>-1</v>
      </c>
      <c r="I127" s="230"/>
      <c r="J127" s="204" t="s">
        <v>79</v>
      </c>
      <c r="K127" s="230" t="s">
        <v>80</v>
      </c>
      <c r="L127" s="33" t="str">
        <f>IF(ISBLANK(R10),"",R10)</f>
        <v/>
      </c>
      <c r="M127" s="206" t="s">
        <v>643</v>
      </c>
      <c r="N127" s="1077"/>
    </row>
    <row r="128" spans="3:14" hidden="1">
      <c r="C128" s="234">
        <f>F$1</f>
        <v>3158</v>
      </c>
      <c r="D128" s="234">
        <f t="shared" si="0"/>
        <v>5</v>
      </c>
      <c r="E128" s="234">
        <f t="shared" si="3"/>
        <v>2017</v>
      </c>
      <c r="F128" s="230">
        <v>4</v>
      </c>
      <c r="G128" s="230">
        <v>10</v>
      </c>
      <c r="H128" s="230">
        <v>-1</v>
      </c>
      <c r="I128" s="230"/>
      <c r="J128" s="204" t="s">
        <v>79</v>
      </c>
      <c r="K128" s="204" t="s">
        <v>83</v>
      </c>
      <c r="L128" s="33" t="str">
        <f>IF(ISBLANK(S10),"",S10)</f>
        <v/>
      </c>
      <c r="M128" s="206" t="s">
        <v>654</v>
      </c>
      <c r="N128" s="1077"/>
    </row>
    <row r="129" spans="3:14" hidden="1">
      <c r="C129" s="234">
        <f>F$1</f>
        <v>3158</v>
      </c>
      <c r="D129" s="234">
        <f t="shared" si="0"/>
        <v>5</v>
      </c>
      <c r="E129" s="234">
        <f>D$1</f>
        <v>2017</v>
      </c>
      <c r="F129" s="230">
        <v>5</v>
      </c>
      <c r="G129" s="231">
        <v>1</v>
      </c>
      <c r="H129" s="230">
        <v>-1</v>
      </c>
      <c r="I129" s="230"/>
      <c r="J129" s="232" t="s">
        <v>79</v>
      </c>
      <c r="K129" s="232" t="s">
        <v>1400</v>
      </c>
      <c r="L129" s="235" t="str">
        <f>IF(ISBLANK(C11),"",C11)</f>
        <v/>
      </c>
      <c r="M129" s="233" t="s">
        <v>479</v>
      </c>
      <c r="N129" s="1077"/>
    </row>
    <row r="130" spans="3:14" hidden="1">
      <c r="C130" s="1">
        <f t="shared" si="1"/>
        <v>3158</v>
      </c>
      <c r="D130" s="1">
        <f t="shared" si="0"/>
        <v>5</v>
      </c>
      <c r="E130" s="1">
        <f t="shared" si="3"/>
        <v>2017</v>
      </c>
      <c r="F130" s="186">
        <v>5</v>
      </c>
      <c r="G130" s="186">
        <v>1</v>
      </c>
      <c r="H130" s="186">
        <v>-1</v>
      </c>
      <c r="I130" s="186"/>
      <c r="J130" s="115" t="s">
        <v>79</v>
      </c>
      <c r="K130" s="115" t="s">
        <v>80</v>
      </c>
      <c r="L130" s="23">
        <f>IF(ISBLANK(D11),"",D11)</f>
        <v>12</v>
      </c>
      <c r="M130" s="167" t="s">
        <v>490</v>
      </c>
      <c r="N130" s="1077"/>
    </row>
    <row r="131" spans="3:14" hidden="1">
      <c r="C131" s="1">
        <f t="shared" si="1"/>
        <v>3158</v>
      </c>
      <c r="D131" s="1">
        <f t="shared" si="0"/>
        <v>5</v>
      </c>
      <c r="E131" s="1">
        <f t="shared" si="3"/>
        <v>2017</v>
      </c>
      <c r="F131" s="186">
        <v>5</v>
      </c>
      <c r="G131" s="186">
        <v>1</v>
      </c>
      <c r="H131" s="186">
        <v>-1</v>
      </c>
      <c r="I131" s="186"/>
      <c r="J131" s="115" t="s">
        <v>79</v>
      </c>
      <c r="K131" s="115" t="s">
        <v>82</v>
      </c>
      <c r="L131" s="23" t="str">
        <f>IF(ISBLANK(E11),"",E11)</f>
        <v/>
      </c>
      <c r="M131" s="167" t="s">
        <v>501</v>
      </c>
      <c r="N131" s="1077"/>
    </row>
    <row r="132" spans="3:14" hidden="1">
      <c r="C132" s="1">
        <f t="shared" si="1"/>
        <v>3158</v>
      </c>
      <c r="D132" s="1">
        <f t="shared" si="0"/>
        <v>5</v>
      </c>
      <c r="E132" s="1">
        <f t="shared" si="3"/>
        <v>2017</v>
      </c>
      <c r="F132" s="186">
        <v>5</v>
      </c>
      <c r="G132" s="186">
        <v>1</v>
      </c>
      <c r="H132" s="186">
        <v>-1</v>
      </c>
      <c r="I132" s="186"/>
      <c r="J132" s="115" t="s">
        <v>79</v>
      </c>
      <c r="K132" s="115" t="s">
        <v>83</v>
      </c>
      <c r="L132" s="33">
        <f>IF(ISBLANK(F11),"",F11)</f>
        <v>2</v>
      </c>
      <c r="M132" s="167" t="s">
        <v>512</v>
      </c>
      <c r="N132" s="1077"/>
    </row>
    <row r="133" spans="3:14" hidden="1">
      <c r="C133" s="1">
        <f t="shared" si="1"/>
        <v>3158</v>
      </c>
      <c r="D133" s="1">
        <f t="shared" si="0"/>
        <v>5</v>
      </c>
      <c r="E133" s="1">
        <f t="shared" si="3"/>
        <v>2017</v>
      </c>
      <c r="F133" s="186">
        <v>5</v>
      </c>
      <c r="G133" s="186">
        <v>2</v>
      </c>
      <c r="H133" s="186">
        <v>-1</v>
      </c>
      <c r="I133" s="186"/>
      <c r="J133" s="115" t="s">
        <v>79</v>
      </c>
      <c r="K133" s="115" t="s">
        <v>80</v>
      </c>
      <c r="L133" s="23">
        <f>IF(ISBLANK(G11),"",G11)</f>
        <v>17</v>
      </c>
      <c r="M133" s="167" t="s">
        <v>523</v>
      </c>
      <c r="N133" s="1077"/>
    </row>
    <row r="134" spans="3:14" hidden="1">
      <c r="C134" s="1">
        <f t="shared" ref="C134:C222" si="4">F$1</f>
        <v>3158</v>
      </c>
      <c r="D134" s="1">
        <f t="shared" si="0"/>
        <v>5</v>
      </c>
      <c r="E134" s="1">
        <f t="shared" si="3"/>
        <v>2017</v>
      </c>
      <c r="F134" s="186">
        <v>5</v>
      </c>
      <c r="G134" s="186">
        <v>2</v>
      </c>
      <c r="H134" s="186">
        <v>-1</v>
      </c>
      <c r="I134" s="186"/>
      <c r="J134" s="115" t="s">
        <v>79</v>
      </c>
      <c r="K134" s="115" t="s">
        <v>82</v>
      </c>
      <c r="L134" s="23" t="str">
        <f>IF(ISBLANK(H11),"",H11)</f>
        <v/>
      </c>
      <c r="M134" s="167" t="s">
        <v>534</v>
      </c>
      <c r="N134" s="1077"/>
    </row>
    <row r="135" spans="3:14" hidden="1">
      <c r="C135" s="1">
        <f t="shared" si="4"/>
        <v>3158</v>
      </c>
      <c r="D135" s="1">
        <f t="shared" si="0"/>
        <v>5</v>
      </c>
      <c r="E135" s="1">
        <f t="shared" si="3"/>
        <v>2017</v>
      </c>
      <c r="F135" s="186">
        <v>5</v>
      </c>
      <c r="G135" s="186">
        <v>2</v>
      </c>
      <c r="H135" s="186">
        <v>-1</v>
      </c>
      <c r="I135" s="186"/>
      <c r="J135" s="115" t="s">
        <v>79</v>
      </c>
      <c r="K135" s="115" t="s">
        <v>1482</v>
      </c>
      <c r="L135" s="33">
        <f>IF(ISBLANK(I11),"",I11)</f>
        <v>1</v>
      </c>
      <c r="M135" s="167" t="s">
        <v>545</v>
      </c>
      <c r="N135" s="1077"/>
    </row>
    <row r="136" spans="3:14" hidden="1">
      <c r="C136" s="1">
        <f t="shared" si="4"/>
        <v>3158</v>
      </c>
      <c r="D136" s="1">
        <f t="shared" si="0"/>
        <v>5</v>
      </c>
      <c r="E136" s="1">
        <f t="shared" si="3"/>
        <v>2017</v>
      </c>
      <c r="F136" s="186">
        <v>5</v>
      </c>
      <c r="G136" s="186">
        <v>3</v>
      </c>
      <c r="H136" s="186">
        <v>-1</v>
      </c>
      <c r="I136" s="186"/>
      <c r="J136" s="115" t="s">
        <v>79</v>
      </c>
      <c r="K136" s="186" t="s">
        <v>80</v>
      </c>
      <c r="L136" s="23" t="str">
        <f>IF(ISBLANK(J11),"",J11)</f>
        <v/>
      </c>
      <c r="M136" s="167" t="s">
        <v>556</v>
      </c>
      <c r="N136" s="1077"/>
    </row>
    <row r="137" spans="3:14" hidden="1">
      <c r="C137" s="1">
        <f t="shared" si="4"/>
        <v>3158</v>
      </c>
      <c r="D137" s="1">
        <f t="shared" si="0"/>
        <v>5</v>
      </c>
      <c r="E137" s="1">
        <f t="shared" si="3"/>
        <v>2017</v>
      </c>
      <c r="F137" s="186">
        <v>5</v>
      </c>
      <c r="G137" s="186">
        <v>3</v>
      </c>
      <c r="H137" s="186">
        <v>-1</v>
      </c>
      <c r="I137" s="186"/>
      <c r="J137" s="115" t="s">
        <v>79</v>
      </c>
      <c r="K137" s="115" t="s">
        <v>83</v>
      </c>
      <c r="L137" s="33" t="str">
        <f>IF(ISBLANK(K11),"",K11)</f>
        <v/>
      </c>
      <c r="M137" s="167" t="s">
        <v>567</v>
      </c>
      <c r="N137" s="1077"/>
    </row>
    <row r="138" spans="3:14" hidden="1">
      <c r="C138" s="234">
        <f>F$1</f>
        <v>3158</v>
      </c>
      <c r="D138" s="234">
        <f t="shared" si="0"/>
        <v>5</v>
      </c>
      <c r="E138" s="234">
        <f>D$1</f>
        <v>2017</v>
      </c>
      <c r="F138" s="230">
        <v>5</v>
      </c>
      <c r="G138" s="231">
        <v>4</v>
      </c>
      <c r="H138" s="230">
        <v>-1</v>
      </c>
      <c r="I138" s="230"/>
      <c r="J138" s="232" t="s">
        <v>79</v>
      </c>
      <c r="K138" s="232" t="s">
        <v>1400</v>
      </c>
      <c r="L138" s="23" t="str">
        <f>IF(ISBLANK(L11),"",L11)</f>
        <v/>
      </c>
      <c r="M138" s="233" t="s">
        <v>578</v>
      </c>
      <c r="N138" s="1077"/>
    </row>
    <row r="139" spans="3:14" hidden="1">
      <c r="C139" s="1">
        <f t="shared" si="4"/>
        <v>3158</v>
      </c>
      <c r="D139" s="1">
        <f t="shared" si="0"/>
        <v>5</v>
      </c>
      <c r="E139" s="1">
        <f t="shared" si="3"/>
        <v>2017</v>
      </c>
      <c r="F139" s="186">
        <v>5</v>
      </c>
      <c r="G139" s="186">
        <v>4</v>
      </c>
      <c r="H139" s="186">
        <v>-1</v>
      </c>
      <c r="I139" s="186"/>
      <c r="J139" s="115" t="s">
        <v>79</v>
      </c>
      <c r="K139" s="186" t="s">
        <v>80</v>
      </c>
      <c r="L139" s="23" t="str">
        <f>IF(ISBLANK(M11),"",M11)</f>
        <v/>
      </c>
      <c r="M139" s="206" t="s">
        <v>589</v>
      </c>
      <c r="N139" s="1077"/>
    </row>
    <row r="140" spans="3:14" hidden="1">
      <c r="C140" s="1">
        <f t="shared" si="4"/>
        <v>3158</v>
      </c>
      <c r="D140" s="1">
        <f t="shared" si="0"/>
        <v>5</v>
      </c>
      <c r="E140" s="1">
        <f t="shared" si="3"/>
        <v>2017</v>
      </c>
      <c r="F140" s="186">
        <v>5</v>
      </c>
      <c r="G140" s="186">
        <v>4</v>
      </c>
      <c r="H140" s="186">
        <v>-1</v>
      </c>
      <c r="I140" s="186"/>
      <c r="J140" s="115" t="s">
        <v>79</v>
      </c>
      <c r="K140" s="115" t="s">
        <v>83</v>
      </c>
      <c r="L140" s="33" t="str">
        <f>IF(ISBLANK(N11),"",N11)</f>
        <v/>
      </c>
      <c r="M140" s="206" t="s">
        <v>600</v>
      </c>
      <c r="N140" s="1077"/>
    </row>
    <row r="141" spans="3:14" hidden="1">
      <c r="C141" s="234">
        <f>F$1</f>
        <v>3158</v>
      </c>
      <c r="D141" s="234">
        <f t="shared" si="0"/>
        <v>5</v>
      </c>
      <c r="E141" s="234">
        <f>D$1</f>
        <v>2017</v>
      </c>
      <c r="F141" s="230">
        <v>5</v>
      </c>
      <c r="G141" s="231">
        <v>5</v>
      </c>
      <c r="H141" s="230">
        <v>-1</v>
      </c>
      <c r="I141" s="230"/>
      <c r="J141" s="232" t="s">
        <v>79</v>
      </c>
      <c r="K141" s="232" t="s">
        <v>1400</v>
      </c>
      <c r="L141" s="23" t="str">
        <f>IF(ISBLANK(O11),"",O11)</f>
        <v/>
      </c>
      <c r="M141" s="236" t="s">
        <v>611</v>
      </c>
      <c r="N141" s="1077"/>
    </row>
    <row r="142" spans="3:14" hidden="1">
      <c r="C142" s="1">
        <f t="shared" si="4"/>
        <v>3158</v>
      </c>
      <c r="D142" s="1">
        <f t="shared" si="0"/>
        <v>5</v>
      </c>
      <c r="E142" s="1">
        <f t="shared" si="3"/>
        <v>2017</v>
      </c>
      <c r="F142" s="186">
        <v>5</v>
      </c>
      <c r="G142" s="186">
        <v>5</v>
      </c>
      <c r="H142" s="186">
        <v>-1</v>
      </c>
      <c r="I142" s="186"/>
      <c r="J142" s="115" t="s">
        <v>79</v>
      </c>
      <c r="K142" s="186" t="s">
        <v>80</v>
      </c>
      <c r="L142" s="23" t="str">
        <f>IF(ISBLANK(P11),"",P11)</f>
        <v/>
      </c>
      <c r="M142" s="206" t="s">
        <v>622</v>
      </c>
      <c r="N142" s="1077"/>
    </row>
    <row r="143" spans="3:14" hidden="1">
      <c r="C143" s="1">
        <f t="shared" si="4"/>
        <v>3158</v>
      </c>
      <c r="D143" s="1">
        <f t="shared" si="0"/>
        <v>5</v>
      </c>
      <c r="E143" s="1">
        <f t="shared" si="3"/>
        <v>2017</v>
      </c>
      <c r="F143" s="186">
        <v>5</v>
      </c>
      <c r="G143" s="186">
        <v>5</v>
      </c>
      <c r="H143" s="186">
        <v>-1</v>
      </c>
      <c r="I143" s="186"/>
      <c r="J143" s="115" t="s">
        <v>79</v>
      </c>
      <c r="K143" s="115" t="s">
        <v>83</v>
      </c>
      <c r="L143" s="33" t="str">
        <f>IF(ISBLANK(Q11),"",Q11)</f>
        <v/>
      </c>
      <c r="M143" s="206" t="s">
        <v>633</v>
      </c>
      <c r="N143" s="1077"/>
    </row>
    <row r="144" spans="3:14" hidden="1">
      <c r="C144" s="234">
        <f t="shared" si="4"/>
        <v>3158</v>
      </c>
      <c r="D144" s="234">
        <f t="shared" si="0"/>
        <v>5</v>
      </c>
      <c r="E144" s="234">
        <f t="shared" si="3"/>
        <v>2017</v>
      </c>
      <c r="F144" s="230">
        <v>5</v>
      </c>
      <c r="G144" s="230">
        <v>10</v>
      </c>
      <c r="H144" s="230">
        <v>-1</v>
      </c>
      <c r="I144" s="230"/>
      <c r="J144" s="204" t="s">
        <v>79</v>
      </c>
      <c r="K144" s="230" t="s">
        <v>80</v>
      </c>
      <c r="L144" s="33" t="str">
        <f>IF(ISBLANK(R11),"",R11)</f>
        <v/>
      </c>
      <c r="M144" s="206" t="s">
        <v>644</v>
      </c>
      <c r="N144" s="1077"/>
    </row>
    <row r="145" spans="3:14" hidden="1">
      <c r="C145" s="234">
        <f t="shared" si="4"/>
        <v>3158</v>
      </c>
      <c r="D145" s="234">
        <f t="shared" si="0"/>
        <v>5</v>
      </c>
      <c r="E145" s="234">
        <f t="shared" si="3"/>
        <v>2017</v>
      </c>
      <c r="F145" s="230">
        <v>5</v>
      </c>
      <c r="G145" s="230">
        <v>10</v>
      </c>
      <c r="H145" s="230">
        <v>-1</v>
      </c>
      <c r="I145" s="230"/>
      <c r="J145" s="204" t="s">
        <v>79</v>
      </c>
      <c r="K145" s="204" t="s">
        <v>83</v>
      </c>
      <c r="L145" s="33" t="str">
        <f>IF(ISBLANK(S11),"",S11)</f>
        <v/>
      </c>
      <c r="M145" s="206" t="s">
        <v>655</v>
      </c>
      <c r="N145" s="1077"/>
    </row>
    <row r="146" spans="3:14" hidden="1">
      <c r="C146" s="234">
        <f>F$1</f>
        <v>3158</v>
      </c>
      <c r="D146" s="234">
        <f t="shared" si="0"/>
        <v>5</v>
      </c>
      <c r="E146" s="234">
        <f>D$1</f>
        <v>2017</v>
      </c>
      <c r="F146" s="230">
        <v>6</v>
      </c>
      <c r="G146" s="231">
        <v>1</v>
      </c>
      <c r="H146" s="230">
        <v>-1</v>
      </c>
      <c r="I146" s="230"/>
      <c r="J146" s="232" t="s">
        <v>79</v>
      </c>
      <c r="K146" s="232" t="s">
        <v>1400</v>
      </c>
      <c r="L146" s="235" t="str">
        <f>IF(ISBLANK(C12),"",C12)</f>
        <v/>
      </c>
      <c r="M146" s="233" t="s">
        <v>480</v>
      </c>
      <c r="N146" s="1077"/>
    </row>
    <row r="147" spans="3:14" hidden="1">
      <c r="C147" s="1">
        <f t="shared" si="4"/>
        <v>3158</v>
      </c>
      <c r="D147" s="1">
        <f t="shared" si="0"/>
        <v>5</v>
      </c>
      <c r="E147" s="1">
        <f t="shared" si="3"/>
        <v>2017</v>
      </c>
      <c r="F147" s="186">
        <v>6</v>
      </c>
      <c r="G147" s="186">
        <v>1</v>
      </c>
      <c r="H147" s="186">
        <v>-1</v>
      </c>
      <c r="I147" s="186"/>
      <c r="J147" s="115" t="s">
        <v>79</v>
      </c>
      <c r="K147" s="115" t="s">
        <v>80</v>
      </c>
      <c r="L147" s="23" t="str">
        <f>IF(ISBLANK(D12),"",D12)</f>
        <v/>
      </c>
      <c r="M147" s="167" t="s">
        <v>491</v>
      </c>
      <c r="N147" s="1077"/>
    </row>
    <row r="148" spans="3:14" hidden="1">
      <c r="C148" s="1">
        <f t="shared" si="4"/>
        <v>3158</v>
      </c>
      <c r="D148" s="1">
        <f t="shared" si="0"/>
        <v>5</v>
      </c>
      <c r="E148" s="1">
        <f t="shared" si="3"/>
        <v>2017</v>
      </c>
      <c r="F148" s="186">
        <v>6</v>
      </c>
      <c r="G148" s="186">
        <v>1</v>
      </c>
      <c r="H148" s="186">
        <v>-1</v>
      </c>
      <c r="I148" s="186"/>
      <c r="J148" s="115" t="s">
        <v>79</v>
      </c>
      <c r="K148" s="115" t="s">
        <v>82</v>
      </c>
      <c r="L148" s="23" t="str">
        <f>IF(ISBLANK(E12),"",E12)</f>
        <v/>
      </c>
      <c r="M148" s="167" t="s">
        <v>502</v>
      </c>
      <c r="N148" s="1077"/>
    </row>
    <row r="149" spans="3:14" hidden="1">
      <c r="C149" s="1">
        <f t="shared" si="4"/>
        <v>3158</v>
      </c>
      <c r="D149" s="1">
        <f t="shared" si="0"/>
        <v>5</v>
      </c>
      <c r="E149" s="1">
        <f t="shared" si="3"/>
        <v>2017</v>
      </c>
      <c r="F149" s="186">
        <v>6</v>
      </c>
      <c r="G149" s="186">
        <v>1</v>
      </c>
      <c r="H149" s="186">
        <v>-1</v>
      </c>
      <c r="I149" s="186"/>
      <c r="J149" s="115" t="s">
        <v>79</v>
      </c>
      <c r="K149" s="115" t="s">
        <v>83</v>
      </c>
      <c r="L149" s="33" t="str">
        <f>IF(ISBLANK(F12),"",F12)</f>
        <v/>
      </c>
      <c r="M149" s="167" t="s">
        <v>513</v>
      </c>
      <c r="N149" s="1077"/>
    </row>
    <row r="150" spans="3:14" hidden="1">
      <c r="C150" s="1">
        <f t="shared" si="4"/>
        <v>3158</v>
      </c>
      <c r="D150" s="1">
        <f t="shared" ref="D150:D227" si="5">D$58</f>
        <v>5</v>
      </c>
      <c r="E150" s="1">
        <f t="shared" si="3"/>
        <v>2017</v>
      </c>
      <c r="F150" s="186">
        <v>6</v>
      </c>
      <c r="G150" s="186">
        <v>2</v>
      </c>
      <c r="H150" s="186">
        <v>-1</v>
      </c>
      <c r="I150" s="186"/>
      <c r="J150" s="115" t="s">
        <v>79</v>
      </c>
      <c r="K150" s="115" t="s">
        <v>80</v>
      </c>
      <c r="L150" s="23" t="str">
        <f>IF(ISBLANK(G12),"",G12)</f>
        <v/>
      </c>
      <c r="M150" s="167" t="s">
        <v>524</v>
      </c>
      <c r="N150" s="1077"/>
    </row>
    <row r="151" spans="3:14" hidden="1">
      <c r="C151" s="1">
        <f t="shared" si="4"/>
        <v>3158</v>
      </c>
      <c r="D151" s="1">
        <f t="shared" si="5"/>
        <v>5</v>
      </c>
      <c r="E151" s="1">
        <f t="shared" si="3"/>
        <v>2017</v>
      </c>
      <c r="F151" s="186">
        <v>6</v>
      </c>
      <c r="G151" s="186">
        <v>2</v>
      </c>
      <c r="H151" s="186">
        <v>-1</v>
      </c>
      <c r="I151" s="186"/>
      <c r="J151" s="115" t="s">
        <v>79</v>
      </c>
      <c r="K151" s="115" t="s">
        <v>82</v>
      </c>
      <c r="L151" s="23" t="str">
        <f>IF(ISBLANK(H12),"",H12)</f>
        <v/>
      </c>
      <c r="M151" s="167" t="s">
        <v>535</v>
      </c>
      <c r="N151" s="1077"/>
    </row>
    <row r="152" spans="3:14" hidden="1">
      <c r="C152" s="1">
        <f t="shared" si="4"/>
        <v>3158</v>
      </c>
      <c r="D152" s="1">
        <f t="shared" si="5"/>
        <v>5</v>
      </c>
      <c r="E152" s="1">
        <f t="shared" si="3"/>
        <v>2017</v>
      </c>
      <c r="F152" s="186">
        <v>6</v>
      </c>
      <c r="G152" s="186">
        <v>2</v>
      </c>
      <c r="H152" s="186">
        <v>-1</v>
      </c>
      <c r="I152" s="186"/>
      <c r="J152" s="115" t="s">
        <v>79</v>
      </c>
      <c r="K152" s="115" t="s">
        <v>1482</v>
      </c>
      <c r="L152" s="33" t="str">
        <f>IF(ISBLANK(I12),"",I12)</f>
        <v/>
      </c>
      <c r="M152" s="167" t="s">
        <v>546</v>
      </c>
      <c r="N152" s="1077"/>
    </row>
    <row r="153" spans="3:14" hidden="1">
      <c r="C153" s="1">
        <f t="shared" si="4"/>
        <v>3158</v>
      </c>
      <c r="D153" s="1">
        <f t="shared" si="5"/>
        <v>5</v>
      </c>
      <c r="E153" s="1">
        <f t="shared" si="3"/>
        <v>2017</v>
      </c>
      <c r="F153" s="186">
        <v>6</v>
      </c>
      <c r="G153" s="186">
        <v>3</v>
      </c>
      <c r="H153" s="186">
        <v>-1</v>
      </c>
      <c r="I153" s="186"/>
      <c r="J153" s="115" t="s">
        <v>79</v>
      </c>
      <c r="K153" s="186" t="s">
        <v>80</v>
      </c>
      <c r="L153" s="23" t="str">
        <f>IF(ISBLANK(J12),"",J12)</f>
        <v/>
      </c>
      <c r="M153" s="167" t="s">
        <v>557</v>
      </c>
      <c r="N153" s="1077"/>
    </row>
    <row r="154" spans="3:14" hidden="1">
      <c r="C154" s="1">
        <f t="shared" si="4"/>
        <v>3158</v>
      </c>
      <c r="D154" s="1">
        <f t="shared" si="5"/>
        <v>5</v>
      </c>
      <c r="E154" s="1">
        <f t="shared" si="3"/>
        <v>2017</v>
      </c>
      <c r="F154" s="186">
        <v>6</v>
      </c>
      <c r="G154" s="186">
        <v>3</v>
      </c>
      <c r="H154" s="186">
        <v>-1</v>
      </c>
      <c r="I154" s="186"/>
      <c r="J154" s="115" t="s">
        <v>79</v>
      </c>
      <c r="K154" s="115" t="s">
        <v>83</v>
      </c>
      <c r="L154" s="33" t="str">
        <f>IF(ISBLANK(K12),"",K12)</f>
        <v/>
      </c>
      <c r="M154" s="167" t="s">
        <v>568</v>
      </c>
      <c r="N154" s="1077"/>
    </row>
    <row r="155" spans="3:14" hidden="1">
      <c r="C155" s="234">
        <f>F$1</f>
        <v>3158</v>
      </c>
      <c r="D155" s="234">
        <f t="shared" si="5"/>
        <v>5</v>
      </c>
      <c r="E155" s="234">
        <f>D$1</f>
        <v>2017</v>
      </c>
      <c r="F155" s="230">
        <v>6</v>
      </c>
      <c r="G155" s="231">
        <v>4</v>
      </c>
      <c r="H155" s="230">
        <v>-1</v>
      </c>
      <c r="I155" s="230"/>
      <c r="J155" s="232" t="s">
        <v>79</v>
      </c>
      <c r="K155" s="232" t="s">
        <v>1400</v>
      </c>
      <c r="L155" s="23" t="str">
        <f>IF(ISBLANK(L12),"",L12)</f>
        <v/>
      </c>
      <c r="M155" s="233" t="s">
        <v>579</v>
      </c>
      <c r="N155" s="1077"/>
    </row>
    <row r="156" spans="3:14" hidden="1">
      <c r="C156" s="1">
        <f t="shared" si="4"/>
        <v>3158</v>
      </c>
      <c r="D156" s="1">
        <f t="shared" si="5"/>
        <v>5</v>
      </c>
      <c r="E156" s="1">
        <f t="shared" si="3"/>
        <v>2017</v>
      </c>
      <c r="F156" s="186">
        <v>6</v>
      </c>
      <c r="G156" s="186">
        <v>4</v>
      </c>
      <c r="H156" s="186">
        <v>-1</v>
      </c>
      <c r="I156" s="186"/>
      <c r="J156" s="115" t="s">
        <v>79</v>
      </c>
      <c r="K156" s="186" t="s">
        <v>80</v>
      </c>
      <c r="L156" s="23" t="str">
        <f>IF(ISBLANK(M12),"",M12)</f>
        <v/>
      </c>
      <c r="M156" s="206" t="s">
        <v>590</v>
      </c>
      <c r="N156" s="1077"/>
    </row>
    <row r="157" spans="3:14" hidden="1">
      <c r="C157" s="1">
        <f t="shared" si="4"/>
        <v>3158</v>
      </c>
      <c r="D157" s="1">
        <f t="shared" si="5"/>
        <v>5</v>
      </c>
      <c r="E157" s="1">
        <f t="shared" si="3"/>
        <v>2017</v>
      </c>
      <c r="F157" s="186">
        <v>6</v>
      </c>
      <c r="G157" s="186">
        <v>4</v>
      </c>
      <c r="H157" s="186">
        <v>-1</v>
      </c>
      <c r="I157" s="186"/>
      <c r="J157" s="115" t="s">
        <v>79</v>
      </c>
      <c r="K157" s="115" t="s">
        <v>83</v>
      </c>
      <c r="L157" s="33" t="str">
        <f>IF(ISBLANK(N12),"",N12)</f>
        <v/>
      </c>
      <c r="M157" s="206" t="s">
        <v>601</v>
      </c>
      <c r="N157" s="1077"/>
    </row>
    <row r="158" spans="3:14" ht="12.75" hidden="1" customHeight="1">
      <c r="C158" s="234">
        <f>F$1</f>
        <v>3158</v>
      </c>
      <c r="D158" s="234">
        <f t="shared" si="5"/>
        <v>5</v>
      </c>
      <c r="E158" s="234">
        <f>D$1</f>
        <v>2017</v>
      </c>
      <c r="F158" s="230">
        <v>6</v>
      </c>
      <c r="G158" s="231">
        <v>5</v>
      </c>
      <c r="H158" s="230">
        <v>-1</v>
      </c>
      <c r="I158" s="230"/>
      <c r="J158" s="232" t="s">
        <v>79</v>
      </c>
      <c r="K158" s="232" t="s">
        <v>1400</v>
      </c>
      <c r="L158" s="23" t="str">
        <f>IF(ISBLANK(O12),"",O12)</f>
        <v/>
      </c>
      <c r="M158" s="236" t="s">
        <v>612</v>
      </c>
      <c r="N158" s="1077"/>
    </row>
    <row r="159" spans="3:14" hidden="1">
      <c r="C159" s="1">
        <f t="shared" si="4"/>
        <v>3158</v>
      </c>
      <c r="D159" s="1">
        <f t="shared" si="5"/>
        <v>5</v>
      </c>
      <c r="E159" s="1">
        <f t="shared" si="3"/>
        <v>2017</v>
      </c>
      <c r="F159" s="186">
        <v>6</v>
      </c>
      <c r="G159" s="186">
        <v>5</v>
      </c>
      <c r="H159" s="186">
        <v>-1</v>
      </c>
      <c r="I159" s="186"/>
      <c r="J159" s="115" t="s">
        <v>79</v>
      </c>
      <c r="K159" s="186" t="s">
        <v>80</v>
      </c>
      <c r="L159" s="23" t="str">
        <f>IF(ISBLANK(P12),"",P12)</f>
        <v/>
      </c>
      <c r="M159" s="206" t="s">
        <v>623</v>
      </c>
      <c r="N159" s="1077"/>
    </row>
    <row r="160" spans="3:14" hidden="1">
      <c r="C160" s="1">
        <f t="shared" si="4"/>
        <v>3158</v>
      </c>
      <c r="D160" s="1">
        <f t="shared" si="5"/>
        <v>5</v>
      </c>
      <c r="E160" s="1">
        <f t="shared" si="3"/>
        <v>2017</v>
      </c>
      <c r="F160" s="186">
        <v>6</v>
      </c>
      <c r="G160" s="186">
        <v>5</v>
      </c>
      <c r="H160" s="186">
        <v>-1</v>
      </c>
      <c r="I160" s="186"/>
      <c r="J160" s="115" t="s">
        <v>79</v>
      </c>
      <c r="K160" s="115" t="s">
        <v>83</v>
      </c>
      <c r="L160" s="33" t="str">
        <f>IF(ISBLANK(Q12),"",Q12)</f>
        <v/>
      </c>
      <c r="M160" s="206" t="s">
        <v>634</v>
      </c>
      <c r="N160" s="1077"/>
    </row>
    <row r="161" spans="3:14" hidden="1">
      <c r="C161" s="234">
        <f>F$1</f>
        <v>3158</v>
      </c>
      <c r="D161" s="234">
        <f t="shared" si="5"/>
        <v>5</v>
      </c>
      <c r="E161" s="234">
        <f t="shared" si="3"/>
        <v>2017</v>
      </c>
      <c r="F161" s="230">
        <v>6</v>
      </c>
      <c r="G161" s="230">
        <v>10</v>
      </c>
      <c r="H161" s="230">
        <v>-1</v>
      </c>
      <c r="I161" s="230"/>
      <c r="J161" s="204" t="s">
        <v>79</v>
      </c>
      <c r="K161" s="230" t="s">
        <v>80</v>
      </c>
      <c r="L161" s="33" t="str">
        <f>IF(ISBLANK(R12),"",R12)</f>
        <v/>
      </c>
      <c r="M161" s="206" t="s">
        <v>645</v>
      </c>
      <c r="N161" s="1077"/>
    </row>
    <row r="162" spans="3:14" hidden="1">
      <c r="C162" s="234">
        <f>F$1</f>
        <v>3158</v>
      </c>
      <c r="D162" s="234">
        <f t="shared" si="5"/>
        <v>5</v>
      </c>
      <c r="E162" s="234">
        <f t="shared" si="3"/>
        <v>2017</v>
      </c>
      <c r="F162" s="230">
        <v>6</v>
      </c>
      <c r="G162" s="230">
        <v>10</v>
      </c>
      <c r="H162" s="230">
        <v>-1</v>
      </c>
      <c r="I162" s="230"/>
      <c r="J162" s="204" t="s">
        <v>79</v>
      </c>
      <c r="K162" s="204" t="s">
        <v>83</v>
      </c>
      <c r="L162" s="33" t="str">
        <f>IF(ISBLANK(S12),"",S12)</f>
        <v/>
      </c>
      <c r="M162" s="206" t="s">
        <v>656</v>
      </c>
      <c r="N162" s="1077"/>
    </row>
    <row r="163" spans="3:14" hidden="1">
      <c r="C163" s="234">
        <f>F$1</f>
        <v>3158</v>
      </c>
      <c r="D163" s="234">
        <f t="shared" si="5"/>
        <v>5</v>
      </c>
      <c r="E163" s="234">
        <f>D$1</f>
        <v>2017</v>
      </c>
      <c r="F163" s="230">
        <v>7</v>
      </c>
      <c r="G163" s="231">
        <v>1</v>
      </c>
      <c r="H163" s="230">
        <v>-1</v>
      </c>
      <c r="I163" s="230"/>
      <c r="J163" s="232" t="s">
        <v>79</v>
      </c>
      <c r="K163" s="232" t="s">
        <v>1400</v>
      </c>
      <c r="L163" s="235" t="str">
        <f>IF(ISBLANK(C13),"",C13)</f>
        <v/>
      </c>
      <c r="M163" s="233" t="s">
        <v>481</v>
      </c>
      <c r="N163" s="1077"/>
    </row>
    <row r="164" spans="3:14" hidden="1">
      <c r="C164" s="1">
        <f t="shared" si="4"/>
        <v>3158</v>
      </c>
      <c r="D164" s="1">
        <f t="shared" si="5"/>
        <v>5</v>
      </c>
      <c r="E164" s="1">
        <f t="shared" si="3"/>
        <v>2017</v>
      </c>
      <c r="F164" s="186">
        <v>7</v>
      </c>
      <c r="G164" s="186">
        <v>1</v>
      </c>
      <c r="H164" s="186">
        <v>-1</v>
      </c>
      <c r="I164" s="186"/>
      <c r="J164" s="115" t="s">
        <v>79</v>
      </c>
      <c r="K164" s="115" t="s">
        <v>80</v>
      </c>
      <c r="L164" s="23" t="str">
        <f>IF(ISBLANK(D13),"",D13)</f>
        <v/>
      </c>
      <c r="M164" s="167" t="s">
        <v>492</v>
      </c>
      <c r="N164" s="1077"/>
    </row>
    <row r="165" spans="3:14" hidden="1">
      <c r="C165" s="1">
        <f t="shared" si="4"/>
        <v>3158</v>
      </c>
      <c r="D165" s="1">
        <f t="shared" si="5"/>
        <v>5</v>
      </c>
      <c r="E165" s="1">
        <f t="shared" si="3"/>
        <v>2017</v>
      </c>
      <c r="F165" s="186">
        <v>7</v>
      </c>
      <c r="G165" s="186">
        <v>1</v>
      </c>
      <c r="H165" s="186">
        <v>-1</v>
      </c>
      <c r="I165" s="186"/>
      <c r="J165" s="115" t="s">
        <v>79</v>
      </c>
      <c r="K165" s="115" t="s">
        <v>82</v>
      </c>
      <c r="L165" s="23" t="str">
        <f>IF(ISBLANK(E13),"",E13)</f>
        <v/>
      </c>
      <c r="M165" s="167" t="s">
        <v>503</v>
      </c>
      <c r="N165" s="1077"/>
    </row>
    <row r="166" spans="3:14" hidden="1">
      <c r="C166" s="1">
        <f t="shared" si="4"/>
        <v>3158</v>
      </c>
      <c r="D166" s="1">
        <f t="shared" si="5"/>
        <v>5</v>
      </c>
      <c r="E166" s="1">
        <f t="shared" si="3"/>
        <v>2017</v>
      </c>
      <c r="F166" s="186">
        <v>7</v>
      </c>
      <c r="G166" s="186">
        <v>1</v>
      </c>
      <c r="H166" s="186">
        <v>-1</v>
      </c>
      <c r="I166" s="186"/>
      <c r="J166" s="115" t="s">
        <v>79</v>
      </c>
      <c r="K166" s="115" t="s">
        <v>83</v>
      </c>
      <c r="L166" s="33" t="str">
        <f>IF(ISBLANK(F13),"",F13)</f>
        <v/>
      </c>
      <c r="M166" s="167" t="s">
        <v>514</v>
      </c>
      <c r="N166" s="1077"/>
    </row>
    <row r="167" spans="3:14" hidden="1">
      <c r="C167" s="1">
        <f t="shared" si="4"/>
        <v>3158</v>
      </c>
      <c r="D167" s="1">
        <f t="shared" si="5"/>
        <v>5</v>
      </c>
      <c r="E167" s="1">
        <f t="shared" si="3"/>
        <v>2017</v>
      </c>
      <c r="F167" s="186">
        <v>7</v>
      </c>
      <c r="G167" s="186">
        <v>2</v>
      </c>
      <c r="H167" s="186">
        <v>-1</v>
      </c>
      <c r="I167" s="186"/>
      <c r="J167" s="115" t="s">
        <v>79</v>
      </c>
      <c r="K167" s="115" t="s">
        <v>80</v>
      </c>
      <c r="L167" s="23" t="str">
        <f>IF(ISBLANK(G13),"",G13)</f>
        <v/>
      </c>
      <c r="M167" s="167" t="s">
        <v>525</v>
      </c>
      <c r="N167" s="1077"/>
    </row>
    <row r="168" spans="3:14" hidden="1">
      <c r="C168" s="1">
        <f t="shared" si="4"/>
        <v>3158</v>
      </c>
      <c r="D168" s="1">
        <f t="shared" si="5"/>
        <v>5</v>
      </c>
      <c r="E168" s="1">
        <f t="shared" si="3"/>
        <v>2017</v>
      </c>
      <c r="F168" s="186">
        <v>7</v>
      </c>
      <c r="G168" s="186">
        <v>2</v>
      </c>
      <c r="H168" s="186">
        <v>-1</v>
      </c>
      <c r="I168" s="186"/>
      <c r="J168" s="115" t="s">
        <v>79</v>
      </c>
      <c r="K168" s="115" t="s">
        <v>82</v>
      </c>
      <c r="L168" s="23" t="str">
        <f>IF(ISBLANK(H13),"",H13)</f>
        <v/>
      </c>
      <c r="M168" s="167" t="s">
        <v>536</v>
      </c>
      <c r="N168" s="1077"/>
    </row>
    <row r="169" spans="3:14" hidden="1">
      <c r="C169" s="1">
        <f t="shared" si="4"/>
        <v>3158</v>
      </c>
      <c r="D169" s="1">
        <f t="shared" si="5"/>
        <v>5</v>
      </c>
      <c r="E169" s="1">
        <f t="shared" si="3"/>
        <v>2017</v>
      </c>
      <c r="F169" s="186">
        <v>7</v>
      </c>
      <c r="G169" s="186">
        <v>2</v>
      </c>
      <c r="H169" s="186">
        <v>-1</v>
      </c>
      <c r="I169" s="186"/>
      <c r="J169" s="115" t="s">
        <v>79</v>
      </c>
      <c r="K169" s="115" t="s">
        <v>1482</v>
      </c>
      <c r="L169" s="33" t="str">
        <f>IF(ISBLANK(I13),"",I13)</f>
        <v/>
      </c>
      <c r="M169" s="167" t="s">
        <v>547</v>
      </c>
      <c r="N169" s="1077"/>
    </row>
    <row r="170" spans="3:14" hidden="1">
      <c r="C170" s="1">
        <f t="shared" si="4"/>
        <v>3158</v>
      </c>
      <c r="D170" s="1">
        <f t="shared" si="5"/>
        <v>5</v>
      </c>
      <c r="E170" s="1">
        <f t="shared" si="3"/>
        <v>2017</v>
      </c>
      <c r="F170" s="186">
        <v>7</v>
      </c>
      <c r="G170" s="186">
        <v>3</v>
      </c>
      <c r="H170" s="186">
        <v>-1</v>
      </c>
      <c r="I170" s="186"/>
      <c r="J170" s="115" t="s">
        <v>79</v>
      </c>
      <c r="K170" s="186" t="s">
        <v>80</v>
      </c>
      <c r="L170" s="23" t="str">
        <f>IF(ISBLANK(J13),"",J13)</f>
        <v/>
      </c>
      <c r="M170" s="167" t="s">
        <v>558</v>
      </c>
      <c r="N170" s="1077"/>
    </row>
    <row r="171" spans="3:14" hidden="1">
      <c r="C171" s="1">
        <f t="shared" si="4"/>
        <v>3158</v>
      </c>
      <c r="D171" s="1">
        <f t="shared" si="5"/>
        <v>5</v>
      </c>
      <c r="E171" s="1">
        <f t="shared" si="3"/>
        <v>2017</v>
      </c>
      <c r="F171" s="186">
        <v>7</v>
      </c>
      <c r="G171" s="186">
        <v>3</v>
      </c>
      <c r="H171" s="186">
        <v>-1</v>
      </c>
      <c r="I171" s="186"/>
      <c r="J171" s="115" t="s">
        <v>79</v>
      </c>
      <c r="K171" s="115" t="s">
        <v>83</v>
      </c>
      <c r="L171" s="33" t="str">
        <f>IF(ISBLANK(K13),"",K13)</f>
        <v/>
      </c>
      <c r="M171" s="167" t="s">
        <v>569</v>
      </c>
      <c r="N171" s="1077"/>
    </row>
    <row r="172" spans="3:14" hidden="1">
      <c r="C172" s="234">
        <f>F$1</f>
        <v>3158</v>
      </c>
      <c r="D172" s="234">
        <f t="shared" si="5"/>
        <v>5</v>
      </c>
      <c r="E172" s="234">
        <f>D$1</f>
        <v>2017</v>
      </c>
      <c r="F172" s="230">
        <v>7</v>
      </c>
      <c r="G172" s="231">
        <v>4</v>
      </c>
      <c r="H172" s="230">
        <v>-1</v>
      </c>
      <c r="I172" s="230"/>
      <c r="J172" s="232" t="s">
        <v>79</v>
      </c>
      <c r="K172" s="232" t="s">
        <v>1400</v>
      </c>
      <c r="L172" s="23" t="str">
        <f>IF(ISBLANK(L13),"",L13)</f>
        <v/>
      </c>
      <c r="M172" s="233" t="s">
        <v>580</v>
      </c>
      <c r="N172" s="1077"/>
    </row>
    <row r="173" spans="3:14" hidden="1">
      <c r="C173" s="1">
        <f t="shared" si="4"/>
        <v>3158</v>
      </c>
      <c r="D173" s="1">
        <f t="shared" si="5"/>
        <v>5</v>
      </c>
      <c r="E173" s="1">
        <f t="shared" si="3"/>
        <v>2017</v>
      </c>
      <c r="F173" s="186">
        <v>7</v>
      </c>
      <c r="G173" s="186">
        <v>4</v>
      </c>
      <c r="H173" s="186">
        <v>-1</v>
      </c>
      <c r="I173" s="186"/>
      <c r="J173" s="115" t="s">
        <v>79</v>
      </c>
      <c r="K173" s="186" t="s">
        <v>80</v>
      </c>
      <c r="L173" s="23" t="str">
        <f>IF(ISBLANK(M13),"",M13)</f>
        <v/>
      </c>
      <c r="M173" s="206" t="s">
        <v>591</v>
      </c>
      <c r="N173" s="1077"/>
    </row>
    <row r="174" spans="3:14" hidden="1">
      <c r="C174" s="1">
        <f t="shared" si="4"/>
        <v>3158</v>
      </c>
      <c r="D174" s="1">
        <f t="shared" si="5"/>
        <v>5</v>
      </c>
      <c r="E174" s="1">
        <f t="shared" si="3"/>
        <v>2017</v>
      </c>
      <c r="F174" s="186">
        <v>7</v>
      </c>
      <c r="G174" s="186">
        <v>4</v>
      </c>
      <c r="H174" s="186">
        <v>-1</v>
      </c>
      <c r="I174" s="186"/>
      <c r="J174" s="115" t="s">
        <v>79</v>
      </c>
      <c r="K174" s="115" t="s">
        <v>83</v>
      </c>
      <c r="L174" s="33" t="str">
        <f>IF(ISBLANK(N13),"",N13)</f>
        <v/>
      </c>
      <c r="M174" s="206" t="s">
        <v>602</v>
      </c>
      <c r="N174" s="1077"/>
    </row>
    <row r="175" spans="3:14" hidden="1">
      <c r="C175" s="234">
        <f>F$1</f>
        <v>3158</v>
      </c>
      <c r="D175" s="234">
        <f t="shared" si="5"/>
        <v>5</v>
      </c>
      <c r="E175" s="234">
        <f>D$1</f>
        <v>2017</v>
      </c>
      <c r="F175" s="230">
        <v>7</v>
      </c>
      <c r="G175" s="231">
        <v>5</v>
      </c>
      <c r="H175" s="230">
        <v>-1</v>
      </c>
      <c r="I175" s="230"/>
      <c r="J175" s="232" t="s">
        <v>79</v>
      </c>
      <c r="K175" s="232" t="s">
        <v>1400</v>
      </c>
      <c r="L175" s="23" t="str">
        <f>IF(ISBLANK(O13),"",O13)</f>
        <v/>
      </c>
      <c r="M175" s="236" t="s">
        <v>613</v>
      </c>
      <c r="N175" s="1077"/>
    </row>
    <row r="176" spans="3:14" hidden="1">
      <c r="C176" s="1">
        <f t="shared" si="4"/>
        <v>3158</v>
      </c>
      <c r="D176" s="1">
        <f t="shared" si="5"/>
        <v>5</v>
      </c>
      <c r="E176" s="1">
        <f t="shared" si="3"/>
        <v>2017</v>
      </c>
      <c r="F176" s="186">
        <v>7</v>
      </c>
      <c r="G176" s="186">
        <v>5</v>
      </c>
      <c r="H176" s="186">
        <v>-1</v>
      </c>
      <c r="I176" s="186"/>
      <c r="J176" s="115" t="s">
        <v>79</v>
      </c>
      <c r="K176" s="186" t="s">
        <v>80</v>
      </c>
      <c r="L176" s="23" t="str">
        <f>IF(ISBLANK(P13),"",P13)</f>
        <v/>
      </c>
      <c r="M176" s="206" t="s">
        <v>624</v>
      </c>
      <c r="N176" s="1077"/>
    </row>
    <row r="177" spans="3:14" hidden="1">
      <c r="C177" s="1">
        <f t="shared" si="4"/>
        <v>3158</v>
      </c>
      <c r="D177" s="1">
        <f t="shared" si="5"/>
        <v>5</v>
      </c>
      <c r="E177" s="1">
        <f t="shared" si="3"/>
        <v>2017</v>
      </c>
      <c r="F177" s="186">
        <v>7</v>
      </c>
      <c r="G177" s="186">
        <v>5</v>
      </c>
      <c r="H177" s="186">
        <v>-1</v>
      </c>
      <c r="I177" s="186"/>
      <c r="J177" s="115" t="s">
        <v>79</v>
      </c>
      <c r="K177" s="115" t="s">
        <v>83</v>
      </c>
      <c r="L177" s="33" t="str">
        <f>IF(ISBLANK(Q13),"",Q13)</f>
        <v/>
      </c>
      <c r="M177" s="206" t="s">
        <v>635</v>
      </c>
      <c r="N177" s="1077"/>
    </row>
    <row r="178" spans="3:14" hidden="1">
      <c r="C178" s="234">
        <f t="shared" si="4"/>
        <v>3158</v>
      </c>
      <c r="D178" s="234">
        <f t="shared" si="5"/>
        <v>5</v>
      </c>
      <c r="E178" s="234">
        <f t="shared" si="3"/>
        <v>2017</v>
      </c>
      <c r="F178" s="230">
        <v>7</v>
      </c>
      <c r="G178" s="230">
        <v>10</v>
      </c>
      <c r="H178" s="230">
        <v>-1</v>
      </c>
      <c r="I178" s="230"/>
      <c r="J178" s="204" t="s">
        <v>79</v>
      </c>
      <c r="K178" s="230" t="s">
        <v>80</v>
      </c>
      <c r="L178" s="33" t="str">
        <f>IF(ISBLANK(R13),"",R13)</f>
        <v/>
      </c>
      <c r="M178" s="206" t="s">
        <v>646</v>
      </c>
      <c r="N178" s="1077"/>
    </row>
    <row r="179" spans="3:14" hidden="1">
      <c r="C179" s="234">
        <f t="shared" si="4"/>
        <v>3158</v>
      </c>
      <c r="D179" s="234">
        <f t="shared" si="5"/>
        <v>5</v>
      </c>
      <c r="E179" s="234">
        <f t="shared" si="3"/>
        <v>2017</v>
      </c>
      <c r="F179" s="230">
        <v>7</v>
      </c>
      <c r="G179" s="230">
        <v>10</v>
      </c>
      <c r="H179" s="230">
        <v>-1</v>
      </c>
      <c r="I179" s="230"/>
      <c r="J179" s="204" t="s">
        <v>79</v>
      </c>
      <c r="K179" s="204" t="s">
        <v>83</v>
      </c>
      <c r="L179" s="33" t="str">
        <f>IF(ISBLANK(S13),"",S13)</f>
        <v/>
      </c>
      <c r="M179" s="206" t="s">
        <v>657</v>
      </c>
      <c r="N179" s="1077"/>
    </row>
    <row r="180" spans="3:14" hidden="1">
      <c r="C180" s="234">
        <f>F$1</f>
        <v>3158</v>
      </c>
      <c r="D180" s="234">
        <f t="shared" si="5"/>
        <v>5</v>
      </c>
      <c r="E180" s="234">
        <f>D$1</f>
        <v>2017</v>
      </c>
      <c r="F180" s="230">
        <v>8</v>
      </c>
      <c r="G180" s="231">
        <v>1</v>
      </c>
      <c r="H180" s="230">
        <v>-1</v>
      </c>
      <c r="I180" s="230"/>
      <c r="J180" s="232" t="s">
        <v>79</v>
      </c>
      <c r="K180" s="232" t="s">
        <v>1400</v>
      </c>
      <c r="L180" s="235" t="str">
        <f>IF(ISBLANK(C14),"",C14)</f>
        <v/>
      </c>
      <c r="M180" s="233" t="s">
        <v>482</v>
      </c>
      <c r="N180" s="1077"/>
    </row>
    <row r="181" spans="3:14" hidden="1">
      <c r="C181" s="1">
        <f t="shared" si="4"/>
        <v>3158</v>
      </c>
      <c r="D181" s="1">
        <f t="shared" si="5"/>
        <v>5</v>
      </c>
      <c r="E181" s="1">
        <f t="shared" si="3"/>
        <v>2017</v>
      </c>
      <c r="F181" s="186">
        <v>8</v>
      </c>
      <c r="G181" s="186">
        <v>1</v>
      </c>
      <c r="H181" s="186">
        <v>-1</v>
      </c>
      <c r="I181" s="186"/>
      <c r="J181" s="115" t="s">
        <v>79</v>
      </c>
      <c r="K181" s="115" t="s">
        <v>80</v>
      </c>
      <c r="L181" s="23" t="str">
        <f>IF(ISBLANK(D14),"",D14)</f>
        <v/>
      </c>
      <c r="M181" s="167" t="s">
        <v>493</v>
      </c>
      <c r="N181" s="1077"/>
    </row>
    <row r="182" spans="3:14" hidden="1">
      <c r="C182" s="1">
        <f t="shared" si="4"/>
        <v>3158</v>
      </c>
      <c r="D182" s="1">
        <f t="shared" si="5"/>
        <v>5</v>
      </c>
      <c r="E182" s="1">
        <f t="shared" si="3"/>
        <v>2017</v>
      </c>
      <c r="F182" s="186">
        <v>8</v>
      </c>
      <c r="G182" s="186">
        <v>1</v>
      </c>
      <c r="H182" s="186">
        <v>-1</v>
      </c>
      <c r="I182" s="186"/>
      <c r="J182" s="115" t="s">
        <v>79</v>
      </c>
      <c r="K182" s="115" t="s">
        <v>82</v>
      </c>
      <c r="L182" s="23" t="str">
        <f>IF(ISBLANK(E14),"",E14)</f>
        <v/>
      </c>
      <c r="M182" s="167" t="s">
        <v>504</v>
      </c>
      <c r="N182" s="1077"/>
    </row>
    <row r="183" spans="3:14" hidden="1">
      <c r="C183" s="1">
        <f t="shared" si="4"/>
        <v>3158</v>
      </c>
      <c r="D183" s="1">
        <f t="shared" si="5"/>
        <v>5</v>
      </c>
      <c r="E183" s="1">
        <f t="shared" si="3"/>
        <v>2017</v>
      </c>
      <c r="F183" s="186">
        <v>8</v>
      </c>
      <c r="G183" s="186">
        <v>1</v>
      </c>
      <c r="H183" s="186">
        <v>-1</v>
      </c>
      <c r="I183" s="186"/>
      <c r="J183" s="115" t="s">
        <v>79</v>
      </c>
      <c r="K183" s="115" t="s">
        <v>83</v>
      </c>
      <c r="L183" s="33" t="str">
        <f>IF(ISBLANK(F14),"",F14)</f>
        <v/>
      </c>
      <c r="M183" s="167" t="s">
        <v>515</v>
      </c>
      <c r="N183" s="1077"/>
    </row>
    <row r="184" spans="3:14" hidden="1">
      <c r="C184" s="1">
        <f t="shared" si="4"/>
        <v>3158</v>
      </c>
      <c r="D184" s="1">
        <f t="shared" si="5"/>
        <v>5</v>
      </c>
      <c r="E184" s="1">
        <f t="shared" si="3"/>
        <v>2017</v>
      </c>
      <c r="F184" s="186">
        <v>8</v>
      </c>
      <c r="G184" s="186">
        <v>2</v>
      </c>
      <c r="H184" s="186">
        <v>-1</v>
      </c>
      <c r="I184" s="186"/>
      <c r="J184" s="115" t="s">
        <v>79</v>
      </c>
      <c r="K184" s="115" t="s">
        <v>80</v>
      </c>
      <c r="L184" s="23" t="str">
        <f>IF(ISBLANK(G14),"",G14)</f>
        <v/>
      </c>
      <c r="M184" s="167" t="s">
        <v>526</v>
      </c>
      <c r="N184" s="1077"/>
    </row>
    <row r="185" spans="3:14" hidden="1">
      <c r="C185" s="1">
        <f t="shared" si="4"/>
        <v>3158</v>
      </c>
      <c r="D185" s="1">
        <f t="shared" si="5"/>
        <v>5</v>
      </c>
      <c r="E185" s="1">
        <f t="shared" si="3"/>
        <v>2017</v>
      </c>
      <c r="F185" s="186">
        <v>8</v>
      </c>
      <c r="G185" s="186">
        <v>2</v>
      </c>
      <c r="H185" s="186">
        <v>-1</v>
      </c>
      <c r="I185" s="186"/>
      <c r="J185" s="115" t="s">
        <v>79</v>
      </c>
      <c r="K185" s="115" t="s">
        <v>82</v>
      </c>
      <c r="L185" s="23" t="str">
        <f>IF(ISBLANK(H14),"",H14)</f>
        <v/>
      </c>
      <c r="M185" s="167" t="s">
        <v>537</v>
      </c>
      <c r="N185" s="1077"/>
    </row>
    <row r="186" spans="3:14" hidden="1">
      <c r="C186" s="1">
        <f t="shared" si="4"/>
        <v>3158</v>
      </c>
      <c r="D186" s="1">
        <f t="shared" si="5"/>
        <v>5</v>
      </c>
      <c r="E186" s="1">
        <f t="shared" si="3"/>
        <v>2017</v>
      </c>
      <c r="F186" s="186">
        <v>8</v>
      </c>
      <c r="G186" s="186">
        <v>2</v>
      </c>
      <c r="H186" s="186">
        <v>-1</v>
      </c>
      <c r="I186" s="186"/>
      <c r="J186" s="115" t="s">
        <v>79</v>
      </c>
      <c r="K186" s="115" t="s">
        <v>1482</v>
      </c>
      <c r="L186" s="33" t="str">
        <f>IF(ISBLANK(I14),"",I14)</f>
        <v/>
      </c>
      <c r="M186" s="167" t="s">
        <v>548</v>
      </c>
      <c r="N186" s="1077"/>
    </row>
    <row r="187" spans="3:14" hidden="1">
      <c r="C187" s="1">
        <f t="shared" si="4"/>
        <v>3158</v>
      </c>
      <c r="D187" s="1">
        <f t="shared" si="5"/>
        <v>5</v>
      </c>
      <c r="E187" s="1">
        <f t="shared" si="3"/>
        <v>2017</v>
      </c>
      <c r="F187" s="186">
        <v>8</v>
      </c>
      <c r="G187" s="186">
        <v>3</v>
      </c>
      <c r="H187" s="186">
        <v>-1</v>
      </c>
      <c r="I187" s="186"/>
      <c r="J187" s="115" t="s">
        <v>79</v>
      </c>
      <c r="K187" s="186" t="s">
        <v>80</v>
      </c>
      <c r="L187" s="23" t="str">
        <f>IF(ISBLANK(J14),"",J14)</f>
        <v/>
      </c>
      <c r="M187" s="167" t="s">
        <v>559</v>
      </c>
      <c r="N187" s="1077"/>
    </row>
    <row r="188" spans="3:14" hidden="1">
      <c r="C188" s="1">
        <f t="shared" si="4"/>
        <v>3158</v>
      </c>
      <c r="D188" s="1">
        <f t="shared" si="5"/>
        <v>5</v>
      </c>
      <c r="E188" s="1">
        <f t="shared" si="3"/>
        <v>2017</v>
      </c>
      <c r="F188" s="186">
        <v>8</v>
      </c>
      <c r="G188" s="186">
        <v>3</v>
      </c>
      <c r="H188" s="186">
        <v>-1</v>
      </c>
      <c r="I188" s="186"/>
      <c r="J188" s="115" t="s">
        <v>79</v>
      </c>
      <c r="K188" s="115" t="s">
        <v>83</v>
      </c>
      <c r="L188" s="33" t="str">
        <f>IF(ISBLANK(K14),"",K14)</f>
        <v/>
      </c>
      <c r="M188" s="167" t="s">
        <v>570</v>
      </c>
      <c r="N188" s="1077"/>
    </row>
    <row r="189" spans="3:14" hidden="1">
      <c r="C189" s="234">
        <f>F$1</f>
        <v>3158</v>
      </c>
      <c r="D189" s="234">
        <f t="shared" si="5"/>
        <v>5</v>
      </c>
      <c r="E189" s="234">
        <f>D$1</f>
        <v>2017</v>
      </c>
      <c r="F189" s="230">
        <v>8</v>
      </c>
      <c r="G189" s="231">
        <v>4</v>
      </c>
      <c r="H189" s="230">
        <v>-1</v>
      </c>
      <c r="I189" s="230"/>
      <c r="J189" s="232" t="s">
        <v>79</v>
      </c>
      <c r="K189" s="232" t="s">
        <v>1400</v>
      </c>
      <c r="L189" s="23" t="str">
        <f>IF(ISBLANK(L14),"",L14)</f>
        <v/>
      </c>
      <c r="M189" s="233" t="s">
        <v>581</v>
      </c>
      <c r="N189" s="1077"/>
    </row>
    <row r="190" spans="3:14" hidden="1">
      <c r="C190" s="1">
        <f t="shared" si="4"/>
        <v>3158</v>
      </c>
      <c r="D190" s="1">
        <f t="shared" si="5"/>
        <v>5</v>
      </c>
      <c r="E190" s="1">
        <f t="shared" ref="E190:E253" si="6">D$1</f>
        <v>2017</v>
      </c>
      <c r="F190" s="186">
        <v>8</v>
      </c>
      <c r="G190" s="186">
        <v>4</v>
      </c>
      <c r="H190" s="186">
        <v>-1</v>
      </c>
      <c r="I190" s="186"/>
      <c r="J190" s="115" t="s">
        <v>79</v>
      </c>
      <c r="K190" s="186" t="s">
        <v>80</v>
      </c>
      <c r="L190" s="23" t="str">
        <f>IF(ISBLANK(M14),"",M14)</f>
        <v/>
      </c>
      <c r="M190" s="206" t="s">
        <v>592</v>
      </c>
      <c r="N190" s="1077"/>
    </row>
    <row r="191" spans="3:14" hidden="1">
      <c r="C191" s="1">
        <f t="shared" si="4"/>
        <v>3158</v>
      </c>
      <c r="D191" s="1">
        <f t="shared" si="5"/>
        <v>5</v>
      </c>
      <c r="E191" s="1">
        <f t="shared" si="6"/>
        <v>2017</v>
      </c>
      <c r="F191" s="186">
        <v>8</v>
      </c>
      <c r="G191" s="186">
        <v>4</v>
      </c>
      <c r="H191" s="186">
        <v>-1</v>
      </c>
      <c r="I191" s="186"/>
      <c r="J191" s="115" t="s">
        <v>79</v>
      </c>
      <c r="K191" s="115" t="s">
        <v>83</v>
      </c>
      <c r="L191" s="33" t="str">
        <f>IF(ISBLANK(N14),"",N14)</f>
        <v/>
      </c>
      <c r="M191" s="206" t="s">
        <v>603</v>
      </c>
      <c r="N191" s="1077"/>
    </row>
    <row r="192" spans="3:14" hidden="1">
      <c r="C192" s="234">
        <f>F$1</f>
        <v>3158</v>
      </c>
      <c r="D192" s="234">
        <f t="shared" si="5"/>
        <v>5</v>
      </c>
      <c r="E192" s="234">
        <f>D$1</f>
        <v>2017</v>
      </c>
      <c r="F192" s="230">
        <v>8</v>
      </c>
      <c r="G192" s="231">
        <v>5</v>
      </c>
      <c r="H192" s="230">
        <v>-1</v>
      </c>
      <c r="I192" s="230"/>
      <c r="J192" s="232" t="s">
        <v>79</v>
      </c>
      <c r="K192" s="232" t="s">
        <v>1400</v>
      </c>
      <c r="L192" s="23" t="str">
        <f>IF(ISBLANK(O14),"",O14)</f>
        <v/>
      </c>
      <c r="M192" s="236" t="s">
        <v>614</v>
      </c>
      <c r="N192" s="1077"/>
    </row>
    <row r="193" spans="3:14" hidden="1">
      <c r="C193" s="1">
        <f t="shared" si="4"/>
        <v>3158</v>
      </c>
      <c r="D193" s="1">
        <f t="shared" si="5"/>
        <v>5</v>
      </c>
      <c r="E193" s="1">
        <f t="shared" si="6"/>
        <v>2017</v>
      </c>
      <c r="F193" s="186">
        <v>8</v>
      </c>
      <c r="G193" s="186">
        <v>5</v>
      </c>
      <c r="H193" s="186">
        <v>-1</v>
      </c>
      <c r="I193" s="186"/>
      <c r="J193" s="115" t="s">
        <v>79</v>
      </c>
      <c r="K193" s="186" t="s">
        <v>80</v>
      </c>
      <c r="L193" s="23" t="str">
        <f>IF(ISBLANK(P14),"",P14)</f>
        <v/>
      </c>
      <c r="M193" s="206" t="s">
        <v>625</v>
      </c>
      <c r="N193" s="1077"/>
    </row>
    <row r="194" spans="3:14" hidden="1">
      <c r="C194" s="1">
        <f t="shared" si="4"/>
        <v>3158</v>
      </c>
      <c r="D194" s="1">
        <f t="shared" si="5"/>
        <v>5</v>
      </c>
      <c r="E194" s="1">
        <f t="shared" si="6"/>
        <v>2017</v>
      </c>
      <c r="F194" s="186">
        <v>8</v>
      </c>
      <c r="G194" s="186">
        <v>5</v>
      </c>
      <c r="H194" s="186">
        <v>-1</v>
      </c>
      <c r="I194" s="186"/>
      <c r="J194" s="115" t="s">
        <v>79</v>
      </c>
      <c r="K194" s="115" t="s">
        <v>83</v>
      </c>
      <c r="L194" s="33" t="str">
        <f>IF(ISBLANK(Q14),"",Q14)</f>
        <v/>
      </c>
      <c r="M194" s="206" t="s">
        <v>636</v>
      </c>
      <c r="N194" s="1077"/>
    </row>
    <row r="195" spans="3:14" hidden="1">
      <c r="C195" s="234">
        <f>F$1</f>
        <v>3158</v>
      </c>
      <c r="D195" s="234">
        <f t="shared" si="5"/>
        <v>5</v>
      </c>
      <c r="E195" s="234">
        <f t="shared" si="6"/>
        <v>2017</v>
      </c>
      <c r="F195" s="230">
        <v>8</v>
      </c>
      <c r="G195" s="230">
        <v>10</v>
      </c>
      <c r="H195" s="230">
        <v>-1</v>
      </c>
      <c r="I195" s="230"/>
      <c r="J195" s="204" t="s">
        <v>79</v>
      </c>
      <c r="K195" s="230" t="s">
        <v>80</v>
      </c>
      <c r="L195" s="33" t="str">
        <f>IF(ISBLANK(R14),"",R14)</f>
        <v/>
      </c>
      <c r="M195" s="206" t="s">
        <v>647</v>
      </c>
      <c r="N195" s="187"/>
    </row>
    <row r="196" spans="3:14" hidden="1">
      <c r="C196" s="234">
        <f>F$1</f>
        <v>3158</v>
      </c>
      <c r="D196" s="234">
        <f t="shared" si="5"/>
        <v>5</v>
      </c>
      <c r="E196" s="234">
        <f t="shared" si="6"/>
        <v>2017</v>
      </c>
      <c r="F196" s="230">
        <v>8</v>
      </c>
      <c r="G196" s="230">
        <v>10</v>
      </c>
      <c r="H196" s="230">
        <v>-1</v>
      </c>
      <c r="I196" s="230"/>
      <c r="J196" s="204" t="s">
        <v>79</v>
      </c>
      <c r="K196" s="204" t="s">
        <v>83</v>
      </c>
      <c r="L196" s="33" t="str">
        <f>IF(ISBLANK(S14),"",S14)</f>
        <v/>
      </c>
      <c r="M196" s="206" t="s">
        <v>658</v>
      </c>
      <c r="N196" s="187"/>
    </row>
    <row r="197" spans="3:14" hidden="1">
      <c r="C197" s="1">
        <f t="shared" si="4"/>
        <v>3158</v>
      </c>
      <c r="D197" s="1">
        <f t="shared" si="5"/>
        <v>5</v>
      </c>
      <c r="E197" s="1">
        <f t="shared" si="6"/>
        <v>2017</v>
      </c>
      <c r="G197" s="186">
        <v>1</v>
      </c>
      <c r="H197" s="186">
        <v>-1</v>
      </c>
      <c r="I197" s="186"/>
      <c r="J197" s="115" t="s">
        <v>1395</v>
      </c>
      <c r="K197" s="115" t="s">
        <v>1483</v>
      </c>
      <c r="L197" s="33">
        <f>IF(ISBLANK(D16),"",D16)</f>
        <v>8.25</v>
      </c>
      <c r="M197" s="167" t="s">
        <v>258</v>
      </c>
      <c r="N197" s="1077" t="s">
        <v>1484</v>
      </c>
    </row>
    <row r="198" spans="3:14" hidden="1">
      <c r="C198" s="1">
        <f t="shared" si="4"/>
        <v>3158</v>
      </c>
      <c r="D198" s="1">
        <f t="shared" si="5"/>
        <v>5</v>
      </c>
      <c r="E198" s="1">
        <f t="shared" si="6"/>
        <v>2017</v>
      </c>
      <c r="G198" s="186">
        <v>1</v>
      </c>
      <c r="H198" s="186">
        <v>-1</v>
      </c>
      <c r="I198" s="186"/>
      <c r="J198" s="115" t="s">
        <v>1395</v>
      </c>
      <c r="K198" s="115" t="s">
        <v>1485</v>
      </c>
      <c r="L198" s="33">
        <f>IF(ISBLANK(D17),"",D17)</f>
        <v>45.5</v>
      </c>
      <c r="M198" s="167" t="s">
        <v>259</v>
      </c>
      <c r="N198" s="1077"/>
    </row>
    <row r="199" spans="3:14" hidden="1">
      <c r="C199" s="1">
        <f t="shared" si="4"/>
        <v>3158</v>
      </c>
      <c r="D199" s="1">
        <f t="shared" si="5"/>
        <v>5</v>
      </c>
      <c r="E199" s="1">
        <f t="shared" si="6"/>
        <v>2017</v>
      </c>
      <c r="G199" s="186">
        <v>1</v>
      </c>
      <c r="H199" s="186">
        <v>-1</v>
      </c>
      <c r="I199" s="186"/>
      <c r="J199" s="115" t="s">
        <v>1395</v>
      </c>
      <c r="K199" s="115" t="s">
        <v>1486</v>
      </c>
      <c r="L199" s="33" t="str">
        <f>IF(ISBLANK(D18),"",D18)</f>
        <v/>
      </c>
      <c r="M199" s="167" t="s">
        <v>260</v>
      </c>
      <c r="N199" s="1077"/>
    </row>
    <row r="200" spans="3:14" hidden="1">
      <c r="C200" s="1">
        <f t="shared" si="4"/>
        <v>3158</v>
      </c>
      <c r="D200" s="1">
        <f t="shared" si="5"/>
        <v>5</v>
      </c>
      <c r="E200" s="1">
        <f t="shared" si="6"/>
        <v>2017</v>
      </c>
      <c r="G200" s="186">
        <v>1</v>
      </c>
      <c r="H200" s="186">
        <v>-1</v>
      </c>
      <c r="I200" s="186"/>
      <c r="J200" s="115" t="s">
        <v>1395</v>
      </c>
      <c r="K200" s="115" t="s">
        <v>1487</v>
      </c>
      <c r="L200" s="33" t="str">
        <f>IF(ISBLANK(D20),"",D20)</f>
        <v/>
      </c>
      <c r="M200" s="167" t="s">
        <v>261</v>
      </c>
      <c r="N200" s="1077"/>
    </row>
    <row r="201" spans="3:14" hidden="1">
      <c r="C201" s="1">
        <f t="shared" si="4"/>
        <v>3158</v>
      </c>
      <c r="D201" s="1">
        <f t="shared" si="5"/>
        <v>5</v>
      </c>
      <c r="E201" s="1">
        <f t="shared" si="6"/>
        <v>2017</v>
      </c>
      <c r="G201" s="186">
        <v>1</v>
      </c>
      <c r="H201" s="186">
        <v>-1</v>
      </c>
      <c r="I201" s="186"/>
      <c r="J201" s="115" t="s">
        <v>1395</v>
      </c>
      <c r="K201" s="115" t="s">
        <v>1488</v>
      </c>
      <c r="L201" s="33" t="str">
        <f>IF(ISBLANK(E16),"",E16)</f>
        <v/>
      </c>
      <c r="M201" s="167" t="s">
        <v>262</v>
      </c>
      <c r="N201" s="1077"/>
    </row>
    <row r="202" spans="3:14" hidden="1">
      <c r="C202" s="1">
        <f t="shared" si="4"/>
        <v>3158</v>
      </c>
      <c r="D202" s="1">
        <f t="shared" si="5"/>
        <v>5</v>
      </c>
      <c r="E202" s="1">
        <f t="shared" si="6"/>
        <v>2017</v>
      </c>
      <c r="G202" s="186">
        <v>1</v>
      </c>
      <c r="H202" s="186">
        <v>-1</v>
      </c>
      <c r="I202" s="186"/>
      <c r="J202" s="115" t="s">
        <v>1395</v>
      </c>
      <c r="K202" s="115" t="s">
        <v>1489</v>
      </c>
      <c r="L202" s="33" t="str">
        <f>IF(ISBLANK(E17),"",E17)</f>
        <v/>
      </c>
      <c r="M202" s="167" t="s">
        <v>263</v>
      </c>
      <c r="N202" s="1077"/>
    </row>
    <row r="203" spans="3:14" hidden="1">
      <c r="C203" s="1">
        <f t="shared" si="4"/>
        <v>3158</v>
      </c>
      <c r="D203" s="1">
        <f t="shared" si="5"/>
        <v>5</v>
      </c>
      <c r="E203" s="1">
        <f t="shared" si="6"/>
        <v>2017</v>
      </c>
      <c r="G203" s="186">
        <v>1</v>
      </c>
      <c r="H203" s="186">
        <v>-1</v>
      </c>
      <c r="I203" s="186"/>
      <c r="J203" s="115" t="s">
        <v>1395</v>
      </c>
      <c r="K203" s="115" t="s">
        <v>1490</v>
      </c>
      <c r="L203" s="33" t="str">
        <f>IF(ISBLANK(E18),"",E18)</f>
        <v/>
      </c>
      <c r="M203" s="167" t="s">
        <v>264</v>
      </c>
      <c r="N203" s="1077"/>
    </row>
    <row r="204" spans="3:14" ht="12" hidden="1" customHeight="1">
      <c r="C204" s="1">
        <f t="shared" si="4"/>
        <v>3158</v>
      </c>
      <c r="D204" s="1">
        <f t="shared" si="5"/>
        <v>5</v>
      </c>
      <c r="E204" s="1">
        <f t="shared" si="6"/>
        <v>2017</v>
      </c>
      <c r="G204" s="186">
        <v>1</v>
      </c>
      <c r="H204" s="186">
        <v>-1</v>
      </c>
      <c r="I204" s="186"/>
      <c r="J204" s="115" t="s">
        <v>1395</v>
      </c>
      <c r="K204" s="115" t="s">
        <v>1491</v>
      </c>
      <c r="L204" s="33" t="str">
        <f>IF(ISBLANK(E20),"",E20)</f>
        <v/>
      </c>
      <c r="M204" s="167" t="s">
        <v>265</v>
      </c>
      <c r="N204" s="1077"/>
    </row>
    <row r="205" spans="3:14" hidden="1">
      <c r="C205" s="1">
        <f t="shared" si="4"/>
        <v>3158</v>
      </c>
      <c r="D205" s="1">
        <f t="shared" si="5"/>
        <v>5</v>
      </c>
      <c r="E205" s="1">
        <f t="shared" si="6"/>
        <v>2017</v>
      </c>
      <c r="G205" s="186">
        <v>1</v>
      </c>
      <c r="H205" s="186">
        <v>-1</v>
      </c>
      <c r="I205" s="186"/>
      <c r="J205" s="115" t="s">
        <v>1395</v>
      </c>
      <c r="K205" s="115" t="s">
        <v>1492</v>
      </c>
      <c r="L205" s="33">
        <f>IF(ISBLANK(F16),"",F16)</f>
        <v>5</v>
      </c>
      <c r="M205" s="167" t="s">
        <v>266</v>
      </c>
      <c r="N205" s="1077"/>
    </row>
    <row r="206" spans="3:14" ht="12.75" hidden="1" customHeight="1">
      <c r="C206" s="1">
        <f t="shared" si="4"/>
        <v>3158</v>
      </c>
      <c r="D206" s="1">
        <f t="shared" si="5"/>
        <v>5</v>
      </c>
      <c r="E206" s="1">
        <f t="shared" si="6"/>
        <v>2017</v>
      </c>
      <c r="G206" s="186">
        <v>1</v>
      </c>
      <c r="H206" s="186">
        <v>-1</v>
      </c>
      <c r="I206" s="186"/>
      <c r="J206" s="115" t="s">
        <v>1395</v>
      </c>
      <c r="K206" s="115" t="s">
        <v>1493</v>
      </c>
      <c r="L206" s="33">
        <f>IF(ISBLANK(F17),"",F17)</f>
        <v>11</v>
      </c>
      <c r="M206" s="167" t="s">
        <v>267</v>
      </c>
      <c r="N206" s="1077"/>
    </row>
    <row r="207" spans="3:14" hidden="1">
      <c r="C207" s="1">
        <f t="shared" si="4"/>
        <v>3158</v>
      </c>
      <c r="D207" s="1">
        <f t="shared" si="5"/>
        <v>5</v>
      </c>
      <c r="E207" s="1">
        <f t="shared" si="6"/>
        <v>2017</v>
      </c>
      <c r="G207" s="186">
        <v>1</v>
      </c>
      <c r="H207" s="186">
        <v>-1</v>
      </c>
      <c r="I207" s="186"/>
      <c r="J207" s="115" t="s">
        <v>1395</v>
      </c>
      <c r="K207" s="115" t="s">
        <v>1494</v>
      </c>
      <c r="L207" s="33" t="str">
        <f>IF(ISBLANK(F18),"",F18)</f>
        <v/>
      </c>
      <c r="M207" s="167" t="s">
        <v>268</v>
      </c>
      <c r="N207" s="1077"/>
    </row>
    <row r="208" spans="3:14" hidden="1">
      <c r="C208" s="1">
        <f t="shared" si="4"/>
        <v>3158</v>
      </c>
      <c r="D208" s="1">
        <f t="shared" si="5"/>
        <v>5</v>
      </c>
      <c r="E208" s="1">
        <f t="shared" si="6"/>
        <v>2017</v>
      </c>
      <c r="G208" s="186">
        <v>1</v>
      </c>
      <c r="H208" s="186">
        <v>-1</v>
      </c>
      <c r="I208" s="186"/>
      <c r="J208" s="115" t="s">
        <v>1395</v>
      </c>
      <c r="K208" s="115" t="s">
        <v>1495</v>
      </c>
      <c r="L208" s="33" t="str">
        <f>IF(ISBLANK(F20),"",F20)</f>
        <v/>
      </c>
      <c r="M208" s="167" t="s">
        <v>269</v>
      </c>
      <c r="N208" s="1077"/>
    </row>
    <row r="209" spans="3:14" hidden="1">
      <c r="C209" s="1">
        <f t="shared" si="4"/>
        <v>3158</v>
      </c>
      <c r="D209" s="1">
        <f t="shared" si="5"/>
        <v>5</v>
      </c>
      <c r="E209" s="1">
        <f t="shared" si="6"/>
        <v>2017</v>
      </c>
      <c r="G209" s="186">
        <v>2</v>
      </c>
      <c r="H209" s="186">
        <v>-1</v>
      </c>
      <c r="I209" s="186"/>
      <c r="J209" s="115" t="s">
        <v>1395</v>
      </c>
      <c r="K209" s="115" t="s">
        <v>1483</v>
      </c>
      <c r="L209" s="33">
        <f>IF(ISBLANK(G16),"",G16)</f>
        <v>72.5</v>
      </c>
      <c r="M209" s="167" t="s">
        <v>270</v>
      </c>
      <c r="N209" s="1077"/>
    </row>
    <row r="210" spans="3:14" hidden="1">
      <c r="C210" s="1">
        <f t="shared" si="4"/>
        <v>3158</v>
      </c>
      <c r="D210" s="1">
        <f t="shared" si="5"/>
        <v>5</v>
      </c>
      <c r="E210" s="1">
        <f t="shared" si="6"/>
        <v>2017</v>
      </c>
      <c r="G210" s="186">
        <v>2</v>
      </c>
      <c r="H210" s="186">
        <v>-1</v>
      </c>
      <c r="I210" s="186"/>
      <c r="J210" s="115" t="s">
        <v>1395</v>
      </c>
      <c r="K210" s="115" t="s">
        <v>1485</v>
      </c>
      <c r="L210" s="33">
        <f>IF(ISBLANK(G17),"",G17)</f>
        <v>139.5</v>
      </c>
      <c r="M210" s="167" t="s">
        <v>271</v>
      </c>
      <c r="N210" s="1077"/>
    </row>
    <row r="211" spans="3:14" hidden="1">
      <c r="C211" s="1">
        <f t="shared" si="4"/>
        <v>3158</v>
      </c>
      <c r="D211" s="1">
        <f t="shared" si="5"/>
        <v>5</v>
      </c>
      <c r="E211" s="1">
        <f t="shared" si="6"/>
        <v>2017</v>
      </c>
      <c r="G211" s="186">
        <v>2</v>
      </c>
      <c r="H211" s="186">
        <v>-1</v>
      </c>
      <c r="I211" s="186"/>
      <c r="J211" s="115" t="s">
        <v>1395</v>
      </c>
      <c r="K211" s="115" t="s">
        <v>1486</v>
      </c>
      <c r="L211" s="33" t="str">
        <f>IF(ISBLANK(G18),"",G18)</f>
        <v/>
      </c>
      <c r="M211" s="167" t="s">
        <v>272</v>
      </c>
      <c r="N211" s="1077"/>
    </row>
    <row r="212" spans="3:14" hidden="1">
      <c r="C212" s="1">
        <f t="shared" si="4"/>
        <v>3158</v>
      </c>
      <c r="D212" s="1">
        <f t="shared" si="5"/>
        <v>5</v>
      </c>
      <c r="E212" s="1">
        <f t="shared" si="6"/>
        <v>2017</v>
      </c>
      <c r="G212" s="186">
        <v>2</v>
      </c>
      <c r="H212" s="186">
        <v>-1</v>
      </c>
      <c r="I212" s="186"/>
      <c r="J212" s="115" t="s">
        <v>1395</v>
      </c>
      <c r="K212" s="115" t="s">
        <v>1487</v>
      </c>
      <c r="L212" s="33" t="str">
        <f>IF(ISBLANK(G20),"",G20)</f>
        <v/>
      </c>
      <c r="M212" s="167" t="s">
        <v>273</v>
      </c>
      <c r="N212" s="1077"/>
    </row>
    <row r="213" spans="3:14" hidden="1">
      <c r="C213" s="1">
        <f t="shared" si="4"/>
        <v>3158</v>
      </c>
      <c r="D213" s="1">
        <f t="shared" si="5"/>
        <v>5</v>
      </c>
      <c r="E213" s="1">
        <f t="shared" si="6"/>
        <v>2017</v>
      </c>
      <c r="G213" s="186">
        <v>2</v>
      </c>
      <c r="H213" s="186">
        <v>-1</v>
      </c>
      <c r="I213" s="186"/>
      <c r="J213" s="115" t="s">
        <v>1395</v>
      </c>
      <c r="K213" s="115" t="s">
        <v>1488</v>
      </c>
      <c r="L213" s="33" t="str">
        <f>IF(ISBLANK(H16),"",H16)</f>
        <v/>
      </c>
      <c r="M213" s="167" t="s">
        <v>274</v>
      </c>
      <c r="N213" s="1077"/>
    </row>
    <row r="214" spans="3:14" hidden="1">
      <c r="C214" s="1">
        <f t="shared" si="4"/>
        <v>3158</v>
      </c>
      <c r="D214" s="1">
        <f t="shared" si="5"/>
        <v>5</v>
      </c>
      <c r="E214" s="1">
        <f t="shared" si="6"/>
        <v>2017</v>
      </c>
      <c r="G214" s="186">
        <v>2</v>
      </c>
      <c r="H214" s="186">
        <v>-1</v>
      </c>
      <c r="I214" s="186"/>
      <c r="J214" s="115" t="s">
        <v>1395</v>
      </c>
      <c r="K214" s="115" t="s">
        <v>1489</v>
      </c>
      <c r="L214" s="33" t="str">
        <f>IF(ISBLANK(H17),"",H17)</f>
        <v/>
      </c>
      <c r="M214" s="167" t="s">
        <v>275</v>
      </c>
      <c r="N214" s="1077"/>
    </row>
    <row r="215" spans="3:14" hidden="1">
      <c r="C215" s="1">
        <f t="shared" si="4"/>
        <v>3158</v>
      </c>
      <c r="D215" s="1">
        <f t="shared" si="5"/>
        <v>5</v>
      </c>
      <c r="E215" s="1">
        <f t="shared" si="6"/>
        <v>2017</v>
      </c>
      <c r="G215" s="186">
        <v>2</v>
      </c>
      <c r="H215" s="186">
        <v>-1</v>
      </c>
      <c r="I215" s="186"/>
      <c r="J215" s="115" t="s">
        <v>1395</v>
      </c>
      <c r="K215" s="115" t="s">
        <v>1490</v>
      </c>
      <c r="L215" s="33" t="str">
        <f>IF(ISBLANK(H18),"",H18)</f>
        <v/>
      </c>
      <c r="M215" s="167" t="s">
        <v>276</v>
      </c>
      <c r="N215" s="1077"/>
    </row>
    <row r="216" spans="3:14" hidden="1">
      <c r="C216" s="1">
        <f t="shared" si="4"/>
        <v>3158</v>
      </c>
      <c r="D216" s="1">
        <f t="shared" si="5"/>
        <v>5</v>
      </c>
      <c r="E216" s="1">
        <f t="shared" si="6"/>
        <v>2017</v>
      </c>
      <c r="G216" s="186">
        <v>2</v>
      </c>
      <c r="H216" s="186">
        <v>-1</v>
      </c>
      <c r="I216" s="186"/>
      <c r="J216" s="115" t="s">
        <v>1395</v>
      </c>
      <c r="K216" s="115" t="s">
        <v>1491</v>
      </c>
      <c r="L216" s="33" t="str">
        <f>IF(ISBLANK(H20),"",H20)</f>
        <v/>
      </c>
      <c r="M216" s="167" t="s">
        <v>277</v>
      </c>
      <c r="N216" s="1077"/>
    </row>
    <row r="217" spans="3:14" hidden="1">
      <c r="C217" s="1">
        <f t="shared" si="4"/>
        <v>3158</v>
      </c>
      <c r="D217" s="1">
        <f t="shared" si="5"/>
        <v>5</v>
      </c>
      <c r="E217" s="1">
        <f t="shared" si="6"/>
        <v>2017</v>
      </c>
      <c r="G217" s="186">
        <v>2</v>
      </c>
      <c r="H217" s="186">
        <v>-1</v>
      </c>
      <c r="I217" s="186"/>
      <c r="J217" s="115" t="s">
        <v>1395</v>
      </c>
      <c r="K217" s="115" t="s">
        <v>1492</v>
      </c>
      <c r="L217" s="33">
        <f>IF(ISBLANK(I16),"",I16)</f>
        <v>24</v>
      </c>
      <c r="M217" s="167" t="s">
        <v>278</v>
      </c>
      <c r="N217" s="1077"/>
    </row>
    <row r="218" spans="3:14" hidden="1">
      <c r="C218" s="1">
        <f t="shared" si="4"/>
        <v>3158</v>
      </c>
      <c r="D218" s="1">
        <f t="shared" si="5"/>
        <v>5</v>
      </c>
      <c r="E218" s="1">
        <f t="shared" si="6"/>
        <v>2017</v>
      </c>
      <c r="G218" s="186">
        <v>2</v>
      </c>
      <c r="H218" s="186">
        <v>-1</v>
      </c>
      <c r="I218" s="186"/>
      <c r="J218" s="115" t="s">
        <v>1395</v>
      </c>
      <c r="K218" s="115" t="s">
        <v>1493</v>
      </c>
      <c r="L218" s="33">
        <f>IF(ISBLANK(I17),"",I17)</f>
        <v>36</v>
      </c>
      <c r="M218" s="167" t="s">
        <v>279</v>
      </c>
      <c r="N218" s="1077"/>
    </row>
    <row r="219" spans="3:14" hidden="1">
      <c r="C219" s="1">
        <f t="shared" si="4"/>
        <v>3158</v>
      </c>
      <c r="D219" s="1">
        <f t="shared" si="5"/>
        <v>5</v>
      </c>
      <c r="E219" s="1">
        <f t="shared" si="6"/>
        <v>2017</v>
      </c>
      <c r="G219" s="186">
        <v>2</v>
      </c>
      <c r="H219" s="186">
        <v>-1</v>
      </c>
      <c r="I219" s="186"/>
      <c r="J219" s="115" t="s">
        <v>1395</v>
      </c>
      <c r="K219" s="115" t="s">
        <v>1494</v>
      </c>
      <c r="L219" s="33" t="str">
        <f>IF(ISBLANK(I18),"",I18)</f>
        <v/>
      </c>
      <c r="M219" s="167" t="s">
        <v>280</v>
      </c>
      <c r="N219" s="1077"/>
    </row>
    <row r="220" spans="3:14" hidden="1">
      <c r="C220" s="1">
        <f t="shared" si="4"/>
        <v>3158</v>
      </c>
      <c r="D220" s="1">
        <f t="shared" si="5"/>
        <v>5</v>
      </c>
      <c r="E220" s="1">
        <f t="shared" si="6"/>
        <v>2017</v>
      </c>
      <c r="G220" s="186">
        <v>2</v>
      </c>
      <c r="H220" s="186">
        <v>-1</v>
      </c>
      <c r="I220" s="186"/>
      <c r="J220" s="115" t="s">
        <v>1395</v>
      </c>
      <c r="K220" s="115" t="s">
        <v>1495</v>
      </c>
      <c r="L220" s="33" t="str">
        <f>IF(ISBLANK(I20),"",I20)</f>
        <v/>
      </c>
      <c r="M220" s="167" t="s">
        <v>281</v>
      </c>
      <c r="N220" s="1077"/>
    </row>
    <row r="221" spans="3:14" hidden="1">
      <c r="C221" s="1">
        <f t="shared" si="4"/>
        <v>3158</v>
      </c>
      <c r="D221" s="1">
        <f t="shared" si="5"/>
        <v>5</v>
      </c>
      <c r="E221" s="1">
        <f t="shared" si="6"/>
        <v>2017</v>
      </c>
      <c r="G221" s="186">
        <v>3</v>
      </c>
      <c r="H221" s="186">
        <v>-1</v>
      </c>
      <c r="I221" s="186"/>
      <c r="J221" s="115" t="s">
        <v>1395</v>
      </c>
      <c r="K221" s="115" t="s">
        <v>1483</v>
      </c>
      <c r="L221" s="33" t="str">
        <f>IF(ISBLANK(J16),"",J16)</f>
        <v/>
      </c>
      <c r="M221" s="167" t="s">
        <v>1364</v>
      </c>
      <c r="N221" s="1077"/>
    </row>
    <row r="222" spans="3:14" hidden="1">
      <c r="C222" s="1">
        <f t="shared" si="4"/>
        <v>3158</v>
      </c>
      <c r="D222" s="1">
        <f t="shared" si="5"/>
        <v>5</v>
      </c>
      <c r="E222" s="1">
        <f t="shared" si="6"/>
        <v>2017</v>
      </c>
      <c r="G222" s="186">
        <v>3</v>
      </c>
      <c r="H222" s="186">
        <v>-1</v>
      </c>
      <c r="I222" s="186"/>
      <c r="J222" s="115" t="s">
        <v>1395</v>
      </c>
      <c r="K222" s="115" t="s">
        <v>1485</v>
      </c>
      <c r="L222" s="33" t="str">
        <f>IF(ISBLANK(J17),"",J17)</f>
        <v/>
      </c>
      <c r="M222" s="167" t="s">
        <v>1365</v>
      </c>
      <c r="N222" s="1077"/>
    </row>
    <row r="223" spans="3:14" hidden="1">
      <c r="C223" s="1">
        <f t="shared" ref="C223:C299" si="7">F$1</f>
        <v>3158</v>
      </c>
      <c r="D223" s="1">
        <f t="shared" si="5"/>
        <v>5</v>
      </c>
      <c r="E223" s="1">
        <f t="shared" si="6"/>
        <v>2017</v>
      </c>
      <c r="G223" s="186">
        <v>3</v>
      </c>
      <c r="H223" s="186">
        <v>-1</v>
      </c>
      <c r="I223" s="186"/>
      <c r="J223" s="115" t="s">
        <v>1395</v>
      </c>
      <c r="K223" s="115" t="s">
        <v>1486</v>
      </c>
      <c r="L223" s="33" t="str">
        <f>IF(ISBLANK(J18),"",J18)</f>
        <v/>
      </c>
      <c r="M223" s="167" t="s">
        <v>282</v>
      </c>
      <c r="N223" s="1077"/>
    </row>
    <row r="224" spans="3:14" hidden="1">
      <c r="C224" s="1">
        <f t="shared" si="7"/>
        <v>3158</v>
      </c>
      <c r="D224" s="1">
        <f t="shared" si="5"/>
        <v>5</v>
      </c>
      <c r="E224" s="1">
        <f t="shared" si="6"/>
        <v>2017</v>
      </c>
      <c r="G224" s="186">
        <v>3</v>
      </c>
      <c r="H224" s="186">
        <v>-1</v>
      </c>
      <c r="I224" s="186"/>
      <c r="J224" s="115" t="s">
        <v>1395</v>
      </c>
      <c r="K224" s="115" t="s">
        <v>1487</v>
      </c>
      <c r="L224" s="33" t="str">
        <f>IF(ISBLANK(J20),"",J20)</f>
        <v/>
      </c>
      <c r="M224" s="167" t="s">
        <v>1367</v>
      </c>
      <c r="N224" s="1077"/>
    </row>
    <row r="225" spans="3:14" hidden="1">
      <c r="C225" s="1">
        <f t="shared" si="7"/>
        <v>3158</v>
      </c>
      <c r="D225" s="1">
        <f t="shared" si="5"/>
        <v>5</v>
      </c>
      <c r="E225" s="1">
        <f t="shared" si="6"/>
        <v>2017</v>
      </c>
      <c r="G225" s="186">
        <v>3</v>
      </c>
      <c r="H225" s="186">
        <v>-1</v>
      </c>
      <c r="I225" s="186"/>
      <c r="J225" s="115" t="s">
        <v>1395</v>
      </c>
      <c r="K225" s="115" t="s">
        <v>1492</v>
      </c>
      <c r="L225" s="33" t="str">
        <f>IF(ISBLANK(K16),"",K16)</f>
        <v/>
      </c>
      <c r="M225" s="167" t="s">
        <v>1373</v>
      </c>
      <c r="N225" s="1077"/>
    </row>
    <row r="226" spans="3:14" hidden="1">
      <c r="C226" s="1">
        <f t="shared" si="7"/>
        <v>3158</v>
      </c>
      <c r="D226" s="1">
        <f t="shared" si="5"/>
        <v>5</v>
      </c>
      <c r="E226" s="1">
        <f t="shared" si="6"/>
        <v>2017</v>
      </c>
      <c r="G226" s="186">
        <v>3</v>
      </c>
      <c r="H226" s="186">
        <v>-1</v>
      </c>
      <c r="I226" s="186"/>
      <c r="J226" s="115" t="s">
        <v>1395</v>
      </c>
      <c r="K226" s="115" t="s">
        <v>1493</v>
      </c>
      <c r="L226" s="33" t="str">
        <f>IF(ISBLANK(K17),"",K17)</f>
        <v/>
      </c>
      <c r="M226" s="167" t="s">
        <v>1374</v>
      </c>
      <c r="N226" s="1077"/>
    </row>
    <row r="227" spans="3:14" hidden="1">
      <c r="C227" s="1">
        <f t="shared" si="7"/>
        <v>3158</v>
      </c>
      <c r="D227" s="1">
        <f t="shared" si="5"/>
        <v>5</v>
      </c>
      <c r="E227" s="1">
        <f t="shared" si="6"/>
        <v>2017</v>
      </c>
      <c r="G227" s="186">
        <v>3</v>
      </c>
      <c r="H227" s="186">
        <v>-1</v>
      </c>
      <c r="I227" s="186"/>
      <c r="J227" s="115" t="s">
        <v>1395</v>
      </c>
      <c r="K227" s="115" t="s">
        <v>1494</v>
      </c>
      <c r="L227" s="33" t="str">
        <f>IF(ISBLANK(K18),"",K18)</f>
        <v/>
      </c>
      <c r="M227" s="167" t="s">
        <v>1571</v>
      </c>
      <c r="N227" s="1077"/>
    </row>
    <row r="228" spans="3:14" hidden="1">
      <c r="C228" s="1">
        <f t="shared" si="7"/>
        <v>3158</v>
      </c>
      <c r="D228" s="1">
        <f t="shared" ref="D228:D299" si="8">D$58</f>
        <v>5</v>
      </c>
      <c r="E228" s="1">
        <f t="shared" si="6"/>
        <v>2017</v>
      </c>
      <c r="G228" s="186">
        <v>3</v>
      </c>
      <c r="H228" s="186">
        <v>-1</v>
      </c>
      <c r="I228" s="186"/>
      <c r="J228" s="115" t="s">
        <v>1395</v>
      </c>
      <c r="K228" s="115" t="s">
        <v>1495</v>
      </c>
      <c r="L228" s="33" t="str">
        <f>IF(ISBLANK(K20),"",K20)</f>
        <v/>
      </c>
      <c r="M228" s="167" t="s">
        <v>1376</v>
      </c>
      <c r="N228" s="1077"/>
    </row>
    <row r="229" spans="3:14" hidden="1">
      <c r="C229" s="1">
        <f t="shared" si="7"/>
        <v>3158</v>
      </c>
      <c r="D229" s="1">
        <f t="shared" si="8"/>
        <v>5</v>
      </c>
      <c r="E229" s="1">
        <f t="shared" si="6"/>
        <v>2017</v>
      </c>
      <c r="G229" s="186">
        <v>4</v>
      </c>
      <c r="H229" s="186">
        <v>-1</v>
      </c>
      <c r="I229" s="186"/>
      <c r="J229" s="115" t="s">
        <v>1395</v>
      </c>
      <c r="K229" s="115" t="s">
        <v>1483</v>
      </c>
      <c r="L229" s="33" t="str">
        <f>IF(ISBLANK(M16),"",M16)</f>
        <v/>
      </c>
      <c r="M229" s="206" t="s">
        <v>52</v>
      </c>
      <c r="N229" s="1077"/>
    </row>
    <row r="230" spans="3:14" hidden="1">
      <c r="C230" s="1">
        <f t="shared" si="7"/>
        <v>3158</v>
      </c>
      <c r="D230" s="1">
        <f t="shared" si="8"/>
        <v>5</v>
      </c>
      <c r="E230" s="1">
        <f t="shared" si="6"/>
        <v>2017</v>
      </c>
      <c r="G230" s="186">
        <v>4</v>
      </c>
      <c r="H230" s="186">
        <v>-1</v>
      </c>
      <c r="I230" s="186"/>
      <c r="J230" s="115" t="s">
        <v>1395</v>
      </c>
      <c r="K230" s="115" t="s">
        <v>1485</v>
      </c>
      <c r="L230" s="33" t="str">
        <f>IF(ISBLANK(M17),"",M17)</f>
        <v/>
      </c>
      <c r="M230" s="206" t="s">
        <v>53</v>
      </c>
      <c r="N230" s="1077"/>
    </row>
    <row r="231" spans="3:14" hidden="1">
      <c r="C231" s="1">
        <f t="shared" si="7"/>
        <v>3158</v>
      </c>
      <c r="D231" s="1">
        <f t="shared" si="8"/>
        <v>5</v>
      </c>
      <c r="E231" s="1">
        <f t="shared" si="6"/>
        <v>2017</v>
      </c>
      <c r="G231" s="186">
        <v>4</v>
      </c>
      <c r="H231" s="186">
        <v>-1</v>
      </c>
      <c r="I231" s="186"/>
      <c r="J231" s="115" t="s">
        <v>1395</v>
      </c>
      <c r="K231" s="115" t="s">
        <v>1486</v>
      </c>
      <c r="L231" s="33" t="str">
        <f>IF(ISBLANK(M18),"",M18)</f>
        <v/>
      </c>
      <c r="M231" s="206" t="s">
        <v>1572</v>
      </c>
      <c r="N231" s="1077"/>
    </row>
    <row r="232" spans="3:14" hidden="1">
      <c r="C232" s="1">
        <f t="shared" si="7"/>
        <v>3158</v>
      </c>
      <c r="D232" s="1">
        <f t="shared" si="8"/>
        <v>5</v>
      </c>
      <c r="E232" s="1">
        <f t="shared" si="6"/>
        <v>2017</v>
      </c>
      <c r="G232" s="186">
        <v>4</v>
      </c>
      <c r="H232" s="186">
        <v>-1</v>
      </c>
      <c r="I232" s="186"/>
      <c r="J232" s="115" t="s">
        <v>1395</v>
      </c>
      <c r="K232" s="115" t="s">
        <v>1487</v>
      </c>
      <c r="L232" s="33" t="str">
        <f>IF(ISBLANK(M20),"",M20)</f>
        <v/>
      </c>
      <c r="M232" s="206" t="s">
        <v>55</v>
      </c>
      <c r="N232" s="1077"/>
    </row>
    <row r="233" spans="3:14" hidden="1">
      <c r="C233" s="1">
        <f t="shared" si="7"/>
        <v>3158</v>
      </c>
      <c r="D233" s="1">
        <f t="shared" si="8"/>
        <v>5</v>
      </c>
      <c r="E233" s="1">
        <f t="shared" si="6"/>
        <v>2017</v>
      </c>
      <c r="G233" s="186">
        <v>4</v>
      </c>
      <c r="H233" s="186">
        <v>-1</v>
      </c>
      <c r="I233" s="186"/>
      <c r="J233" s="115" t="s">
        <v>1395</v>
      </c>
      <c r="K233" s="115" t="s">
        <v>1492</v>
      </c>
      <c r="L233" s="33" t="str">
        <f>IF(ISBLANK(N16),"",N16)</f>
        <v/>
      </c>
      <c r="M233" s="206" t="s">
        <v>61</v>
      </c>
      <c r="N233" s="1077"/>
    </row>
    <row r="234" spans="3:14" hidden="1">
      <c r="C234" s="1">
        <f t="shared" si="7"/>
        <v>3158</v>
      </c>
      <c r="D234" s="1">
        <f t="shared" si="8"/>
        <v>5</v>
      </c>
      <c r="E234" s="1">
        <f t="shared" si="6"/>
        <v>2017</v>
      </c>
      <c r="G234" s="186">
        <v>4</v>
      </c>
      <c r="H234" s="186">
        <v>-1</v>
      </c>
      <c r="I234" s="186"/>
      <c r="J234" s="115" t="s">
        <v>1395</v>
      </c>
      <c r="K234" s="115" t="s">
        <v>1493</v>
      </c>
      <c r="L234" s="33" t="str">
        <f>IF(ISBLANK(N17),"",N17)</f>
        <v/>
      </c>
      <c r="M234" s="206" t="s">
        <v>62</v>
      </c>
      <c r="N234" s="1077"/>
    </row>
    <row r="235" spans="3:14" hidden="1">
      <c r="C235" s="1">
        <f t="shared" si="7"/>
        <v>3158</v>
      </c>
      <c r="D235" s="1">
        <f t="shared" si="8"/>
        <v>5</v>
      </c>
      <c r="E235" s="1">
        <f t="shared" si="6"/>
        <v>2017</v>
      </c>
      <c r="G235" s="186">
        <v>4</v>
      </c>
      <c r="H235" s="186">
        <v>-1</v>
      </c>
      <c r="I235" s="186"/>
      <c r="J235" s="115" t="s">
        <v>1395</v>
      </c>
      <c r="K235" s="115" t="s">
        <v>1494</v>
      </c>
      <c r="L235" s="33" t="str">
        <f>IF(ISBLANK(N18),"",N18)</f>
        <v/>
      </c>
      <c r="M235" s="206" t="s">
        <v>1573</v>
      </c>
      <c r="N235" s="1077"/>
    </row>
    <row r="236" spans="3:14" hidden="1">
      <c r="C236" s="1">
        <f t="shared" si="7"/>
        <v>3158</v>
      </c>
      <c r="D236" s="1">
        <f t="shared" si="8"/>
        <v>5</v>
      </c>
      <c r="E236" s="1">
        <f t="shared" si="6"/>
        <v>2017</v>
      </c>
      <c r="G236" s="186">
        <v>4</v>
      </c>
      <c r="H236" s="186">
        <v>-1</v>
      </c>
      <c r="I236" s="186"/>
      <c r="J236" s="115" t="s">
        <v>1395</v>
      </c>
      <c r="K236" s="115" t="s">
        <v>1495</v>
      </c>
      <c r="L236" s="33" t="str">
        <f>IF(ISBLANK(N20),"",N20)</f>
        <v/>
      </c>
      <c r="M236" s="206" t="s">
        <v>64</v>
      </c>
      <c r="N236" s="1077"/>
    </row>
    <row r="237" spans="3:14" hidden="1">
      <c r="C237" s="1">
        <f t="shared" si="7"/>
        <v>3158</v>
      </c>
      <c r="D237" s="1">
        <f t="shared" si="8"/>
        <v>5</v>
      </c>
      <c r="E237" s="1">
        <f t="shared" si="6"/>
        <v>2017</v>
      </c>
      <c r="G237" s="186">
        <v>5</v>
      </c>
      <c r="H237" s="186">
        <v>-1</v>
      </c>
      <c r="I237" s="186"/>
      <c r="J237" s="115" t="s">
        <v>1395</v>
      </c>
      <c r="K237" s="115" t="s">
        <v>1483</v>
      </c>
      <c r="L237" s="33" t="str">
        <f>IF(ISBLANK(P16),"",P16)</f>
        <v/>
      </c>
      <c r="M237" s="206" t="s">
        <v>1553</v>
      </c>
      <c r="N237" s="1077"/>
    </row>
    <row r="238" spans="3:14" hidden="1">
      <c r="C238" s="1">
        <f t="shared" si="7"/>
        <v>3158</v>
      </c>
      <c r="D238" s="1">
        <f t="shared" si="8"/>
        <v>5</v>
      </c>
      <c r="E238" s="1">
        <f t="shared" si="6"/>
        <v>2017</v>
      </c>
      <c r="G238" s="186">
        <v>5</v>
      </c>
      <c r="H238" s="186">
        <v>-1</v>
      </c>
      <c r="I238" s="186"/>
      <c r="J238" s="115" t="s">
        <v>1395</v>
      </c>
      <c r="K238" s="115" t="s">
        <v>1485</v>
      </c>
      <c r="L238" s="33" t="str">
        <f>IF(ISBLANK(P17),"",P17)</f>
        <v/>
      </c>
      <c r="M238" s="206" t="s">
        <v>1554</v>
      </c>
      <c r="N238" s="1077"/>
    </row>
    <row r="239" spans="3:14" hidden="1">
      <c r="C239" s="1">
        <f t="shared" si="7"/>
        <v>3158</v>
      </c>
      <c r="D239" s="1">
        <f t="shared" si="8"/>
        <v>5</v>
      </c>
      <c r="E239" s="1">
        <f t="shared" si="6"/>
        <v>2017</v>
      </c>
      <c r="G239" s="186">
        <v>5</v>
      </c>
      <c r="H239" s="186">
        <v>-1</v>
      </c>
      <c r="I239" s="186"/>
      <c r="J239" s="115" t="s">
        <v>1395</v>
      </c>
      <c r="K239" s="115" t="s">
        <v>1486</v>
      </c>
      <c r="L239" s="33" t="str">
        <f>IF(ISBLANK(P18),"",P18)</f>
        <v/>
      </c>
      <c r="M239" s="206" t="s">
        <v>1401</v>
      </c>
      <c r="N239" s="1077"/>
    </row>
    <row r="240" spans="3:14" hidden="1">
      <c r="C240" s="1">
        <f t="shared" si="7"/>
        <v>3158</v>
      </c>
      <c r="D240" s="1">
        <f t="shared" si="8"/>
        <v>5</v>
      </c>
      <c r="E240" s="1">
        <f t="shared" si="6"/>
        <v>2017</v>
      </c>
      <c r="G240" s="186">
        <v>5</v>
      </c>
      <c r="H240" s="186">
        <v>-1</v>
      </c>
      <c r="I240" s="186"/>
      <c r="J240" s="115" t="s">
        <v>1395</v>
      </c>
      <c r="K240" s="115" t="s">
        <v>1487</v>
      </c>
      <c r="L240" s="33" t="str">
        <f>IF(ISBLANK(P20),"",P20)</f>
        <v/>
      </c>
      <c r="M240" s="206" t="s">
        <v>1556</v>
      </c>
      <c r="N240" s="1077"/>
    </row>
    <row r="241" spans="3:14" hidden="1">
      <c r="C241" s="1">
        <f t="shared" si="7"/>
        <v>3158</v>
      </c>
      <c r="D241" s="1">
        <f t="shared" si="8"/>
        <v>5</v>
      </c>
      <c r="E241" s="1">
        <f t="shared" si="6"/>
        <v>2017</v>
      </c>
      <c r="G241" s="186">
        <v>5</v>
      </c>
      <c r="H241" s="186">
        <v>-1</v>
      </c>
      <c r="I241" s="186"/>
      <c r="J241" s="115" t="s">
        <v>1395</v>
      </c>
      <c r="K241" s="115" t="s">
        <v>1492</v>
      </c>
      <c r="L241" s="33" t="str">
        <f>IF(ISBLANK(Q16),"",Q16)</f>
        <v/>
      </c>
      <c r="M241" s="206" t="s">
        <v>189</v>
      </c>
      <c r="N241" s="1077"/>
    </row>
    <row r="242" spans="3:14" hidden="1">
      <c r="C242" s="1">
        <f t="shared" si="7"/>
        <v>3158</v>
      </c>
      <c r="D242" s="1">
        <f t="shared" si="8"/>
        <v>5</v>
      </c>
      <c r="E242" s="1">
        <f t="shared" si="6"/>
        <v>2017</v>
      </c>
      <c r="G242" s="186">
        <v>5</v>
      </c>
      <c r="H242" s="186">
        <v>-1</v>
      </c>
      <c r="I242" s="186"/>
      <c r="J242" s="115" t="s">
        <v>1395</v>
      </c>
      <c r="K242" s="115" t="s">
        <v>1493</v>
      </c>
      <c r="L242" s="33" t="str">
        <f>IF(ISBLANK(Q17),"",Q17)</f>
        <v/>
      </c>
      <c r="M242" s="206" t="s">
        <v>190</v>
      </c>
      <c r="N242" s="1077"/>
    </row>
    <row r="243" spans="3:14" hidden="1">
      <c r="C243" s="1">
        <f t="shared" si="7"/>
        <v>3158</v>
      </c>
      <c r="D243" s="1">
        <f t="shared" si="8"/>
        <v>5</v>
      </c>
      <c r="E243" s="1">
        <f t="shared" si="6"/>
        <v>2017</v>
      </c>
      <c r="G243" s="186">
        <v>5</v>
      </c>
      <c r="H243" s="186">
        <v>-1</v>
      </c>
      <c r="I243" s="186"/>
      <c r="J243" s="115" t="s">
        <v>1395</v>
      </c>
      <c r="K243" s="115" t="s">
        <v>1494</v>
      </c>
      <c r="L243" s="33" t="str">
        <f>IF(ISBLANK(Q18),"",Q18)</f>
        <v/>
      </c>
      <c r="M243" s="206" t="s">
        <v>1402</v>
      </c>
      <c r="N243" s="1077"/>
    </row>
    <row r="244" spans="3:14" hidden="1">
      <c r="C244" s="1">
        <f t="shared" si="7"/>
        <v>3158</v>
      </c>
      <c r="D244" s="1">
        <f t="shared" si="8"/>
        <v>5</v>
      </c>
      <c r="E244" s="1">
        <f t="shared" si="6"/>
        <v>2017</v>
      </c>
      <c r="G244" s="186">
        <v>5</v>
      </c>
      <c r="H244" s="186">
        <v>-1</v>
      </c>
      <c r="I244" s="186"/>
      <c r="J244" s="115" t="s">
        <v>1395</v>
      </c>
      <c r="K244" s="115" t="s">
        <v>1495</v>
      </c>
      <c r="L244" s="33" t="str">
        <f>IF(ISBLANK(Q20),"",Q20)</f>
        <v/>
      </c>
      <c r="M244" s="206" t="s">
        <v>192</v>
      </c>
      <c r="N244" s="1077"/>
    </row>
    <row r="245" spans="3:14" hidden="1">
      <c r="C245" s="234">
        <f t="shared" si="7"/>
        <v>3158</v>
      </c>
      <c r="D245" s="234">
        <f t="shared" si="8"/>
        <v>5</v>
      </c>
      <c r="E245" s="234">
        <f t="shared" si="6"/>
        <v>2017</v>
      </c>
      <c r="F245" s="234"/>
      <c r="G245" s="230">
        <v>10</v>
      </c>
      <c r="H245" s="230">
        <v>-1</v>
      </c>
      <c r="I245" s="186"/>
      <c r="J245" s="204" t="s">
        <v>1395</v>
      </c>
      <c r="K245" s="232" t="s">
        <v>1483</v>
      </c>
      <c r="L245" s="33" t="str">
        <f>IF(ISBLANK(R16),"",R16)</f>
        <v/>
      </c>
      <c r="M245" s="206" t="s">
        <v>199</v>
      </c>
      <c r="N245" s="187"/>
    </row>
    <row r="246" spans="3:14" hidden="1">
      <c r="C246" s="234">
        <f t="shared" si="7"/>
        <v>3158</v>
      </c>
      <c r="D246" s="234">
        <f t="shared" si="8"/>
        <v>5</v>
      </c>
      <c r="E246" s="234">
        <f t="shared" si="6"/>
        <v>2017</v>
      </c>
      <c r="F246" s="234"/>
      <c r="G246" s="230">
        <v>10</v>
      </c>
      <c r="H246" s="230">
        <v>-1</v>
      </c>
      <c r="I246" s="186"/>
      <c r="J246" s="204" t="s">
        <v>1395</v>
      </c>
      <c r="K246" s="232" t="s">
        <v>1485</v>
      </c>
      <c r="L246" s="33" t="str">
        <f>IF(ISBLANK(R17),"",R17)</f>
        <v/>
      </c>
      <c r="M246" s="206" t="s">
        <v>200</v>
      </c>
      <c r="N246" s="187"/>
    </row>
    <row r="247" spans="3:14" hidden="1">
      <c r="C247" s="234">
        <f t="shared" si="7"/>
        <v>3158</v>
      </c>
      <c r="D247" s="234">
        <f t="shared" si="8"/>
        <v>5</v>
      </c>
      <c r="E247" s="234">
        <f t="shared" si="6"/>
        <v>2017</v>
      </c>
      <c r="F247" s="234"/>
      <c r="G247" s="230">
        <v>10</v>
      </c>
      <c r="H247" s="230">
        <v>-1</v>
      </c>
      <c r="I247" s="186"/>
      <c r="J247" s="204" t="s">
        <v>1395</v>
      </c>
      <c r="K247" s="232" t="s">
        <v>1486</v>
      </c>
      <c r="L247" s="33" t="str">
        <f>IF(ISBLANK(R18),"",R18)</f>
        <v/>
      </c>
      <c r="M247" s="206" t="s">
        <v>1403</v>
      </c>
      <c r="N247" s="187"/>
    </row>
    <row r="248" spans="3:14" hidden="1">
      <c r="C248" s="234">
        <f t="shared" si="7"/>
        <v>3158</v>
      </c>
      <c r="D248" s="234">
        <f t="shared" si="8"/>
        <v>5</v>
      </c>
      <c r="E248" s="234">
        <f t="shared" si="6"/>
        <v>2017</v>
      </c>
      <c r="F248" s="234"/>
      <c r="G248" s="230">
        <v>10</v>
      </c>
      <c r="H248" s="230">
        <v>-1</v>
      </c>
      <c r="I248" s="186"/>
      <c r="J248" s="204" t="s">
        <v>1395</v>
      </c>
      <c r="K248" s="232" t="s">
        <v>1487</v>
      </c>
      <c r="L248" s="33" t="str">
        <f>IF(ISBLANK(R20),"",R20)</f>
        <v/>
      </c>
      <c r="M248" s="206" t="s">
        <v>202</v>
      </c>
      <c r="N248" s="187"/>
    </row>
    <row r="249" spans="3:14" hidden="1">
      <c r="C249" s="234">
        <f t="shared" si="7"/>
        <v>3158</v>
      </c>
      <c r="D249" s="234">
        <f t="shared" si="8"/>
        <v>5</v>
      </c>
      <c r="E249" s="234">
        <f t="shared" si="6"/>
        <v>2017</v>
      </c>
      <c r="F249" s="234"/>
      <c r="G249" s="230">
        <v>10</v>
      </c>
      <c r="H249" s="230">
        <v>-1</v>
      </c>
      <c r="I249" s="186"/>
      <c r="J249" s="204" t="s">
        <v>1395</v>
      </c>
      <c r="K249" s="204" t="s">
        <v>1492</v>
      </c>
      <c r="L249" s="33" t="str">
        <f>IF(ISBLANK(S16),"",S16)</f>
        <v/>
      </c>
      <c r="M249" s="206" t="s">
        <v>208</v>
      </c>
      <c r="N249" s="187"/>
    </row>
    <row r="250" spans="3:14" hidden="1">
      <c r="C250" s="234">
        <f t="shared" si="7"/>
        <v>3158</v>
      </c>
      <c r="D250" s="234">
        <f t="shared" si="8"/>
        <v>5</v>
      </c>
      <c r="E250" s="234">
        <f t="shared" si="6"/>
        <v>2017</v>
      </c>
      <c r="F250" s="234"/>
      <c r="G250" s="230">
        <v>10</v>
      </c>
      <c r="H250" s="230">
        <v>-1</v>
      </c>
      <c r="I250" s="186"/>
      <c r="J250" s="204" t="s">
        <v>1395</v>
      </c>
      <c r="K250" s="204" t="s">
        <v>1493</v>
      </c>
      <c r="L250" s="33" t="str">
        <f>IF(ISBLANK(S17),"",S17)</f>
        <v/>
      </c>
      <c r="M250" s="206" t="s">
        <v>209</v>
      </c>
      <c r="N250" s="187"/>
    </row>
    <row r="251" spans="3:14" hidden="1">
      <c r="C251" s="234">
        <f t="shared" si="7"/>
        <v>3158</v>
      </c>
      <c r="D251" s="234">
        <f t="shared" si="8"/>
        <v>5</v>
      </c>
      <c r="E251" s="234">
        <f t="shared" si="6"/>
        <v>2017</v>
      </c>
      <c r="F251" s="234"/>
      <c r="G251" s="230">
        <v>10</v>
      </c>
      <c r="H251" s="230">
        <v>-1</v>
      </c>
      <c r="I251" s="186"/>
      <c r="J251" s="204" t="s">
        <v>1395</v>
      </c>
      <c r="K251" s="204" t="s">
        <v>1494</v>
      </c>
      <c r="L251" s="33" t="str">
        <f>IF(ISBLANK(S18),"",S18)</f>
        <v/>
      </c>
      <c r="M251" s="206" t="s">
        <v>1404</v>
      </c>
      <c r="N251" s="187"/>
    </row>
    <row r="252" spans="3:14" hidden="1">
      <c r="C252" s="234">
        <f t="shared" si="7"/>
        <v>3158</v>
      </c>
      <c r="D252" s="234">
        <f t="shared" si="8"/>
        <v>5</v>
      </c>
      <c r="E252" s="234">
        <f t="shared" si="6"/>
        <v>2017</v>
      </c>
      <c r="F252" s="234"/>
      <c r="G252" s="230">
        <v>10</v>
      </c>
      <c r="H252" s="230">
        <v>-1</v>
      </c>
      <c r="I252" s="186"/>
      <c r="J252" s="204" t="s">
        <v>1395</v>
      </c>
      <c r="K252" s="204" t="s">
        <v>1495</v>
      </c>
      <c r="L252" s="33" t="str">
        <f>IF(ISBLANK(S20),"",S20)</f>
        <v/>
      </c>
      <c r="M252" s="206" t="s">
        <v>211</v>
      </c>
      <c r="N252" s="187"/>
    </row>
    <row r="253" spans="3:14" hidden="1">
      <c r="C253" s="1">
        <f t="shared" si="7"/>
        <v>3158</v>
      </c>
      <c r="D253" s="1">
        <f t="shared" si="8"/>
        <v>5</v>
      </c>
      <c r="E253" s="1">
        <f t="shared" si="6"/>
        <v>2017</v>
      </c>
      <c r="G253" s="186">
        <v>1</v>
      </c>
      <c r="H253" s="186">
        <v>-1</v>
      </c>
      <c r="I253" s="186">
        <v>19</v>
      </c>
      <c r="J253" s="115" t="s">
        <v>1498</v>
      </c>
      <c r="K253" s="115" t="s">
        <v>83</v>
      </c>
      <c r="L253" s="33" t="str">
        <f t="shared" ref="L253:L279" si="9">IF(ISBLANK(F21),"",F21)</f>
        <v/>
      </c>
      <c r="M253" s="188" t="s">
        <v>1574</v>
      </c>
      <c r="N253" s="1111" t="s">
        <v>1499</v>
      </c>
    </row>
    <row r="254" spans="3:14" hidden="1">
      <c r="C254" s="1">
        <f t="shared" si="7"/>
        <v>3158</v>
      </c>
      <c r="D254" s="1">
        <f t="shared" si="8"/>
        <v>5</v>
      </c>
      <c r="E254" s="1">
        <f t="shared" ref="E254:E317" si="10">D$1</f>
        <v>2017</v>
      </c>
      <c r="G254" s="186">
        <v>1</v>
      </c>
      <c r="H254" s="186">
        <v>-1</v>
      </c>
      <c r="I254" s="186">
        <v>16</v>
      </c>
      <c r="J254" s="115" t="s">
        <v>1498</v>
      </c>
      <c r="K254" s="115" t="s">
        <v>83</v>
      </c>
      <c r="L254" s="33" t="str">
        <f t="shared" si="9"/>
        <v/>
      </c>
      <c r="M254" s="188" t="s">
        <v>1575</v>
      </c>
      <c r="N254" s="1111"/>
    </row>
    <row r="255" spans="3:14" hidden="1">
      <c r="C255" s="1">
        <f t="shared" si="7"/>
        <v>3158</v>
      </c>
      <c r="D255" s="1">
        <f t="shared" si="8"/>
        <v>5</v>
      </c>
      <c r="E255" s="1">
        <f t="shared" si="10"/>
        <v>2017</v>
      </c>
      <c r="G255" s="186">
        <v>1</v>
      </c>
      <c r="H255" s="186">
        <v>-1</v>
      </c>
      <c r="I255" s="186">
        <v>15</v>
      </c>
      <c r="J255" s="115" t="s">
        <v>1498</v>
      </c>
      <c r="K255" s="115" t="s">
        <v>83</v>
      </c>
      <c r="L255" s="33" t="str">
        <f t="shared" si="9"/>
        <v/>
      </c>
      <c r="M255" s="188" t="s">
        <v>1576</v>
      </c>
      <c r="N255" s="1111"/>
    </row>
    <row r="256" spans="3:14" hidden="1">
      <c r="C256" s="1">
        <f t="shared" si="7"/>
        <v>3158</v>
      </c>
      <c r="D256" s="1">
        <f t="shared" si="8"/>
        <v>5</v>
      </c>
      <c r="E256" s="1">
        <f t="shared" si="10"/>
        <v>2017</v>
      </c>
      <c r="G256" s="186">
        <v>1</v>
      </c>
      <c r="H256" s="186">
        <v>-1</v>
      </c>
      <c r="I256" s="186">
        <v>2</v>
      </c>
      <c r="J256" s="115" t="s">
        <v>1498</v>
      </c>
      <c r="K256" s="115" t="s">
        <v>83</v>
      </c>
      <c r="L256" s="33" t="str">
        <f t="shared" si="9"/>
        <v/>
      </c>
      <c r="M256" s="188" t="s">
        <v>1577</v>
      </c>
      <c r="N256" s="1111"/>
    </row>
    <row r="257" spans="3:14" hidden="1">
      <c r="C257" s="1">
        <f t="shared" si="7"/>
        <v>3158</v>
      </c>
      <c r="D257" s="1">
        <f t="shared" si="8"/>
        <v>5</v>
      </c>
      <c r="E257" s="1">
        <f t="shared" si="10"/>
        <v>2017</v>
      </c>
      <c r="G257" s="186">
        <v>1</v>
      </c>
      <c r="H257" s="186">
        <v>-1</v>
      </c>
      <c r="I257" s="186">
        <v>13</v>
      </c>
      <c r="J257" s="115" t="s">
        <v>1498</v>
      </c>
      <c r="K257" s="115" t="s">
        <v>83</v>
      </c>
      <c r="L257" s="33" t="str">
        <f t="shared" si="9"/>
        <v/>
      </c>
      <c r="M257" s="188" t="s">
        <v>1578</v>
      </c>
      <c r="N257" s="1111"/>
    </row>
    <row r="258" spans="3:14" hidden="1">
      <c r="C258" s="1">
        <f t="shared" si="7"/>
        <v>3158</v>
      </c>
      <c r="D258" s="1">
        <f t="shared" si="8"/>
        <v>5</v>
      </c>
      <c r="E258" s="1">
        <f t="shared" si="10"/>
        <v>2017</v>
      </c>
      <c r="G258" s="186">
        <v>1</v>
      </c>
      <c r="H258" s="186">
        <v>-1</v>
      </c>
      <c r="I258" s="186">
        <v>12</v>
      </c>
      <c r="J258" s="115" t="s">
        <v>1498</v>
      </c>
      <c r="K258" s="115" t="s">
        <v>83</v>
      </c>
      <c r="L258" s="33" t="str">
        <f t="shared" si="9"/>
        <v/>
      </c>
      <c r="M258" s="188" t="s">
        <v>1579</v>
      </c>
      <c r="N258" s="1111"/>
    </row>
    <row r="259" spans="3:14" hidden="1">
      <c r="C259" s="1">
        <f t="shared" si="7"/>
        <v>3158</v>
      </c>
      <c r="D259" s="1">
        <f t="shared" si="8"/>
        <v>5</v>
      </c>
      <c r="E259" s="1">
        <f t="shared" si="10"/>
        <v>2017</v>
      </c>
      <c r="G259" s="186">
        <v>1</v>
      </c>
      <c r="H259" s="186">
        <v>-1</v>
      </c>
      <c r="I259" s="186">
        <v>10</v>
      </c>
      <c r="J259" s="115" t="s">
        <v>1498</v>
      </c>
      <c r="K259" s="115" t="s">
        <v>83</v>
      </c>
      <c r="L259" s="33" t="str">
        <f t="shared" si="9"/>
        <v/>
      </c>
      <c r="M259" s="188" t="s">
        <v>1580</v>
      </c>
      <c r="N259" s="1111"/>
    </row>
    <row r="260" spans="3:14" hidden="1">
      <c r="C260" s="1">
        <f t="shared" si="7"/>
        <v>3158</v>
      </c>
      <c r="D260" s="1">
        <f t="shared" si="8"/>
        <v>5</v>
      </c>
      <c r="E260" s="1">
        <f t="shared" si="10"/>
        <v>2017</v>
      </c>
      <c r="G260" s="186">
        <v>1</v>
      </c>
      <c r="H260" s="186">
        <v>-1</v>
      </c>
      <c r="I260" s="186">
        <v>25</v>
      </c>
      <c r="J260" s="115" t="s">
        <v>1498</v>
      </c>
      <c r="K260" s="115" t="s">
        <v>83</v>
      </c>
      <c r="L260" s="33" t="str">
        <f t="shared" si="9"/>
        <v/>
      </c>
      <c r="M260" s="188" t="s">
        <v>1581</v>
      </c>
      <c r="N260" s="1111"/>
    </row>
    <row r="261" spans="3:14" hidden="1">
      <c r="C261" s="1">
        <f t="shared" si="7"/>
        <v>3158</v>
      </c>
      <c r="D261" s="1">
        <f t="shared" si="8"/>
        <v>5</v>
      </c>
      <c r="E261" s="1">
        <f t="shared" si="10"/>
        <v>2017</v>
      </c>
      <c r="G261" s="186">
        <v>1</v>
      </c>
      <c r="H261" s="186">
        <v>-1</v>
      </c>
      <c r="I261" s="186">
        <v>8</v>
      </c>
      <c r="J261" s="115" t="s">
        <v>1498</v>
      </c>
      <c r="K261" s="115" t="s">
        <v>83</v>
      </c>
      <c r="L261" s="33" t="str">
        <f t="shared" si="9"/>
        <v/>
      </c>
      <c r="M261" s="188" t="s">
        <v>1582</v>
      </c>
      <c r="N261" s="1111"/>
    </row>
    <row r="262" spans="3:14" hidden="1">
      <c r="C262" s="1">
        <f t="shared" si="7"/>
        <v>3158</v>
      </c>
      <c r="D262" s="1">
        <f t="shared" si="8"/>
        <v>5</v>
      </c>
      <c r="E262" s="1">
        <f t="shared" si="10"/>
        <v>2017</v>
      </c>
      <c r="G262" s="186">
        <v>1</v>
      </c>
      <c r="H262" s="186">
        <v>-1</v>
      </c>
      <c r="I262" s="186">
        <v>18</v>
      </c>
      <c r="J262" s="115" t="s">
        <v>1498</v>
      </c>
      <c r="K262" s="115" t="s">
        <v>83</v>
      </c>
      <c r="L262" s="33" t="str">
        <f t="shared" si="9"/>
        <v/>
      </c>
      <c r="M262" s="188" t="s">
        <v>1583</v>
      </c>
      <c r="N262" s="1111"/>
    </row>
    <row r="263" spans="3:14" hidden="1">
      <c r="C263" s="1">
        <f t="shared" si="7"/>
        <v>3158</v>
      </c>
      <c r="D263" s="1">
        <f t="shared" si="8"/>
        <v>5</v>
      </c>
      <c r="E263" s="1">
        <f t="shared" si="10"/>
        <v>2017</v>
      </c>
      <c r="G263" s="186">
        <v>1</v>
      </c>
      <c r="H263" s="186">
        <v>-1</v>
      </c>
      <c r="I263" s="186">
        <v>26</v>
      </c>
      <c r="J263" s="115" t="s">
        <v>1498</v>
      </c>
      <c r="K263" s="115" t="s">
        <v>83</v>
      </c>
      <c r="L263" s="33" t="str">
        <f t="shared" si="9"/>
        <v/>
      </c>
      <c r="M263" s="188" t="s">
        <v>1584</v>
      </c>
      <c r="N263" s="1111"/>
    </row>
    <row r="264" spans="3:14" hidden="1">
      <c r="C264" s="1">
        <f t="shared" si="7"/>
        <v>3158</v>
      </c>
      <c r="D264" s="1">
        <f t="shared" si="8"/>
        <v>5</v>
      </c>
      <c r="E264" s="1">
        <f t="shared" si="10"/>
        <v>2017</v>
      </c>
      <c r="G264" s="186">
        <v>1</v>
      </c>
      <c r="H264" s="186">
        <v>-1</v>
      </c>
      <c r="I264" s="186">
        <v>3</v>
      </c>
      <c r="J264" s="115" t="s">
        <v>1498</v>
      </c>
      <c r="K264" s="115" t="s">
        <v>83</v>
      </c>
      <c r="L264" s="33" t="str">
        <f t="shared" si="9"/>
        <v/>
      </c>
      <c r="M264" s="188" t="s">
        <v>1585</v>
      </c>
      <c r="N264" s="1111"/>
    </row>
    <row r="265" spans="3:14" hidden="1">
      <c r="C265" s="1">
        <f t="shared" si="7"/>
        <v>3158</v>
      </c>
      <c r="D265" s="1">
        <f t="shared" si="8"/>
        <v>5</v>
      </c>
      <c r="E265" s="1">
        <f t="shared" si="10"/>
        <v>2017</v>
      </c>
      <c r="G265" s="186">
        <v>1</v>
      </c>
      <c r="H265" s="186">
        <v>-1</v>
      </c>
      <c r="I265" s="186">
        <v>24</v>
      </c>
      <c r="J265" s="115" t="s">
        <v>1498</v>
      </c>
      <c r="K265" s="115" t="s">
        <v>83</v>
      </c>
      <c r="L265" s="33" t="str">
        <f t="shared" si="9"/>
        <v/>
      </c>
      <c r="M265" s="188" t="s">
        <v>1586</v>
      </c>
      <c r="N265" s="1111"/>
    </row>
    <row r="266" spans="3:14" hidden="1">
      <c r="C266" s="1">
        <f t="shared" si="7"/>
        <v>3158</v>
      </c>
      <c r="D266" s="1">
        <f t="shared" si="8"/>
        <v>5</v>
      </c>
      <c r="E266" s="1">
        <f t="shared" si="10"/>
        <v>2017</v>
      </c>
      <c r="G266" s="186">
        <v>1</v>
      </c>
      <c r="H266" s="186">
        <v>-1</v>
      </c>
      <c r="I266" s="186">
        <v>7</v>
      </c>
      <c r="J266" s="115" t="s">
        <v>1498</v>
      </c>
      <c r="K266" s="115" t="s">
        <v>83</v>
      </c>
      <c r="L266" s="33" t="str">
        <f t="shared" si="9"/>
        <v/>
      </c>
      <c r="M266" s="188" t="s">
        <v>1587</v>
      </c>
      <c r="N266" s="1111"/>
    </row>
    <row r="267" spans="3:14" hidden="1">
      <c r="C267" s="1">
        <f t="shared" si="7"/>
        <v>3158</v>
      </c>
      <c r="D267" s="1">
        <f t="shared" si="8"/>
        <v>5</v>
      </c>
      <c r="E267" s="1">
        <f t="shared" si="10"/>
        <v>2017</v>
      </c>
      <c r="G267" s="186">
        <v>1</v>
      </c>
      <c r="H267" s="186">
        <v>-1</v>
      </c>
      <c r="I267" s="186">
        <v>6</v>
      </c>
      <c r="J267" s="115" t="s">
        <v>1498</v>
      </c>
      <c r="K267" s="115" t="s">
        <v>83</v>
      </c>
      <c r="L267" s="33" t="str">
        <f t="shared" si="9"/>
        <v/>
      </c>
      <c r="M267" s="188" t="s">
        <v>1588</v>
      </c>
      <c r="N267" s="1111"/>
    </row>
    <row r="268" spans="3:14" hidden="1">
      <c r="C268" s="1">
        <f t="shared" si="7"/>
        <v>3158</v>
      </c>
      <c r="D268" s="1">
        <f t="shared" si="8"/>
        <v>5</v>
      </c>
      <c r="E268" s="1">
        <f t="shared" si="10"/>
        <v>2017</v>
      </c>
      <c r="G268" s="186">
        <v>1</v>
      </c>
      <c r="H268" s="186">
        <v>-1</v>
      </c>
      <c r="I268" s="186">
        <v>17</v>
      </c>
      <c r="J268" s="115" t="s">
        <v>1498</v>
      </c>
      <c r="K268" s="115" t="s">
        <v>83</v>
      </c>
      <c r="L268" s="33" t="str">
        <f t="shared" si="9"/>
        <v/>
      </c>
      <c r="M268" s="188" t="s">
        <v>1589</v>
      </c>
      <c r="N268" s="1111"/>
    </row>
    <row r="269" spans="3:14" hidden="1">
      <c r="C269" s="1">
        <f t="shared" si="7"/>
        <v>3158</v>
      </c>
      <c r="D269" s="1">
        <f t="shared" si="8"/>
        <v>5</v>
      </c>
      <c r="E269" s="1">
        <f t="shared" si="10"/>
        <v>2017</v>
      </c>
      <c r="G269" s="186">
        <v>1</v>
      </c>
      <c r="H269" s="186">
        <v>-1</v>
      </c>
      <c r="I269" s="186">
        <v>14</v>
      </c>
      <c r="J269" s="115" t="s">
        <v>1498</v>
      </c>
      <c r="K269" s="115" t="s">
        <v>83</v>
      </c>
      <c r="L269" s="33" t="str">
        <f t="shared" si="9"/>
        <v/>
      </c>
      <c r="M269" s="188" t="s">
        <v>1590</v>
      </c>
      <c r="N269" s="1111"/>
    </row>
    <row r="270" spans="3:14" hidden="1">
      <c r="C270" s="1">
        <f t="shared" si="7"/>
        <v>3158</v>
      </c>
      <c r="D270" s="1">
        <f t="shared" si="8"/>
        <v>5</v>
      </c>
      <c r="E270" s="1">
        <f t="shared" si="10"/>
        <v>2017</v>
      </c>
      <c r="G270" s="186">
        <v>1</v>
      </c>
      <c r="H270" s="186">
        <v>-1</v>
      </c>
      <c r="I270" s="186">
        <v>11</v>
      </c>
      <c r="J270" s="115" t="s">
        <v>1498</v>
      </c>
      <c r="K270" s="115" t="s">
        <v>83</v>
      </c>
      <c r="L270" s="33" t="str">
        <f t="shared" si="9"/>
        <v/>
      </c>
      <c r="M270" s="188" t="s">
        <v>1591</v>
      </c>
      <c r="N270" s="1111"/>
    </row>
    <row r="271" spans="3:14" hidden="1">
      <c r="C271" s="1">
        <f t="shared" si="7"/>
        <v>3158</v>
      </c>
      <c r="D271" s="1">
        <f t="shared" si="8"/>
        <v>5</v>
      </c>
      <c r="E271" s="1">
        <f t="shared" si="10"/>
        <v>2017</v>
      </c>
      <c r="G271" s="186">
        <v>1</v>
      </c>
      <c r="H271" s="186">
        <v>-1</v>
      </c>
      <c r="I271" s="186">
        <v>5</v>
      </c>
      <c r="J271" s="115" t="s">
        <v>1498</v>
      </c>
      <c r="K271" s="115" t="s">
        <v>83</v>
      </c>
      <c r="L271" s="33" t="str">
        <f t="shared" si="9"/>
        <v/>
      </c>
      <c r="M271" s="188" t="s">
        <v>1592</v>
      </c>
      <c r="N271" s="1111"/>
    </row>
    <row r="272" spans="3:14" hidden="1">
      <c r="C272" s="1">
        <f t="shared" si="7"/>
        <v>3158</v>
      </c>
      <c r="D272" s="1">
        <f t="shared" si="8"/>
        <v>5</v>
      </c>
      <c r="E272" s="1">
        <f t="shared" si="10"/>
        <v>2017</v>
      </c>
      <c r="G272" s="186">
        <v>1</v>
      </c>
      <c r="H272" s="186">
        <v>-1</v>
      </c>
      <c r="I272" s="186">
        <v>20</v>
      </c>
      <c r="J272" s="115" t="s">
        <v>1498</v>
      </c>
      <c r="K272" s="115" t="s">
        <v>83</v>
      </c>
      <c r="L272" s="33" t="str">
        <f t="shared" si="9"/>
        <v/>
      </c>
      <c r="M272" s="188" t="s">
        <v>1593</v>
      </c>
      <c r="N272" s="1111"/>
    </row>
    <row r="273" spans="3:14" hidden="1">
      <c r="C273" s="1">
        <f t="shared" si="7"/>
        <v>3158</v>
      </c>
      <c r="D273" s="1">
        <f t="shared" si="8"/>
        <v>5</v>
      </c>
      <c r="E273" s="1">
        <f t="shared" si="10"/>
        <v>2017</v>
      </c>
      <c r="G273" s="186">
        <v>1</v>
      </c>
      <c r="H273" s="186">
        <v>-1</v>
      </c>
      <c r="I273" s="186">
        <v>21</v>
      </c>
      <c r="J273" s="115" t="s">
        <v>1498</v>
      </c>
      <c r="K273" s="115" t="s">
        <v>83</v>
      </c>
      <c r="L273" s="33" t="str">
        <f t="shared" si="9"/>
        <v/>
      </c>
      <c r="M273" s="188" t="s">
        <v>1594</v>
      </c>
      <c r="N273" s="1111"/>
    </row>
    <row r="274" spans="3:14" hidden="1">
      <c r="C274" s="1">
        <f t="shared" si="7"/>
        <v>3158</v>
      </c>
      <c r="D274" s="1">
        <f t="shared" si="8"/>
        <v>5</v>
      </c>
      <c r="E274" s="1">
        <f t="shared" si="10"/>
        <v>2017</v>
      </c>
      <c r="G274" s="186">
        <v>1</v>
      </c>
      <c r="H274" s="186">
        <v>-1</v>
      </c>
      <c r="I274" s="186">
        <v>4</v>
      </c>
      <c r="J274" s="115" t="s">
        <v>1498</v>
      </c>
      <c r="K274" s="115" t="s">
        <v>83</v>
      </c>
      <c r="L274" s="33" t="str">
        <f t="shared" si="9"/>
        <v/>
      </c>
      <c r="M274" s="188" t="s">
        <v>1595</v>
      </c>
      <c r="N274" s="1111"/>
    </row>
    <row r="275" spans="3:14" hidden="1">
      <c r="C275" s="1">
        <f t="shared" si="7"/>
        <v>3158</v>
      </c>
      <c r="D275" s="1">
        <f t="shared" si="8"/>
        <v>5</v>
      </c>
      <c r="E275" s="1">
        <f t="shared" si="10"/>
        <v>2017</v>
      </c>
      <c r="G275" s="186">
        <v>1</v>
      </c>
      <c r="H275" s="186">
        <v>-1</v>
      </c>
      <c r="I275" s="186">
        <v>22</v>
      </c>
      <c r="J275" s="115" t="s">
        <v>1498</v>
      </c>
      <c r="K275" s="115" t="s">
        <v>83</v>
      </c>
      <c r="L275" s="33" t="str">
        <f t="shared" si="9"/>
        <v/>
      </c>
      <c r="M275" s="188" t="s">
        <v>1596</v>
      </c>
      <c r="N275" s="1111"/>
    </row>
    <row r="276" spans="3:14" hidden="1">
      <c r="C276" s="1">
        <f t="shared" si="7"/>
        <v>3158</v>
      </c>
      <c r="D276" s="1">
        <f t="shared" si="8"/>
        <v>5</v>
      </c>
      <c r="E276" s="1">
        <f t="shared" si="10"/>
        <v>2017</v>
      </c>
      <c r="G276" s="186">
        <v>1</v>
      </c>
      <c r="H276" s="186">
        <v>-1</v>
      </c>
      <c r="I276" s="186">
        <v>23</v>
      </c>
      <c r="J276" s="115" t="s">
        <v>1498</v>
      </c>
      <c r="K276" s="115" t="s">
        <v>83</v>
      </c>
      <c r="L276" s="33">
        <f t="shared" si="9"/>
        <v>11</v>
      </c>
      <c r="M276" s="188" t="s">
        <v>1597</v>
      </c>
      <c r="N276" s="1111"/>
    </row>
    <row r="277" spans="3:14" hidden="1">
      <c r="C277" s="1">
        <f t="shared" si="7"/>
        <v>3158</v>
      </c>
      <c r="D277" s="1">
        <f t="shared" si="8"/>
        <v>5</v>
      </c>
      <c r="E277" s="1">
        <f t="shared" si="10"/>
        <v>2017</v>
      </c>
      <c r="G277" s="186">
        <v>1</v>
      </c>
      <c r="H277" s="186">
        <v>-1</v>
      </c>
      <c r="I277" s="186">
        <v>9</v>
      </c>
      <c r="J277" s="115" t="s">
        <v>1498</v>
      </c>
      <c r="K277" s="115" t="s">
        <v>83</v>
      </c>
      <c r="L277" s="33" t="str">
        <f t="shared" si="9"/>
        <v/>
      </c>
      <c r="M277" s="188" t="s">
        <v>1598</v>
      </c>
      <c r="N277" s="1111"/>
    </row>
    <row r="278" spans="3:14" hidden="1">
      <c r="C278" s="1">
        <f t="shared" si="7"/>
        <v>3158</v>
      </c>
      <c r="D278" s="1">
        <f t="shared" si="8"/>
        <v>5</v>
      </c>
      <c r="E278" s="1">
        <f t="shared" si="10"/>
        <v>2017</v>
      </c>
      <c r="G278" s="186">
        <v>1</v>
      </c>
      <c r="H278" s="186">
        <v>-1</v>
      </c>
      <c r="I278" s="186">
        <v>1</v>
      </c>
      <c r="J278" s="115" t="s">
        <v>1498</v>
      </c>
      <c r="K278" s="115" t="s">
        <v>83</v>
      </c>
      <c r="L278" s="33" t="str">
        <f t="shared" si="9"/>
        <v/>
      </c>
      <c r="M278" s="188" t="s">
        <v>1599</v>
      </c>
      <c r="N278" s="1111"/>
    </row>
    <row r="279" spans="3:14" hidden="1">
      <c r="C279" s="1">
        <f t="shared" si="7"/>
        <v>3158</v>
      </c>
      <c r="D279" s="1">
        <f t="shared" si="8"/>
        <v>5</v>
      </c>
      <c r="E279" s="1">
        <f t="shared" si="10"/>
        <v>2017</v>
      </c>
      <c r="G279" s="186">
        <v>1</v>
      </c>
      <c r="H279" s="186">
        <v>-1</v>
      </c>
      <c r="I279" s="186">
        <v>-1</v>
      </c>
      <c r="J279" s="115" t="s">
        <v>1498</v>
      </c>
      <c r="K279" s="115" t="s">
        <v>83</v>
      </c>
      <c r="L279" s="33" t="str">
        <f t="shared" si="9"/>
        <v/>
      </c>
      <c r="M279" s="188" t="s">
        <v>1600</v>
      </c>
      <c r="N279" s="1111"/>
    </row>
    <row r="280" spans="3:14" hidden="1">
      <c r="C280" s="1">
        <f t="shared" si="7"/>
        <v>3158</v>
      </c>
      <c r="D280" s="1">
        <f t="shared" si="8"/>
        <v>5</v>
      </c>
      <c r="E280" s="1">
        <f t="shared" si="10"/>
        <v>2017</v>
      </c>
      <c r="G280" s="186">
        <v>2</v>
      </c>
      <c r="H280" s="186">
        <v>-1</v>
      </c>
      <c r="I280" s="186">
        <v>19</v>
      </c>
      <c r="J280" s="115" t="s">
        <v>1498</v>
      </c>
      <c r="K280" s="115" t="s">
        <v>83</v>
      </c>
      <c r="L280" s="33">
        <f t="shared" ref="L280:L306" si="11">IF(ISBLANK(I21),"",I21)</f>
        <v>1</v>
      </c>
      <c r="M280" s="188" t="s">
        <v>1601</v>
      </c>
      <c r="N280" s="1111"/>
    </row>
    <row r="281" spans="3:14" hidden="1">
      <c r="C281" s="1">
        <f t="shared" si="7"/>
        <v>3158</v>
      </c>
      <c r="D281" s="1">
        <f t="shared" si="8"/>
        <v>5</v>
      </c>
      <c r="E281" s="1">
        <f t="shared" si="10"/>
        <v>2017</v>
      </c>
      <c r="G281" s="186">
        <v>2</v>
      </c>
      <c r="H281" s="186">
        <v>-1</v>
      </c>
      <c r="I281" s="186">
        <v>16</v>
      </c>
      <c r="J281" s="115" t="s">
        <v>1498</v>
      </c>
      <c r="K281" s="115" t="s">
        <v>83</v>
      </c>
      <c r="L281" s="33" t="str">
        <f t="shared" si="11"/>
        <v/>
      </c>
      <c r="M281" s="188" t="s">
        <v>1602</v>
      </c>
      <c r="N281" s="1111"/>
    </row>
    <row r="282" spans="3:14" hidden="1">
      <c r="C282" s="1">
        <f t="shared" si="7"/>
        <v>3158</v>
      </c>
      <c r="D282" s="1">
        <f t="shared" si="8"/>
        <v>5</v>
      </c>
      <c r="E282" s="1">
        <f t="shared" si="10"/>
        <v>2017</v>
      </c>
      <c r="G282" s="186">
        <v>2</v>
      </c>
      <c r="H282" s="186">
        <v>-1</v>
      </c>
      <c r="I282" s="186">
        <v>15</v>
      </c>
      <c r="J282" s="115" t="s">
        <v>1498</v>
      </c>
      <c r="K282" s="115" t="s">
        <v>83</v>
      </c>
      <c r="L282" s="33" t="str">
        <f t="shared" si="11"/>
        <v/>
      </c>
      <c r="M282" s="188" t="s">
        <v>1603</v>
      </c>
      <c r="N282" s="1111"/>
    </row>
    <row r="283" spans="3:14" hidden="1">
      <c r="C283" s="1">
        <f t="shared" si="7"/>
        <v>3158</v>
      </c>
      <c r="D283" s="1">
        <f t="shared" si="8"/>
        <v>5</v>
      </c>
      <c r="E283" s="1">
        <f t="shared" si="10"/>
        <v>2017</v>
      </c>
      <c r="G283" s="186">
        <v>2</v>
      </c>
      <c r="H283" s="186">
        <v>-1</v>
      </c>
      <c r="I283" s="186">
        <v>2</v>
      </c>
      <c r="J283" s="115" t="s">
        <v>1498</v>
      </c>
      <c r="K283" s="115" t="s">
        <v>83</v>
      </c>
      <c r="L283" s="33" t="str">
        <f t="shared" si="11"/>
        <v/>
      </c>
      <c r="M283" s="188" t="s">
        <v>1604</v>
      </c>
      <c r="N283" s="1111"/>
    </row>
    <row r="284" spans="3:14" hidden="1">
      <c r="C284" s="1">
        <f t="shared" si="7"/>
        <v>3158</v>
      </c>
      <c r="D284" s="1">
        <f t="shared" si="8"/>
        <v>5</v>
      </c>
      <c r="E284" s="1">
        <f t="shared" si="10"/>
        <v>2017</v>
      </c>
      <c r="G284" s="186">
        <v>2</v>
      </c>
      <c r="H284" s="186">
        <v>-1</v>
      </c>
      <c r="I284" s="186">
        <v>13</v>
      </c>
      <c r="J284" s="115" t="s">
        <v>1498</v>
      </c>
      <c r="K284" s="115" t="s">
        <v>83</v>
      </c>
      <c r="L284" s="33" t="str">
        <f t="shared" si="11"/>
        <v/>
      </c>
      <c r="M284" s="188" t="s">
        <v>1605</v>
      </c>
      <c r="N284" s="1111"/>
    </row>
    <row r="285" spans="3:14" hidden="1">
      <c r="C285" s="1">
        <f t="shared" si="7"/>
        <v>3158</v>
      </c>
      <c r="D285" s="1">
        <f t="shared" si="8"/>
        <v>5</v>
      </c>
      <c r="E285" s="1">
        <f t="shared" si="10"/>
        <v>2017</v>
      </c>
      <c r="G285" s="186">
        <v>2</v>
      </c>
      <c r="H285" s="186">
        <v>-1</v>
      </c>
      <c r="I285" s="186">
        <v>12</v>
      </c>
      <c r="J285" s="115" t="s">
        <v>1498</v>
      </c>
      <c r="K285" s="115" t="s">
        <v>83</v>
      </c>
      <c r="L285" s="33" t="str">
        <f t="shared" si="11"/>
        <v/>
      </c>
      <c r="M285" s="188" t="s">
        <v>1606</v>
      </c>
      <c r="N285" s="1111"/>
    </row>
    <row r="286" spans="3:14" hidden="1">
      <c r="C286" s="1">
        <f t="shared" si="7"/>
        <v>3158</v>
      </c>
      <c r="D286" s="1">
        <f t="shared" si="8"/>
        <v>5</v>
      </c>
      <c r="E286" s="1">
        <f t="shared" si="10"/>
        <v>2017</v>
      </c>
      <c r="G286" s="186">
        <v>2</v>
      </c>
      <c r="H286" s="186">
        <v>-1</v>
      </c>
      <c r="I286" s="186">
        <v>10</v>
      </c>
      <c r="J286" s="115" t="s">
        <v>1498</v>
      </c>
      <c r="K286" s="115" t="s">
        <v>83</v>
      </c>
      <c r="L286" s="33" t="str">
        <f t="shared" si="11"/>
        <v/>
      </c>
      <c r="M286" s="188" t="s">
        <v>1607</v>
      </c>
      <c r="N286" s="1111"/>
    </row>
    <row r="287" spans="3:14" hidden="1">
      <c r="C287" s="1">
        <f t="shared" si="7"/>
        <v>3158</v>
      </c>
      <c r="D287" s="1">
        <f t="shared" si="8"/>
        <v>5</v>
      </c>
      <c r="E287" s="1">
        <f t="shared" si="10"/>
        <v>2017</v>
      </c>
      <c r="G287" s="186">
        <v>2</v>
      </c>
      <c r="H287" s="186">
        <v>-1</v>
      </c>
      <c r="I287" s="186">
        <v>25</v>
      </c>
      <c r="J287" s="115" t="s">
        <v>1498</v>
      </c>
      <c r="K287" s="115" t="s">
        <v>83</v>
      </c>
      <c r="L287" s="33" t="str">
        <f t="shared" si="11"/>
        <v/>
      </c>
      <c r="M287" s="188" t="s">
        <v>1608</v>
      </c>
      <c r="N287" s="1111"/>
    </row>
    <row r="288" spans="3:14" hidden="1">
      <c r="C288" s="1">
        <f t="shared" si="7"/>
        <v>3158</v>
      </c>
      <c r="D288" s="1">
        <f t="shared" si="8"/>
        <v>5</v>
      </c>
      <c r="E288" s="1">
        <f t="shared" si="10"/>
        <v>2017</v>
      </c>
      <c r="G288" s="186">
        <v>2</v>
      </c>
      <c r="H288" s="186">
        <v>-1</v>
      </c>
      <c r="I288" s="186">
        <v>8</v>
      </c>
      <c r="J288" s="115" t="s">
        <v>1498</v>
      </c>
      <c r="K288" s="115" t="s">
        <v>83</v>
      </c>
      <c r="L288" s="33" t="str">
        <f t="shared" si="11"/>
        <v/>
      </c>
      <c r="M288" s="188" t="s">
        <v>1609</v>
      </c>
      <c r="N288" s="1111"/>
    </row>
    <row r="289" spans="3:14" hidden="1">
      <c r="C289" s="1">
        <f t="shared" si="7"/>
        <v>3158</v>
      </c>
      <c r="D289" s="1">
        <f t="shared" si="8"/>
        <v>5</v>
      </c>
      <c r="E289" s="1">
        <f t="shared" si="10"/>
        <v>2017</v>
      </c>
      <c r="G289" s="186">
        <v>2</v>
      </c>
      <c r="H289" s="186">
        <v>-1</v>
      </c>
      <c r="I289" s="186">
        <v>18</v>
      </c>
      <c r="J289" s="115" t="s">
        <v>1498</v>
      </c>
      <c r="K289" s="115" t="s">
        <v>83</v>
      </c>
      <c r="L289" s="33" t="str">
        <f t="shared" si="11"/>
        <v/>
      </c>
      <c r="M289" s="188" t="s">
        <v>1610</v>
      </c>
      <c r="N289" s="1111"/>
    </row>
    <row r="290" spans="3:14" hidden="1">
      <c r="C290" s="1">
        <f t="shared" si="7"/>
        <v>3158</v>
      </c>
      <c r="D290" s="1">
        <f t="shared" si="8"/>
        <v>5</v>
      </c>
      <c r="E290" s="1">
        <f t="shared" si="10"/>
        <v>2017</v>
      </c>
      <c r="G290" s="186">
        <v>2</v>
      </c>
      <c r="H290" s="186">
        <v>-1</v>
      </c>
      <c r="I290" s="186">
        <v>26</v>
      </c>
      <c r="J290" s="115" t="s">
        <v>1498</v>
      </c>
      <c r="K290" s="115" t="s">
        <v>83</v>
      </c>
      <c r="L290" s="33" t="str">
        <f t="shared" si="11"/>
        <v/>
      </c>
      <c r="M290" s="188" t="s">
        <v>1611</v>
      </c>
      <c r="N290" s="1111"/>
    </row>
    <row r="291" spans="3:14" hidden="1">
      <c r="C291" s="1">
        <f t="shared" si="7"/>
        <v>3158</v>
      </c>
      <c r="D291" s="1">
        <f t="shared" si="8"/>
        <v>5</v>
      </c>
      <c r="E291" s="1">
        <f t="shared" si="10"/>
        <v>2017</v>
      </c>
      <c r="G291" s="186">
        <v>2</v>
      </c>
      <c r="H291" s="186">
        <v>-1</v>
      </c>
      <c r="I291" s="186">
        <v>3</v>
      </c>
      <c r="J291" s="115" t="s">
        <v>1498</v>
      </c>
      <c r="K291" s="115" t="s">
        <v>83</v>
      </c>
      <c r="L291" s="33" t="str">
        <f t="shared" si="11"/>
        <v/>
      </c>
      <c r="M291" s="188" t="s">
        <v>286</v>
      </c>
      <c r="N291" s="1111"/>
    </row>
    <row r="292" spans="3:14" hidden="1">
      <c r="C292" s="1">
        <f t="shared" si="7"/>
        <v>3158</v>
      </c>
      <c r="D292" s="1">
        <f t="shared" si="8"/>
        <v>5</v>
      </c>
      <c r="E292" s="1">
        <f t="shared" si="10"/>
        <v>2017</v>
      </c>
      <c r="G292" s="186">
        <v>2</v>
      </c>
      <c r="H292" s="186">
        <v>-1</v>
      </c>
      <c r="I292" s="186">
        <v>24</v>
      </c>
      <c r="J292" s="115" t="s">
        <v>1498</v>
      </c>
      <c r="K292" s="115" t="s">
        <v>83</v>
      </c>
      <c r="L292" s="33" t="str">
        <f t="shared" si="11"/>
        <v/>
      </c>
      <c r="M292" s="188" t="s">
        <v>287</v>
      </c>
      <c r="N292" s="1111"/>
    </row>
    <row r="293" spans="3:14" hidden="1">
      <c r="C293" s="1">
        <f t="shared" si="7"/>
        <v>3158</v>
      </c>
      <c r="D293" s="1">
        <f t="shared" si="8"/>
        <v>5</v>
      </c>
      <c r="E293" s="1">
        <f t="shared" si="10"/>
        <v>2017</v>
      </c>
      <c r="G293" s="186">
        <v>2</v>
      </c>
      <c r="H293" s="186">
        <v>-1</v>
      </c>
      <c r="I293" s="186">
        <v>7</v>
      </c>
      <c r="J293" s="115" t="s">
        <v>1498</v>
      </c>
      <c r="K293" s="115" t="s">
        <v>83</v>
      </c>
      <c r="L293" s="33" t="str">
        <f t="shared" si="11"/>
        <v/>
      </c>
      <c r="M293" s="188" t="s">
        <v>288</v>
      </c>
      <c r="N293" s="1111"/>
    </row>
    <row r="294" spans="3:14" hidden="1">
      <c r="C294" s="1">
        <f t="shared" si="7"/>
        <v>3158</v>
      </c>
      <c r="D294" s="1">
        <f t="shared" si="8"/>
        <v>5</v>
      </c>
      <c r="E294" s="1">
        <f t="shared" si="10"/>
        <v>2017</v>
      </c>
      <c r="G294" s="186">
        <v>2</v>
      </c>
      <c r="H294" s="186">
        <v>-1</v>
      </c>
      <c r="I294" s="186">
        <v>6</v>
      </c>
      <c r="J294" s="115" t="s">
        <v>1498</v>
      </c>
      <c r="K294" s="115" t="s">
        <v>83</v>
      </c>
      <c r="L294" s="33" t="str">
        <f t="shared" si="11"/>
        <v/>
      </c>
      <c r="M294" s="188" t="s">
        <v>289</v>
      </c>
      <c r="N294" s="1111"/>
    </row>
    <row r="295" spans="3:14" hidden="1">
      <c r="C295" s="1">
        <f t="shared" si="7"/>
        <v>3158</v>
      </c>
      <c r="D295" s="1">
        <f t="shared" si="8"/>
        <v>5</v>
      </c>
      <c r="E295" s="1">
        <f t="shared" si="10"/>
        <v>2017</v>
      </c>
      <c r="G295" s="186">
        <v>2</v>
      </c>
      <c r="H295" s="186">
        <v>-1</v>
      </c>
      <c r="I295" s="186">
        <v>17</v>
      </c>
      <c r="J295" s="115" t="s">
        <v>1498</v>
      </c>
      <c r="K295" s="115" t="s">
        <v>83</v>
      </c>
      <c r="L295" s="33" t="str">
        <f t="shared" si="11"/>
        <v/>
      </c>
      <c r="M295" s="188" t="s">
        <v>290</v>
      </c>
      <c r="N295" s="1111"/>
    </row>
    <row r="296" spans="3:14" hidden="1">
      <c r="C296" s="1">
        <f t="shared" si="7"/>
        <v>3158</v>
      </c>
      <c r="D296" s="1">
        <f t="shared" si="8"/>
        <v>5</v>
      </c>
      <c r="E296" s="1">
        <f t="shared" si="10"/>
        <v>2017</v>
      </c>
      <c r="G296" s="186">
        <v>2</v>
      </c>
      <c r="H296" s="186">
        <v>-1</v>
      </c>
      <c r="I296" s="186">
        <v>14</v>
      </c>
      <c r="J296" s="115" t="s">
        <v>1498</v>
      </c>
      <c r="K296" s="115" t="s">
        <v>83</v>
      </c>
      <c r="L296" s="33" t="str">
        <f t="shared" si="11"/>
        <v/>
      </c>
      <c r="M296" s="188" t="s">
        <v>291</v>
      </c>
      <c r="N296" s="1111"/>
    </row>
    <row r="297" spans="3:14" hidden="1">
      <c r="C297" s="1">
        <f t="shared" si="7"/>
        <v>3158</v>
      </c>
      <c r="D297" s="1">
        <f t="shared" si="8"/>
        <v>5</v>
      </c>
      <c r="E297" s="1">
        <f t="shared" si="10"/>
        <v>2017</v>
      </c>
      <c r="G297" s="186">
        <v>2</v>
      </c>
      <c r="H297" s="186">
        <v>-1</v>
      </c>
      <c r="I297" s="186">
        <v>11</v>
      </c>
      <c r="J297" s="115" t="s">
        <v>1498</v>
      </c>
      <c r="K297" s="115" t="s">
        <v>83</v>
      </c>
      <c r="L297" s="33" t="str">
        <f t="shared" si="11"/>
        <v/>
      </c>
      <c r="M297" s="188" t="s">
        <v>292</v>
      </c>
      <c r="N297" s="1111"/>
    </row>
    <row r="298" spans="3:14" hidden="1">
      <c r="C298" s="1">
        <f t="shared" si="7"/>
        <v>3158</v>
      </c>
      <c r="D298" s="1">
        <f t="shared" si="8"/>
        <v>5</v>
      </c>
      <c r="E298" s="1">
        <f t="shared" si="10"/>
        <v>2017</v>
      </c>
      <c r="G298" s="186">
        <v>2</v>
      </c>
      <c r="H298" s="186">
        <v>-1</v>
      </c>
      <c r="I298" s="186">
        <v>5</v>
      </c>
      <c r="J298" s="115" t="s">
        <v>1498</v>
      </c>
      <c r="K298" s="115" t="s">
        <v>83</v>
      </c>
      <c r="L298" s="33" t="str">
        <f t="shared" si="11"/>
        <v/>
      </c>
      <c r="M298" s="188" t="s">
        <v>293</v>
      </c>
      <c r="N298" s="1111"/>
    </row>
    <row r="299" spans="3:14" hidden="1">
      <c r="C299" s="1">
        <f t="shared" si="7"/>
        <v>3158</v>
      </c>
      <c r="D299" s="1">
        <f t="shared" si="8"/>
        <v>5</v>
      </c>
      <c r="E299" s="1">
        <f t="shared" si="10"/>
        <v>2017</v>
      </c>
      <c r="G299" s="186">
        <v>2</v>
      </c>
      <c r="H299" s="186">
        <v>-1</v>
      </c>
      <c r="I299" s="186">
        <v>20</v>
      </c>
      <c r="J299" s="115" t="s">
        <v>1498</v>
      </c>
      <c r="K299" s="115" t="s">
        <v>83</v>
      </c>
      <c r="L299" s="33" t="str">
        <f t="shared" si="11"/>
        <v/>
      </c>
      <c r="M299" s="188" t="s">
        <v>294</v>
      </c>
      <c r="N299" s="1111"/>
    </row>
    <row r="300" spans="3:14" hidden="1">
      <c r="C300" s="1">
        <f t="shared" ref="C300:C363" si="12">F$1</f>
        <v>3158</v>
      </c>
      <c r="D300" s="1">
        <f t="shared" ref="D300:D363" si="13">D$58</f>
        <v>5</v>
      </c>
      <c r="E300" s="1">
        <f t="shared" si="10"/>
        <v>2017</v>
      </c>
      <c r="G300" s="186">
        <v>2</v>
      </c>
      <c r="H300" s="186">
        <v>-1</v>
      </c>
      <c r="I300" s="186">
        <v>21</v>
      </c>
      <c r="J300" s="115" t="s">
        <v>1498</v>
      </c>
      <c r="K300" s="115" t="s">
        <v>83</v>
      </c>
      <c r="L300" s="33" t="str">
        <f t="shared" si="11"/>
        <v/>
      </c>
      <c r="M300" s="188" t="s">
        <v>295</v>
      </c>
      <c r="N300" s="1111"/>
    </row>
    <row r="301" spans="3:14" hidden="1">
      <c r="C301" s="1">
        <f t="shared" si="12"/>
        <v>3158</v>
      </c>
      <c r="D301" s="1">
        <f t="shared" si="13"/>
        <v>5</v>
      </c>
      <c r="E301" s="1">
        <f t="shared" si="10"/>
        <v>2017</v>
      </c>
      <c r="G301" s="186">
        <v>2</v>
      </c>
      <c r="H301" s="186">
        <v>-1</v>
      </c>
      <c r="I301" s="186">
        <v>4</v>
      </c>
      <c r="J301" s="115" t="s">
        <v>1498</v>
      </c>
      <c r="K301" s="115" t="s">
        <v>83</v>
      </c>
      <c r="L301" s="33" t="str">
        <f t="shared" si="11"/>
        <v/>
      </c>
      <c r="M301" s="188" t="s">
        <v>296</v>
      </c>
      <c r="N301" s="1111"/>
    </row>
    <row r="302" spans="3:14" hidden="1">
      <c r="C302" s="1">
        <f t="shared" si="12"/>
        <v>3158</v>
      </c>
      <c r="D302" s="1">
        <f t="shared" si="13"/>
        <v>5</v>
      </c>
      <c r="E302" s="1">
        <f t="shared" si="10"/>
        <v>2017</v>
      </c>
      <c r="G302" s="186">
        <v>2</v>
      </c>
      <c r="H302" s="186">
        <v>-1</v>
      </c>
      <c r="I302" s="186">
        <v>22</v>
      </c>
      <c r="J302" s="115" t="s">
        <v>1498</v>
      </c>
      <c r="K302" s="115" t="s">
        <v>83</v>
      </c>
      <c r="L302" s="33" t="str">
        <f t="shared" si="11"/>
        <v/>
      </c>
      <c r="M302" s="188" t="s">
        <v>297</v>
      </c>
      <c r="N302" s="1111"/>
    </row>
    <row r="303" spans="3:14" hidden="1">
      <c r="C303" s="1">
        <f t="shared" si="12"/>
        <v>3158</v>
      </c>
      <c r="D303" s="1">
        <f t="shared" si="13"/>
        <v>5</v>
      </c>
      <c r="E303" s="1">
        <f t="shared" si="10"/>
        <v>2017</v>
      </c>
      <c r="G303" s="186">
        <v>2</v>
      </c>
      <c r="H303" s="186">
        <v>-1</v>
      </c>
      <c r="I303" s="186">
        <v>23</v>
      </c>
      <c r="J303" s="115" t="s">
        <v>1498</v>
      </c>
      <c r="K303" s="115" t="s">
        <v>83</v>
      </c>
      <c r="L303" s="33">
        <f t="shared" si="11"/>
        <v>35</v>
      </c>
      <c r="M303" s="188" t="s">
        <v>298</v>
      </c>
      <c r="N303" s="1111"/>
    </row>
    <row r="304" spans="3:14" hidden="1">
      <c r="C304" s="1">
        <f t="shared" si="12"/>
        <v>3158</v>
      </c>
      <c r="D304" s="1">
        <f t="shared" si="13"/>
        <v>5</v>
      </c>
      <c r="E304" s="1">
        <f t="shared" si="10"/>
        <v>2017</v>
      </c>
      <c r="G304" s="186">
        <v>2</v>
      </c>
      <c r="H304" s="186">
        <v>-1</v>
      </c>
      <c r="I304" s="186">
        <v>9</v>
      </c>
      <c r="J304" s="115" t="s">
        <v>1498</v>
      </c>
      <c r="K304" s="115" t="s">
        <v>83</v>
      </c>
      <c r="L304" s="33" t="str">
        <f t="shared" si="11"/>
        <v/>
      </c>
      <c r="M304" s="188" t="s">
        <v>299</v>
      </c>
      <c r="N304" s="1111"/>
    </row>
    <row r="305" spans="3:14" hidden="1">
      <c r="C305" s="1">
        <f t="shared" si="12"/>
        <v>3158</v>
      </c>
      <c r="D305" s="1">
        <f t="shared" si="13"/>
        <v>5</v>
      </c>
      <c r="E305" s="1">
        <f t="shared" si="10"/>
        <v>2017</v>
      </c>
      <c r="G305" s="186">
        <v>2</v>
      </c>
      <c r="H305" s="186">
        <v>-1</v>
      </c>
      <c r="I305" s="186">
        <v>1</v>
      </c>
      <c r="J305" s="115" t="s">
        <v>1498</v>
      </c>
      <c r="K305" s="115" t="s">
        <v>83</v>
      </c>
      <c r="L305" s="33" t="str">
        <f t="shared" si="11"/>
        <v/>
      </c>
      <c r="M305" s="188" t="s">
        <v>300</v>
      </c>
      <c r="N305" s="1111"/>
    </row>
    <row r="306" spans="3:14" hidden="1">
      <c r="C306" s="1">
        <f t="shared" si="12"/>
        <v>3158</v>
      </c>
      <c r="D306" s="1">
        <f t="shared" si="13"/>
        <v>5</v>
      </c>
      <c r="E306" s="1">
        <f t="shared" si="10"/>
        <v>2017</v>
      </c>
      <c r="G306" s="186">
        <v>2</v>
      </c>
      <c r="H306" s="186">
        <v>-1</v>
      </c>
      <c r="I306" s="186">
        <v>-1</v>
      </c>
      <c r="J306" s="115" t="s">
        <v>1498</v>
      </c>
      <c r="K306" s="115" t="s">
        <v>83</v>
      </c>
      <c r="L306" s="33" t="str">
        <f t="shared" si="11"/>
        <v/>
      </c>
      <c r="M306" s="188" t="s">
        <v>301</v>
      </c>
      <c r="N306" s="1111"/>
    </row>
    <row r="307" spans="3:14" hidden="1">
      <c r="C307" s="1">
        <f t="shared" si="12"/>
        <v>3158</v>
      </c>
      <c r="D307" s="1">
        <f t="shared" si="13"/>
        <v>5</v>
      </c>
      <c r="E307" s="1">
        <f t="shared" si="10"/>
        <v>2017</v>
      </c>
      <c r="G307" s="186">
        <v>3</v>
      </c>
      <c r="H307" s="186">
        <v>-1</v>
      </c>
      <c r="I307" s="186">
        <v>19</v>
      </c>
      <c r="J307" s="115" t="s">
        <v>1498</v>
      </c>
      <c r="K307" s="115" t="s">
        <v>83</v>
      </c>
      <c r="L307" s="33" t="str">
        <f t="shared" ref="L307:L333" si="14">IF(ISBLANK(K21),"",K21)</f>
        <v/>
      </c>
      <c r="M307" s="188" t="s">
        <v>1377</v>
      </c>
      <c r="N307" s="1111"/>
    </row>
    <row r="308" spans="3:14" hidden="1">
      <c r="C308" s="1">
        <f t="shared" si="12"/>
        <v>3158</v>
      </c>
      <c r="D308" s="1">
        <f t="shared" si="13"/>
        <v>5</v>
      </c>
      <c r="E308" s="1">
        <f t="shared" si="10"/>
        <v>2017</v>
      </c>
      <c r="G308" s="186">
        <v>3</v>
      </c>
      <c r="H308" s="186">
        <v>-1</v>
      </c>
      <c r="I308" s="186">
        <v>16</v>
      </c>
      <c r="J308" s="115" t="s">
        <v>1498</v>
      </c>
      <c r="K308" s="115" t="s">
        <v>83</v>
      </c>
      <c r="L308" s="33" t="str">
        <f t="shared" si="14"/>
        <v/>
      </c>
      <c r="M308" s="188" t="s">
        <v>1378</v>
      </c>
      <c r="N308" s="1111"/>
    </row>
    <row r="309" spans="3:14" hidden="1">
      <c r="C309" s="1">
        <f t="shared" si="12"/>
        <v>3158</v>
      </c>
      <c r="D309" s="1">
        <f t="shared" si="13"/>
        <v>5</v>
      </c>
      <c r="E309" s="1">
        <f t="shared" si="10"/>
        <v>2017</v>
      </c>
      <c r="G309" s="186">
        <v>3</v>
      </c>
      <c r="H309" s="186">
        <v>-1</v>
      </c>
      <c r="I309" s="186">
        <v>15</v>
      </c>
      <c r="J309" s="115" t="s">
        <v>1498</v>
      </c>
      <c r="K309" s="115" t="s">
        <v>83</v>
      </c>
      <c r="L309" s="33" t="str">
        <f t="shared" si="14"/>
        <v/>
      </c>
      <c r="M309" s="188" t="s">
        <v>1379</v>
      </c>
      <c r="N309" s="1111"/>
    </row>
    <row r="310" spans="3:14" hidden="1">
      <c r="C310" s="1">
        <f t="shared" si="12"/>
        <v>3158</v>
      </c>
      <c r="D310" s="1">
        <f t="shared" si="13"/>
        <v>5</v>
      </c>
      <c r="E310" s="1">
        <f t="shared" si="10"/>
        <v>2017</v>
      </c>
      <c r="G310" s="186">
        <v>3</v>
      </c>
      <c r="H310" s="186">
        <v>-1</v>
      </c>
      <c r="I310" s="186">
        <v>2</v>
      </c>
      <c r="J310" s="115" t="s">
        <v>1498</v>
      </c>
      <c r="K310" s="115" t="s">
        <v>83</v>
      </c>
      <c r="L310" s="33" t="str">
        <f t="shared" si="14"/>
        <v/>
      </c>
      <c r="M310" s="188" t="s">
        <v>1380</v>
      </c>
      <c r="N310" s="1111"/>
    </row>
    <row r="311" spans="3:14" hidden="1">
      <c r="C311" s="1">
        <f t="shared" si="12"/>
        <v>3158</v>
      </c>
      <c r="D311" s="1">
        <f t="shared" si="13"/>
        <v>5</v>
      </c>
      <c r="E311" s="1">
        <f t="shared" si="10"/>
        <v>2017</v>
      </c>
      <c r="G311" s="186">
        <v>3</v>
      </c>
      <c r="H311" s="186">
        <v>-1</v>
      </c>
      <c r="I311" s="186">
        <v>13</v>
      </c>
      <c r="J311" s="115" t="s">
        <v>1498</v>
      </c>
      <c r="K311" s="115" t="s">
        <v>83</v>
      </c>
      <c r="L311" s="33" t="str">
        <f t="shared" si="14"/>
        <v/>
      </c>
      <c r="M311" s="188" t="s">
        <v>1381</v>
      </c>
      <c r="N311" s="1111"/>
    </row>
    <row r="312" spans="3:14" hidden="1">
      <c r="C312" s="1">
        <f t="shared" si="12"/>
        <v>3158</v>
      </c>
      <c r="D312" s="1">
        <f t="shared" si="13"/>
        <v>5</v>
      </c>
      <c r="E312" s="1">
        <f t="shared" si="10"/>
        <v>2017</v>
      </c>
      <c r="G312" s="186">
        <v>3</v>
      </c>
      <c r="H312" s="186">
        <v>-1</v>
      </c>
      <c r="I312" s="186">
        <v>12</v>
      </c>
      <c r="J312" s="115" t="s">
        <v>1498</v>
      </c>
      <c r="K312" s="115" t="s">
        <v>83</v>
      </c>
      <c r="L312" s="33" t="str">
        <f t="shared" si="14"/>
        <v/>
      </c>
      <c r="M312" s="188" t="s">
        <v>302</v>
      </c>
      <c r="N312" s="1111"/>
    </row>
    <row r="313" spans="3:14" hidden="1">
      <c r="C313" s="1">
        <f t="shared" si="12"/>
        <v>3158</v>
      </c>
      <c r="D313" s="1">
        <f t="shared" si="13"/>
        <v>5</v>
      </c>
      <c r="E313" s="1">
        <f t="shared" si="10"/>
        <v>2017</v>
      </c>
      <c r="G313" s="186">
        <v>3</v>
      </c>
      <c r="H313" s="186">
        <v>-1</v>
      </c>
      <c r="I313" s="186">
        <v>10</v>
      </c>
      <c r="J313" s="115" t="s">
        <v>1498</v>
      </c>
      <c r="K313" s="115" t="s">
        <v>83</v>
      </c>
      <c r="L313" s="33" t="str">
        <f t="shared" si="14"/>
        <v/>
      </c>
      <c r="M313" s="188" t="s">
        <v>303</v>
      </c>
      <c r="N313" s="1111"/>
    </row>
    <row r="314" spans="3:14" hidden="1">
      <c r="C314" s="1">
        <f t="shared" si="12"/>
        <v>3158</v>
      </c>
      <c r="D314" s="1">
        <f t="shared" si="13"/>
        <v>5</v>
      </c>
      <c r="E314" s="1">
        <f t="shared" si="10"/>
        <v>2017</v>
      </c>
      <c r="G314" s="186">
        <v>3</v>
      </c>
      <c r="H314" s="186">
        <v>-1</v>
      </c>
      <c r="I314" s="186">
        <v>25</v>
      </c>
      <c r="J314" s="115" t="s">
        <v>1498</v>
      </c>
      <c r="K314" s="115" t="s">
        <v>83</v>
      </c>
      <c r="L314" s="33" t="str">
        <f t="shared" si="14"/>
        <v/>
      </c>
      <c r="M314" s="188" t="s">
        <v>304</v>
      </c>
      <c r="N314" s="1111"/>
    </row>
    <row r="315" spans="3:14" hidden="1">
      <c r="C315" s="1">
        <f t="shared" si="12"/>
        <v>3158</v>
      </c>
      <c r="D315" s="1">
        <f t="shared" si="13"/>
        <v>5</v>
      </c>
      <c r="E315" s="1">
        <f t="shared" si="10"/>
        <v>2017</v>
      </c>
      <c r="G315" s="186">
        <v>3</v>
      </c>
      <c r="H315" s="186">
        <v>-1</v>
      </c>
      <c r="I315" s="186">
        <v>8</v>
      </c>
      <c r="J315" s="115" t="s">
        <v>1498</v>
      </c>
      <c r="K315" s="115" t="s">
        <v>83</v>
      </c>
      <c r="L315" s="33" t="str">
        <f t="shared" si="14"/>
        <v/>
      </c>
      <c r="M315" s="188" t="s">
        <v>305</v>
      </c>
      <c r="N315" s="1111"/>
    </row>
    <row r="316" spans="3:14" hidden="1">
      <c r="C316" s="1">
        <f t="shared" si="12"/>
        <v>3158</v>
      </c>
      <c r="D316" s="1">
        <f t="shared" si="13"/>
        <v>5</v>
      </c>
      <c r="E316" s="1">
        <f t="shared" si="10"/>
        <v>2017</v>
      </c>
      <c r="G316" s="186">
        <v>3</v>
      </c>
      <c r="H316" s="186">
        <v>-1</v>
      </c>
      <c r="I316" s="186">
        <v>18</v>
      </c>
      <c r="J316" s="115" t="s">
        <v>1498</v>
      </c>
      <c r="K316" s="115" t="s">
        <v>83</v>
      </c>
      <c r="L316" s="33" t="str">
        <f t="shared" si="14"/>
        <v/>
      </c>
      <c r="M316" s="188" t="s">
        <v>306</v>
      </c>
      <c r="N316" s="1111"/>
    </row>
    <row r="317" spans="3:14" hidden="1">
      <c r="C317" s="1">
        <f t="shared" si="12"/>
        <v>3158</v>
      </c>
      <c r="D317" s="1">
        <f t="shared" si="13"/>
        <v>5</v>
      </c>
      <c r="E317" s="1">
        <f t="shared" si="10"/>
        <v>2017</v>
      </c>
      <c r="G317" s="186">
        <v>3</v>
      </c>
      <c r="H317" s="186">
        <v>-1</v>
      </c>
      <c r="I317" s="186">
        <v>26</v>
      </c>
      <c r="J317" s="115" t="s">
        <v>1498</v>
      </c>
      <c r="K317" s="115" t="s">
        <v>83</v>
      </c>
      <c r="L317" s="33" t="str">
        <f t="shared" si="14"/>
        <v/>
      </c>
      <c r="M317" s="188" t="s">
        <v>307</v>
      </c>
      <c r="N317" s="1111"/>
    </row>
    <row r="318" spans="3:14" hidden="1">
      <c r="C318" s="1">
        <f t="shared" si="12"/>
        <v>3158</v>
      </c>
      <c r="D318" s="1">
        <f t="shared" si="13"/>
        <v>5</v>
      </c>
      <c r="E318" s="1">
        <f t="shared" ref="E318:E381" si="15">D$1</f>
        <v>2017</v>
      </c>
      <c r="G318" s="186">
        <v>3</v>
      </c>
      <c r="H318" s="186">
        <v>-1</v>
      </c>
      <c r="I318" s="186">
        <v>3</v>
      </c>
      <c r="J318" s="115" t="s">
        <v>1498</v>
      </c>
      <c r="K318" s="115" t="s">
        <v>83</v>
      </c>
      <c r="L318" s="33" t="str">
        <f t="shared" si="14"/>
        <v/>
      </c>
      <c r="M318" s="188" t="s">
        <v>308</v>
      </c>
      <c r="N318" s="1111"/>
    </row>
    <row r="319" spans="3:14" hidden="1">
      <c r="C319" s="1">
        <f t="shared" si="12"/>
        <v>3158</v>
      </c>
      <c r="D319" s="1">
        <f t="shared" si="13"/>
        <v>5</v>
      </c>
      <c r="E319" s="1">
        <f t="shared" si="15"/>
        <v>2017</v>
      </c>
      <c r="G319" s="186">
        <v>3</v>
      </c>
      <c r="H319" s="186">
        <v>-1</v>
      </c>
      <c r="I319" s="186">
        <v>24</v>
      </c>
      <c r="J319" s="115" t="s">
        <v>1498</v>
      </c>
      <c r="K319" s="115" t="s">
        <v>83</v>
      </c>
      <c r="L319" s="33" t="str">
        <f t="shared" si="14"/>
        <v/>
      </c>
      <c r="M319" s="188" t="s">
        <v>309</v>
      </c>
      <c r="N319" s="1111"/>
    </row>
    <row r="320" spans="3:14" hidden="1">
      <c r="C320" s="1">
        <f t="shared" si="12"/>
        <v>3158</v>
      </c>
      <c r="D320" s="1">
        <f t="shared" si="13"/>
        <v>5</v>
      </c>
      <c r="E320" s="1">
        <f t="shared" si="15"/>
        <v>2017</v>
      </c>
      <c r="G320" s="186">
        <v>3</v>
      </c>
      <c r="H320" s="186">
        <v>-1</v>
      </c>
      <c r="I320" s="186">
        <v>7</v>
      </c>
      <c r="J320" s="115" t="s">
        <v>1498</v>
      </c>
      <c r="K320" s="115" t="s">
        <v>83</v>
      </c>
      <c r="L320" s="33" t="str">
        <f t="shared" si="14"/>
        <v/>
      </c>
      <c r="M320" s="188" t="s">
        <v>310</v>
      </c>
      <c r="N320" s="1111"/>
    </row>
    <row r="321" spans="3:14" hidden="1">
      <c r="C321" s="1">
        <f t="shared" si="12"/>
        <v>3158</v>
      </c>
      <c r="D321" s="1">
        <f t="shared" si="13"/>
        <v>5</v>
      </c>
      <c r="E321" s="1">
        <f t="shared" si="15"/>
        <v>2017</v>
      </c>
      <c r="G321" s="186">
        <v>3</v>
      </c>
      <c r="H321" s="186">
        <v>-1</v>
      </c>
      <c r="I321" s="186">
        <v>6</v>
      </c>
      <c r="J321" s="115" t="s">
        <v>1498</v>
      </c>
      <c r="K321" s="115" t="s">
        <v>83</v>
      </c>
      <c r="L321" s="33" t="str">
        <f t="shared" si="14"/>
        <v/>
      </c>
      <c r="M321" s="188" t="s">
        <v>311</v>
      </c>
      <c r="N321" s="1111"/>
    </row>
    <row r="322" spans="3:14" hidden="1">
      <c r="C322" s="1">
        <f t="shared" si="12"/>
        <v>3158</v>
      </c>
      <c r="D322" s="1">
        <f t="shared" si="13"/>
        <v>5</v>
      </c>
      <c r="E322" s="1">
        <f t="shared" si="15"/>
        <v>2017</v>
      </c>
      <c r="G322" s="186">
        <v>3</v>
      </c>
      <c r="H322" s="186">
        <v>-1</v>
      </c>
      <c r="I322" s="186">
        <v>17</v>
      </c>
      <c r="J322" s="115" t="s">
        <v>1498</v>
      </c>
      <c r="K322" s="115" t="s">
        <v>83</v>
      </c>
      <c r="L322" s="33" t="str">
        <f t="shared" si="14"/>
        <v/>
      </c>
      <c r="M322" s="188" t="s">
        <v>312</v>
      </c>
      <c r="N322" s="1111"/>
    </row>
    <row r="323" spans="3:14" hidden="1">
      <c r="C323" s="1">
        <f t="shared" si="12"/>
        <v>3158</v>
      </c>
      <c r="D323" s="1">
        <f t="shared" si="13"/>
        <v>5</v>
      </c>
      <c r="E323" s="1">
        <f t="shared" si="15"/>
        <v>2017</v>
      </c>
      <c r="G323" s="186">
        <v>3</v>
      </c>
      <c r="H323" s="186">
        <v>-1</v>
      </c>
      <c r="I323" s="186">
        <v>14</v>
      </c>
      <c r="J323" s="115" t="s">
        <v>1498</v>
      </c>
      <c r="K323" s="115" t="s">
        <v>83</v>
      </c>
      <c r="L323" s="33" t="str">
        <f t="shared" si="14"/>
        <v/>
      </c>
      <c r="M323" s="188" t="s">
        <v>313</v>
      </c>
      <c r="N323" s="1111"/>
    </row>
    <row r="324" spans="3:14" hidden="1">
      <c r="C324" s="1">
        <f t="shared" si="12"/>
        <v>3158</v>
      </c>
      <c r="D324" s="1">
        <f t="shared" si="13"/>
        <v>5</v>
      </c>
      <c r="E324" s="1">
        <f t="shared" si="15"/>
        <v>2017</v>
      </c>
      <c r="G324" s="186">
        <v>3</v>
      </c>
      <c r="H324" s="186">
        <v>-1</v>
      </c>
      <c r="I324" s="186">
        <v>11</v>
      </c>
      <c r="J324" s="115" t="s">
        <v>1498</v>
      </c>
      <c r="K324" s="115" t="s">
        <v>83</v>
      </c>
      <c r="L324" s="33" t="str">
        <f t="shared" si="14"/>
        <v/>
      </c>
      <c r="M324" s="188" t="s">
        <v>314</v>
      </c>
      <c r="N324" s="1111"/>
    </row>
    <row r="325" spans="3:14" hidden="1">
      <c r="C325" s="1">
        <f t="shared" si="12"/>
        <v>3158</v>
      </c>
      <c r="D325" s="1">
        <f t="shared" si="13"/>
        <v>5</v>
      </c>
      <c r="E325" s="1">
        <f t="shared" si="15"/>
        <v>2017</v>
      </c>
      <c r="G325" s="186">
        <v>3</v>
      </c>
      <c r="H325" s="186">
        <v>-1</v>
      </c>
      <c r="I325" s="186">
        <v>5</v>
      </c>
      <c r="J325" s="115" t="s">
        <v>1498</v>
      </c>
      <c r="K325" s="115" t="s">
        <v>83</v>
      </c>
      <c r="L325" s="33" t="str">
        <f t="shared" si="14"/>
        <v/>
      </c>
      <c r="M325" s="188" t="s">
        <v>315</v>
      </c>
      <c r="N325" s="1111"/>
    </row>
    <row r="326" spans="3:14" hidden="1">
      <c r="C326" s="1">
        <f t="shared" si="12"/>
        <v>3158</v>
      </c>
      <c r="D326" s="1">
        <f t="shared" si="13"/>
        <v>5</v>
      </c>
      <c r="E326" s="1">
        <f t="shared" si="15"/>
        <v>2017</v>
      </c>
      <c r="G326" s="186">
        <v>3</v>
      </c>
      <c r="H326" s="186">
        <v>-1</v>
      </c>
      <c r="I326" s="186">
        <v>20</v>
      </c>
      <c r="J326" s="115" t="s">
        <v>1498</v>
      </c>
      <c r="K326" s="115" t="s">
        <v>83</v>
      </c>
      <c r="L326" s="33" t="str">
        <f t="shared" si="14"/>
        <v/>
      </c>
      <c r="M326" s="188" t="s">
        <v>316</v>
      </c>
      <c r="N326" s="1111"/>
    </row>
    <row r="327" spans="3:14" hidden="1">
      <c r="C327" s="1">
        <f t="shared" si="12"/>
        <v>3158</v>
      </c>
      <c r="D327" s="1">
        <f t="shared" si="13"/>
        <v>5</v>
      </c>
      <c r="E327" s="1">
        <f t="shared" si="15"/>
        <v>2017</v>
      </c>
      <c r="G327" s="186">
        <v>3</v>
      </c>
      <c r="H327" s="186">
        <v>-1</v>
      </c>
      <c r="I327" s="186">
        <v>21</v>
      </c>
      <c r="J327" s="115" t="s">
        <v>1498</v>
      </c>
      <c r="K327" s="115" t="s">
        <v>83</v>
      </c>
      <c r="L327" s="33" t="str">
        <f t="shared" si="14"/>
        <v/>
      </c>
      <c r="M327" s="188" t="s">
        <v>317</v>
      </c>
      <c r="N327" s="1111"/>
    </row>
    <row r="328" spans="3:14" hidden="1">
      <c r="C328" s="1">
        <f t="shared" si="12"/>
        <v>3158</v>
      </c>
      <c r="D328" s="1">
        <f t="shared" si="13"/>
        <v>5</v>
      </c>
      <c r="E328" s="1">
        <f t="shared" si="15"/>
        <v>2017</v>
      </c>
      <c r="G328" s="186">
        <v>3</v>
      </c>
      <c r="H328" s="186">
        <v>-1</v>
      </c>
      <c r="I328" s="186">
        <v>4</v>
      </c>
      <c r="J328" s="115" t="s">
        <v>1498</v>
      </c>
      <c r="K328" s="115" t="s">
        <v>83</v>
      </c>
      <c r="L328" s="33" t="str">
        <f t="shared" si="14"/>
        <v/>
      </c>
      <c r="M328" s="188" t="s">
        <v>318</v>
      </c>
      <c r="N328" s="1111"/>
    </row>
    <row r="329" spans="3:14" hidden="1">
      <c r="C329" s="1">
        <f t="shared" si="12"/>
        <v>3158</v>
      </c>
      <c r="D329" s="1">
        <f t="shared" si="13"/>
        <v>5</v>
      </c>
      <c r="E329" s="1">
        <f t="shared" si="15"/>
        <v>2017</v>
      </c>
      <c r="G329" s="186">
        <v>3</v>
      </c>
      <c r="H329" s="186">
        <v>-1</v>
      </c>
      <c r="I329" s="186">
        <v>22</v>
      </c>
      <c r="J329" s="115" t="s">
        <v>1498</v>
      </c>
      <c r="K329" s="115" t="s">
        <v>83</v>
      </c>
      <c r="L329" s="33" t="str">
        <f t="shared" si="14"/>
        <v/>
      </c>
      <c r="M329" s="188" t="s">
        <v>319</v>
      </c>
      <c r="N329" s="1111"/>
    </row>
    <row r="330" spans="3:14" hidden="1">
      <c r="C330" s="1">
        <f t="shared" si="12"/>
        <v>3158</v>
      </c>
      <c r="D330" s="1">
        <f t="shared" si="13"/>
        <v>5</v>
      </c>
      <c r="E330" s="1">
        <f t="shared" si="15"/>
        <v>2017</v>
      </c>
      <c r="G330" s="186">
        <v>3</v>
      </c>
      <c r="H330" s="186">
        <v>-1</v>
      </c>
      <c r="I330" s="186">
        <v>23</v>
      </c>
      <c r="J330" s="115" t="s">
        <v>1498</v>
      </c>
      <c r="K330" s="115" t="s">
        <v>83</v>
      </c>
      <c r="L330" s="33" t="str">
        <f t="shared" si="14"/>
        <v/>
      </c>
      <c r="M330" s="188" t="s">
        <v>320</v>
      </c>
      <c r="N330" s="1111"/>
    </row>
    <row r="331" spans="3:14" hidden="1">
      <c r="C331" s="1">
        <f t="shared" si="12"/>
        <v>3158</v>
      </c>
      <c r="D331" s="1">
        <f t="shared" si="13"/>
        <v>5</v>
      </c>
      <c r="E331" s="1">
        <f t="shared" si="15"/>
        <v>2017</v>
      </c>
      <c r="G331" s="186">
        <v>3</v>
      </c>
      <c r="H331" s="186">
        <v>-1</v>
      </c>
      <c r="I331" s="186">
        <v>9</v>
      </c>
      <c r="J331" s="115" t="s">
        <v>1498</v>
      </c>
      <c r="K331" s="115" t="s">
        <v>83</v>
      </c>
      <c r="L331" s="33" t="str">
        <f t="shared" si="14"/>
        <v/>
      </c>
      <c r="M331" s="188" t="s">
        <v>321</v>
      </c>
      <c r="N331" s="1111"/>
    </row>
    <row r="332" spans="3:14" hidden="1">
      <c r="C332" s="1">
        <f t="shared" si="12"/>
        <v>3158</v>
      </c>
      <c r="D332" s="1">
        <f t="shared" si="13"/>
        <v>5</v>
      </c>
      <c r="E332" s="1">
        <f t="shared" si="15"/>
        <v>2017</v>
      </c>
      <c r="G332" s="186">
        <v>3</v>
      </c>
      <c r="H332" s="186">
        <v>-1</v>
      </c>
      <c r="I332" s="186">
        <v>1</v>
      </c>
      <c r="J332" s="115" t="s">
        <v>1498</v>
      </c>
      <c r="K332" s="115" t="s">
        <v>83</v>
      </c>
      <c r="L332" s="33" t="str">
        <f t="shared" si="14"/>
        <v/>
      </c>
      <c r="M332" s="188" t="s">
        <v>322</v>
      </c>
      <c r="N332" s="1111"/>
    </row>
    <row r="333" spans="3:14" hidden="1">
      <c r="C333" s="1">
        <f t="shared" si="12"/>
        <v>3158</v>
      </c>
      <c r="D333" s="1">
        <f t="shared" si="13"/>
        <v>5</v>
      </c>
      <c r="E333" s="1">
        <f t="shared" si="15"/>
        <v>2017</v>
      </c>
      <c r="G333" s="186">
        <v>3</v>
      </c>
      <c r="H333" s="186">
        <v>-1</v>
      </c>
      <c r="I333" s="186">
        <v>-1</v>
      </c>
      <c r="J333" s="115" t="s">
        <v>1498</v>
      </c>
      <c r="K333" s="115" t="s">
        <v>83</v>
      </c>
      <c r="L333" s="33" t="str">
        <f t="shared" si="14"/>
        <v/>
      </c>
      <c r="M333" s="188" t="s">
        <v>323</v>
      </c>
      <c r="N333" s="1111"/>
    </row>
    <row r="334" spans="3:14" hidden="1">
      <c r="C334" s="1">
        <f t="shared" si="12"/>
        <v>3158</v>
      </c>
      <c r="D334" s="1">
        <f t="shared" si="13"/>
        <v>5</v>
      </c>
      <c r="E334" s="1">
        <f t="shared" si="15"/>
        <v>2017</v>
      </c>
      <c r="G334" s="186">
        <v>4</v>
      </c>
      <c r="H334" s="186">
        <v>-1</v>
      </c>
      <c r="I334" s="186">
        <v>19</v>
      </c>
      <c r="J334" s="115" t="s">
        <v>1498</v>
      </c>
      <c r="K334" s="115" t="s">
        <v>83</v>
      </c>
      <c r="L334" s="33" t="str">
        <f t="shared" ref="L334:L360" si="16">IF(ISBLANK(N21),"",N21)</f>
        <v/>
      </c>
      <c r="M334" s="237" t="s">
        <v>65</v>
      </c>
      <c r="N334" s="1111"/>
    </row>
    <row r="335" spans="3:14" hidden="1">
      <c r="C335" s="1">
        <f t="shared" si="12"/>
        <v>3158</v>
      </c>
      <c r="D335" s="1">
        <f t="shared" si="13"/>
        <v>5</v>
      </c>
      <c r="E335" s="1">
        <f t="shared" si="15"/>
        <v>2017</v>
      </c>
      <c r="G335" s="186">
        <v>4</v>
      </c>
      <c r="H335" s="186">
        <v>-1</v>
      </c>
      <c r="I335" s="186">
        <v>16</v>
      </c>
      <c r="J335" s="115" t="s">
        <v>1498</v>
      </c>
      <c r="K335" s="115" t="s">
        <v>83</v>
      </c>
      <c r="L335" s="33" t="str">
        <f t="shared" si="16"/>
        <v/>
      </c>
      <c r="M335" s="237" t="s">
        <v>66</v>
      </c>
      <c r="N335" s="1111"/>
    </row>
    <row r="336" spans="3:14" hidden="1">
      <c r="C336" s="1">
        <f t="shared" si="12"/>
        <v>3158</v>
      </c>
      <c r="D336" s="1">
        <f t="shared" si="13"/>
        <v>5</v>
      </c>
      <c r="E336" s="1">
        <f t="shared" si="15"/>
        <v>2017</v>
      </c>
      <c r="G336" s="186">
        <v>4</v>
      </c>
      <c r="H336" s="186">
        <v>-1</v>
      </c>
      <c r="I336" s="186">
        <v>15</v>
      </c>
      <c r="J336" s="115" t="s">
        <v>1498</v>
      </c>
      <c r="K336" s="115" t="s">
        <v>83</v>
      </c>
      <c r="L336" s="33" t="str">
        <f t="shared" si="16"/>
        <v/>
      </c>
      <c r="M336" s="237" t="s">
        <v>67</v>
      </c>
      <c r="N336" s="1111"/>
    </row>
    <row r="337" spans="3:14" hidden="1">
      <c r="C337" s="1">
        <f t="shared" si="12"/>
        <v>3158</v>
      </c>
      <c r="D337" s="1">
        <f t="shared" si="13"/>
        <v>5</v>
      </c>
      <c r="E337" s="1">
        <f t="shared" si="15"/>
        <v>2017</v>
      </c>
      <c r="G337" s="186">
        <v>4</v>
      </c>
      <c r="H337" s="186">
        <v>-1</v>
      </c>
      <c r="I337" s="186">
        <v>2</v>
      </c>
      <c r="J337" s="115" t="s">
        <v>1498</v>
      </c>
      <c r="K337" s="115" t="s">
        <v>83</v>
      </c>
      <c r="L337" s="33" t="str">
        <f t="shared" si="16"/>
        <v/>
      </c>
      <c r="M337" s="237" t="s">
        <v>68</v>
      </c>
      <c r="N337" s="1111"/>
    </row>
    <row r="338" spans="3:14" hidden="1">
      <c r="C338" s="1">
        <f t="shared" si="12"/>
        <v>3158</v>
      </c>
      <c r="D338" s="1">
        <f t="shared" si="13"/>
        <v>5</v>
      </c>
      <c r="E338" s="1">
        <f t="shared" si="15"/>
        <v>2017</v>
      </c>
      <c r="G338" s="186">
        <v>4</v>
      </c>
      <c r="H338" s="186">
        <v>-1</v>
      </c>
      <c r="I338" s="186">
        <v>13</v>
      </c>
      <c r="J338" s="115" t="s">
        <v>1498</v>
      </c>
      <c r="K338" s="115" t="s">
        <v>83</v>
      </c>
      <c r="L338" s="33" t="str">
        <f t="shared" si="16"/>
        <v/>
      </c>
      <c r="M338" s="237" t="s">
        <v>69</v>
      </c>
      <c r="N338" s="1111"/>
    </row>
    <row r="339" spans="3:14" hidden="1">
      <c r="C339" s="1">
        <f t="shared" si="12"/>
        <v>3158</v>
      </c>
      <c r="D339" s="1">
        <f t="shared" si="13"/>
        <v>5</v>
      </c>
      <c r="E339" s="1">
        <f t="shared" si="15"/>
        <v>2017</v>
      </c>
      <c r="G339" s="186">
        <v>4</v>
      </c>
      <c r="H339" s="186">
        <v>-1</v>
      </c>
      <c r="I339" s="186">
        <v>12</v>
      </c>
      <c r="J339" s="115" t="s">
        <v>1498</v>
      </c>
      <c r="K339" s="115" t="s">
        <v>83</v>
      </c>
      <c r="L339" s="33" t="str">
        <f t="shared" si="16"/>
        <v/>
      </c>
      <c r="M339" s="237" t="s">
        <v>1405</v>
      </c>
      <c r="N339" s="1111"/>
    </row>
    <row r="340" spans="3:14" hidden="1">
      <c r="C340" s="1">
        <f t="shared" si="12"/>
        <v>3158</v>
      </c>
      <c r="D340" s="1">
        <f t="shared" si="13"/>
        <v>5</v>
      </c>
      <c r="E340" s="1">
        <f t="shared" si="15"/>
        <v>2017</v>
      </c>
      <c r="G340" s="186">
        <v>4</v>
      </c>
      <c r="H340" s="186">
        <v>-1</v>
      </c>
      <c r="I340" s="186">
        <v>10</v>
      </c>
      <c r="J340" s="115" t="s">
        <v>1498</v>
      </c>
      <c r="K340" s="115" t="s">
        <v>83</v>
      </c>
      <c r="L340" s="33" t="str">
        <f t="shared" si="16"/>
        <v/>
      </c>
      <c r="M340" s="237" t="s">
        <v>1406</v>
      </c>
      <c r="N340" s="1111"/>
    </row>
    <row r="341" spans="3:14" ht="12.75" hidden="1" customHeight="1">
      <c r="C341" s="1">
        <f t="shared" si="12"/>
        <v>3158</v>
      </c>
      <c r="D341" s="1">
        <f t="shared" si="13"/>
        <v>5</v>
      </c>
      <c r="E341" s="1">
        <f t="shared" si="15"/>
        <v>2017</v>
      </c>
      <c r="G341" s="186">
        <v>4</v>
      </c>
      <c r="H341" s="186">
        <v>-1</v>
      </c>
      <c r="I341" s="186">
        <v>25</v>
      </c>
      <c r="J341" s="115" t="s">
        <v>1498</v>
      </c>
      <c r="K341" s="115" t="s">
        <v>83</v>
      </c>
      <c r="L341" s="33" t="str">
        <f t="shared" si="16"/>
        <v/>
      </c>
      <c r="M341" s="237" t="s">
        <v>1407</v>
      </c>
      <c r="N341" s="1111"/>
    </row>
    <row r="342" spans="3:14" hidden="1">
      <c r="C342" s="1">
        <f t="shared" si="12"/>
        <v>3158</v>
      </c>
      <c r="D342" s="1">
        <f t="shared" si="13"/>
        <v>5</v>
      </c>
      <c r="E342" s="1">
        <f t="shared" si="15"/>
        <v>2017</v>
      </c>
      <c r="G342" s="186">
        <v>4</v>
      </c>
      <c r="H342" s="186">
        <v>-1</v>
      </c>
      <c r="I342" s="186">
        <v>8</v>
      </c>
      <c r="J342" s="115" t="s">
        <v>1498</v>
      </c>
      <c r="K342" s="115" t="s">
        <v>83</v>
      </c>
      <c r="L342" s="33" t="str">
        <f t="shared" si="16"/>
        <v/>
      </c>
      <c r="M342" s="237" t="s">
        <v>1408</v>
      </c>
      <c r="N342" s="1111"/>
    </row>
    <row r="343" spans="3:14" hidden="1">
      <c r="C343" s="1">
        <f t="shared" si="12"/>
        <v>3158</v>
      </c>
      <c r="D343" s="1">
        <f t="shared" si="13"/>
        <v>5</v>
      </c>
      <c r="E343" s="1">
        <f t="shared" si="15"/>
        <v>2017</v>
      </c>
      <c r="G343" s="186">
        <v>4</v>
      </c>
      <c r="H343" s="186">
        <v>-1</v>
      </c>
      <c r="I343" s="186">
        <v>18</v>
      </c>
      <c r="J343" s="115" t="s">
        <v>1498</v>
      </c>
      <c r="K343" s="115" t="s">
        <v>83</v>
      </c>
      <c r="L343" s="33" t="str">
        <f t="shared" si="16"/>
        <v/>
      </c>
      <c r="M343" s="237" t="s">
        <v>1409</v>
      </c>
      <c r="N343" s="1111"/>
    </row>
    <row r="344" spans="3:14" hidden="1">
      <c r="C344" s="1">
        <f t="shared" si="12"/>
        <v>3158</v>
      </c>
      <c r="D344" s="1">
        <f t="shared" si="13"/>
        <v>5</v>
      </c>
      <c r="E344" s="1">
        <f t="shared" si="15"/>
        <v>2017</v>
      </c>
      <c r="G344" s="186">
        <v>4</v>
      </c>
      <c r="H344" s="186">
        <v>-1</v>
      </c>
      <c r="I344" s="186">
        <v>26</v>
      </c>
      <c r="J344" s="115" t="s">
        <v>1498</v>
      </c>
      <c r="K344" s="115" t="s">
        <v>83</v>
      </c>
      <c r="L344" s="33" t="str">
        <f t="shared" si="16"/>
        <v/>
      </c>
      <c r="M344" s="237" t="s">
        <v>1410</v>
      </c>
      <c r="N344" s="1111"/>
    </row>
    <row r="345" spans="3:14" hidden="1">
      <c r="C345" s="1">
        <f t="shared" si="12"/>
        <v>3158</v>
      </c>
      <c r="D345" s="1">
        <f t="shared" si="13"/>
        <v>5</v>
      </c>
      <c r="E345" s="1">
        <f t="shared" si="15"/>
        <v>2017</v>
      </c>
      <c r="G345" s="186">
        <v>4</v>
      </c>
      <c r="H345" s="186">
        <v>-1</v>
      </c>
      <c r="I345" s="186">
        <v>3</v>
      </c>
      <c r="J345" s="115" t="s">
        <v>1498</v>
      </c>
      <c r="K345" s="115" t="s">
        <v>83</v>
      </c>
      <c r="L345" s="33" t="str">
        <f t="shared" si="16"/>
        <v/>
      </c>
      <c r="M345" s="237" t="s">
        <v>1411</v>
      </c>
      <c r="N345" s="1111"/>
    </row>
    <row r="346" spans="3:14" hidden="1">
      <c r="C346" s="1">
        <f t="shared" si="12"/>
        <v>3158</v>
      </c>
      <c r="D346" s="1">
        <f t="shared" si="13"/>
        <v>5</v>
      </c>
      <c r="E346" s="1">
        <f t="shared" si="15"/>
        <v>2017</v>
      </c>
      <c r="G346" s="186">
        <v>4</v>
      </c>
      <c r="H346" s="186">
        <v>-1</v>
      </c>
      <c r="I346" s="186">
        <v>24</v>
      </c>
      <c r="J346" s="115" t="s">
        <v>1498</v>
      </c>
      <c r="K346" s="115" t="s">
        <v>83</v>
      </c>
      <c r="L346" s="33" t="str">
        <f t="shared" si="16"/>
        <v/>
      </c>
      <c r="M346" s="237" t="s">
        <v>1412</v>
      </c>
      <c r="N346" s="1111"/>
    </row>
    <row r="347" spans="3:14" hidden="1">
      <c r="C347" s="1">
        <f t="shared" si="12"/>
        <v>3158</v>
      </c>
      <c r="D347" s="1">
        <f t="shared" si="13"/>
        <v>5</v>
      </c>
      <c r="E347" s="1">
        <f t="shared" si="15"/>
        <v>2017</v>
      </c>
      <c r="G347" s="186">
        <v>4</v>
      </c>
      <c r="H347" s="186">
        <v>-1</v>
      </c>
      <c r="I347" s="186">
        <v>7</v>
      </c>
      <c r="J347" s="115" t="s">
        <v>1498</v>
      </c>
      <c r="K347" s="115" t="s">
        <v>83</v>
      </c>
      <c r="L347" s="33" t="str">
        <f t="shared" si="16"/>
        <v/>
      </c>
      <c r="M347" s="237" t="s">
        <v>1413</v>
      </c>
      <c r="N347" s="1111"/>
    </row>
    <row r="348" spans="3:14" hidden="1">
      <c r="C348" s="1">
        <f t="shared" si="12"/>
        <v>3158</v>
      </c>
      <c r="D348" s="1">
        <f t="shared" si="13"/>
        <v>5</v>
      </c>
      <c r="E348" s="1">
        <f t="shared" si="15"/>
        <v>2017</v>
      </c>
      <c r="G348" s="186">
        <v>4</v>
      </c>
      <c r="H348" s="186">
        <v>-1</v>
      </c>
      <c r="I348" s="186">
        <v>6</v>
      </c>
      <c r="J348" s="115" t="s">
        <v>1498</v>
      </c>
      <c r="K348" s="115" t="s">
        <v>83</v>
      </c>
      <c r="L348" s="33" t="str">
        <f t="shared" si="16"/>
        <v/>
      </c>
      <c r="M348" s="237" t="s">
        <v>1414</v>
      </c>
      <c r="N348" s="1111"/>
    </row>
    <row r="349" spans="3:14" hidden="1">
      <c r="C349" s="1">
        <f t="shared" si="12"/>
        <v>3158</v>
      </c>
      <c r="D349" s="1">
        <f t="shared" si="13"/>
        <v>5</v>
      </c>
      <c r="E349" s="1">
        <f t="shared" si="15"/>
        <v>2017</v>
      </c>
      <c r="G349" s="186">
        <v>4</v>
      </c>
      <c r="H349" s="186">
        <v>-1</v>
      </c>
      <c r="I349" s="186">
        <v>17</v>
      </c>
      <c r="J349" s="115" t="s">
        <v>1498</v>
      </c>
      <c r="K349" s="115" t="s">
        <v>83</v>
      </c>
      <c r="L349" s="33" t="str">
        <f t="shared" si="16"/>
        <v/>
      </c>
      <c r="M349" s="237" t="s">
        <v>1415</v>
      </c>
      <c r="N349" s="1111"/>
    </row>
    <row r="350" spans="3:14" hidden="1">
      <c r="C350" s="1">
        <f t="shared" si="12"/>
        <v>3158</v>
      </c>
      <c r="D350" s="1">
        <f t="shared" si="13"/>
        <v>5</v>
      </c>
      <c r="E350" s="1">
        <f t="shared" si="15"/>
        <v>2017</v>
      </c>
      <c r="G350" s="186">
        <v>4</v>
      </c>
      <c r="H350" s="186">
        <v>-1</v>
      </c>
      <c r="I350" s="186">
        <v>14</v>
      </c>
      <c r="J350" s="115" t="s">
        <v>1498</v>
      </c>
      <c r="K350" s="115" t="s">
        <v>83</v>
      </c>
      <c r="L350" s="33" t="str">
        <f t="shared" si="16"/>
        <v/>
      </c>
      <c r="M350" s="237" t="s">
        <v>1416</v>
      </c>
      <c r="N350" s="1111"/>
    </row>
    <row r="351" spans="3:14" hidden="1">
      <c r="C351" s="1">
        <f t="shared" si="12"/>
        <v>3158</v>
      </c>
      <c r="D351" s="1">
        <f t="shared" si="13"/>
        <v>5</v>
      </c>
      <c r="E351" s="1">
        <f t="shared" si="15"/>
        <v>2017</v>
      </c>
      <c r="G351" s="186">
        <v>4</v>
      </c>
      <c r="H351" s="186">
        <v>-1</v>
      </c>
      <c r="I351" s="186">
        <v>11</v>
      </c>
      <c r="J351" s="115" t="s">
        <v>1498</v>
      </c>
      <c r="K351" s="115" t="s">
        <v>83</v>
      </c>
      <c r="L351" s="33" t="str">
        <f t="shared" si="16"/>
        <v/>
      </c>
      <c r="M351" s="237" t="s">
        <v>1417</v>
      </c>
      <c r="N351" s="1111"/>
    </row>
    <row r="352" spans="3:14" hidden="1">
      <c r="C352" s="1">
        <f t="shared" si="12"/>
        <v>3158</v>
      </c>
      <c r="D352" s="1">
        <f t="shared" si="13"/>
        <v>5</v>
      </c>
      <c r="E352" s="1">
        <f t="shared" si="15"/>
        <v>2017</v>
      </c>
      <c r="G352" s="186">
        <v>4</v>
      </c>
      <c r="H352" s="186">
        <v>-1</v>
      </c>
      <c r="I352" s="186">
        <v>5</v>
      </c>
      <c r="J352" s="115" t="s">
        <v>1498</v>
      </c>
      <c r="K352" s="115" t="s">
        <v>83</v>
      </c>
      <c r="L352" s="33" t="str">
        <f t="shared" si="16"/>
        <v/>
      </c>
      <c r="M352" s="237" t="s">
        <v>1418</v>
      </c>
      <c r="N352" s="1111"/>
    </row>
    <row r="353" spans="3:14" hidden="1">
      <c r="C353" s="1">
        <f t="shared" si="12"/>
        <v>3158</v>
      </c>
      <c r="D353" s="1">
        <f t="shared" si="13"/>
        <v>5</v>
      </c>
      <c r="E353" s="1">
        <f t="shared" si="15"/>
        <v>2017</v>
      </c>
      <c r="G353" s="186">
        <v>4</v>
      </c>
      <c r="H353" s="186">
        <v>-1</v>
      </c>
      <c r="I353" s="186">
        <v>20</v>
      </c>
      <c r="J353" s="115" t="s">
        <v>1498</v>
      </c>
      <c r="K353" s="115" t="s">
        <v>83</v>
      </c>
      <c r="L353" s="33" t="str">
        <f t="shared" si="16"/>
        <v/>
      </c>
      <c r="M353" s="237" t="s">
        <v>1419</v>
      </c>
      <c r="N353" s="1111"/>
    </row>
    <row r="354" spans="3:14" hidden="1">
      <c r="C354" s="1">
        <f t="shared" si="12"/>
        <v>3158</v>
      </c>
      <c r="D354" s="1">
        <f t="shared" si="13"/>
        <v>5</v>
      </c>
      <c r="E354" s="1">
        <f t="shared" si="15"/>
        <v>2017</v>
      </c>
      <c r="G354" s="186">
        <v>4</v>
      </c>
      <c r="H354" s="186">
        <v>-1</v>
      </c>
      <c r="I354" s="186">
        <v>21</v>
      </c>
      <c r="J354" s="115" t="s">
        <v>1498</v>
      </c>
      <c r="K354" s="115" t="s">
        <v>83</v>
      </c>
      <c r="L354" s="33" t="str">
        <f t="shared" si="16"/>
        <v/>
      </c>
      <c r="M354" s="237" t="s">
        <v>1420</v>
      </c>
      <c r="N354" s="1111"/>
    </row>
    <row r="355" spans="3:14" hidden="1">
      <c r="C355" s="1">
        <f t="shared" si="12"/>
        <v>3158</v>
      </c>
      <c r="D355" s="1">
        <f t="shared" si="13"/>
        <v>5</v>
      </c>
      <c r="E355" s="1">
        <f t="shared" si="15"/>
        <v>2017</v>
      </c>
      <c r="G355" s="186">
        <v>4</v>
      </c>
      <c r="H355" s="186">
        <v>-1</v>
      </c>
      <c r="I355" s="186">
        <v>4</v>
      </c>
      <c r="J355" s="115" t="s">
        <v>1498</v>
      </c>
      <c r="K355" s="115" t="s">
        <v>83</v>
      </c>
      <c r="L355" s="33" t="str">
        <f t="shared" si="16"/>
        <v/>
      </c>
      <c r="M355" s="237" t="s">
        <v>1421</v>
      </c>
      <c r="N355" s="1111"/>
    </row>
    <row r="356" spans="3:14" hidden="1">
      <c r="C356" s="1">
        <f t="shared" si="12"/>
        <v>3158</v>
      </c>
      <c r="D356" s="1">
        <f t="shared" si="13"/>
        <v>5</v>
      </c>
      <c r="E356" s="1">
        <f t="shared" si="15"/>
        <v>2017</v>
      </c>
      <c r="G356" s="186">
        <v>4</v>
      </c>
      <c r="H356" s="186">
        <v>-1</v>
      </c>
      <c r="I356" s="186">
        <v>22</v>
      </c>
      <c r="J356" s="115" t="s">
        <v>1498</v>
      </c>
      <c r="K356" s="115" t="s">
        <v>83</v>
      </c>
      <c r="L356" s="33" t="str">
        <f t="shared" si="16"/>
        <v/>
      </c>
      <c r="M356" s="237" t="s">
        <v>1422</v>
      </c>
      <c r="N356" s="1111"/>
    </row>
    <row r="357" spans="3:14" hidden="1">
      <c r="C357" s="1">
        <f t="shared" si="12"/>
        <v>3158</v>
      </c>
      <c r="D357" s="1">
        <f t="shared" si="13"/>
        <v>5</v>
      </c>
      <c r="E357" s="1">
        <f t="shared" si="15"/>
        <v>2017</v>
      </c>
      <c r="G357" s="186">
        <v>4</v>
      </c>
      <c r="H357" s="186">
        <v>-1</v>
      </c>
      <c r="I357" s="186">
        <v>23</v>
      </c>
      <c r="J357" s="115" t="s">
        <v>1498</v>
      </c>
      <c r="K357" s="115" t="s">
        <v>83</v>
      </c>
      <c r="L357" s="33" t="str">
        <f t="shared" si="16"/>
        <v/>
      </c>
      <c r="M357" s="237" t="s">
        <v>1423</v>
      </c>
      <c r="N357" s="1111"/>
    </row>
    <row r="358" spans="3:14" hidden="1">
      <c r="C358" s="1">
        <f t="shared" si="12"/>
        <v>3158</v>
      </c>
      <c r="D358" s="1">
        <f t="shared" si="13"/>
        <v>5</v>
      </c>
      <c r="E358" s="1">
        <f t="shared" si="15"/>
        <v>2017</v>
      </c>
      <c r="G358" s="186">
        <v>4</v>
      </c>
      <c r="H358" s="186">
        <v>-1</v>
      </c>
      <c r="I358" s="186">
        <v>9</v>
      </c>
      <c r="J358" s="115" t="s">
        <v>1498</v>
      </c>
      <c r="K358" s="115" t="s">
        <v>83</v>
      </c>
      <c r="L358" s="33" t="str">
        <f t="shared" si="16"/>
        <v/>
      </c>
      <c r="M358" s="237" t="s">
        <v>1424</v>
      </c>
      <c r="N358" s="1111"/>
    </row>
    <row r="359" spans="3:14" hidden="1">
      <c r="C359" s="1">
        <f t="shared" si="12"/>
        <v>3158</v>
      </c>
      <c r="D359" s="1">
        <f t="shared" si="13"/>
        <v>5</v>
      </c>
      <c r="E359" s="1">
        <f t="shared" si="15"/>
        <v>2017</v>
      </c>
      <c r="G359" s="186">
        <v>4</v>
      </c>
      <c r="H359" s="186">
        <v>-1</v>
      </c>
      <c r="I359" s="186">
        <v>1</v>
      </c>
      <c r="J359" s="115" t="s">
        <v>1498</v>
      </c>
      <c r="K359" s="115" t="s">
        <v>83</v>
      </c>
      <c r="L359" s="33" t="str">
        <f t="shared" si="16"/>
        <v/>
      </c>
      <c r="M359" s="237" t="s">
        <v>1425</v>
      </c>
      <c r="N359" s="1111"/>
    </row>
    <row r="360" spans="3:14" hidden="1">
      <c r="C360" s="1">
        <f t="shared" si="12"/>
        <v>3158</v>
      </c>
      <c r="D360" s="1">
        <f t="shared" si="13"/>
        <v>5</v>
      </c>
      <c r="E360" s="1">
        <f t="shared" si="15"/>
        <v>2017</v>
      </c>
      <c r="G360" s="186">
        <v>4</v>
      </c>
      <c r="H360" s="186">
        <v>-1</v>
      </c>
      <c r="I360" s="186">
        <v>-1</v>
      </c>
      <c r="J360" s="115" t="s">
        <v>1498</v>
      </c>
      <c r="K360" s="115" t="s">
        <v>83</v>
      </c>
      <c r="L360" s="33" t="str">
        <f t="shared" si="16"/>
        <v/>
      </c>
      <c r="M360" s="237" t="s">
        <v>1426</v>
      </c>
      <c r="N360" s="1111"/>
    </row>
    <row r="361" spans="3:14" hidden="1">
      <c r="C361" s="1">
        <f t="shared" si="12"/>
        <v>3158</v>
      </c>
      <c r="D361" s="1">
        <f t="shared" si="13"/>
        <v>5</v>
      </c>
      <c r="E361" s="1">
        <f t="shared" si="15"/>
        <v>2017</v>
      </c>
      <c r="G361" s="186">
        <v>5</v>
      </c>
      <c r="H361" s="186">
        <v>-1</v>
      </c>
      <c r="I361" s="186">
        <v>19</v>
      </c>
      <c r="J361" s="115" t="s">
        <v>1498</v>
      </c>
      <c r="K361" s="115" t="s">
        <v>83</v>
      </c>
      <c r="L361" s="238" t="str">
        <f t="shared" ref="L361:L387" si="17">IF(ISBLANK(Q21),"",Q21)</f>
        <v/>
      </c>
      <c r="M361" s="237" t="s">
        <v>193</v>
      </c>
      <c r="N361" s="1111"/>
    </row>
    <row r="362" spans="3:14" hidden="1">
      <c r="C362" s="1">
        <f t="shared" si="12"/>
        <v>3158</v>
      </c>
      <c r="D362" s="1">
        <f t="shared" si="13"/>
        <v>5</v>
      </c>
      <c r="E362" s="1">
        <f t="shared" si="15"/>
        <v>2017</v>
      </c>
      <c r="G362" s="186">
        <v>5</v>
      </c>
      <c r="H362" s="186">
        <v>-1</v>
      </c>
      <c r="I362" s="186">
        <v>16</v>
      </c>
      <c r="J362" s="115" t="s">
        <v>1498</v>
      </c>
      <c r="K362" s="115" t="s">
        <v>83</v>
      </c>
      <c r="L362" s="238" t="str">
        <f t="shared" si="17"/>
        <v/>
      </c>
      <c r="M362" s="237" t="s">
        <v>194</v>
      </c>
      <c r="N362" s="1111"/>
    </row>
    <row r="363" spans="3:14" hidden="1">
      <c r="C363" s="1">
        <f t="shared" si="12"/>
        <v>3158</v>
      </c>
      <c r="D363" s="1">
        <f t="shared" si="13"/>
        <v>5</v>
      </c>
      <c r="E363" s="1">
        <f t="shared" si="15"/>
        <v>2017</v>
      </c>
      <c r="G363" s="186">
        <v>5</v>
      </c>
      <c r="H363" s="186">
        <v>-1</v>
      </c>
      <c r="I363" s="186">
        <v>15</v>
      </c>
      <c r="J363" s="115" t="s">
        <v>1498</v>
      </c>
      <c r="K363" s="115" t="s">
        <v>83</v>
      </c>
      <c r="L363" s="238" t="str">
        <f t="shared" si="17"/>
        <v/>
      </c>
      <c r="M363" s="237" t="s">
        <v>195</v>
      </c>
      <c r="N363" s="1111"/>
    </row>
    <row r="364" spans="3:14" hidden="1">
      <c r="C364" s="1">
        <f t="shared" ref="C364:C424" si="18">F$1</f>
        <v>3158</v>
      </c>
      <c r="D364" s="1">
        <f t="shared" ref="D364:D426" si="19">D$58</f>
        <v>5</v>
      </c>
      <c r="E364" s="1">
        <f t="shared" si="15"/>
        <v>2017</v>
      </c>
      <c r="G364" s="186">
        <v>5</v>
      </c>
      <c r="H364" s="186">
        <v>-1</v>
      </c>
      <c r="I364" s="186">
        <v>2</v>
      </c>
      <c r="J364" s="115" t="s">
        <v>1498</v>
      </c>
      <c r="K364" s="115" t="s">
        <v>83</v>
      </c>
      <c r="L364" s="238" t="str">
        <f t="shared" si="17"/>
        <v/>
      </c>
      <c r="M364" s="237" t="s">
        <v>196</v>
      </c>
      <c r="N364" s="1111"/>
    </row>
    <row r="365" spans="3:14" hidden="1">
      <c r="C365" s="1">
        <f t="shared" si="18"/>
        <v>3158</v>
      </c>
      <c r="D365" s="1">
        <f t="shared" si="19"/>
        <v>5</v>
      </c>
      <c r="E365" s="1">
        <f t="shared" si="15"/>
        <v>2017</v>
      </c>
      <c r="G365" s="186">
        <v>5</v>
      </c>
      <c r="H365" s="186">
        <v>-1</v>
      </c>
      <c r="I365" s="186">
        <v>13</v>
      </c>
      <c r="J365" s="115" t="s">
        <v>1498</v>
      </c>
      <c r="K365" s="115" t="s">
        <v>83</v>
      </c>
      <c r="L365" s="238" t="str">
        <f t="shared" si="17"/>
        <v/>
      </c>
      <c r="M365" s="237" t="s">
        <v>197</v>
      </c>
      <c r="N365" s="1111"/>
    </row>
    <row r="366" spans="3:14" hidden="1">
      <c r="C366" s="1">
        <f t="shared" si="18"/>
        <v>3158</v>
      </c>
      <c r="D366" s="1">
        <f t="shared" si="19"/>
        <v>5</v>
      </c>
      <c r="E366" s="1">
        <f t="shared" si="15"/>
        <v>2017</v>
      </c>
      <c r="G366" s="186">
        <v>5</v>
      </c>
      <c r="H366" s="186">
        <v>-1</v>
      </c>
      <c r="I366" s="186">
        <v>12</v>
      </c>
      <c r="J366" s="115" t="s">
        <v>1498</v>
      </c>
      <c r="K366" s="115" t="s">
        <v>83</v>
      </c>
      <c r="L366" s="238" t="str">
        <f t="shared" si="17"/>
        <v/>
      </c>
      <c r="M366" s="237" t="s">
        <v>1427</v>
      </c>
      <c r="N366" s="1111"/>
    </row>
    <row r="367" spans="3:14" hidden="1">
      <c r="C367" s="1">
        <f t="shared" si="18"/>
        <v>3158</v>
      </c>
      <c r="D367" s="1">
        <f t="shared" si="19"/>
        <v>5</v>
      </c>
      <c r="E367" s="1">
        <f t="shared" si="15"/>
        <v>2017</v>
      </c>
      <c r="G367" s="186">
        <v>5</v>
      </c>
      <c r="H367" s="186">
        <v>-1</v>
      </c>
      <c r="I367" s="186">
        <v>10</v>
      </c>
      <c r="J367" s="115" t="s">
        <v>1498</v>
      </c>
      <c r="K367" s="115" t="s">
        <v>83</v>
      </c>
      <c r="L367" s="238" t="str">
        <f t="shared" si="17"/>
        <v/>
      </c>
      <c r="M367" s="237" t="s">
        <v>1428</v>
      </c>
      <c r="N367" s="1111"/>
    </row>
    <row r="368" spans="3:14" hidden="1">
      <c r="C368" s="1">
        <f t="shared" si="18"/>
        <v>3158</v>
      </c>
      <c r="D368" s="1">
        <f t="shared" si="19"/>
        <v>5</v>
      </c>
      <c r="E368" s="1">
        <f t="shared" si="15"/>
        <v>2017</v>
      </c>
      <c r="G368" s="186">
        <v>5</v>
      </c>
      <c r="H368" s="186">
        <v>-1</v>
      </c>
      <c r="I368" s="186">
        <v>25</v>
      </c>
      <c r="J368" s="115" t="s">
        <v>1498</v>
      </c>
      <c r="K368" s="115" t="s">
        <v>83</v>
      </c>
      <c r="L368" s="238" t="str">
        <f t="shared" si="17"/>
        <v/>
      </c>
      <c r="M368" s="237" t="s">
        <v>1429</v>
      </c>
      <c r="N368" s="1111"/>
    </row>
    <row r="369" spans="3:14" hidden="1">
      <c r="C369" s="1">
        <f t="shared" si="18"/>
        <v>3158</v>
      </c>
      <c r="D369" s="1">
        <f t="shared" si="19"/>
        <v>5</v>
      </c>
      <c r="E369" s="1">
        <f t="shared" si="15"/>
        <v>2017</v>
      </c>
      <c r="G369" s="186">
        <v>5</v>
      </c>
      <c r="H369" s="186">
        <v>-1</v>
      </c>
      <c r="I369" s="186">
        <v>8</v>
      </c>
      <c r="J369" s="115" t="s">
        <v>1498</v>
      </c>
      <c r="K369" s="115" t="s">
        <v>83</v>
      </c>
      <c r="L369" s="238" t="str">
        <f t="shared" si="17"/>
        <v/>
      </c>
      <c r="M369" s="237" t="s">
        <v>1430</v>
      </c>
      <c r="N369" s="1111"/>
    </row>
    <row r="370" spans="3:14" hidden="1">
      <c r="C370" s="1">
        <f t="shared" si="18"/>
        <v>3158</v>
      </c>
      <c r="D370" s="1">
        <f t="shared" si="19"/>
        <v>5</v>
      </c>
      <c r="E370" s="1">
        <f t="shared" si="15"/>
        <v>2017</v>
      </c>
      <c r="G370" s="186">
        <v>5</v>
      </c>
      <c r="H370" s="186">
        <v>-1</v>
      </c>
      <c r="I370" s="186">
        <v>18</v>
      </c>
      <c r="J370" s="115" t="s">
        <v>1498</v>
      </c>
      <c r="K370" s="115" t="s">
        <v>83</v>
      </c>
      <c r="L370" s="238" t="str">
        <f t="shared" si="17"/>
        <v/>
      </c>
      <c r="M370" s="237" t="s">
        <v>1431</v>
      </c>
      <c r="N370" s="1111"/>
    </row>
    <row r="371" spans="3:14" hidden="1">
      <c r="C371" s="1">
        <f t="shared" si="18"/>
        <v>3158</v>
      </c>
      <c r="D371" s="1">
        <f t="shared" si="19"/>
        <v>5</v>
      </c>
      <c r="E371" s="1">
        <f t="shared" si="15"/>
        <v>2017</v>
      </c>
      <c r="G371" s="186">
        <v>5</v>
      </c>
      <c r="H371" s="186">
        <v>-1</v>
      </c>
      <c r="I371" s="186">
        <v>26</v>
      </c>
      <c r="J371" s="115" t="s">
        <v>1498</v>
      </c>
      <c r="K371" s="115" t="s">
        <v>83</v>
      </c>
      <c r="L371" s="238" t="str">
        <f t="shared" si="17"/>
        <v/>
      </c>
      <c r="M371" s="237" t="s">
        <v>1432</v>
      </c>
      <c r="N371" s="1111"/>
    </row>
    <row r="372" spans="3:14" hidden="1">
      <c r="C372" s="1">
        <f t="shared" si="18"/>
        <v>3158</v>
      </c>
      <c r="D372" s="1">
        <f t="shared" si="19"/>
        <v>5</v>
      </c>
      <c r="E372" s="1">
        <f t="shared" si="15"/>
        <v>2017</v>
      </c>
      <c r="G372" s="186">
        <v>5</v>
      </c>
      <c r="H372" s="186">
        <v>-1</v>
      </c>
      <c r="I372" s="186">
        <v>3</v>
      </c>
      <c r="J372" s="115" t="s">
        <v>1498</v>
      </c>
      <c r="K372" s="115" t="s">
        <v>83</v>
      </c>
      <c r="L372" s="238" t="str">
        <f t="shared" si="17"/>
        <v/>
      </c>
      <c r="M372" s="237" t="s">
        <v>1433</v>
      </c>
      <c r="N372" s="1111"/>
    </row>
    <row r="373" spans="3:14" hidden="1">
      <c r="C373" s="1">
        <f t="shared" si="18"/>
        <v>3158</v>
      </c>
      <c r="D373" s="1">
        <f t="shared" si="19"/>
        <v>5</v>
      </c>
      <c r="E373" s="1">
        <f t="shared" si="15"/>
        <v>2017</v>
      </c>
      <c r="G373" s="186">
        <v>5</v>
      </c>
      <c r="H373" s="186">
        <v>-1</v>
      </c>
      <c r="I373" s="186">
        <v>24</v>
      </c>
      <c r="J373" s="115" t="s">
        <v>1498</v>
      </c>
      <c r="K373" s="115" t="s">
        <v>83</v>
      </c>
      <c r="L373" s="238" t="str">
        <f t="shared" si="17"/>
        <v/>
      </c>
      <c r="M373" s="237" t="s">
        <v>1434</v>
      </c>
      <c r="N373" s="1111"/>
    </row>
    <row r="374" spans="3:14" hidden="1">
      <c r="C374" s="1">
        <f t="shared" si="18"/>
        <v>3158</v>
      </c>
      <c r="D374" s="1">
        <f t="shared" si="19"/>
        <v>5</v>
      </c>
      <c r="E374" s="1">
        <f t="shared" si="15"/>
        <v>2017</v>
      </c>
      <c r="G374" s="186">
        <v>5</v>
      </c>
      <c r="H374" s="186">
        <v>-1</v>
      </c>
      <c r="I374" s="186">
        <v>7</v>
      </c>
      <c r="J374" s="115" t="s">
        <v>1498</v>
      </c>
      <c r="K374" s="115" t="s">
        <v>83</v>
      </c>
      <c r="L374" s="238" t="str">
        <f t="shared" si="17"/>
        <v/>
      </c>
      <c r="M374" s="237" t="s">
        <v>1435</v>
      </c>
      <c r="N374" s="1111"/>
    </row>
    <row r="375" spans="3:14" hidden="1">
      <c r="C375" s="1">
        <f t="shared" si="18"/>
        <v>3158</v>
      </c>
      <c r="D375" s="1">
        <f t="shared" si="19"/>
        <v>5</v>
      </c>
      <c r="E375" s="1">
        <f t="shared" si="15"/>
        <v>2017</v>
      </c>
      <c r="G375" s="186">
        <v>5</v>
      </c>
      <c r="H375" s="186">
        <v>-1</v>
      </c>
      <c r="I375" s="186">
        <v>6</v>
      </c>
      <c r="J375" s="115" t="s">
        <v>1498</v>
      </c>
      <c r="K375" s="115" t="s">
        <v>83</v>
      </c>
      <c r="L375" s="238" t="str">
        <f t="shared" si="17"/>
        <v/>
      </c>
      <c r="M375" s="237" t="s">
        <v>1436</v>
      </c>
      <c r="N375" s="1111"/>
    </row>
    <row r="376" spans="3:14" hidden="1">
      <c r="C376" s="1">
        <f t="shared" si="18"/>
        <v>3158</v>
      </c>
      <c r="D376" s="1">
        <f t="shared" si="19"/>
        <v>5</v>
      </c>
      <c r="E376" s="1">
        <f t="shared" si="15"/>
        <v>2017</v>
      </c>
      <c r="G376" s="186">
        <v>5</v>
      </c>
      <c r="H376" s="186">
        <v>-1</v>
      </c>
      <c r="I376" s="186">
        <v>17</v>
      </c>
      <c r="J376" s="115" t="s">
        <v>1498</v>
      </c>
      <c r="K376" s="115" t="s">
        <v>83</v>
      </c>
      <c r="L376" s="238" t="str">
        <f t="shared" si="17"/>
        <v/>
      </c>
      <c r="M376" s="237" t="s">
        <v>1437</v>
      </c>
      <c r="N376" s="1111"/>
    </row>
    <row r="377" spans="3:14" hidden="1">
      <c r="C377" s="1">
        <f t="shared" si="18"/>
        <v>3158</v>
      </c>
      <c r="D377" s="1">
        <f t="shared" si="19"/>
        <v>5</v>
      </c>
      <c r="E377" s="1">
        <f t="shared" si="15"/>
        <v>2017</v>
      </c>
      <c r="G377" s="186">
        <v>5</v>
      </c>
      <c r="H377" s="186">
        <v>-1</v>
      </c>
      <c r="I377" s="186">
        <v>14</v>
      </c>
      <c r="J377" s="115" t="s">
        <v>1498</v>
      </c>
      <c r="K377" s="115" t="s">
        <v>83</v>
      </c>
      <c r="L377" s="238" t="str">
        <f t="shared" si="17"/>
        <v/>
      </c>
      <c r="M377" s="237" t="s">
        <v>1438</v>
      </c>
      <c r="N377" s="1111"/>
    </row>
    <row r="378" spans="3:14" hidden="1">
      <c r="C378" s="1">
        <f t="shared" si="18"/>
        <v>3158</v>
      </c>
      <c r="D378" s="1">
        <f t="shared" si="19"/>
        <v>5</v>
      </c>
      <c r="E378" s="1">
        <f t="shared" si="15"/>
        <v>2017</v>
      </c>
      <c r="G378" s="186">
        <v>5</v>
      </c>
      <c r="H378" s="186">
        <v>-1</v>
      </c>
      <c r="I378" s="186">
        <v>11</v>
      </c>
      <c r="J378" s="115" t="s">
        <v>1498</v>
      </c>
      <c r="K378" s="115" t="s">
        <v>83</v>
      </c>
      <c r="L378" s="238" t="str">
        <f t="shared" si="17"/>
        <v/>
      </c>
      <c r="M378" s="237" t="s">
        <v>1439</v>
      </c>
      <c r="N378" s="1111"/>
    </row>
    <row r="379" spans="3:14" hidden="1">
      <c r="C379" s="1">
        <f t="shared" si="18"/>
        <v>3158</v>
      </c>
      <c r="D379" s="1">
        <f t="shared" si="19"/>
        <v>5</v>
      </c>
      <c r="E379" s="1">
        <f t="shared" si="15"/>
        <v>2017</v>
      </c>
      <c r="G379" s="186">
        <v>5</v>
      </c>
      <c r="H379" s="186">
        <v>-1</v>
      </c>
      <c r="I379" s="186">
        <v>5</v>
      </c>
      <c r="J379" s="115" t="s">
        <v>1498</v>
      </c>
      <c r="K379" s="115" t="s">
        <v>83</v>
      </c>
      <c r="L379" s="238" t="str">
        <f t="shared" si="17"/>
        <v/>
      </c>
      <c r="M379" s="237" t="s">
        <v>1440</v>
      </c>
      <c r="N379" s="1111"/>
    </row>
    <row r="380" spans="3:14" hidden="1">
      <c r="C380" s="1">
        <f t="shared" si="18"/>
        <v>3158</v>
      </c>
      <c r="D380" s="1">
        <f t="shared" si="19"/>
        <v>5</v>
      </c>
      <c r="E380" s="1">
        <f t="shared" si="15"/>
        <v>2017</v>
      </c>
      <c r="G380" s="186">
        <v>5</v>
      </c>
      <c r="H380" s="186">
        <v>-1</v>
      </c>
      <c r="I380" s="186">
        <v>20</v>
      </c>
      <c r="J380" s="115" t="s">
        <v>1498</v>
      </c>
      <c r="K380" s="115" t="s">
        <v>83</v>
      </c>
      <c r="L380" s="238" t="str">
        <f t="shared" si="17"/>
        <v/>
      </c>
      <c r="M380" s="237" t="s">
        <v>1441</v>
      </c>
      <c r="N380" s="1111"/>
    </row>
    <row r="381" spans="3:14" hidden="1">
      <c r="C381" s="1">
        <f t="shared" si="18"/>
        <v>3158</v>
      </c>
      <c r="D381" s="1">
        <f t="shared" si="19"/>
        <v>5</v>
      </c>
      <c r="E381" s="1">
        <f t="shared" si="15"/>
        <v>2017</v>
      </c>
      <c r="G381" s="186">
        <v>5</v>
      </c>
      <c r="H381" s="186">
        <v>-1</v>
      </c>
      <c r="I381" s="186">
        <v>21</v>
      </c>
      <c r="J381" s="115" t="s">
        <v>1498</v>
      </c>
      <c r="K381" s="115" t="s">
        <v>83</v>
      </c>
      <c r="L381" s="238" t="str">
        <f t="shared" si="17"/>
        <v/>
      </c>
      <c r="M381" s="237" t="s">
        <v>1442</v>
      </c>
      <c r="N381" s="1111"/>
    </row>
    <row r="382" spans="3:14" hidden="1">
      <c r="C382" s="1">
        <f t="shared" si="18"/>
        <v>3158</v>
      </c>
      <c r="D382" s="1">
        <f t="shared" si="19"/>
        <v>5</v>
      </c>
      <c r="E382" s="1">
        <f t="shared" ref="E382:E425" si="20">D$1</f>
        <v>2017</v>
      </c>
      <c r="G382" s="186">
        <v>5</v>
      </c>
      <c r="H382" s="186">
        <v>-1</v>
      </c>
      <c r="I382" s="186">
        <v>4</v>
      </c>
      <c r="J382" s="115" t="s">
        <v>1498</v>
      </c>
      <c r="K382" s="115" t="s">
        <v>83</v>
      </c>
      <c r="L382" s="238" t="str">
        <f t="shared" si="17"/>
        <v/>
      </c>
      <c r="M382" s="237" t="s">
        <v>1443</v>
      </c>
      <c r="N382" s="1111"/>
    </row>
    <row r="383" spans="3:14" hidden="1">
      <c r="C383" s="1">
        <f t="shared" si="18"/>
        <v>3158</v>
      </c>
      <c r="D383" s="1">
        <f t="shared" si="19"/>
        <v>5</v>
      </c>
      <c r="E383" s="1">
        <f t="shared" si="20"/>
        <v>2017</v>
      </c>
      <c r="G383" s="186">
        <v>5</v>
      </c>
      <c r="H383" s="186">
        <v>-1</v>
      </c>
      <c r="I383" s="186">
        <v>22</v>
      </c>
      <c r="J383" s="115" t="s">
        <v>1498</v>
      </c>
      <c r="K383" s="115" t="s">
        <v>83</v>
      </c>
      <c r="L383" s="238" t="str">
        <f t="shared" si="17"/>
        <v/>
      </c>
      <c r="M383" s="237" t="s">
        <v>1444</v>
      </c>
      <c r="N383" s="1111"/>
    </row>
    <row r="384" spans="3:14" hidden="1">
      <c r="C384" s="1">
        <f t="shared" si="18"/>
        <v>3158</v>
      </c>
      <c r="D384" s="1">
        <f t="shared" si="19"/>
        <v>5</v>
      </c>
      <c r="E384" s="1">
        <f t="shared" si="20"/>
        <v>2017</v>
      </c>
      <c r="G384" s="186">
        <v>5</v>
      </c>
      <c r="H384" s="186">
        <v>-1</v>
      </c>
      <c r="I384" s="186">
        <v>23</v>
      </c>
      <c r="J384" s="115" t="s">
        <v>1498</v>
      </c>
      <c r="K384" s="115" t="s">
        <v>83</v>
      </c>
      <c r="L384" s="238" t="str">
        <f t="shared" si="17"/>
        <v/>
      </c>
      <c r="M384" s="237" t="s">
        <v>1445</v>
      </c>
      <c r="N384" s="1111"/>
    </row>
    <row r="385" spans="3:14" hidden="1">
      <c r="C385" s="1">
        <f t="shared" si="18"/>
        <v>3158</v>
      </c>
      <c r="D385" s="1">
        <f t="shared" si="19"/>
        <v>5</v>
      </c>
      <c r="E385" s="1">
        <f t="shared" si="20"/>
        <v>2017</v>
      </c>
      <c r="G385" s="186">
        <v>5</v>
      </c>
      <c r="H385" s="186">
        <v>-1</v>
      </c>
      <c r="I385" s="186">
        <v>9</v>
      </c>
      <c r="J385" s="115" t="s">
        <v>1498</v>
      </c>
      <c r="K385" s="115" t="s">
        <v>83</v>
      </c>
      <c r="L385" s="238" t="str">
        <f t="shared" si="17"/>
        <v/>
      </c>
      <c r="M385" s="237" t="s">
        <v>1446</v>
      </c>
      <c r="N385" s="1111"/>
    </row>
    <row r="386" spans="3:14" hidden="1">
      <c r="C386" s="1">
        <f t="shared" si="18"/>
        <v>3158</v>
      </c>
      <c r="D386" s="1">
        <f t="shared" si="19"/>
        <v>5</v>
      </c>
      <c r="E386" s="1">
        <f t="shared" si="20"/>
        <v>2017</v>
      </c>
      <c r="G386" s="186">
        <v>5</v>
      </c>
      <c r="H386" s="186">
        <v>-1</v>
      </c>
      <c r="I386" s="186">
        <v>1</v>
      </c>
      <c r="J386" s="115" t="s">
        <v>1498</v>
      </c>
      <c r="K386" s="115" t="s">
        <v>83</v>
      </c>
      <c r="L386" s="238" t="str">
        <f t="shared" si="17"/>
        <v/>
      </c>
      <c r="M386" s="237" t="s">
        <v>1447</v>
      </c>
      <c r="N386" s="1111"/>
    </row>
    <row r="387" spans="3:14" hidden="1">
      <c r="C387" s="1">
        <f t="shared" si="18"/>
        <v>3158</v>
      </c>
      <c r="D387" s="1">
        <f t="shared" si="19"/>
        <v>5</v>
      </c>
      <c r="E387" s="1">
        <f t="shared" si="20"/>
        <v>2017</v>
      </c>
      <c r="G387" s="186">
        <v>5</v>
      </c>
      <c r="H387" s="186">
        <v>-1</v>
      </c>
      <c r="I387" s="186">
        <v>-1</v>
      </c>
      <c r="J387" s="204" t="s">
        <v>1498</v>
      </c>
      <c r="K387" s="204" t="s">
        <v>83</v>
      </c>
      <c r="L387" s="238" t="str">
        <f t="shared" si="17"/>
        <v/>
      </c>
      <c r="M387" s="237" t="s">
        <v>1448</v>
      </c>
      <c r="N387" s="1111"/>
    </row>
    <row r="388" spans="3:14" hidden="1">
      <c r="C388" s="234">
        <f t="shared" si="18"/>
        <v>3158</v>
      </c>
      <c r="D388" s="234">
        <f t="shared" si="19"/>
        <v>5</v>
      </c>
      <c r="E388" s="234">
        <f t="shared" si="20"/>
        <v>2017</v>
      </c>
      <c r="F388" s="234"/>
      <c r="G388" s="230">
        <v>10</v>
      </c>
      <c r="H388" s="230">
        <v>-1</v>
      </c>
      <c r="I388" s="230">
        <v>19</v>
      </c>
      <c r="J388" s="204" t="s">
        <v>1498</v>
      </c>
      <c r="K388" s="204" t="s">
        <v>83</v>
      </c>
      <c r="L388" s="238" t="str">
        <f t="shared" ref="L388:L414" si="21">IF(ISBLANK(S21),"",S21)</f>
        <v/>
      </c>
      <c r="M388" s="237" t="s">
        <v>212</v>
      </c>
      <c r="N388" s="106"/>
    </row>
    <row r="389" spans="3:14" hidden="1">
      <c r="C389" s="234">
        <f t="shared" si="18"/>
        <v>3158</v>
      </c>
      <c r="D389" s="234">
        <f t="shared" si="19"/>
        <v>5</v>
      </c>
      <c r="E389" s="234">
        <f t="shared" si="20"/>
        <v>2017</v>
      </c>
      <c r="F389" s="234"/>
      <c r="G389" s="230">
        <v>10</v>
      </c>
      <c r="H389" s="230">
        <v>-1</v>
      </c>
      <c r="I389" s="230">
        <v>16</v>
      </c>
      <c r="J389" s="204" t="s">
        <v>1498</v>
      </c>
      <c r="K389" s="204" t="s">
        <v>83</v>
      </c>
      <c r="L389" s="238" t="str">
        <f t="shared" si="21"/>
        <v/>
      </c>
      <c r="M389" s="237" t="s">
        <v>213</v>
      </c>
      <c r="N389" s="106"/>
    </row>
    <row r="390" spans="3:14" hidden="1">
      <c r="C390" s="234">
        <f t="shared" si="18"/>
        <v>3158</v>
      </c>
      <c r="D390" s="234">
        <f t="shared" si="19"/>
        <v>5</v>
      </c>
      <c r="E390" s="234">
        <f t="shared" si="20"/>
        <v>2017</v>
      </c>
      <c r="F390" s="234"/>
      <c r="G390" s="230">
        <v>10</v>
      </c>
      <c r="H390" s="230">
        <v>-1</v>
      </c>
      <c r="I390" s="230">
        <v>15</v>
      </c>
      <c r="J390" s="204" t="s">
        <v>1498</v>
      </c>
      <c r="K390" s="204" t="s">
        <v>83</v>
      </c>
      <c r="L390" s="238" t="str">
        <f t="shared" si="21"/>
        <v/>
      </c>
      <c r="M390" s="237" t="s">
        <v>214</v>
      </c>
      <c r="N390" s="106"/>
    </row>
    <row r="391" spans="3:14" hidden="1">
      <c r="C391" s="234">
        <f t="shared" si="18"/>
        <v>3158</v>
      </c>
      <c r="D391" s="234">
        <f t="shared" si="19"/>
        <v>5</v>
      </c>
      <c r="E391" s="234">
        <f t="shared" si="20"/>
        <v>2017</v>
      </c>
      <c r="F391" s="234"/>
      <c r="G391" s="230">
        <v>10</v>
      </c>
      <c r="H391" s="230">
        <v>-1</v>
      </c>
      <c r="I391" s="230">
        <v>2</v>
      </c>
      <c r="J391" s="204" t="s">
        <v>1498</v>
      </c>
      <c r="K391" s="204" t="s">
        <v>83</v>
      </c>
      <c r="L391" s="238" t="str">
        <f t="shared" si="21"/>
        <v/>
      </c>
      <c r="M391" s="237" t="s">
        <v>215</v>
      </c>
      <c r="N391" s="106"/>
    </row>
    <row r="392" spans="3:14" hidden="1">
      <c r="C392" s="234">
        <f t="shared" si="18"/>
        <v>3158</v>
      </c>
      <c r="D392" s="234">
        <f t="shared" si="19"/>
        <v>5</v>
      </c>
      <c r="E392" s="234">
        <f t="shared" si="20"/>
        <v>2017</v>
      </c>
      <c r="F392" s="234"/>
      <c r="G392" s="230">
        <v>10</v>
      </c>
      <c r="H392" s="230">
        <v>-1</v>
      </c>
      <c r="I392" s="230">
        <v>13</v>
      </c>
      <c r="J392" s="204" t="s">
        <v>1498</v>
      </c>
      <c r="K392" s="204" t="s">
        <v>83</v>
      </c>
      <c r="L392" s="238" t="str">
        <f t="shared" si="21"/>
        <v/>
      </c>
      <c r="M392" s="237" t="s">
        <v>216</v>
      </c>
      <c r="N392" s="106"/>
    </row>
    <row r="393" spans="3:14" hidden="1">
      <c r="C393" s="234">
        <f t="shared" si="18"/>
        <v>3158</v>
      </c>
      <c r="D393" s="234">
        <f t="shared" si="19"/>
        <v>5</v>
      </c>
      <c r="E393" s="234">
        <f t="shared" si="20"/>
        <v>2017</v>
      </c>
      <c r="F393" s="234"/>
      <c r="G393" s="230">
        <v>10</v>
      </c>
      <c r="H393" s="230">
        <v>-1</v>
      </c>
      <c r="I393" s="230">
        <v>12</v>
      </c>
      <c r="J393" s="204" t="s">
        <v>1498</v>
      </c>
      <c r="K393" s="204" t="s">
        <v>83</v>
      </c>
      <c r="L393" s="238" t="str">
        <f t="shared" si="21"/>
        <v/>
      </c>
      <c r="M393" s="237" t="s">
        <v>1449</v>
      </c>
      <c r="N393" s="106"/>
    </row>
    <row r="394" spans="3:14" hidden="1">
      <c r="C394" s="234">
        <f t="shared" si="18"/>
        <v>3158</v>
      </c>
      <c r="D394" s="234">
        <f t="shared" si="19"/>
        <v>5</v>
      </c>
      <c r="E394" s="234">
        <f t="shared" si="20"/>
        <v>2017</v>
      </c>
      <c r="F394" s="234"/>
      <c r="G394" s="230">
        <v>10</v>
      </c>
      <c r="H394" s="230">
        <v>-1</v>
      </c>
      <c r="I394" s="230">
        <v>10</v>
      </c>
      <c r="J394" s="204" t="s">
        <v>1498</v>
      </c>
      <c r="K394" s="204" t="s">
        <v>83</v>
      </c>
      <c r="L394" s="238" t="str">
        <f t="shared" si="21"/>
        <v/>
      </c>
      <c r="M394" s="237" t="s">
        <v>1450</v>
      </c>
      <c r="N394" s="106"/>
    </row>
    <row r="395" spans="3:14" hidden="1">
      <c r="C395" s="234">
        <f t="shared" si="18"/>
        <v>3158</v>
      </c>
      <c r="D395" s="234">
        <f t="shared" si="19"/>
        <v>5</v>
      </c>
      <c r="E395" s="234">
        <f t="shared" si="20"/>
        <v>2017</v>
      </c>
      <c r="F395" s="234"/>
      <c r="G395" s="230">
        <v>10</v>
      </c>
      <c r="H395" s="230">
        <v>-1</v>
      </c>
      <c r="I395" s="230">
        <v>25</v>
      </c>
      <c r="J395" s="204" t="s">
        <v>1498</v>
      </c>
      <c r="K395" s="204" t="s">
        <v>83</v>
      </c>
      <c r="L395" s="238" t="str">
        <f t="shared" si="21"/>
        <v/>
      </c>
      <c r="M395" s="237" t="s">
        <v>1451</v>
      </c>
      <c r="N395" s="106"/>
    </row>
    <row r="396" spans="3:14" hidden="1">
      <c r="C396" s="234">
        <f t="shared" si="18"/>
        <v>3158</v>
      </c>
      <c r="D396" s="234">
        <f t="shared" si="19"/>
        <v>5</v>
      </c>
      <c r="E396" s="234">
        <f t="shared" si="20"/>
        <v>2017</v>
      </c>
      <c r="F396" s="234"/>
      <c r="G396" s="230">
        <v>10</v>
      </c>
      <c r="H396" s="230">
        <v>-1</v>
      </c>
      <c r="I396" s="230">
        <v>8</v>
      </c>
      <c r="J396" s="204" t="s">
        <v>1498</v>
      </c>
      <c r="K396" s="204" t="s">
        <v>83</v>
      </c>
      <c r="L396" s="238" t="str">
        <f t="shared" si="21"/>
        <v/>
      </c>
      <c r="M396" s="237" t="s">
        <v>1452</v>
      </c>
      <c r="N396" s="106"/>
    </row>
    <row r="397" spans="3:14" hidden="1">
      <c r="C397" s="234">
        <f t="shared" si="18"/>
        <v>3158</v>
      </c>
      <c r="D397" s="234">
        <f t="shared" si="19"/>
        <v>5</v>
      </c>
      <c r="E397" s="234">
        <f t="shared" si="20"/>
        <v>2017</v>
      </c>
      <c r="F397" s="234"/>
      <c r="G397" s="230">
        <v>10</v>
      </c>
      <c r="H397" s="230">
        <v>-1</v>
      </c>
      <c r="I397" s="230">
        <v>18</v>
      </c>
      <c r="J397" s="204" t="s">
        <v>1498</v>
      </c>
      <c r="K397" s="204" t="s">
        <v>83</v>
      </c>
      <c r="L397" s="238" t="str">
        <f t="shared" si="21"/>
        <v/>
      </c>
      <c r="M397" s="237" t="s">
        <v>1453</v>
      </c>
      <c r="N397" s="106"/>
    </row>
    <row r="398" spans="3:14" hidden="1">
      <c r="C398" s="234">
        <f t="shared" si="18"/>
        <v>3158</v>
      </c>
      <c r="D398" s="234">
        <f t="shared" si="19"/>
        <v>5</v>
      </c>
      <c r="E398" s="234">
        <f t="shared" si="20"/>
        <v>2017</v>
      </c>
      <c r="F398" s="234"/>
      <c r="G398" s="230">
        <v>10</v>
      </c>
      <c r="H398" s="230">
        <v>-1</v>
      </c>
      <c r="I398" s="230">
        <v>26</v>
      </c>
      <c r="J398" s="204" t="s">
        <v>1498</v>
      </c>
      <c r="K398" s="204" t="s">
        <v>83</v>
      </c>
      <c r="L398" s="238" t="str">
        <f t="shared" si="21"/>
        <v/>
      </c>
      <c r="M398" s="237" t="s">
        <v>1454</v>
      </c>
      <c r="N398" s="106"/>
    </row>
    <row r="399" spans="3:14" hidden="1">
      <c r="C399" s="234">
        <f t="shared" si="18"/>
        <v>3158</v>
      </c>
      <c r="D399" s="234">
        <f t="shared" si="19"/>
        <v>5</v>
      </c>
      <c r="E399" s="234">
        <f t="shared" si="20"/>
        <v>2017</v>
      </c>
      <c r="F399" s="234"/>
      <c r="G399" s="230">
        <v>10</v>
      </c>
      <c r="H399" s="230">
        <v>-1</v>
      </c>
      <c r="I399" s="230">
        <v>3</v>
      </c>
      <c r="J399" s="204" t="s">
        <v>1498</v>
      </c>
      <c r="K399" s="204" t="s">
        <v>83</v>
      </c>
      <c r="L399" s="238" t="str">
        <f t="shared" si="21"/>
        <v/>
      </c>
      <c r="M399" s="237" t="s">
        <v>1455</v>
      </c>
      <c r="N399" s="106"/>
    </row>
    <row r="400" spans="3:14" hidden="1">
      <c r="C400" s="234">
        <f t="shared" si="18"/>
        <v>3158</v>
      </c>
      <c r="D400" s="234">
        <f t="shared" si="19"/>
        <v>5</v>
      </c>
      <c r="E400" s="234">
        <f t="shared" si="20"/>
        <v>2017</v>
      </c>
      <c r="F400" s="234"/>
      <c r="G400" s="230">
        <v>10</v>
      </c>
      <c r="H400" s="230">
        <v>-1</v>
      </c>
      <c r="I400" s="230">
        <v>24</v>
      </c>
      <c r="J400" s="204" t="s">
        <v>1498</v>
      </c>
      <c r="K400" s="204" t="s">
        <v>83</v>
      </c>
      <c r="L400" s="238" t="str">
        <f t="shared" si="21"/>
        <v/>
      </c>
      <c r="M400" s="237" t="s">
        <v>1456</v>
      </c>
      <c r="N400" s="106"/>
    </row>
    <row r="401" spans="3:14" hidden="1">
      <c r="C401" s="234">
        <f t="shared" si="18"/>
        <v>3158</v>
      </c>
      <c r="D401" s="234">
        <f t="shared" si="19"/>
        <v>5</v>
      </c>
      <c r="E401" s="234">
        <f t="shared" si="20"/>
        <v>2017</v>
      </c>
      <c r="F401" s="234"/>
      <c r="G401" s="230">
        <v>10</v>
      </c>
      <c r="H401" s="230">
        <v>-1</v>
      </c>
      <c r="I401" s="230">
        <v>7</v>
      </c>
      <c r="J401" s="204" t="s">
        <v>1498</v>
      </c>
      <c r="K401" s="204" t="s">
        <v>83</v>
      </c>
      <c r="L401" s="238" t="str">
        <f t="shared" si="21"/>
        <v/>
      </c>
      <c r="M401" s="237" t="s">
        <v>1457</v>
      </c>
      <c r="N401" s="106"/>
    </row>
    <row r="402" spans="3:14" hidden="1">
      <c r="C402" s="234">
        <f t="shared" si="18"/>
        <v>3158</v>
      </c>
      <c r="D402" s="234">
        <f t="shared" si="19"/>
        <v>5</v>
      </c>
      <c r="E402" s="234">
        <f t="shared" si="20"/>
        <v>2017</v>
      </c>
      <c r="F402" s="234"/>
      <c r="G402" s="230">
        <v>10</v>
      </c>
      <c r="H402" s="230">
        <v>-1</v>
      </c>
      <c r="I402" s="230">
        <v>6</v>
      </c>
      <c r="J402" s="204" t="s">
        <v>1498</v>
      </c>
      <c r="K402" s="204" t="s">
        <v>83</v>
      </c>
      <c r="L402" s="238" t="str">
        <f t="shared" si="21"/>
        <v/>
      </c>
      <c r="M402" s="237" t="s">
        <v>1458</v>
      </c>
      <c r="N402" s="106"/>
    </row>
    <row r="403" spans="3:14" hidden="1">
      <c r="C403" s="234">
        <f t="shared" si="18"/>
        <v>3158</v>
      </c>
      <c r="D403" s="234">
        <f t="shared" si="19"/>
        <v>5</v>
      </c>
      <c r="E403" s="234">
        <f t="shared" si="20"/>
        <v>2017</v>
      </c>
      <c r="F403" s="234"/>
      <c r="G403" s="230">
        <v>10</v>
      </c>
      <c r="H403" s="230">
        <v>-1</v>
      </c>
      <c r="I403" s="230">
        <v>17</v>
      </c>
      <c r="J403" s="204" t="s">
        <v>1498</v>
      </c>
      <c r="K403" s="204" t="s">
        <v>83</v>
      </c>
      <c r="L403" s="238" t="str">
        <f t="shared" si="21"/>
        <v/>
      </c>
      <c r="M403" s="237" t="s">
        <v>1459</v>
      </c>
      <c r="N403" s="106"/>
    </row>
    <row r="404" spans="3:14" hidden="1">
      <c r="C404" s="234">
        <f t="shared" si="18"/>
        <v>3158</v>
      </c>
      <c r="D404" s="234">
        <f t="shared" si="19"/>
        <v>5</v>
      </c>
      <c r="E404" s="234">
        <f t="shared" si="20"/>
        <v>2017</v>
      </c>
      <c r="F404" s="234"/>
      <c r="G404" s="230">
        <v>10</v>
      </c>
      <c r="H404" s="230">
        <v>-1</v>
      </c>
      <c r="I404" s="230">
        <v>14</v>
      </c>
      <c r="J404" s="204" t="s">
        <v>1498</v>
      </c>
      <c r="K404" s="204" t="s">
        <v>83</v>
      </c>
      <c r="L404" s="238" t="str">
        <f t="shared" si="21"/>
        <v/>
      </c>
      <c r="M404" s="237" t="s">
        <v>1460</v>
      </c>
      <c r="N404" s="106"/>
    </row>
    <row r="405" spans="3:14" hidden="1">
      <c r="C405" s="234">
        <f t="shared" si="18"/>
        <v>3158</v>
      </c>
      <c r="D405" s="234">
        <f t="shared" si="19"/>
        <v>5</v>
      </c>
      <c r="E405" s="234">
        <f t="shared" si="20"/>
        <v>2017</v>
      </c>
      <c r="F405" s="234"/>
      <c r="G405" s="230">
        <v>10</v>
      </c>
      <c r="H405" s="230">
        <v>-1</v>
      </c>
      <c r="I405" s="230">
        <v>11</v>
      </c>
      <c r="J405" s="204" t="s">
        <v>1498</v>
      </c>
      <c r="K405" s="204" t="s">
        <v>83</v>
      </c>
      <c r="L405" s="238" t="str">
        <f t="shared" si="21"/>
        <v/>
      </c>
      <c r="M405" s="237" t="s">
        <v>1461</v>
      </c>
      <c r="N405" s="106"/>
    </row>
    <row r="406" spans="3:14" hidden="1">
      <c r="C406" s="234">
        <f t="shared" si="18"/>
        <v>3158</v>
      </c>
      <c r="D406" s="234">
        <f t="shared" si="19"/>
        <v>5</v>
      </c>
      <c r="E406" s="234">
        <f t="shared" si="20"/>
        <v>2017</v>
      </c>
      <c r="F406" s="234"/>
      <c r="G406" s="230">
        <v>10</v>
      </c>
      <c r="H406" s="230">
        <v>-1</v>
      </c>
      <c r="I406" s="230">
        <v>5</v>
      </c>
      <c r="J406" s="204" t="s">
        <v>1498</v>
      </c>
      <c r="K406" s="204" t="s">
        <v>83</v>
      </c>
      <c r="L406" s="238" t="str">
        <f t="shared" si="21"/>
        <v/>
      </c>
      <c r="M406" s="237" t="s">
        <v>1462</v>
      </c>
      <c r="N406" s="106"/>
    </row>
    <row r="407" spans="3:14" hidden="1">
      <c r="C407" s="234">
        <f t="shared" si="18"/>
        <v>3158</v>
      </c>
      <c r="D407" s="234">
        <f t="shared" si="19"/>
        <v>5</v>
      </c>
      <c r="E407" s="234">
        <f t="shared" si="20"/>
        <v>2017</v>
      </c>
      <c r="F407" s="234"/>
      <c r="G407" s="230">
        <v>10</v>
      </c>
      <c r="H407" s="230">
        <v>-1</v>
      </c>
      <c r="I407" s="230">
        <v>20</v>
      </c>
      <c r="J407" s="204" t="s">
        <v>1498</v>
      </c>
      <c r="K407" s="204" t="s">
        <v>83</v>
      </c>
      <c r="L407" s="238" t="str">
        <f t="shared" si="21"/>
        <v/>
      </c>
      <c r="M407" s="237" t="s">
        <v>1463</v>
      </c>
      <c r="N407" s="106"/>
    </row>
    <row r="408" spans="3:14" hidden="1">
      <c r="C408" s="234">
        <f t="shared" si="18"/>
        <v>3158</v>
      </c>
      <c r="D408" s="234">
        <f t="shared" si="19"/>
        <v>5</v>
      </c>
      <c r="E408" s="234">
        <f t="shared" si="20"/>
        <v>2017</v>
      </c>
      <c r="F408" s="234"/>
      <c r="G408" s="230">
        <v>10</v>
      </c>
      <c r="H408" s="230">
        <v>-1</v>
      </c>
      <c r="I408" s="230">
        <v>21</v>
      </c>
      <c r="J408" s="204" t="s">
        <v>1498</v>
      </c>
      <c r="K408" s="204" t="s">
        <v>83</v>
      </c>
      <c r="L408" s="238" t="str">
        <f t="shared" si="21"/>
        <v/>
      </c>
      <c r="M408" s="237" t="s">
        <v>1464</v>
      </c>
      <c r="N408" s="106"/>
    </row>
    <row r="409" spans="3:14" hidden="1">
      <c r="C409" s="234">
        <f t="shared" si="18"/>
        <v>3158</v>
      </c>
      <c r="D409" s="234">
        <f t="shared" si="19"/>
        <v>5</v>
      </c>
      <c r="E409" s="234">
        <f t="shared" si="20"/>
        <v>2017</v>
      </c>
      <c r="F409" s="234"/>
      <c r="G409" s="230">
        <v>10</v>
      </c>
      <c r="H409" s="230">
        <v>-1</v>
      </c>
      <c r="I409" s="230">
        <v>4</v>
      </c>
      <c r="J409" s="204" t="s">
        <v>1498</v>
      </c>
      <c r="K409" s="204" t="s">
        <v>83</v>
      </c>
      <c r="L409" s="238" t="str">
        <f t="shared" si="21"/>
        <v/>
      </c>
      <c r="M409" s="237" t="s">
        <v>1465</v>
      </c>
      <c r="N409" s="106"/>
    </row>
    <row r="410" spans="3:14" hidden="1">
      <c r="C410" s="234">
        <f t="shared" si="18"/>
        <v>3158</v>
      </c>
      <c r="D410" s="234">
        <f t="shared" si="19"/>
        <v>5</v>
      </c>
      <c r="E410" s="234">
        <f t="shared" si="20"/>
        <v>2017</v>
      </c>
      <c r="F410" s="234"/>
      <c r="G410" s="230">
        <v>10</v>
      </c>
      <c r="H410" s="230">
        <v>-1</v>
      </c>
      <c r="I410" s="230">
        <v>22</v>
      </c>
      <c r="J410" s="204" t="s">
        <v>1498</v>
      </c>
      <c r="K410" s="204" t="s">
        <v>83</v>
      </c>
      <c r="L410" s="238" t="str">
        <f t="shared" si="21"/>
        <v/>
      </c>
      <c r="M410" s="237" t="s">
        <v>1466</v>
      </c>
      <c r="N410" s="106"/>
    </row>
    <row r="411" spans="3:14" hidden="1">
      <c r="C411" s="234">
        <f t="shared" si="18"/>
        <v>3158</v>
      </c>
      <c r="D411" s="234">
        <f t="shared" si="19"/>
        <v>5</v>
      </c>
      <c r="E411" s="234">
        <f t="shared" si="20"/>
        <v>2017</v>
      </c>
      <c r="F411" s="234"/>
      <c r="G411" s="230">
        <v>10</v>
      </c>
      <c r="H411" s="230">
        <v>-1</v>
      </c>
      <c r="I411" s="230">
        <v>23</v>
      </c>
      <c r="J411" s="204" t="s">
        <v>1498</v>
      </c>
      <c r="K411" s="204" t="s">
        <v>83</v>
      </c>
      <c r="L411" s="238" t="str">
        <f t="shared" si="21"/>
        <v/>
      </c>
      <c r="M411" s="237" t="s">
        <v>1467</v>
      </c>
      <c r="N411" s="106"/>
    </row>
    <row r="412" spans="3:14" hidden="1">
      <c r="C412" s="234">
        <f t="shared" si="18"/>
        <v>3158</v>
      </c>
      <c r="D412" s="234">
        <f t="shared" si="19"/>
        <v>5</v>
      </c>
      <c r="E412" s="234">
        <f t="shared" si="20"/>
        <v>2017</v>
      </c>
      <c r="F412" s="234"/>
      <c r="G412" s="230">
        <v>10</v>
      </c>
      <c r="H412" s="230">
        <v>-1</v>
      </c>
      <c r="I412" s="230">
        <v>9</v>
      </c>
      <c r="J412" s="204" t="s">
        <v>1498</v>
      </c>
      <c r="K412" s="204" t="s">
        <v>83</v>
      </c>
      <c r="L412" s="238" t="str">
        <f t="shared" si="21"/>
        <v/>
      </c>
      <c r="M412" s="237" t="s">
        <v>1468</v>
      </c>
      <c r="N412" s="106"/>
    </row>
    <row r="413" spans="3:14" hidden="1">
      <c r="C413" s="234">
        <f t="shared" si="18"/>
        <v>3158</v>
      </c>
      <c r="D413" s="234">
        <f t="shared" si="19"/>
        <v>5</v>
      </c>
      <c r="E413" s="234">
        <f t="shared" si="20"/>
        <v>2017</v>
      </c>
      <c r="F413" s="234"/>
      <c r="G413" s="230">
        <v>10</v>
      </c>
      <c r="H413" s="230">
        <v>-1</v>
      </c>
      <c r="I413" s="230">
        <v>1</v>
      </c>
      <c r="J413" s="204" t="s">
        <v>1498</v>
      </c>
      <c r="K413" s="204" t="s">
        <v>83</v>
      </c>
      <c r="L413" s="238" t="str">
        <f t="shared" si="21"/>
        <v/>
      </c>
      <c r="M413" s="237" t="s">
        <v>1469</v>
      </c>
      <c r="N413" s="106"/>
    </row>
    <row r="414" spans="3:14" hidden="1">
      <c r="C414" s="234">
        <f t="shared" si="18"/>
        <v>3158</v>
      </c>
      <c r="D414" s="234">
        <f t="shared" si="19"/>
        <v>5</v>
      </c>
      <c r="E414" s="234">
        <f t="shared" si="20"/>
        <v>2017</v>
      </c>
      <c r="F414" s="234"/>
      <c r="G414" s="230">
        <v>10</v>
      </c>
      <c r="H414" s="230">
        <v>-1</v>
      </c>
      <c r="I414" s="230">
        <v>-1</v>
      </c>
      <c r="J414" s="204" t="s">
        <v>1498</v>
      </c>
      <c r="K414" s="204" t="s">
        <v>83</v>
      </c>
      <c r="L414" s="238" t="str">
        <f t="shared" si="21"/>
        <v/>
      </c>
      <c r="M414" s="237" t="s">
        <v>1470</v>
      </c>
      <c r="N414" s="106"/>
    </row>
    <row r="415" spans="3:14" hidden="1">
      <c r="C415" s="1">
        <f t="shared" si="18"/>
        <v>3158</v>
      </c>
      <c r="D415" s="1">
        <f t="shared" si="19"/>
        <v>5</v>
      </c>
      <c r="E415" s="1">
        <f t="shared" si="20"/>
        <v>2017</v>
      </c>
      <c r="G415" s="186">
        <v>1</v>
      </c>
      <c r="H415" s="186">
        <v>-1</v>
      </c>
      <c r="J415" s="115" t="s">
        <v>1395</v>
      </c>
      <c r="K415" s="115" t="s">
        <v>1500</v>
      </c>
      <c r="L415" s="33">
        <f>IF(ISBLANK(F49),"",F49)</f>
        <v>2</v>
      </c>
      <c r="M415" s="167" t="s">
        <v>1619</v>
      </c>
      <c r="N415" s="1077" t="s">
        <v>1501</v>
      </c>
    </row>
    <row r="416" spans="3:14" hidden="1">
      <c r="C416" s="1">
        <f t="shared" si="18"/>
        <v>3158</v>
      </c>
      <c r="D416" s="1">
        <f t="shared" si="19"/>
        <v>5</v>
      </c>
      <c r="E416" s="1">
        <f t="shared" si="20"/>
        <v>2017</v>
      </c>
      <c r="G416" s="186">
        <v>1</v>
      </c>
      <c r="H416" s="186">
        <v>-1</v>
      </c>
      <c r="J416" s="115" t="s">
        <v>1395</v>
      </c>
      <c r="K416" s="115" t="s">
        <v>1502</v>
      </c>
      <c r="L416" s="33">
        <f>IF(ISBLANK(F50),"",F50)</f>
        <v>9</v>
      </c>
      <c r="M416" s="167" t="s">
        <v>1620</v>
      </c>
      <c r="N416" s="1077"/>
    </row>
    <row r="417" spans="3:14" hidden="1">
      <c r="C417" s="1">
        <f t="shared" si="18"/>
        <v>3158</v>
      </c>
      <c r="D417" s="1">
        <f t="shared" si="19"/>
        <v>5</v>
      </c>
      <c r="E417" s="1">
        <f t="shared" si="20"/>
        <v>2017</v>
      </c>
      <c r="G417" s="186">
        <v>2</v>
      </c>
      <c r="H417" s="186">
        <v>-1</v>
      </c>
      <c r="J417" s="115" t="s">
        <v>1395</v>
      </c>
      <c r="K417" s="115" t="s">
        <v>1500</v>
      </c>
      <c r="L417" s="33">
        <f>IF(ISBLANK(I49),"",I49)</f>
        <v>12</v>
      </c>
      <c r="M417" s="167" t="s">
        <v>1621</v>
      </c>
      <c r="N417" s="1077"/>
    </row>
    <row r="418" spans="3:14" hidden="1">
      <c r="C418" s="1">
        <f t="shared" si="18"/>
        <v>3158</v>
      </c>
      <c r="D418" s="1">
        <f t="shared" si="19"/>
        <v>5</v>
      </c>
      <c r="E418" s="1">
        <f t="shared" si="20"/>
        <v>2017</v>
      </c>
      <c r="G418" s="186">
        <v>2</v>
      </c>
      <c r="H418" s="186">
        <v>-1</v>
      </c>
      <c r="J418" s="115" t="s">
        <v>1395</v>
      </c>
      <c r="K418" s="115" t="s">
        <v>1502</v>
      </c>
      <c r="L418" s="33">
        <f>IF(ISBLANK(I50),"",I50)</f>
        <v>24</v>
      </c>
      <c r="M418" s="167" t="s">
        <v>1622</v>
      </c>
      <c r="N418" s="1077"/>
    </row>
    <row r="419" spans="3:14" hidden="1">
      <c r="C419" s="1">
        <f t="shared" si="18"/>
        <v>3158</v>
      </c>
      <c r="D419" s="1">
        <f t="shared" si="19"/>
        <v>5</v>
      </c>
      <c r="E419" s="1">
        <f t="shared" si="20"/>
        <v>2017</v>
      </c>
      <c r="G419" s="186">
        <v>3</v>
      </c>
      <c r="H419" s="186">
        <v>-1</v>
      </c>
      <c r="J419" s="115" t="s">
        <v>1395</v>
      </c>
      <c r="K419" s="115" t="s">
        <v>1500</v>
      </c>
      <c r="L419" s="33" t="str">
        <f>IF(ISBLANK(K49),"",K49)</f>
        <v/>
      </c>
      <c r="M419" s="167" t="s">
        <v>1623</v>
      </c>
      <c r="N419" s="1077"/>
    </row>
    <row r="420" spans="3:14" hidden="1">
      <c r="C420" s="1">
        <f t="shared" si="18"/>
        <v>3158</v>
      </c>
      <c r="D420" s="1">
        <f t="shared" si="19"/>
        <v>5</v>
      </c>
      <c r="E420" s="1">
        <f t="shared" si="20"/>
        <v>2017</v>
      </c>
      <c r="G420" s="186">
        <v>3</v>
      </c>
      <c r="H420" s="186">
        <v>-1</v>
      </c>
      <c r="J420" s="115" t="s">
        <v>1395</v>
      </c>
      <c r="K420" s="115" t="s">
        <v>1502</v>
      </c>
      <c r="L420" s="33" t="str">
        <f>IF(ISBLANK(K50),"",K50)</f>
        <v/>
      </c>
      <c r="M420" s="167" t="s">
        <v>1624</v>
      </c>
      <c r="N420" s="1077"/>
    </row>
    <row r="421" spans="3:14" hidden="1">
      <c r="C421" s="1">
        <f t="shared" si="18"/>
        <v>3158</v>
      </c>
      <c r="D421" s="1">
        <f t="shared" si="19"/>
        <v>5</v>
      </c>
      <c r="E421" s="1">
        <f t="shared" si="20"/>
        <v>2017</v>
      </c>
      <c r="G421" s="186">
        <v>4</v>
      </c>
      <c r="H421" s="186">
        <v>-1</v>
      </c>
      <c r="J421" s="115" t="s">
        <v>1395</v>
      </c>
      <c r="K421" s="115" t="s">
        <v>1500</v>
      </c>
      <c r="L421" s="33" t="str">
        <f>IF(ISBLANK(N49),"",N49)</f>
        <v/>
      </c>
      <c r="M421" s="206" t="s">
        <v>1471</v>
      </c>
      <c r="N421" s="1077"/>
    </row>
    <row r="422" spans="3:14" hidden="1">
      <c r="C422" s="1">
        <f t="shared" si="18"/>
        <v>3158</v>
      </c>
      <c r="D422" s="1">
        <f t="shared" si="19"/>
        <v>5</v>
      </c>
      <c r="E422" s="1">
        <f t="shared" si="20"/>
        <v>2017</v>
      </c>
      <c r="G422" s="186">
        <v>4</v>
      </c>
      <c r="H422" s="186">
        <v>-1</v>
      </c>
      <c r="J422" s="115" t="s">
        <v>1395</v>
      </c>
      <c r="K422" s="115" t="s">
        <v>1502</v>
      </c>
      <c r="L422" s="33" t="str">
        <f>IF(ISBLANK(N50),"",N50)</f>
        <v/>
      </c>
      <c r="M422" s="206" t="s">
        <v>1472</v>
      </c>
      <c r="N422" s="1077"/>
    </row>
    <row r="423" spans="3:14" hidden="1">
      <c r="C423" s="1">
        <f t="shared" si="18"/>
        <v>3158</v>
      </c>
      <c r="D423" s="1">
        <f t="shared" si="19"/>
        <v>5</v>
      </c>
      <c r="E423" s="1">
        <f t="shared" si="20"/>
        <v>2017</v>
      </c>
      <c r="G423" s="186">
        <v>5</v>
      </c>
      <c r="H423" s="186">
        <v>-1</v>
      </c>
      <c r="J423" s="115" t="s">
        <v>1395</v>
      </c>
      <c r="K423" s="115" t="s">
        <v>1500</v>
      </c>
      <c r="L423" s="33" t="str">
        <f>IF(ISBLANK(Q49),"",Q49)</f>
        <v/>
      </c>
      <c r="M423" s="206" t="s">
        <v>1473</v>
      </c>
      <c r="N423" s="1077"/>
    </row>
    <row r="424" spans="3:14" hidden="1">
      <c r="C424" s="1">
        <f t="shared" si="18"/>
        <v>3158</v>
      </c>
      <c r="D424" s="1">
        <f t="shared" si="19"/>
        <v>5</v>
      </c>
      <c r="E424" s="1">
        <f t="shared" si="20"/>
        <v>2017</v>
      </c>
      <c r="G424" s="186">
        <v>5</v>
      </c>
      <c r="H424" s="186">
        <v>-1</v>
      </c>
      <c r="J424" s="115" t="s">
        <v>1395</v>
      </c>
      <c r="K424" s="115" t="s">
        <v>1502</v>
      </c>
      <c r="L424" s="33" t="str">
        <f>IF(ISBLANK(Q50),"",Q50)</f>
        <v/>
      </c>
      <c r="M424" s="206" t="s">
        <v>1474</v>
      </c>
      <c r="N424" s="1077"/>
    </row>
    <row r="425" spans="3:14" hidden="1">
      <c r="C425" s="234">
        <f>F$1</f>
        <v>3158</v>
      </c>
      <c r="D425" s="234">
        <f t="shared" si="19"/>
        <v>5</v>
      </c>
      <c r="E425" s="234">
        <f t="shared" si="20"/>
        <v>2017</v>
      </c>
      <c r="F425" s="239"/>
      <c r="G425" s="240">
        <v>10</v>
      </c>
      <c r="H425" s="230">
        <v>-1</v>
      </c>
      <c r="I425" s="241"/>
      <c r="J425" s="204" t="s">
        <v>1395</v>
      </c>
      <c r="K425" s="204" t="s">
        <v>1500</v>
      </c>
      <c r="L425" s="33" t="str">
        <f>IF(ISBLANK(S49),"",S49)</f>
        <v/>
      </c>
      <c r="M425" s="206" t="s">
        <v>1475</v>
      </c>
    </row>
    <row r="426" spans="3:14" hidden="1">
      <c r="C426" s="234">
        <f>F$1</f>
        <v>3158</v>
      </c>
      <c r="D426" s="234">
        <f t="shared" si="19"/>
        <v>5</v>
      </c>
      <c r="E426" s="234">
        <f>D$1</f>
        <v>2017</v>
      </c>
      <c r="F426" s="239"/>
      <c r="G426" s="240">
        <v>10</v>
      </c>
      <c r="H426" s="230">
        <v>-1</v>
      </c>
      <c r="I426" s="241"/>
      <c r="J426" s="204" t="s">
        <v>1395</v>
      </c>
      <c r="K426" s="204" t="s">
        <v>1502</v>
      </c>
      <c r="L426" s="33" t="str">
        <f>IF(ISBLANK(S50),"",S50)</f>
        <v/>
      </c>
      <c r="M426" s="206" t="s">
        <v>1476</v>
      </c>
    </row>
    <row r="427" spans="3:14" hidden="1"/>
    <row r="428" spans="3:14" hidden="1"/>
  </sheetData>
  <sheetProtection password="E981" sheet="1" objects="1" scenarios="1"/>
  <mergeCells count="39">
    <mergeCell ref="N253:N387"/>
    <mergeCell ref="N415:N424"/>
    <mergeCell ref="R3:S3"/>
    <mergeCell ref="R4:R6"/>
    <mergeCell ref="S4:S6"/>
    <mergeCell ref="N62:N194"/>
    <mergeCell ref="M4:N4"/>
    <mergeCell ref="M5:M6"/>
    <mergeCell ref="N5:N6"/>
    <mergeCell ref="O3:Q3"/>
    <mergeCell ref="U18:AD18"/>
    <mergeCell ref="C23:E29"/>
    <mergeCell ref="N197:N244"/>
    <mergeCell ref="A1:C1"/>
    <mergeCell ref="A7:A19"/>
    <mergeCell ref="A21:A51"/>
    <mergeCell ref="A20:B20"/>
    <mergeCell ref="C31:E34"/>
    <mergeCell ref="D5:D6"/>
    <mergeCell ref="E5:E6"/>
    <mergeCell ref="G5:G6"/>
    <mergeCell ref="H5:H6"/>
    <mergeCell ref="A52:B52"/>
    <mergeCell ref="A3:B6"/>
    <mergeCell ref="G3:I3"/>
    <mergeCell ref="I4:I6"/>
    <mergeCell ref="F4:F6"/>
    <mergeCell ref="C3:F3"/>
    <mergeCell ref="C5:C6"/>
    <mergeCell ref="L5:L6"/>
    <mergeCell ref="U13:AG13"/>
    <mergeCell ref="J3:K3"/>
    <mergeCell ref="J4:J6"/>
    <mergeCell ref="K4:K6"/>
    <mergeCell ref="L3:N3"/>
    <mergeCell ref="P4:Q4"/>
    <mergeCell ref="O5:O6"/>
    <mergeCell ref="P5:P6"/>
    <mergeCell ref="Q5:Q6"/>
  </mergeCells>
  <phoneticPr fontId="0" type="noConversion"/>
  <conditionalFormatting sqref="D19:E19 G15:H15 G19:H19 M15 M19 D15:E15 P19 P15">
    <cfRule type="expression" dxfId="59" priority="6" stopIfTrue="1">
      <formula>(D$15-D$19)&lt;&gt;0</formula>
    </cfRule>
  </conditionalFormatting>
  <conditionalFormatting sqref="F15 F19 F48 F51 I15 I19 I48 I51 N51 N15 N19 N48 Q48 Q51 Q15:R15 Q19:R19">
    <cfRule type="expression" dxfId="58" priority="7" stopIfTrue="1">
      <formula>(F$15-F$19)&lt;&gt;0</formula>
    </cfRule>
    <cfRule type="expression" dxfId="57" priority="8" stopIfTrue="1">
      <formula>(F$48-F$51)&lt;&gt;0</formula>
    </cfRule>
    <cfRule type="expression" dxfId="56" priority="9" stopIfTrue="1">
      <formula>(F$15-F$48)&lt;&gt;0</formula>
    </cfRule>
  </conditionalFormatting>
  <conditionalFormatting sqref="K48">
    <cfRule type="expression" dxfId="55" priority="11" stopIfTrue="1">
      <formula>(K$15-K$48)&lt;&gt;0</formula>
    </cfRule>
  </conditionalFormatting>
  <conditionalFormatting sqref="D52:I52 D2:I2">
    <cfRule type="expression" dxfId="54" priority="13" stopIfTrue="1">
      <formula>$U$22=1</formula>
    </cfRule>
  </conditionalFormatting>
  <conditionalFormatting sqref="J52:K52 J2:K2">
    <cfRule type="expression" dxfId="53" priority="14" stopIfTrue="1">
      <formula>$V$22=1</formula>
    </cfRule>
  </conditionalFormatting>
  <conditionalFormatting sqref="L52:M52 L2:M2">
    <cfRule type="expression" dxfId="52" priority="15" stopIfTrue="1">
      <formula>$W$22=1</formula>
    </cfRule>
  </conditionalFormatting>
  <conditionalFormatting sqref="N2:S2 N52:R52">
    <cfRule type="expression" dxfId="51" priority="16" stopIfTrue="1">
      <formula>$X$22=1</formula>
    </cfRule>
  </conditionalFormatting>
  <conditionalFormatting sqref="S52">
    <cfRule type="expression" dxfId="50" priority="17" stopIfTrue="1">
      <formula>$Y$22=1</formula>
    </cfRule>
  </conditionalFormatting>
  <conditionalFormatting sqref="S15 S19">
    <cfRule type="expression" dxfId="49" priority="18" stopIfTrue="1">
      <formula>(S$15-S$19)&lt;&gt;0</formula>
    </cfRule>
    <cfRule type="expression" dxfId="48" priority="19" stopIfTrue="1">
      <formula>(S$15-S$48)&lt;&gt;0</formula>
    </cfRule>
  </conditionalFormatting>
  <conditionalFormatting sqref="S48">
    <cfRule type="expression" dxfId="47" priority="20" stopIfTrue="1">
      <formula>(S$15-S$19)&lt;&gt;0</formula>
    </cfRule>
    <cfRule type="expression" dxfId="46" priority="21" stopIfTrue="1">
      <formula>(S$15-S$48)&lt;&gt;0</formula>
    </cfRule>
  </conditionalFormatting>
  <conditionalFormatting sqref="K15">
    <cfRule type="expression" dxfId="45" priority="1" stopIfTrue="1">
      <formula>(K$15-K$48)&lt;&gt;0</formula>
    </cfRule>
  </conditionalFormatting>
  <dataValidations count="4">
    <dataValidation type="custom" allowBlank="1" showInputMessage="1" showErrorMessage="1" errorTitle="Rote Markierung" error="Die rote Markierung verschwindet, sobald die Totale übereinstimmen." sqref="U10:W10" xr:uid="{00000000-0002-0000-0300-000000000000}">
      <formula1>SUM(U6:AF6)=0</formula1>
    </dataValidation>
    <dataValidation type="custom" allowBlank="1" showInputMessage="1" showErrorMessage="1" errorTitle="Rote Markierung" error="Die rote Markierung verschwindet, sobald die Totale übereinstimmen." sqref="U24:V28" xr:uid="{00000000-0002-0000-0300-000001000000}">
      <formula1>SUM(U20:U20)=0</formula1>
    </dataValidation>
    <dataValidation type="whole" allowBlank="1" showInputMessage="1" showErrorMessage="1" errorTitle="Ganze Zahl" error="Geben Sie eine ganze Zahl, ohne Kommastellen, zwischen 0 und 100'000 ein" sqref="S16:S18 S49:S50 S21:S47" xr:uid="{00000000-0002-0000-0300-000002000000}">
      <formula1>0</formula1>
      <formula2>100000</formula2>
    </dataValidation>
    <dataValidation type="decimal" allowBlank="1" showInputMessage="1" showErrorMessage="1" errorTitle="Dezimalzahl" error="Das Dezimalzeichen ist der Punkt._x000a_Die Zahl muss zwischen Null und 1'000'000 liegen." sqref="R20:S20 R16:R18 R7:R14" xr:uid="{00000000-0002-0000-0300-000003000000}">
      <formula1>0</formula1>
      <formula2>1000000</formula2>
    </dataValidation>
  </dataValidations>
  <pageMargins left="0.24" right="0.23622047244094491" top="0.27559055118110237" bottom="0.19685039370078741" header="0.27559055118110237" footer="0.19685039370078741"/>
  <pageSetup paperSize="9" pageOrder="overThenDown" orientation="portrait" r:id="rId1"/>
  <headerFooter alignWithMargins="0">
    <oddFooter>&amp;L&amp;8Druck: &amp;D, &amp;T&amp;R&amp;8VAF-Periode 2015-2018</oddFooter>
  </headerFooter>
  <colBreaks count="4" manualBreakCount="4">
    <brk id="6" max="50" man="1"/>
    <brk id="9" max="1048575" man="1"/>
    <brk id="11" max="1048575" man="1"/>
    <brk id="19"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tabColor theme="3" tint="0.59999389629810485"/>
  </sheetPr>
  <dimension ref="A1:S106"/>
  <sheetViews>
    <sheetView showGridLines="0" zoomScale="85" zoomScaleNormal="100" workbookViewId="0">
      <selection activeCell="J29" sqref="J29:T110"/>
    </sheetView>
  </sheetViews>
  <sheetFormatPr baseColWidth="10" defaultRowHeight="15"/>
  <cols>
    <col min="1" max="1" width="15.44140625" style="11" customWidth="1"/>
    <col min="2" max="2" width="19.44140625" style="11" customWidth="1"/>
    <col min="3" max="4" width="9.5546875" style="11" customWidth="1"/>
    <col min="5" max="5" width="2.77734375" style="11" customWidth="1"/>
    <col min="6" max="9" width="9.5546875" style="11" customWidth="1"/>
    <col min="10" max="10" width="9.33203125" style="11" customWidth="1"/>
    <col min="11" max="19" width="11.5546875" style="11" hidden="1" customWidth="1"/>
    <col min="20" max="16384" width="11.5546875" style="11"/>
  </cols>
  <sheetData>
    <row r="1" spans="1:18" ht="15.75">
      <c r="A1" s="631" t="s">
        <v>2504</v>
      </c>
      <c r="B1" s="26"/>
      <c r="C1" s="26"/>
      <c r="D1" s="110">
        <f>'Organisationsdaten (Basisinfo)'!D1</f>
        <v>2017</v>
      </c>
      <c r="E1" s="26"/>
      <c r="F1" s="633" t="s">
        <v>2505</v>
      </c>
      <c r="G1" s="28">
        <f>'Organisationsdaten (Basisinfo)'!H1</f>
        <v>3158</v>
      </c>
      <c r="K1" s="282" t="s">
        <v>439</v>
      </c>
      <c r="L1" s="280">
        <f>'Organisationsdaten (Basisinfo)'!K1</f>
        <v>5</v>
      </c>
    </row>
    <row r="2" spans="1:18" ht="15.75" thickBot="1">
      <c r="A2" s="12"/>
      <c r="B2" s="12"/>
      <c r="C2" s="12"/>
      <c r="D2" s="12"/>
      <c r="E2" s="12"/>
      <c r="F2" s="12"/>
      <c r="G2" s="13"/>
      <c r="H2" s="12"/>
      <c r="I2" s="12"/>
      <c r="J2" s="12"/>
    </row>
    <row r="3" spans="1:18">
      <c r="A3" s="1159" t="s">
        <v>2506</v>
      </c>
      <c r="B3" s="1146" t="s">
        <v>2507</v>
      </c>
      <c r="C3" s="1143" t="s">
        <v>2508</v>
      </c>
      <c r="D3" s="1143" t="s">
        <v>2509</v>
      </c>
      <c r="E3" s="1156"/>
      <c r="F3" s="1162" t="s">
        <v>2510</v>
      </c>
      <c r="G3" s="1163"/>
      <c r="H3" s="1163"/>
      <c r="I3" s="1163"/>
      <c r="J3" s="1164"/>
    </row>
    <row r="4" spans="1:18" ht="21" customHeight="1">
      <c r="A4" s="1160"/>
      <c r="B4" s="1147"/>
      <c r="C4" s="1144"/>
      <c r="D4" s="1144"/>
      <c r="E4" s="1157"/>
      <c r="F4" s="1139" t="s">
        <v>2511</v>
      </c>
      <c r="G4" s="1140"/>
      <c r="H4" s="1139" t="s">
        <v>2512</v>
      </c>
      <c r="I4" s="1140"/>
      <c r="J4" s="1137" t="s">
        <v>2516</v>
      </c>
    </row>
    <row r="5" spans="1:18" ht="21" customHeight="1">
      <c r="A5" s="1160"/>
      <c r="B5" s="1147"/>
      <c r="C5" s="1144"/>
      <c r="D5" s="1144"/>
      <c r="E5" s="1157"/>
      <c r="F5" s="1141"/>
      <c r="G5" s="1142"/>
      <c r="H5" s="1141"/>
      <c r="I5" s="1142"/>
      <c r="J5" s="1108"/>
    </row>
    <row r="6" spans="1:18" ht="15" customHeight="1">
      <c r="A6" s="1160"/>
      <c r="B6" s="1147"/>
      <c r="C6" s="1144"/>
      <c r="D6" s="1144"/>
      <c r="E6" s="1157"/>
      <c r="F6" s="1151" t="s">
        <v>2514</v>
      </c>
      <c r="G6" s="1151" t="s">
        <v>2513</v>
      </c>
      <c r="H6" s="1151" t="s">
        <v>2515</v>
      </c>
      <c r="I6" s="1151" t="s">
        <v>2513</v>
      </c>
      <c r="J6" s="1108"/>
      <c r="L6" s="98"/>
      <c r="M6" s="1134" t="s">
        <v>137</v>
      </c>
      <c r="N6" s="1134"/>
      <c r="O6" s="1134"/>
      <c r="P6" s="1134"/>
      <c r="Q6" s="1134"/>
      <c r="R6" s="1134"/>
    </row>
    <row r="7" spans="1:18">
      <c r="A7" s="1160"/>
      <c r="B7" s="1147" t="s">
        <v>174</v>
      </c>
      <c r="C7" s="1144" t="s">
        <v>1544</v>
      </c>
      <c r="D7" s="1144" t="s">
        <v>1545</v>
      </c>
      <c r="E7" s="1157"/>
      <c r="F7" s="1152"/>
      <c r="G7" s="1152"/>
      <c r="H7" s="1152"/>
      <c r="I7" s="1152"/>
      <c r="J7" s="1108"/>
      <c r="L7" s="98"/>
      <c r="M7" s="1134" t="s">
        <v>1529</v>
      </c>
      <c r="N7" s="1134"/>
      <c r="O7" s="1134"/>
      <c r="P7" s="1134" t="s">
        <v>173</v>
      </c>
      <c r="Q7" s="1134"/>
      <c r="R7" s="1134"/>
    </row>
    <row r="8" spans="1:18" ht="29.25" customHeight="1" thickBot="1">
      <c r="A8" s="1161"/>
      <c r="B8" s="1148"/>
      <c r="C8" s="1145"/>
      <c r="D8" s="1145"/>
      <c r="E8" s="1158"/>
      <c r="F8" s="1153"/>
      <c r="G8" s="1153"/>
      <c r="H8" s="1153"/>
      <c r="I8" s="1153"/>
      <c r="J8" s="1138"/>
      <c r="L8" s="98"/>
      <c r="M8" s="190" t="s">
        <v>141</v>
      </c>
      <c r="N8" s="190" t="s">
        <v>142</v>
      </c>
      <c r="O8" s="190" t="s">
        <v>143</v>
      </c>
      <c r="P8" s="190" t="s">
        <v>141</v>
      </c>
      <c r="Q8" s="190" t="s">
        <v>142</v>
      </c>
      <c r="R8" s="190" t="s">
        <v>143</v>
      </c>
    </row>
    <row r="9" spans="1:18">
      <c r="A9" s="1149" t="s">
        <v>2517</v>
      </c>
      <c r="B9" s="870" t="s">
        <v>2520</v>
      </c>
      <c r="C9" s="67"/>
      <c r="D9" s="67"/>
      <c r="E9" s="243"/>
      <c r="F9" s="68"/>
      <c r="G9" s="68"/>
      <c r="H9" s="68"/>
      <c r="I9" s="68"/>
      <c r="J9" s="69"/>
      <c r="L9" s="98"/>
      <c r="M9" s="98" t="str">
        <f>IF(AND($R9&gt;0,C9=0),1,"")</f>
        <v/>
      </c>
      <c r="N9" s="98" t="str">
        <f>IF(AND($R9&gt;0,D9=0),1,"")</f>
        <v/>
      </c>
      <c r="O9" s="98" t="str">
        <f>IF(AND($R9&gt;0,E9=0),1,"")</f>
        <v/>
      </c>
      <c r="P9" s="98" t="str">
        <f>IF(AND($R9&gt;0,F9=0),1,"")</f>
        <v/>
      </c>
      <c r="Q9" s="98" t="str">
        <f>IF(AND($R9&gt;0,G9=0),1,"")</f>
        <v/>
      </c>
      <c r="R9" s="191">
        <f>SUM(C9:J9)</f>
        <v>0</v>
      </c>
    </row>
    <row r="10" spans="1:18">
      <c r="A10" s="1149"/>
      <c r="B10" s="259" t="s">
        <v>2521</v>
      </c>
      <c r="C10" s="97"/>
      <c r="D10" s="97"/>
      <c r="E10" s="244"/>
      <c r="F10" s="62"/>
      <c r="G10" s="62"/>
      <c r="H10" s="62"/>
      <c r="I10" s="62"/>
      <c r="J10" s="70"/>
      <c r="L10" s="98"/>
      <c r="M10" s="98"/>
      <c r="N10" s="98"/>
      <c r="O10" s="98"/>
      <c r="P10" s="98"/>
      <c r="Q10" s="98"/>
      <c r="R10" s="191">
        <f t="shared" ref="R10:R19" si="0">SUM(C10:J10)</f>
        <v>0</v>
      </c>
    </row>
    <row r="11" spans="1:18">
      <c r="A11" s="1149"/>
      <c r="B11" s="260" t="s">
        <v>2522</v>
      </c>
      <c r="C11" s="97">
        <v>29</v>
      </c>
      <c r="D11" s="97">
        <v>338</v>
      </c>
      <c r="E11" s="244"/>
      <c r="F11" s="62">
        <v>941</v>
      </c>
      <c r="G11" s="62"/>
      <c r="H11" s="62"/>
      <c r="I11" s="62"/>
      <c r="J11" s="70"/>
      <c r="L11" s="98"/>
      <c r="M11" s="98"/>
      <c r="N11" s="98"/>
      <c r="O11" s="98"/>
      <c r="P11" s="98"/>
      <c r="Q11" s="98"/>
      <c r="R11" s="191">
        <f t="shared" si="0"/>
        <v>1308</v>
      </c>
    </row>
    <row r="12" spans="1:18" ht="15.75" thickBot="1">
      <c r="A12" s="1150"/>
      <c r="B12" s="261" t="s">
        <v>1530</v>
      </c>
      <c r="C12" s="93">
        <f>ROUND(SUM(C9:C11),2)</f>
        <v>29</v>
      </c>
      <c r="D12" s="93">
        <f>ROUND(SUM(D9:D11),2)</f>
        <v>338</v>
      </c>
      <c r="E12" s="94"/>
      <c r="F12" s="95">
        <f>ROUND(SUM(F9:F11),2)</f>
        <v>941</v>
      </c>
      <c r="G12" s="95">
        <f>ROUND(SUM(G9:G11),2)</f>
        <v>0</v>
      </c>
      <c r="H12" s="95">
        <f>ROUND(SUM(H9:H11),2)</f>
        <v>0</v>
      </c>
      <c r="I12" s="95">
        <f>ROUND(SUM(I9:I11),2)</f>
        <v>0</v>
      </c>
      <c r="J12" s="96">
        <f>ROUND(SUM(J9:J11),2)</f>
        <v>0</v>
      </c>
      <c r="L12" s="98" t="s">
        <v>1534</v>
      </c>
      <c r="M12" s="191">
        <f>KlientInnenstatistik!B15</f>
        <v>338</v>
      </c>
      <c r="N12" s="192">
        <f>SUM(F12,H12)</f>
        <v>941</v>
      </c>
      <c r="O12" s="98">
        <f>COUNTIF(M12:N12,"&gt;0")</f>
        <v>2</v>
      </c>
      <c r="P12" s="191">
        <f>KlientInnenstatistik!C15</f>
        <v>0</v>
      </c>
      <c r="Q12" s="192">
        <f>SUM(G12,I12)</f>
        <v>0</v>
      </c>
      <c r="R12" s="98">
        <f>COUNTIF(P12:Q12,"&gt;0")</f>
        <v>0</v>
      </c>
    </row>
    <row r="13" spans="1:18">
      <c r="A13" s="1155" t="s">
        <v>2518</v>
      </c>
      <c r="B13" s="258" t="s">
        <v>2520</v>
      </c>
      <c r="C13" s="67"/>
      <c r="D13" s="67"/>
      <c r="E13" s="244"/>
      <c r="F13" s="67"/>
      <c r="G13" s="542"/>
      <c r="H13" s="542"/>
      <c r="I13" s="542"/>
      <c r="J13" s="543"/>
      <c r="K13" s="151"/>
      <c r="L13" s="98"/>
      <c r="M13" s="98"/>
      <c r="N13" s="98"/>
      <c r="O13" s="98"/>
      <c r="P13" s="98"/>
      <c r="R13" s="191">
        <v>0</v>
      </c>
    </row>
    <row r="14" spans="1:18">
      <c r="A14" s="1149"/>
      <c r="B14" s="259" t="s">
        <v>2521</v>
      </c>
      <c r="C14" s="97"/>
      <c r="D14" s="97"/>
      <c r="E14" s="244"/>
      <c r="F14" s="97"/>
      <c r="G14" s="544"/>
      <c r="H14" s="544"/>
      <c r="I14" s="544"/>
      <c r="J14" s="545"/>
      <c r="K14" s="151"/>
      <c r="L14" s="98"/>
      <c r="M14" s="98"/>
      <c r="N14" s="98"/>
      <c r="O14" s="98"/>
      <c r="P14" s="98"/>
      <c r="Q14" s="98"/>
      <c r="R14" s="191">
        <v>0</v>
      </c>
    </row>
    <row r="15" spans="1:18">
      <c r="A15" s="1149"/>
      <c r="B15" s="260" t="s">
        <v>2522</v>
      </c>
      <c r="C15" s="97">
        <v>19</v>
      </c>
      <c r="D15" s="97">
        <v>192</v>
      </c>
      <c r="E15" s="244"/>
      <c r="F15" s="97">
        <v>192</v>
      </c>
      <c r="G15" s="544"/>
      <c r="H15" s="544"/>
      <c r="I15" s="544"/>
      <c r="J15" s="545"/>
      <c r="K15" s="151"/>
      <c r="L15" s="98"/>
      <c r="M15" s="98"/>
      <c r="N15" s="98"/>
      <c r="O15" s="98"/>
      <c r="P15" s="98"/>
      <c r="Q15" s="98"/>
      <c r="R15" s="191">
        <v>0</v>
      </c>
    </row>
    <row r="16" spans="1:18" ht="15.75" thickBot="1">
      <c r="A16" s="1150"/>
      <c r="B16" s="262" t="s">
        <v>1530</v>
      </c>
      <c r="C16" s="93">
        <f>ROUND(SUM(C13:C15),2)</f>
        <v>19</v>
      </c>
      <c r="D16" s="93">
        <f>ROUND(SUM(D13:D15),2)</f>
        <v>192</v>
      </c>
      <c r="E16" s="94"/>
      <c r="F16" s="95">
        <f>ROUND(SUM(F13:F15),2)</f>
        <v>192</v>
      </c>
      <c r="G16" s="546"/>
      <c r="H16" s="546"/>
      <c r="I16" s="546"/>
      <c r="J16" s="547"/>
      <c r="L16" s="98" t="s">
        <v>171</v>
      </c>
      <c r="M16" s="191">
        <v>0</v>
      </c>
      <c r="N16" s="192">
        <v>0</v>
      </c>
      <c r="O16" s="98">
        <v>0</v>
      </c>
      <c r="P16" s="191">
        <v>0</v>
      </c>
      <c r="Q16" s="192">
        <v>0</v>
      </c>
      <c r="R16" s="98">
        <v>0</v>
      </c>
    </row>
    <row r="17" spans="1:18" ht="15" customHeight="1">
      <c r="A17" s="1155" t="s">
        <v>2519</v>
      </c>
      <c r="B17" s="258" t="s">
        <v>2520</v>
      </c>
      <c r="C17" s="67"/>
      <c r="D17" s="67"/>
      <c r="E17" s="243"/>
      <c r="F17" s="68"/>
      <c r="G17" s="68"/>
      <c r="H17" s="68"/>
      <c r="I17" s="68"/>
      <c r="J17" s="69"/>
      <c r="L17" s="98"/>
      <c r="M17" s="98"/>
      <c r="N17" s="98"/>
      <c r="O17" s="98"/>
      <c r="P17" s="98"/>
      <c r="R17" s="191">
        <f t="shared" si="0"/>
        <v>0</v>
      </c>
    </row>
    <row r="18" spans="1:18">
      <c r="A18" s="1149"/>
      <c r="B18" s="259" t="s">
        <v>2521</v>
      </c>
      <c r="C18" s="97"/>
      <c r="D18" s="97"/>
      <c r="E18" s="244"/>
      <c r="F18" s="62"/>
      <c r="G18" s="62"/>
      <c r="H18" s="62"/>
      <c r="I18" s="62"/>
      <c r="J18" s="70"/>
      <c r="L18" s="98"/>
      <c r="M18" s="98"/>
      <c r="N18" s="98"/>
      <c r="O18" s="98"/>
      <c r="P18" s="98"/>
      <c r="Q18" s="98"/>
      <c r="R18" s="191">
        <f t="shared" si="0"/>
        <v>0</v>
      </c>
    </row>
    <row r="19" spans="1:18">
      <c r="A19" s="1149"/>
      <c r="B19" s="260" t="s">
        <v>2522</v>
      </c>
      <c r="C19" s="97"/>
      <c r="D19" s="97"/>
      <c r="E19" s="244"/>
      <c r="F19" s="62"/>
      <c r="G19" s="62"/>
      <c r="H19" s="62"/>
      <c r="I19" s="62"/>
      <c r="J19" s="70"/>
      <c r="L19" s="98"/>
      <c r="M19" s="98"/>
      <c r="N19" s="98"/>
      <c r="O19" s="98"/>
      <c r="P19" s="98"/>
      <c r="Q19" s="98"/>
      <c r="R19" s="191">
        <f t="shared" si="0"/>
        <v>0</v>
      </c>
    </row>
    <row r="20" spans="1:18" ht="15.75" thickBot="1">
      <c r="A20" s="1150"/>
      <c r="B20" s="263" t="s">
        <v>1530</v>
      </c>
      <c r="C20" s="93">
        <f>ROUND(SUM(C17:C19),2)</f>
        <v>0</v>
      </c>
      <c r="D20" s="93">
        <f>ROUND(SUM(D17:D19),2)</f>
        <v>0</v>
      </c>
      <c r="E20" s="94"/>
      <c r="F20" s="95">
        <f>ROUND(SUM(F17:F19),2)</f>
        <v>0</v>
      </c>
      <c r="G20" s="95">
        <f>ROUND(SUM(G17:G19),2)</f>
        <v>0</v>
      </c>
      <c r="H20" s="95">
        <f>ROUND(SUM(H17:H19),2)</f>
        <v>0</v>
      </c>
      <c r="I20" s="95">
        <f>ROUND(SUM(I17:I19),2)</f>
        <v>0</v>
      </c>
      <c r="J20" s="96">
        <f>ROUND(SUM(J17:J19),2)</f>
        <v>0</v>
      </c>
      <c r="L20" s="98" t="s">
        <v>140</v>
      </c>
      <c r="M20" s="191">
        <f>KlientInnenstatistik!F15</f>
        <v>0</v>
      </c>
      <c r="N20" s="192">
        <f>SUM(F20,H20)</f>
        <v>0</v>
      </c>
      <c r="O20" s="98">
        <f>COUNTIF(M20:N20,"&gt;0")</f>
        <v>0</v>
      </c>
      <c r="P20" s="191">
        <f>KlientInnenstatistik!G15</f>
        <v>0</v>
      </c>
      <c r="Q20" s="192">
        <f>SUM(G20,I20)</f>
        <v>0</v>
      </c>
      <c r="R20" s="98">
        <f>COUNTIF(P20:Q20,"&gt;0")</f>
        <v>0</v>
      </c>
    </row>
    <row r="21" spans="1:18" ht="15.75" thickBot="1">
      <c r="A21" s="1135" t="s">
        <v>2534</v>
      </c>
      <c r="B21" s="1136"/>
      <c r="C21" s="433">
        <f>SUM(C12,C16,C20)</f>
        <v>48</v>
      </c>
      <c r="D21" s="433">
        <f>SUM(D12,D16,D20)</f>
        <v>530</v>
      </c>
      <c r="E21" s="434"/>
      <c r="F21" s="435" t="s">
        <v>172</v>
      </c>
      <c r="G21" s="435" t="s">
        <v>172</v>
      </c>
      <c r="H21" s="435" t="s">
        <v>172</v>
      </c>
      <c r="I21" s="435" t="s">
        <v>172</v>
      </c>
      <c r="J21" s="436" t="s">
        <v>172</v>
      </c>
      <c r="L21" s="98"/>
      <c r="M21" s="98"/>
      <c r="N21" s="193" t="s">
        <v>138</v>
      </c>
      <c r="O21" s="98" t="str">
        <f>IF(OR(O12=1,O16=1,O20=1,R12=1,R16=1,R20=1),1,"")</f>
        <v/>
      </c>
      <c r="P21" s="98"/>
      <c r="R21" s="191">
        <f>SUM(R9:R11,R13:R15,R17:R19)</f>
        <v>1308</v>
      </c>
    </row>
    <row r="22" spans="1:18">
      <c r="A22" s="432" t="s">
        <v>2648</v>
      </c>
      <c r="B22" s="432"/>
      <c r="L22" s="98"/>
      <c r="M22" s="98"/>
      <c r="N22" s="98"/>
      <c r="O22" s="98"/>
      <c r="P22" s="98"/>
      <c r="Q22" s="98"/>
      <c r="R22" s="98"/>
    </row>
    <row r="23" spans="1:18" ht="15.75">
      <c r="A23" s="152"/>
      <c r="L23" s="98"/>
      <c r="M23" s="98"/>
      <c r="N23" s="98"/>
      <c r="O23" s="98"/>
      <c r="P23" s="98"/>
      <c r="Q23" s="98"/>
      <c r="R23" s="98"/>
    </row>
    <row r="24" spans="1:18" ht="35.25" customHeight="1">
      <c r="A24" s="1166" t="str">
        <f>IF(OR(O21=1),"Die rote Markierung verschwindet, sobald die entsprechenden Angaben in den Tabellen Klientenstatistik und Kurstypen eingetragen sind.","")</f>
        <v/>
      </c>
      <c r="B24" s="1166"/>
      <c r="C24" s="1166"/>
      <c r="D24" s="1166"/>
      <c r="E24" s="1166"/>
      <c r="F24" s="1166"/>
      <c r="G24" s="1166"/>
      <c r="H24" s="1166"/>
      <c r="I24" s="1166"/>
      <c r="J24" s="1166"/>
      <c r="L24" s="98"/>
      <c r="M24" s="98"/>
      <c r="N24" s="98"/>
      <c r="O24" s="98"/>
      <c r="P24" s="98"/>
      <c r="Q24" s="98"/>
      <c r="R24" s="98"/>
    </row>
    <row r="25" spans="1:18" ht="15.75" customHeight="1">
      <c r="A25" s="1165" t="str">
        <f>IF(P31&lt;&gt;0,"Das Summentotal der Beitragsberechtigten für die Tageskurse stimmt nicht mit dem Total (Anzahl Behinderte + Anzahl Angehörige) in der Tabelle KlientInnenstatistik überein.","")</f>
        <v/>
      </c>
      <c r="B25" s="1165"/>
      <c r="C25" s="1165"/>
      <c r="D25" s="1165"/>
      <c r="E25" s="1165"/>
      <c r="F25" s="1165"/>
      <c r="G25" s="1165"/>
      <c r="H25" s="1165"/>
      <c r="I25" s="1165"/>
      <c r="J25" s="1165"/>
      <c r="L25" s="98"/>
      <c r="M25" s="98"/>
      <c r="N25" s="98"/>
      <c r="O25" s="98"/>
      <c r="P25" s="98"/>
      <c r="Q25" s="98"/>
      <c r="R25" s="98"/>
    </row>
    <row r="26" spans="1:18">
      <c r="A26" s="1165"/>
      <c r="B26" s="1165"/>
      <c r="C26" s="1165"/>
      <c r="D26" s="1165"/>
      <c r="E26" s="1165"/>
      <c r="F26" s="1165"/>
      <c r="G26" s="1165"/>
      <c r="H26" s="1165"/>
      <c r="I26" s="1165"/>
      <c r="J26" s="1165"/>
      <c r="L26" s="98"/>
      <c r="M26" s="1134" t="s">
        <v>139</v>
      </c>
      <c r="N26" s="1134"/>
      <c r="O26" s="1134"/>
      <c r="P26" s="1134"/>
      <c r="Q26" s="98"/>
      <c r="R26" s="98"/>
    </row>
    <row r="27" spans="1:18">
      <c r="L27" s="98"/>
      <c r="M27" s="98"/>
      <c r="N27" s="190" t="s">
        <v>141</v>
      </c>
      <c r="O27" s="190" t="s">
        <v>142</v>
      </c>
      <c r="P27" s="190" t="s">
        <v>143</v>
      </c>
      <c r="Q27" s="98"/>
      <c r="R27" s="98"/>
    </row>
    <row r="28" spans="1:18">
      <c r="L28" s="98"/>
      <c r="M28" s="98" t="s">
        <v>1534</v>
      </c>
      <c r="N28" s="191">
        <f>KlientInnenstatistik!B15+KlientInnenstatistik!C15</f>
        <v>338</v>
      </c>
      <c r="O28" s="191">
        <f>D12</f>
        <v>338</v>
      </c>
      <c r="P28" s="191"/>
      <c r="Q28" s="98"/>
      <c r="R28" s="98"/>
    </row>
    <row r="29" spans="1:18">
      <c r="L29" s="98"/>
      <c r="M29" s="98" t="s">
        <v>171</v>
      </c>
      <c r="N29" s="191">
        <v>0</v>
      </c>
      <c r="O29" s="191">
        <f>SUM(F16:I16)</f>
        <v>192</v>
      </c>
      <c r="P29" s="191"/>
      <c r="Q29" s="98"/>
      <c r="R29" s="98"/>
    </row>
    <row r="30" spans="1:18" ht="22.5" hidden="1">
      <c r="C30" s="186" t="s">
        <v>441</v>
      </c>
      <c r="D30" s="186" t="s">
        <v>442</v>
      </c>
      <c r="E30" s="186" t="s">
        <v>443</v>
      </c>
      <c r="F30" s="115" t="s">
        <v>1393</v>
      </c>
      <c r="G30" s="115" t="s">
        <v>1506</v>
      </c>
      <c r="H30" s="115" t="s">
        <v>445</v>
      </c>
      <c r="I30" s="186" t="s">
        <v>446</v>
      </c>
      <c r="J30" s="186" t="s">
        <v>447</v>
      </c>
      <c r="K30" s="115" t="s">
        <v>471</v>
      </c>
      <c r="L30" s="98"/>
      <c r="M30" s="98" t="s">
        <v>140</v>
      </c>
      <c r="N30" s="191">
        <f>KlientInnenstatistik!F15+KlientInnenstatistik!G15</f>
        <v>0</v>
      </c>
      <c r="O30" s="191">
        <f>D20</f>
        <v>0</v>
      </c>
      <c r="P30" s="191"/>
      <c r="Q30" s="98"/>
      <c r="R30" s="98"/>
    </row>
    <row r="31" spans="1:18" hidden="1">
      <c r="C31" s="40">
        <f>G$1</f>
        <v>3158</v>
      </c>
      <c r="D31" s="40">
        <f t="shared" ref="D31:D62" si="1">L$1</f>
        <v>5</v>
      </c>
      <c r="E31" s="40">
        <f>D$1</f>
        <v>2017</v>
      </c>
      <c r="F31" s="40">
        <v>1</v>
      </c>
      <c r="G31" s="40">
        <v>1</v>
      </c>
      <c r="H31" s="40" t="s">
        <v>1507</v>
      </c>
      <c r="I31" s="40" t="s">
        <v>1508</v>
      </c>
      <c r="J31" s="40" t="str">
        <f>IF(ISBLANK(C9),"",C9)</f>
        <v/>
      </c>
      <c r="K31" s="126" t="s">
        <v>477</v>
      </c>
      <c r="L31" s="1154" t="s">
        <v>1509</v>
      </c>
      <c r="M31" s="98"/>
      <c r="N31" s="98"/>
      <c r="O31" s="98" t="s">
        <v>144</v>
      </c>
      <c r="P31" s="191">
        <f>SUM(P28:P30)</f>
        <v>0</v>
      </c>
      <c r="Q31" s="98"/>
      <c r="R31" s="98"/>
    </row>
    <row r="32" spans="1:18" hidden="1">
      <c r="C32" s="40">
        <f t="shared" ref="C32:C95" si="2">G$1</f>
        <v>3158</v>
      </c>
      <c r="D32" s="40">
        <f t="shared" si="1"/>
        <v>5</v>
      </c>
      <c r="E32" s="40">
        <f t="shared" ref="E32:E95" si="3">D$1</f>
        <v>2017</v>
      </c>
      <c r="F32" s="40">
        <v>1</v>
      </c>
      <c r="G32" s="40">
        <v>1</v>
      </c>
      <c r="H32" s="40" t="s">
        <v>1507</v>
      </c>
      <c r="I32" s="40" t="s">
        <v>1510</v>
      </c>
      <c r="J32" s="40" t="str">
        <f>IF(ISBLANK(D9),"",D9)</f>
        <v/>
      </c>
      <c r="K32" s="126" t="s">
        <v>488</v>
      </c>
      <c r="L32" s="1154"/>
    </row>
    <row r="33" spans="3:12" hidden="1">
      <c r="C33" s="40">
        <f t="shared" si="2"/>
        <v>3158</v>
      </c>
      <c r="D33" s="40">
        <f t="shared" si="1"/>
        <v>5</v>
      </c>
      <c r="E33" s="40">
        <f t="shared" si="3"/>
        <v>2017</v>
      </c>
      <c r="F33" s="40">
        <v>1</v>
      </c>
      <c r="G33" s="40">
        <v>1</v>
      </c>
      <c r="H33" s="40" t="s">
        <v>1507</v>
      </c>
      <c r="I33" s="40" t="s">
        <v>1511</v>
      </c>
      <c r="J33" s="194" t="str">
        <f>IF(ISBLANK(E9),"",E9)</f>
        <v/>
      </c>
      <c r="K33" s="126" t="s">
        <v>499</v>
      </c>
      <c r="L33" s="1154"/>
    </row>
    <row r="34" spans="3:12" hidden="1">
      <c r="C34" s="40">
        <f t="shared" si="2"/>
        <v>3158</v>
      </c>
      <c r="D34" s="40">
        <f t="shared" si="1"/>
        <v>5</v>
      </c>
      <c r="E34" s="40">
        <f t="shared" si="3"/>
        <v>2017</v>
      </c>
      <c r="F34" s="40">
        <v>1</v>
      </c>
      <c r="G34" s="40">
        <v>1</v>
      </c>
      <c r="H34" s="40" t="s">
        <v>1507</v>
      </c>
      <c r="I34" s="40" t="s">
        <v>1512</v>
      </c>
      <c r="J34" s="194" t="str">
        <f>IF(ISBLANK(F9),"",F9)</f>
        <v/>
      </c>
      <c r="K34" s="126" t="s">
        <v>510</v>
      </c>
      <c r="L34" s="1154"/>
    </row>
    <row r="35" spans="3:12" hidden="1">
      <c r="C35" s="40">
        <f t="shared" si="2"/>
        <v>3158</v>
      </c>
      <c r="D35" s="40">
        <f t="shared" si="1"/>
        <v>5</v>
      </c>
      <c r="E35" s="40">
        <f t="shared" si="3"/>
        <v>2017</v>
      </c>
      <c r="F35" s="40">
        <v>1</v>
      </c>
      <c r="G35" s="40">
        <v>1</v>
      </c>
      <c r="H35" s="40" t="s">
        <v>1507</v>
      </c>
      <c r="I35" s="40" t="s">
        <v>1513</v>
      </c>
      <c r="J35" s="194" t="str">
        <f>IF(ISBLANK(G9),"",G9)</f>
        <v/>
      </c>
      <c r="K35" s="126" t="s">
        <v>521</v>
      </c>
      <c r="L35" s="1154"/>
    </row>
    <row r="36" spans="3:12" hidden="1">
      <c r="C36" s="40">
        <f t="shared" si="2"/>
        <v>3158</v>
      </c>
      <c r="D36" s="40">
        <f t="shared" si="1"/>
        <v>5</v>
      </c>
      <c r="E36" s="40">
        <f t="shared" si="3"/>
        <v>2017</v>
      </c>
      <c r="F36" s="40">
        <v>1</v>
      </c>
      <c r="G36" s="40">
        <v>1</v>
      </c>
      <c r="H36" s="40" t="s">
        <v>1507</v>
      </c>
      <c r="I36" s="40" t="s">
        <v>1514</v>
      </c>
      <c r="J36" s="194" t="str">
        <f>IF(ISBLANK(H9),"",H9)</f>
        <v/>
      </c>
      <c r="K36" s="126" t="s">
        <v>532</v>
      </c>
      <c r="L36" s="1154"/>
    </row>
    <row r="37" spans="3:12" hidden="1">
      <c r="C37" s="40">
        <f t="shared" si="2"/>
        <v>3158</v>
      </c>
      <c r="D37" s="40">
        <f t="shared" si="1"/>
        <v>5</v>
      </c>
      <c r="E37" s="40">
        <f t="shared" si="3"/>
        <v>2017</v>
      </c>
      <c r="F37" s="40">
        <v>1</v>
      </c>
      <c r="G37" s="40">
        <v>1</v>
      </c>
      <c r="H37" s="40" t="s">
        <v>1507</v>
      </c>
      <c r="I37" s="40" t="s">
        <v>1515</v>
      </c>
      <c r="J37" s="194" t="str">
        <f>IF(ISBLANK(I9),"",I9)</f>
        <v/>
      </c>
      <c r="K37" s="126" t="s">
        <v>543</v>
      </c>
      <c r="L37" s="1154"/>
    </row>
    <row r="38" spans="3:12" hidden="1">
      <c r="C38" s="40">
        <f t="shared" si="2"/>
        <v>3158</v>
      </c>
      <c r="D38" s="40">
        <f t="shared" si="1"/>
        <v>5</v>
      </c>
      <c r="E38" s="40">
        <f t="shared" si="3"/>
        <v>2017</v>
      </c>
      <c r="F38" s="40">
        <v>1</v>
      </c>
      <c r="G38" s="40">
        <v>1</v>
      </c>
      <c r="H38" s="40" t="s">
        <v>1507</v>
      </c>
      <c r="I38" s="40" t="s">
        <v>1516</v>
      </c>
      <c r="J38" s="194" t="str">
        <f>IF(ISBLANK(J9),"",J9)</f>
        <v/>
      </c>
      <c r="K38" s="126" t="s">
        <v>554</v>
      </c>
      <c r="L38" s="1154"/>
    </row>
    <row r="39" spans="3:12" hidden="1">
      <c r="C39" s="40">
        <f t="shared" si="2"/>
        <v>3158</v>
      </c>
      <c r="D39" s="40">
        <f t="shared" si="1"/>
        <v>5</v>
      </c>
      <c r="E39" s="40">
        <f t="shared" si="3"/>
        <v>2017</v>
      </c>
      <c r="F39" s="40">
        <v>1</v>
      </c>
      <c r="G39" s="40">
        <v>2</v>
      </c>
      <c r="H39" s="40" t="s">
        <v>1507</v>
      </c>
      <c r="I39" s="40" t="s">
        <v>1508</v>
      </c>
      <c r="J39" s="40" t="str">
        <f>IF(ISBLANK(C10),"",C10)</f>
        <v/>
      </c>
      <c r="K39" s="126" t="s">
        <v>478</v>
      </c>
      <c r="L39" s="1154"/>
    </row>
    <row r="40" spans="3:12" hidden="1">
      <c r="C40" s="40">
        <f t="shared" si="2"/>
        <v>3158</v>
      </c>
      <c r="D40" s="40">
        <f t="shared" si="1"/>
        <v>5</v>
      </c>
      <c r="E40" s="40">
        <f t="shared" si="3"/>
        <v>2017</v>
      </c>
      <c r="F40" s="40">
        <v>1</v>
      </c>
      <c r="G40" s="40">
        <v>2</v>
      </c>
      <c r="H40" s="40" t="s">
        <v>1507</v>
      </c>
      <c r="I40" s="40" t="s">
        <v>1510</v>
      </c>
      <c r="J40" s="40" t="str">
        <f>IF(ISBLANK(D10),"",D10)</f>
        <v/>
      </c>
      <c r="K40" s="126" t="s">
        <v>489</v>
      </c>
      <c r="L40" s="1154"/>
    </row>
    <row r="41" spans="3:12" hidden="1">
      <c r="C41" s="40">
        <f t="shared" si="2"/>
        <v>3158</v>
      </c>
      <c r="D41" s="40">
        <f t="shared" si="1"/>
        <v>5</v>
      </c>
      <c r="E41" s="40">
        <f t="shared" si="3"/>
        <v>2017</v>
      </c>
      <c r="F41" s="40">
        <v>1</v>
      </c>
      <c r="G41" s="40">
        <v>2</v>
      </c>
      <c r="H41" s="40" t="s">
        <v>1507</v>
      </c>
      <c r="I41" s="40" t="s">
        <v>1511</v>
      </c>
      <c r="J41" s="194" t="str">
        <f>IF(ISBLANK(E10),"",E10)</f>
        <v/>
      </c>
      <c r="K41" s="126" t="s">
        <v>500</v>
      </c>
      <c r="L41" s="1154"/>
    </row>
    <row r="42" spans="3:12" hidden="1">
      <c r="C42" s="40">
        <f t="shared" si="2"/>
        <v>3158</v>
      </c>
      <c r="D42" s="40">
        <f t="shared" si="1"/>
        <v>5</v>
      </c>
      <c r="E42" s="40">
        <f t="shared" si="3"/>
        <v>2017</v>
      </c>
      <c r="F42" s="40">
        <v>1</v>
      </c>
      <c r="G42" s="40">
        <v>2</v>
      </c>
      <c r="H42" s="40" t="s">
        <v>1507</v>
      </c>
      <c r="I42" s="40" t="s">
        <v>1512</v>
      </c>
      <c r="J42" s="194" t="str">
        <f>IF(ISBLANK(F10),"",F10)</f>
        <v/>
      </c>
      <c r="K42" s="126" t="s">
        <v>511</v>
      </c>
      <c r="L42" s="1154"/>
    </row>
    <row r="43" spans="3:12" hidden="1">
      <c r="C43" s="40">
        <f t="shared" si="2"/>
        <v>3158</v>
      </c>
      <c r="D43" s="40">
        <f t="shared" si="1"/>
        <v>5</v>
      </c>
      <c r="E43" s="40">
        <f t="shared" si="3"/>
        <v>2017</v>
      </c>
      <c r="F43" s="40">
        <v>1</v>
      </c>
      <c r="G43" s="40">
        <v>2</v>
      </c>
      <c r="H43" s="40" t="s">
        <v>1507</v>
      </c>
      <c r="I43" s="40" t="s">
        <v>1513</v>
      </c>
      <c r="J43" s="194" t="str">
        <f>IF(ISBLANK(G10),"",G10)</f>
        <v/>
      </c>
      <c r="K43" s="126" t="s">
        <v>522</v>
      </c>
      <c r="L43" s="1154"/>
    </row>
    <row r="44" spans="3:12" hidden="1">
      <c r="C44" s="40">
        <f t="shared" si="2"/>
        <v>3158</v>
      </c>
      <c r="D44" s="40">
        <f t="shared" si="1"/>
        <v>5</v>
      </c>
      <c r="E44" s="40">
        <f t="shared" si="3"/>
        <v>2017</v>
      </c>
      <c r="F44" s="40">
        <v>1</v>
      </c>
      <c r="G44" s="40">
        <v>2</v>
      </c>
      <c r="H44" s="40" t="s">
        <v>1507</v>
      </c>
      <c r="I44" s="40" t="s">
        <v>1514</v>
      </c>
      <c r="J44" s="194" t="str">
        <f>IF(ISBLANK(H10),"",H10)</f>
        <v/>
      </c>
      <c r="K44" s="126" t="s">
        <v>533</v>
      </c>
      <c r="L44" s="1154"/>
    </row>
    <row r="45" spans="3:12" hidden="1">
      <c r="C45" s="40">
        <f t="shared" si="2"/>
        <v>3158</v>
      </c>
      <c r="D45" s="40">
        <f t="shared" si="1"/>
        <v>5</v>
      </c>
      <c r="E45" s="40">
        <f t="shared" si="3"/>
        <v>2017</v>
      </c>
      <c r="F45" s="40">
        <v>1</v>
      </c>
      <c r="G45" s="40">
        <v>2</v>
      </c>
      <c r="H45" s="40" t="s">
        <v>1507</v>
      </c>
      <c r="I45" s="40" t="s">
        <v>1515</v>
      </c>
      <c r="J45" s="194" t="str">
        <f>IF(ISBLANK(I10),"",I10)</f>
        <v/>
      </c>
      <c r="K45" s="126" t="s">
        <v>544</v>
      </c>
      <c r="L45" s="1154"/>
    </row>
    <row r="46" spans="3:12" hidden="1">
      <c r="C46" s="40">
        <f t="shared" si="2"/>
        <v>3158</v>
      </c>
      <c r="D46" s="40">
        <f t="shared" si="1"/>
        <v>5</v>
      </c>
      <c r="E46" s="40">
        <f t="shared" si="3"/>
        <v>2017</v>
      </c>
      <c r="F46" s="40">
        <v>1</v>
      </c>
      <c r="G46" s="40">
        <v>2</v>
      </c>
      <c r="H46" s="40" t="s">
        <v>1507</v>
      </c>
      <c r="I46" s="40" t="s">
        <v>1516</v>
      </c>
      <c r="J46" s="194" t="str">
        <f>IF(ISBLANK(J10),"",J10)</f>
        <v/>
      </c>
      <c r="K46" s="126" t="s">
        <v>555</v>
      </c>
      <c r="L46" s="1154"/>
    </row>
    <row r="47" spans="3:12" hidden="1">
      <c r="C47" s="40">
        <f t="shared" si="2"/>
        <v>3158</v>
      </c>
      <c r="D47" s="40">
        <f t="shared" si="1"/>
        <v>5</v>
      </c>
      <c r="E47" s="40">
        <f t="shared" si="3"/>
        <v>2017</v>
      </c>
      <c r="F47" s="40">
        <v>1</v>
      </c>
      <c r="G47" s="40">
        <v>3</v>
      </c>
      <c r="H47" s="40" t="s">
        <v>1507</v>
      </c>
      <c r="I47" s="40" t="s">
        <v>1508</v>
      </c>
      <c r="J47" s="40">
        <f>IF(ISBLANK(C11),"",C11)</f>
        <v>29</v>
      </c>
      <c r="K47" s="126" t="s">
        <v>479</v>
      </c>
      <c r="L47" s="1154"/>
    </row>
    <row r="48" spans="3:12" hidden="1">
      <c r="C48" s="40">
        <f t="shared" si="2"/>
        <v>3158</v>
      </c>
      <c r="D48" s="40">
        <f t="shared" si="1"/>
        <v>5</v>
      </c>
      <c r="E48" s="40">
        <f t="shared" si="3"/>
        <v>2017</v>
      </c>
      <c r="F48" s="40">
        <v>1</v>
      </c>
      <c r="G48" s="40">
        <v>3</v>
      </c>
      <c r="H48" s="40" t="s">
        <v>1507</v>
      </c>
      <c r="I48" s="40" t="s">
        <v>1510</v>
      </c>
      <c r="J48" s="40">
        <f>IF(ISBLANK(D11),"",D11)</f>
        <v>338</v>
      </c>
      <c r="K48" s="126" t="s">
        <v>490</v>
      </c>
      <c r="L48" s="1154"/>
    </row>
    <row r="49" spans="3:12" hidden="1">
      <c r="C49" s="40">
        <f t="shared" si="2"/>
        <v>3158</v>
      </c>
      <c r="D49" s="40">
        <f t="shared" si="1"/>
        <v>5</v>
      </c>
      <c r="E49" s="40">
        <f t="shared" si="3"/>
        <v>2017</v>
      </c>
      <c r="F49" s="40">
        <v>1</v>
      </c>
      <c r="G49" s="40">
        <v>3</v>
      </c>
      <c r="H49" s="40" t="s">
        <v>1507</v>
      </c>
      <c r="I49" s="40" t="s">
        <v>1511</v>
      </c>
      <c r="J49" s="194" t="str">
        <f>IF(ISBLANK(E11),"",E11)</f>
        <v/>
      </c>
      <c r="K49" s="126" t="s">
        <v>501</v>
      </c>
      <c r="L49" s="1154"/>
    </row>
    <row r="50" spans="3:12" hidden="1">
      <c r="C50" s="40">
        <f t="shared" si="2"/>
        <v>3158</v>
      </c>
      <c r="D50" s="40">
        <f t="shared" si="1"/>
        <v>5</v>
      </c>
      <c r="E50" s="40">
        <f t="shared" si="3"/>
        <v>2017</v>
      </c>
      <c r="F50" s="40">
        <v>1</v>
      </c>
      <c r="G50" s="40">
        <v>3</v>
      </c>
      <c r="H50" s="40" t="s">
        <v>1507</v>
      </c>
      <c r="I50" s="40" t="s">
        <v>1512</v>
      </c>
      <c r="J50" s="194">
        <f>IF(ISBLANK(F11),"",F11)</f>
        <v>941</v>
      </c>
      <c r="K50" s="126" t="s">
        <v>512</v>
      </c>
      <c r="L50" s="1154"/>
    </row>
    <row r="51" spans="3:12" hidden="1">
      <c r="C51" s="40">
        <f t="shared" si="2"/>
        <v>3158</v>
      </c>
      <c r="D51" s="40">
        <f t="shared" si="1"/>
        <v>5</v>
      </c>
      <c r="E51" s="40">
        <f t="shared" si="3"/>
        <v>2017</v>
      </c>
      <c r="F51" s="40">
        <v>1</v>
      </c>
      <c r="G51" s="40">
        <v>3</v>
      </c>
      <c r="H51" s="40" t="s">
        <v>1507</v>
      </c>
      <c r="I51" s="40" t="s">
        <v>1513</v>
      </c>
      <c r="J51" s="194" t="str">
        <f>IF(ISBLANK(G11),"",G11)</f>
        <v/>
      </c>
      <c r="K51" s="126" t="s">
        <v>523</v>
      </c>
      <c r="L51" s="1154"/>
    </row>
    <row r="52" spans="3:12" hidden="1">
      <c r="C52" s="40">
        <f t="shared" si="2"/>
        <v>3158</v>
      </c>
      <c r="D52" s="40">
        <f t="shared" si="1"/>
        <v>5</v>
      </c>
      <c r="E52" s="40">
        <f t="shared" si="3"/>
        <v>2017</v>
      </c>
      <c r="F52" s="40">
        <v>1</v>
      </c>
      <c r="G52" s="40">
        <v>3</v>
      </c>
      <c r="H52" s="40" t="s">
        <v>1507</v>
      </c>
      <c r="I52" s="40" t="s">
        <v>1514</v>
      </c>
      <c r="J52" s="194" t="str">
        <f>IF(ISBLANK(H11),"",H11)</f>
        <v/>
      </c>
      <c r="K52" s="126" t="s">
        <v>534</v>
      </c>
      <c r="L52" s="1154"/>
    </row>
    <row r="53" spans="3:12" hidden="1">
      <c r="C53" s="40">
        <f t="shared" si="2"/>
        <v>3158</v>
      </c>
      <c r="D53" s="40">
        <f t="shared" si="1"/>
        <v>5</v>
      </c>
      <c r="E53" s="40">
        <f t="shared" si="3"/>
        <v>2017</v>
      </c>
      <c r="F53" s="40">
        <v>1</v>
      </c>
      <c r="G53" s="40">
        <v>3</v>
      </c>
      <c r="H53" s="40" t="s">
        <v>1507</v>
      </c>
      <c r="I53" s="40" t="s">
        <v>1515</v>
      </c>
      <c r="J53" s="194" t="str">
        <f>IF(ISBLANK(I11),"",I11)</f>
        <v/>
      </c>
      <c r="K53" s="126" t="s">
        <v>545</v>
      </c>
      <c r="L53" s="1154"/>
    </row>
    <row r="54" spans="3:12" hidden="1">
      <c r="C54" s="40">
        <f t="shared" si="2"/>
        <v>3158</v>
      </c>
      <c r="D54" s="40">
        <f t="shared" si="1"/>
        <v>5</v>
      </c>
      <c r="E54" s="40">
        <f t="shared" si="3"/>
        <v>2017</v>
      </c>
      <c r="F54" s="40">
        <v>1</v>
      </c>
      <c r="G54" s="40">
        <v>3</v>
      </c>
      <c r="H54" s="40" t="s">
        <v>1507</v>
      </c>
      <c r="I54" s="40" t="s">
        <v>1516</v>
      </c>
      <c r="J54" s="194" t="str">
        <f>IF(ISBLANK(J11),"",J11)</f>
        <v/>
      </c>
      <c r="K54" s="126" t="s">
        <v>556</v>
      </c>
      <c r="L54" s="1154"/>
    </row>
    <row r="55" spans="3:12" hidden="1">
      <c r="C55" s="40">
        <f t="shared" si="2"/>
        <v>3158</v>
      </c>
      <c r="D55" s="40">
        <f t="shared" si="1"/>
        <v>5</v>
      </c>
      <c r="E55" s="40">
        <f t="shared" si="3"/>
        <v>2017</v>
      </c>
      <c r="F55" s="40">
        <v>2</v>
      </c>
      <c r="G55" s="40">
        <v>1</v>
      </c>
      <c r="H55" s="40" t="s">
        <v>1507</v>
      </c>
      <c r="I55" s="40" t="s">
        <v>1508</v>
      </c>
      <c r="J55" s="40" t="str">
        <f>IF(ISBLANK(C13),"",C13)</f>
        <v/>
      </c>
      <c r="K55" s="126" t="s">
        <v>481</v>
      </c>
      <c r="L55" s="1154"/>
    </row>
    <row r="56" spans="3:12" hidden="1">
      <c r="C56" s="40">
        <f t="shared" si="2"/>
        <v>3158</v>
      </c>
      <c r="D56" s="40">
        <f t="shared" si="1"/>
        <v>5</v>
      </c>
      <c r="E56" s="40">
        <f t="shared" si="3"/>
        <v>2017</v>
      </c>
      <c r="F56" s="40">
        <v>2</v>
      </c>
      <c r="G56" s="40">
        <v>1</v>
      </c>
      <c r="H56" s="40" t="s">
        <v>1507</v>
      </c>
      <c r="I56" s="40" t="s">
        <v>1510</v>
      </c>
      <c r="J56" s="40" t="str">
        <f>IF(ISBLANK(D13),"",D13)</f>
        <v/>
      </c>
      <c r="K56" s="126" t="s">
        <v>492</v>
      </c>
      <c r="L56" s="1154"/>
    </row>
    <row r="57" spans="3:12" hidden="1">
      <c r="C57" s="40">
        <f t="shared" si="2"/>
        <v>3158</v>
      </c>
      <c r="D57" s="40">
        <f t="shared" si="1"/>
        <v>5</v>
      </c>
      <c r="E57" s="40">
        <f t="shared" si="3"/>
        <v>2017</v>
      </c>
      <c r="F57" s="40">
        <v>2</v>
      </c>
      <c r="G57" s="40">
        <v>1</v>
      </c>
      <c r="H57" s="40" t="s">
        <v>1507</v>
      </c>
      <c r="I57" s="40" t="s">
        <v>1511</v>
      </c>
      <c r="J57" s="194" t="str">
        <f>IF(ISBLANK(E13),"",E13)</f>
        <v/>
      </c>
      <c r="K57" s="126" t="s">
        <v>503</v>
      </c>
      <c r="L57" s="1154"/>
    </row>
    <row r="58" spans="3:12" hidden="1">
      <c r="C58" s="40">
        <f t="shared" si="2"/>
        <v>3158</v>
      </c>
      <c r="D58" s="40">
        <f t="shared" si="1"/>
        <v>5</v>
      </c>
      <c r="E58" s="40">
        <f t="shared" si="3"/>
        <v>2017</v>
      </c>
      <c r="F58" s="40">
        <v>2</v>
      </c>
      <c r="G58" s="40">
        <v>1</v>
      </c>
      <c r="H58" s="40" t="s">
        <v>1507</v>
      </c>
      <c r="I58" s="40" t="s">
        <v>1512</v>
      </c>
      <c r="J58" s="194" t="str">
        <f>IF(ISBLANK(F13),"",F13)</f>
        <v/>
      </c>
      <c r="K58" s="126" t="s">
        <v>514</v>
      </c>
      <c r="L58" s="1154"/>
    </row>
    <row r="59" spans="3:12" hidden="1">
      <c r="C59" s="40">
        <f t="shared" si="2"/>
        <v>3158</v>
      </c>
      <c r="D59" s="40">
        <f t="shared" si="1"/>
        <v>5</v>
      </c>
      <c r="E59" s="40">
        <f t="shared" si="3"/>
        <v>2017</v>
      </c>
      <c r="F59" s="40">
        <v>2</v>
      </c>
      <c r="G59" s="40">
        <v>1</v>
      </c>
      <c r="H59" s="40" t="s">
        <v>1507</v>
      </c>
      <c r="I59" s="40" t="s">
        <v>1513</v>
      </c>
      <c r="J59" s="194" t="str">
        <f>IF(ISBLANK(G13),"",G13)</f>
        <v/>
      </c>
      <c r="K59" s="126" t="s">
        <v>525</v>
      </c>
      <c r="L59" s="1154"/>
    </row>
    <row r="60" spans="3:12" hidden="1">
      <c r="C60" s="40">
        <f t="shared" si="2"/>
        <v>3158</v>
      </c>
      <c r="D60" s="40">
        <f t="shared" si="1"/>
        <v>5</v>
      </c>
      <c r="E60" s="40">
        <f t="shared" si="3"/>
        <v>2017</v>
      </c>
      <c r="F60" s="40">
        <v>2</v>
      </c>
      <c r="G60" s="40">
        <v>1</v>
      </c>
      <c r="H60" s="40" t="s">
        <v>1507</v>
      </c>
      <c r="I60" s="40" t="s">
        <v>1514</v>
      </c>
      <c r="J60" s="194" t="str">
        <f>IF(ISBLANK(H13),"",H13)</f>
        <v/>
      </c>
      <c r="K60" s="126" t="s">
        <v>536</v>
      </c>
      <c r="L60" s="1154"/>
    </row>
    <row r="61" spans="3:12" hidden="1">
      <c r="C61" s="40">
        <f t="shared" si="2"/>
        <v>3158</v>
      </c>
      <c r="D61" s="40">
        <f t="shared" si="1"/>
        <v>5</v>
      </c>
      <c r="E61" s="40">
        <f t="shared" si="3"/>
        <v>2017</v>
      </c>
      <c r="F61" s="40">
        <v>2</v>
      </c>
      <c r="G61" s="40">
        <v>1</v>
      </c>
      <c r="H61" s="40" t="s">
        <v>1507</v>
      </c>
      <c r="I61" s="40" t="s">
        <v>1515</v>
      </c>
      <c r="J61" s="194" t="str">
        <f>IF(ISBLANK(I13),"",I13)</f>
        <v/>
      </c>
      <c r="K61" s="126" t="s">
        <v>547</v>
      </c>
      <c r="L61" s="1154"/>
    </row>
    <row r="62" spans="3:12" hidden="1">
      <c r="C62" s="40">
        <f t="shared" si="2"/>
        <v>3158</v>
      </c>
      <c r="D62" s="40">
        <f t="shared" si="1"/>
        <v>5</v>
      </c>
      <c r="E62" s="40">
        <f t="shared" si="3"/>
        <v>2017</v>
      </c>
      <c r="F62" s="40">
        <v>2</v>
      </c>
      <c r="G62" s="40">
        <v>1</v>
      </c>
      <c r="H62" s="40" t="s">
        <v>1507</v>
      </c>
      <c r="I62" s="40" t="s">
        <v>1516</v>
      </c>
      <c r="J62" s="194" t="str">
        <f>IF(ISBLANK(J13),"",J13)</f>
        <v/>
      </c>
      <c r="K62" s="126" t="s">
        <v>558</v>
      </c>
      <c r="L62" s="1154"/>
    </row>
    <row r="63" spans="3:12" hidden="1">
      <c r="C63" s="40">
        <f t="shared" si="2"/>
        <v>3158</v>
      </c>
      <c r="D63" s="40">
        <f t="shared" ref="D63:D94" si="4">L$1</f>
        <v>5</v>
      </c>
      <c r="E63" s="40">
        <f t="shared" si="3"/>
        <v>2017</v>
      </c>
      <c r="F63" s="40">
        <v>2</v>
      </c>
      <c r="G63" s="40">
        <v>2</v>
      </c>
      <c r="H63" s="40" t="s">
        <v>1507</v>
      </c>
      <c r="I63" s="40" t="s">
        <v>1508</v>
      </c>
      <c r="J63" s="40" t="str">
        <f>IF(ISBLANK(C14),"",C14)</f>
        <v/>
      </c>
      <c r="K63" s="126" t="s">
        <v>482</v>
      </c>
      <c r="L63" s="1154"/>
    </row>
    <row r="64" spans="3:12" hidden="1">
      <c r="C64" s="40">
        <f t="shared" si="2"/>
        <v>3158</v>
      </c>
      <c r="D64" s="40">
        <f t="shared" si="4"/>
        <v>5</v>
      </c>
      <c r="E64" s="40">
        <f t="shared" si="3"/>
        <v>2017</v>
      </c>
      <c r="F64" s="40">
        <v>2</v>
      </c>
      <c r="G64" s="40">
        <v>2</v>
      </c>
      <c r="H64" s="40" t="s">
        <v>1507</v>
      </c>
      <c r="I64" s="40" t="s">
        <v>1510</v>
      </c>
      <c r="J64" s="40" t="str">
        <f>IF(ISBLANK(D14),"",D14)</f>
        <v/>
      </c>
      <c r="K64" s="126" t="s">
        <v>493</v>
      </c>
      <c r="L64" s="1154"/>
    </row>
    <row r="65" spans="3:12" hidden="1">
      <c r="C65" s="40">
        <f t="shared" si="2"/>
        <v>3158</v>
      </c>
      <c r="D65" s="40">
        <f t="shared" si="4"/>
        <v>5</v>
      </c>
      <c r="E65" s="40">
        <f t="shared" si="3"/>
        <v>2017</v>
      </c>
      <c r="F65" s="40">
        <v>2</v>
      </c>
      <c r="G65" s="40">
        <v>2</v>
      </c>
      <c r="H65" s="40" t="s">
        <v>1507</v>
      </c>
      <c r="I65" s="40" t="s">
        <v>1511</v>
      </c>
      <c r="J65" s="194" t="str">
        <f>IF(ISBLANK(E14),"",E14)</f>
        <v/>
      </c>
      <c r="K65" s="126" t="s">
        <v>504</v>
      </c>
      <c r="L65" s="1154"/>
    </row>
    <row r="66" spans="3:12" hidden="1">
      <c r="C66" s="40">
        <f t="shared" si="2"/>
        <v>3158</v>
      </c>
      <c r="D66" s="40">
        <f t="shared" si="4"/>
        <v>5</v>
      </c>
      <c r="E66" s="40">
        <f t="shared" si="3"/>
        <v>2017</v>
      </c>
      <c r="F66" s="40">
        <v>2</v>
      </c>
      <c r="G66" s="40">
        <v>2</v>
      </c>
      <c r="H66" s="40" t="s">
        <v>1507</v>
      </c>
      <c r="I66" s="40" t="s">
        <v>1512</v>
      </c>
      <c r="J66" s="194" t="str">
        <f>IF(ISBLANK(F14),"",F14)</f>
        <v/>
      </c>
      <c r="K66" s="126" t="s">
        <v>515</v>
      </c>
      <c r="L66" s="1154"/>
    </row>
    <row r="67" spans="3:12" hidden="1">
      <c r="C67" s="40">
        <f t="shared" si="2"/>
        <v>3158</v>
      </c>
      <c r="D67" s="40">
        <f t="shared" si="4"/>
        <v>5</v>
      </c>
      <c r="E67" s="40">
        <f t="shared" si="3"/>
        <v>2017</v>
      </c>
      <c r="F67" s="40">
        <v>2</v>
      </c>
      <c r="G67" s="40">
        <v>2</v>
      </c>
      <c r="H67" s="40" t="s">
        <v>1507</v>
      </c>
      <c r="I67" s="40" t="s">
        <v>1513</v>
      </c>
      <c r="J67" s="194" t="str">
        <f>IF(ISBLANK(G14),"",G14)</f>
        <v/>
      </c>
      <c r="K67" s="126" t="s">
        <v>526</v>
      </c>
      <c r="L67" s="1154"/>
    </row>
    <row r="68" spans="3:12" hidden="1">
      <c r="C68" s="40">
        <f t="shared" si="2"/>
        <v>3158</v>
      </c>
      <c r="D68" s="40">
        <f t="shared" si="4"/>
        <v>5</v>
      </c>
      <c r="E68" s="40">
        <f t="shared" si="3"/>
        <v>2017</v>
      </c>
      <c r="F68" s="40">
        <v>2</v>
      </c>
      <c r="G68" s="40">
        <v>2</v>
      </c>
      <c r="H68" s="40" t="s">
        <v>1507</v>
      </c>
      <c r="I68" s="40" t="s">
        <v>1514</v>
      </c>
      <c r="J68" s="194" t="str">
        <f>IF(ISBLANK(H14),"",H14)</f>
        <v/>
      </c>
      <c r="K68" s="126" t="s">
        <v>537</v>
      </c>
      <c r="L68" s="1154"/>
    </row>
    <row r="69" spans="3:12" hidden="1">
      <c r="C69" s="40">
        <f t="shared" si="2"/>
        <v>3158</v>
      </c>
      <c r="D69" s="40">
        <f t="shared" si="4"/>
        <v>5</v>
      </c>
      <c r="E69" s="40">
        <f t="shared" si="3"/>
        <v>2017</v>
      </c>
      <c r="F69" s="40">
        <v>2</v>
      </c>
      <c r="G69" s="40">
        <v>2</v>
      </c>
      <c r="H69" s="40" t="s">
        <v>1507</v>
      </c>
      <c r="I69" s="40" t="s">
        <v>1515</v>
      </c>
      <c r="J69" s="194" t="str">
        <f>IF(ISBLANK(I14),"",I14)</f>
        <v/>
      </c>
      <c r="K69" s="126" t="s">
        <v>548</v>
      </c>
      <c r="L69" s="1154"/>
    </row>
    <row r="70" spans="3:12" hidden="1">
      <c r="C70" s="40">
        <f t="shared" si="2"/>
        <v>3158</v>
      </c>
      <c r="D70" s="40">
        <f t="shared" si="4"/>
        <v>5</v>
      </c>
      <c r="E70" s="40">
        <f t="shared" si="3"/>
        <v>2017</v>
      </c>
      <c r="F70" s="40">
        <v>2</v>
      </c>
      <c r="G70" s="40">
        <v>2</v>
      </c>
      <c r="H70" s="40" t="s">
        <v>1507</v>
      </c>
      <c r="I70" s="40" t="s">
        <v>1516</v>
      </c>
      <c r="J70" s="194" t="str">
        <f>IF(ISBLANK(J14),"",J14)</f>
        <v/>
      </c>
      <c r="K70" s="126" t="s">
        <v>559</v>
      </c>
      <c r="L70" s="1154"/>
    </row>
    <row r="71" spans="3:12" hidden="1">
      <c r="C71" s="40">
        <f t="shared" si="2"/>
        <v>3158</v>
      </c>
      <c r="D71" s="40">
        <f t="shared" si="4"/>
        <v>5</v>
      </c>
      <c r="E71" s="40">
        <f t="shared" si="3"/>
        <v>2017</v>
      </c>
      <c r="F71" s="40">
        <v>2</v>
      </c>
      <c r="G71" s="40">
        <v>3</v>
      </c>
      <c r="H71" s="40" t="s">
        <v>1507</v>
      </c>
      <c r="I71" s="40" t="s">
        <v>1508</v>
      </c>
      <c r="J71" s="40">
        <f>IF(ISBLANK(C15),"",C15)</f>
        <v>19</v>
      </c>
      <c r="K71" s="126" t="s">
        <v>257</v>
      </c>
      <c r="L71" s="1154"/>
    </row>
    <row r="72" spans="3:12" hidden="1">
      <c r="C72" s="40">
        <f t="shared" si="2"/>
        <v>3158</v>
      </c>
      <c r="D72" s="40">
        <f t="shared" si="4"/>
        <v>5</v>
      </c>
      <c r="E72" s="40">
        <f t="shared" si="3"/>
        <v>2017</v>
      </c>
      <c r="F72" s="40">
        <v>2</v>
      </c>
      <c r="G72" s="40">
        <v>3</v>
      </c>
      <c r="H72" s="40" t="s">
        <v>1507</v>
      </c>
      <c r="I72" s="40" t="s">
        <v>1510</v>
      </c>
      <c r="J72" s="40">
        <f>IF(ISBLANK(D15),"",D15)</f>
        <v>192</v>
      </c>
      <c r="K72" s="126" t="s">
        <v>380</v>
      </c>
      <c r="L72" s="1154"/>
    </row>
    <row r="73" spans="3:12" hidden="1">
      <c r="C73" s="40">
        <f t="shared" si="2"/>
        <v>3158</v>
      </c>
      <c r="D73" s="40">
        <f t="shared" si="4"/>
        <v>5</v>
      </c>
      <c r="E73" s="40">
        <f t="shared" si="3"/>
        <v>2017</v>
      </c>
      <c r="F73" s="40">
        <v>2</v>
      </c>
      <c r="G73" s="40">
        <v>3</v>
      </c>
      <c r="H73" s="40" t="s">
        <v>1507</v>
      </c>
      <c r="I73" s="40" t="s">
        <v>1511</v>
      </c>
      <c r="J73" s="194" t="str">
        <f>IF(ISBLANK(E15),"",E15)</f>
        <v/>
      </c>
      <c r="K73" s="126" t="s">
        <v>381</v>
      </c>
      <c r="L73" s="1154"/>
    </row>
    <row r="74" spans="3:12" hidden="1">
      <c r="C74" s="40">
        <f t="shared" si="2"/>
        <v>3158</v>
      </c>
      <c r="D74" s="40">
        <f t="shared" si="4"/>
        <v>5</v>
      </c>
      <c r="E74" s="40">
        <f t="shared" si="3"/>
        <v>2017</v>
      </c>
      <c r="F74" s="40">
        <v>2</v>
      </c>
      <c r="G74" s="40">
        <v>3</v>
      </c>
      <c r="H74" s="40" t="s">
        <v>1507</v>
      </c>
      <c r="I74" s="40" t="s">
        <v>1512</v>
      </c>
      <c r="J74" s="194">
        <f>IF(ISBLANK(F15),"",F15)</f>
        <v>192</v>
      </c>
      <c r="K74" s="126" t="s">
        <v>382</v>
      </c>
      <c r="L74" s="1154"/>
    </row>
    <row r="75" spans="3:12" hidden="1">
      <c r="C75" s="40">
        <f t="shared" si="2"/>
        <v>3158</v>
      </c>
      <c r="D75" s="40">
        <f t="shared" si="4"/>
        <v>5</v>
      </c>
      <c r="E75" s="40">
        <f t="shared" si="3"/>
        <v>2017</v>
      </c>
      <c r="F75" s="40">
        <v>2</v>
      </c>
      <c r="G75" s="40">
        <v>3</v>
      </c>
      <c r="H75" s="40" t="s">
        <v>1507</v>
      </c>
      <c r="I75" s="40" t="s">
        <v>1513</v>
      </c>
      <c r="J75" s="194" t="str">
        <f>IF(ISBLANK(G15),"",G15)</f>
        <v/>
      </c>
      <c r="K75" s="126" t="s">
        <v>383</v>
      </c>
      <c r="L75" s="1154"/>
    </row>
    <row r="76" spans="3:12" hidden="1">
      <c r="C76" s="40">
        <f t="shared" si="2"/>
        <v>3158</v>
      </c>
      <c r="D76" s="40">
        <f t="shared" si="4"/>
        <v>5</v>
      </c>
      <c r="E76" s="40">
        <f t="shared" si="3"/>
        <v>2017</v>
      </c>
      <c r="F76" s="40">
        <v>2</v>
      </c>
      <c r="G76" s="40">
        <v>3</v>
      </c>
      <c r="H76" s="40" t="s">
        <v>1507</v>
      </c>
      <c r="I76" s="40" t="s">
        <v>1514</v>
      </c>
      <c r="J76" s="194" t="str">
        <f>IF(ISBLANK(H15),"",H15)</f>
        <v/>
      </c>
      <c r="K76" s="126" t="s">
        <v>384</v>
      </c>
      <c r="L76" s="1154"/>
    </row>
    <row r="77" spans="3:12" hidden="1">
      <c r="C77" s="40">
        <f t="shared" si="2"/>
        <v>3158</v>
      </c>
      <c r="D77" s="40">
        <f t="shared" si="4"/>
        <v>5</v>
      </c>
      <c r="E77" s="40">
        <f t="shared" si="3"/>
        <v>2017</v>
      </c>
      <c r="F77" s="40">
        <v>2</v>
      </c>
      <c r="G77" s="40">
        <v>3</v>
      </c>
      <c r="H77" s="40" t="s">
        <v>1507</v>
      </c>
      <c r="I77" s="40" t="s">
        <v>1515</v>
      </c>
      <c r="J77" s="194" t="str">
        <f>IF(ISBLANK(I15),"",I15)</f>
        <v/>
      </c>
      <c r="K77" s="126" t="s">
        <v>385</v>
      </c>
      <c r="L77" s="1154"/>
    </row>
    <row r="78" spans="3:12" hidden="1">
      <c r="C78" s="40">
        <f t="shared" si="2"/>
        <v>3158</v>
      </c>
      <c r="D78" s="40">
        <f t="shared" si="4"/>
        <v>5</v>
      </c>
      <c r="E78" s="40">
        <f t="shared" si="3"/>
        <v>2017</v>
      </c>
      <c r="F78" s="40">
        <v>2</v>
      </c>
      <c r="G78" s="40">
        <v>3</v>
      </c>
      <c r="H78" s="40" t="s">
        <v>1507</v>
      </c>
      <c r="I78" s="40" t="s">
        <v>1516</v>
      </c>
      <c r="J78" s="194" t="str">
        <f>IF(ISBLANK(J15),"",J15)</f>
        <v/>
      </c>
      <c r="K78" s="126" t="s">
        <v>1363</v>
      </c>
      <c r="L78" s="1154"/>
    </row>
    <row r="79" spans="3:12" hidden="1">
      <c r="C79" s="40">
        <f t="shared" si="2"/>
        <v>3158</v>
      </c>
      <c r="D79" s="40">
        <f t="shared" si="4"/>
        <v>5</v>
      </c>
      <c r="E79" s="40">
        <f t="shared" si="3"/>
        <v>2017</v>
      </c>
      <c r="F79" s="40">
        <v>3</v>
      </c>
      <c r="G79" s="40">
        <v>1</v>
      </c>
      <c r="H79" s="40" t="s">
        <v>1507</v>
      </c>
      <c r="I79" s="40" t="s">
        <v>1508</v>
      </c>
      <c r="J79" s="40" t="str">
        <f>IF(ISBLANK(C17),"",C17)</f>
        <v/>
      </c>
      <c r="K79" s="126" t="s">
        <v>1662</v>
      </c>
      <c r="L79" s="1154"/>
    </row>
    <row r="80" spans="3:12" hidden="1">
      <c r="C80" s="40">
        <f t="shared" si="2"/>
        <v>3158</v>
      </c>
      <c r="D80" s="40">
        <f t="shared" si="4"/>
        <v>5</v>
      </c>
      <c r="E80" s="40">
        <f t="shared" si="3"/>
        <v>2017</v>
      </c>
      <c r="F80" s="40">
        <v>3</v>
      </c>
      <c r="G80" s="40">
        <v>1</v>
      </c>
      <c r="H80" s="40" t="s">
        <v>1507</v>
      </c>
      <c r="I80" s="40" t="s">
        <v>1510</v>
      </c>
      <c r="J80" s="40" t="str">
        <f>IF(ISBLANK(D17),"",D17)</f>
        <v/>
      </c>
      <c r="K80" s="126" t="s">
        <v>259</v>
      </c>
      <c r="L80" s="1154"/>
    </row>
    <row r="81" spans="3:12" hidden="1">
      <c r="C81" s="40">
        <f t="shared" si="2"/>
        <v>3158</v>
      </c>
      <c r="D81" s="40">
        <f t="shared" si="4"/>
        <v>5</v>
      </c>
      <c r="E81" s="40">
        <f t="shared" si="3"/>
        <v>2017</v>
      </c>
      <c r="F81" s="40">
        <v>3</v>
      </c>
      <c r="G81" s="40">
        <v>1</v>
      </c>
      <c r="H81" s="40" t="s">
        <v>1507</v>
      </c>
      <c r="I81" s="40" t="s">
        <v>1511</v>
      </c>
      <c r="J81" s="194" t="str">
        <f>IF(ISBLANK(E17),"",E17)</f>
        <v/>
      </c>
      <c r="K81" s="126" t="s">
        <v>263</v>
      </c>
      <c r="L81" s="1154"/>
    </row>
    <row r="82" spans="3:12" hidden="1">
      <c r="C82" s="40">
        <f t="shared" si="2"/>
        <v>3158</v>
      </c>
      <c r="D82" s="40">
        <f t="shared" si="4"/>
        <v>5</v>
      </c>
      <c r="E82" s="40">
        <f t="shared" si="3"/>
        <v>2017</v>
      </c>
      <c r="F82" s="40">
        <v>3</v>
      </c>
      <c r="G82" s="40">
        <v>1</v>
      </c>
      <c r="H82" s="40" t="s">
        <v>1507</v>
      </c>
      <c r="I82" s="40" t="s">
        <v>1512</v>
      </c>
      <c r="J82" s="194" t="str">
        <f>IF(ISBLANK(F17),"",F17)</f>
        <v/>
      </c>
      <c r="K82" s="126" t="s">
        <v>267</v>
      </c>
      <c r="L82" s="1154"/>
    </row>
    <row r="83" spans="3:12" hidden="1">
      <c r="C83" s="40">
        <f t="shared" si="2"/>
        <v>3158</v>
      </c>
      <c r="D83" s="40">
        <f t="shared" si="4"/>
        <v>5</v>
      </c>
      <c r="E83" s="40">
        <f t="shared" si="3"/>
        <v>2017</v>
      </c>
      <c r="F83" s="40">
        <v>3</v>
      </c>
      <c r="G83" s="40">
        <v>1</v>
      </c>
      <c r="H83" s="40" t="s">
        <v>1507</v>
      </c>
      <c r="I83" s="40" t="s">
        <v>1513</v>
      </c>
      <c r="J83" s="194" t="str">
        <f>IF(ISBLANK(G17),"",G17)</f>
        <v/>
      </c>
      <c r="K83" s="126" t="s">
        <v>271</v>
      </c>
      <c r="L83" s="1154"/>
    </row>
    <row r="84" spans="3:12" hidden="1">
      <c r="C84" s="40">
        <f t="shared" si="2"/>
        <v>3158</v>
      </c>
      <c r="D84" s="40">
        <f t="shared" si="4"/>
        <v>5</v>
      </c>
      <c r="E84" s="40">
        <f t="shared" si="3"/>
        <v>2017</v>
      </c>
      <c r="F84" s="40">
        <v>3</v>
      </c>
      <c r="G84" s="40">
        <v>1</v>
      </c>
      <c r="H84" s="40" t="s">
        <v>1507</v>
      </c>
      <c r="I84" s="40" t="s">
        <v>1514</v>
      </c>
      <c r="J84" s="194" t="str">
        <f>IF(ISBLANK(H17),"",H17)</f>
        <v/>
      </c>
      <c r="K84" s="126" t="s">
        <v>275</v>
      </c>
      <c r="L84" s="1154"/>
    </row>
    <row r="85" spans="3:12" hidden="1">
      <c r="C85" s="40">
        <f t="shared" si="2"/>
        <v>3158</v>
      </c>
      <c r="D85" s="40">
        <f t="shared" si="4"/>
        <v>5</v>
      </c>
      <c r="E85" s="40">
        <f t="shared" si="3"/>
        <v>2017</v>
      </c>
      <c r="F85" s="40">
        <v>3</v>
      </c>
      <c r="G85" s="40">
        <v>1</v>
      </c>
      <c r="H85" s="40" t="s">
        <v>1507</v>
      </c>
      <c r="I85" s="40" t="s">
        <v>1515</v>
      </c>
      <c r="J85" s="194" t="str">
        <f>IF(ISBLANK(I17),"",I17)</f>
        <v/>
      </c>
      <c r="K85" s="126" t="s">
        <v>279</v>
      </c>
      <c r="L85" s="1154"/>
    </row>
    <row r="86" spans="3:12" hidden="1">
      <c r="C86" s="40">
        <f t="shared" si="2"/>
        <v>3158</v>
      </c>
      <c r="D86" s="40">
        <f t="shared" si="4"/>
        <v>5</v>
      </c>
      <c r="E86" s="40">
        <f t="shared" si="3"/>
        <v>2017</v>
      </c>
      <c r="F86" s="40">
        <v>3</v>
      </c>
      <c r="G86" s="40">
        <v>1</v>
      </c>
      <c r="H86" s="40" t="s">
        <v>1507</v>
      </c>
      <c r="I86" s="40" t="s">
        <v>1516</v>
      </c>
      <c r="J86" s="194" t="str">
        <f>IF(ISBLANK(J17),"",J17)</f>
        <v/>
      </c>
      <c r="K86" s="126" t="s">
        <v>1365</v>
      </c>
      <c r="L86" s="1154"/>
    </row>
    <row r="87" spans="3:12" hidden="1">
      <c r="C87" s="40">
        <f t="shared" si="2"/>
        <v>3158</v>
      </c>
      <c r="D87" s="40">
        <f t="shared" si="4"/>
        <v>5</v>
      </c>
      <c r="E87" s="40">
        <f t="shared" si="3"/>
        <v>2017</v>
      </c>
      <c r="F87" s="40">
        <v>3</v>
      </c>
      <c r="G87" s="40">
        <v>2</v>
      </c>
      <c r="H87" s="40" t="s">
        <v>1507</v>
      </c>
      <c r="I87" s="40" t="s">
        <v>1508</v>
      </c>
      <c r="J87" s="40" t="str">
        <f>IF(ISBLANK(C18),"",C18)</f>
        <v/>
      </c>
      <c r="K87" s="126" t="s">
        <v>1663</v>
      </c>
      <c r="L87" s="1154"/>
    </row>
    <row r="88" spans="3:12" hidden="1">
      <c r="C88" s="40">
        <f t="shared" si="2"/>
        <v>3158</v>
      </c>
      <c r="D88" s="40">
        <f t="shared" si="4"/>
        <v>5</v>
      </c>
      <c r="E88" s="40">
        <f t="shared" si="3"/>
        <v>2017</v>
      </c>
      <c r="F88" s="40">
        <v>3</v>
      </c>
      <c r="G88" s="40">
        <v>2</v>
      </c>
      <c r="H88" s="40" t="s">
        <v>1507</v>
      </c>
      <c r="I88" s="40" t="s">
        <v>1510</v>
      </c>
      <c r="J88" s="40" t="str">
        <f>IF(ISBLANK(D18),"",D18)</f>
        <v/>
      </c>
      <c r="K88" s="126" t="s">
        <v>260</v>
      </c>
      <c r="L88" s="1154"/>
    </row>
    <row r="89" spans="3:12" hidden="1">
      <c r="C89" s="40">
        <f t="shared" si="2"/>
        <v>3158</v>
      </c>
      <c r="D89" s="40">
        <f t="shared" si="4"/>
        <v>5</v>
      </c>
      <c r="E89" s="40">
        <f t="shared" si="3"/>
        <v>2017</v>
      </c>
      <c r="F89" s="40">
        <v>3</v>
      </c>
      <c r="G89" s="40">
        <v>2</v>
      </c>
      <c r="H89" s="40" t="s">
        <v>1507</v>
      </c>
      <c r="I89" s="40" t="s">
        <v>1511</v>
      </c>
      <c r="J89" s="194" t="str">
        <f>IF(ISBLANK(E18),"",E18)</f>
        <v/>
      </c>
      <c r="K89" s="126" t="s">
        <v>264</v>
      </c>
      <c r="L89" s="1154"/>
    </row>
    <row r="90" spans="3:12" hidden="1">
      <c r="C90" s="40">
        <f t="shared" si="2"/>
        <v>3158</v>
      </c>
      <c r="D90" s="40">
        <f t="shared" si="4"/>
        <v>5</v>
      </c>
      <c r="E90" s="40">
        <f t="shared" si="3"/>
        <v>2017</v>
      </c>
      <c r="F90" s="40">
        <v>3</v>
      </c>
      <c r="G90" s="40">
        <v>2</v>
      </c>
      <c r="H90" s="40" t="s">
        <v>1507</v>
      </c>
      <c r="I90" s="40" t="s">
        <v>1512</v>
      </c>
      <c r="J90" s="194" t="str">
        <f>IF(ISBLANK(F18),"",F18)</f>
        <v/>
      </c>
      <c r="K90" s="126" t="s">
        <v>268</v>
      </c>
      <c r="L90" s="1154"/>
    </row>
    <row r="91" spans="3:12" hidden="1">
      <c r="C91" s="40">
        <f t="shared" si="2"/>
        <v>3158</v>
      </c>
      <c r="D91" s="40">
        <f t="shared" si="4"/>
        <v>5</v>
      </c>
      <c r="E91" s="40">
        <f t="shared" si="3"/>
        <v>2017</v>
      </c>
      <c r="F91" s="40">
        <v>3</v>
      </c>
      <c r="G91" s="40">
        <v>2</v>
      </c>
      <c r="H91" s="40" t="s">
        <v>1507</v>
      </c>
      <c r="I91" s="40" t="s">
        <v>1513</v>
      </c>
      <c r="J91" s="194" t="str">
        <f>IF(ISBLANK(G18),"",G18)</f>
        <v/>
      </c>
      <c r="K91" s="126" t="s">
        <v>272</v>
      </c>
      <c r="L91" s="1154"/>
    </row>
    <row r="92" spans="3:12" hidden="1">
      <c r="C92" s="40">
        <f t="shared" si="2"/>
        <v>3158</v>
      </c>
      <c r="D92" s="40">
        <f t="shared" si="4"/>
        <v>5</v>
      </c>
      <c r="E92" s="40">
        <f t="shared" si="3"/>
        <v>2017</v>
      </c>
      <c r="F92" s="40">
        <v>3</v>
      </c>
      <c r="G92" s="40">
        <v>2</v>
      </c>
      <c r="H92" s="40" t="s">
        <v>1507</v>
      </c>
      <c r="I92" s="40" t="s">
        <v>1514</v>
      </c>
      <c r="J92" s="194" t="str">
        <f>IF(ISBLANK(H18),"",H18)</f>
        <v/>
      </c>
      <c r="K92" s="126" t="s">
        <v>276</v>
      </c>
      <c r="L92" s="1154"/>
    </row>
    <row r="93" spans="3:12" hidden="1">
      <c r="C93" s="40">
        <f t="shared" si="2"/>
        <v>3158</v>
      </c>
      <c r="D93" s="40">
        <f t="shared" si="4"/>
        <v>5</v>
      </c>
      <c r="E93" s="40">
        <f t="shared" si="3"/>
        <v>2017</v>
      </c>
      <c r="F93" s="40">
        <v>3</v>
      </c>
      <c r="G93" s="40">
        <v>2</v>
      </c>
      <c r="H93" s="40" t="s">
        <v>1507</v>
      </c>
      <c r="I93" s="40" t="s">
        <v>1515</v>
      </c>
      <c r="J93" s="194" t="str">
        <f>IF(ISBLANK(I18),"",I18)</f>
        <v/>
      </c>
      <c r="K93" s="126" t="s">
        <v>280</v>
      </c>
      <c r="L93" s="1154"/>
    </row>
    <row r="94" spans="3:12" hidden="1">
      <c r="C94" s="40">
        <f t="shared" si="2"/>
        <v>3158</v>
      </c>
      <c r="D94" s="40">
        <f t="shared" si="4"/>
        <v>5</v>
      </c>
      <c r="E94" s="40">
        <f t="shared" si="3"/>
        <v>2017</v>
      </c>
      <c r="F94" s="40">
        <v>3</v>
      </c>
      <c r="G94" s="40">
        <v>2</v>
      </c>
      <c r="H94" s="40" t="s">
        <v>1507</v>
      </c>
      <c r="I94" s="40" t="s">
        <v>1516</v>
      </c>
      <c r="J94" s="194" t="str">
        <f>IF(ISBLANK(J18),"",J18)</f>
        <v/>
      </c>
      <c r="K94" s="126" t="s">
        <v>282</v>
      </c>
      <c r="L94" s="1154"/>
    </row>
    <row r="95" spans="3:12" hidden="1">
      <c r="C95" s="40">
        <f t="shared" si="2"/>
        <v>3158</v>
      </c>
      <c r="D95" s="40">
        <f t="shared" ref="D95:D102" si="5">L$1</f>
        <v>5</v>
      </c>
      <c r="E95" s="40">
        <f t="shared" si="3"/>
        <v>2017</v>
      </c>
      <c r="F95" s="40">
        <v>3</v>
      </c>
      <c r="G95" s="40">
        <v>3</v>
      </c>
      <c r="H95" s="40" t="s">
        <v>1507</v>
      </c>
      <c r="I95" s="40" t="s">
        <v>1508</v>
      </c>
      <c r="J95" s="40" t="str">
        <f>IF(ISBLANK(C19),"",C19)</f>
        <v/>
      </c>
      <c r="K95" s="126" t="s">
        <v>1664</v>
      </c>
      <c r="L95" s="1154"/>
    </row>
    <row r="96" spans="3:12" hidden="1">
      <c r="C96" s="40">
        <f t="shared" ref="C96:C102" si="6">G$1</f>
        <v>3158</v>
      </c>
      <c r="D96" s="40">
        <f t="shared" si="5"/>
        <v>5</v>
      </c>
      <c r="E96" s="40">
        <f t="shared" ref="E96:E102" si="7">D$1</f>
        <v>2017</v>
      </c>
      <c r="F96" s="40">
        <v>3</v>
      </c>
      <c r="G96" s="40">
        <v>3</v>
      </c>
      <c r="H96" s="40" t="s">
        <v>1507</v>
      </c>
      <c r="I96" s="40" t="s">
        <v>1510</v>
      </c>
      <c r="J96" s="40" t="str">
        <f>IF(ISBLANK(D19),"",D19)</f>
        <v/>
      </c>
      <c r="K96" s="126" t="s">
        <v>1689</v>
      </c>
      <c r="L96" s="1154"/>
    </row>
    <row r="97" spans="3:12" hidden="1">
      <c r="C97" s="40">
        <f t="shared" si="6"/>
        <v>3158</v>
      </c>
      <c r="D97" s="40">
        <f t="shared" si="5"/>
        <v>5</v>
      </c>
      <c r="E97" s="40">
        <f t="shared" si="7"/>
        <v>2017</v>
      </c>
      <c r="F97" s="40">
        <v>3</v>
      </c>
      <c r="G97" s="40">
        <v>3</v>
      </c>
      <c r="H97" s="40" t="s">
        <v>1507</v>
      </c>
      <c r="I97" s="40" t="s">
        <v>1511</v>
      </c>
      <c r="J97" s="194" t="str">
        <f>IF(ISBLANK(E19),"",E19)</f>
        <v/>
      </c>
      <c r="K97" s="126" t="s">
        <v>1713</v>
      </c>
      <c r="L97" s="1154"/>
    </row>
    <row r="98" spans="3:12" hidden="1">
      <c r="C98" s="40">
        <f t="shared" si="6"/>
        <v>3158</v>
      </c>
      <c r="D98" s="40">
        <f t="shared" si="5"/>
        <v>5</v>
      </c>
      <c r="E98" s="40">
        <f t="shared" si="7"/>
        <v>2017</v>
      </c>
      <c r="F98" s="40">
        <v>3</v>
      </c>
      <c r="G98" s="40">
        <v>3</v>
      </c>
      <c r="H98" s="40" t="s">
        <v>1507</v>
      </c>
      <c r="I98" s="40" t="s">
        <v>1512</v>
      </c>
      <c r="J98" s="194" t="str">
        <f>IF(ISBLANK(F19),"",F19)</f>
        <v/>
      </c>
      <c r="K98" s="126" t="s">
        <v>355</v>
      </c>
      <c r="L98" s="1154"/>
    </row>
    <row r="99" spans="3:12" hidden="1">
      <c r="C99" s="40">
        <f t="shared" si="6"/>
        <v>3158</v>
      </c>
      <c r="D99" s="40">
        <f t="shared" si="5"/>
        <v>5</v>
      </c>
      <c r="E99" s="40">
        <f t="shared" si="7"/>
        <v>2017</v>
      </c>
      <c r="F99" s="40">
        <v>3</v>
      </c>
      <c r="G99" s="40">
        <v>3</v>
      </c>
      <c r="H99" s="40" t="s">
        <v>1507</v>
      </c>
      <c r="I99" s="40" t="s">
        <v>1513</v>
      </c>
      <c r="J99" s="194" t="str">
        <f>IF(ISBLANK(G19),"",G19)</f>
        <v/>
      </c>
      <c r="K99" s="126" t="s">
        <v>356</v>
      </c>
      <c r="L99" s="1154"/>
    </row>
    <row r="100" spans="3:12" hidden="1">
      <c r="C100" s="40">
        <f t="shared" si="6"/>
        <v>3158</v>
      </c>
      <c r="D100" s="40">
        <f t="shared" si="5"/>
        <v>5</v>
      </c>
      <c r="E100" s="40">
        <f t="shared" si="7"/>
        <v>2017</v>
      </c>
      <c r="F100" s="40">
        <v>3</v>
      </c>
      <c r="G100" s="40">
        <v>3</v>
      </c>
      <c r="H100" s="40" t="s">
        <v>1507</v>
      </c>
      <c r="I100" s="40" t="s">
        <v>1514</v>
      </c>
      <c r="J100" s="194" t="str">
        <f>IF(ISBLANK(H19),"",H19)</f>
        <v/>
      </c>
      <c r="K100" s="126" t="s">
        <v>386</v>
      </c>
      <c r="L100" s="1154"/>
    </row>
    <row r="101" spans="3:12" hidden="1">
      <c r="C101" s="40">
        <f t="shared" si="6"/>
        <v>3158</v>
      </c>
      <c r="D101" s="40">
        <f t="shared" si="5"/>
        <v>5</v>
      </c>
      <c r="E101" s="40">
        <f t="shared" si="7"/>
        <v>2017</v>
      </c>
      <c r="F101" s="40">
        <v>3</v>
      </c>
      <c r="G101" s="40">
        <v>3</v>
      </c>
      <c r="H101" s="40" t="s">
        <v>1507</v>
      </c>
      <c r="I101" s="40" t="s">
        <v>1515</v>
      </c>
      <c r="J101" s="194" t="str">
        <f>IF(ISBLANK(I19),"",I19)</f>
        <v/>
      </c>
      <c r="K101" s="126" t="s">
        <v>387</v>
      </c>
      <c r="L101" s="1154"/>
    </row>
    <row r="102" spans="3:12" hidden="1">
      <c r="C102" s="40">
        <f t="shared" si="6"/>
        <v>3158</v>
      </c>
      <c r="D102" s="40">
        <f t="shared" si="5"/>
        <v>5</v>
      </c>
      <c r="E102" s="40">
        <f t="shared" si="7"/>
        <v>2017</v>
      </c>
      <c r="F102" s="40">
        <v>3</v>
      </c>
      <c r="G102" s="40">
        <v>3</v>
      </c>
      <c r="H102" s="40" t="s">
        <v>1507</v>
      </c>
      <c r="I102" s="40" t="s">
        <v>1516</v>
      </c>
      <c r="J102" s="194" t="str">
        <f>IF(ISBLANK(J19),"",J19)</f>
        <v/>
      </c>
      <c r="K102" s="126" t="s">
        <v>1366</v>
      </c>
      <c r="L102" s="1154"/>
    </row>
    <row r="103" spans="3:12" hidden="1">
      <c r="C103" s="40"/>
      <c r="D103" s="40"/>
      <c r="E103" s="40"/>
      <c r="K103" s="98"/>
    </row>
    <row r="104" spans="3:12" hidden="1">
      <c r="C104" s="40"/>
      <c r="D104" s="40"/>
      <c r="E104" s="40"/>
      <c r="K104" s="98"/>
    </row>
    <row r="105" spans="3:12">
      <c r="C105" s="40"/>
      <c r="D105" s="40"/>
      <c r="E105" s="40"/>
      <c r="K105" s="98"/>
    </row>
    <row r="106" spans="3:12">
      <c r="C106" s="40"/>
      <c r="D106" s="40"/>
      <c r="E106" s="40"/>
    </row>
  </sheetData>
  <sheetProtection password="CB72" sheet="1" objects="1" scenarios="1"/>
  <mergeCells count="24">
    <mergeCell ref="L31:L102"/>
    <mergeCell ref="A13:A16"/>
    <mergeCell ref="A17:A20"/>
    <mergeCell ref="E3:E8"/>
    <mergeCell ref="A3:A8"/>
    <mergeCell ref="H6:H8"/>
    <mergeCell ref="F3:J3"/>
    <mergeCell ref="D3:D8"/>
    <mergeCell ref="I6:I8"/>
    <mergeCell ref="G6:G8"/>
    <mergeCell ref="F4:G5"/>
    <mergeCell ref="A25:J26"/>
    <mergeCell ref="A24:J24"/>
    <mergeCell ref="M26:P26"/>
    <mergeCell ref="M7:O7"/>
    <mergeCell ref="P7:R7"/>
    <mergeCell ref="A21:B21"/>
    <mergeCell ref="J4:J8"/>
    <mergeCell ref="H4:I5"/>
    <mergeCell ref="C3:C8"/>
    <mergeCell ref="M6:R6"/>
    <mergeCell ref="B3:B8"/>
    <mergeCell ref="A9:A12"/>
    <mergeCell ref="F6:F8"/>
  </mergeCells>
  <phoneticPr fontId="0" type="noConversion"/>
  <conditionalFormatting sqref="D12">
    <cfRule type="expression" dxfId="41" priority="2" stopIfTrue="1">
      <formula>$P28&lt;&gt;0</formula>
    </cfRule>
  </conditionalFormatting>
  <conditionalFormatting sqref="D20">
    <cfRule type="expression" dxfId="40" priority="3" stopIfTrue="1">
      <formula>$P30&lt;&gt;0</formula>
    </cfRule>
  </conditionalFormatting>
  <conditionalFormatting sqref="C17:D19 C9:D11 C13:C15">
    <cfRule type="expression" dxfId="39" priority="4" stopIfTrue="1">
      <formula>AND($R9&gt;0,C9=0)</formula>
    </cfRule>
  </conditionalFormatting>
  <conditionalFormatting sqref="G12 G16 G20 I12 I16 I20">
    <cfRule type="expression" dxfId="38" priority="6" stopIfTrue="1">
      <formula>$R12=1</formula>
    </cfRule>
  </conditionalFormatting>
  <conditionalFormatting sqref="J12 J16 J20">
    <cfRule type="expression" dxfId="37" priority="7" stopIfTrue="1">
      <formula>OR($O12=1,$R12=1)</formula>
    </cfRule>
  </conditionalFormatting>
  <conditionalFormatting sqref="D13:D15">
    <cfRule type="expression" dxfId="36" priority="8" stopIfTrue="1">
      <formula>AND($R13&gt;D13)</formula>
    </cfRule>
  </conditionalFormatting>
  <conditionalFormatting sqref="F13:F15">
    <cfRule type="expression" dxfId="35" priority="1" stopIfTrue="1">
      <formula>AND($R13&gt;F13)</formula>
    </cfRule>
  </conditionalFormatting>
  <pageMargins left="0.98425196850393704" right="0.43307086614173229" top="0.82677165354330717" bottom="0.6692913385826772" header="0.51181102362204722" footer="0.51181102362204722"/>
  <pageSetup paperSize="9" orientation="landscape" r:id="rId1"/>
  <headerFooter alignWithMargins="0">
    <oddFooter>&amp;L&amp;8Druck: &amp;D, &amp;T&amp;R&amp;8VAF-Periode 2015-2018</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3">
    <tabColor theme="3" tint="0.59999389629810485"/>
  </sheetPr>
  <dimension ref="A1:R80"/>
  <sheetViews>
    <sheetView showGridLines="0" zoomScale="85" zoomScaleNormal="85" workbookViewId="0">
      <selection activeCell="B13" sqref="B13:B15"/>
    </sheetView>
  </sheetViews>
  <sheetFormatPr baseColWidth="10" defaultRowHeight="15"/>
  <cols>
    <col min="1" max="1" width="16.77734375" style="11" customWidth="1"/>
    <col min="2" max="2" width="14.77734375" style="11" customWidth="1"/>
    <col min="3" max="4" width="9.5546875" style="11" customWidth="1"/>
    <col min="5" max="5" width="9.77734375" style="11" customWidth="1"/>
    <col min="6" max="9" width="9.5546875" style="11" customWidth="1"/>
    <col min="10" max="10" width="8.6640625" style="11" customWidth="1"/>
    <col min="11" max="19" width="11.5546875" style="11" customWidth="1"/>
    <col min="20" max="16384" width="11.5546875" style="11"/>
  </cols>
  <sheetData>
    <row r="1" spans="1:18" ht="15.75">
      <c r="A1" s="444" t="s">
        <v>2526</v>
      </c>
      <c r="B1" s="26"/>
      <c r="C1" s="26"/>
      <c r="D1" s="110">
        <f>'Organisationsdaten (Basisinfo)'!D1</f>
        <v>2017</v>
      </c>
      <c r="E1" s="26"/>
      <c r="F1" s="632" t="s">
        <v>2483</v>
      </c>
      <c r="G1" s="28">
        <f>'Organisationsdaten (Basisinfo)'!H1</f>
        <v>3158</v>
      </c>
      <c r="H1" s="282"/>
      <c r="I1" s="280"/>
    </row>
    <row r="2" spans="1:18" ht="16.5" thickBot="1">
      <c r="A2" s="152"/>
      <c r="L2" s="98"/>
      <c r="M2" s="98"/>
      <c r="N2" s="98"/>
      <c r="O2" s="98"/>
      <c r="P2" s="98"/>
      <c r="Q2" s="98"/>
      <c r="R2" s="98"/>
    </row>
    <row r="3" spans="1:18" ht="15" customHeight="1">
      <c r="A3" s="1178" t="s">
        <v>2506</v>
      </c>
      <c r="B3" s="1181" t="s">
        <v>2507</v>
      </c>
      <c r="C3" s="1183" t="s">
        <v>2508</v>
      </c>
      <c r="D3" s="1185" t="s">
        <v>2527</v>
      </c>
      <c r="E3" s="1189" t="s">
        <v>2510</v>
      </c>
      <c r="F3" s="1189"/>
      <c r="G3" s="1189"/>
      <c r="H3" s="1189"/>
      <c r="I3" s="1189"/>
      <c r="J3" s="1190" t="s">
        <v>1530</v>
      </c>
      <c r="L3" s="98"/>
      <c r="M3" s="98"/>
      <c r="N3" s="191"/>
      <c r="O3" s="191"/>
      <c r="P3" s="191"/>
      <c r="Q3" s="98"/>
      <c r="R3" s="98"/>
    </row>
    <row r="4" spans="1:18" ht="15" customHeight="1">
      <c r="A4" s="1179"/>
      <c r="B4" s="1182"/>
      <c r="C4" s="1184"/>
      <c r="D4" s="1186"/>
      <c r="E4" s="1193" t="s">
        <v>2649</v>
      </c>
      <c r="F4" s="1194"/>
      <c r="G4" s="1197" t="s">
        <v>2528</v>
      </c>
      <c r="H4" s="1194"/>
      <c r="I4" s="1197" t="s">
        <v>2529</v>
      </c>
      <c r="J4" s="1191"/>
      <c r="K4" s="115"/>
      <c r="L4" s="98"/>
      <c r="M4" s="98"/>
      <c r="N4" s="191"/>
      <c r="O4" s="191"/>
      <c r="P4" s="191"/>
      <c r="Q4" s="98"/>
      <c r="R4" s="98"/>
    </row>
    <row r="5" spans="1:18">
      <c r="A5" s="1179"/>
      <c r="B5" s="1182"/>
      <c r="C5" s="1184"/>
      <c r="D5" s="1186"/>
      <c r="E5" s="1195"/>
      <c r="F5" s="1196"/>
      <c r="G5" s="1198"/>
      <c r="H5" s="1196"/>
      <c r="I5" s="1199"/>
      <c r="J5" s="1191"/>
      <c r="K5" s="126"/>
      <c r="L5" s="537"/>
      <c r="M5" s="98"/>
      <c r="N5" s="98"/>
      <c r="O5" s="98"/>
      <c r="P5" s="191"/>
      <c r="Q5" s="98"/>
      <c r="R5" s="98"/>
    </row>
    <row r="6" spans="1:18" ht="15" customHeight="1">
      <c r="A6" s="1179"/>
      <c r="B6" s="1182"/>
      <c r="C6" s="1184"/>
      <c r="D6" s="1186"/>
      <c r="E6" s="1200" t="s">
        <v>2530</v>
      </c>
      <c r="F6" s="1187" t="s">
        <v>2513</v>
      </c>
      <c r="G6" s="1187" t="s">
        <v>2515</v>
      </c>
      <c r="H6" s="1187" t="s">
        <v>2513</v>
      </c>
      <c r="I6" s="1199"/>
      <c r="J6" s="1191"/>
      <c r="K6" s="126"/>
      <c r="L6" s="537"/>
    </row>
    <row r="7" spans="1:18">
      <c r="A7" s="1179"/>
      <c r="B7" s="1182" t="s">
        <v>174</v>
      </c>
      <c r="C7" s="1184" t="s">
        <v>1544</v>
      </c>
      <c r="D7" s="1186"/>
      <c r="E7" s="1201"/>
      <c r="F7" s="1188"/>
      <c r="G7" s="1188"/>
      <c r="H7" s="1188"/>
      <c r="I7" s="1199"/>
      <c r="J7" s="1191"/>
      <c r="K7" s="126"/>
      <c r="L7" s="537"/>
    </row>
    <row r="8" spans="1:18" ht="15.75" thickBot="1">
      <c r="A8" s="1180"/>
      <c r="B8" s="1182"/>
      <c r="C8" s="1184"/>
      <c r="D8" s="1186"/>
      <c r="E8" s="1201"/>
      <c r="F8" s="1188"/>
      <c r="G8" s="1188"/>
      <c r="H8" s="1188"/>
      <c r="I8" s="1199"/>
      <c r="J8" s="1192"/>
      <c r="K8" s="126"/>
      <c r="L8" s="537"/>
    </row>
    <row r="9" spans="1:18" ht="15" customHeight="1">
      <c r="A9" s="1205" t="s">
        <v>2531</v>
      </c>
      <c r="B9" s="437" t="s">
        <v>2523</v>
      </c>
      <c r="C9" s="67"/>
      <c r="D9" s="86"/>
      <c r="E9" s="137"/>
      <c r="F9" s="68"/>
      <c r="G9" s="68"/>
      <c r="H9" s="68"/>
      <c r="I9" s="69"/>
      <c r="J9" s="528">
        <f>SUM(E9:I9)</f>
        <v>0</v>
      </c>
      <c r="K9" s="126"/>
      <c r="L9" s="537"/>
    </row>
    <row r="10" spans="1:18">
      <c r="A10" s="1206"/>
      <c r="B10" s="438" t="s">
        <v>2524</v>
      </c>
      <c r="C10" s="97"/>
      <c r="D10" s="153"/>
      <c r="E10" s="138"/>
      <c r="F10" s="62"/>
      <c r="G10" s="62"/>
      <c r="H10" s="62"/>
      <c r="I10" s="70"/>
      <c r="J10" s="529">
        <f t="shared" ref="J10:J21" si="0">SUM(E10:I10)</f>
        <v>0</v>
      </c>
      <c r="K10" s="126"/>
      <c r="L10" s="537"/>
    </row>
    <row r="11" spans="1:18">
      <c r="A11" s="1206"/>
      <c r="B11" s="438" t="s">
        <v>2525</v>
      </c>
      <c r="C11" s="97">
        <v>29</v>
      </c>
      <c r="D11" s="153">
        <v>647425.60151753318</v>
      </c>
      <c r="E11" s="138">
        <v>941</v>
      </c>
      <c r="F11" s="62"/>
      <c r="G11" s="62"/>
      <c r="H11" s="62"/>
      <c r="I11" s="70"/>
      <c r="J11" s="529">
        <f t="shared" si="0"/>
        <v>941</v>
      </c>
      <c r="K11" s="126"/>
      <c r="L11" s="537"/>
    </row>
    <row r="12" spans="1:18" ht="15.75" thickBot="1">
      <c r="A12" s="1207"/>
      <c r="B12" s="524" t="s">
        <v>1530</v>
      </c>
      <c r="C12" s="525">
        <f t="shared" ref="C12:I12" si="1">SUM(C9:C11)</f>
        <v>29</v>
      </c>
      <c r="D12" s="526">
        <f t="shared" si="1"/>
        <v>647425.60151753318</v>
      </c>
      <c r="E12" s="527">
        <f t="shared" si="1"/>
        <v>941</v>
      </c>
      <c r="F12" s="525">
        <f t="shared" si="1"/>
        <v>0</v>
      </c>
      <c r="G12" s="525">
        <f t="shared" si="1"/>
        <v>0</v>
      </c>
      <c r="H12" s="525">
        <f t="shared" si="1"/>
        <v>0</v>
      </c>
      <c r="I12" s="526">
        <f t="shared" si="1"/>
        <v>0</v>
      </c>
      <c r="J12" s="529">
        <f t="shared" si="0"/>
        <v>941</v>
      </c>
      <c r="K12" s="126"/>
      <c r="L12" s="537"/>
    </row>
    <row r="13" spans="1:18" ht="15" customHeight="1">
      <c r="A13" s="1206" t="s">
        <v>2532</v>
      </c>
      <c r="B13" s="437" t="s">
        <v>2523</v>
      </c>
      <c r="C13" s="67"/>
      <c r="D13" s="86"/>
      <c r="E13" s="137"/>
      <c r="F13" s="548"/>
      <c r="G13" s="548"/>
      <c r="H13" s="548"/>
      <c r="I13" s="549"/>
      <c r="J13" s="529">
        <f t="shared" si="0"/>
        <v>0</v>
      </c>
      <c r="K13" s="126"/>
      <c r="L13" s="537"/>
    </row>
    <row r="14" spans="1:18">
      <c r="A14" s="1206"/>
      <c r="B14" s="438" t="s">
        <v>2524</v>
      </c>
      <c r="C14" s="97">
        <v>5</v>
      </c>
      <c r="D14" s="153">
        <v>27710.83608275235</v>
      </c>
      <c r="E14" s="138">
        <v>61</v>
      </c>
      <c r="F14" s="550"/>
      <c r="G14" s="550"/>
      <c r="H14" s="550"/>
      <c r="I14" s="551"/>
      <c r="J14" s="529">
        <f t="shared" si="0"/>
        <v>61</v>
      </c>
      <c r="K14" s="126"/>
      <c r="L14" s="537"/>
    </row>
    <row r="15" spans="1:18">
      <c r="A15" s="1206"/>
      <c r="B15" s="438" t="s">
        <v>2525</v>
      </c>
      <c r="C15" s="97">
        <v>14</v>
      </c>
      <c r="D15" s="153">
        <v>77590.341031706557</v>
      </c>
      <c r="E15" s="138">
        <v>131</v>
      </c>
      <c r="F15" s="550"/>
      <c r="G15" s="550"/>
      <c r="H15" s="550"/>
      <c r="I15" s="551"/>
      <c r="J15" s="529">
        <f t="shared" si="0"/>
        <v>131</v>
      </c>
      <c r="K15" s="126"/>
      <c r="L15" s="537"/>
    </row>
    <row r="16" spans="1:18" ht="15.75" thickBot="1">
      <c r="A16" s="1207"/>
      <c r="B16" s="531" t="s">
        <v>1530</v>
      </c>
      <c r="C16" s="525">
        <f t="shared" ref="C16:I16" si="2">SUM(C13:C15)</f>
        <v>19</v>
      </c>
      <c r="D16" s="526">
        <f t="shared" si="2"/>
        <v>105301.1771144589</v>
      </c>
      <c r="E16" s="527">
        <f t="shared" si="2"/>
        <v>192</v>
      </c>
      <c r="F16" s="525">
        <f t="shared" si="2"/>
        <v>0</v>
      </c>
      <c r="G16" s="525">
        <f t="shared" si="2"/>
        <v>0</v>
      </c>
      <c r="H16" s="525">
        <f t="shared" si="2"/>
        <v>0</v>
      </c>
      <c r="I16" s="526">
        <f t="shared" si="2"/>
        <v>0</v>
      </c>
      <c r="J16" s="529">
        <f t="shared" si="0"/>
        <v>192</v>
      </c>
      <c r="K16" s="126"/>
      <c r="L16" s="537"/>
    </row>
    <row r="17" spans="1:12" ht="15" customHeight="1">
      <c r="A17" s="1217" t="s">
        <v>2533</v>
      </c>
      <c r="B17" s="691" t="s">
        <v>2523</v>
      </c>
      <c r="C17" s="67"/>
      <c r="D17" s="86"/>
      <c r="E17" s="137"/>
      <c r="F17" s="68"/>
      <c r="G17" s="68"/>
      <c r="H17" s="68"/>
      <c r="I17" s="69"/>
      <c r="J17" s="529">
        <f t="shared" si="0"/>
        <v>0</v>
      </c>
      <c r="K17" s="126"/>
      <c r="L17" s="537"/>
    </row>
    <row r="18" spans="1:12">
      <c r="A18" s="1218"/>
      <c r="B18" s="689"/>
      <c r="C18" s="550"/>
      <c r="D18" s="551"/>
      <c r="E18" s="550"/>
      <c r="F18" s="550"/>
      <c r="G18" s="550"/>
      <c r="H18" s="550"/>
      <c r="I18" s="551"/>
      <c r="J18" s="690"/>
      <c r="K18" s="126"/>
      <c r="L18" s="537"/>
    </row>
    <row r="19" spans="1:12">
      <c r="A19" s="1218"/>
      <c r="B19" s="689"/>
      <c r="C19" s="550"/>
      <c r="D19" s="551"/>
      <c r="E19" s="550"/>
      <c r="F19" s="550"/>
      <c r="G19" s="550"/>
      <c r="H19" s="550"/>
      <c r="I19" s="551"/>
      <c r="J19" s="690"/>
      <c r="K19" s="126"/>
      <c r="L19" s="537"/>
    </row>
    <row r="20" spans="1:12" ht="15.75" thickBot="1">
      <c r="A20" s="1219"/>
      <c r="B20" s="692" t="s">
        <v>1530</v>
      </c>
      <c r="C20" s="439">
        <f t="shared" ref="C20:I20" si="3">SUM(C17:C19)</f>
        <v>0</v>
      </c>
      <c r="D20" s="440">
        <f t="shared" si="3"/>
        <v>0</v>
      </c>
      <c r="E20" s="445">
        <f t="shared" si="3"/>
        <v>0</v>
      </c>
      <c r="F20" s="439">
        <f t="shared" si="3"/>
        <v>0</v>
      </c>
      <c r="G20" s="439">
        <f t="shared" si="3"/>
        <v>0</v>
      </c>
      <c r="H20" s="439">
        <f t="shared" si="3"/>
        <v>0</v>
      </c>
      <c r="I20" s="440">
        <f t="shared" si="3"/>
        <v>0</v>
      </c>
      <c r="J20" s="529">
        <f t="shared" si="0"/>
        <v>0</v>
      </c>
      <c r="K20" s="126"/>
      <c r="L20" s="537"/>
    </row>
    <row r="21" spans="1:12" ht="15.75" thickBot="1">
      <c r="A21" s="1220" t="s">
        <v>2534</v>
      </c>
      <c r="B21" s="1221"/>
      <c r="C21" s="532">
        <f>SUM(C20,C16,C12)</f>
        <v>48</v>
      </c>
      <c r="D21" s="533">
        <f>SUM(D20,D16,D12)</f>
        <v>752726.77863199206</v>
      </c>
      <c r="E21" s="534" t="s">
        <v>172</v>
      </c>
      <c r="F21" s="535" t="s">
        <v>172</v>
      </c>
      <c r="G21" s="535" t="s">
        <v>172</v>
      </c>
      <c r="H21" s="535" t="s">
        <v>172</v>
      </c>
      <c r="I21" s="536" t="s">
        <v>172</v>
      </c>
      <c r="J21" s="530">
        <f t="shared" si="0"/>
        <v>0</v>
      </c>
      <c r="K21" s="126"/>
      <c r="L21" s="537"/>
    </row>
    <row r="22" spans="1:12">
      <c r="A22" s="432" t="s">
        <v>2535</v>
      </c>
      <c r="B22" s="441"/>
      <c r="C22" s="441"/>
      <c r="D22" s="441"/>
      <c r="E22" s="441"/>
      <c r="F22" s="441"/>
      <c r="G22" s="441"/>
      <c r="H22" s="441"/>
      <c r="I22" s="441"/>
      <c r="J22" s="441"/>
      <c r="K22" s="126"/>
      <c r="L22" s="537"/>
    </row>
    <row r="23" spans="1:12">
      <c r="A23" s="432"/>
      <c r="B23" s="441"/>
      <c r="C23" s="441"/>
      <c r="D23" s="441"/>
      <c r="E23" s="441"/>
      <c r="F23" s="441"/>
      <c r="G23" s="441"/>
      <c r="H23" s="441"/>
      <c r="I23" s="441"/>
      <c r="J23" s="441"/>
      <c r="K23" s="126"/>
      <c r="L23" s="537"/>
    </row>
    <row r="24" spans="1:12">
      <c r="A24" s="442" t="s">
        <v>2068</v>
      </c>
      <c r="B24" s="442"/>
      <c r="C24" s="442"/>
      <c r="D24" s="442"/>
      <c r="E24" s="442"/>
      <c r="F24" s="442"/>
      <c r="G24" s="442"/>
      <c r="H24" s="442"/>
      <c r="I24" s="442"/>
      <c r="J24" s="441"/>
      <c r="K24" s="126"/>
      <c r="L24" s="537"/>
    </row>
    <row r="25" spans="1:12" ht="15" customHeight="1">
      <c r="A25" s="1203" t="s">
        <v>2536</v>
      </c>
      <c r="B25" s="1203"/>
      <c r="C25" s="1203"/>
      <c r="D25" s="1203"/>
      <c r="E25" s="1203"/>
      <c r="F25" s="1203"/>
      <c r="G25" s="1203"/>
      <c r="H25" s="1203"/>
      <c r="I25" s="1203"/>
      <c r="J25" s="441"/>
      <c r="K25" s="126"/>
      <c r="L25" s="537"/>
    </row>
    <row r="26" spans="1:12">
      <c r="A26" s="1203"/>
      <c r="B26" s="1203"/>
      <c r="C26" s="1203"/>
      <c r="D26" s="1203"/>
      <c r="E26" s="1203"/>
      <c r="F26" s="1203"/>
      <c r="G26" s="1203"/>
      <c r="H26" s="1203"/>
      <c r="I26" s="1203"/>
      <c r="J26" s="441"/>
      <c r="K26" s="126"/>
      <c r="L26" s="537"/>
    </row>
    <row r="27" spans="1:12">
      <c r="A27" s="441"/>
      <c r="B27" s="441"/>
      <c r="C27" s="441"/>
      <c r="D27" s="441"/>
      <c r="E27" s="441"/>
      <c r="F27" s="441"/>
      <c r="G27" s="441"/>
      <c r="H27" s="441"/>
      <c r="I27" s="441"/>
      <c r="J27" s="441"/>
      <c r="K27" s="126"/>
      <c r="L27" s="537"/>
    </row>
    <row r="28" spans="1:12">
      <c r="A28" s="1204" t="s">
        <v>2537</v>
      </c>
      <c r="B28" s="1208" t="s">
        <v>2625</v>
      </c>
      <c r="C28" s="1209"/>
      <c r="D28" s="1209"/>
      <c r="E28" s="441"/>
      <c r="F28" s="1210" t="s">
        <v>2537</v>
      </c>
      <c r="G28" s="1211"/>
      <c r="H28" s="1214" t="s">
        <v>2637</v>
      </c>
      <c r="I28" s="1215"/>
      <c r="J28" s="1216"/>
      <c r="K28" s="126"/>
      <c r="L28" s="537"/>
    </row>
    <row r="29" spans="1:12">
      <c r="A29" s="1204"/>
      <c r="B29" s="443" t="s">
        <v>1543</v>
      </c>
      <c r="C29" s="443" t="s">
        <v>1766</v>
      </c>
      <c r="D29" s="443" t="s">
        <v>1767</v>
      </c>
      <c r="E29" s="441"/>
      <c r="F29" s="1212"/>
      <c r="G29" s="1213"/>
      <c r="H29" s="443" t="s">
        <v>1543</v>
      </c>
      <c r="I29" s="443" t="s">
        <v>1766</v>
      </c>
      <c r="J29" s="443" t="s">
        <v>1767</v>
      </c>
      <c r="K29" s="126"/>
      <c r="L29" s="537"/>
    </row>
    <row r="30" spans="1:12">
      <c r="A30" s="443" t="s">
        <v>2069</v>
      </c>
      <c r="B30" s="443" t="s">
        <v>2538</v>
      </c>
      <c r="C30" s="443" t="s">
        <v>2538</v>
      </c>
      <c r="D30" s="443" t="s">
        <v>2538</v>
      </c>
      <c r="E30" s="441"/>
      <c r="F30" s="1202" t="s">
        <v>2070</v>
      </c>
      <c r="G30" s="1202"/>
      <c r="H30" s="443" t="s">
        <v>2538</v>
      </c>
      <c r="I30" s="443" t="s">
        <v>2538</v>
      </c>
      <c r="J30" s="443" t="s">
        <v>2538</v>
      </c>
      <c r="K30" s="126"/>
      <c r="L30" s="537"/>
    </row>
    <row r="31" spans="1:12">
      <c r="A31" s="443" t="s">
        <v>2541</v>
      </c>
      <c r="B31" s="443" t="s">
        <v>2538</v>
      </c>
      <c r="C31" s="443" t="s">
        <v>2539</v>
      </c>
      <c r="D31" s="443" t="s">
        <v>2539</v>
      </c>
      <c r="E31" s="441"/>
      <c r="F31" s="1202" t="s">
        <v>2542</v>
      </c>
      <c r="G31" s="1202"/>
      <c r="H31" s="443" t="s">
        <v>2538</v>
      </c>
      <c r="I31" s="443" t="s">
        <v>2539</v>
      </c>
      <c r="J31" s="443" t="s">
        <v>2539</v>
      </c>
      <c r="K31" s="126"/>
      <c r="L31" s="537"/>
    </row>
    <row r="32" spans="1:12">
      <c r="A32" s="443" t="s">
        <v>2071</v>
      </c>
      <c r="B32" s="443" t="s">
        <v>2538</v>
      </c>
      <c r="C32" s="443" t="s">
        <v>2539</v>
      </c>
      <c r="D32" s="443" t="s">
        <v>2540</v>
      </c>
      <c r="E32" s="441"/>
      <c r="F32" s="1202" t="s">
        <v>2072</v>
      </c>
      <c r="G32" s="1202"/>
      <c r="H32" s="443" t="s">
        <v>2538</v>
      </c>
      <c r="I32" s="443" t="s">
        <v>2539</v>
      </c>
      <c r="J32" s="443" t="s">
        <v>2540</v>
      </c>
      <c r="K32" s="126"/>
      <c r="L32" s="537"/>
    </row>
    <row r="33" spans="3:12">
      <c r="C33" s="40"/>
      <c r="D33" s="40"/>
      <c r="E33" s="40"/>
      <c r="F33" s="40"/>
      <c r="G33" s="40"/>
      <c r="H33" s="40"/>
      <c r="I33" s="40"/>
      <c r="J33" s="194"/>
      <c r="K33" s="126"/>
      <c r="L33" s="537"/>
    </row>
    <row r="34" spans="3:12">
      <c r="C34" s="40"/>
      <c r="D34" s="40"/>
      <c r="E34" s="40"/>
      <c r="F34" s="40"/>
      <c r="G34" s="40"/>
      <c r="H34" s="40"/>
      <c r="I34" s="40"/>
      <c r="J34" s="194"/>
      <c r="K34" s="126"/>
      <c r="L34" s="537"/>
    </row>
    <row r="35" spans="3:12">
      <c r="C35" s="40"/>
      <c r="D35" s="40"/>
      <c r="E35" s="40"/>
      <c r="F35" s="40"/>
      <c r="G35" s="40"/>
      <c r="H35" s="40"/>
      <c r="I35" s="40"/>
      <c r="J35" s="194"/>
      <c r="K35" s="126"/>
      <c r="L35" s="537"/>
    </row>
    <row r="36" spans="3:12">
      <c r="C36" s="40"/>
      <c r="D36" s="40"/>
      <c r="E36" s="40"/>
      <c r="F36" s="40"/>
      <c r="G36" s="40"/>
      <c r="H36" s="40"/>
      <c r="I36" s="40"/>
      <c r="J36" s="194"/>
      <c r="K36" s="126"/>
      <c r="L36" s="537"/>
    </row>
    <row r="37" spans="3:12">
      <c r="C37" s="40"/>
      <c r="D37" s="40"/>
      <c r="E37" s="40"/>
      <c r="F37" s="40"/>
      <c r="G37" s="40"/>
      <c r="H37" s="40"/>
      <c r="I37" s="40"/>
      <c r="J37" s="40"/>
      <c r="K37" s="126"/>
      <c r="L37" s="537"/>
    </row>
    <row r="38" spans="3:12">
      <c r="C38" s="40"/>
      <c r="D38" s="40"/>
      <c r="E38" s="40"/>
      <c r="F38" s="40"/>
      <c r="G38" s="40"/>
      <c r="H38" s="40"/>
      <c r="I38" s="40"/>
      <c r="J38" s="40"/>
      <c r="K38" s="126"/>
      <c r="L38" s="537"/>
    </row>
    <row r="39" spans="3:12">
      <c r="C39" s="40"/>
      <c r="D39" s="40"/>
      <c r="E39" s="40"/>
      <c r="F39" s="40"/>
      <c r="G39" s="40"/>
      <c r="H39" s="40"/>
      <c r="I39" s="40"/>
      <c r="J39" s="194"/>
      <c r="K39" s="126"/>
      <c r="L39" s="537"/>
    </row>
    <row r="40" spans="3:12">
      <c r="C40" s="40"/>
      <c r="D40" s="40"/>
      <c r="E40" s="40"/>
      <c r="F40" s="40"/>
      <c r="G40" s="40"/>
      <c r="H40" s="40"/>
      <c r="I40" s="40"/>
      <c r="J40" s="194"/>
      <c r="K40" s="126"/>
      <c r="L40" s="537"/>
    </row>
    <row r="41" spans="3:12">
      <c r="C41" s="40"/>
      <c r="D41" s="40"/>
      <c r="E41" s="40"/>
      <c r="F41" s="40"/>
      <c r="G41" s="40"/>
      <c r="H41" s="40"/>
      <c r="I41" s="40"/>
      <c r="J41" s="194"/>
      <c r="K41" s="126"/>
      <c r="L41" s="537"/>
    </row>
    <row r="42" spans="3:12">
      <c r="C42" s="40"/>
      <c r="D42" s="40"/>
      <c r="E42" s="40"/>
      <c r="F42" s="40"/>
      <c r="G42" s="40"/>
      <c r="H42" s="40"/>
      <c r="I42" s="40"/>
      <c r="J42" s="194"/>
      <c r="K42" s="126"/>
      <c r="L42" s="537"/>
    </row>
    <row r="43" spans="3:12">
      <c r="C43" s="40"/>
      <c r="D43" s="40"/>
      <c r="E43" s="40"/>
      <c r="F43" s="40"/>
      <c r="G43" s="40"/>
      <c r="H43" s="40"/>
      <c r="I43" s="40"/>
      <c r="J43" s="194"/>
      <c r="K43" s="126"/>
      <c r="L43" s="537"/>
    </row>
    <row r="44" spans="3:12">
      <c r="C44" s="40"/>
      <c r="D44" s="40"/>
      <c r="E44" s="40"/>
      <c r="F44" s="40"/>
      <c r="G44" s="40"/>
      <c r="H44" s="40"/>
      <c r="I44" s="40"/>
      <c r="J44" s="194"/>
      <c r="K44" s="126"/>
      <c r="L44" s="537"/>
    </row>
    <row r="45" spans="3:12">
      <c r="C45" s="40"/>
      <c r="D45" s="40"/>
      <c r="E45" s="40"/>
      <c r="F45" s="40"/>
      <c r="G45" s="40"/>
      <c r="H45" s="40"/>
      <c r="I45" s="40"/>
      <c r="J45" s="40"/>
      <c r="K45" s="126"/>
      <c r="L45" s="537"/>
    </row>
    <row r="46" spans="3:12">
      <c r="C46" s="40"/>
      <c r="D46" s="40"/>
      <c r="E46" s="40"/>
      <c r="F46" s="40"/>
      <c r="G46" s="40"/>
      <c r="H46" s="40"/>
      <c r="I46" s="40"/>
      <c r="J46" s="40"/>
      <c r="K46" s="126"/>
      <c r="L46" s="537"/>
    </row>
    <row r="47" spans="3:12">
      <c r="C47" s="40"/>
      <c r="D47" s="40"/>
      <c r="E47" s="40"/>
      <c r="F47" s="40"/>
      <c r="G47" s="40"/>
      <c r="H47" s="40"/>
      <c r="I47" s="40"/>
      <c r="J47" s="194"/>
      <c r="K47" s="126"/>
      <c r="L47" s="537"/>
    </row>
    <row r="48" spans="3:12">
      <c r="C48" s="40"/>
      <c r="D48" s="40"/>
      <c r="E48" s="40"/>
      <c r="F48" s="40"/>
      <c r="G48" s="40"/>
      <c r="H48" s="40"/>
      <c r="I48" s="40"/>
      <c r="J48" s="194"/>
      <c r="K48" s="126"/>
      <c r="L48" s="537"/>
    </row>
    <row r="49" spans="3:12">
      <c r="C49" s="40"/>
      <c r="D49" s="40"/>
      <c r="E49" s="40"/>
      <c r="F49" s="40"/>
      <c r="G49" s="40"/>
      <c r="H49" s="40"/>
      <c r="I49" s="40"/>
      <c r="J49" s="194"/>
      <c r="K49" s="126"/>
      <c r="L49" s="537"/>
    </row>
    <row r="50" spans="3:12">
      <c r="C50" s="40"/>
      <c r="D50" s="40"/>
      <c r="E50" s="40"/>
      <c r="F50" s="40"/>
      <c r="G50" s="40"/>
      <c r="H50" s="40"/>
      <c r="I50" s="40"/>
      <c r="J50" s="194"/>
      <c r="K50" s="126"/>
      <c r="L50" s="537"/>
    </row>
    <row r="51" spans="3:12">
      <c r="C51" s="40"/>
      <c r="D51" s="40"/>
      <c r="E51" s="40"/>
      <c r="F51" s="40"/>
      <c r="G51" s="40"/>
      <c r="H51" s="40"/>
      <c r="I51" s="40"/>
      <c r="J51" s="194"/>
      <c r="K51" s="126"/>
      <c r="L51" s="537"/>
    </row>
    <row r="52" spans="3:12">
      <c r="C52" s="40"/>
      <c r="D52" s="40"/>
      <c r="E52" s="40"/>
      <c r="F52" s="40"/>
      <c r="G52" s="40"/>
      <c r="H52" s="40"/>
      <c r="I52" s="40"/>
      <c r="J52" s="194"/>
      <c r="K52" s="126"/>
      <c r="L52" s="537"/>
    </row>
    <row r="53" spans="3:12">
      <c r="C53" s="40"/>
      <c r="D53" s="40"/>
      <c r="E53" s="40"/>
      <c r="F53" s="40"/>
      <c r="G53" s="40"/>
      <c r="H53" s="40"/>
      <c r="I53" s="40"/>
      <c r="J53" s="40"/>
      <c r="K53" s="126"/>
      <c r="L53" s="537"/>
    </row>
    <row r="54" spans="3:12">
      <c r="C54" s="40"/>
      <c r="D54" s="40"/>
      <c r="E54" s="40"/>
      <c r="F54" s="40"/>
      <c r="G54" s="40"/>
      <c r="H54" s="40"/>
      <c r="I54" s="40"/>
      <c r="J54" s="40"/>
      <c r="K54" s="126"/>
      <c r="L54" s="537"/>
    </row>
    <row r="55" spans="3:12">
      <c r="C55" s="40"/>
      <c r="D55" s="40"/>
      <c r="E55" s="40"/>
      <c r="F55" s="40"/>
      <c r="G55" s="40"/>
      <c r="H55" s="40"/>
      <c r="I55" s="40"/>
      <c r="J55" s="194"/>
      <c r="K55" s="126"/>
      <c r="L55" s="537"/>
    </row>
    <row r="56" spans="3:12">
      <c r="C56" s="40"/>
      <c r="D56" s="40"/>
      <c r="E56" s="40"/>
      <c r="F56" s="40"/>
      <c r="G56" s="40"/>
      <c r="H56" s="40"/>
      <c r="I56" s="40"/>
      <c r="J56" s="194"/>
      <c r="K56" s="126"/>
      <c r="L56" s="537"/>
    </row>
    <row r="57" spans="3:12">
      <c r="C57" s="40"/>
      <c r="D57" s="40"/>
      <c r="E57" s="40"/>
      <c r="F57" s="40"/>
      <c r="G57" s="40"/>
      <c r="H57" s="40"/>
      <c r="I57" s="40"/>
      <c r="J57" s="194"/>
      <c r="K57" s="126"/>
      <c r="L57" s="537"/>
    </row>
    <row r="58" spans="3:12">
      <c r="C58" s="40"/>
      <c r="D58" s="40"/>
      <c r="E58" s="40"/>
      <c r="F58" s="40"/>
      <c r="G58" s="40"/>
      <c r="H58" s="40"/>
      <c r="I58" s="40"/>
      <c r="J58" s="194"/>
      <c r="K58" s="126"/>
      <c r="L58" s="537"/>
    </row>
    <row r="59" spans="3:12">
      <c r="C59" s="40"/>
      <c r="D59" s="40"/>
      <c r="E59" s="40"/>
      <c r="F59" s="40"/>
      <c r="G59" s="40"/>
      <c r="H59" s="40"/>
      <c r="I59" s="40"/>
      <c r="J59" s="194"/>
      <c r="K59" s="126"/>
      <c r="L59" s="537"/>
    </row>
    <row r="60" spans="3:12">
      <c r="C60" s="40"/>
      <c r="D60" s="40"/>
      <c r="E60" s="40"/>
      <c r="F60" s="40"/>
      <c r="G60" s="40"/>
      <c r="H60" s="40"/>
      <c r="I60" s="40"/>
      <c r="J60" s="194"/>
      <c r="K60" s="126"/>
      <c r="L60" s="537"/>
    </row>
    <row r="61" spans="3:12">
      <c r="C61" s="40"/>
      <c r="D61" s="40"/>
      <c r="E61" s="40"/>
      <c r="F61" s="40"/>
      <c r="G61" s="40"/>
      <c r="H61" s="40"/>
      <c r="I61" s="40"/>
      <c r="J61" s="40"/>
      <c r="K61" s="126"/>
      <c r="L61" s="537"/>
    </row>
    <row r="62" spans="3:12">
      <c r="C62" s="40"/>
      <c r="D62" s="40"/>
      <c r="E62" s="40"/>
      <c r="F62" s="40"/>
      <c r="G62" s="40"/>
      <c r="H62" s="40"/>
      <c r="I62" s="40"/>
      <c r="J62" s="40"/>
      <c r="K62" s="126"/>
      <c r="L62" s="537"/>
    </row>
    <row r="63" spans="3:12">
      <c r="C63" s="40"/>
      <c r="D63" s="40"/>
      <c r="E63" s="40"/>
      <c r="F63" s="40"/>
      <c r="G63" s="40"/>
      <c r="H63" s="40"/>
      <c r="I63" s="40"/>
      <c r="J63" s="194"/>
      <c r="K63" s="126"/>
      <c r="L63" s="537"/>
    </row>
    <row r="64" spans="3:12">
      <c r="C64" s="40"/>
      <c r="D64" s="40"/>
      <c r="E64" s="40"/>
      <c r="F64" s="40"/>
      <c r="G64" s="40"/>
      <c r="H64" s="40"/>
      <c r="I64" s="40"/>
      <c r="J64" s="194"/>
      <c r="K64" s="126"/>
      <c r="L64" s="537"/>
    </row>
    <row r="65" spans="3:12">
      <c r="C65" s="40"/>
      <c r="D65" s="40"/>
      <c r="E65" s="40"/>
      <c r="F65" s="40"/>
      <c r="G65" s="40"/>
      <c r="H65" s="40"/>
      <c r="I65" s="40"/>
      <c r="J65" s="194"/>
      <c r="K65" s="126"/>
      <c r="L65" s="537"/>
    </row>
    <row r="66" spans="3:12">
      <c r="C66" s="40"/>
      <c r="D66" s="40"/>
      <c r="E66" s="40"/>
      <c r="F66" s="40"/>
      <c r="G66" s="40"/>
      <c r="H66" s="40"/>
      <c r="I66" s="40"/>
      <c r="J66" s="194"/>
      <c r="K66" s="126"/>
      <c r="L66" s="537"/>
    </row>
    <row r="67" spans="3:12">
      <c r="C67" s="40"/>
      <c r="D67" s="40"/>
      <c r="E67" s="40"/>
      <c r="F67" s="40"/>
      <c r="G67" s="40"/>
      <c r="H67" s="40"/>
      <c r="I67" s="40"/>
      <c r="J67" s="194"/>
      <c r="K67" s="126"/>
      <c r="L67" s="537"/>
    </row>
    <row r="68" spans="3:12">
      <c r="C68" s="40"/>
      <c r="D68" s="40"/>
      <c r="E68" s="40"/>
      <c r="F68" s="40"/>
      <c r="G68" s="40"/>
      <c r="H68" s="40"/>
      <c r="I68" s="40"/>
      <c r="J68" s="194"/>
      <c r="K68" s="126"/>
      <c r="L68" s="537"/>
    </row>
    <row r="69" spans="3:12">
      <c r="C69" s="40"/>
      <c r="D69" s="40"/>
      <c r="E69" s="40"/>
      <c r="F69" s="40"/>
      <c r="G69" s="40"/>
      <c r="H69" s="40"/>
      <c r="I69" s="40"/>
      <c r="J69" s="40"/>
      <c r="K69" s="126"/>
      <c r="L69" s="537"/>
    </row>
    <row r="70" spans="3:12">
      <c r="C70" s="40"/>
      <c r="D70" s="40"/>
      <c r="E70" s="40"/>
      <c r="F70" s="40"/>
      <c r="G70" s="40"/>
      <c r="H70" s="40"/>
      <c r="I70" s="40"/>
      <c r="J70" s="40"/>
      <c r="K70" s="126"/>
      <c r="L70" s="537"/>
    </row>
    <row r="71" spans="3:12">
      <c r="C71" s="40"/>
      <c r="D71" s="40"/>
      <c r="E71" s="40"/>
      <c r="F71" s="40"/>
      <c r="G71" s="40"/>
      <c r="H71" s="40"/>
      <c r="I71" s="40"/>
      <c r="J71" s="194"/>
      <c r="K71" s="126"/>
      <c r="L71" s="537"/>
    </row>
    <row r="72" spans="3:12">
      <c r="C72" s="40"/>
      <c r="D72" s="40"/>
      <c r="E72" s="40"/>
      <c r="F72" s="40"/>
      <c r="G72" s="40"/>
      <c r="H72" s="40"/>
      <c r="I72" s="40"/>
      <c r="J72" s="194"/>
      <c r="K72" s="126"/>
      <c r="L72" s="537"/>
    </row>
    <row r="73" spans="3:12">
      <c r="C73" s="40"/>
      <c r="D73" s="40"/>
      <c r="E73" s="40"/>
      <c r="F73" s="40"/>
      <c r="G73" s="40"/>
      <c r="H73" s="40"/>
      <c r="I73" s="40"/>
      <c r="J73" s="194"/>
      <c r="K73" s="126"/>
      <c r="L73" s="537"/>
    </row>
    <row r="74" spans="3:12">
      <c r="C74" s="40"/>
      <c r="D74" s="40"/>
      <c r="E74" s="40"/>
      <c r="F74" s="40"/>
      <c r="G74" s="40"/>
      <c r="H74" s="40"/>
      <c r="I74" s="40"/>
      <c r="J74" s="194"/>
      <c r="K74" s="126"/>
      <c r="L74" s="537"/>
    </row>
    <row r="75" spans="3:12">
      <c r="C75" s="40"/>
      <c r="D75" s="40"/>
      <c r="E75" s="40"/>
      <c r="F75" s="40"/>
      <c r="G75" s="40"/>
      <c r="H75" s="40"/>
      <c r="I75" s="40"/>
      <c r="J75" s="194"/>
      <c r="K75" s="126"/>
      <c r="L75" s="537"/>
    </row>
    <row r="76" spans="3:12">
      <c r="C76" s="40"/>
      <c r="D76" s="40"/>
      <c r="E76" s="40"/>
      <c r="F76" s="40"/>
      <c r="G76" s="40"/>
      <c r="H76" s="40"/>
      <c r="I76" s="40"/>
      <c r="J76" s="194"/>
      <c r="K76" s="126"/>
      <c r="L76" s="537"/>
    </row>
    <row r="77" spans="3:12">
      <c r="C77" s="40"/>
      <c r="D77" s="40"/>
      <c r="E77" s="40"/>
      <c r="K77" s="98"/>
    </row>
    <row r="78" spans="3:12">
      <c r="C78" s="40"/>
      <c r="D78" s="40"/>
      <c r="E78" s="40"/>
      <c r="K78" s="98"/>
    </row>
    <row r="79" spans="3:12">
      <c r="C79" s="40"/>
      <c r="D79" s="40"/>
      <c r="E79" s="40"/>
      <c r="K79" s="98"/>
    </row>
    <row r="80" spans="3:12">
      <c r="C80" s="40"/>
      <c r="D80" s="40"/>
      <c r="E80" s="40"/>
    </row>
  </sheetData>
  <sheetProtection password="CB72" sheet="1" objects="1" scenarios="1"/>
  <mergeCells count="25">
    <mergeCell ref="F31:G31"/>
    <mergeCell ref="F32:G32"/>
    <mergeCell ref="A25:I26"/>
    <mergeCell ref="A28:A29"/>
    <mergeCell ref="A9:A12"/>
    <mergeCell ref="B28:D28"/>
    <mergeCell ref="F28:G29"/>
    <mergeCell ref="H28:J28"/>
    <mergeCell ref="A13:A16"/>
    <mergeCell ref="A17:A20"/>
    <mergeCell ref="F30:G30"/>
    <mergeCell ref="A21:B21"/>
    <mergeCell ref="J3:J8"/>
    <mergeCell ref="E4:F5"/>
    <mergeCell ref="G4:H5"/>
    <mergeCell ref="I4:I8"/>
    <mergeCell ref="E6:E8"/>
    <mergeCell ref="G6:G8"/>
    <mergeCell ref="H6:H8"/>
    <mergeCell ref="A3:A8"/>
    <mergeCell ref="B3:B8"/>
    <mergeCell ref="C3:C8"/>
    <mergeCell ref="D3:D8"/>
    <mergeCell ref="F6:F8"/>
    <mergeCell ref="E3:I3"/>
  </mergeCells>
  <conditionalFormatting sqref="C9:D11 C13:D15 C17:D17">
    <cfRule type="expression" dxfId="28" priority="6" stopIfTrue="1">
      <formula>AND(#REF!&gt;0,C9=0)</formula>
    </cfRule>
  </conditionalFormatting>
  <conditionalFormatting sqref="C12:I12 C16:I16 C20:D20 E20:I21">
    <cfRule type="expression" dxfId="27" priority="5" stopIfTrue="1">
      <formula>#REF!=1</formula>
    </cfRule>
  </conditionalFormatting>
  <conditionalFormatting sqref="I12 I16 I20">
    <cfRule type="expression" dxfId="26" priority="4" stopIfTrue="1">
      <formula>OR(#REF!=1,#REF!=1)</formula>
    </cfRule>
  </conditionalFormatting>
  <conditionalFormatting sqref="C9:D11">
    <cfRule type="expression" dxfId="25" priority="3" stopIfTrue="1">
      <formula>AND($R9&gt;0,C9=0)</formula>
    </cfRule>
  </conditionalFormatting>
  <conditionalFormatting sqref="C13:D15">
    <cfRule type="expression" dxfId="24" priority="2" stopIfTrue="1">
      <formula>AND($R13&gt;0,C13=0)</formula>
    </cfRule>
  </conditionalFormatting>
  <conditionalFormatting sqref="C17:D17">
    <cfRule type="expression" dxfId="23" priority="1" stopIfTrue="1">
      <formula>AND($R17&gt;0,C17=0)</formula>
    </cfRule>
  </conditionalFormatting>
  <pageMargins left="0.98425196850393704" right="0.43307086614173229" top="0.41" bottom="0.6692913385826772" header="0.31" footer="0.51181102362204722"/>
  <pageSetup paperSize="9" orientation="landscape" r:id="rId1"/>
  <headerFooter alignWithMargins="0">
    <oddFooter>&amp;L&amp;8Druck: &amp;D, &amp;T&amp;R&amp;8VAF-Periode 2015-2018</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tabColor theme="3" tint="0.59999389629810485"/>
  </sheetPr>
  <dimension ref="A1:DQ304"/>
  <sheetViews>
    <sheetView showGridLines="0" zoomScaleNormal="100" workbookViewId="0">
      <selection activeCell="B22" sqref="B22"/>
    </sheetView>
  </sheetViews>
  <sheetFormatPr baseColWidth="10" defaultColWidth="10.6640625" defaultRowHeight="12.75"/>
  <cols>
    <col min="1" max="1" width="19.5546875" style="1" customWidth="1"/>
    <col min="2" max="7" width="9.5546875" style="1" customWidth="1"/>
    <col min="8" max="9" width="10.6640625" style="1" customWidth="1"/>
    <col min="10" max="10" width="10.6640625" style="1" hidden="1" customWidth="1"/>
    <col min="11" max="11" width="13.109375" style="1" hidden="1" customWidth="1"/>
    <col min="12" max="17" width="10.6640625" style="1" hidden="1" customWidth="1"/>
    <col min="18" max="16384" width="10.6640625" style="1"/>
  </cols>
  <sheetData>
    <row r="1" spans="1:121" s="12" customFormat="1" ht="15.75">
      <c r="A1" s="25"/>
      <c r="B1" s="26"/>
      <c r="C1" s="26"/>
      <c r="D1" s="26"/>
      <c r="E1" s="26"/>
      <c r="F1" s="633" t="s">
        <v>2483</v>
      </c>
      <c r="G1" s="109">
        <f>'Organisationsdaten (Basisinfo)'!H1</f>
        <v>3158</v>
      </c>
      <c r="H1" s="282" t="s">
        <v>439</v>
      </c>
      <c r="I1" s="280">
        <f>'Organisationsdaten (Basisinfo)'!K1</f>
        <v>5</v>
      </c>
    </row>
    <row r="2" spans="1:121" s="12" customFormat="1" ht="15.75">
      <c r="A2" s="25" t="s">
        <v>2497</v>
      </c>
      <c r="B2" s="26"/>
      <c r="C2" s="26"/>
      <c r="D2" s="26"/>
      <c r="E2" s="26"/>
      <c r="F2" s="26"/>
      <c r="G2" s="110">
        <f>'Organisationsdaten (Basisinfo)'!D1</f>
        <v>2017</v>
      </c>
    </row>
    <row r="3" spans="1:121" s="5" customFormat="1" ht="13.5" thickBot="1">
      <c r="A3" s="1118" t="s">
        <v>2498</v>
      </c>
      <c r="B3" s="1118"/>
      <c r="C3" s="1118"/>
      <c r="D3" s="106"/>
      <c r="E3" s="106"/>
      <c r="F3" s="106"/>
      <c r="G3" s="106"/>
    </row>
    <row r="4" spans="1:121" s="5" customFormat="1" ht="15" customHeight="1">
      <c r="A4" s="6"/>
      <c r="B4" s="1119" t="s">
        <v>2492</v>
      </c>
      <c r="C4" s="1120"/>
      <c r="D4" s="1121" t="s">
        <v>2493</v>
      </c>
      <c r="E4" s="1122"/>
      <c r="F4" s="1119" t="s">
        <v>2494</v>
      </c>
      <c r="G4" s="1130"/>
    </row>
    <row r="5" spans="1:121" s="5" customFormat="1" ht="21.75" customHeight="1">
      <c r="A5" s="14"/>
      <c r="B5" s="1132" t="s">
        <v>2495</v>
      </c>
      <c r="C5" s="1132" t="s">
        <v>2496</v>
      </c>
      <c r="D5" s="428" t="s">
        <v>172</v>
      </c>
      <c r="E5" s="428" t="s">
        <v>172</v>
      </c>
      <c r="F5" s="1132" t="s">
        <v>2495</v>
      </c>
      <c r="G5" s="1115" t="s">
        <v>2496</v>
      </c>
    </row>
    <row r="6" spans="1:121" ht="21.75" customHeight="1" thickBot="1">
      <c r="A6" s="14"/>
      <c r="B6" s="1133"/>
      <c r="C6" s="1133"/>
      <c r="D6" s="429" t="s">
        <v>172</v>
      </c>
      <c r="E6" s="429" t="s">
        <v>172</v>
      </c>
      <c r="F6" s="1133"/>
      <c r="G6" s="1116"/>
    </row>
    <row r="7" spans="1:121" ht="38.25">
      <c r="A7" s="85" t="s">
        <v>2501</v>
      </c>
      <c r="B7" s="67">
        <v>10</v>
      </c>
      <c r="C7" s="67"/>
      <c r="D7" s="430"/>
      <c r="E7" s="430"/>
      <c r="F7" s="67"/>
      <c r="G7" s="86"/>
    </row>
    <row r="8" spans="1:121">
      <c r="A8" s="41" t="s">
        <v>2502</v>
      </c>
      <c r="B8" s="64"/>
      <c r="C8" s="64"/>
      <c r="D8" s="428"/>
      <c r="E8" s="428"/>
      <c r="F8" s="64"/>
      <c r="G8" s="63"/>
    </row>
    <row r="9" spans="1:121">
      <c r="A9" s="41" t="s">
        <v>2466</v>
      </c>
      <c r="B9" s="64">
        <v>328</v>
      </c>
      <c r="C9" s="64"/>
      <c r="D9" s="428"/>
      <c r="E9" s="428"/>
      <c r="F9" s="64"/>
      <c r="G9" s="63"/>
      <c r="H9" s="1131" t="str">
        <f>IF(M23&lt;&gt;0,"Die blaue Markierung verschwindet, sobald die Angaben für diese Leistung sowohl in der Kostenrechnung als auch in der Leistungs-statistik vorhanden sind.","")</f>
        <v/>
      </c>
      <c r="I9" s="1131"/>
    </row>
    <row r="10" spans="1:121" ht="25.5">
      <c r="A10" s="41" t="s">
        <v>2467</v>
      </c>
      <c r="B10" s="64"/>
      <c r="C10" s="64"/>
      <c r="D10" s="428"/>
      <c r="E10" s="428"/>
      <c r="F10" s="64"/>
      <c r="G10" s="63"/>
      <c r="H10" s="1131"/>
      <c r="I10" s="1131"/>
    </row>
    <row r="11" spans="1:121" ht="14.1" customHeight="1">
      <c r="A11" s="41" t="s">
        <v>2468</v>
      </c>
      <c r="B11" s="64"/>
      <c r="C11" s="64"/>
      <c r="D11" s="428"/>
      <c r="E11" s="428"/>
      <c r="F11" s="64"/>
      <c r="G11" s="63"/>
      <c r="H11" s="1131"/>
      <c r="I11" s="1131"/>
    </row>
    <row r="12" spans="1:121" ht="14.1" customHeight="1">
      <c r="A12" s="41" t="s">
        <v>2469</v>
      </c>
      <c r="B12" s="64"/>
      <c r="C12" s="64"/>
      <c r="D12" s="428"/>
      <c r="E12" s="428"/>
      <c r="F12" s="64"/>
      <c r="G12" s="63"/>
      <c r="H12" s="1131"/>
      <c r="I12" s="1131"/>
    </row>
    <row r="13" spans="1:121" ht="14.1" customHeight="1">
      <c r="A13" s="41" t="s">
        <v>2470</v>
      </c>
      <c r="B13" s="64"/>
      <c r="C13" s="64"/>
      <c r="D13" s="428"/>
      <c r="E13" s="428"/>
      <c r="F13" s="64"/>
      <c r="G13" s="63"/>
      <c r="H13" s="1131"/>
      <c r="I13" s="1131"/>
    </row>
    <row r="14" spans="1:121" ht="25.5">
      <c r="A14" s="41" t="s">
        <v>2471</v>
      </c>
      <c r="B14" s="64"/>
      <c r="C14" s="64"/>
      <c r="D14" s="428"/>
      <c r="E14" s="428"/>
      <c r="F14" s="64"/>
      <c r="G14" s="63"/>
      <c r="H14" s="1131"/>
      <c r="I14" s="1131"/>
    </row>
    <row r="15" spans="1:121">
      <c r="A15" s="87" t="s">
        <v>1530</v>
      </c>
      <c r="B15" s="122">
        <f t="shared" ref="B15:G15" si="0">SUM(B7:B14)</f>
        <v>338</v>
      </c>
      <c r="C15" s="122">
        <f t="shared" si="0"/>
        <v>0</v>
      </c>
      <c r="D15" s="428" t="s">
        <v>172</v>
      </c>
      <c r="E15" s="428" t="s">
        <v>172</v>
      </c>
      <c r="F15" s="122">
        <f t="shared" si="0"/>
        <v>0</v>
      </c>
      <c r="G15" s="123">
        <f t="shared" si="0"/>
        <v>0</v>
      </c>
      <c r="H15" s="1131"/>
      <c r="I15" s="1131"/>
      <c r="J15" s="1077" t="s">
        <v>136</v>
      </c>
      <c r="K15" s="1077"/>
      <c r="L15" s="1077"/>
      <c r="M15" s="1077"/>
      <c r="N15" s="1077"/>
      <c r="O15" s="1077"/>
      <c r="P15" s="1077"/>
    </row>
    <row r="16" spans="1:121" s="8" customFormat="1" ht="13.5" thickBot="1">
      <c r="A16" s="71" t="s">
        <v>2503</v>
      </c>
      <c r="B16" s="88">
        <v>319</v>
      </c>
      <c r="C16" s="88"/>
      <c r="D16" s="431"/>
      <c r="E16" s="431"/>
      <c r="F16" s="88"/>
      <c r="G16" s="89"/>
      <c r="H16" s="1131"/>
      <c r="I16" s="1131"/>
      <c r="J16" s="1077" t="s">
        <v>1534</v>
      </c>
      <c r="K16" s="1077"/>
      <c r="L16" s="1077" t="s">
        <v>171</v>
      </c>
      <c r="M16" s="1077"/>
      <c r="N16" s="1077" t="s">
        <v>140</v>
      </c>
      <c r="O16" s="1077"/>
      <c r="P16" s="1077" t="s">
        <v>143</v>
      </c>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row>
    <row r="17" spans="1:16" s="7" customFormat="1">
      <c r="A17" s="90" t="s">
        <v>1741</v>
      </c>
      <c r="B17" s="67"/>
      <c r="C17" s="67"/>
      <c r="D17" s="430"/>
      <c r="E17" s="430"/>
      <c r="F17" s="67"/>
      <c r="G17" s="86"/>
      <c r="H17" s="1131"/>
      <c r="I17" s="1131"/>
      <c r="J17" s="189" t="s">
        <v>1529</v>
      </c>
      <c r="K17" s="189" t="s">
        <v>173</v>
      </c>
      <c r="L17" s="189" t="s">
        <v>1529</v>
      </c>
      <c r="M17" s="189" t="s">
        <v>173</v>
      </c>
      <c r="N17" s="189" t="s">
        <v>1529</v>
      </c>
      <c r="O17" s="189" t="s">
        <v>173</v>
      </c>
      <c r="P17" s="1077"/>
    </row>
    <row r="18" spans="1:16" s="7" customFormat="1">
      <c r="A18" s="66" t="s">
        <v>1742</v>
      </c>
      <c r="B18" s="64"/>
      <c r="C18" s="64"/>
      <c r="D18" s="428"/>
      <c r="E18" s="428"/>
      <c r="F18" s="64"/>
      <c r="G18" s="63"/>
      <c r="H18" s="1131"/>
      <c r="I18" s="1131"/>
      <c r="J18" s="36">
        <f t="shared" ref="J18:O18" si="1">B15-B44</f>
        <v>0</v>
      </c>
      <c r="K18" s="36">
        <f t="shared" si="1"/>
        <v>0</v>
      </c>
      <c r="L18" s="36">
        <v>0</v>
      </c>
      <c r="M18" s="36">
        <v>0</v>
      </c>
      <c r="N18" s="36">
        <f t="shared" si="1"/>
        <v>0</v>
      </c>
      <c r="O18" s="36">
        <f t="shared" si="1"/>
        <v>0</v>
      </c>
      <c r="P18" s="36">
        <f>SUM(COUNTIF(J18:O18,"&lt;&gt;0"))</f>
        <v>0</v>
      </c>
    </row>
    <row r="19" spans="1:16" s="7" customFormat="1" ht="12.75" customHeight="1">
      <c r="A19" s="66" t="s">
        <v>1743</v>
      </c>
      <c r="B19" s="64"/>
      <c r="C19" s="64"/>
      <c r="D19" s="428"/>
      <c r="E19" s="428"/>
      <c r="F19" s="64"/>
      <c r="G19" s="63"/>
      <c r="H19" s="99"/>
      <c r="I19" s="99"/>
      <c r="J19" s="1129" t="s">
        <v>149</v>
      </c>
      <c r="K19" s="1129"/>
      <c r="L19" s="1129"/>
      <c r="M19" s="1129"/>
    </row>
    <row r="20" spans="1:16" s="7" customFormat="1" ht="12.75" customHeight="1">
      <c r="A20" s="66" t="s">
        <v>1744</v>
      </c>
      <c r="B20" s="64"/>
      <c r="C20" s="64"/>
      <c r="D20" s="428"/>
      <c r="E20" s="428"/>
      <c r="F20" s="64"/>
      <c r="G20" s="63"/>
      <c r="H20" s="1128" t="str">
        <f>IF(P18&lt;&gt;0,"Die rote Markierung verschwindet, sobald die Totale übereinstimmen.","")</f>
        <v/>
      </c>
      <c r="I20" s="1128"/>
      <c r="J20" s="1" t="s">
        <v>153</v>
      </c>
      <c r="K20" s="1" t="s">
        <v>154</v>
      </c>
      <c r="L20" s="1" t="s">
        <v>155</v>
      </c>
      <c r="M20" s="1" t="s">
        <v>143</v>
      </c>
    </row>
    <row r="21" spans="1:16" s="7" customFormat="1" ht="12.75" customHeight="1">
      <c r="A21" s="66" t="s">
        <v>1745</v>
      </c>
      <c r="B21" s="64"/>
      <c r="C21" s="64"/>
      <c r="D21" s="428"/>
      <c r="E21" s="428"/>
      <c r="F21" s="64"/>
      <c r="G21" s="63"/>
      <c r="H21" s="1128"/>
      <c r="I21" s="1128"/>
      <c r="J21" s="33">
        <f>'Kostenrechnung konsolidiert'!O18</f>
        <v>647425.60151753318</v>
      </c>
      <c r="K21" s="33">
        <f>'Kostenrechnung konsolidiert'!P18</f>
        <v>105301.1771144589</v>
      </c>
      <c r="L21" s="33">
        <f>'Kostenrechnung konsolidiert'!Q18</f>
        <v>0</v>
      </c>
      <c r="M21" s="1"/>
    </row>
    <row r="22" spans="1:16" s="7" customFormat="1" ht="12.75" customHeight="1">
      <c r="A22" s="66" t="s">
        <v>1746</v>
      </c>
      <c r="B22" s="64"/>
      <c r="C22" s="64"/>
      <c r="D22" s="428"/>
      <c r="E22" s="428"/>
      <c r="F22" s="64"/>
      <c r="G22" s="63"/>
      <c r="H22" s="1128"/>
      <c r="I22" s="1128"/>
      <c r="J22" s="33">
        <f>B15+C15</f>
        <v>338</v>
      </c>
      <c r="K22" s="33">
        <v>0</v>
      </c>
      <c r="L22" s="33">
        <f>F15+G15</f>
        <v>0</v>
      </c>
      <c r="M22" s="1"/>
    </row>
    <row r="23" spans="1:16" s="7" customFormat="1" ht="12.75" customHeight="1">
      <c r="A23" s="66" t="s">
        <v>1747</v>
      </c>
      <c r="B23" s="64"/>
      <c r="C23" s="64"/>
      <c r="D23" s="428"/>
      <c r="E23" s="428"/>
      <c r="F23" s="64"/>
      <c r="G23" s="63"/>
      <c r="H23" s="1128"/>
      <c r="I23" s="1128"/>
      <c r="J23" s="1">
        <f>COUNTIF(J21:J22,"&gt;0")</f>
        <v>2</v>
      </c>
      <c r="K23" s="1">
        <v>0</v>
      </c>
      <c r="L23" s="1">
        <f>COUNTIF(L21:L22,"&gt;0")</f>
        <v>0</v>
      </c>
      <c r="M23" s="1">
        <f>COUNTIF(J23:L23,1)</f>
        <v>0</v>
      </c>
    </row>
    <row r="24" spans="1:16" s="7" customFormat="1" ht="12.75" customHeight="1">
      <c r="A24" s="66" t="s">
        <v>1748</v>
      </c>
      <c r="B24" s="64"/>
      <c r="C24" s="64"/>
      <c r="D24" s="428"/>
      <c r="E24" s="428"/>
      <c r="F24" s="64"/>
      <c r="G24" s="63"/>
      <c r="H24" s="1128"/>
      <c r="I24" s="1128"/>
    </row>
    <row r="25" spans="1:16" s="7" customFormat="1" ht="12.75" customHeight="1">
      <c r="A25" s="66" t="s">
        <v>1749</v>
      </c>
      <c r="B25" s="64"/>
      <c r="C25" s="64"/>
      <c r="D25" s="428"/>
      <c r="E25" s="428"/>
      <c r="F25" s="64"/>
      <c r="G25" s="63"/>
      <c r="H25" s="1128"/>
      <c r="I25" s="1128"/>
    </row>
    <row r="26" spans="1:16" s="7" customFormat="1" ht="12.75" customHeight="1">
      <c r="A26" s="66" t="s">
        <v>1750</v>
      </c>
      <c r="B26" s="64"/>
      <c r="C26" s="64"/>
      <c r="D26" s="428"/>
      <c r="E26" s="428"/>
      <c r="F26" s="64"/>
      <c r="G26" s="63"/>
      <c r="H26" s="1128"/>
      <c r="I26" s="1128"/>
    </row>
    <row r="27" spans="1:16" s="7" customFormat="1" ht="12.75" customHeight="1">
      <c r="A27" s="66" t="s">
        <v>1751</v>
      </c>
      <c r="B27" s="64"/>
      <c r="C27" s="64"/>
      <c r="D27" s="428"/>
      <c r="E27" s="428"/>
      <c r="F27" s="64"/>
      <c r="G27" s="63"/>
      <c r="H27" s="1128"/>
      <c r="I27" s="1128"/>
    </row>
    <row r="28" spans="1:16" s="7" customFormat="1" ht="12.75" customHeight="1">
      <c r="A28" s="66" t="s">
        <v>1752</v>
      </c>
      <c r="B28" s="64"/>
      <c r="C28" s="64"/>
      <c r="D28" s="428"/>
      <c r="E28" s="428"/>
      <c r="F28" s="64"/>
      <c r="G28" s="63"/>
      <c r="H28" s="1"/>
    </row>
    <row r="29" spans="1:16" s="7" customFormat="1" ht="12.75" customHeight="1">
      <c r="A29" s="66" t="s">
        <v>1753</v>
      </c>
      <c r="B29" s="64"/>
      <c r="C29" s="64"/>
      <c r="D29" s="428"/>
      <c r="E29" s="428"/>
      <c r="F29" s="64"/>
      <c r="G29" s="63"/>
      <c r="H29" s="1"/>
    </row>
    <row r="30" spans="1:16" s="7" customFormat="1" ht="12.75" customHeight="1">
      <c r="A30" s="66" t="s">
        <v>1754</v>
      </c>
      <c r="B30" s="64"/>
      <c r="C30" s="64"/>
      <c r="D30" s="428"/>
      <c r="E30" s="428"/>
      <c r="F30" s="64"/>
      <c r="G30" s="63"/>
      <c r="H30" s="1"/>
    </row>
    <row r="31" spans="1:16" s="7" customFormat="1" ht="12.75" customHeight="1">
      <c r="A31" s="66" t="s">
        <v>1755</v>
      </c>
      <c r="B31" s="64"/>
      <c r="C31" s="64"/>
      <c r="D31" s="428"/>
      <c r="E31" s="428"/>
      <c r="F31" s="64"/>
      <c r="G31" s="63"/>
      <c r="H31" s="1"/>
    </row>
    <row r="32" spans="1:16" s="7" customFormat="1" ht="12.75" customHeight="1">
      <c r="A32" s="66" t="s">
        <v>1756</v>
      </c>
      <c r="B32" s="64"/>
      <c r="C32" s="64"/>
      <c r="D32" s="428"/>
      <c r="E32" s="428"/>
      <c r="F32" s="64"/>
      <c r="G32" s="63"/>
      <c r="H32" s="1"/>
    </row>
    <row r="33" spans="1:8" s="7" customFormat="1" ht="12.75" customHeight="1">
      <c r="A33" s="66" t="s">
        <v>1757</v>
      </c>
      <c r="B33" s="64"/>
      <c r="C33" s="64"/>
      <c r="D33" s="428"/>
      <c r="E33" s="428"/>
      <c r="F33" s="64"/>
      <c r="G33" s="63"/>
      <c r="H33" s="1"/>
    </row>
    <row r="34" spans="1:8" s="7" customFormat="1" ht="12.75" customHeight="1">
      <c r="A34" s="66" t="s">
        <v>1758</v>
      </c>
      <c r="B34" s="64"/>
      <c r="C34" s="64"/>
      <c r="D34" s="428"/>
      <c r="E34" s="428"/>
      <c r="F34" s="64"/>
      <c r="G34" s="63"/>
      <c r="H34" s="1"/>
    </row>
    <row r="35" spans="1:8" s="7" customFormat="1" ht="12.75" customHeight="1">
      <c r="A35" s="66" t="s">
        <v>1759</v>
      </c>
      <c r="B35" s="64"/>
      <c r="C35" s="64"/>
      <c r="D35" s="428"/>
      <c r="E35" s="428"/>
      <c r="F35" s="64"/>
      <c r="G35" s="63"/>
      <c r="H35" s="1"/>
    </row>
    <row r="36" spans="1:8" s="7" customFormat="1" ht="12.75" customHeight="1">
      <c r="A36" s="66" t="s">
        <v>1760</v>
      </c>
      <c r="B36" s="64"/>
      <c r="C36" s="64"/>
      <c r="D36" s="428"/>
      <c r="E36" s="428"/>
      <c r="F36" s="64"/>
      <c r="G36" s="63"/>
      <c r="H36" s="1"/>
    </row>
    <row r="37" spans="1:8" s="7" customFormat="1" ht="12.75" customHeight="1">
      <c r="A37" s="66" t="s">
        <v>1761</v>
      </c>
      <c r="B37" s="64"/>
      <c r="C37" s="64"/>
      <c r="D37" s="428"/>
      <c r="E37" s="428"/>
      <c r="F37" s="64"/>
      <c r="G37" s="63"/>
      <c r="H37" s="1"/>
    </row>
    <row r="38" spans="1:8" s="7" customFormat="1" ht="12.75" customHeight="1">
      <c r="A38" s="66" t="s">
        <v>1762</v>
      </c>
      <c r="B38" s="64"/>
      <c r="C38" s="64"/>
      <c r="D38" s="428"/>
      <c r="E38" s="428"/>
      <c r="F38" s="64"/>
      <c r="G38" s="63"/>
      <c r="H38" s="1"/>
    </row>
    <row r="39" spans="1:8" s="7" customFormat="1" ht="12.75" customHeight="1">
      <c r="A39" s="66" t="s">
        <v>1763</v>
      </c>
      <c r="B39" s="64"/>
      <c r="C39" s="64"/>
      <c r="D39" s="428"/>
      <c r="E39" s="428"/>
      <c r="F39" s="64"/>
      <c r="G39" s="63"/>
      <c r="H39" s="1"/>
    </row>
    <row r="40" spans="1:8" s="7" customFormat="1" ht="12.75" customHeight="1">
      <c r="A40" s="66" t="s">
        <v>1764</v>
      </c>
      <c r="B40" s="64">
        <v>338</v>
      </c>
      <c r="C40" s="64"/>
      <c r="D40" s="428"/>
      <c r="E40" s="428"/>
      <c r="F40" s="64"/>
      <c r="G40" s="63"/>
      <c r="H40" s="1"/>
    </row>
    <row r="41" spans="1:8" ht="12.75" customHeight="1">
      <c r="A41" s="66" t="s">
        <v>1765</v>
      </c>
      <c r="B41" s="64"/>
      <c r="C41" s="64"/>
      <c r="D41" s="428"/>
      <c r="E41" s="428"/>
      <c r="F41" s="64"/>
      <c r="G41" s="63"/>
    </row>
    <row r="42" spans="1:8" ht="12.75" customHeight="1">
      <c r="A42" s="66" t="s">
        <v>1531</v>
      </c>
      <c r="B42" s="64"/>
      <c r="C42" s="64"/>
      <c r="D42" s="428"/>
      <c r="E42" s="428"/>
      <c r="F42" s="64"/>
      <c r="G42" s="63"/>
    </row>
    <row r="43" spans="1:8" ht="25.5">
      <c r="A43" s="41" t="s">
        <v>2499</v>
      </c>
      <c r="B43" s="65"/>
      <c r="C43" s="65"/>
      <c r="D43" s="428"/>
      <c r="E43" s="428"/>
      <c r="F43" s="65"/>
      <c r="G43" s="91"/>
    </row>
    <row r="44" spans="1:8" ht="13.5" thickBot="1">
      <c r="A44" s="92" t="s">
        <v>1530</v>
      </c>
      <c r="B44" s="265">
        <f t="shared" ref="B44:G44" si="2">SUM(B17:B43)</f>
        <v>338</v>
      </c>
      <c r="C44" s="265">
        <f t="shared" si="2"/>
        <v>0</v>
      </c>
      <c r="D44" s="431" t="s">
        <v>172</v>
      </c>
      <c r="E44" s="431" t="s">
        <v>172</v>
      </c>
      <c r="F44" s="265">
        <f t="shared" si="2"/>
        <v>0</v>
      </c>
      <c r="G44" s="140">
        <f t="shared" si="2"/>
        <v>0</v>
      </c>
    </row>
    <row r="45" spans="1:8">
      <c r="A45" s="1117" t="s">
        <v>2500</v>
      </c>
      <c r="B45" s="1117"/>
      <c r="C45" s="1117"/>
      <c r="D45" s="1117"/>
      <c r="E45" s="1117"/>
    </row>
    <row r="50" spans="2:14" hidden="1">
      <c r="C50" s="115" t="s">
        <v>441</v>
      </c>
      <c r="D50" s="115" t="s">
        <v>442</v>
      </c>
      <c r="E50" s="115" t="s">
        <v>443</v>
      </c>
      <c r="F50" s="115" t="s">
        <v>1391</v>
      </c>
      <c r="G50" s="115" t="s">
        <v>1392</v>
      </c>
      <c r="H50" s="115" t="s">
        <v>1393</v>
      </c>
      <c r="I50" s="115" t="s">
        <v>1394</v>
      </c>
      <c r="J50" s="115" t="s">
        <v>445</v>
      </c>
      <c r="K50" s="115" t="s">
        <v>446</v>
      </c>
      <c r="L50" s="115" t="s">
        <v>447</v>
      </c>
      <c r="M50" s="115" t="s">
        <v>471</v>
      </c>
    </row>
    <row r="51" spans="2:14" hidden="1">
      <c r="C51" s="1">
        <f>G$1</f>
        <v>3158</v>
      </c>
      <c r="D51" s="1">
        <f>I$1</f>
        <v>5</v>
      </c>
      <c r="E51" s="1">
        <f>G$2</f>
        <v>2017</v>
      </c>
      <c r="F51" s="186">
        <v>1</v>
      </c>
      <c r="G51" s="186">
        <v>6</v>
      </c>
      <c r="H51" s="186">
        <v>1</v>
      </c>
      <c r="J51" s="115" t="s">
        <v>79</v>
      </c>
      <c r="K51" s="115" t="s">
        <v>83</v>
      </c>
      <c r="L51" s="33">
        <f>IF(ISBLANK(B7),"",B7)</f>
        <v>10</v>
      </c>
      <c r="M51" s="167" t="s">
        <v>1625</v>
      </c>
      <c r="N51" s="1077" t="s">
        <v>81</v>
      </c>
    </row>
    <row r="52" spans="2:14" hidden="1">
      <c r="B52" s="34"/>
      <c r="C52" s="1">
        <f t="shared" ref="C52:C133" si="3">G$1</f>
        <v>3158</v>
      </c>
      <c r="D52" s="1">
        <f t="shared" ref="D52:D133" si="4">I$1</f>
        <v>5</v>
      </c>
      <c r="E52" s="1">
        <f t="shared" ref="E52:E133" si="5">G$2</f>
        <v>2017</v>
      </c>
      <c r="F52" s="186">
        <v>1</v>
      </c>
      <c r="G52" s="186">
        <v>6</v>
      </c>
      <c r="H52" s="186">
        <v>1</v>
      </c>
      <c r="J52" s="115" t="s">
        <v>79</v>
      </c>
      <c r="K52" s="115" t="s">
        <v>1482</v>
      </c>
      <c r="L52" s="33" t="str">
        <f>IF(ISBLANK(C7),"",C7)</f>
        <v/>
      </c>
      <c r="M52" s="167" t="s">
        <v>475</v>
      </c>
      <c r="N52" s="1077"/>
    </row>
    <row r="53" spans="2:14" hidden="1">
      <c r="B53" s="5"/>
      <c r="C53" s="1">
        <f t="shared" si="3"/>
        <v>3158</v>
      </c>
      <c r="D53" s="1">
        <f t="shared" si="4"/>
        <v>5</v>
      </c>
      <c r="E53" s="1">
        <f t="shared" si="5"/>
        <v>2017</v>
      </c>
      <c r="F53" s="186">
        <v>1</v>
      </c>
      <c r="G53" s="186">
        <v>6</v>
      </c>
      <c r="H53" s="186">
        <v>2</v>
      </c>
      <c r="J53" s="115" t="s">
        <v>79</v>
      </c>
      <c r="K53" s="115" t="s">
        <v>83</v>
      </c>
      <c r="L53" s="33" t="str">
        <f>IF(ISBLANK(D7),"",D7)</f>
        <v/>
      </c>
      <c r="M53" s="167" t="s">
        <v>486</v>
      </c>
      <c r="N53" s="1077"/>
    </row>
    <row r="54" spans="2:14" hidden="1">
      <c r="B54" s="5"/>
      <c r="C54" s="1">
        <f t="shared" si="3"/>
        <v>3158</v>
      </c>
      <c r="D54" s="1">
        <f t="shared" si="4"/>
        <v>5</v>
      </c>
      <c r="E54" s="1">
        <f t="shared" si="5"/>
        <v>2017</v>
      </c>
      <c r="F54" s="186">
        <v>1</v>
      </c>
      <c r="G54" s="186">
        <v>6</v>
      </c>
      <c r="H54" s="186">
        <v>2</v>
      </c>
      <c r="J54" s="115" t="s">
        <v>79</v>
      </c>
      <c r="K54" s="115" t="s">
        <v>1482</v>
      </c>
      <c r="L54" s="33" t="str">
        <f>IF(ISBLANK(E7),"",E7)</f>
        <v/>
      </c>
      <c r="M54" s="167" t="s">
        <v>497</v>
      </c>
      <c r="N54" s="1077"/>
    </row>
    <row r="55" spans="2:14" hidden="1">
      <c r="B55" s="5"/>
      <c r="C55" s="1">
        <f t="shared" si="3"/>
        <v>3158</v>
      </c>
      <c r="D55" s="1">
        <f t="shared" si="4"/>
        <v>5</v>
      </c>
      <c r="E55" s="1">
        <f t="shared" si="5"/>
        <v>2017</v>
      </c>
      <c r="F55" s="186">
        <v>1</v>
      </c>
      <c r="G55" s="186">
        <v>6</v>
      </c>
      <c r="H55" s="186">
        <v>3</v>
      </c>
      <c r="J55" s="115" t="s">
        <v>79</v>
      </c>
      <c r="K55" s="115" t="s">
        <v>83</v>
      </c>
      <c r="L55" s="33" t="str">
        <f>IF(ISBLANK(F7),"",F7)</f>
        <v/>
      </c>
      <c r="M55" s="167" t="s">
        <v>508</v>
      </c>
      <c r="N55" s="1077"/>
    </row>
    <row r="56" spans="2:14" hidden="1">
      <c r="B56" s="5"/>
      <c r="C56" s="1">
        <f t="shared" si="3"/>
        <v>3158</v>
      </c>
      <c r="D56" s="1">
        <f t="shared" si="4"/>
        <v>5</v>
      </c>
      <c r="E56" s="1">
        <f t="shared" si="5"/>
        <v>2017</v>
      </c>
      <c r="F56" s="186">
        <v>1</v>
      </c>
      <c r="G56" s="186">
        <v>6</v>
      </c>
      <c r="H56" s="186">
        <v>3</v>
      </c>
      <c r="J56" s="115" t="s">
        <v>79</v>
      </c>
      <c r="K56" s="115" t="s">
        <v>1482</v>
      </c>
      <c r="L56" s="33" t="str">
        <f>IF(ISBLANK(G7),"",G7)</f>
        <v/>
      </c>
      <c r="M56" s="167" t="s">
        <v>519</v>
      </c>
      <c r="N56" s="1077"/>
    </row>
    <row r="57" spans="2:14" hidden="1">
      <c r="B57" s="5"/>
      <c r="C57" s="1">
        <f t="shared" si="3"/>
        <v>3158</v>
      </c>
      <c r="D57" s="1">
        <f t="shared" si="4"/>
        <v>5</v>
      </c>
      <c r="E57" s="1">
        <f t="shared" si="5"/>
        <v>2017</v>
      </c>
      <c r="F57" s="186">
        <v>2</v>
      </c>
      <c r="G57" s="186">
        <v>6</v>
      </c>
      <c r="H57" s="186">
        <v>1</v>
      </c>
      <c r="J57" s="115" t="s">
        <v>79</v>
      </c>
      <c r="K57" s="115" t="s">
        <v>83</v>
      </c>
      <c r="L57" s="33" t="str">
        <f>IF(ISBLANK(B8),"",B8)</f>
        <v/>
      </c>
      <c r="M57" s="167" t="s">
        <v>1626</v>
      </c>
      <c r="N57" s="1077"/>
    </row>
    <row r="58" spans="2:14" hidden="1">
      <c r="B58" s="5"/>
      <c r="C58" s="1">
        <f t="shared" si="3"/>
        <v>3158</v>
      </c>
      <c r="D58" s="1">
        <f t="shared" si="4"/>
        <v>5</v>
      </c>
      <c r="E58" s="1">
        <f t="shared" si="5"/>
        <v>2017</v>
      </c>
      <c r="F58" s="186">
        <v>2</v>
      </c>
      <c r="G58" s="186">
        <v>6</v>
      </c>
      <c r="H58" s="186">
        <v>1</v>
      </c>
      <c r="J58" s="115" t="s">
        <v>79</v>
      </c>
      <c r="K58" s="115" t="s">
        <v>1482</v>
      </c>
      <c r="L58" s="33" t="str">
        <f>IF(ISBLANK(C8),"",C8)</f>
        <v/>
      </c>
      <c r="M58" s="167" t="s">
        <v>476</v>
      </c>
      <c r="N58" s="1077"/>
    </row>
    <row r="59" spans="2:14" hidden="1">
      <c r="B59" s="5"/>
      <c r="C59" s="1">
        <f t="shared" si="3"/>
        <v>3158</v>
      </c>
      <c r="D59" s="1">
        <f t="shared" si="4"/>
        <v>5</v>
      </c>
      <c r="E59" s="1">
        <f t="shared" si="5"/>
        <v>2017</v>
      </c>
      <c r="F59" s="186">
        <v>2</v>
      </c>
      <c r="G59" s="186">
        <v>6</v>
      </c>
      <c r="H59" s="186">
        <v>2</v>
      </c>
      <c r="J59" s="115" t="s">
        <v>79</v>
      </c>
      <c r="K59" s="115" t="s">
        <v>83</v>
      </c>
      <c r="L59" s="33" t="str">
        <f>IF(ISBLANK(D8),"",D8)</f>
        <v/>
      </c>
      <c r="M59" s="167" t="s">
        <v>487</v>
      </c>
      <c r="N59" s="1077"/>
    </row>
    <row r="60" spans="2:14" hidden="1">
      <c r="B60" s="5"/>
      <c r="C60" s="1">
        <f t="shared" si="3"/>
        <v>3158</v>
      </c>
      <c r="D60" s="1">
        <f t="shared" si="4"/>
        <v>5</v>
      </c>
      <c r="E60" s="1">
        <f t="shared" si="5"/>
        <v>2017</v>
      </c>
      <c r="F60" s="186">
        <v>2</v>
      </c>
      <c r="G60" s="186">
        <v>6</v>
      </c>
      <c r="H60" s="186">
        <v>2</v>
      </c>
      <c r="J60" s="115" t="s">
        <v>79</v>
      </c>
      <c r="K60" s="115" t="s">
        <v>1482</v>
      </c>
      <c r="L60" s="33" t="str">
        <f>IF(ISBLANK(E8),"",E8)</f>
        <v/>
      </c>
      <c r="M60" s="167" t="s">
        <v>498</v>
      </c>
      <c r="N60" s="1077"/>
    </row>
    <row r="61" spans="2:14" hidden="1">
      <c r="B61" s="5"/>
      <c r="C61" s="1">
        <f t="shared" si="3"/>
        <v>3158</v>
      </c>
      <c r="D61" s="1">
        <f t="shared" si="4"/>
        <v>5</v>
      </c>
      <c r="E61" s="1">
        <f t="shared" si="5"/>
        <v>2017</v>
      </c>
      <c r="F61" s="186">
        <v>2</v>
      </c>
      <c r="G61" s="186">
        <v>6</v>
      </c>
      <c r="H61" s="186">
        <v>3</v>
      </c>
      <c r="J61" s="115" t="s">
        <v>79</v>
      </c>
      <c r="K61" s="115" t="s">
        <v>83</v>
      </c>
      <c r="L61" s="33" t="str">
        <f>IF(ISBLANK(F8),"",F8)</f>
        <v/>
      </c>
      <c r="M61" s="167" t="s">
        <v>509</v>
      </c>
      <c r="N61" s="1077"/>
    </row>
    <row r="62" spans="2:14" hidden="1">
      <c r="B62" s="5"/>
      <c r="C62" s="1">
        <f t="shared" si="3"/>
        <v>3158</v>
      </c>
      <c r="D62" s="1">
        <f t="shared" si="4"/>
        <v>5</v>
      </c>
      <c r="E62" s="1">
        <f t="shared" si="5"/>
        <v>2017</v>
      </c>
      <c r="F62" s="186">
        <v>2</v>
      </c>
      <c r="G62" s="186">
        <v>6</v>
      </c>
      <c r="H62" s="186">
        <v>3</v>
      </c>
      <c r="J62" s="115" t="s">
        <v>79</v>
      </c>
      <c r="K62" s="115" t="s">
        <v>1482</v>
      </c>
      <c r="L62" s="33" t="str">
        <f>IF(ISBLANK(G8),"",G8)</f>
        <v/>
      </c>
      <c r="M62" s="167" t="s">
        <v>520</v>
      </c>
      <c r="N62" s="1077"/>
    </row>
    <row r="63" spans="2:14" hidden="1">
      <c r="B63" s="5"/>
      <c r="C63" s="1">
        <f t="shared" si="3"/>
        <v>3158</v>
      </c>
      <c r="D63" s="1">
        <f t="shared" si="4"/>
        <v>5</v>
      </c>
      <c r="E63" s="1">
        <f t="shared" si="5"/>
        <v>2017</v>
      </c>
      <c r="F63" s="186">
        <v>3</v>
      </c>
      <c r="G63" s="186">
        <v>6</v>
      </c>
      <c r="H63" s="186">
        <v>1</v>
      </c>
      <c r="J63" s="115" t="s">
        <v>79</v>
      </c>
      <c r="K63" s="115" t="s">
        <v>83</v>
      </c>
      <c r="L63" s="33">
        <f>IF(ISBLANK(B9),"",B9)</f>
        <v>328</v>
      </c>
      <c r="M63" s="167" t="s">
        <v>1627</v>
      </c>
      <c r="N63" s="1077"/>
    </row>
    <row r="64" spans="2:14" hidden="1">
      <c r="B64" s="5"/>
      <c r="C64" s="1">
        <f t="shared" si="3"/>
        <v>3158</v>
      </c>
      <c r="D64" s="1">
        <f t="shared" si="4"/>
        <v>5</v>
      </c>
      <c r="E64" s="1">
        <f t="shared" si="5"/>
        <v>2017</v>
      </c>
      <c r="F64" s="186">
        <v>3</v>
      </c>
      <c r="G64" s="186">
        <v>6</v>
      </c>
      <c r="H64" s="186">
        <v>1</v>
      </c>
      <c r="J64" s="115" t="s">
        <v>79</v>
      </c>
      <c r="K64" s="115" t="s">
        <v>1482</v>
      </c>
      <c r="L64" s="33" t="str">
        <f>IF(ISBLANK(C9),"",C9)</f>
        <v/>
      </c>
      <c r="M64" s="167" t="s">
        <v>477</v>
      </c>
      <c r="N64" s="1077"/>
    </row>
    <row r="65" spans="2:14" hidden="1">
      <c r="B65" s="5"/>
      <c r="C65" s="1">
        <f t="shared" si="3"/>
        <v>3158</v>
      </c>
      <c r="D65" s="1">
        <f t="shared" si="4"/>
        <v>5</v>
      </c>
      <c r="E65" s="1">
        <f t="shared" si="5"/>
        <v>2017</v>
      </c>
      <c r="F65" s="186">
        <v>3</v>
      </c>
      <c r="G65" s="186">
        <v>6</v>
      </c>
      <c r="H65" s="186">
        <v>2</v>
      </c>
      <c r="J65" s="115" t="s">
        <v>79</v>
      </c>
      <c r="K65" s="115" t="s">
        <v>83</v>
      </c>
      <c r="L65" s="33" t="str">
        <f>IF(ISBLANK(D9),"",D9)</f>
        <v/>
      </c>
      <c r="M65" s="167" t="s">
        <v>488</v>
      </c>
      <c r="N65" s="1077"/>
    </row>
    <row r="66" spans="2:14" hidden="1">
      <c r="B66" s="5"/>
      <c r="C66" s="1">
        <f t="shared" si="3"/>
        <v>3158</v>
      </c>
      <c r="D66" s="1">
        <f t="shared" si="4"/>
        <v>5</v>
      </c>
      <c r="E66" s="1">
        <f t="shared" si="5"/>
        <v>2017</v>
      </c>
      <c r="F66" s="186">
        <v>3</v>
      </c>
      <c r="G66" s="186">
        <v>6</v>
      </c>
      <c r="H66" s="186">
        <v>2</v>
      </c>
      <c r="J66" s="115" t="s">
        <v>79</v>
      </c>
      <c r="K66" s="115" t="s">
        <v>1482</v>
      </c>
      <c r="L66" s="33" t="str">
        <f>IF(ISBLANK(E9),"",E9)</f>
        <v/>
      </c>
      <c r="M66" s="167" t="s">
        <v>499</v>
      </c>
      <c r="N66" s="1077"/>
    </row>
    <row r="67" spans="2:14" hidden="1">
      <c r="B67" s="5"/>
      <c r="C67" s="1">
        <f t="shared" si="3"/>
        <v>3158</v>
      </c>
      <c r="D67" s="1">
        <f t="shared" si="4"/>
        <v>5</v>
      </c>
      <c r="E67" s="1">
        <f t="shared" si="5"/>
        <v>2017</v>
      </c>
      <c r="F67" s="186">
        <v>3</v>
      </c>
      <c r="G67" s="186">
        <v>6</v>
      </c>
      <c r="H67" s="186">
        <v>3</v>
      </c>
      <c r="J67" s="115" t="s">
        <v>79</v>
      </c>
      <c r="K67" s="115" t="s">
        <v>83</v>
      </c>
      <c r="L67" s="33" t="str">
        <f>IF(ISBLANK(F9),"",F9)</f>
        <v/>
      </c>
      <c r="M67" s="167" t="s">
        <v>510</v>
      </c>
      <c r="N67" s="1077"/>
    </row>
    <row r="68" spans="2:14" hidden="1">
      <c r="B68" s="5"/>
      <c r="C68" s="1">
        <f t="shared" si="3"/>
        <v>3158</v>
      </c>
      <c r="D68" s="1">
        <f t="shared" si="4"/>
        <v>5</v>
      </c>
      <c r="E68" s="1">
        <f t="shared" si="5"/>
        <v>2017</v>
      </c>
      <c r="F68" s="186">
        <v>3</v>
      </c>
      <c r="G68" s="186">
        <v>6</v>
      </c>
      <c r="H68" s="186">
        <v>3</v>
      </c>
      <c r="J68" s="115" t="s">
        <v>79</v>
      </c>
      <c r="K68" s="115" t="s">
        <v>1482</v>
      </c>
      <c r="L68" s="33" t="str">
        <f>IF(ISBLANK(G9),"",G9)</f>
        <v/>
      </c>
      <c r="M68" s="167" t="s">
        <v>521</v>
      </c>
      <c r="N68" s="1077"/>
    </row>
    <row r="69" spans="2:14" hidden="1">
      <c r="B69" s="5"/>
      <c r="C69" s="1">
        <f t="shared" si="3"/>
        <v>3158</v>
      </c>
      <c r="D69" s="1">
        <f t="shared" si="4"/>
        <v>5</v>
      </c>
      <c r="E69" s="1">
        <f t="shared" si="5"/>
        <v>2017</v>
      </c>
      <c r="F69" s="186">
        <v>4</v>
      </c>
      <c r="G69" s="186">
        <v>6</v>
      </c>
      <c r="H69" s="186">
        <v>1</v>
      </c>
      <c r="J69" s="115" t="s">
        <v>79</v>
      </c>
      <c r="K69" s="115" t="s">
        <v>83</v>
      </c>
      <c r="L69" s="33" t="str">
        <f>IF(ISBLANK(B10),"",B10)</f>
        <v/>
      </c>
      <c r="M69" s="167" t="s">
        <v>1628</v>
      </c>
      <c r="N69" s="1077"/>
    </row>
    <row r="70" spans="2:14" hidden="1">
      <c r="B70" s="5"/>
      <c r="C70" s="1">
        <f t="shared" si="3"/>
        <v>3158</v>
      </c>
      <c r="D70" s="1">
        <f t="shared" si="4"/>
        <v>5</v>
      </c>
      <c r="E70" s="1">
        <f t="shared" si="5"/>
        <v>2017</v>
      </c>
      <c r="F70" s="186">
        <v>4</v>
      </c>
      <c r="G70" s="186">
        <v>6</v>
      </c>
      <c r="H70" s="186">
        <v>1</v>
      </c>
      <c r="J70" s="115" t="s">
        <v>79</v>
      </c>
      <c r="K70" s="115" t="s">
        <v>1482</v>
      </c>
      <c r="L70" s="33" t="str">
        <f>IF(ISBLANK(C10),"",C10)</f>
        <v/>
      </c>
      <c r="M70" s="167" t="s">
        <v>478</v>
      </c>
      <c r="N70" s="1077"/>
    </row>
    <row r="71" spans="2:14" hidden="1">
      <c r="B71" s="5"/>
      <c r="C71" s="1">
        <f t="shared" si="3"/>
        <v>3158</v>
      </c>
      <c r="D71" s="1">
        <f t="shared" si="4"/>
        <v>5</v>
      </c>
      <c r="E71" s="1">
        <f t="shared" si="5"/>
        <v>2017</v>
      </c>
      <c r="F71" s="186">
        <v>4</v>
      </c>
      <c r="G71" s="186">
        <v>6</v>
      </c>
      <c r="H71" s="186">
        <v>2</v>
      </c>
      <c r="J71" s="115" t="s">
        <v>79</v>
      </c>
      <c r="K71" s="115" t="s">
        <v>83</v>
      </c>
      <c r="L71" s="33" t="str">
        <f>IF(ISBLANK(D10),"",D10)</f>
        <v/>
      </c>
      <c r="M71" s="167" t="s">
        <v>489</v>
      </c>
      <c r="N71" s="1077"/>
    </row>
    <row r="72" spans="2:14" hidden="1">
      <c r="B72" s="5"/>
      <c r="C72" s="1">
        <f t="shared" si="3"/>
        <v>3158</v>
      </c>
      <c r="D72" s="1">
        <f t="shared" si="4"/>
        <v>5</v>
      </c>
      <c r="E72" s="1">
        <f t="shared" si="5"/>
        <v>2017</v>
      </c>
      <c r="F72" s="186">
        <v>4</v>
      </c>
      <c r="G72" s="186">
        <v>6</v>
      </c>
      <c r="H72" s="186">
        <v>2</v>
      </c>
      <c r="J72" s="115" t="s">
        <v>79</v>
      </c>
      <c r="K72" s="115" t="s">
        <v>1482</v>
      </c>
      <c r="L72" s="33" t="str">
        <f>IF(ISBLANK(E10),"",E10)</f>
        <v/>
      </c>
      <c r="M72" s="167" t="s">
        <v>500</v>
      </c>
      <c r="N72" s="1077"/>
    </row>
    <row r="73" spans="2:14" hidden="1">
      <c r="B73" s="5"/>
      <c r="C73" s="1">
        <f t="shared" si="3"/>
        <v>3158</v>
      </c>
      <c r="D73" s="1">
        <f t="shared" si="4"/>
        <v>5</v>
      </c>
      <c r="E73" s="1">
        <f t="shared" si="5"/>
        <v>2017</v>
      </c>
      <c r="F73" s="186">
        <v>4</v>
      </c>
      <c r="G73" s="186">
        <v>6</v>
      </c>
      <c r="H73" s="186">
        <v>3</v>
      </c>
      <c r="J73" s="115" t="s">
        <v>79</v>
      </c>
      <c r="K73" s="115" t="s">
        <v>83</v>
      </c>
      <c r="L73" s="33" t="str">
        <f>IF(ISBLANK(F10),"",F10)</f>
        <v/>
      </c>
      <c r="M73" s="167" t="s">
        <v>511</v>
      </c>
      <c r="N73" s="1077"/>
    </row>
    <row r="74" spans="2:14" hidden="1">
      <c r="B74" s="5"/>
      <c r="C74" s="1">
        <f t="shared" si="3"/>
        <v>3158</v>
      </c>
      <c r="D74" s="1">
        <f t="shared" si="4"/>
        <v>5</v>
      </c>
      <c r="E74" s="1">
        <f t="shared" si="5"/>
        <v>2017</v>
      </c>
      <c r="F74" s="186">
        <v>4</v>
      </c>
      <c r="G74" s="186">
        <v>6</v>
      </c>
      <c r="H74" s="186">
        <v>3</v>
      </c>
      <c r="J74" s="115" t="s">
        <v>79</v>
      </c>
      <c r="K74" s="115" t="s">
        <v>1482</v>
      </c>
      <c r="L74" s="33" t="str">
        <f>IF(ISBLANK(G10),"",G10)</f>
        <v/>
      </c>
      <c r="M74" s="167" t="s">
        <v>522</v>
      </c>
      <c r="N74" s="1077"/>
    </row>
    <row r="75" spans="2:14" hidden="1">
      <c r="B75" s="5"/>
      <c r="C75" s="1">
        <f t="shared" si="3"/>
        <v>3158</v>
      </c>
      <c r="D75" s="1">
        <f t="shared" si="4"/>
        <v>5</v>
      </c>
      <c r="E75" s="1">
        <f t="shared" si="5"/>
        <v>2017</v>
      </c>
      <c r="F75" s="186">
        <v>5</v>
      </c>
      <c r="G75" s="186">
        <v>6</v>
      </c>
      <c r="H75" s="186">
        <v>1</v>
      </c>
      <c r="J75" s="115" t="s">
        <v>79</v>
      </c>
      <c r="K75" s="115" t="s">
        <v>83</v>
      </c>
      <c r="L75" s="33" t="str">
        <f>IF(ISBLANK(B11),"",B11)</f>
        <v/>
      </c>
      <c r="M75" s="167" t="s">
        <v>1629</v>
      </c>
      <c r="N75" s="1077"/>
    </row>
    <row r="76" spans="2:14" hidden="1">
      <c r="B76" s="5"/>
      <c r="C76" s="1">
        <f t="shared" si="3"/>
        <v>3158</v>
      </c>
      <c r="D76" s="1">
        <f t="shared" si="4"/>
        <v>5</v>
      </c>
      <c r="E76" s="1">
        <f t="shared" si="5"/>
        <v>2017</v>
      </c>
      <c r="F76" s="186">
        <v>5</v>
      </c>
      <c r="G76" s="186">
        <v>6</v>
      </c>
      <c r="H76" s="186">
        <v>1</v>
      </c>
      <c r="J76" s="115" t="s">
        <v>79</v>
      </c>
      <c r="K76" s="115" t="s">
        <v>1482</v>
      </c>
      <c r="L76" s="33" t="str">
        <f>IF(ISBLANK(C11),"",C11)</f>
        <v/>
      </c>
      <c r="M76" s="167" t="s">
        <v>479</v>
      </c>
      <c r="N76" s="1077"/>
    </row>
    <row r="77" spans="2:14" hidden="1">
      <c r="B77" s="5"/>
      <c r="C77" s="1">
        <f t="shared" si="3"/>
        <v>3158</v>
      </c>
      <c r="D77" s="1">
        <f t="shared" si="4"/>
        <v>5</v>
      </c>
      <c r="E77" s="1">
        <f t="shared" si="5"/>
        <v>2017</v>
      </c>
      <c r="F77" s="186">
        <v>5</v>
      </c>
      <c r="G77" s="186">
        <v>6</v>
      </c>
      <c r="H77" s="186">
        <v>2</v>
      </c>
      <c r="J77" s="115" t="s">
        <v>79</v>
      </c>
      <c r="K77" s="115" t="s">
        <v>83</v>
      </c>
      <c r="L77" s="33" t="str">
        <f>IF(ISBLANK(D11),"",D11)</f>
        <v/>
      </c>
      <c r="M77" s="167" t="s">
        <v>490</v>
      </c>
      <c r="N77" s="1077"/>
    </row>
    <row r="78" spans="2:14" hidden="1">
      <c r="B78" s="5"/>
      <c r="C78" s="1">
        <f t="shared" si="3"/>
        <v>3158</v>
      </c>
      <c r="D78" s="1">
        <f t="shared" si="4"/>
        <v>5</v>
      </c>
      <c r="E78" s="1">
        <f t="shared" si="5"/>
        <v>2017</v>
      </c>
      <c r="F78" s="186">
        <v>5</v>
      </c>
      <c r="G78" s="186">
        <v>6</v>
      </c>
      <c r="H78" s="186">
        <v>2</v>
      </c>
      <c r="J78" s="115" t="s">
        <v>79</v>
      </c>
      <c r="K78" s="115" t="s">
        <v>1482</v>
      </c>
      <c r="L78" s="33" t="str">
        <f>IF(ISBLANK(E11),"",E11)</f>
        <v/>
      </c>
      <c r="M78" s="167" t="s">
        <v>501</v>
      </c>
      <c r="N78" s="1077"/>
    </row>
    <row r="79" spans="2:14" hidden="1">
      <c r="B79" s="5"/>
      <c r="C79" s="1">
        <f t="shared" si="3"/>
        <v>3158</v>
      </c>
      <c r="D79" s="1">
        <f t="shared" si="4"/>
        <v>5</v>
      </c>
      <c r="E79" s="1">
        <f t="shared" si="5"/>
        <v>2017</v>
      </c>
      <c r="F79" s="186">
        <v>5</v>
      </c>
      <c r="G79" s="186">
        <v>6</v>
      </c>
      <c r="H79" s="186">
        <v>3</v>
      </c>
      <c r="J79" s="115" t="s">
        <v>79</v>
      </c>
      <c r="K79" s="115" t="s">
        <v>83</v>
      </c>
      <c r="L79" s="33" t="str">
        <f>IF(ISBLANK(F11),"",F11)</f>
        <v/>
      </c>
      <c r="M79" s="167" t="s">
        <v>512</v>
      </c>
      <c r="N79" s="1077"/>
    </row>
    <row r="80" spans="2:14" hidden="1">
      <c r="B80" s="5"/>
      <c r="C80" s="1">
        <f t="shared" si="3"/>
        <v>3158</v>
      </c>
      <c r="D80" s="1">
        <f t="shared" si="4"/>
        <v>5</v>
      </c>
      <c r="E80" s="1">
        <f t="shared" si="5"/>
        <v>2017</v>
      </c>
      <c r="F80" s="186">
        <v>5</v>
      </c>
      <c r="G80" s="186">
        <v>6</v>
      </c>
      <c r="H80" s="186">
        <v>3</v>
      </c>
      <c r="J80" s="115" t="s">
        <v>79</v>
      </c>
      <c r="K80" s="115" t="s">
        <v>1482</v>
      </c>
      <c r="L80" s="33" t="str">
        <f>IF(ISBLANK(G11),"",G11)</f>
        <v/>
      </c>
      <c r="M80" s="167" t="s">
        <v>523</v>
      </c>
      <c r="N80" s="1077"/>
    </row>
    <row r="81" spans="2:14" hidden="1">
      <c r="B81" s="5"/>
      <c r="C81" s="1">
        <f t="shared" ref="C81:C98" si="6">G$1</f>
        <v>3158</v>
      </c>
      <c r="D81" s="1">
        <f t="shared" ref="D81:D98" si="7">I$1</f>
        <v>5</v>
      </c>
      <c r="E81" s="1">
        <f t="shared" ref="E81:E98" si="8">G$2</f>
        <v>2017</v>
      </c>
      <c r="F81" s="186">
        <v>6</v>
      </c>
      <c r="G81" s="186">
        <v>6</v>
      </c>
      <c r="H81" s="186">
        <v>1</v>
      </c>
      <c r="J81" s="115" t="s">
        <v>79</v>
      </c>
      <c r="K81" s="115" t="s">
        <v>83</v>
      </c>
      <c r="L81" s="33" t="str">
        <f>IF(ISBLANK(B12),"",B12)</f>
        <v/>
      </c>
      <c r="M81" s="167" t="s">
        <v>1630</v>
      </c>
      <c r="N81" s="187"/>
    </row>
    <row r="82" spans="2:14" hidden="1">
      <c r="B82" s="5"/>
      <c r="C82" s="1">
        <f t="shared" si="6"/>
        <v>3158</v>
      </c>
      <c r="D82" s="1">
        <f t="shared" si="7"/>
        <v>5</v>
      </c>
      <c r="E82" s="1">
        <f t="shared" si="8"/>
        <v>2017</v>
      </c>
      <c r="F82" s="186">
        <v>6</v>
      </c>
      <c r="G82" s="186">
        <v>6</v>
      </c>
      <c r="H82" s="186">
        <v>1</v>
      </c>
      <c r="J82" s="115" t="s">
        <v>79</v>
      </c>
      <c r="K82" s="115" t="s">
        <v>1482</v>
      </c>
      <c r="L82" s="33" t="str">
        <f>IF(ISBLANK(C12),"",C12)</f>
        <v/>
      </c>
      <c r="M82" s="167" t="s">
        <v>480</v>
      </c>
      <c r="N82" s="187"/>
    </row>
    <row r="83" spans="2:14" hidden="1">
      <c r="B83" s="5"/>
      <c r="C83" s="1">
        <f t="shared" si="6"/>
        <v>3158</v>
      </c>
      <c r="D83" s="1">
        <f t="shared" si="7"/>
        <v>5</v>
      </c>
      <c r="E83" s="1">
        <f t="shared" si="8"/>
        <v>2017</v>
      </c>
      <c r="F83" s="186">
        <v>6</v>
      </c>
      <c r="G83" s="186">
        <v>6</v>
      </c>
      <c r="H83" s="186">
        <v>2</v>
      </c>
      <c r="J83" s="115" t="s">
        <v>79</v>
      </c>
      <c r="K83" s="115" t="s">
        <v>83</v>
      </c>
      <c r="L83" s="33" t="str">
        <f>IF(ISBLANK(D12),"",D12)</f>
        <v/>
      </c>
      <c r="M83" s="167" t="s">
        <v>491</v>
      </c>
      <c r="N83" s="187"/>
    </row>
    <row r="84" spans="2:14" hidden="1">
      <c r="B84" s="5"/>
      <c r="C84" s="1">
        <f t="shared" si="6"/>
        <v>3158</v>
      </c>
      <c r="D84" s="1">
        <f t="shared" si="7"/>
        <v>5</v>
      </c>
      <c r="E84" s="1">
        <f t="shared" si="8"/>
        <v>2017</v>
      </c>
      <c r="F84" s="186">
        <v>6</v>
      </c>
      <c r="G84" s="186">
        <v>6</v>
      </c>
      <c r="H84" s="186">
        <v>2</v>
      </c>
      <c r="J84" s="115" t="s">
        <v>79</v>
      </c>
      <c r="K84" s="115" t="s">
        <v>1482</v>
      </c>
      <c r="L84" s="33" t="str">
        <f>IF(ISBLANK(E12),"",E12)</f>
        <v/>
      </c>
      <c r="M84" s="167" t="s">
        <v>502</v>
      </c>
      <c r="N84" s="187"/>
    </row>
    <row r="85" spans="2:14" hidden="1">
      <c r="B85" s="5"/>
      <c r="C85" s="1">
        <f t="shared" si="6"/>
        <v>3158</v>
      </c>
      <c r="D85" s="1">
        <f t="shared" si="7"/>
        <v>5</v>
      </c>
      <c r="E85" s="1">
        <f t="shared" si="8"/>
        <v>2017</v>
      </c>
      <c r="F85" s="186">
        <v>6</v>
      </c>
      <c r="G85" s="186">
        <v>6</v>
      </c>
      <c r="H85" s="186">
        <v>3</v>
      </c>
      <c r="J85" s="115" t="s">
        <v>79</v>
      </c>
      <c r="K85" s="115" t="s">
        <v>83</v>
      </c>
      <c r="L85" s="33" t="str">
        <f>IF(ISBLANK(F12),"",F12)</f>
        <v/>
      </c>
      <c r="M85" s="167" t="s">
        <v>513</v>
      </c>
      <c r="N85" s="187"/>
    </row>
    <row r="86" spans="2:14" hidden="1">
      <c r="B86" s="5"/>
      <c r="C86" s="1">
        <f t="shared" si="6"/>
        <v>3158</v>
      </c>
      <c r="D86" s="1">
        <f t="shared" si="7"/>
        <v>5</v>
      </c>
      <c r="E86" s="1">
        <f t="shared" si="8"/>
        <v>2017</v>
      </c>
      <c r="F86" s="186">
        <v>6</v>
      </c>
      <c r="G86" s="186">
        <v>6</v>
      </c>
      <c r="H86" s="186">
        <v>3</v>
      </c>
      <c r="J86" s="115" t="s">
        <v>79</v>
      </c>
      <c r="K86" s="115" t="s">
        <v>1482</v>
      </c>
      <c r="L86" s="33" t="str">
        <f>IF(ISBLANK(G12),"",G12)</f>
        <v/>
      </c>
      <c r="M86" s="167" t="s">
        <v>524</v>
      </c>
      <c r="N86" s="187"/>
    </row>
    <row r="87" spans="2:14" hidden="1">
      <c r="B87" s="5"/>
      <c r="C87" s="1">
        <f t="shared" si="6"/>
        <v>3158</v>
      </c>
      <c r="D87" s="1">
        <f t="shared" si="7"/>
        <v>5</v>
      </c>
      <c r="E87" s="1">
        <f t="shared" si="8"/>
        <v>2017</v>
      </c>
      <c r="F87" s="186">
        <v>7</v>
      </c>
      <c r="G87" s="186">
        <v>6</v>
      </c>
      <c r="H87" s="186">
        <v>1</v>
      </c>
      <c r="J87" s="115" t="s">
        <v>79</v>
      </c>
      <c r="K87" s="115" t="s">
        <v>83</v>
      </c>
      <c r="L87" s="33" t="str">
        <f>IF(ISBLANK(B13),"",B13)</f>
        <v/>
      </c>
      <c r="M87" s="167" t="s">
        <v>1631</v>
      </c>
      <c r="N87" s="187"/>
    </row>
    <row r="88" spans="2:14" hidden="1">
      <c r="B88" s="5"/>
      <c r="C88" s="1">
        <f t="shared" si="6"/>
        <v>3158</v>
      </c>
      <c r="D88" s="1">
        <f t="shared" si="7"/>
        <v>5</v>
      </c>
      <c r="E88" s="1">
        <f t="shared" si="8"/>
        <v>2017</v>
      </c>
      <c r="F88" s="186">
        <v>7</v>
      </c>
      <c r="G88" s="186">
        <v>6</v>
      </c>
      <c r="H88" s="186">
        <v>1</v>
      </c>
      <c r="J88" s="115" t="s">
        <v>79</v>
      </c>
      <c r="K88" s="115" t="s">
        <v>1482</v>
      </c>
      <c r="L88" s="33" t="str">
        <f>IF(ISBLANK(C13),"",C13)</f>
        <v/>
      </c>
      <c r="M88" s="167" t="s">
        <v>481</v>
      </c>
      <c r="N88" s="187"/>
    </row>
    <row r="89" spans="2:14" hidden="1">
      <c r="B89" s="5"/>
      <c r="C89" s="1">
        <f t="shared" si="6"/>
        <v>3158</v>
      </c>
      <c r="D89" s="1">
        <f t="shared" si="7"/>
        <v>5</v>
      </c>
      <c r="E89" s="1">
        <f t="shared" si="8"/>
        <v>2017</v>
      </c>
      <c r="F89" s="186">
        <v>7</v>
      </c>
      <c r="G89" s="186">
        <v>6</v>
      </c>
      <c r="H89" s="186">
        <v>2</v>
      </c>
      <c r="J89" s="115" t="s">
        <v>79</v>
      </c>
      <c r="K89" s="115" t="s">
        <v>83</v>
      </c>
      <c r="L89" s="33" t="str">
        <f>IF(ISBLANK(D13),"",D13)</f>
        <v/>
      </c>
      <c r="M89" s="167" t="s">
        <v>492</v>
      </c>
      <c r="N89" s="187"/>
    </row>
    <row r="90" spans="2:14" hidden="1">
      <c r="B90" s="5"/>
      <c r="C90" s="1">
        <f t="shared" si="6"/>
        <v>3158</v>
      </c>
      <c r="D90" s="1">
        <f t="shared" si="7"/>
        <v>5</v>
      </c>
      <c r="E90" s="1">
        <f t="shared" si="8"/>
        <v>2017</v>
      </c>
      <c r="F90" s="186">
        <v>7</v>
      </c>
      <c r="G90" s="186">
        <v>6</v>
      </c>
      <c r="H90" s="186">
        <v>2</v>
      </c>
      <c r="J90" s="115" t="s">
        <v>79</v>
      </c>
      <c r="K90" s="115" t="s">
        <v>1482</v>
      </c>
      <c r="L90" s="33" t="str">
        <f>IF(ISBLANK(E13),"",E13)</f>
        <v/>
      </c>
      <c r="M90" s="167" t="s">
        <v>503</v>
      </c>
      <c r="N90" s="187"/>
    </row>
    <row r="91" spans="2:14" hidden="1">
      <c r="B91" s="5"/>
      <c r="C91" s="1">
        <f t="shared" si="6"/>
        <v>3158</v>
      </c>
      <c r="D91" s="1">
        <f t="shared" si="7"/>
        <v>5</v>
      </c>
      <c r="E91" s="1">
        <f t="shared" si="8"/>
        <v>2017</v>
      </c>
      <c r="F91" s="186">
        <v>7</v>
      </c>
      <c r="G91" s="186">
        <v>6</v>
      </c>
      <c r="H91" s="186">
        <v>3</v>
      </c>
      <c r="J91" s="115" t="s">
        <v>79</v>
      </c>
      <c r="K91" s="115" t="s">
        <v>83</v>
      </c>
      <c r="L91" s="33" t="str">
        <f>IF(ISBLANK(F13),"",F13)</f>
        <v/>
      </c>
      <c r="M91" s="167" t="s">
        <v>514</v>
      </c>
      <c r="N91" s="187"/>
    </row>
    <row r="92" spans="2:14" hidden="1">
      <c r="B92" s="5"/>
      <c r="C92" s="1">
        <f t="shared" si="6"/>
        <v>3158</v>
      </c>
      <c r="D92" s="1">
        <f t="shared" si="7"/>
        <v>5</v>
      </c>
      <c r="E92" s="1">
        <f t="shared" si="8"/>
        <v>2017</v>
      </c>
      <c r="F92" s="186">
        <v>7</v>
      </c>
      <c r="G92" s="186">
        <v>6</v>
      </c>
      <c r="H92" s="186">
        <v>3</v>
      </c>
      <c r="J92" s="115" t="s">
        <v>79</v>
      </c>
      <c r="K92" s="115" t="s">
        <v>1482</v>
      </c>
      <c r="L92" s="33" t="str">
        <f>IF(ISBLANK(G13),"",G13)</f>
        <v/>
      </c>
      <c r="M92" s="167" t="s">
        <v>525</v>
      </c>
      <c r="N92" s="187"/>
    </row>
    <row r="93" spans="2:14" hidden="1">
      <c r="B93" s="5"/>
      <c r="C93" s="1">
        <f t="shared" si="6"/>
        <v>3158</v>
      </c>
      <c r="D93" s="1">
        <f t="shared" si="7"/>
        <v>5</v>
      </c>
      <c r="E93" s="1">
        <f t="shared" si="8"/>
        <v>2017</v>
      </c>
      <c r="F93" s="186">
        <v>8</v>
      </c>
      <c r="G93" s="186">
        <v>6</v>
      </c>
      <c r="H93" s="186">
        <v>1</v>
      </c>
      <c r="J93" s="115" t="s">
        <v>79</v>
      </c>
      <c r="K93" s="115" t="s">
        <v>83</v>
      </c>
      <c r="L93" s="33" t="str">
        <f>IF(ISBLANK(B14),"",B14)</f>
        <v/>
      </c>
      <c r="M93" s="167" t="s">
        <v>1632</v>
      </c>
      <c r="N93" s="187"/>
    </row>
    <row r="94" spans="2:14" hidden="1">
      <c r="B94" s="5"/>
      <c r="C94" s="1">
        <f t="shared" si="6"/>
        <v>3158</v>
      </c>
      <c r="D94" s="1">
        <f t="shared" si="7"/>
        <v>5</v>
      </c>
      <c r="E94" s="1">
        <f t="shared" si="8"/>
        <v>2017</v>
      </c>
      <c r="F94" s="186">
        <v>8</v>
      </c>
      <c r="G94" s="186">
        <v>6</v>
      </c>
      <c r="H94" s="186">
        <v>1</v>
      </c>
      <c r="J94" s="115" t="s">
        <v>79</v>
      </c>
      <c r="K94" s="115" t="s">
        <v>1482</v>
      </c>
      <c r="L94" s="33" t="str">
        <f>IF(ISBLANK(C14),"",C14)</f>
        <v/>
      </c>
      <c r="M94" s="167" t="s">
        <v>482</v>
      </c>
      <c r="N94" s="187"/>
    </row>
    <row r="95" spans="2:14" hidden="1">
      <c r="B95" s="5"/>
      <c r="C95" s="1">
        <f t="shared" si="6"/>
        <v>3158</v>
      </c>
      <c r="D95" s="1">
        <f t="shared" si="7"/>
        <v>5</v>
      </c>
      <c r="E95" s="1">
        <f t="shared" si="8"/>
        <v>2017</v>
      </c>
      <c r="F95" s="186">
        <v>8</v>
      </c>
      <c r="G95" s="186">
        <v>6</v>
      </c>
      <c r="H95" s="186">
        <v>2</v>
      </c>
      <c r="J95" s="115" t="s">
        <v>79</v>
      </c>
      <c r="K95" s="115" t="s">
        <v>83</v>
      </c>
      <c r="L95" s="33" t="str">
        <f>IF(ISBLANK(D14),"",D14)</f>
        <v/>
      </c>
      <c r="M95" s="167" t="s">
        <v>493</v>
      </c>
      <c r="N95" s="187"/>
    </row>
    <row r="96" spans="2:14" hidden="1">
      <c r="B96" s="5"/>
      <c r="C96" s="1">
        <f t="shared" si="6"/>
        <v>3158</v>
      </c>
      <c r="D96" s="1">
        <f t="shared" si="7"/>
        <v>5</v>
      </c>
      <c r="E96" s="1">
        <f t="shared" si="8"/>
        <v>2017</v>
      </c>
      <c r="F96" s="186">
        <v>8</v>
      </c>
      <c r="G96" s="186">
        <v>6</v>
      </c>
      <c r="H96" s="186">
        <v>2</v>
      </c>
      <c r="J96" s="115" t="s">
        <v>79</v>
      </c>
      <c r="K96" s="115" t="s">
        <v>1482</v>
      </c>
      <c r="L96" s="33" t="str">
        <f>IF(ISBLANK(E14),"",E14)</f>
        <v/>
      </c>
      <c r="M96" s="167" t="s">
        <v>504</v>
      </c>
      <c r="N96" s="187"/>
    </row>
    <row r="97" spans="2:14" hidden="1">
      <c r="B97" s="5"/>
      <c r="C97" s="1">
        <f t="shared" si="6"/>
        <v>3158</v>
      </c>
      <c r="D97" s="1">
        <f t="shared" si="7"/>
        <v>5</v>
      </c>
      <c r="E97" s="1">
        <f t="shared" si="8"/>
        <v>2017</v>
      </c>
      <c r="F97" s="186">
        <v>8</v>
      </c>
      <c r="G97" s="186">
        <v>6</v>
      </c>
      <c r="H97" s="186">
        <v>3</v>
      </c>
      <c r="J97" s="115" t="s">
        <v>79</v>
      </c>
      <c r="K97" s="115" t="s">
        <v>83</v>
      </c>
      <c r="L97" s="33" t="str">
        <f>IF(ISBLANK(F14),"",F14)</f>
        <v/>
      </c>
      <c r="M97" s="167" t="s">
        <v>515</v>
      </c>
      <c r="N97" s="187"/>
    </row>
    <row r="98" spans="2:14" ht="13.5" hidden="1" thickBot="1">
      <c r="B98" s="5"/>
      <c r="C98" s="1">
        <f t="shared" si="6"/>
        <v>3158</v>
      </c>
      <c r="D98" s="1">
        <f t="shared" si="7"/>
        <v>5</v>
      </c>
      <c r="E98" s="1">
        <f t="shared" si="8"/>
        <v>2017</v>
      </c>
      <c r="F98" s="186">
        <v>8</v>
      </c>
      <c r="G98" s="186">
        <v>6</v>
      </c>
      <c r="H98" s="186">
        <v>3</v>
      </c>
      <c r="J98" s="115" t="s">
        <v>79</v>
      </c>
      <c r="K98" s="115" t="s">
        <v>1482</v>
      </c>
      <c r="L98" s="33" t="str">
        <f>IF(ISBLANK(G14),"",G14)</f>
        <v/>
      </c>
      <c r="M98" s="167" t="s">
        <v>526</v>
      </c>
      <c r="N98" s="187"/>
    </row>
    <row r="99" spans="2:14" hidden="1">
      <c r="B99" s="5"/>
      <c r="C99" s="1">
        <f t="shared" si="3"/>
        <v>3158</v>
      </c>
      <c r="D99" s="1">
        <f t="shared" si="4"/>
        <v>5</v>
      </c>
      <c r="E99" s="1">
        <f t="shared" si="5"/>
        <v>2017</v>
      </c>
      <c r="G99" s="186">
        <v>6</v>
      </c>
      <c r="H99" s="186">
        <v>1</v>
      </c>
      <c r="J99" s="115" t="s">
        <v>1395</v>
      </c>
      <c r="K99" s="115" t="s">
        <v>1492</v>
      </c>
      <c r="L99" s="33">
        <f>IF(ISBLANK(B16),"",B16)</f>
        <v>319</v>
      </c>
      <c r="M99" s="188" t="s">
        <v>1633</v>
      </c>
      <c r="N99" s="1126" t="s">
        <v>1505</v>
      </c>
    </row>
    <row r="100" spans="2:14" hidden="1">
      <c r="B100" s="5"/>
      <c r="C100" s="1">
        <f t="shared" si="3"/>
        <v>3158</v>
      </c>
      <c r="D100" s="1">
        <f t="shared" si="4"/>
        <v>5</v>
      </c>
      <c r="E100" s="1">
        <f t="shared" si="5"/>
        <v>2017</v>
      </c>
      <c r="G100" s="186">
        <v>6</v>
      </c>
      <c r="H100" s="186">
        <v>1</v>
      </c>
      <c r="J100" s="115" t="s">
        <v>1395</v>
      </c>
      <c r="K100" s="115" t="s">
        <v>1503</v>
      </c>
      <c r="L100" s="33" t="str">
        <f>IF(ISBLANK(C16),"",C16)</f>
        <v/>
      </c>
      <c r="M100" s="188" t="s">
        <v>1634</v>
      </c>
      <c r="N100" s="1127"/>
    </row>
    <row r="101" spans="2:14" hidden="1">
      <c r="B101" s="5"/>
      <c r="C101" s="1">
        <f t="shared" si="3"/>
        <v>3158</v>
      </c>
      <c r="D101" s="1">
        <f t="shared" si="4"/>
        <v>5</v>
      </c>
      <c r="E101" s="1">
        <f t="shared" si="5"/>
        <v>2017</v>
      </c>
      <c r="G101" s="186">
        <v>6</v>
      </c>
      <c r="H101" s="186">
        <v>2</v>
      </c>
      <c r="J101" s="115" t="s">
        <v>1395</v>
      </c>
      <c r="K101" s="115" t="s">
        <v>1492</v>
      </c>
      <c r="L101" s="33" t="str">
        <f>IF(ISBLANK(D16),"",D16)</f>
        <v/>
      </c>
      <c r="M101" s="188" t="s">
        <v>258</v>
      </c>
      <c r="N101" s="1127"/>
    </row>
    <row r="102" spans="2:14" hidden="1">
      <c r="B102" s="5"/>
      <c r="C102" s="1">
        <f t="shared" si="3"/>
        <v>3158</v>
      </c>
      <c r="D102" s="1">
        <f t="shared" si="4"/>
        <v>5</v>
      </c>
      <c r="E102" s="1">
        <f t="shared" si="5"/>
        <v>2017</v>
      </c>
      <c r="G102" s="186">
        <v>6</v>
      </c>
      <c r="H102" s="186">
        <v>2</v>
      </c>
      <c r="J102" s="115" t="s">
        <v>1395</v>
      </c>
      <c r="K102" s="115" t="s">
        <v>1503</v>
      </c>
      <c r="L102" s="33" t="str">
        <f>IF(ISBLANK(E16),"",E16)</f>
        <v/>
      </c>
      <c r="M102" s="188" t="s">
        <v>262</v>
      </c>
      <c r="N102" s="1127"/>
    </row>
    <row r="103" spans="2:14" hidden="1">
      <c r="B103" s="5"/>
      <c r="C103" s="1">
        <f t="shared" si="3"/>
        <v>3158</v>
      </c>
      <c r="D103" s="1">
        <f t="shared" si="4"/>
        <v>5</v>
      </c>
      <c r="E103" s="1">
        <f t="shared" si="5"/>
        <v>2017</v>
      </c>
      <c r="G103" s="186">
        <v>6</v>
      </c>
      <c r="H103" s="186">
        <v>3</v>
      </c>
      <c r="J103" s="115" t="s">
        <v>1395</v>
      </c>
      <c r="K103" s="115" t="s">
        <v>1492</v>
      </c>
      <c r="L103" s="33" t="str">
        <f>IF(ISBLANK(F16),"",F16)</f>
        <v/>
      </c>
      <c r="M103" s="188" t="s">
        <v>266</v>
      </c>
      <c r="N103" s="1127"/>
    </row>
    <row r="104" spans="2:14" ht="13.5" hidden="1" thickBot="1">
      <c r="B104" s="5"/>
      <c r="C104" s="1">
        <f t="shared" si="3"/>
        <v>3158</v>
      </c>
      <c r="D104" s="1">
        <f t="shared" si="4"/>
        <v>5</v>
      </c>
      <c r="E104" s="1">
        <f t="shared" si="5"/>
        <v>2017</v>
      </c>
      <c r="G104" s="186">
        <v>6</v>
      </c>
      <c r="H104" s="186">
        <v>3</v>
      </c>
      <c r="J104" s="115" t="s">
        <v>1395</v>
      </c>
      <c r="K104" s="115" t="s">
        <v>1503</v>
      </c>
      <c r="L104" s="33" t="str">
        <f>IF(ISBLANK(G16),"",G16)</f>
        <v/>
      </c>
      <c r="M104" s="188" t="s">
        <v>270</v>
      </c>
      <c r="N104" s="1127"/>
    </row>
    <row r="105" spans="2:14" ht="13.5" hidden="1" thickTop="1">
      <c r="B105" s="5"/>
      <c r="C105" s="1">
        <f t="shared" si="3"/>
        <v>3158</v>
      </c>
      <c r="D105" s="1">
        <f t="shared" si="4"/>
        <v>5</v>
      </c>
      <c r="E105" s="1">
        <f t="shared" si="5"/>
        <v>2017</v>
      </c>
      <c r="G105" s="186">
        <v>6</v>
      </c>
      <c r="H105" s="186">
        <v>1</v>
      </c>
      <c r="I105" s="186">
        <v>19</v>
      </c>
      <c r="J105" s="115" t="s">
        <v>1498</v>
      </c>
      <c r="K105" s="115" t="s">
        <v>83</v>
      </c>
      <c r="L105" s="33" t="str">
        <f t="shared" ref="L105:L131" si="9">IF(ISBLANK(B17),"",B17)</f>
        <v/>
      </c>
      <c r="M105" s="188" t="s">
        <v>1635</v>
      </c>
      <c r="N105" s="1123" t="s">
        <v>1504</v>
      </c>
    </row>
    <row r="106" spans="2:14" hidden="1">
      <c r="B106" s="5"/>
      <c r="C106" s="1">
        <f t="shared" si="3"/>
        <v>3158</v>
      </c>
      <c r="D106" s="1">
        <f t="shared" si="4"/>
        <v>5</v>
      </c>
      <c r="E106" s="1">
        <f t="shared" si="5"/>
        <v>2017</v>
      </c>
      <c r="G106" s="186">
        <v>6</v>
      </c>
      <c r="H106" s="186">
        <v>1</v>
      </c>
      <c r="I106" s="186">
        <v>16</v>
      </c>
      <c r="J106" s="115" t="s">
        <v>1498</v>
      </c>
      <c r="K106" s="115" t="s">
        <v>83</v>
      </c>
      <c r="L106" s="33" t="str">
        <f t="shared" si="9"/>
        <v/>
      </c>
      <c r="M106" s="188" t="s">
        <v>1636</v>
      </c>
      <c r="N106" s="1124"/>
    </row>
    <row r="107" spans="2:14" hidden="1">
      <c r="B107" s="5"/>
      <c r="C107" s="1">
        <f t="shared" si="3"/>
        <v>3158</v>
      </c>
      <c r="D107" s="1">
        <f t="shared" si="4"/>
        <v>5</v>
      </c>
      <c r="E107" s="1">
        <f t="shared" si="5"/>
        <v>2017</v>
      </c>
      <c r="G107" s="186">
        <v>6</v>
      </c>
      <c r="H107" s="186">
        <v>1</v>
      </c>
      <c r="I107" s="186">
        <v>15</v>
      </c>
      <c r="J107" s="115" t="s">
        <v>1498</v>
      </c>
      <c r="K107" s="115" t="s">
        <v>83</v>
      </c>
      <c r="L107" s="33" t="str">
        <f t="shared" si="9"/>
        <v/>
      </c>
      <c r="M107" s="188" t="s">
        <v>1637</v>
      </c>
      <c r="N107" s="1124"/>
    </row>
    <row r="108" spans="2:14" hidden="1">
      <c r="B108" s="5"/>
      <c r="C108" s="1">
        <f t="shared" si="3"/>
        <v>3158</v>
      </c>
      <c r="D108" s="1">
        <f t="shared" si="4"/>
        <v>5</v>
      </c>
      <c r="E108" s="1">
        <f t="shared" si="5"/>
        <v>2017</v>
      </c>
      <c r="G108" s="186">
        <v>6</v>
      </c>
      <c r="H108" s="186">
        <v>1</v>
      </c>
      <c r="I108" s="186">
        <v>2</v>
      </c>
      <c r="J108" s="115" t="s">
        <v>1498</v>
      </c>
      <c r="K108" s="115" t="s">
        <v>83</v>
      </c>
      <c r="L108" s="33" t="str">
        <f t="shared" si="9"/>
        <v/>
      </c>
      <c r="M108" s="188" t="s">
        <v>1638</v>
      </c>
      <c r="N108" s="1124"/>
    </row>
    <row r="109" spans="2:14" hidden="1">
      <c r="B109" s="5"/>
      <c r="C109" s="1">
        <f t="shared" si="3"/>
        <v>3158</v>
      </c>
      <c r="D109" s="1">
        <f t="shared" si="4"/>
        <v>5</v>
      </c>
      <c r="E109" s="1">
        <f t="shared" si="5"/>
        <v>2017</v>
      </c>
      <c r="G109" s="186">
        <v>6</v>
      </c>
      <c r="H109" s="186">
        <v>1</v>
      </c>
      <c r="I109" s="186">
        <v>13</v>
      </c>
      <c r="J109" s="115" t="s">
        <v>1498</v>
      </c>
      <c r="K109" s="115" t="s">
        <v>83</v>
      </c>
      <c r="L109" s="33" t="str">
        <f t="shared" si="9"/>
        <v/>
      </c>
      <c r="M109" s="188" t="s">
        <v>1639</v>
      </c>
      <c r="N109" s="1124"/>
    </row>
    <row r="110" spans="2:14" hidden="1">
      <c r="B110" s="5"/>
      <c r="C110" s="1">
        <f t="shared" si="3"/>
        <v>3158</v>
      </c>
      <c r="D110" s="1">
        <f t="shared" si="4"/>
        <v>5</v>
      </c>
      <c r="E110" s="1">
        <f t="shared" si="5"/>
        <v>2017</v>
      </c>
      <c r="G110" s="186">
        <v>6</v>
      </c>
      <c r="H110" s="186">
        <v>1</v>
      </c>
      <c r="I110" s="186">
        <v>12</v>
      </c>
      <c r="J110" s="115" t="s">
        <v>1498</v>
      </c>
      <c r="K110" s="115" t="s">
        <v>83</v>
      </c>
      <c r="L110" s="33" t="str">
        <f t="shared" si="9"/>
        <v/>
      </c>
      <c r="M110" s="188" t="s">
        <v>1640</v>
      </c>
      <c r="N110" s="1124"/>
    </row>
    <row r="111" spans="2:14" hidden="1">
      <c r="B111" s="5"/>
      <c r="C111" s="1">
        <f t="shared" si="3"/>
        <v>3158</v>
      </c>
      <c r="D111" s="1">
        <f t="shared" si="4"/>
        <v>5</v>
      </c>
      <c r="E111" s="1">
        <f t="shared" si="5"/>
        <v>2017</v>
      </c>
      <c r="G111" s="186">
        <v>6</v>
      </c>
      <c r="H111" s="186">
        <v>1</v>
      </c>
      <c r="I111" s="186">
        <v>10</v>
      </c>
      <c r="J111" s="115" t="s">
        <v>1498</v>
      </c>
      <c r="K111" s="115" t="s">
        <v>83</v>
      </c>
      <c r="L111" s="33" t="str">
        <f t="shared" si="9"/>
        <v/>
      </c>
      <c r="M111" s="188" t="s">
        <v>1641</v>
      </c>
      <c r="N111" s="1124"/>
    </row>
    <row r="112" spans="2:14" hidden="1">
      <c r="B112" s="5"/>
      <c r="C112" s="1">
        <f t="shared" si="3"/>
        <v>3158</v>
      </c>
      <c r="D112" s="1">
        <f t="shared" si="4"/>
        <v>5</v>
      </c>
      <c r="E112" s="1">
        <f t="shared" si="5"/>
        <v>2017</v>
      </c>
      <c r="G112" s="186">
        <v>6</v>
      </c>
      <c r="H112" s="186">
        <v>1</v>
      </c>
      <c r="I112" s="186">
        <v>25</v>
      </c>
      <c r="J112" s="115" t="s">
        <v>1498</v>
      </c>
      <c r="K112" s="115" t="s">
        <v>83</v>
      </c>
      <c r="L112" s="33" t="str">
        <f t="shared" si="9"/>
        <v/>
      </c>
      <c r="M112" s="188" t="s">
        <v>1642</v>
      </c>
      <c r="N112" s="1124"/>
    </row>
    <row r="113" spans="2:14" hidden="1">
      <c r="B113" s="5"/>
      <c r="C113" s="1">
        <f t="shared" si="3"/>
        <v>3158</v>
      </c>
      <c r="D113" s="1">
        <f t="shared" si="4"/>
        <v>5</v>
      </c>
      <c r="E113" s="1">
        <f t="shared" si="5"/>
        <v>2017</v>
      </c>
      <c r="G113" s="186">
        <v>6</v>
      </c>
      <c r="H113" s="186">
        <v>1</v>
      </c>
      <c r="I113" s="186">
        <v>8</v>
      </c>
      <c r="J113" s="115" t="s">
        <v>1498</v>
      </c>
      <c r="K113" s="115" t="s">
        <v>83</v>
      </c>
      <c r="L113" s="33" t="str">
        <f t="shared" si="9"/>
        <v/>
      </c>
      <c r="M113" s="188" t="s">
        <v>1643</v>
      </c>
      <c r="N113" s="1124"/>
    </row>
    <row r="114" spans="2:14" hidden="1">
      <c r="B114" s="5"/>
      <c r="C114" s="1">
        <f t="shared" si="3"/>
        <v>3158</v>
      </c>
      <c r="D114" s="1">
        <f t="shared" si="4"/>
        <v>5</v>
      </c>
      <c r="E114" s="1">
        <f t="shared" si="5"/>
        <v>2017</v>
      </c>
      <c r="G114" s="186">
        <v>6</v>
      </c>
      <c r="H114" s="186">
        <v>1</v>
      </c>
      <c r="I114" s="186">
        <v>18</v>
      </c>
      <c r="J114" s="115" t="s">
        <v>1498</v>
      </c>
      <c r="K114" s="115" t="s">
        <v>83</v>
      </c>
      <c r="L114" s="33" t="str">
        <f t="shared" si="9"/>
        <v/>
      </c>
      <c r="M114" s="188" t="s">
        <v>1644</v>
      </c>
      <c r="N114" s="1124"/>
    </row>
    <row r="115" spans="2:14" hidden="1">
      <c r="B115" s="5"/>
      <c r="C115" s="1">
        <f t="shared" si="3"/>
        <v>3158</v>
      </c>
      <c r="D115" s="1">
        <f t="shared" si="4"/>
        <v>5</v>
      </c>
      <c r="E115" s="1">
        <f t="shared" si="5"/>
        <v>2017</v>
      </c>
      <c r="G115" s="186">
        <v>6</v>
      </c>
      <c r="H115" s="186">
        <v>1</v>
      </c>
      <c r="I115" s="186">
        <v>26</v>
      </c>
      <c r="J115" s="115" t="s">
        <v>1498</v>
      </c>
      <c r="K115" s="115" t="s">
        <v>83</v>
      </c>
      <c r="L115" s="33" t="str">
        <f t="shared" si="9"/>
        <v/>
      </c>
      <c r="M115" s="188" t="s">
        <v>1645</v>
      </c>
      <c r="N115" s="1124"/>
    </row>
    <row r="116" spans="2:14" hidden="1">
      <c r="B116" s="5"/>
      <c r="C116" s="1">
        <f t="shared" si="3"/>
        <v>3158</v>
      </c>
      <c r="D116" s="1">
        <f t="shared" si="4"/>
        <v>5</v>
      </c>
      <c r="E116" s="1">
        <f t="shared" si="5"/>
        <v>2017</v>
      </c>
      <c r="G116" s="186">
        <v>6</v>
      </c>
      <c r="H116" s="186">
        <v>1</v>
      </c>
      <c r="I116" s="186">
        <v>3</v>
      </c>
      <c r="J116" s="115" t="s">
        <v>1498</v>
      </c>
      <c r="K116" s="115" t="s">
        <v>83</v>
      </c>
      <c r="L116" s="33" t="str">
        <f t="shared" si="9"/>
        <v/>
      </c>
      <c r="M116" s="188" t="s">
        <v>1646</v>
      </c>
      <c r="N116" s="1124"/>
    </row>
    <row r="117" spans="2:14" hidden="1">
      <c r="B117" s="5"/>
      <c r="C117" s="1">
        <f t="shared" si="3"/>
        <v>3158</v>
      </c>
      <c r="D117" s="1">
        <f t="shared" si="4"/>
        <v>5</v>
      </c>
      <c r="E117" s="1">
        <f t="shared" si="5"/>
        <v>2017</v>
      </c>
      <c r="G117" s="186">
        <v>6</v>
      </c>
      <c r="H117" s="186">
        <v>1</v>
      </c>
      <c r="I117" s="186">
        <v>24</v>
      </c>
      <c r="J117" s="115" t="s">
        <v>1498</v>
      </c>
      <c r="K117" s="115" t="s">
        <v>83</v>
      </c>
      <c r="L117" s="33" t="str">
        <f t="shared" si="9"/>
        <v/>
      </c>
      <c r="M117" s="188" t="s">
        <v>1647</v>
      </c>
      <c r="N117" s="1124"/>
    </row>
    <row r="118" spans="2:14" hidden="1">
      <c r="B118" s="5"/>
      <c r="C118" s="1">
        <f t="shared" si="3"/>
        <v>3158</v>
      </c>
      <c r="D118" s="1">
        <f t="shared" si="4"/>
        <v>5</v>
      </c>
      <c r="E118" s="1">
        <f t="shared" si="5"/>
        <v>2017</v>
      </c>
      <c r="G118" s="186">
        <v>6</v>
      </c>
      <c r="H118" s="186">
        <v>1</v>
      </c>
      <c r="I118" s="186">
        <v>7</v>
      </c>
      <c r="J118" s="115" t="s">
        <v>1498</v>
      </c>
      <c r="K118" s="115" t="s">
        <v>83</v>
      </c>
      <c r="L118" s="33" t="str">
        <f t="shared" si="9"/>
        <v/>
      </c>
      <c r="M118" s="188" t="s">
        <v>1648</v>
      </c>
      <c r="N118" s="1124"/>
    </row>
    <row r="119" spans="2:14" hidden="1">
      <c r="B119" s="5"/>
      <c r="C119" s="1">
        <f t="shared" si="3"/>
        <v>3158</v>
      </c>
      <c r="D119" s="1">
        <f t="shared" si="4"/>
        <v>5</v>
      </c>
      <c r="E119" s="1">
        <f t="shared" si="5"/>
        <v>2017</v>
      </c>
      <c r="G119" s="186">
        <v>6</v>
      </c>
      <c r="H119" s="186">
        <v>1</v>
      </c>
      <c r="I119" s="186">
        <v>6</v>
      </c>
      <c r="J119" s="115" t="s">
        <v>1498</v>
      </c>
      <c r="K119" s="115" t="s">
        <v>83</v>
      </c>
      <c r="L119" s="33" t="str">
        <f t="shared" si="9"/>
        <v/>
      </c>
      <c r="M119" s="188" t="s">
        <v>1649</v>
      </c>
      <c r="N119" s="1124"/>
    </row>
    <row r="120" spans="2:14" hidden="1">
      <c r="B120" s="5"/>
      <c r="C120" s="1">
        <f t="shared" si="3"/>
        <v>3158</v>
      </c>
      <c r="D120" s="1">
        <f t="shared" si="4"/>
        <v>5</v>
      </c>
      <c r="E120" s="1">
        <f t="shared" si="5"/>
        <v>2017</v>
      </c>
      <c r="G120" s="186">
        <v>6</v>
      </c>
      <c r="H120" s="186">
        <v>1</v>
      </c>
      <c r="I120" s="186">
        <v>17</v>
      </c>
      <c r="J120" s="115" t="s">
        <v>1498</v>
      </c>
      <c r="K120" s="115" t="s">
        <v>83</v>
      </c>
      <c r="L120" s="33" t="str">
        <f t="shared" si="9"/>
        <v/>
      </c>
      <c r="M120" s="188" t="s">
        <v>1650</v>
      </c>
      <c r="N120" s="1124"/>
    </row>
    <row r="121" spans="2:14" hidden="1">
      <c r="B121" s="5"/>
      <c r="C121" s="1">
        <f t="shared" si="3"/>
        <v>3158</v>
      </c>
      <c r="D121" s="1">
        <f t="shared" si="4"/>
        <v>5</v>
      </c>
      <c r="E121" s="1">
        <f t="shared" si="5"/>
        <v>2017</v>
      </c>
      <c r="G121" s="186">
        <v>6</v>
      </c>
      <c r="H121" s="186">
        <v>1</v>
      </c>
      <c r="I121" s="186">
        <v>14</v>
      </c>
      <c r="J121" s="115" t="s">
        <v>1498</v>
      </c>
      <c r="K121" s="115" t="s">
        <v>83</v>
      </c>
      <c r="L121" s="33" t="str">
        <f t="shared" si="9"/>
        <v/>
      </c>
      <c r="M121" s="188" t="s">
        <v>1651</v>
      </c>
      <c r="N121" s="1124"/>
    </row>
    <row r="122" spans="2:14" hidden="1">
      <c r="B122" s="5"/>
      <c r="C122" s="1">
        <f t="shared" si="3"/>
        <v>3158</v>
      </c>
      <c r="D122" s="1">
        <f t="shared" si="4"/>
        <v>5</v>
      </c>
      <c r="E122" s="1">
        <f t="shared" si="5"/>
        <v>2017</v>
      </c>
      <c r="G122" s="186">
        <v>6</v>
      </c>
      <c r="H122" s="186">
        <v>1</v>
      </c>
      <c r="I122" s="186">
        <v>11</v>
      </c>
      <c r="J122" s="115" t="s">
        <v>1498</v>
      </c>
      <c r="K122" s="115" t="s">
        <v>83</v>
      </c>
      <c r="L122" s="33" t="str">
        <f t="shared" si="9"/>
        <v/>
      </c>
      <c r="M122" s="188" t="s">
        <v>1652</v>
      </c>
      <c r="N122" s="1124"/>
    </row>
    <row r="123" spans="2:14" hidden="1">
      <c r="B123" s="5"/>
      <c r="C123" s="1">
        <f t="shared" si="3"/>
        <v>3158</v>
      </c>
      <c r="D123" s="1">
        <f t="shared" si="4"/>
        <v>5</v>
      </c>
      <c r="E123" s="1">
        <f t="shared" si="5"/>
        <v>2017</v>
      </c>
      <c r="G123" s="186">
        <v>6</v>
      </c>
      <c r="H123" s="186">
        <v>1</v>
      </c>
      <c r="I123" s="186">
        <v>5</v>
      </c>
      <c r="J123" s="115" t="s">
        <v>1498</v>
      </c>
      <c r="K123" s="115" t="s">
        <v>83</v>
      </c>
      <c r="L123" s="33" t="str">
        <f t="shared" si="9"/>
        <v/>
      </c>
      <c r="M123" s="188" t="s">
        <v>1653</v>
      </c>
      <c r="N123" s="1124"/>
    </row>
    <row r="124" spans="2:14" hidden="1">
      <c r="B124" s="5"/>
      <c r="C124" s="1">
        <f t="shared" si="3"/>
        <v>3158</v>
      </c>
      <c r="D124" s="1">
        <f t="shared" si="4"/>
        <v>5</v>
      </c>
      <c r="E124" s="1">
        <f t="shared" si="5"/>
        <v>2017</v>
      </c>
      <c r="G124" s="186">
        <v>6</v>
      </c>
      <c r="H124" s="186">
        <v>1</v>
      </c>
      <c r="I124" s="186">
        <v>20</v>
      </c>
      <c r="J124" s="115" t="s">
        <v>1498</v>
      </c>
      <c r="K124" s="115" t="s">
        <v>83</v>
      </c>
      <c r="L124" s="33" t="str">
        <f t="shared" si="9"/>
        <v/>
      </c>
      <c r="M124" s="188" t="s">
        <v>1654</v>
      </c>
      <c r="N124" s="1124"/>
    </row>
    <row r="125" spans="2:14" hidden="1">
      <c r="B125" s="5"/>
      <c r="C125" s="1">
        <f t="shared" si="3"/>
        <v>3158</v>
      </c>
      <c r="D125" s="1">
        <f t="shared" si="4"/>
        <v>5</v>
      </c>
      <c r="E125" s="1">
        <f t="shared" si="5"/>
        <v>2017</v>
      </c>
      <c r="G125" s="186">
        <v>6</v>
      </c>
      <c r="H125" s="186">
        <v>1</v>
      </c>
      <c r="I125" s="186">
        <v>21</v>
      </c>
      <c r="J125" s="115" t="s">
        <v>1498</v>
      </c>
      <c r="K125" s="115" t="s">
        <v>83</v>
      </c>
      <c r="L125" s="33" t="str">
        <f t="shared" si="9"/>
        <v/>
      </c>
      <c r="M125" s="188" t="s">
        <v>1655</v>
      </c>
      <c r="N125" s="1124"/>
    </row>
    <row r="126" spans="2:14" hidden="1">
      <c r="B126" s="5"/>
      <c r="C126" s="1">
        <f t="shared" si="3"/>
        <v>3158</v>
      </c>
      <c r="D126" s="1">
        <f t="shared" si="4"/>
        <v>5</v>
      </c>
      <c r="E126" s="1">
        <f t="shared" si="5"/>
        <v>2017</v>
      </c>
      <c r="G126" s="186">
        <v>6</v>
      </c>
      <c r="H126" s="186">
        <v>1</v>
      </c>
      <c r="I126" s="186">
        <v>4</v>
      </c>
      <c r="J126" s="115" t="s">
        <v>1498</v>
      </c>
      <c r="K126" s="115" t="s">
        <v>83</v>
      </c>
      <c r="L126" s="33" t="str">
        <f t="shared" si="9"/>
        <v/>
      </c>
      <c r="M126" s="188" t="s">
        <v>1656</v>
      </c>
      <c r="N126" s="1124"/>
    </row>
    <row r="127" spans="2:14" hidden="1">
      <c r="B127" s="5"/>
      <c r="C127" s="1">
        <f t="shared" si="3"/>
        <v>3158</v>
      </c>
      <c r="D127" s="1">
        <f t="shared" si="4"/>
        <v>5</v>
      </c>
      <c r="E127" s="1">
        <f t="shared" si="5"/>
        <v>2017</v>
      </c>
      <c r="G127" s="186">
        <v>6</v>
      </c>
      <c r="H127" s="186">
        <v>1</v>
      </c>
      <c r="I127" s="186">
        <v>22</v>
      </c>
      <c r="J127" s="115" t="s">
        <v>1498</v>
      </c>
      <c r="K127" s="115" t="s">
        <v>83</v>
      </c>
      <c r="L127" s="33" t="str">
        <f t="shared" si="9"/>
        <v/>
      </c>
      <c r="M127" s="188" t="s">
        <v>1657</v>
      </c>
      <c r="N127" s="1124"/>
    </row>
    <row r="128" spans="2:14" hidden="1">
      <c r="B128" s="5"/>
      <c r="C128" s="1">
        <f t="shared" si="3"/>
        <v>3158</v>
      </c>
      <c r="D128" s="1">
        <f t="shared" si="4"/>
        <v>5</v>
      </c>
      <c r="E128" s="1">
        <f t="shared" si="5"/>
        <v>2017</v>
      </c>
      <c r="G128" s="186">
        <v>6</v>
      </c>
      <c r="H128" s="186">
        <v>1</v>
      </c>
      <c r="I128" s="186">
        <v>23</v>
      </c>
      <c r="J128" s="115" t="s">
        <v>1498</v>
      </c>
      <c r="K128" s="115" t="s">
        <v>83</v>
      </c>
      <c r="L128" s="33">
        <f t="shared" si="9"/>
        <v>338</v>
      </c>
      <c r="M128" s="188" t="s">
        <v>1658</v>
      </c>
      <c r="N128" s="1124"/>
    </row>
    <row r="129" spans="2:14" hidden="1">
      <c r="B129" s="5"/>
      <c r="C129" s="1">
        <f t="shared" si="3"/>
        <v>3158</v>
      </c>
      <c r="D129" s="1">
        <f t="shared" si="4"/>
        <v>5</v>
      </c>
      <c r="E129" s="1">
        <f t="shared" si="5"/>
        <v>2017</v>
      </c>
      <c r="G129" s="186">
        <v>6</v>
      </c>
      <c r="H129" s="186">
        <v>1</v>
      </c>
      <c r="I129" s="186">
        <v>9</v>
      </c>
      <c r="J129" s="115" t="s">
        <v>1498</v>
      </c>
      <c r="K129" s="115" t="s">
        <v>83</v>
      </c>
      <c r="L129" s="33" t="str">
        <f t="shared" si="9"/>
        <v/>
      </c>
      <c r="M129" s="188" t="s">
        <v>1659</v>
      </c>
      <c r="N129" s="1124"/>
    </row>
    <row r="130" spans="2:14" hidden="1">
      <c r="B130" s="5"/>
      <c r="C130" s="1">
        <f t="shared" si="3"/>
        <v>3158</v>
      </c>
      <c r="D130" s="1">
        <f t="shared" si="4"/>
        <v>5</v>
      </c>
      <c r="E130" s="1">
        <f t="shared" si="5"/>
        <v>2017</v>
      </c>
      <c r="G130" s="186">
        <v>6</v>
      </c>
      <c r="H130" s="186">
        <v>1</v>
      </c>
      <c r="I130" s="186">
        <v>1</v>
      </c>
      <c r="J130" s="115" t="s">
        <v>1498</v>
      </c>
      <c r="K130" s="115" t="s">
        <v>83</v>
      </c>
      <c r="L130" s="33" t="str">
        <f t="shared" si="9"/>
        <v/>
      </c>
      <c r="M130" s="188" t="s">
        <v>1660</v>
      </c>
      <c r="N130" s="1124"/>
    </row>
    <row r="131" spans="2:14" hidden="1">
      <c r="B131" s="5"/>
      <c r="C131" s="1">
        <f t="shared" si="3"/>
        <v>3158</v>
      </c>
      <c r="D131" s="1">
        <f t="shared" si="4"/>
        <v>5</v>
      </c>
      <c r="E131" s="1">
        <f t="shared" si="5"/>
        <v>2017</v>
      </c>
      <c r="G131" s="186">
        <v>6</v>
      </c>
      <c r="H131" s="186">
        <v>1</v>
      </c>
      <c r="I131" s="186">
        <v>-1</v>
      </c>
      <c r="J131" s="115" t="s">
        <v>1498</v>
      </c>
      <c r="K131" s="115" t="s">
        <v>83</v>
      </c>
      <c r="L131" s="33" t="str">
        <f t="shared" si="9"/>
        <v/>
      </c>
      <c r="M131" s="188" t="s">
        <v>1661</v>
      </c>
      <c r="N131" s="1124"/>
    </row>
    <row r="132" spans="2:14" hidden="1">
      <c r="B132" s="5"/>
      <c r="C132" s="1">
        <f t="shared" si="3"/>
        <v>3158</v>
      </c>
      <c r="D132" s="1">
        <f t="shared" si="4"/>
        <v>5</v>
      </c>
      <c r="E132" s="1">
        <f t="shared" si="5"/>
        <v>2017</v>
      </c>
      <c r="G132" s="186">
        <v>6</v>
      </c>
      <c r="H132" s="186">
        <v>1</v>
      </c>
      <c r="I132" s="186">
        <v>19</v>
      </c>
      <c r="J132" s="115" t="s">
        <v>1498</v>
      </c>
      <c r="K132" s="115" t="s">
        <v>1482</v>
      </c>
      <c r="L132" s="33" t="str">
        <f t="shared" ref="L132:L158" si="10">IF(ISBLANK(C17),"",C17)</f>
        <v/>
      </c>
      <c r="M132" s="188" t="s">
        <v>1662</v>
      </c>
      <c r="N132" s="1124"/>
    </row>
    <row r="133" spans="2:14" hidden="1">
      <c r="B133" s="5"/>
      <c r="C133" s="1">
        <f t="shared" si="3"/>
        <v>3158</v>
      </c>
      <c r="D133" s="1">
        <f t="shared" si="4"/>
        <v>5</v>
      </c>
      <c r="E133" s="1">
        <f t="shared" si="5"/>
        <v>2017</v>
      </c>
      <c r="G133" s="186">
        <v>6</v>
      </c>
      <c r="H133" s="186">
        <v>1</v>
      </c>
      <c r="I133" s="186">
        <v>16</v>
      </c>
      <c r="J133" s="115" t="s">
        <v>1498</v>
      </c>
      <c r="K133" s="115" t="s">
        <v>1482</v>
      </c>
      <c r="L133" s="33" t="str">
        <f t="shared" si="10"/>
        <v/>
      </c>
      <c r="M133" s="188" t="s">
        <v>1663</v>
      </c>
      <c r="N133" s="1124"/>
    </row>
    <row r="134" spans="2:14" hidden="1">
      <c r="B134" s="5"/>
      <c r="C134" s="1">
        <f t="shared" ref="C134:C197" si="11">G$1</f>
        <v>3158</v>
      </c>
      <c r="D134" s="1">
        <f t="shared" ref="D134:D197" si="12">I$1</f>
        <v>5</v>
      </c>
      <c r="E134" s="1">
        <f t="shared" ref="E134:E197" si="13">G$2</f>
        <v>2017</v>
      </c>
      <c r="G134" s="186">
        <v>6</v>
      </c>
      <c r="H134" s="186">
        <v>1</v>
      </c>
      <c r="I134" s="186">
        <v>15</v>
      </c>
      <c r="J134" s="115" t="s">
        <v>1498</v>
      </c>
      <c r="K134" s="115" t="s">
        <v>1482</v>
      </c>
      <c r="L134" s="33" t="str">
        <f t="shared" si="10"/>
        <v/>
      </c>
      <c r="M134" s="188" t="s">
        <v>1664</v>
      </c>
      <c r="N134" s="1124"/>
    </row>
    <row r="135" spans="2:14" hidden="1">
      <c r="B135" s="5"/>
      <c r="C135" s="1">
        <f t="shared" si="11"/>
        <v>3158</v>
      </c>
      <c r="D135" s="1">
        <f t="shared" si="12"/>
        <v>5</v>
      </c>
      <c r="E135" s="1">
        <f t="shared" si="13"/>
        <v>2017</v>
      </c>
      <c r="G135" s="186">
        <v>6</v>
      </c>
      <c r="H135" s="186">
        <v>1</v>
      </c>
      <c r="I135" s="186">
        <v>2</v>
      </c>
      <c r="J135" s="115" t="s">
        <v>1498</v>
      </c>
      <c r="K135" s="115" t="s">
        <v>1482</v>
      </c>
      <c r="L135" s="33" t="str">
        <f t="shared" si="10"/>
        <v/>
      </c>
      <c r="M135" s="188" t="s">
        <v>1665</v>
      </c>
      <c r="N135" s="1124"/>
    </row>
    <row r="136" spans="2:14" hidden="1">
      <c r="B136" s="5"/>
      <c r="C136" s="1">
        <f t="shared" si="11"/>
        <v>3158</v>
      </c>
      <c r="D136" s="1">
        <f t="shared" si="12"/>
        <v>5</v>
      </c>
      <c r="E136" s="1">
        <f t="shared" si="13"/>
        <v>2017</v>
      </c>
      <c r="G136" s="186">
        <v>6</v>
      </c>
      <c r="H136" s="186">
        <v>1</v>
      </c>
      <c r="I136" s="186">
        <v>13</v>
      </c>
      <c r="J136" s="115" t="s">
        <v>1498</v>
      </c>
      <c r="K136" s="115" t="s">
        <v>1482</v>
      </c>
      <c r="L136" s="33" t="str">
        <f t="shared" si="10"/>
        <v/>
      </c>
      <c r="M136" s="188" t="s">
        <v>1666</v>
      </c>
      <c r="N136" s="1124"/>
    </row>
    <row r="137" spans="2:14" hidden="1">
      <c r="B137" s="5"/>
      <c r="C137" s="1">
        <f t="shared" si="11"/>
        <v>3158</v>
      </c>
      <c r="D137" s="1">
        <f t="shared" si="12"/>
        <v>5</v>
      </c>
      <c r="E137" s="1">
        <f t="shared" si="13"/>
        <v>2017</v>
      </c>
      <c r="G137" s="186">
        <v>6</v>
      </c>
      <c r="H137" s="186">
        <v>1</v>
      </c>
      <c r="I137" s="186">
        <v>12</v>
      </c>
      <c r="J137" s="115" t="s">
        <v>1498</v>
      </c>
      <c r="K137" s="115" t="s">
        <v>1482</v>
      </c>
      <c r="L137" s="33" t="str">
        <f t="shared" si="10"/>
        <v/>
      </c>
      <c r="M137" s="188" t="s">
        <v>1667</v>
      </c>
      <c r="N137" s="1124"/>
    </row>
    <row r="138" spans="2:14" hidden="1">
      <c r="B138" s="5"/>
      <c r="C138" s="1">
        <f t="shared" si="11"/>
        <v>3158</v>
      </c>
      <c r="D138" s="1">
        <f t="shared" si="12"/>
        <v>5</v>
      </c>
      <c r="E138" s="1">
        <f t="shared" si="13"/>
        <v>2017</v>
      </c>
      <c r="G138" s="186">
        <v>6</v>
      </c>
      <c r="H138" s="186">
        <v>1</v>
      </c>
      <c r="I138" s="186">
        <v>10</v>
      </c>
      <c r="J138" s="115" t="s">
        <v>1498</v>
      </c>
      <c r="K138" s="115" t="s">
        <v>1482</v>
      </c>
      <c r="L138" s="33" t="str">
        <f t="shared" si="10"/>
        <v/>
      </c>
      <c r="M138" s="188" t="s">
        <v>1668</v>
      </c>
      <c r="N138" s="1124"/>
    </row>
    <row r="139" spans="2:14" hidden="1">
      <c r="B139" s="5"/>
      <c r="C139" s="1">
        <f t="shared" si="11"/>
        <v>3158</v>
      </c>
      <c r="D139" s="1">
        <f t="shared" si="12"/>
        <v>5</v>
      </c>
      <c r="E139" s="1">
        <f t="shared" si="13"/>
        <v>2017</v>
      </c>
      <c r="G139" s="186">
        <v>6</v>
      </c>
      <c r="H139" s="186">
        <v>1</v>
      </c>
      <c r="I139" s="186">
        <v>25</v>
      </c>
      <c r="J139" s="115" t="s">
        <v>1498</v>
      </c>
      <c r="K139" s="115" t="s">
        <v>1482</v>
      </c>
      <c r="L139" s="33" t="str">
        <f t="shared" si="10"/>
        <v/>
      </c>
      <c r="M139" s="188" t="s">
        <v>1669</v>
      </c>
      <c r="N139" s="1124"/>
    </row>
    <row r="140" spans="2:14" hidden="1">
      <c r="B140" s="5"/>
      <c r="C140" s="1">
        <f t="shared" si="11"/>
        <v>3158</v>
      </c>
      <c r="D140" s="1">
        <f t="shared" si="12"/>
        <v>5</v>
      </c>
      <c r="E140" s="1">
        <f t="shared" si="13"/>
        <v>2017</v>
      </c>
      <c r="G140" s="186">
        <v>6</v>
      </c>
      <c r="H140" s="186">
        <v>1</v>
      </c>
      <c r="I140" s="186">
        <v>8</v>
      </c>
      <c r="J140" s="115" t="s">
        <v>1498</v>
      </c>
      <c r="K140" s="115" t="s">
        <v>1482</v>
      </c>
      <c r="L140" s="33" t="str">
        <f t="shared" si="10"/>
        <v/>
      </c>
      <c r="M140" s="188" t="s">
        <v>1670</v>
      </c>
      <c r="N140" s="1124"/>
    </row>
    <row r="141" spans="2:14" hidden="1">
      <c r="B141" s="5"/>
      <c r="C141" s="1">
        <f t="shared" si="11"/>
        <v>3158</v>
      </c>
      <c r="D141" s="1">
        <f t="shared" si="12"/>
        <v>5</v>
      </c>
      <c r="E141" s="1">
        <f t="shared" si="13"/>
        <v>2017</v>
      </c>
      <c r="G141" s="186">
        <v>6</v>
      </c>
      <c r="H141" s="186">
        <v>1</v>
      </c>
      <c r="I141" s="186">
        <v>18</v>
      </c>
      <c r="J141" s="115" t="s">
        <v>1498</v>
      </c>
      <c r="K141" s="115" t="s">
        <v>1482</v>
      </c>
      <c r="L141" s="33" t="str">
        <f t="shared" si="10"/>
        <v/>
      </c>
      <c r="M141" s="188" t="s">
        <v>1671</v>
      </c>
      <c r="N141" s="1124"/>
    </row>
    <row r="142" spans="2:14" hidden="1">
      <c r="B142" s="5"/>
      <c r="C142" s="1">
        <f t="shared" si="11"/>
        <v>3158</v>
      </c>
      <c r="D142" s="1">
        <f t="shared" si="12"/>
        <v>5</v>
      </c>
      <c r="E142" s="1">
        <f t="shared" si="13"/>
        <v>2017</v>
      </c>
      <c r="G142" s="186">
        <v>6</v>
      </c>
      <c r="H142" s="186">
        <v>1</v>
      </c>
      <c r="I142" s="186">
        <v>26</v>
      </c>
      <c r="J142" s="115" t="s">
        <v>1498</v>
      </c>
      <c r="K142" s="115" t="s">
        <v>1482</v>
      </c>
      <c r="L142" s="33" t="str">
        <f t="shared" si="10"/>
        <v/>
      </c>
      <c r="M142" s="188" t="s">
        <v>1672</v>
      </c>
      <c r="N142" s="1124"/>
    </row>
    <row r="143" spans="2:14" hidden="1">
      <c r="B143" s="5"/>
      <c r="C143" s="1">
        <f t="shared" si="11"/>
        <v>3158</v>
      </c>
      <c r="D143" s="1">
        <f t="shared" si="12"/>
        <v>5</v>
      </c>
      <c r="E143" s="1">
        <f t="shared" si="13"/>
        <v>2017</v>
      </c>
      <c r="G143" s="186">
        <v>6</v>
      </c>
      <c r="H143" s="186">
        <v>1</v>
      </c>
      <c r="I143" s="186">
        <v>3</v>
      </c>
      <c r="J143" s="115" t="s">
        <v>1498</v>
      </c>
      <c r="K143" s="115" t="s">
        <v>1482</v>
      </c>
      <c r="L143" s="33" t="str">
        <f t="shared" si="10"/>
        <v/>
      </c>
      <c r="M143" s="188" t="s">
        <v>1673</v>
      </c>
      <c r="N143" s="1124"/>
    </row>
    <row r="144" spans="2:14" hidden="1">
      <c r="B144" s="5"/>
      <c r="C144" s="1">
        <f t="shared" si="11"/>
        <v>3158</v>
      </c>
      <c r="D144" s="1">
        <f t="shared" si="12"/>
        <v>5</v>
      </c>
      <c r="E144" s="1">
        <f t="shared" si="13"/>
        <v>2017</v>
      </c>
      <c r="G144" s="186">
        <v>6</v>
      </c>
      <c r="H144" s="186">
        <v>1</v>
      </c>
      <c r="I144" s="186">
        <v>24</v>
      </c>
      <c r="J144" s="115" t="s">
        <v>1498</v>
      </c>
      <c r="K144" s="115" t="s">
        <v>1482</v>
      </c>
      <c r="L144" s="33" t="str">
        <f t="shared" si="10"/>
        <v/>
      </c>
      <c r="M144" s="188" t="s">
        <v>1674</v>
      </c>
      <c r="N144" s="1124"/>
    </row>
    <row r="145" spans="2:14" hidden="1">
      <c r="B145" s="5"/>
      <c r="C145" s="1">
        <f t="shared" si="11"/>
        <v>3158</v>
      </c>
      <c r="D145" s="1">
        <f t="shared" si="12"/>
        <v>5</v>
      </c>
      <c r="E145" s="1">
        <f t="shared" si="13"/>
        <v>2017</v>
      </c>
      <c r="G145" s="186">
        <v>6</v>
      </c>
      <c r="H145" s="186">
        <v>1</v>
      </c>
      <c r="I145" s="186">
        <v>7</v>
      </c>
      <c r="J145" s="115" t="s">
        <v>1498</v>
      </c>
      <c r="K145" s="115" t="s">
        <v>1482</v>
      </c>
      <c r="L145" s="33" t="str">
        <f t="shared" si="10"/>
        <v/>
      </c>
      <c r="M145" s="188" t="s">
        <v>1675</v>
      </c>
      <c r="N145" s="1124"/>
    </row>
    <row r="146" spans="2:14" hidden="1">
      <c r="B146" s="5"/>
      <c r="C146" s="1">
        <f t="shared" si="11"/>
        <v>3158</v>
      </c>
      <c r="D146" s="1">
        <f t="shared" si="12"/>
        <v>5</v>
      </c>
      <c r="E146" s="1">
        <f t="shared" si="13"/>
        <v>2017</v>
      </c>
      <c r="G146" s="186">
        <v>6</v>
      </c>
      <c r="H146" s="186">
        <v>1</v>
      </c>
      <c r="I146" s="186">
        <v>6</v>
      </c>
      <c r="J146" s="115" t="s">
        <v>1498</v>
      </c>
      <c r="K146" s="115" t="s">
        <v>1482</v>
      </c>
      <c r="L146" s="33" t="str">
        <f t="shared" si="10"/>
        <v/>
      </c>
      <c r="M146" s="188" t="s">
        <v>1676</v>
      </c>
      <c r="N146" s="1124"/>
    </row>
    <row r="147" spans="2:14" hidden="1">
      <c r="B147" s="5"/>
      <c r="C147" s="1">
        <f t="shared" si="11"/>
        <v>3158</v>
      </c>
      <c r="D147" s="1">
        <f t="shared" si="12"/>
        <v>5</v>
      </c>
      <c r="E147" s="1">
        <f t="shared" si="13"/>
        <v>2017</v>
      </c>
      <c r="G147" s="186">
        <v>6</v>
      </c>
      <c r="H147" s="186">
        <v>1</v>
      </c>
      <c r="I147" s="186">
        <v>17</v>
      </c>
      <c r="J147" s="115" t="s">
        <v>1498</v>
      </c>
      <c r="K147" s="115" t="s">
        <v>1482</v>
      </c>
      <c r="L147" s="33" t="str">
        <f t="shared" si="10"/>
        <v/>
      </c>
      <c r="M147" s="188" t="s">
        <v>1677</v>
      </c>
      <c r="N147" s="1124"/>
    </row>
    <row r="148" spans="2:14" hidden="1">
      <c r="B148" s="5"/>
      <c r="C148" s="1">
        <f t="shared" si="11"/>
        <v>3158</v>
      </c>
      <c r="D148" s="1">
        <f t="shared" si="12"/>
        <v>5</v>
      </c>
      <c r="E148" s="1">
        <f t="shared" si="13"/>
        <v>2017</v>
      </c>
      <c r="G148" s="186">
        <v>6</v>
      </c>
      <c r="H148" s="186">
        <v>1</v>
      </c>
      <c r="I148" s="186">
        <v>14</v>
      </c>
      <c r="J148" s="115" t="s">
        <v>1498</v>
      </c>
      <c r="K148" s="115" t="s">
        <v>1482</v>
      </c>
      <c r="L148" s="33" t="str">
        <f t="shared" si="10"/>
        <v/>
      </c>
      <c r="M148" s="188" t="s">
        <v>1678</v>
      </c>
      <c r="N148" s="1124"/>
    </row>
    <row r="149" spans="2:14" hidden="1">
      <c r="B149" s="5"/>
      <c r="C149" s="1">
        <f t="shared" si="11"/>
        <v>3158</v>
      </c>
      <c r="D149" s="1">
        <f t="shared" si="12"/>
        <v>5</v>
      </c>
      <c r="E149" s="1">
        <f t="shared" si="13"/>
        <v>2017</v>
      </c>
      <c r="G149" s="186">
        <v>6</v>
      </c>
      <c r="H149" s="186">
        <v>1</v>
      </c>
      <c r="I149" s="186">
        <v>11</v>
      </c>
      <c r="J149" s="115" t="s">
        <v>1498</v>
      </c>
      <c r="K149" s="115" t="s">
        <v>1482</v>
      </c>
      <c r="L149" s="33" t="str">
        <f t="shared" si="10"/>
        <v/>
      </c>
      <c r="M149" s="188" t="s">
        <v>1679</v>
      </c>
      <c r="N149" s="1124"/>
    </row>
    <row r="150" spans="2:14" hidden="1">
      <c r="B150" s="5"/>
      <c r="C150" s="1">
        <f t="shared" si="11"/>
        <v>3158</v>
      </c>
      <c r="D150" s="1">
        <f t="shared" si="12"/>
        <v>5</v>
      </c>
      <c r="E150" s="1">
        <f t="shared" si="13"/>
        <v>2017</v>
      </c>
      <c r="G150" s="186">
        <v>6</v>
      </c>
      <c r="H150" s="186">
        <v>1</v>
      </c>
      <c r="I150" s="186">
        <v>5</v>
      </c>
      <c r="J150" s="115" t="s">
        <v>1498</v>
      </c>
      <c r="K150" s="115" t="s">
        <v>1482</v>
      </c>
      <c r="L150" s="33" t="str">
        <f t="shared" si="10"/>
        <v/>
      </c>
      <c r="M150" s="188" t="s">
        <v>1680</v>
      </c>
      <c r="N150" s="1124"/>
    </row>
    <row r="151" spans="2:14" hidden="1">
      <c r="B151" s="5"/>
      <c r="C151" s="1">
        <f t="shared" si="11"/>
        <v>3158</v>
      </c>
      <c r="D151" s="1">
        <f t="shared" si="12"/>
        <v>5</v>
      </c>
      <c r="E151" s="1">
        <f t="shared" si="13"/>
        <v>2017</v>
      </c>
      <c r="G151" s="186">
        <v>6</v>
      </c>
      <c r="H151" s="186">
        <v>1</v>
      </c>
      <c r="I151" s="186">
        <v>20</v>
      </c>
      <c r="J151" s="115" t="s">
        <v>1498</v>
      </c>
      <c r="K151" s="115" t="s">
        <v>1482</v>
      </c>
      <c r="L151" s="33" t="str">
        <f t="shared" si="10"/>
        <v/>
      </c>
      <c r="M151" s="188" t="s">
        <v>1681</v>
      </c>
      <c r="N151" s="1124"/>
    </row>
    <row r="152" spans="2:14" hidden="1">
      <c r="B152" s="5"/>
      <c r="C152" s="1">
        <f t="shared" si="11"/>
        <v>3158</v>
      </c>
      <c r="D152" s="1">
        <f t="shared" si="12"/>
        <v>5</v>
      </c>
      <c r="E152" s="1">
        <f t="shared" si="13"/>
        <v>2017</v>
      </c>
      <c r="G152" s="186">
        <v>6</v>
      </c>
      <c r="H152" s="186">
        <v>1</v>
      </c>
      <c r="I152" s="186">
        <v>21</v>
      </c>
      <c r="J152" s="115" t="s">
        <v>1498</v>
      </c>
      <c r="K152" s="115" t="s">
        <v>1482</v>
      </c>
      <c r="L152" s="33" t="str">
        <f t="shared" si="10"/>
        <v/>
      </c>
      <c r="M152" s="188" t="s">
        <v>1682</v>
      </c>
      <c r="N152" s="1124"/>
    </row>
    <row r="153" spans="2:14" hidden="1">
      <c r="B153" s="5"/>
      <c r="C153" s="1">
        <f t="shared" si="11"/>
        <v>3158</v>
      </c>
      <c r="D153" s="1">
        <f t="shared" si="12"/>
        <v>5</v>
      </c>
      <c r="E153" s="1">
        <f t="shared" si="13"/>
        <v>2017</v>
      </c>
      <c r="G153" s="186">
        <v>6</v>
      </c>
      <c r="H153" s="186">
        <v>1</v>
      </c>
      <c r="I153" s="186">
        <v>4</v>
      </c>
      <c r="J153" s="115" t="s">
        <v>1498</v>
      </c>
      <c r="K153" s="115" t="s">
        <v>1482</v>
      </c>
      <c r="L153" s="33" t="str">
        <f t="shared" si="10"/>
        <v/>
      </c>
      <c r="M153" s="188" t="s">
        <v>1683</v>
      </c>
      <c r="N153" s="1124"/>
    </row>
    <row r="154" spans="2:14" hidden="1">
      <c r="B154" s="5"/>
      <c r="C154" s="1">
        <f t="shared" si="11"/>
        <v>3158</v>
      </c>
      <c r="D154" s="1">
        <f t="shared" si="12"/>
        <v>5</v>
      </c>
      <c r="E154" s="1">
        <f t="shared" si="13"/>
        <v>2017</v>
      </c>
      <c r="G154" s="186">
        <v>6</v>
      </c>
      <c r="H154" s="186">
        <v>1</v>
      </c>
      <c r="I154" s="186">
        <v>22</v>
      </c>
      <c r="J154" s="115" t="s">
        <v>1498</v>
      </c>
      <c r="K154" s="115" t="s">
        <v>1482</v>
      </c>
      <c r="L154" s="33" t="str">
        <f t="shared" si="10"/>
        <v/>
      </c>
      <c r="M154" s="188" t="s">
        <v>1684</v>
      </c>
      <c r="N154" s="1124"/>
    </row>
    <row r="155" spans="2:14" hidden="1">
      <c r="B155" s="5"/>
      <c r="C155" s="1">
        <f t="shared" si="11"/>
        <v>3158</v>
      </c>
      <c r="D155" s="1">
        <f t="shared" si="12"/>
        <v>5</v>
      </c>
      <c r="E155" s="1">
        <f t="shared" si="13"/>
        <v>2017</v>
      </c>
      <c r="G155" s="186">
        <v>6</v>
      </c>
      <c r="H155" s="186">
        <v>1</v>
      </c>
      <c r="I155" s="186">
        <v>23</v>
      </c>
      <c r="J155" s="115" t="s">
        <v>1498</v>
      </c>
      <c r="K155" s="115" t="s">
        <v>1482</v>
      </c>
      <c r="L155" s="33" t="str">
        <f t="shared" si="10"/>
        <v/>
      </c>
      <c r="M155" s="188" t="s">
        <v>1685</v>
      </c>
      <c r="N155" s="1124"/>
    </row>
    <row r="156" spans="2:14" hidden="1">
      <c r="B156" s="5"/>
      <c r="C156" s="1">
        <f t="shared" si="11"/>
        <v>3158</v>
      </c>
      <c r="D156" s="1">
        <f t="shared" si="12"/>
        <v>5</v>
      </c>
      <c r="E156" s="1">
        <f t="shared" si="13"/>
        <v>2017</v>
      </c>
      <c r="G156" s="186">
        <v>6</v>
      </c>
      <c r="H156" s="186">
        <v>1</v>
      </c>
      <c r="I156" s="186">
        <v>9</v>
      </c>
      <c r="J156" s="115" t="s">
        <v>1498</v>
      </c>
      <c r="K156" s="115" t="s">
        <v>1482</v>
      </c>
      <c r="L156" s="33" t="str">
        <f t="shared" si="10"/>
        <v/>
      </c>
      <c r="M156" s="188" t="s">
        <v>1686</v>
      </c>
      <c r="N156" s="1124"/>
    </row>
    <row r="157" spans="2:14" hidden="1">
      <c r="B157" s="5"/>
      <c r="C157" s="1">
        <f t="shared" si="11"/>
        <v>3158</v>
      </c>
      <c r="D157" s="1">
        <f t="shared" si="12"/>
        <v>5</v>
      </c>
      <c r="E157" s="1">
        <f t="shared" si="13"/>
        <v>2017</v>
      </c>
      <c r="G157" s="186">
        <v>6</v>
      </c>
      <c r="H157" s="186">
        <v>1</v>
      </c>
      <c r="I157" s="186">
        <v>1</v>
      </c>
      <c r="J157" s="115" t="s">
        <v>1498</v>
      </c>
      <c r="K157" s="115" t="s">
        <v>1482</v>
      </c>
      <c r="L157" s="33" t="str">
        <f t="shared" si="10"/>
        <v/>
      </c>
      <c r="M157" s="188" t="s">
        <v>1687</v>
      </c>
      <c r="N157" s="1124"/>
    </row>
    <row r="158" spans="2:14" hidden="1">
      <c r="B158" s="5"/>
      <c r="C158" s="1">
        <f t="shared" si="11"/>
        <v>3158</v>
      </c>
      <c r="D158" s="1">
        <f t="shared" si="12"/>
        <v>5</v>
      </c>
      <c r="E158" s="1">
        <f t="shared" si="13"/>
        <v>2017</v>
      </c>
      <c r="G158" s="186">
        <v>6</v>
      </c>
      <c r="H158" s="186">
        <v>1</v>
      </c>
      <c r="I158" s="186">
        <v>-1</v>
      </c>
      <c r="J158" s="115" t="s">
        <v>1498</v>
      </c>
      <c r="K158" s="115" t="s">
        <v>1482</v>
      </c>
      <c r="L158" s="33" t="str">
        <f t="shared" si="10"/>
        <v/>
      </c>
      <c r="M158" s="188" t="s">
        <v>1688</v>
      </c>
      <c r="N158" s="1124"/>
    </row>
    <row r="159" spans="2:14" hidden="1">
      <c r="B159" s="5"/>
      <c r="C159" s="1">
        <f t="shared" si="11"/>
        <v>3158</v>
      </c>
      <c r="D159" s="1">
        <f t="shared" si="12"/>
        <v>5</v>
      </c>
      <c r="E159" s="1">
        <f t="shared" si="13"/>
        <v>2017</v>
      </c>
      <c r="G159" s="186">
        <v>6</v>
      </c>
      <c r="H159" s="186">
        <v>2</v>
      </c>
      <c r="I159" s="186">
        <v>19</v>
      </c>
      <c r="J159" s="115" t="s">
        <v>1498</v>
      </c>
      <c r="K159" s="115" t="s">
        <v>83</v>
      </c>
      <c r="L159" s="33" t="str">
        <f t="shared" ref="L159:L185" si="14">IF(ISBLANK(D17),"",D17)</f>
        <v/>
      </c>
      <c r="M159" s="188" t="s">
        <v>259</v>
      </c>
      <c r="N159" s="1124"/>
    </row>
    <row r="160" spans="2:14" hidden="1">
      <c r="B160" s="5"/>
      <c r="C160" s="1">
        <f t="shared" si="11"/>
        <v>3158</v>
      </c>
      <c r="D160" s="1">
        <f t="shared" si="12"/>
        <v>5</v>
      </c>
      <c r="E160" s="1">
        <f t="shared" si="13"/>
        <v>2017</v>
      </c>
      <c r="G160" s="186">
        <v>6</v>
      </c>
      <c r="H160" s="186">
        <v>2</v>
      </c>
      <c r="I160" s="186">
        <v>16</v>
      </c>
      <c r="J160" s="115" t="s">
        <v>1498</v>
      </c>
      <c r="K160" s="115" t="s">
        <v>83</v>
      </c>
      <c r="L160" s="33" t="str">
        <f t="shared" si="14"/>
        <v/>
      </c>
      <c r="M160" s="188" t="s">
        <v>260</v>
      </c>
      <c r="N160" s="1124"/>
    </row>
    <row r="161" spans="2:14" hidden="1">
      <c r="B161" s="5"/>
      <c r="C161" s="1">
        <f t="shared" si="11"/>
        <v>3158</v>
      </c>
      <c r="D161" s="1">
        <f t="shared" si="12"/>
        <v>5</v>
      </c>
      <c r="E161" s="1">
        <f t="shared" si="13"/>
        <v>2017</v>
      </c>
      <c r="G161" s="186">
        <v>6</v>
      </c>
      <c r="H161" s="186">
        <v>2</v>
      </c>
      <c r="I161" s="186">
        <v>15</v>
      </c>
      <c r="J161" s="115" t="s">
        <v>1498</v>
      </c>
      <c r="K161" s="115" t="s">
        <v>83</v>
      </c>
      <c r="L161" s="33" t="str">
        <f t="shared" si="14"/>
        <v/>
      </c>
      <c r="M161" s="188" t="s">
        <v>1689</v>
      </c>
      <c r="N161" s="1124"/>
    </row>
    <row r="162" spans="2:14" hidden="1">
      <c r="B162" s="5"/>
      <c r="C162" s="1">
        <f t="shared" si="11"/>
        <v>3158</v>
      </c>
      <c r="D162" s="1">
        <f t="shared" si="12"/>
        <v>5</v>
      </c>
      <c r="E162" s="1">
        <f t="shared" si="13"/>
        <v>2017</v>
      </c>
      <c r="G162" s="186">
        <v>6</v>
      </c>
      <c r="H162" s="186">
        <v>2</v>
      </c>
      <c r="I162" s="186">
        <v>2</v>
      </c>
      <c r="J162" s="115" t="s">
        <v>1498</v>
      </c>
      <c r="K162" s="115" t="s">
        <v>83</v>
      </c>
      <c r="L162" s="33" t="str">
        <f t="shared" si="14"/>
        <v/>
      </c>
      <c r="M162" s="188" t="s">
        <v>261</v>
      </c>
      <c r="N162" s="1124"/>
    </row>
    <row r="163" spans="2:14" hidden="1">
      <c r="B163" s="5"/>
      <c r="C163" s="1">
        <f t="shared" si="11"/>
        <v>3158</v>
      </c>
      <c r="D163" s="1">
        <f t="shared" si="12"/>
        <v>5</v>
      </c>
      <c r="E163" s="1">
        <f t="shared" si="13"/>
        <v>2017</v>
      </c>
      <c r="G163" s="186">
        <v>6</v>
      </c>
      <c r="H163" s="186">
        <v>2</v>
      </c>
      <c r="I163" s="186">
        <v>13</v>
      </c>
      <c r="J163" s="115" t="s">
        <v>1498</v>
      </c>
      <c r="K163" s="115" t="s">
        <v>83</v>
      </c>
      <c r="L163" s="33" t="str">
        <f t="shared" si="14"/>
        <v/>
      </c>
      <c r="M163" s="188" t="s">
        <v>1690</v>
      </c>
      <c r="N163" s="1124"/>
    </row>
    <row r="164" spans="2:14" hidden="1">
      <c r="B164" s="5"/>
      <c r="C164" s="1">
        <f t="shared" si="11"/>
        <v>3158</v>
      </c>
      <c r="D164" s="1">
        <f t="shared" si="12"/>
        <v>5</v>
      </c>
      <c r="E164" s="1">
        <f t="shared" si="13"/>
        <v>2017</v>
      </c>
      <c r="G164" s="186">
        <v>6</v>
      </c>
      <c r="H164" s="186">
        <v>2</v>
      </c>
      <c r="I164" s="186">
        <v>12</v>
      </c>
      <c r="J164" s="115" t="s">
        <v>1498</v>
      </c>
      <c r="K164" s="115" t="s">
        <v>83</v>
      </c>
      <c r="L164" s="33" t="str">
        <f t="shared" si="14"/>
        <v/>
      </c>
      <c r="M164" s="188" t="s">
        <v>1691</v>
      </c>
      <c r="N164" s="1124"/>
    </row>
    <row r="165" spans="2:14" hidden="1">
      <c r="B165" s="5"/>
      <c r="C165" s="1">
        <f t="shared" si="11"/>
        <v>3158</v>
      </c>
      <c r="D165" s="1">
        <f t="shared" si="12"/>
        <v>5</v>
      </c>
      <c r="E165" s="1">
        <f t="shared" si="13"/>
        <v>2017</v>
      </c>
      <c r="G165" s="186">
        <v>6</v>
      </c>
      <c r="H165" s="186">
        <v>2</v>
      </c>
      <c r="I165" s="186">
        <v>10</v>
      </c>
      <c r="J165" s="115" t="s">
        <v>1498</v>
      </c>
      <c r="K165" s="115" t="s">
        <v>83</v>
      </c>
      <c r="L165" s="33" t="str">
        <f t="shared" si="14"/>
        <v/>
      </c>
      <c r="M165" s="188" t="s">
        <v>1692</v>
      </c>
      <c r="N165" s="1124"/>
    </row>
    <row r="166" spans="2:14" hidden="1">
      <c r="B166" s="5"/>
      <c r="C166" s="1">
        <f t="shared" si="11"/>
        <v>3158</v>
      </c>
      <c r="D166" s="1">
        <f t="shared" si="12"/>
        <v>5</v>
      </c>
      <c r="E166" s="1">
        <f t="shared" si="13"/>
        <v>2017</v>
      </c>
      <c r="G166" s="186">
        <v>6</v>
      </c>
      <c r="H166" s="186">
        <v>2</v>
      </c>
      <c r="I166" s="186">
        <v>25</v>
      </c>
      <c r="J166" s="115" t="s">
        <v>1498</v>
      </c>
      <c r="K166" s="115" t="s">
        <v>83</v>
      </c>
      <c r="L166" s="33" t="str">
        <f t="shared" si="14"/>
        <v/>
      </c>
      <c r="M166" s="188" t="s">
        <v>1693</v>
      </c>
      <c r="N166" s="1124"/>
    </row>
    <row r="167" spans="2:14" hidden="1">
      <c r="B167" s="5"/>
      <c r="C167" s="1">
        <f t="shared" si="11"/>
        <v>3158</v>
      </c>
      <c r="D167" s="1">
        <f t="shared" si="12"/>
        <v>5</v>
      </c>
      <c r="E167" s="1">
        <f t="shared" si="13"/>
        <v>2017</v>
      </c>
      <c r="G167" s="186">
        <v>6</v>
      </c>
      <c r="H167" s="186">
        <v>2</v>
      </c>
      <c r="I167" s="186">
        <v>8</v>
      </c>
      <c r="J167" s="115" t="s">
        <v>1498</v>
      </c>
      <c r="K167" s="115" t="s">
        <v>83</v>
      </c>
      <c r="L167" s="33" t="str">
        <f t="shared" si="14"/>
        <v/>
      </c>
      <c r="M167" s="188" t="s">
        <v>1694</v>
      </c>
      <c r="N167" s="1124"/>
    </row>
    <row r="168" spans="2:14" hidden="1">
      <c r="B168" s="5"/>
      <c r="C168" s="1">
        <f t="shared" si="11"/>
        <v>3158</v>
      </c>
      <c r="D168" s="1">
        <f t="shared" si="12"/>
        <v>5</v>
      </c>
      <c r="E168" s="1">
        <f t="shared" si="13"/>
        <v>2017</v>
      </c>
      <c r="G168" s="186">
        <v>6</v>
      </c>
      <c r="H168" s="186">
        <v>2</v>
      </c>
      <c r="I168" s="186">
        <v>18</v>
      </c>
      <c r="J168" s="115" t="s">
        <v>1498</v>
      </c>
      <c r="K168" s="115" t="s">
        <v>83</v>
      </c>
      <c r="L168" s="33" t="str">
        <f t="shared" si="14"/>
        <v/>
      </c>
      <c r="M168" s="188" t="s">
        <v>1695</v>
      </c>
      <c r="N168" s="1124"/>
    </row>
    <row r="169" spans="2:14" hidden="1">
      <c r="B169" s="5"/>
      <c r="C169" s="1">
        <f t="shared" si="11"/>
        <v>3158</v>
      </c>
      <c r="D169" s="1">
        <f t="shared" si="12"/>
        <v>5</v>
      </c>
      <c r="E169" s="1">
        <f t="shared" si="13"/>
        <v>2017</v>
      </c>
      <c r="G169" s="186">
        <v>6</v>
      </c>
      <c r="H169" s="186">
        <v>2</v>
      </c>
      <c r="I169" s="186">
        <v>26</v>
      </c>
      <c r="J169" s="115" t="s">
        <v>1498</v>
      </c>
      <c r="K169" s="115" t="s">
        <v>83</v>
      </c>
      <c r="L169" s="33" t="str">
        <f t="shared" si="14"/>
        <v/>
      </c>
      <c r="M169" s="188" t="s">
        <v>1696</v>
      </c>
      <c r="N169" s="1124"/>
    </row>
    <row r="170" spans="2:14" hidden="1">
      <c r="B170" s="5"/>
      <c r="C170" s="1">
        <f t="shared" si="11"/>
        <v>3158</v>
      </c>
      <c r="D170" s="1">
        <f t="shared" si="12"/>
        <v>5</v>
      </c>
      <c r="E170" s="1">
        <f t="shared" si="13"/>
        <v>2017</v>
      </c>
      <c r="G170" s="186">
        <v>6</v>
      </c>
      <c r="H170" s="186">
        <v>2</v>
      </c>
      <c r="I170" s="186">
        <v>3</v>
      </c>
      <c r="J170" s="115" t="s">
        <v>1498</v>
      </c>
      <c r="K170" s="115" t="s">
        <v>83</v>
      </c>
      <c r="L170" s="33" t="str">
        <f t="shared" si="14"/>
        <v/>
      </c>
      <c r="M170" s="188" t="s">
        <v>1697</v>
      </c>
      <c r="N170" s="1124"/>
    </row>
    <row r="171" spans="2:14" hidden="1">
      <c r="B171" s="5"/>
      <c r="C171" s="1">
        <f t="shared" si="11"/>
        <v>3158</v>
      </c>
      <c r="D171" s="1">
        <f t="shared" si="12"/>
        <v>5</v>
      </c>
      <c r="E171" s="1">
        <f t="shared" si="13"/>
        <v>2017</v>
      </c>
      <c r="G171" s="186">
        <v>6</v>
      </c>
      <c r="H171" s="186">
        <v>2</v>
      </c>
      <c r="I171" s="186">
        <v>24</v>
      </c>
      <c r="J171" s="115" t="s">
        <v>1498</v>
      </c>
      <c r="K171" s="115" t="s">
        <v>83</v>
      </c>
      <c r="L171" s="33" t="str">
        <f t="shared" si="14"/>
        <v/>
      </c>
      <c r="M171" s="188" t="s">
        <v>1698</v>
      </c>
      <c r="N171" s="1124"/>
    </row>
    <row r="172" spans="2:14" hidden="1">
      <c r="B172" s="5"/>
      <c r="C172" s="1">
        <f t="shared" si="11"/>
        <v>3158</v>
      </c>
      <c r="D172" s="1">
        <f t="shared" si="12"/>
        <v>5</v>
      </c>
      <c r="E172" s="1">
        <f t="shared" si="13"/>
        <v>2017</v>
      </c>
      <c r="G172" s="186">
        <v>6</v>
      </c>
      <c r="H172" s="186">
        <v>2</v>
      </c>
      <c r="I172" s="186">
        <v>7</v>
      </c>
      <c r="J172" s="115" t="s">
        <v>1498</v>
      </c>
      <c r="K172" s="115" t="s">
        <v>83</v>
      </c>
      <c r="L172" s="33" t="str">
        <f t="shared" si="14"/>
        <v/>
      </c>
      <c r="M172" s="188" t="s">
        <v>1699</v>
      </c>
      <c r="N172" s="1124"/>
    </row>
    <row r="173" spans="2:14" hidden="1">
      <c r="B173" s="5"/>
      <c r="C173" s="1">
        <f t="shared" si="11"/>
        <v>3158</v>
      </c>
      <c r="D173" s="1">
        <f t="shared" si="12"/>
        <v>5</v>
      </c>
      <c r="E173" s="1">
        <f t="shared" si="13"/>
        <v>2017</v>
      </c>
      <c r="G173" s="186">
        <v>6</v>
      </c>
      <c r="H173" s="186">
        <v>2</v>
      </c>
      <c r="I173" s="186">
        <v>6</v>
      </c>
      <c r="J173" s="115" t="s">
        <v>1498</v>
      </c>
      <c r="K173" s="115" t="s">
        <v>83</v>
      </c>
      <c r="L173" s="33" t="str">
        <f t="shared" si="14"/>
        <v/>
      </c>
      <c r="M173" s="188" t="s">
        <v>1700</v>
      </c>
      <c r="N173" s="1124"/>
    </row>
    <row r="174" spans="2:14" hidden="1">
      <c r="B174" s="5"/>
      <c r="C174" s="1">
        <f t="shared" si="11"/>
        <v>3158</v>
      </c>
      <c r="D174" s="1">
        <f t="shared" si="12"/>
        <v>5</v>
      </c>
      <c r="E174" s="1">
        <f t="shared" si="13"/>
        <v>2017</v>
      </c>
      <c r="G174" s="186">
        <v>6</v>
      </c>
      <c r="H174" s="186">
        <v>2</v>
      </c>
      <c r="I174" s="186">
        <v>17</v>
      </c>
      <c r="J174" s="115" t="s">
        <v>1498</v>
      </c>
      <c r="K174" s="115" t="s">
        <v>83</v>
      </c>
      <c r="L174" s="33" t="str">
        <f t="shared" si="14"/>
        <v/>
      </c>
      <c r="M174" s="188" t="s">
        <v>1701</v>
      </c>
      <c r="N174" s="1124"/>
    </row>
    <row r="175" spans="2:14" hidden="1">
      <c r="B175" s="5"/>
      <c r="C175" s="1">
        <f t="shared" si="11"/>
        <v>3158</v>
      </c>
      <c r="D175" s="1">
        <f t="shared" si="12"/>
        <v>5</v>
      </c>
      <c r="E175" s="1">
        <f t="shared" si="13"/>
        <v>2017</v>
      </c>
      <c r="G175" s="186">
        <v>6</v>
      </c>
      <c r="H175" s="186">
        <v>2</v>
      </c>
      <c r="I175" s="186">
        <v>14</v>
      </c>
      <c r="J175" s="115" t="s">
        <v>1498</v>
      </c>
      <c r="K175" s="115" t="s">
        <v>83</v>
      </c>
      <c r="L175" s="33" t="str">
        <f t="shared" si="14"/>
        <v/>
      </c>
      <c r="M175" s="188" t="s">
        <v>1702</v>
      </c>
      <c r="N175" s="1124"/>
    </row>
    <row r="176" spans="2:14" hidden="1">
      <c r="B176" s="5"/>
      <c r="C176" s="1">
        <f t="shared" si="11"/>
        <v>3158</v>
      </c>
      <c r="D176" s="1">
        <f t="shared" si="12"/>
        <v>5</v>
      </c>
      <c r="E176" s="1">
        <f t="shared" si="13"/>
        <v>2017</v>
      </c>
      <c r="G176" s="186">
        <v>6</v>
      </c>
      <c r="H176" s="186">
        <v>2</v>
      </c>
      <c r="I176" s="186">
        <v>11</v>
      </c>
      <c r="J176" s="115" t="s">
        <v>1498</v>
      </c>
      <c r="K176" s="115" t="s">
        <v>83</v>
      </c>
      <c r="L176" s="33" t="str">
        <f t="shared" si="14"/>
        <v/>
      </c>
      <c r="M176" s="188" t="s">
        <v>1703</v>
      </c>
      <c r="N176" s="1124"/>
    </row>
    <row r="177" spans="2:14" hidden="1">
      <c r="B177" s="5"/>
      <c r="C177" s="1">
        <f t="shared" si="11"/>
        <v>3158</v>
      </c>
      <c r="D177" s="1">
        <f t="shared" si="12"/>
        <v>5</v>
      </c>
      <c r="E177" s="1">
        <f t="shared" si="13"/>
        <v>2017</v>
      </c>
      <c r="G177" s="186">
        <v>6</v>
      </c>
      <c r="H177" s="186">
        <v>2</v>
      </c>
      <c r="I177" s="186">
        <v>5</v>
      </c>
      <c r="J177" s="115" t="s">
        <v>1498</v>
      </c>
      <c r="K177" s="115" t="s">
        <v>83</v>
      </c>
      <c r="L177" s="33" t="str">
        <f t="shared" si="14"/>
        <v/>
      </c>
      <c r="M177" s="188" t="s">
        <v>1704</v>
      </c>
      <c r="N177" s="1124"/>
    </row>
    <row r="178" spans="2:14" hidden="1">
      <c r="B178" s="5"/>
      <c r="C178" s="1">
        <f t="shared" si="11"/>
        <v>3158</v>
      </c>
      <c r="D178" s="1">
        <f t="shared" si="12"/>
        <v>5</v>
      </c>
      <c r="E178" s="1">
        <f t="shared" si="13"/>
        <v>2017</v>
      </c>
      <c r="G178" s="186">
        <v>6</v>
      </c>
      <c r="H178" s="186">
        <v>2</v>
      </c>
      <c r="I178" s="186">
        <v>20</v>
      </c>
      <c r="J178" s="115" t="s">
        <v>1498</v>
      </c>
      <c r="K178" s="115" t="s">
        <v>83</v>
      </c>
      <c r="L178" s="33" t="str">
        <f t="shared" si="14"/>
        <v/>
      </c>
      <c r="M178" s="188" t="s">
        <v>1705</v>
      </c>
      <c r="N178" s="1124"/>
    </row>
    <row r="179" spans="2:14" hidden="1">
      <c r="B179" s="5"/>
      <c r="C179" s="1">
        <f t="shared" si="11"/>
        <v>3158</v>
      </c>
      <c r="D179" s="1">
        <f t="shared" si="12"/>
        <v>5</v>
      </c>
      <c r="E179" s="1">
        <f t="shared" si="13"/>
        <v>2017</v>
      </c>
      <c r="G179" s="186">
        <v>6</v>
      </c>
      <c r="H179" s="186">
        <v>2</v>
      </c>
      <c r="I179" s="186">
        <v>21</v>
      </c>
      <c r="J179" s="115" t="s">
        <v>1498</v>
      </c>
      <c r="K179" s="115" t="s">
        <v>83</v>
      </c>
      <c r="L179" s="33" t="str">
        <f t="shared" si="14"/>
        <v/>
      </c>
      <c r="M179" s="188" t="s">
        <v>1706</v>
      </c>
      <c r="N179" s="1124"/>
    </row>
    <row r="180" spans="2:14" hidden="1">
      <c r="B180" s="5"/>
      <c r="C180" s="1">
        <f t="shared" si="11"/>
        <v>3158</v>
      </c>
      <c r="D180" s="1">
        <f t="shared" si="12"/>
        <v>5</v>
      </c>
      <c r="E180" s="1">
        <f t="shared" si="13"/>
        <v>2017</v>
      </c>
      <c r="G180" s="186">
        <v>6</v>
      </c>
      <c r="H180" s="186">
        <v>2</v>
      </c>
      <c r="I180" s="186">
        <v>4</v>
      </c>
      <c r="J180" s="115" t="s">
        <v>1498</v>
      </c>
      <c r="K180" s="115" t="s">
        <v>83</v>
      </c>
      <c r="L180" s="33" t="str">
        <f t="shared" si="14"/>
        <v/>
      </c>
      <c r="M180" s="188" t="s">
        <v>1707</v>
      </c>
      <c r="N180" s="1124"/>
    </row>
    <row r="181" spans="2:14" hidden="1">
      <c r="B181" s="5"/>
      <c r="C181" s="1">
        <f t="shared" si="11"/>
        <v>3158</v>
      </c>
      <c r="D181" s="1">
        <f t="shared" si="12"/>
        <v>5</v>
      </c>
      <c r="E181" s="1">
        <f t="shared" si="13"/>
        <v>2017</v>
      </c>
      <c r="G181" s="186">
        <v>6</v>
      </c>
      <c r="H181" s="186">
        <v>2</v>
      </c>
      <c r="I181" s="186">
        <v>22</v>
      </c>
      <c r="J181" s="115" t="s">
        <v>1498</v>
      </c>
      <c r="K181" s="115" t="s">
        <v>83</v>
      </c>
      <c r="L181" s="33" t="str">
        <f t="shared" si="14"/>
        <v/>
      </c>
      <c r="M181" s="188" t="s">
        <v>1708</v>
      </c>
      <c r="N181" s="1124"/>
    </row>
    <row r="182" spans="2:14" hidden="1">
      <c r="B182" s="5"/>
      <c r="C182" s="1">
        <f t="shared" si="11"/>
        <v>3158</v>
      </c>
      <c r="D182" s="1">
        <f t="shared" si="12"/>
        <v>5</v>
      </c>
      <c r="E182" s="1">
        <f t="shared" si="13"/>
        <v>2017</v>
      </c>
      <c r="G182" s="186">
        <v>6</v>
      </c>
      <c r="H182" s="186">
        <v>2</v>
      </c>
      <c r="I182" s="186">
        <v>23</v>
      </c>
      <c r="J182" s="115" t="s">
        <v>1498</v>
      </c>
      <c r="K182" s="115" t="s">
        <v>83</v>
      </c>
      <c r="L182" s="33" t="str">
        <f t="shared" si="14"/>
        <v/>
      </c>
      <c r="M182" s="188" t="s">
        <v>1709</v>
      </c>
      <c r="N182" s="1124"/>
    </row>
    <row r="183" spans="2:14" hidden="1">
      <c r="B183" s="5"/>
      <c r="C183" s="1">
        <f t="shared" si="11"/>
        <v>3158</v>
      </c>
      <c r="D183" s="1">
        <f t="shared" si="12"/>
        <v>5</v>
      </c>
      <c r="E183" s="1">
        <f t="shared" si="13"/>
        <v>2017</v>
      </c>
      <c r="G183" s="186">
        <v>6</v>
      </c>
      <c r="H183" s="186">
        <v>2</v>
      </c>
      <c r="I183" s="186">
        <v>9</v>
      </c>
      <c r="J183" s="115" t="s">
        <v>1498</v>
      </c>
      <c r="K183" s="115" t="s">
        <v>83</v>
      </c>
      <c r="L183" s="33" t="str">
        <f t="shared" si="14"/>
        <v/>
      </c>
      <c r="M183" s="188" t="s">
        <v>1710</v>
      </c>
      <c r="N183" s="1124"/>
    </row>
    <row r="184" spans="2:14" hidden="1">
      <c r="B184" s="5"/>
      <c r="C184" s="1">
        <f t="shared" si="11"/>
        <v>3158</v>
      </c>
      <c r="D184" s="1">
        <f t="shared" si="12"/>
        <v>5</v>
      </c>
      <c r="E184" s="1">
        <f t="shared" si="13"/>
        <v>2017</v>
      </c>
      <c r="G184" s="186">
        <v>6</v>
      </c>
      <c r="H184" s="186">
        <v>2</v>
      </c>
      <c r="I184" s="186">
        <v>1</v>
      </c>
      <c r="J184" s="115" t="s">
        <v>1498</v>
      </c>
      <c r="K184" s="115" t="s">
        <v>83</v>
      </c>
      <c r="L184" s="33" t="str">
        <f t="shared" si="14"/>
        <v/>
      </c>
      <c r="M184" s="188" t="s">
        <v>1711</v>
      </c>
      <c r="N184" s="1124"/>
    </row>
    <row r="185" spans="2:14" hidden="1">
      <c r="B185" s="5"/>
      <c r="C185" s="1">
        <f t="shared" si="11"/>
        <v>3158</v>
      </c>
      <c r="D185" s="1">
        <f t="shared" si="12"/>
        <v>5</v>
      </c>
      <c r="E185" s="1">
        <f t="shared" si="13"/>
        <v>2017</v>
      </c>
      <c r="G185" s="186">
        <v>6</v>
      </c>
      <c r="H185" s="186">
        <v>2</v>
      </c>
      <c r="I185" s="186">
        <v>-1</v>
      </c>
      <c r="J185" s="115" t="s">
        <v>1498</v>
      </c>
      <c r="K185" s="115" t="s">
        <v>83</v>
      </c>
      <c r="L185" s="33" t="str">
        <f t="shared" si="14"/>
        <v/>
      </c>
      <c r="M185" s="188" t="s">
        <v>1712</v>
      </c>
      <c r="N185" s="1124"/>
    </row>
    <row r="186" spans="2:14" hidden="1">
      <c r="B186" s="5"/>
      <c r="C186" s="1">
        <f t="shared" si="11"/>
        <v>3158</v>
      </c>
      <c r="D186" s="1">
        <f t="shared" si="12"/>
        <v>5</v>
      </c>
      <c r="E186" s="1">
        <f t="shared" si="13"/>
        <v>2017</v>
      </c>
      <c r="G186" s="186">
        <v>6</v>
      </c>
      <c r="H186" s="186">
        <v>2</v>
      </c>
      <c r="I186" s="186">
        <v>19</v>
      </c>
      <c r="J186" s="115" t="s">
        <v>1498</v>
      </c>
      <c r="K186" s="115" t="s">
        <v>1482</v>
      </c>
      <c r="L186" s="33" t="str">
        <f t="shared" ref="L186:L212" si="15">IF(ISBLANK(E17),"",E17)</f>
        <v/>
      </c>
      <c r="M186" s="188" t="s">
        <v>263</v>
      </c>
      <c r="N186" s="1124"/>
    </row>
    <row r="187" spans="2:14" hidden="1">
      <c r="B187" s="5"/>
      <c r="C187" s="1">
        <f t="shared" si="11"/>
        <v>3158</v>
      </c>
      <c r="D187" s="1">
        <f t="shared" si="12"/>
        <v>5</v>
      </c>
      <c r="E187" s="1">
        <f t="shared" si="13"/>
        <v>2017</v>
      </c>
      <c r="G187" s="186">
        <v>6</v>
      </c>
      <c r="H187" s="186">
        <v>2</v>
      </c>
      <c r="I187" s="186">
        <v>16</v>
      </c>
      <c r="J187" s="115" t="s">
        <v>1498</v>
      </c>
      <c r="K187" s="115" t="s">
        <v>1482</v>
      </c>
      <c r="L187" s="33" t="str">
        <f t="shared" si="15"/>
        <v/>
      </c>
      <c r="M187" s="188" t="s">
        <v>264</v>
      </c>
      <c r="N187" s="1124"/>
    </row>
    <row r="188" spans="2:14" hidden="1">
      <c r="B188" s="5"/>
      <c r="C188" s="1">
        <f t="shared" si="11"/>
        <v>3158</v>
      </c>
      <c r="D188" s="1">
        <f t="shared" si="12"/>
        <v>5</v>
      </c>
      <c r="E188" s="1">
        <f t="shared" si="13"/>
        <v>2017</v>
      </c>
      <c r="G188" s="186">
        <v>6</v>
      </c>
      <c r="H188" s="186">
        <v>2</v>
      </c>
      <c r="I188" s="186">
        <v>15</v>
      </c>
      <c r="J188" s="115" t="s">
        <v>1498</v>
      </c>
      <c r="K188" s="115" t="s">
        <v>1482</v>
      </c>
      <c r="L188" s="33" t="str">
        <f t="shared" si="15"/>
        <v/>
      </c>
      <c r="M188" s="188" t="s">
        <v>1713</v>
      </c>
      <c r="N188" s="1124"/>
    </row>
    <row r="189" spans="2:14" hidden="1">
      <c r="B189" s="5"/>
      <c r="C189" s="1">
        <f t="shared" si="11"/>
        <v>3158</v>
      </c>
      <c r="D189" s="1">
        <f t="shared" si="12"/>
        <v>5</v>
      </c>
      <c r="E189" s="1">
        <f t="shared" si="13"/>
        <v>2017</v>
      </c>
      <c r="G189" s="186">
        <v>6</v>
      </c>
      <c r="H189" s="186">
        <v>2</v>
      </c>
      <c r="I189" s="186">
        <v>2</v>
      </c>
      <c r="J189" s="115" t="s">
        <v>1498</v>
      </c>
      <c r="K189" s="115" t="s">
        <v>1482</v>
      </c>
      <c r="L189" s="33" t="str">
        <f t="shared" si="15"/>
        <v/>
      </c>
      <c r="M189" s="188" t="s">
        <v>265</v>
      </c>
      <c r="N189" s="1124"/>
    </row>
    <row r="190" spans="2:14" hidden="1">
      <c r="B190" s="5"/>
      <c r="C190" s="1">
        <f t="shared" si="11"/>
        <v>3158</v>
      </c>
      <c r="D190" s="1">
        <f t="shared" si="12"/>
        <v>5</v>
      </c>
      <c r="E190" s="1">
        <f t="shared" si="13"/>
        <v>2017</v>
      </c>
      <c r="G190" s="186">
        <v>6</v>
      </c>
      <c r="H190" s="186">
        <v>2</v>
      </c>
      <c r="I190" s="186">
        <v>13</v>
      </c>
      <c r="J190" s="115" t="s">
        <v>1498</v>
      </c>
      <c r="K190" s="115" t="s">
        <v>1482</v>
      </c>
      <c r="L190" s="33" t="str">
        <f t="shared" si="15"/>
        <v/>
      </c>
      <c r="M190" s="188" t="s">
        <v>1714</v>
      </c>
      <c r="N190" s="1124"/>
    </row>
    <row r="191" spans="2:14" hidden="1">
      <c r="B191" s="5"/>
      <c r="C191" s="1">
        <f t="shared" si="11"/>
        <v>3158</v>
      </c>
      <c r="D191" s="1">
        <f t="shared" si="12"/>
        <v>5</v>
      </c>
      <c r="E191" s="1">
        <f t="shared" si="13"/>
        <v>2017</v>
      </c>
      <c r="G191" s="186">
        <v>6</v>
      </c>
      <c r="H191" s="186">
        <v>2</v>
      </c>
      <c r="I191" s="186">
        <v>12</v>
      </c>
      <c r="J191" s="115" t="s">
        <v>1498</v>
      </c>
      <c r="K191" s="115" t="s">
        <v>1482</v>
      </c>
      <c r="L191" s="33" t="str">
        <f t="shared" si="15"/>
        <v/>
      </c>
      <c r="M191" s="188" t="s">
        <v>1715</v>
      </c>
      <c r="N191" s="1124"/>
    </row>
    <row r="192" spans="2:14" hidden="1">
      <c r="B192" s="5"/>
      <c r="C192" s="1">
        <f t="shared" si="11"/>
        <v>3158</v>
      </c>
      <c r="D192" s="1">
        <f t="shared" si="12"/>
        <v>5</v>
      </c>
      <c r="E192" s="1">
        <f t="shared" si="13"/>
        <v>2017</v>
      </c>
      <c r="G192" s="186">
        <v>6</v>
      </c>
      <c r="H192" s="186">
        <v>2</v>
      </c>
      <c r="I192" s="186">
        <v>10</v>
      </c>
      <c r="J192" s="115" t="s">
        <v>1498</v>
      </c>
      <c r="K192" s="115" t="s">
        <v>1482</v>
      </c>
      <c r="L192" s="33" t="str">
        <f t="shared" si="15"/>
        <v/>
      </c>
      <c r="M192" s="188" t="s">
        <v>1716</v>
      </c>
      <c r="N192" s="1124"/>
    </row>
    <row r="193" spans="2:14" hidden="1">
      <c r="B193" s="5"/>
      <c r="C193" s="1">
        <f t="shared" si="11"/>
        <v>3158</v>
      </c>
      <c r="D193" s="1">
        <f t="shared" si="12"/>
        <v>5</v>
      </c>
      <c r="E193" s="1">
        <f t="shared" si="13"/>
        <v>2017</v>
      </c>
      <c r="G193" s="186">
        <v>6</v>
      </c>
      <c r="H193" s="186">
        <v>2</v>
      </c>
      <c r="I193" s="186">
        <v>25</v>
      </c>
      <c r="J193" s="115" t="s">
        <v>1498</v>
      </c>
      <c r="K193" s="115" t="s">
        <v>1482</v>
      </c>
      <c r="L193" s="33" t="str">
        <f t="shared" si="15"/>
        <v/>
      </c>
      <c r="M193" s="188" t="s">
        <v>1717</v>
      </c>
      <c r="N193" s="1124"/>
    </row>
    <row r="194" spans="2:14" hidden="1">
      <c r="B194" s="5"/>
      <c r="C194" s="1">
        <f t="shared" si="11"/>
        <v>3158</v>
      </c>
      <c r="D194" s="1">
        <f t="shared" si="12"/>
        <v>5</v>
      </c>
      <c r="E194" s="1">
        <f t="shared" si="13"/>
        <v>2017</v>
      </c>
      <c r="G194" s="186">
        <v>6</v>
      </c>
      <c r="H194" s="186">
        <v>2</v>
      </c>
      <c r="I194" s="186">
        <v>8</v>
      </c>
      <c r="J194" s="115" t="s">
        <v>1498</v>
      </c>
      <c r="K194" s="115" t="s">
        <v>1482</v>
      </c>
      <c r="L194" s="33" t="str">
        <f t="shared" si="15"/>
        <v/>
      </c>
      <c r="M194" s="188" t="s">
        <v>1718</v>
      </c>
      <c r="N194" s="1124"/>
    </row>
    <row r="195" spans="2:14" hidden="1">
      <c r="B195" s="5"/>
      <c r="C195" s="1">
        <f t="shared" si="11"/>
        <v>3158</v>
      </c>
      <c r="D195" s="1">
        <f t="shared" si="12"/>
        <v>5</v>
      </c>
      <c r="E195" s="1">
        <f t="shared" si="13"/>
        <v>2017</v>
      </c>
      <c r="G195" s="186">
        <v>6</v>
      </c>
      <c r="H195" s="186">
        <v>2</v>
      </c>
      <c r="I195" s="186">
        <v>18</v>
      </c>
      <c r="J195" s="115" t="s">
        <v>1498</v>
      </c>
      <c r="K195" s="115" t="s">
        <v>1482</v>
      </c>
      <c r="L195" s="33" t="str">
        <f t="shared" si="15"/>
        <v/>
      </c>
      <c r="M195" s="188" t="s">
        <v>1719</v>
      </c>
      <c r="N195" s="1124"/>
    </row>
    <row r="196" spans="2:14" hidden="1">
      <c r="B196" s="5"/>
      <c r="C196" s="1">
        <f t="shared" si="11"/>
        <v>3158</v>
      </c>
      <c r="D196" s="1">
        <f t="shared" si="12"/>
        <v>5</v>
      </c>
      <c r="E196" s="1">
        <f t="shared" si="13"/>
        <v>2017</v>
      </c>
      <c r="G196" s="186">
        <v>6</v>
      </c>
      <c r="H196" s="186">
        <v>2</v>
      </c>
      <c r="I196" s="186">
        <v>26</v>
      </c>
      <c r="J196" s="115" t="s">
        <v>1498</v>
      </c>
      <c r="K196" s="115" t="s">
        <v>1482</v>
      </c>
      <c r="L196" s="33" t="str">
        <f t="shared" si="15"/>
        <v/>
      </c>
      <c r="M196" s="188" t="s">
        <v>1720</v>
      </c>
      <c r="N196" s="1124"/>
    </row>
    <row r="197" spans="2:14" hidden="1">
      <c r="B197" s="5"/>
      <c r="C197" s="1">
        <f t="shared" si="11"/>
        <v>3158</v>
      </c>
      <c r="D197" s="1">
        <f t="shared" si="12"/>
        <v>5</v>
      </c>
      <c r="E197" s="1">
        <f t="shared" si="13"/>
        <v>2017</v>
      </c>
      <c r="G197" s="186">
        <v>6</v>
      </c>
      <c r="H197" s="186">
        <v>2</v>
      </c>
      <c r="I197" s="186">
        <v>3</v>
      </c>
      <c r="J197" s="115" t="s">
        <v>1498</v>
      </c>
      <c r="K197" s="115" t="s">
        <v>1482</v>
      </c>
      <c r="L197" s="33" t="str">
        <f t="shared" si="15"/>
        <v/>
      </c>
      <c r="M197" s="188" t="s">
        <v>1721</v>
      </c>
      <c r="N197" s="1124"/>
    </row>
    <row r="198" spans="2:14" hidden="1">
      <c r="B198" s="5"/>
      <c r="C198" s="1">
        <f t="shared" ref="C198:C261" si="16">G$1</f>
        <v>3158</v>
      </c>
      <c r="D198" s="1">
        <f t="shared" ref="D198:D261" si="17">I$1</f>
        <v>5</v>
      </c>
      <c r="E198" s="1">
        <f t="shared" ref="E198:E261" si="18">G$2</f>
        <v>2017</v>
      </c>
      <c r="G198" s="186">
        <v>6</v>
      </c>
      <c r="H198" s="186">
        <v>2</v>
      </c>
      <c r="I198" s="186">
        <v>24</v>
      </c>
      <c r="J198" s="115" t="s">
        <v>1498</v>
      </c>
      <c r="K198" s="115" t="s">
        <v>1482</v>
      </c>
      <c r="L198" s="33" t="str">
        <f t="shared" si="15"/>
        <v/>
      </c>
      <c r="M198" s="188" t="s">
        <v>1722</v>
      </c>
      <c r="N198" s="1124"/>
    </row>
    <row r="199" spans="2:14" hidden="1">
      <c r="B199" s="5"/>
      <c r="C199" s="1">
        <f t="shared" si="16"/>
        <v>3158</v>
      </c>
      <c r="D199" s="1">
        <f t="shared" si="17"/>
        <v>5</v>
      </c>
      <c r="E199" s="1">
        <f t="shared" si="18"/>
        <v>2017</v>
      </c>
      <c r="G199" s="186">
        <v>6</v>
      </c>
      <c r="H199" s="186">
        <v>2</v>
      </c>
      <c r="I199" s="186">
        <v>7</v>
      </c>
      <c r="J199" s="115" t="s">
        <v>1498</v>
      </c>
      <c r="K199" s="115" t="s">
        <v>1482</v>
      </c>
      <c r="L199" s="33" t="str">
        <f t="shared" si="15"/>
        <v/>
      </c>
      <c r="M199" s="188" t="s">
        <v>1731</v>
      </c>
      <c r="N199" s="1124"/>
    </row>
    <row r="200" spans="2:14" hidden="1">
      <c r="B200" s="5"/>
      <c r="C200" s="1">
        <f t="shared" si="16"/>
        <v>3158</v>
      </c>
      <c r="D200" s="1">
        <f t="shared" si="17"/>
        <v>5</v>
      </c>
      <c r="E200" s="1">
        <f t="shared" si="18"/>
        <v>2017</v>
      </c>
      <c r="G200" s="186">
        <v>6</v>
      </c>
      <c r="H200" s="186">
        <v>2</v>
      </c>
      <c r="I200" s="186">
        <v>6</v>
      </c>
      <c r="J200" s="115" t="s">
        <v>1498</v>
      </c>
      <c r="K200" s="115" t="s">
        <v>1482</v>
      </c>
      <c r="L200" s="33" t="str">
        <f t="shared" si="15"/>
        <v/>
      </c>
      <c r="M200" s="188" t="s">
        <v>342</v>
      </c>
      <c r="N200" s="1124"/>
    </row>
    <row r="201" spans="2:14" hidden="1">
      <c r="B201" s="5"/>
      <c r="C201" s="1">
        <f t="shared" si="16"/>
        <v>3158</v>
      </c>
      <c r="D201" s="1">
        <f t="shared" si="17"/>
        <v>5</v>
      </c>
      <c r="E201" s="1">
        <f t="shared" si="18"/>
        <v>2017</v>
      </c>
      <c r="G201" s="186">
        <v>6</v>
      </c>
      <c r="H201" s="186">
        <v>2</v>
      </c>
      <c r="I201" s="186">
        <v>17</v>
      </c>
      <c r="J201" s="115" t="s">
        <v>1498</v>
      </c>
      <c r="K201" s="115" t="s">
        <v>1482</v>
      </c>
      <c r="L201" s="33" t="str">
        <f t="shared" si="15"/>
        <v/>
      </c>
      <c r="M201" s="188" t="s">
        <v>343</v>
      </c>
      <c r="N201" s="1124"/>
    </row>
    <row r="202" spans="2:14" hidden="1">
      <c r="B202" s="5"/>
      <c r="C202" s="1">
        <f t="shared" si="16"/>
        <v>3158</v>
      </c>
      <c r="D202" s="1">
        <f t="shared" si="17"/>
        <v>5</v>
      </c>
      <c r="E202" s="1">
        <f t="shared" si="18"/>
        <v>2017</v>
      </c>
      <c r="G202" s="186">
        <v>6</v>
      </c>
      <c r="H202" s="186">
        <v>2</v>
      </c>
      <c r="I202" s="186">
        <v>14</v>
      </c>
      <c r="J202" s="115" t="s">
        <v>1498</v>
      </c>
      <c r="K202" s="115" t="s">
        <v>1482</v>
      </c>
      <c r="L202" s="33" t="str">
        <f t="shared" si="15"/>
        <v/>
      </c>
      <c r="M202" s="188" t="s">
        <v>344</v>
      </c>
      <c r="N202" s="1124"/>
    </row>
    <row r="203" spans="2:14" hidden="1">
      <c r="B203" s="5"/>
      <c r="C203" s="1">
        <f t="shared" si="16"/>
        <v>3158</v>
      </c>
      <c r="D203" s="1">
        <f t="shared" si="17"/>
        <v>5</v>
      </c>
      <c r="E203" s="1">
        <f t="shared" si="18"/>
        <v>2017</v>
      </c>
      <c r="G203" s="186">
        <v>6</v>
      </c>
      <c r="H203" s="186">
        <v>2</v>
      </c>
      <c r="I203" s="186">
        <v>11</v>
      </c>
      <c r="J203" s="115" t="s">
        <v>1498</v>
      </c>
      <c r="K203" s="115" t="s">
        <v>1482</v>
      </c>
      <c r="L203" s="33" t="str">
        <f t="shared" si="15"/>
        <v/>
      </c>
      <c r="M203" s="188" t="s">
        <v>345</v>
      </c>
      <c r="N203" s="1124"/>
    </row>
    <row r="204" spans="2:14" hidden="1">
      <c r="B204" s="5"/>
      <c r="C204" s="1">
        <f t="shared" si="16"/>
        <v>3158</v>
      </c>
      <c r="D204" s="1">
        <f t="shared" si="17"/>
        <v>5</v>
      </c>
      <c r="E204" s="1">
        <f t="shared" si="18"/>
        <v>2017</v>
      </c>
      <c r="G204" s="186">
        <v>6</v>
      </c>
      <c r="H204" s="186">
        <v>2</v>
      </c>
      <c r="I204" s="186">
        <v>5</v>
      </c>
      <c r="J204" s="115" t="s">
        <v>1498</v>
      </c>
      <c r="K204" s="115" t="s">
        <v>1482</v>
      </c>
      <c r="L204" s="33" t="str">
        <f t="shared" si="15"/>
        <v/>
      </c>
      <c r="M204" s="188" t="s">
        <v>346</v>
      </c>
      <c r="N204" s="1124"/>
    </row>
    <row r="205" spans="2:14" hidden="1">
      <c r="B205" s="5"/>
      <c r="C205" s="1">
        <f t="shared" si="16"/>
        <v>3158</v>
      </c>
      <c r="D205" s="1">
        <f t="shared" si="17"/>
        <v>5</v>
      </c>
      <c r="E205" s="1">
        <f t="shared" si="18"/>
        <v>2017</v>
      </c>
      <c r="G205" s="186">
        <v>6</v>
      </c>
      <c r="H205" s="186">
        <v>2</v>
      </c>
      <c r="I205" s="186">
        <v>20</v>
      </c>
      <c r="J205" s="115" t="s">
        <v>1498</v>
      </c>
      <c r="K205" s="115" t="s">
        <v>1482</v>
      </c>
      <c r="L205" s="33" t="str">
        <f t="shared" si="15"/>
        <v/>
      </c>
      <c r="M205" s="188" t="s">
        <v>347</v>
      </c>
      <c r="N205" s="1124"/>
    </row>
    <row r="206" spans="2:14" hidden="1">
      <c r="B206" s="5"/>
      <c r="C206" s="1">
        <f t="shared" si="16"/>
        <v>3158</v>
      </c>
      <c r="D206" s="1">
        <f t="shared" si="17"/>
        <v>5</v>
      </c>
      <c r="E206" s="1">
        <f t="shared" si="18"/>
        <v>2017</v>
      </c>
      <c r="G206" s="186">
        <v>6</v>
      </c>
      <c r="H206" s="186">
        <v>2</v>
      </c>
      <c r="I206" s="186">
        <v>21</v>
      </c>
      <c r="J206" s="115" t="s">
        <v>1498</v>
      </c>
      <c r="K206" s="115" t="s">
        <v>1482</v>
      </c>
      <c r="L206" s="33" t="str">
        <f t="shared" si="15"/>
        <v/>
      </c>
      <c r="M206" s="188" t="s">
        <v>348</v>
      </c>
      <c r="N206" s="1124"/>
    </row>
    <row r="207" spans="2:14" hidden="1">
      <c r="B207" s="5"/>
      <c r="C207" s="1">
        <f t="shared" si="16"/>
        <v>3158</v>
      </c>
      <c r="D207" s="1">
        <f t="shared" si="17"/>
        <v>5</v>
      </c>
      <c r="E207" s="1">
        <f t="shared" si="18"/>
        <v>2017</v>
      </c>
      <c r="G207" s="186">
        <v>6</v>
      </c>
      <c r="H207" s="186">
        <v>2</v>
      </c>
      <c r="I207" s="186">
        <v>4</v>
      </c>
      <c r="J207" s="115" t="s">
        <v>1498</v>
      </c>
      <c r="K207" s="115" t="s">
        <v>1482</v>
      </c>
      <c r="L207" s="33" t="str">
        <f t="shared" si="15"/>
        <v/>
      </c>
      <c r="M207" s="188" t="s">
        <v>349</v>
      </c>
      <c r="N207" s="1124"/>
    </row>
    <row r="208" spans="2:14" hidden="1">
      <c r="B208" s="5"/>
      <c r="C208" s="1">
        <f t="shared" si="16"/>
        <v>3158</v>
      </c>
      <c r="D208" s="1">
        <f t="shared" si="17"/>
        <v>5</v>
      </c>
      <c r="E208" s="1">
        <f t="shared" si="18"/>
        <v>2017</v>
      </c>
      <c r="G208" s="186">
        <v>6</v>
      </c>
      <c r="H208" s="186">
        <v>2</v>
      </c>
      <c r="I208" s="186">
        <v>22</v>
      </c>
      <c r="J208" s="115" t="s">
        <v>1498</v>
      </c>
      <c r="K208" s="115" t="s">
        <v>1482</v>
      </c>
      <c r="L208" s="33" t="str">
        <f t="shared" si="15"/>
        <v/>
      </c>
      <c r="M208" s="188" t="s">
        <v>350</v>
      </c>
      <c r="N208" s="1124"/>
    </row>
    <row r="209" spans="2:14" hidden="1">
      <c r="B209" s="5"/>
      <c r="C209" s="1">
        <f t="shared" si="16"/>
        <v>3158</v>
      </c>
      <c r="D209" s="1">
        <f t="shared" si="17"/>
        <v>5</v>
      </c>
      <c r="E209" s="1">
        <f t="shared" si="18"/>
        <v>2017</v>
      </c>
      <c r="G209" s="186">
        <v>6</v>
      </c>
      <c r="H209" s="186">
        <v>2</v>
      </c>
      <c r="I209" s="186">
        <v>23</v>
      </c>
      <c r="J209" s="115" t="s">
        <v>1498</v>
      </c>
      <c r="K209" s="115" t="s">
        <v>1482</v>
      </c>
      <c r="L209" s="33" t="str">
        <f t="shared" si="15"/>
        <v/>
      </c>
      <c r="M209" s="188" t="s">
        <v>351</v>
      </c>
      <c r="N209" s="1124"/>
    </row>
    <row r="210" spans="2:14" hidden="1">
      <c r="B210" s="5"/>
      <c r="C210" s="1">
        <f t="shared" si="16"/>
        <v>3158</v>
      </c>
      <c r="D210" s="1">
        <f t="shared" si="17"/>
        <v>5</v>
      </c>
      <c r="E210" s="1">
        <f t="shared" si="18"/>
        <v>2017</v>
      </c>
      <c r="G210" s="186">
        <v>6</v>
      </c>
      <c r="H210" s="186">
        <v>2</v>
      </c>
      <c r="I210" s="186">
        <v>9</v>
      </c>
      <c r="J210" s="115" t="s">
        <v>1498</v>
      </c>
      <c r="K210" s="115" t="s">
        <v>1482</v>
      </c>
      <c r="L210" s="33" t="str">
        <f t="shared" si="15"/>
        <v/>
      </c>
      <c r="M210" s="188" t="s">
        <v>352</v>
      </c>
      <c r="N210" s="1124"/>
    </row>
    <row r="211" spans="2:14" hidden="1">
      <c r="B211" s="5"/>
      <c r="C211" s="1">
        <f t="shared" si="16"/>
        <v>3158</v>
      </c>
      <c r="D211" s="1">
        <f t="shared" si="17"/>
        <v>5</v>
      </c>
      <c r="E211" s="1">
        <f t="shared" si="18"/>
        <v>2017</v>
      </c>
      <c r="G211" s="186">
        <v>6</v>
      </c>
      <c r="H211" s="186">
        <v>2</v>
      </c>
      <c r="I211" s="186">
        <v>1</v>
      </c>
      <c r="J211" s="115" t="s">
        <v>1498</v>
      </c>
      <c r="K211" s="115" t="s">
        <v>1482</v>
      </c>
      <c r="L211" s="33" t="str">
        <f t="shared" si="15"/>
        <v/>
      </c>
      <c r="M211" s="188" t="s">
        <v>353</v>
      </c>
      <c r="N211" s="1124"/>
    </row>
    <row r="212" spans="2:14" hidden="1">
      <c r="B212" s="5"/>
      <c r="C212" s="1">
        <f t="shared" si="16"/>
        <v>3158</v>
      </c>
      <c r="D212" s="1">
        <f t="shared" si="17"/>
        <v>5</v>
      </c>
      <c r="E212" s="1">
        <f t="shared" si="18"/>
        <v>2017</v>
      </c>
      <c r="G212" s="186">
        <v>6</v>
      </c>
      <c r="H212" s="186">
        <v>2</v>
      </c>
      <c r="I212" s="186">
        <v>-1</v>
      </c>
      <c r="J212" s="115" t="s">
        <v>1498</v>
      </c>
      <c r="K212" s="115" t="s">
        <v>1482</v>
      </c>
      <c r="L212" s="33" t="str">
        <f t="shared" si="15"/>
        <v/>
      </c>
      <c r="M212" s="188" t="s">
        <v>354</v>
      </c>
      <c r="N212" s="1124"/>
    </row>
    <row r="213" spans="2:14" hidden="1">
      <c r="B213" s="5"/>
      <c r="C213" s="1">
        <f t="shared" si="16"/>
        <v>3158</v>
      </c>
      <c r="D213" s="1">
        <f t="shared" si="17"/>
        <v>5</v>
      </c>
      <c r="E213" s="1">
        <f t="shared" si="18"/>
        <v>2017</v>
      </c>
      <c r="G213" s="186">
        <v>6</v>
      </c>
      <c r="H213" s="186">
        <v>3</v>
      </c>
      <c r="I213" s="186">
        <v>19</v>
      </c>
      <c r="J213" s="115" t="s">
        <v>1498</v>
      </c>
      <c r="K213" s="115" t="s">
        <v>83</v>
      </c>
      <c r="L213" s="33" t="str">
        <f t="shared" ref="L213:L239" si="19">IF(ISBLANK(F17),"",F17)</f>
        <v/>
      </c>
      <c r="M213" s="188" t="s">
        <v>267</v>
      </c>
      <c r="N213" s="1124"/>
    </row>
    <row r="214" spans="2:14" hidden="1">
      <c r="B214" s="5"/>
      <c r="C214" s="1">
        <f t="shared" si="16"/>
        <v>3158</v>
      </c>
      <c r="D214" s="1">
        <f t="shared" si="17"/>
        <v>5</v>
      </c>
      <c r="E214" s="1">
        <f t="shared" si="18"/>
        <v>2017</v>
      </c>
      <c r="G214" s="186">
        <v>6</v>
      </c>
      <c r="H214" s="186">
        <v>3</v>
      </c>
      <c r="I214" s="186">
        <v>16</v>
      </c>
      <c r="J214" s="115" t="s">
        <v>1498</v>
      </c>
      <c r="K214" s="115" t="s">
        <v>83</v>
      </c>
      <c r="L214" s="33" t="str">
        <f t="shared" si="19"/>
        <v/>
      </c>
      <c r="M214" s="188" t="s">
        <v>268</v>
      </c>
      <c r="N214" s="1124"/>
    </row>
    <row r="215" spans="2:14" hidden="1">
      <c r="B215" s="5"/>
      <c r="C215" s="1">
        <f t="shared" si="16"/>
        <v>3158</v>
      </c>
      <c r="D215" s="1">
        <f t="shared" si="17"/>
        <v>5</v>
      </c>
      <c r="E215" s="1">
        <f t="shared" si="18"/>
        <v>2017</v>
      </c>
      <c r="G215" s="186">
        <v>6</v>
      </c>
      <c r="H215" s="186">
        <v>3</v>
      </c>
      <c r="I215" s="186">
        <v>15</v>
      </c>
      <c r="J215" s="115" t="s">
        <v>1498</v>
      </c>
      <c r="K215" s="115" t="s">
        <v>83</v>
      </c>
      <c r="L215" s="33" t="str">
        <f t="shared" si="19"/>
        <v/>
      </c>
      <c r="M215" s="188" t="s">
        <v>355</v>
      </c>
      <c r="N215" s="1124"/>
    </row>
    <row r="216" spans="2:14" hidden="1">
      <c r="B216" s="5"/>
      <c r="C216" s="1">
        <f t="shared" si="16"/>
        <v>3158</v>
      </c>
      <c r="D216" s="1">
        <f t="shared" si="17"/>
        <v>5</v>
      </c>
      <c r="E216" s="1">
        <f t="shared" si="18"/>
        <v>2017</v>
      </c>
      <c r="G216" s="186">
        <v>6</v>
      </c>
      <c r="H216" s="186">
        <v>3</v>
      </c>
      <c r="I216" s="186">
        <v>2</v>
      </c>
      <c r="J216" s="115" t="s">
        <v>1498</v>
      </c>
      <c r="K216" s="115" t="s">
        <v>83</v>
      </c>
      <c r="L216" s="33" t="str">
        <f t="shared" si="19"/>
        <v/>
      </c>
      <c r="M216" s="188" t="s">
        <v>269</v>
      </c>
      <c r="N216" s="1124"/>
    </row>
    <row r="217" spans="2:14" hidden="1">
      <c r="B217" s="5"/>
      <c r="C217" s="1">
        <f t="shared" si="16"/>
        <v>3158</v>
      </c>
      <c r="D217" s="1">
        <f t="shared" si="17"/>
        <v>5</v>
      </c>
      <c r="E217" s="1">
        <f t="shared" si="18"/>
        <v>2017</v>
      </c>
      <c r="G217" s="186">
        <v>6</v>
      </c>
      <c r="H217" s="186">
        <v>3</v>
      </c>
      <c r="I217" s="186">
        <v>13</v>
      </c>
      <c r="J217" s="115" t="s">
        <v>1498</v>
      </c>
      <c r="K217" s="115" t="s">
        <v>83</v>
      </c>
      <c r="L217" s="33" t="str">
        <f t="shared" si="19"/>
        <v/>
      </c>
      <c r="M217" s="188" t="s">
        <v>1574</v>
      </c>
      <c r="N217" s="1124"/>
    </row>
    <row r="218" spans="2:14" hidden="1">
      <c r="B218" s="5"/>
      <c r="C218" s="1">
        <f t="shared" si="16"/>
        <v>3158</v>
      </c>
      <c r="D218" s="1">
        <f t="shared" si="17"/>
        <v>5</v>
      </c>
      <c r="E218" s="1">
        <f t="shared" si="18"/>
        <v>2017</v>
      </c>
      <c r="G218" s="186">
        <v>6</v>
      </c>
      <c r="H218" s="186">
        <v>3</v>
      </c>
      <c r="I218" s="186">
        <v>12</v>
      </c>
      <c r="J218" s="115" t="s">
        <v>1498</v>
      </c>
      <c r="K218" s="115" t="s">
        <v>83</v>
      </c>
      <c r="L218" s="33" t="str">
        <f t="shared" si="19"/>
        <v/>
      </c>
      <c r="M218" s="188" t="s">
        <v>1575</v>
      </c>
      <c r="N218" s="1124"/>
    </row>
    <row r="219" spans="2:14" hidden="1">
      <c r="B219" s="5"/>
      <c r="C219" s="1">
        <f t="shared" si="16"/>
        <v>3158</v>
      </c>
      <c r="D219" s="1">
        <f t="shared" si="17"/>
        <v>5</v>
      </c>
      <c r="E219" s="1">
        <f t="shared" si="18"/>
        <v>2017</v>
      </c>
      <c r="G219" s="186">
        <v>6</v>
      </c>
      <c r="H219" s="186">
        <v>3</v>
      </c>
      <c r="I219" s="186">
        <v>10</v>
      </c>
      <c r="J219" s="115" t="s">
        <v>1498</v>
      </c>
      <c r="K219" s="115" t="s">
        <v>83</v>
      </c>
      <c r="L219" s="33" t="str">
        <f t="shared" si="19"/>
        <v/>
      </c>
      <c r="M219" s="188" t="s">
        <v>1576</v>
      </c>
      <c r="N219" s="1124"/>
    </row>
    <row r="220" spans="2:14" hidden="1">
      <c r="B220" s="5"/>
      <c r="C220" s="1">
        <f t="shared" si="16"/>
        <v>3158</v>
      </c>
      <c r="D220" s="1">
        <f t="shared" si="17"/>
        <v>5</v>
      </c>
      <c r="E220" s="1">
        <f t="shared" si="18"/>
        <v>2017</v>
      </c>
      <c r="G220" s="186">
        <v>6</v>
      </c>
      <c r="H220" s="186">
        <v>3</v>
      </c>
      <c r="I220" s="186">
        <v>25</v>
      </c>
      <c r="J220" s="115" t="s">
        <v>1498</v>
      </c>
      <c r="K220" s="115" t="s">
        <v>83</v>
      </c>
      <c r="L220" s="33" t="str">
        <f t="shared" si="19"/>
        <v/>
      </c>
      <c r="M220" s="188" t="s">
        <v>1577</v>
      </c>
      <c r="N220" s="1124"/>
    </row>
    <row r="221" spans="2:14" hidden="1">
      <c r="B221" s="5"/>
      <c r="C221" s="1">
        <f t="shared" si="16"/>
        <v>3158</v>
      </c>
      <c r="D221" s="1">
        <f t="shared" si="17"/>
        <v>5</v>
      </c>
      <c r="E221" s="1">
        <f t="shared" si="18"/>
        <v>2017</v>
      </c>
      <c r="G221" s="186">
        <v>6</v>
      </c>
      <c r="H221" s="186">
        <v>3</v>
      </c>
      <c r="I221" s="186">
        <v>8</v>
      </c>
      <c r="J221" s="115" t="s">
        <v>1498</v>
      </c>
      <c r="K221" s="115" t="s">
        <v>83</v>
      </c>
      <c r="L221" s="33" t="str">
        <f t="shared" si="19"/>
        <v/>
      </c>
      <c r="M221" s="188" t="s">
        <v>1578</v>
      </c>
      <c r="N221" s="1124"/>
    </row>
    <row r="222" spans="2:14" hidden="1">
      <c r="B222" s="5"/>
      <c r="C222" s="1">
        <f t="shared" si="16"/>
        <v>3158</v>
      </c>
      <c r="D222" s="1">
        <f t="shared" si="17"/>
        <v>5</v>
      </c>
      <c r="E222" s="1">
        <f t="shared" si="18"/>
        <v>2017</v>
      </c>
      <c r="G222" s="186">
        <v>6</v>
      </c>
      <c r="H222" s="186">
        <v>3</v>
      </c>
      <c r="I222" s="186">
        <v>18</v>
      </c>
      <c r="J222" s="115" t="s">
        <v>1498</v>
      </c>
      <c r="K222" s="115" t="s">
        <v>83</v>
      </c>
      <c r="L222" s="33" t="str">
        <f t="shared" si="19"/>
        <v/>
      </c>
      <c r="M222" s="188" t="s">
        <v>1579</v>
      </c>
      <c r="N222" s="1124"/>
    </row>
    <row r="223" spans="2:14" hidden="1">
      <c r="B223" s="5"/>
      <c r="C223" s="1">
        <f t="shared" si="16"/>
        <v>3158</v>
      </c>
      <c r="D223" s="1">
        <f t="shared" si="17"/>
        <v>5</v>
      </c>
      <c r="E223" s="1">
        <f t="shared" si="18"/>
        <v>2017</v>
      </c>
      <c r="G223" s="186">
        <v>6</v>
      </c>
      <c r="H223" s="186">
        <v>3</v>
      </c>
      <c r="I223" s="186">
        <v>26</v>
      </c>
      <c r="J223" s="115" t="s">
        <v>1498</v>
      </c>
      <c r="K223" s="115" t="s">
        <v>83</v>
      </c>
      <c r="L223" s="33" t="str">
        <f t="shared" si="19"/>
        <v/>
      </c>
      <c r="M223" s="188" t="s">
        <v>1580</v>
      </c>
      <c r="N223" s="1124"/>
    </row>
    <row r="224" spans="2:14" hidden="1">
      <c r="B224" s="5"/>
      <c r="C224" s="1">
        <f t="shared" si="16"/>
        <v>3158</v>
      </c>
      <c r="D224" s="1">
        <f t="shared" si="17"/>
        <v>5</v>
      </c>
      <c r="E224" s="1">
        <f t="shared" si="18"/>
        <v>2017</v>
      </c>
      <c r="G224" s="186">
        <v>6</v>
      </c>
      <c r="H224" s="186">
        <v>3</v>
      </c>
      <c r="I224" s="186">
        <v>3</v>
      </c>
      <c r="J224" s="115" t="s">
        <v>1498</v>
      </c>
      <c r="K224" s="115" t="s">
        <v>83</v>
      </c>
      <c r="L224" s="33" t="str">
        <f t="shared" si="19"/>
        <v/>
      </c>
      <c r="M224" s="188" t="s">
        <v>1581</v>
      </c>
      <c r="N224" s="1124"/>
    </row>
    <row r="225" spans="2:14" hidden="1">
      <c r="B225" s="5"/>
      <c r="C225" s="1">
        <f t="shared" si="16"/>
        <v>3158</v>
      </c>
      <c r="D225" s="1">
        <f t="shared" si="17"/>
        <v>5</v>
      </c>
      <c r="E225" s="1">
        <f t="shared" si="18"/>
        <v>2017</v>
      </c>
      <c r="G225" s="186">
        <v>6</v>
      </c>
      <c r="H225" s="186">
        <v>3</v>
      </c>
      <c r="I225" s="186">
        <v>24</v>
      </c>
      <c r="J225" s="115" t="s">
        <v>1498</v>
      </c>
      <c r="K225" s="115" t="s">
        <v>83</v>
      </c>
      <c r="L225" s="33" t="str">
        <f t="shared" si="19"/>
        <v/>
      </c>
      <c r="M225" s="188" t="s">
        <v>1582</v>
      </c>
      <c r="N225" s="1124"/>
    </row>
    <row r="226" spans="2:14" hidden="1">
      <c r="B226" s="5"/>
      <c r="C226" s="1">
        <f t="shared" si="16"/>
        <v>3158</v>
      </c>
      <c r="D226" s="1">
        <f t="shared" si="17"/>
        <v>5</v>
      </c>
      <c r="E226" s="1">
        <f t="shared" si="18"/>
        <v>2017</v>
      </c>
      <c r="G226" s="186">
        <v>6</v>
      </c>
      <c r="H226" s="186">
        <v>3</v>
      </c>
      <c r="I226" s="186">
        <v>7</v>
      </c>
      <c r="J226" s="115" t="s">
        <v>1498</v>
      </c>
      <c r="K226" s="115" t="s">
        <v>83</v>
      </c>
      <c r="L226" s="33" t="str">
        <f t="shared" si="19"/>
        <v/>
      </c>
      <c r="M226" s="188" t="s">
        <v>1583</v>
      </c>
      <c r="N226" s="1124"/>
    </row>
    <row r="227" spans="2:14" hidden="1">
      <c r="B227" s="5"/>
      <c r="C227" s="1">
        <f t="shared" si="16"/>
        <v>3158</v>
      </c>
      <c r="D227" s="1">
        <f t="shared" si="17"/>
        <v>5</v>
      </c>
      <c r="E227" s="1">
        <f t="shared" si="18"/>
        <v>2017</v>
      </c>
      <c r="G227" s="186">
        <v>6</v>
      </c>
      <c r="H227" s="186">
        <v>3</v>
      </c>
      <c r="I227" s="186">
        <v>6</v>
      </c>
      <c r="J227" s="115" t="s">
        <v>1498</v>
      </c>
      <c r="K227" s="115" t="s">
        <v>83</v>
      </c>
      <c r="L227" s="33" t="str">
        <f t="shared" si="19"/>
        <v/>
      </c>
      <c r="M227" s="188" t="s">
        <v>1584</v>
      </c>
      <c r="N227" s="1124"/>
    </row>
    <row r="228" spans="2:14" hidden="1">
      <c r="B228" s="5"/>
      <c r="C228" s="1">
        <f t="shared" si="16"/>
        <v>3158</v>
      </c>
      <c r="D228" s="1">
        <f t="shared" si="17"/>
        <v>5</v>
      </c>
      <c r="E228" s="1">
        <f t="shared" si="18"/>
        <v>2017</v>
      </c>
      <c r="G228" s="186">
        <v>6</v>
      </c>
      <c r="H228" s="186">
        <v>3</v>
      </c>
      <c r="I228" s="186">
        <v>17</v>
      </c>
      <c r="J228" s="115" t="s">
        <v>1498</v>
      </c>
      <c r="K228" s="115" t="s">
        <v>83</v>
      </c>
      <c r="L228" s="33" t="str">
        <f t="shared" si="19"/>
        <v/>
      </c>
      <c r="M228" s="188" t="s">
        <v>1585</v>
      </c>
      <c r="N228" s="1124"/>
    </row>
    <row r="229" spans="2:14" hidden="1">
      <c r="B229" s="5"/>
      <c r="C229" s="1">
        <f t="shared" si="16"/>
        <v>3158</v>
      </c>
      <c r="D229" s="1">
        <f t="shared" si="17"/>
        <v>5</v>
      </c>
      <c r="E229" s="1">
        <f t="shared" si="18"/>
        <v>2017</v>
      </c>
      <c r="G229" s="186">
        <v>6</v>
      </c>
      <c r="H229" s="186">
        <v>3</v>
      </c>
      <c r="I229" s="186">
        <v>14</v>
      </c>
      <c r="J229" s="115" t="s">
        <v>1498</v>
      </c>
      <c r="K229" s="115" t="s">
        <v>83</v>
      </c>
      <c r="L229" s="33" t="str">
        <f t="shared" si="19"/>
        <v/>
      </c>
      <c r="M229" s="188" t="s">
        <v>1586</v>
      </c>
      <c r="N229" s="1124"/>
    </row>
    <row r="230" spans="2:14" hidden="1">
      <c r="B230" s="5"/>
      <c r="C230" s="1">
        <f t="shared" si="16"/>
        <v>3158</v>
      </c>
      <c r="D230" s="1">
        <f t="shared" si="17"/>
        <v>5</v>
      </c>
      <c r="E230" s="1">
        <f t="shared" si="18"/>
        <v>2017</v>
      </c>
      <c r="G230" s="186">
        <v>6</v>
      </c>
      <c r="H230" s="186">
        <v>3</v>
      </c>
      <c r="I230" s="186">
        <v>11</v>
      </c>
      <c r="J230" s="115" t="s">
        <v>1498</v>
      </c>
      <c r="K230" s="115" t="s">
        <v>83</v>
      </c>
      <c r="L230" s="33" t="str">
        <f t="shared" si="19"/>
        <v/>
      </c>
      <c r="M230" s="188" t="s">
        <v>1587</v>
      </c>
      <c r="N230" s="1124"/>
    </row>
    <row r="231" spans="2:14" hidden="1">
      <c r="B231" s="5"/>
      <c r="C231" s="1">
        <f t="shared" si="16"/>
        <v>3158</v>
      </c>
      <c r="D231" s="1">
        <f t="shared" si="17"/>
        <v>5</v>
      </c>
      <c r="E231" s="1">
        <f t="shared" si="18"/>
        <v>2017</v>
      </c>
      <c r="G231" s="186">
        <v>6</v>
      </c>
      <c r="H231" s="186">
        <v>3</v>
      </c>
      <c r="I231" s="186">
        <v>5</v>
      </c>
      <c r="J231" s="115" t="s">
        <v>1498</v>
      </c>
      <c r="K231" s="115" t="s">
        <v>83</v>
      </c>
      <c r="L231" s="33" t="str">
        <f t="shared" si="19"/>
        <v/>
      </c>
      <c r="M231" s="188" t="s">
        <v>1588</v>
      </c>
      <c r="N231" s="1124"/>
    </row>
    <row r="232" spans="2:14" hidden="1">
      <c r="B232" s="5"/>
      <c r="C232" s="1">
        <f t="shared" si="16"/>
        <v>3158</v>
      </c>
      <c r="D232" s="1">
        <f t="shared" si="17"/>
        <v>5</v>
      </c>
      <c r="E232" s="1">
        <f t="shared" si="18"/>
        <v>2017</v>
      </c>
      <c r="G232" s="186">
        <v>6</v>
      </c>
      <c r="H232" s="186">
        <v>3</v>
      </c>
      <c r="I232" s="186">
        <v>20</v>
      </c>
      <c r="J232" s="115" t="s">
        <v>1498</v>
      </c>
      <c r="K232" s="115" t="s">
        <v>83</v>
      </c>
      <c r="L232" s="33" t="str">
        <f t="shared" si="19"/>
        <v/>
      </c>
      <c r="M232" s="188" t="s">
        <v>1589</v>
      </c>
      <c r="N232" s="1124"/>
    </row>
    <row r="233" spans="2:14" hidden="1">
      <c r="B233" s="5"/>
      <c r="C233" s="1">
        <f t="shared" si="16"/>
        <v>3158</v>
      </c>
      <c r="D233" s="1">
        <f t="shared" si="17"/>
        <v>5</v>
      </c>
      <c r="E233" s="1">
        <f t="shared" si="18"/>
        <v>2017</v>
      </c>
      <c r="G233" s="186">
        <v>6</v>
      </c>
      <c r="H233" s="186">
        <v>3</v>
      </c>
      <c r="I233" s="186">
        <v>21</v>
      </c>
      <c r="J233" s="115" t="s">
        <v>1498</v>
      </c>
      <c r="K233" s="115" t="s">
        <v>83</v>
      </c>
      <c r="L233" s="33" t="str">
        <f t="shared" si="19"/>
        <v/>
      </c>
      <c r="M233" s="188" t="s">
        <v>1590</v>
      </c>
      <c r="N233" s="1124"/>
    </row>
    <row r="234" spans="2:14" hidden="1">
      <c r="B234" s="5"/>
      <c r="C234" s="1">
        <f t="shared" si="16"/>
        <v>3158</v>
      </c>
      <c r="D234" s="1">
        <f t="shared" si="17"/>
        <v>5</v>
      </c>
      <c r="E234" s="1">
        <f t="shared" si="18"/>
        <v>2017</v>
      </c>
      <c r="G234" s="186">
        <v>6</v>
      </c>
      <c r="H234" s="186">
        <v>3</v>
      </c>
      <c r="I234" s="186">
        <v>4</v>
      </c>
      <c r="J234" s="115" t="s">
        <v>1498</v>
      </c>
      <c r="K234" s="115" t="s">
        <v>83</v>
      </c>
      <c r="L234" s="33" t="str">
        <f t="shared" si="19"/>
        <v/>
      </c>
      <c r="M234" s="188" t="s">
        <v>1591</v>
      </c>
      <c r="N234" s="1124"/>
    </row>
    <row r="235" spans="2:14" hidden="1">
      <c r="B235" s="5"/>
      <c r="C235" s="1">
        <f t="shared" si="16"/>
        <v>3158</v>
      </c>
      <c r="D235" s="1">
        <f t="shared" si="17"/>
        <v>5</v>
      </c>
      <c r="E235" s="1">
        <f t="shared" si="18"/>
        <v>2017</v>
      </c>
      <c r="G235" s="186">
        <v>6</v>
      </c>
      <c r="H235" s="186">
        <v>3</v>
      </c>
      <c r="I235" s="186">
        <v>22</v>
      </c>
      <c r="J235" s="115" t="s">
        <v>1498</v>
      </c>
      <c r="K235" s="115" t="s">
        <v>83</v>
      </c>
      <c r="L235" s="33" t="str">
        <f t="shared" si="19"/>
        <v/>
      </c>
      <c r="M235" s="188" t="s">
        <v>1592</v>
      </c>
      <c r="N235" s="1124"/>
    </row>
    <row r="236" spans="2:14" hidden="1">
      <c r="B236" s="5"/>
      <c r="C236" s="1">
        <f t="shared" si="16"/>
        <v>3158</v>
      </c>
      <c r="D236" s="1">
        <f t="shared" si="17"/>
        <v>5</v>
      </c>
      <c r="E236" s="1">
        <f t="shared" si="18"/>
        <v>2017</v>
      </c>
      <c r="G236" s="186">
        <v>6</v>
      </c>
      <c r="H236" s="186">
        <v>3</v>
      </c>
      <c r="I236" s="186">
        <v>23</v>
      </c>
      <c r="J236" s="115" t="s">
        <v>1498</v>
      </c>
      <c r="K236" s="115" t="s">
        <v>83</v>
      </c>
      <c r="L236" s="33" t="str">
        <f t="shared" si="19"/>
        <v/>
      </c>
      <c r="M236" s="188" t="s">
        <v>1593</v>
      </c>
      <c r="N236" s="1124"/>
    </row>
    <row r="237" spans="2:14" hidden="1">
      <c r="B237" s="5"/>
      <c r="C237" s="1">
        <f t="shared" si="16"/>
        <v>3158</v>
      </c>
      <c r="D237" s="1">
        <f t="shared" si="17"/>
        <v>5</v>
      </c>
      <c r="E237" s="1">
        <f t="shared" si="18"/>
        <v>2017</v>
      </c>
      <c r="G237" s="186">
        <v>6</v>
      </c>
      <c r="H237" s="186">
        <v>3</v>
      </c>
      <c r="I237" s="186">
        <v>9</v>
      </c>
      <c r="J237" s="115" t="s">
        <v>1498</v>
      </c>
      <c r="K237" s="115" t="s">
        <v>83</v>
      </c>
      <c r="L237" s="33" t="str">
        <f t="shared" si="19"/>
        <v/>
      </c>
      <c r="M237" s="188" t="s">
        <v>1594</v>
      </c>
      <c r="N237" s="1124"/>
    </row>
    <row r="238" spans="2:14" hidden="1">
      <c r="B238" s="5"/>
      <c r="C238" s="1">
        <f t="shared" si="16"/>
        <v>3158</v>
      </c>
      <c r="D238" s="1">
        <f t="shared" si="17"/>
        <v>5</v>
      </c>
      <c r="E238" s="1">
        <f t="shared" si="18"/>
        <v>2017</v>
      </c>
      <c r="G238" s="186">
        <v>6</v>
      </c>
      <c r="H238" s="186">
        <v>3</v>
      </c>
      <c r="I238" s="186">
        <v>1</v>
      </c>
      <c r="J238" s="115" t="s">
        <v>1498</v>
      </c>
      <c r="K238" s="115" t="s">
        <v>83</v>
      </c>
      <c r="L238" s="33" t="str">
        <f t="shared" si="19"/>
        <v/>
      </c>
      <c r="M238" s="188" t="s">
        <v>1595</v>
      </c>
      <c r="N238" s="1124"/>
    </row>
    <row r="239" spans="2:14" hidden="1">
      <c r="B239" s="5"/>
      <c r="C239" s="1">
        <f t="shared" si="16"/>
        <v>3158</v>
      </c>
      <c r="D239" s="1">
        <f t="shared" si="17"/>
        <v>5</v>
      </c>
      <c r="E239" s="1">
        <f t="shared" si="18"/>
        <v>2017</v>
      </c>
      <c r="G239" s="186">
        <v>6</v>
      </c>
      <c r="H239" s="186">
        <v>3</v>
      </c>
      <c r="I239" s="186">
        <v>-1</v>
      </c>
      <c r="J239" s="115" t="s">
        <v>1498</v>
      </c>
      <c r="K239" s="115" t="s">
        <v>83</v>
      </c>
      <c r="L239" s="33" t="str">
        <f t="shared" si="19"/>
        <v/>
      </c>
      <c r="M239" s="188" t="s">
        <v>1596</v>
      </c>
      <c r="N239" s="1124"/>
    </row>
    <row r="240" spans="2:14" hidden="1">
      <c r="B240" s="5"/>
      <c r="C240" s="1">
        <f t="shared" si="16"/>
        <v>3158</v>
      </c>
      <c r="D240" s="1">
        <f t="shared" si="17"/>
        <v>5</v>
      </c>
      <c r="E240" s="1">
        <f t="shared" si="18"/>
        <v>2017</v>
      </c>
      <c r="G240" s="186">
        <v>6</v>
      </c>
      <c r="H240" s="186">
        <v>3</v>
      </c>
      <c r="I240" s="186">
        <v>19</v>
      </c>
      <c r="J240" s="115" t="s">
        <v>1498</v>
      </c>
      <c r="K240" s="115" t="s">
        <v>1482</v>
      </c>
      <c r="L240" s="33" t="str">
        <f t="shared" ref="L240:L266" si="20">IF(ISBLANK(G17),"",G17)</f>
        <v/>
      </c>
      <c r="M240" s="188" t="s">
        <v>271</v>
      </c>
      <c r="N240" s="1124"/>
    </row>
    <row r="241" spans="2:14" hidden="1">
      <c r="B241" s="5"/>
      <c r="C241" s="1">
        <f t="shared" si="16"/>
        <v>3158</v>
      </c>
      <c r="D241" s="1">
        <f t="shared" si="17"/>
        <v>5</v>
      </c>
      <c r="E241" s="1">
        <f t="shared" si="18"/>
        <v>2017</v>
      </c>
      <c r="G241" s="186">
        <v>6</v>
      </c>
      <c r="H241" s="186">
        <v>3</v>
      </c>
      <c r="I241" s="186">
        <v>16</v>
      </c>
      <c r="J241" s="115" t="s">
        <v>1498</v>
      </c>
      <c r="K241" s="115" t="s">
        <v>1482</v>
      </c>
      <c r="L241" s="33" t="str">
        <f t="shared" si="20"/>
        <v/>
      </c>
      <c r="M241" s="188" t="s">
        <v>272</v>
      </c>
      <c r="N241" s="1124"/>
    </row>
    <row r="242" spans="2:14" hidden="1">
      <c r="B242" s="5"/>
      <c r="C242" s="1">
        <f t="shared" si="16"/>
        <v>3158</v>
      </c>
      <c r="D242" s="1">
        <f t="shared" si="17"/>
        <v>5</v>
      </c>
      <c r="E242" s="1">
        <f t="shared" si="18"/>
        <v>2017</v>
      </c>
      <c r="G242" s="186">
        <v>6</v>
      </c>
      <c r="H242" s="186">
        <v>3</v>
      </c>
      <c r="I242" s="186">
        <v>15</v>
      </c>
      <c r="J242" s="115" t="s">
        <v>1498</v>
      </c>
      <c r="K242" s="115" t="s">
        <v>1482</v>
      </c>
      <c r="L242" s="33" t="str">
        <f t="shared" si="20"/>
        <v/>
      </c>
      <c r="M242" s="188" t="s">
        <v>356</v>
      </c>
      <c r="N242" s="1124"/>
    </row>
    <row r="243" spans="2:14" hidden="1">
      <c r="B243" s="5"/>
      <c r="C243" s="1">
        <f t="shared" si="16"/>
        <v>3158</v>
      </c>
      <c r="D243" s="1">
        <f t="shared" si="17"/>
        <v>5</v>
      </c>
      <c r="E243" s="1">
        <f t="shared" si="18"/>
        <v>2017</v>
      </c>
      <c r="G243" s="186">
        <v>6</v>
      </c>
      <c r="H243" s="186">
        <v>3</v>
      </c>
      <c r="I243" s="186">
        <v>2</v>
      </c>
      <c r="J243" s="115" t="s">
        <v>1498</v>
      </c>
      <c r="K243" s="115" t="s">
        <v>1482</v>
      </c>
      <c r="L243" s="33" t="str">
        <f t="shared" si="20"/>
        <v/>
      </c>
      <c r="M243" s="188" t="s">
        <v>273</v>
      </c>
      <c r="N243" s="1124"/>
    </row>
    <row r="244" spans="2:14" hidden="1">
      <c r="B244" s="5"/>
      <c r="C244" s="1">
        <f t="shared" si="16"/>
        <v>3158</v>
      </c>
      <c r="D244" s="1">
        <f t="shared" si="17"/>
        <v>5</v>
      </c>
      <c r="E244" s="1">
        <f t="shared" si="18"/>
        <v>2017</v>
      </c>
      <c r="G244" s="186">
        <v>6</v>
      </c>
      <c r="H244" s="186">
        <v>3</v>
      </c>
      <c r="I244" s="186">
        <v>13</v>
      </c>
      <c r="J244" s="115" t="s">
        <v>1498</v>
      </c>
      <c r="K244" s="115" t="s">
        <v>1482</v>
      </c>
      <c r="L244" s="33" t="str">
        <f t="shared" si="20"/>
        <v/>
      </c>
      <c r="M244" s="188" t="s">
        <v>357</v>
      </c>
      <c r="N244" s="1124"/>
    </row>
    <row r="245" spans="2:14" hidden="1">
      <c r="B245" s="5"/>
      <c r="C245" s="1">
        <f t="shared" si="16"/>
        <v>3158</v>
      </c>
      <c r="D245" s="1">
        <f t="shared" si="17"/>
        <v>5</v>
      </c>
      <c r="E245" s="1">
        <f t="shared" si="18"/>
        <v>2017</v>
      </c>
      <c r="G245" s="186">
        <v>6</v>
      </c>
      <c r="H245" s="186">
        <v>3</v>
      </c>
      <c r="I245" s="186">
        <v>12</v>
      </c>
      <c r="J245" s="115" t="s">
        <v>1498</v>
      </c>
      <c r="K245" s="115" t="s">
        <v>1482</v>
      </c>
      <c r="L245" s="33" t="str">
        <f t="shared" si="20"/>
        <v/>
      </c>
      <c r="M245" s="188" t="s">
        <v>358</v>
      </c>
      <c r="N245" s="1124"/>
    </row>
    <row r="246" spans="2:14" hidden="1">
      <c r="B246" s="5"/>
      <c r="C246" s="1">
        <f t="shared" si="16"/>
        <v>3158</v>
      </c>
      <c r="D246" s="1">
        <f t="shared" si="17"/>
        <v>5</v>
      </c>
      <c r="E246" s="1">
        <f t="shared" si="18"/>
        <v>2017</v>
      </c>
      <c r="G246" s="186">
        <v>6</v>
      </c>
      <c r="H246" s="186">
        <v>3</v>
      </c>
      <c r="I246" s="186">
        <v>10</v>
      </c>
      <c r="J246" s="115" t="s">
        <v>1498</v>
      </c>
      <c r="K246" s="115" t="s">
        <v>1482</v>
      </c>
      <c r="L246" s="33" t="str">
        <f t="shared" si="20"/>
        <v/>
      </c>
      <c r="M246" s="188" t="s">
        <v>359</v>
      </c>
      <c r="N246" s="1124"/>
    </row>
    <row r="247" spans="2:14" hidden="1">
      <c r="B247" s="5"/>
      <c r="C247" s="1">
        <f t="shared" si="16"/>
        <v>3158</v>
      </c>
      <c r="D247" s="1">
        <f t="shared" si="17"/>
        <v>5</v>
      </c>
      <c r="E247" s="1">
        <f t="shared" si="18"/>
        <v>2017</v>
      </c>
      <c r="G247" s="186">
        <v>6</v>
      </c>
      <c r="H247" s="186">
        <v>3</v>
      </c>
      <c r="I247" s="186">
        <v>25</v>
      </c>
      <c r="J247" s="115" t="s">
        <v>1498</v>
      </c>
      <c r="K247" s="115" t="s">
        <v>1482</v>
      </c>
      <c r="L247" s="33" t="str">
        <f t="shared" si="20"/>
        <v/>
      </c>
      <c r="M247" s="188" t="s">
        <v>360</v>
      </c>
      <c r="N247" s="1124"/>
    </row>
    <row r="248" spans="2:14" hidden="1">
      <c r="B248" s="5"/>
      <c r="C248" s="1">
        <f t="shared" si="16"/>
        <v>3158</v>
      </c>
      <c r="D248" s="1">
        <f t="shared" si="17"/>
        <v>5</v>
      </c>
      <c r="E248" s="1">
        <f t="shared" si="18"/>
        <v>2017</v>
      </c>
      <c r="G248" s="186">
        <v>6</v>
      </c>
      <c r="H248" s="186">
        <v>3</v>
      </c>
      <c r="I248" s="186">
        <v>8</v>
      </c>
      <c r="J248" s="115" t="s">
        <v>1498</v>
      </c>
      <c r="K248" s="115" t="s">
        <v>1482</v>
      </c>
      <c r="L248" s="33" t="str">
        <f t="shared" si="20"/>
        <v/>
      </c>
      <c r="M248" s="188" t="s">
        <v>361</v>
      </c>
      <c r="N248" s="1124"/>
    </row>
    <row r="249" spans="2:14" hidden="1">
      <c r="B249" s="5"/>
      <c r="C249" s="1">
        <f t="shared" si="16"/>
        <v>3158</v>
      </c>
      <c r="D249" s="1">
        <f t="shared" si="17"/>
        <v>5</v>
      </c>
      <c r="E249" s="1">
        <f t="shared" si="18"/>
        <v>2017</v>
      </c>
      <c r="G249" s="186">
        <v>6</v>
      </c>
      <c r="H249" s="186">
        <v>3</v>
      </c>
      <c r="I249" s="186">
        <v>18</v>
      </c>
      <c r="J249" s="115" t="s">
        <v>1498</v>
      </c>
      <c r="K249" s="115" t="s">
        <v>1482</v>
      </c>
      <c r="L249" s="33" t="str">
        <f t="shared" si="20"/>
        <v/>
      </c>
      <c r="M249" s="188" t="s">
        <v>362</v>
      </c>
      <c r="N249" s="1124"/>
    </row>
    <row r="250" spans="2:14" hidden="1">
      <c r="B250" s="5"/>
      <c r="C250" s="1">
        <f t="shared" si="16"/>
        <v>3158</v>
      </c>
      <c r="D250" s="1">
        <f t="shared" si="17"/>
        <v>5</v>
      </c>
      <c r="E250" s="1">
        <f t="shared" si="18"/>
        <v>2017</v>
      </c>
      <c r="G250" s="186">
        <v>6</v>
      </c>
      <c r="H250" s="186">
        <v>3</v>
      </c>
      <c r="I250" s="186">
        <v>26</v>
      </c>
      <c r="J250" s="115" t="s">
        <v>1498</v>
      </c>
      <c r="K250" s="115" t="s">
        <v>1482</v>
      </c>
      <c r="L250" s="33" t="str">
        <f t="shared" si="20"/>
        <v/>
      </c>
      <c r="M250" s="188" t="s">
        <v>363</v>
      </c>
      <c r="N250" s="1124"/>
    </row>
    <row r="251" spans="2:14" hidden="1">
      <c r="B251" s="5"/>
      <c r="C251" s="1">
        <f t="shared" si="16"/>
        <v>3158</v>
      </c>
      <c r="D251" s="1">
        <f t="shared" si="17"/>
        <v>5</v>
      </c>
      <c r="E251" s="1">
        <f t="shared" si="18"/>
        <v>2017</v>
      </c>
      <c r="G251" s="186">
        <v>6</v>
      </c>
      <c r="H251" s="186">
        <v>3</v>
      </c>
      <c r="I251" s="186">
        <v>3</v>
      </c>
      <c r="J251" s="115" t="s">
        <v>1498</v>
      </c>
      <c r="K251" s="115" t="s">
        <v>1482</v>
      </c>
      <c r="L251" s="33" t="str">
        <f t="shared" si="20"/>
        <v/>
      </c>
      <c r="M251" s="188" t="s">
        <v>364</v>
      </c>
      <c r="N251" s="1124"/>
    </row>
    <row r="252" spans="2:14" hidden="1">
      <c r="B252" s="5"/>
      <c r="C252" s="1">
        <f t="shared" si="16"/>
        <v>3158</v>
      </c>
      <c r="D252" s="1">
        <f t="shared" si="17"/>
        <v>5</v>
      </c>
      <c r="E252" s="1">
        <f t="shared" si="18"/>
        <v>2017</v>
      </c>
      <c r="G252" s="186">
        <v>6</v>
      </c>
      <c r="H252" s="186">
        <v>3</v>
      </c>
      <c r="I252" s="186">
        <v>24</v>
      </c>
      <c r="J252" s="115" t="s">
        <v>1498</v>
      </c>
      <c r="K252" s="115" t="s">
        <v>1482</v>
      </c>
      <c r="L252" s="33" t="str">
        <f t="shared" si="20"/>
        <v/>
      </c>
      <c r="M252" s="188" t="s">
        <v>365</v>
      </c>
      <c r="N252" s="1124"/>
    </row>
    <row r="253" spans="2:14" hidden="1">
      <c r="B253" s="5"/>
      <c r="C253" s="1">
        <f t="shared" si="16"/>
        <v>3158</v>
      </c>
      <c r="D253" s="1">
        <f t="shared" si="17"/>
        <v>5</v>
      </c>
      <c r="E253" s="1">
        <f t="shared" si="18"/>
        <v>2017</v>
      </c>
      <c r="G253" s="186">
        <v>6</v>
      </c>
      <c r="H253" s="186">
        <v>3</v>
      </c>
      <c r="I253" s="186">
        <v>7</v>
      </c>
      <c r="J253" s="115" t="s">
        <v>1498</v>
      </c>
      <c r="K253" s="115" t="s">
        <v>1482</v>
      </c>
      <c r="L253" s="33" t="str">
        <f t="shared" si="20"/>
        <v/>
      </c>
      <c r="M253" s="188" t="s">
        <v>366</v>
      </c>
      <c r="N253" s="1124"/>
    </row>
    <row r="254" spans="2:14" hidden="1">
      <c r="B254" s="5"/>
      <c r="C254" s="1">
        <f t="shared" si="16"/>
        <v>3158</v>
      </c>
      <c r="D254" s="1">
        <f t="shared" si="17"/>
        <v>5</v>
      </c>
      <c r="E254" s="1">
        <f t="shared" si="18"/>
        <v>2017</v>
      </c>
      <c r="G254" s="186">
        <v>6</v>
      </c>
      <c r="H254" s="186">
        <v>3</v>
      </c>
      <c r="I254" s="186">
        <v>6</v>
      </c>
      <c r="J254" s="115" t="s">
        <v>1498</v>
      </c>
      <c r="K254" s="115" t="s">
        <v>1482</v>
      </c>
      <c r="L254" s="33" t="str">
        <f t="shared" si="20"/>
        <v/>
      </c>
      <c r="M254" s="188" t="s">
        <v>367</v>
      </c>
      <c r="N254" s="1124"/>
    </row>
    <row r="255" spans="2:14" hidden="1">
      <c r="B255" s="5"/>
      <c r="C255" s="1">
        <f t="shared" si="16"/>
        <v>3158</v>
      </c>
      <c r="D255" s="1">
        <f t="shared" si="17"/>
        <v>5</v>
      </c>
      <c r="E255" s="1">
        <f t="shared" si="18"/>
        <v>2017</v>
      </c>
      <c r="G255" s="186">
        <v>6</v>
      </c>
      <c r="H255" s="186">
        <v>3</v>
      </c>
      <c r="I255" s="186">
        <v>17</v>
      </c>
      <c r="J255" s="115" t="s">
        <v>1498</v>
      </c>
      <c r="K255" s="115" t="s">
        <v>1482</v>
      </c>
      <c r="L255" s="33" t="str">
        <f t="shared" si="20"/>
        <v/>
      </c>
      <c r="M255" s="188" t="s">
        <v>368</v>
      </c>
      <c r="N255" s="1124"/>
    </row>
    <row r="256" spans="2:14" hidden="1">
      <c r="B256" s="5"/>
      <c r="C256" s="1">
        <f t="shared" si="16"/>
        <v>3158</v>
      </c>
      <c r="D256" s="1">
        <f t="shared" si="17"/>
        <v>5</v>
      </c>
      <c r="E256" s="1">
        <f t="shared" si="18"/>
        <v>2017</v>
      </c>
      <c r="G256" s="186">
        <v>6</v>
      </c>
      <c r="H256" s="186">
        <v>3</v>
      </c>
      <c r="I256" s="186">
        <v>14</v>
      </c>
      <c r="J256" s="115" t="s">
        <v>1498</v>
      </c>
      <c r="K256" s="115" t="s">
        <v>1482</v>
      </c>
      <c r="L256" s="33" t="str">
        <f t="shared" si="20"/>
        <v/>
      </c>
      <c r="M256" s="188" t="s">
        <v>369</v>
      </c>
      <c r="N256" s="1124"/>
    </row>
    <row r="257" spans="2:14" hidden="1">
      <c r="B257" s="5"/>
      <c r="C257" s="1">
        <f t="shared" si="16"/>
        <v>3158</v>
      </c>
      <c r="D257" s="1">
        <f t="shared" si="17"/>
        <v>5</v>
      </c>
      <c r="E257" s="1">
        <f t="shared" si="18"/>
        <v>2017</v>
      </c>
      <c r="G257" s="186">
        <v>6</v>
      </c>
      <c r="H257" s="186">
        <v>3</v>
      </c>
      <c r="I257" s="186">
        <v>11</v>
      </c>
      <c r="J257" s="115" t="s">
        <v>1498</v>
      </c>
      <c r="K257" s="115" t="s">
        <v>1482</v>
      </c>
      <c r="L257" s="33" t="str">
        <f t="shared" si="20"/>
        <v/>
      </c>
      <c r="M257" s="188" t="s">
        <v>370</v>
      </c>
      <c r="N257" s="1124"/>
    </row>
    <row r="258" spans="2:14" hidden="1">
      <c r="B258" s="5"/>
      <c r="C258" s="1">
        <f t="shared" si="16"/>
        <v>3158</v>
      </c>
      <c r="D258" s="1">
        <f t="shared" si="17"/>
        <v>5</v>
      </c>
      <c r="E258" s="1">
        <f t="shared" si="18"/>
        <v>2017</v>
      </c>
      <c r="G258" s="186">
        <v>6</v>
      </c>
      <c r="H258" s="186">
        <v>3</v>
      </c>
      <c r="I258" s="186">
        <v>5</v>
      </c>
      <c r="J258" s="115" t="s">
        <v>1498</v>
      </c>
      <c r="K258" s="115" t="s">
        <v>1482</v>
      </c>
      <c r="L258" s="33" t="str">
        <f t="shared" si="20"/>
        <v/>
      </c>
      <c r="M258" s="188" t="s">
        <v>371</v>
      </c>
      <c r="N258" s="1124"/>
    </row>
    <row r="259" spans="2:14" hidden="1">
      <c r="B259" s="5"/>
      <c r="C259" s="1">
        <f t="shared" si="16"/>
        <v>3158</v>
      </c>
      <c r="D259" s="1">
        <f t="shared" si="17"/>
        <v>5</v>
      </c>
      <c r="E259" s="1">
        <f t="shared" si="18"/>
        <v>2017</v>
      </c>
      <c r="G259" s="186">
        <v>6</v>
      </c>
      <c r="H259" s="186">
        <v>3</v>
      </c>
      <c r="I259" s="186">
        <v>20</v>
      </c>
      <c r="J259" s="115" t="s">
        <v>1498</v>
      </c>
      <c r="K259" s="115" t="s">
        <v>1482</v>
      </c>
      <c r="L259" s="33" t="str">
        <f t="shared" si="20"/>
        <v/>
      </c>
      <c r="M259" s="188" t="s">
        <v>372</v>
      </c>
      <c r="N259" s="1124"/>
    </row>
    <row r="260" spans="2:14" hidden="1">
      <c r="B260" s="5"/>
      <c r="C260" s="1">
        <f t="shared" si="16"/>
        <v>3158</v>
      </c>
      <c r="D260" s="1">
        <f t="shared" si="17"/>
        <v>5</v>
      </c>
      <c r="E260" s="1">
        <f t="shared" si="18"/>
        <v>2017</v>
      </c>
      <c r="G260" s="186">
        <v>6</v>
      </c>
      <c r="H260" s="186">
        <v>3</v>
      </c>
      <c r="I260" s="186">
        <v>21</v>
      </c>
      <c r="J260" s="115" t="s">
        <v>1498</v>
      </c>
      <c r="K260" s="115" t="s">
        <v>1482</v>
      </c>
      <c r="L260" s="33" t="str">
        <f t="shared" si="20"/>
        <v/>
      </c>
      <c r="M260" s="188" t="s">
        <v>373</v>
      </c>
      <c r="N260" s="1124"/>
    </row>
    <row r="261" spans="2:14" hidden="1">
      <c r="B261" s="5"/>
      <c r="C261" s="1">
        <f t="shared" si="16"/>
        <v>3158</v>
      </c>
      <c r="D261" s="1">
        <f t="shared" si="17"/>
        <v>5</v>
      </c>
      <c r="E261" s="1">
        <f t="shared" si="18"/>
        <v>2017</v>
      </c>
      <c r="G261" s="186">
        <v>6</v>
      </c>
      <c r="H261" s="186">
        <v>3</v>
      </c>
      <c r="I261" s="186">
        <v>4</v>
      </c>
      <c r="J261" s="115" t="s">
        <v>1498</v>
      </c>
      <c r="K261" s="115" t="s">
        <v>1482</v>
      </c>
      <c r="L261" s="33" t="str">
        <f t="shared" si="20"/>
        <v/>
      </c>
      <c r="M261" s="188" t="s">
        <v>374</v>
      </c>
      <c r="N261" s="1124"/>
    </row>
    <row r="262" spans="2:14" hidden="1">
      <c r="B262" s="5"/>
      <c r="C262" s="1">
        <f>G$1</f>
        <v>3158</v>
      </c>
      <c r="D262" s="1">
        <f>I$1</f>
        <v>5</v>
      </c>
      <c r="E262" s="1">
        <f>G$2</f>
        <v>2017</v>
      </c>
      <c r="G262" s="186">
        <v>6</v>
      </c>
      <c r="H262" s="186">
        <v>3</v>
      </c>
      <c r="I262" s="186">
        <v>22</v>
      </c>
      <c r="J262" s="115" t="s">
        <v>1498</v>
      </c>
      <c r="K262" s="115" t="s">
        <v>1482</v>
      </c>
      <c r="L262" s="33" t="str">
        <f t="shared" si="20"/>
        <v/>
      </c>
      <c r="M262" s="188" t="s">
        <v>375</v>
      </c>
      <c r="N262" s="1124"/>
    </row>
    <row r="263" spans="2:14" hidden="1">
      <c r="B263" s="5"/>
      <c r="C263" s="1">
        <f>G$1</f>
        <v>3158</v>
      </c>
      <c r="D263" s="1">
        <f>I$1</f>
        <v>5</v>
      </c>
      <c r="E263" s="1">
        <f>G$2</f>
        <v>2017</v>
      </c>
      <c r="G263" s="186">
        <v>6</v>
      </c>
      <c r="H263" s="186">
        <v>3</v>
      </c>
      <c r="I263" s="186">
        <v>23</v>
      </c>
      <c r="J263" s="115" t="s">
        <v>1498</v>
      </c>
      <c r="K263" s="115" t="s">
        <v>1482</v>
      </c>
      <c r="L263" s="33" t="str">
        <f t="shared" si="20"/>
        <v/>
      </c>
      <c r="M263" s="188" t="s">
        <v>376</v>
      </c>
      <c r="N263" s="1124"/>
    </row>
    <row r="264" spans="2:14" hidden="1">
      <c r="B264" s="5"/>
      <c r="C264" s="1">
        <f>G$1</f>
        <v>3158</v>
      </c>
      <c r="D264" s="1">
        <f>I$1</f>
        <v>5</v>
      </c>
      <c r="E264" s="1">
        <f>G$2</f>
        <v>2017</v>
      </c>
      <c r="G264" s="186">
        <v>6</v>
      </c>
      <c r="H264" s="186">
        <v>3</v>
      </c>
      <c r="I264" s="186">
        <v>9</v>
      </c>
      <c r="J264" s="115" t="s">
        <v>1498</v>
      </c>
      <c r="K264" s="115" t="s">
        <v>1482</v>
      </c>
      <c r="L264" s="33" t="str">
        <f t="shared" si="20"/>
        <v/>
      </c>
      <c r="M264" s="188" t="s">
        <v>377</v>
      </c>
      <c r="N264" s="1124"/>
    </row>
    <row r="265" spans="2:14" hidden="1">
      <c r="B265" s="5"/>
      <c r="C265" s="1">
        <f>G$1</f>
        <v>3158</v>
      </c>
      <c r="D265" s="1">
        <f>I$1</f>
        <v>5</v>
      </c>
      <c r="E265" s="1">
        <f>G$2</f>
        <v>2017</v>
      </c>
      <c r="G265" s="186">
        <v>6</v>
      </c>
      <c r="H265" s="186">
        <v>3</v>
      </c>
      <c r="I265" s="186">
        <v>1</v>
      </c>
      <c r="J265" s="115" t="s">
        <v>1498</v>
      </c>
      <c r="K265" s="115" t="s">
        <v>1482</v>
      </c>
      <c r="L265" s="33" t="str">
        <f t="shared" si="20"/>
        <v/>
      </c>
      <c r="M265" s="188" t="s">
        <v>378</v>
      </c>
      <c r="N265" s="1124"/>
    </row>
    <row r="266" spans="2:14" ht="13.5" hidden="1" thickBot="1">
      <c r="B266" s="5"/>
      <c r="C266" s="1">
        <f>G$1</f>
        <v>3158</v>
      </c>
      <c r="D266" s="1">
        <f>I$1</f>
        <v>5</v>
      </c>
      <c r="E266" s="1">
        <f>G$2</f>
        <v>2017</v>
      </c>
      <c r="G266" s="186">
        <v>6</v>
      </c>
      <c r="H266" s="186">
        <v>3</v>
      </c>
      <c r="I266" s="186">
        <v>-1</v>
      </c>
      <c r="J266" s="115" t="s">
        <v>1498</v>
      </c>
      <c r="K266" s="115" t="s">
        <v>1482</v>
      </c>
      <c r="L266" s="33" t="str">
        <f t="shared" si="20"/>
        <v/>
      </c>
      <c r="M266" s="188" t="s">
        <v>379</v>
      </c>
      <c r="N266" s="1125"/>
    </row>
    <row r="267" spans="2:14" ht="13.5" hidden="1" thickTop="1">
      <c r="B267" s="5"/>
      <c r="C267" s="5"/>
      <c r="D267" s="5"/>
      <c r="E267" s="5"/>
      <c r="F267" s="37"/>
      <c r="G267" s="5"/>
      <c r="H267" s="39"/>
    </row>
    <row r="268" spans="2:14" hidden="1">
      <c r="B268" s="5"/>
      <c r="C268" s="5"/>
      <c r="D268" s="5"/>
      <c r="E268" s="5"/>
      <c r="F268" s="37"/>
      <c r="G268" s="5"/>
      <c r="H268" s="39"/>
    </row>
    <row r="269" spans="2:14">
      <c r="B269" s="5"/>
      <c r="C269" s="5"/>
      <c r="D269" s="5"/>
      <c r="E269" s="5"/>
      <c r="F269" s="38"/>
      <c r="G269" s="5"/>
      <c r="H269" s="39"/>
    </row>
    <row r="270" spans="2:14">
      <c r="B270" s="5"/>
      <c r="C270" s="5"/>
      <c r="D270" s="5"/>
      <c r="E270" s="5"/>
      <c r="F270" s="37"/>
      <c r="G270" s="5"/>
      <c r="H270" s="39"/>
    </row>
    <row r="271" spans="2:14">
      <c r="B271" s="5"/>
      <c r="C271" s="5"/>
      <c r="D271" s="5"/>
      <c r="E271" s="5"/>
      <c r="F271" s="37"/>
      <c r="G271" s="5"/>
      <c r="H271" s="39"/>
    </row>
    <row r="272" spans="2:14">
      <c r="B272" s="5"/>
      <c r="C272" s="5"/>
      <c r="D272" s="5"/>
      <c r="E272" s="5"/>
      <c r="F272" s="37"/>
      <c r="G272" s="5"/>
      <c r="H272" s="39"/>
    </row>
    <row r="273" spans="2:8">
      <c r="B273" s="5"/>
      <c r="C273" s="5"/>
      <c r="D273" s="5"/>
      <c r="E273" s="5"/>
      <c r="F273" s="37"/>
      <c r="G273" s="5"/>
      <c r="H273" s="39"/>
    </row>
    <row r="274" spans="2:8">
      <c r="B274" s="5"/>
      <c r="C274" s="5"/>
      <c r="D274" s="5"/>
      <c r="E274" s="5"/>
      <c r="F274" s="37"/>
      <c r="G274" s="5"/>
      <c r="H274" s="39"/>
    </row>
    <row r="275" spans="2:8">
      <c r="B275" s="5"/>
      <c r="C275" s="5"/>
      <c r="D275" s="5"/>
      <c r="E275" s="5"/>
      <c r="F275" s="37"/>
      <c r="G275" s="5"/>
      <c r="H275" s="39"/>
    </row>
    <row r="276" spans="2:8">
      <c r="B276" s="5"/>
      <c r="C276" s="5"/>
      <c r="D276" s="5"/>
      <c r="E276" s="5"/>
      <c r="F276" s="37"/>
      <c r="G276" s="5"/>
      <c r="H276" s="39"/>
    </row>
    <row r="277" spans="2:8">
      <c r="B277" s="5"/>
      <c r="C277" s="5"/>
      <c r="D277" s="5"/>
      <c r="E277" s="5"/>
      <c r="F277" s="37"/>
      <c r="G277" s="5"/>
      <c r="H277" s="39"/>
    </row>
    <row r="278" spans="2:8">
      <c r="B278" s="5"/>
      <c r="C278" s="5"/>
      <c r="D278" s="5"/>
      <c r="E278" s="5"/>
      <c r="F278" s="37"/>
      <c r="G278" s="5"/>
      <c r="H278" s="39"/>
    </row>
    <row r="279" spans="2:8">
      <c r="B279" s="5"/>
      <c r="C279" s="5"/>
      <c r="D279" s="5"/>
      <c r="E279" s="5"/>
      <c r="F279" s="37"/>
      <c r="G279" s="5"/>
      <c r="H279" s="39"/>
    </row>
    <row r="280" spans="2:8">
      <c r="B280" s="5"/>
      <c r="C280" s="5"/>
      <c r="D280" s="5"/>
      <c r="E280" s="5"/>
      <c r="F280" s="37"/>
      <c r="G280" s="5"/>
      <c r="H280" s="39"/>
    </row>
    <row r="281" spans="2:8">
      <c r="B281" s="5"/>
      <c r="C281" s="5"/>
      <c r="D281" s="5"/>
      <c r="E281" s="5"/>
      <c r="F281" s="37"/>
      <c r="G281" s="5"/>
      <c r="H281" s="39"/>
    </row>
    <row r="282" spans="2:8">
      <c r="B282" s="5"/>
      <c r="C282" s="5"/>
      <c r="D282" s="5"/>
      <c r="E282" s="5"/>
      <c r="F282" s="37"/>
      <c r="G282" s="5"/>
      <c r="H282" s="39"/>
    </row>
    <row r="283" spans="2:8">
      <c r="B283" s="5"/>
      <c r="C283" s="5"/>
      <c r="D283" s="5"/>
      <c r="E283" s="5"/>
      <c r="F283" s="37"/>
      <c r="G283" s="5"/>
      <c r="H283" s="39"/>
    </row>
    <row r="284" spans="2:8">
      <c r="B284" s="5"/>
      <c r="C284" s="5"/>
      <c r="D284" s="5"/>
      <c r="E284" s="5"/>
      <c r="F284" s="37"/>
      <c r="G284" s="5"/>
      <c r="H284" s="39"/>
    </row>
    <row r="285" spans="2:8">
      <c r="B285" s="5"/>
      <c r="C285" s="5"/>
      <c r="D285" s="5"/>
      <c r="E285" s="5"/>
      <c r="F285" s="37"/>
      <c r="G285" s="5"/>
      <c r="H285" s="39"/>
    </row>
    <row r="286" spans="2:8">
      <c r="B286" s="5"/>
      <c r="C286" s="5"/>
      <c r="D286" s="5"/>
      <c r="E286" s="5"/>
      <c r="F286" s="37"/>
      <c r="G286" s="5"/>
      <c r="H286" s="39"/>
    </row>
    <row r="287" spans="2:8">
      <c r="B287" s="5"/>
      <c r="C287" s="5"/>
      <c r="D287" s="5"/>
      <c r="E287" s="5"/>
      <c r="F287" s="37"/>
      <c r="G287" s="5"/>
      <c r="H287" s="39"/>
    </row>
    <row r="288" spans="2:8">
      <c r="B288" s="5"/>
      <c r="C288" s="5"/>
      <c r="D288" s="5"/>
      <c r="E288" s="5"/>
      <c r="F288" s="37"/>
      <c r="G288" s="5"/>
      <c r="H288" s="39"/>
    </row>
    <row r="289" spans="2:8">
      <c r="B289" s="5"/>
      <c r="C289" s="5"/>
      <c r="D289" s="5"/>
      <c r="E289" s="5"/>
      <c r="F289" s="37"/>
      <c r="G289" s="5"/>
      <c r="H289" s="39"/>
    </row>
    <row r="290" spans="2:8">
      <c r="B290" s="5"/>
      <c r="C290" s="5"/>
      <c r="D290" s="5"/>
      <c r="E290" s="5"/>
      <c r="F290" s="37"/>
      <c r="G290" s="5"/>
      <c r="H290" s="39"/>
    </row>
    <row r="291" spans="2:8">
      <c r="B291" s="5"/>
      <c r="C291" s="5"/>
      <c r="D291" s="5"/>
      <c r="E291" s="5"/>
      <c r="F291" s="37"/>
      <c r="G291" s="5"/>
      <c r="H291" s="39"/>
    </row>
    <row r="292" spans="2:8">
      <c r="B292" s="5"/>
      <c r="C292" s="5"/>
      <c r="D292" s="5"/>
      <c r="E292" s="5"/>
      <c r="F292" s="37"/>
      <c r="G292" s="5"/>
      <c r="H292" s="39"/>
    </row>
    <row r="293" spans="2:8">
      <c r="B293" s="5"/>
      <c r="C293" s="5"/>
      <c r="D293" s="5"/>
      <c r="E293" s="5"/>
      <c r="F293" s="37"/>
      <c r="G293" s="5"/>
      <c r="H293" s="39"/>
    </row>
    <row r="294" spans="2:8">
      <c r="B294" s="5"/>
      <c r="C294" s="5"/>
      <c r="D294" s="5"/>
      <c r="E294" s="5"/>
      <c r="F294" s="37"/>
      <c r="G294" s="5"/>
      <c r="H294" s="39"/>
    </row>
    <row r="295" spans="2:8">
      <c r="B295" s="5"/>
      <c r="C295" s="5"/>
      <c r="D295" s="5"/>
      <c r="E295" s="5"/>
      <c r="F295" s="37"/>
      <c r="G295" s="5"/>
      <c r="H295" s="39"/>
    </row>
    <row r="296" spans="2:8">
      <c r="B296" s="5"/>
      <c r="C296" s="5"/>
      <c r="D296" s="5"/>
      <c r="E296" s="5"/>
      <c r="F296" s="37"/>
      <c r="G296" s="5"/>
      <c r="H296" s="39"/>
    </row>
    <row r="297" spans="2:8">
      <c r="B297" s="5"/>
      <c r="C297" s="5"/>
      <c r="D297" s="5"/>
      <c r="E297" s="5"/>
      <c r="F297" s="37"/>
      <c r="G297" s="5"/>
      <c r="H297" s="39"/>
    </row>
    <row r="298" spans="2:8">
      <c r="B298" s="5"/>
      <c r="C298" s="5"/>
      <c r="D298" s="5"/>
      <c r="E298" s="5"/>
      <c r="F298" s="38"/>
      <c r="G298" s="5"/>
      <c r="H298" s="39"/>
    </row>
    <row r="299" spans="2:8">
      <c r="F299" s="33"/>
    </row>
    <row r="300" spans="2:8">
      <c r="F300" s="33"/>
    </row>
    <row r="301" spans="2:8">
      <c r="F301" s="33"/>
    </row>
    <row r="302" spans="2:8">
      <c r="F302" s="33"/>
    </row>
    <row r="303" spans="2:8">
      <c r="F303" s="33"/>
    </row>
    <row r="304" spans="2:8">
      <c r="F304" s="33"/>
    </row>
  </sheetData>
  <sheetProtection password="CB72" sheet="1" objects="1" scenarios="1"/>
  <mergeCells count="20">
    <mergeCell ref="A45:E45"/>
    <mergeCell ref="A3:C3"/>
    <mergeCell ref="B4:C4"/>
    <mergeCell ref="D4:E4"/>
    <mergeCell ref="N105:N266"/>
    <mergeCell ref="N16:O16"/>
    <mergeCell ref="N51:N80"/>
    <mergeCell ref="N99:N104"/>
    <mergeCell ref="H20:I27"/>
    <mergeCell ref="J19:M19"/>
    <mergeCell ref="F4:G4"/>
    <mergeCell ref="H9:I18"/>
    <mergeCell ref="B5:B6"/>
    <mergeCell ref="F5:F6"/>
    <mergeCell ref="C5:C6"/>
    <mergeCell ref="P16:P17"/>
    <mergeCell ref="J15:P15"/>
    <mergeCell ref="G5:G6"/>
    <mergeCell ref="J16:K16"/>
    <mergeCell ref="L16:M16"/>
  </mergeCells>
  <phoneticPr fontId="0" type="noConversion"/>
  <conditionalFormatting sqref="D3:E3">
    <cfRule type="expression" dxfId="44" priority="1" stopIfTrue="1">
      <formula>$K$23=1</formula>
    </cfRule>
  </conditionalFormatting>
  <conditionalFormatting sqref="F3:G3">
    <cfRule type="expression" dxfId="43" priority="2" stopIfTrue="1">
      <formula>$L$23=1</formula>
    </cfRule>
  </conditionalFormatting>
  <conditionalFormatting sqref="F44:G44 B44:C44 B15:C15 F15:G15">
    <cfRule type="expression" dxfId="42" priority="3" stopIfTrue="1">
      <formula>(B$15-B$44)&lt;&gt;0</formula>
    </cfRule>
  </conditionalFormatting>
  <pageMargins left="0.47244094488188981" right="0.23622047244094491" top="0.98425196850393704" bottom="0.98425196850393704" header="0.51181102362204722" footer="0.51181102362204722"/>
  <pageSetup paperSize="9" orientation="portrait" r:id="rId1"/>
  <headerFooter alignWithMargins="0">
    <oddFooter xml:space="preserve">&amp;L&amp;8Druck: &amp;D, &amp;T&amp;R&amp;8VAF-Periode 2015-2018
</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M35"/>
  <sheetViews>
    <sheetView showGridLines="0" zoomScaleNormal="100" workbookViewId="0">
      <selection activeCell="B10" sqref="B10"/>
    </sheetView>
  </sheetViews>
  <sheetFormatPr baseColWidth="10" defaultRowHeight="15"/>
  <cols>
    <col min="1" max="1" width="15.6640625" style="11" customWidth="1"/>
    <col min="2" max="3" width="9.5546875" style="11" customWidth="1"/>
    <col min="4" max="4" width="3.109375" style="11" customWidth="1"/>
    <col min="5" max="5" width="24.5546875" style="11" customWidth="1"/>
    <col min="6" max="6" width="22.21875" style="11" customWidth="1"/>
    <col min="7" max="7" width="11.5546875" style="11"/>
    <col min="8" max="8" width="14.21875" style="11" customWidth="1"/>
    <col min="9" max="14" width="11.5546875" style="11" customWidth="1"/>
    <col min="15" max="16384" width="11.5546875" style="11"/>
  </cols>
  <sheetData>
    <row r="1" spans="1:13">
      <c r="A1" s="29"/>
      <c r="B1" s="29"/>
      <c r="C1" s="29"/>
      <c r="D1" s="29"/>
      <c r="E1" s="30" t="s">
        <v>123</v>
      </c>
      <c r="F1" s="31">
        <f>'Organisationsdaten (Basisinfo)'!H1</f>
        <v>3158</v>
      </c>
      <c r="G1" s="281" t="s">
        <v>439</v>
      </c>
      <c r="H1" s="269">
        <f>'Organisationsdaten (Basisinfo)'!K1</f>
        <v>5</v>
      </c>
      <c r="I1" s="1134" t="s">
        <v>149</v>
      </c>
      <c r="J1" s="1171"/>
      <c r="K1" s="1171"/>
      <c r="L1" s="1171"/>
      <c r="M1" s="1171"/>
    </row>
    <row r="2" spans="1:13" ht="15.75">
      <c r="A2" s="25" t="s">
        <v>440</v>
      </c>
      <c r="B2" s="26"/>
      <c r="C2" s="26"/>
      <c r="D2" s="26"/>
      <c r="E2" s="26"/>
      <c r="F2" s="110">
        <f>'Organisationsdaten (Basisinfo)'!D1</f>
        <v>2017</v>
      </c>
      <c r="I2" s="1" t="s">
        <v>1521</v>
      </c>
      <c r="J2" s="1" t="s">
        <v>1522</v>
      </c>
      <c r="K2" s="1" t="s">
        <v>1523</v>
      </c>
      <c r="L2" s="1" t="s">
        <v>143</v>
      </c>
    </row>
    <row r="3" spans="1:13" ht="15.75" thickBot="1">
      <c r="A3" s="12"/>
      <c r="B3" s="12"/>
      <c r="C3" s="12"/>
      <c r="D3" s="12"/>
      <c r="E3" s="12"/>
      <c r="F3" s="12"/>
      <c r="I3" s="33" t="e">
        <f>'Kostenrechnung konsolidiert'!#REF!</f>
        <v>#REF!</v>
      </c>
      <c r="J3" s="33" t="e">
        <f>'Kostenrechnung konsolidiert'!#REF!</f>
        <v>#REF!</v>
      </c>
      <c r="K3" s="33" t="e">
        <f>'Kostenrechnung konsolidiert'!#REF!</f>
        <v>#REF!</v>
      </c>
      <c r="L3" s="1"/>
    </row>
    <row r="4" spans="1:13" ht="15" customHeight="1">
      <c r="A4" s="1159" t="s">
        <v>1532</v>
      </c>
      <c r="B4" s="1146" t="s">
        <v>1544</v>
      </c>
      <c r="C4" s="1146" t="s">
        <v>1723</v>
      </c>
      <c r="D4" s="1169"/>
      <c r="E4" s="1162" t="s">
        <v>1481</v>
      </c>
      <c r="F4" s="1164"/>
      <c r="I4" s="33">
        <f>C10</f>
        <v>0</v>
      </c>
      <c r="J4" s="33">
        <f>C11</f>
        <v>0</v>
      </c>
      <c r="K4" s="33">
        <f>C12</f>
        <v>0</v>
      </c>
      <c r="L4" s="1"/>
    </row>
    <row r="5" spans="1:13">
      <c r="A5" s="1160"/>
      <c r="B5" s="1147"/>
      <c r="C5" s="1147"/>
      <c r="D5" s="1170"/>
      <c r="E5" s="1173" t="s">
        <v>135</v>
      </c>
      <c r="F5" s="1137" t="s">
        <v>1519</v>
      </c>
      <c r="I5" s="1">
        <f>COUNTIF(I3:I4,"&gt;0")</f>
        <v>0</v>
      </c>
      <c r="J5" s="1">
        <f>COUNTIF(J3:J4,"&gt;0")</f>
        <v>0</v>
      </c>
      <c r="K5" s="1">
        <f>COUNTIF(K3:K4,"&gt;0")</f>
        <v>0</v>
      </c>
      <c r="L5" s="1">
        <f>COUNTIF(I5:K5,1)</f>
        <v>0</v>
      </c>
    </row>
    <row r="6" spans="1:13">
      <c r="A6" s="1160"/>
      <c r="B6" s="1147"/>
      <c r="C6" s="1147"/>
      <c r="D6" s="1170"/>
      <c r="E6" s="1144"/>
      <c r="F6" s="1108"/>
      <c r="J6" s="195"/>
    </row>
    <row r="7" spans="1:13" ht="15" customHeight="1">
      <c r="A7" s="1160"/>
      <c r="B7" s="1147"/>
      <c r="C7" s="1147"/>
      <c r="D7" s="1170"/>
      <c r="E7" s="1144"/>
      <c r="F7" s="1108"/>
      <c r="I7" s="1134" t="s">
        <v>145</v>
      </c>
      <c r="J7" s="1134"/>
      <c r="K7" s="1134"/>
      <c r="L7" s="1134"/>
      <c r="M7" s="1134"/>
    </row>
    <row r="8" spans="1:13" ht="11.25" customHeight="1">
      <c r="A8" s="1160" t="s">
        <v>175</v>
      </c>
      <c r="B8" s="1147" t="s">
        <v>1544</v>
      </c>
      <c r="C8" s="1147" t="s">
        <v>1545</v>
      </c>
      <c r="D8" s="1170"/>
      <c r="E8" s="1144"/>
      <c r="F8" s="1108"/>
      <c r="I8" s="98" t="s">
        <v>143</v>
      </c>
      <c r="J8" s="98" t="s">
        <v>146</v>
      </c>
      <c r="K8" s="98" t="s">
        <v>147</v>
      </c>
      <c r="L8" s="98" t="s">
        <v>1533</v>
      </c>
      <c r="M8" s="98" t="s">
        <v>148</v>
      </c>
    </row>
    <row r="9" spans="1:13" ht="5.25" customHeight="1">
      <c r="A9" s="1167"/>
      <c r="B9" s="1168"/>
      <c r="C9" s="1168"/>
      <c r="D9" s="1170"/>
      <c r="E9" s="1174"/>
      <c r="F9" s="1175"/>
      <c r="I9" s="98"/>
      <c r="J9" s="98"/>
      <c r="K9" s="98"/>
      <c r="L9" s="98"/>
      <c r="M9" s="98"/>
    </row>
    <row r="10" spans="1:13" ht="36.75" customHeight="1">
      <c r="A10" s="41" t="s">
        <v>1383</v>
      </c>
      <c r="B10" s="64"/>
      <c r="C10" s="64"/>
      <c r="D10" s="264"/>
      <c r="E10" s="62"/>
      <c r="F10" s="70"/>
      <c r="G10" s="105"/>
      <c r="I10" s="191">
        <f>SUM(B10:F10)</f>
        <v>0</v>
      </c>
      <c r="J10" s="98" t="str">
        <f t="shared" ref="J10:M12" si="0">IF(AND($I10&gt;0,B10=0),1,"")</f>
        <v/>
      </c>
      <c r="K10" s="98" t="str">
        <f t="shared" si="0"/>
        <v/>
      </c>
      <c r="L10" s="98"/>
      <c r="M10" s="98" t="str">
        <f t="shared" si="0"/>
        <v/>
      </c>
    </row>
    <row r="11" spans="1:13" ht="36.75" customHeight="1">
      <c r="A11" s="42" t="s">
        <v>1384</v>
      </c>
      <c r="B11" s="64"/>
      <c r="C11" s="64"/>
      <c r="D11" s="264"/>
      <c r="E11" s="62"/>
      <c r="F11" s="70"/>
      <c r="G11" s="1176" t="str">
        <f>IF(C11&lt;E11+F11,"Es gibt mehr TeilnehmerInnentage als TeilnehmerInnen","")</f>
        <v/>
      </c>
      <c r="H11" s="1177"/>
      <c r="I11" s="191">
        <f>SUM(E11:F11)</f>
        <v>0</v>
      </c>
      <c r="J11" s="98" t="str">
        <f t="shared" si="0"/>
        <v/>
      </c>
      <c r="K11" s="98" t="str">
        <f t="shared" si="0"/>
        <v/>
      </c>
      <c r="L11" s="98"/>
      <c r="M11" s="98" t="str">
        <f t="shared" si="0"/>
        <v/>
      </c>
    </row>
    <row r="12" spans="1:13" ht="36.75" customHeight="1" thickBot="1">
      <c r="A12" s="270" t="s">
        <v>1385</v>
      </c>
      <c r="B12" s="65"/>
      <c r="C12" s="65"/>
      <c r="D12" s="149"/>
      <c r="E12" s="276"/>
      <c r="F12" s="277"/>
      <c r="G12" s="105"/>
      <c r="I12" s="191">
        <f>SUM(B12:F12)</f>
        <v>0</v>
      </c>
      <c r="J12" s="98" t="str">
        <f t="shared" si="0"/>
        <v/>
      </c>
      <c r="K12" s="98" t="str">
        <f t="shared" si="0"/>
        <v/>
      </c>
      <c r="L12" s="98"/>
      <c r="M12" s="98" t="str">
        <f t="shared" si="0"/>
        <v/>
      </c>
    </row>
    <row r="13" spans="1:13" ht="15.75" thickBot="1">
      <c r="A13" s="271" t="s">
        <v>1530</v>
      </c>
      <c r="B13" s="272">
        <f>SUM(B10:B12)</f>
        <v>0</v>
      </c>
      <c r="C13" s="272">
        <f>SUM(C10:C12)</f>
        <v>0</v>
      </c>
      <c r="D13" s="273"/>
      <c r="E13" s="274" t="s">
        <v>172</v>
      </c>
      <c r="F13" s="275" t="s">
        <v>172</v>
      </c>
      <c r="I13" s="98"/>
      <c r="J13" s="98"/>
      <c r="K13" s="98"/>
      <c r="L13" s="98"/>
      <c r="M13" s="98"/>
    </row>
    <row r="14" spans="1:13">
      <c r="A14" s="4"/>
      <c r="I14" s="98" t="s">
        <v>138</v>
      </c>
      <c r="J14" s="98">
        <f>SUM(J10:M12)</f>
        <v>0</v>
      </c>
      <c r="K14" s="98"/>
      <c r="L14" s="98"/>
      <c r="M14" s="98"/>
    </row>
    <row r="15" spans="1:13">
      <c r="A15" s="1172" t="str">
        <f>IF(L5&lt;&gt;0,"Die blaue Markierung verschwindet, sobald die Angaben für diese Leistung sowohl in der Kostenrechnung als auch in der Leistungstatistik vorhanden sind.","")</f>
        <v/>
      </c>
      <c r="B15" s="1172"/>
      <c r="C15" s="1172"/>
      <c r="D15" s="1172"/>
      <c r="E15" s="1172"/>
      <c r="F15" s="1172"/>
      <c r="I15" s="196"/>
      <c r="J15" s="11" t="str">
        <f>IF(AND(I10=1,B10&lt;&gt;0),1,"")</f>
        <v/>
      </c>
    </row>
    <row r="16" spans="1:13" ht="15.75" customHeight="1">
      <c r="A16" s="1172"/>
      <c r="B16" s="1172"/>
      <c r="C16" s="1172"/>
      <c r="D16" s="1172"/>
      <c r="E16" s="1172"/>
      <c r="F16" s="1172"/>
    </row>
    <row r="17" spans="1:9">
      <c r="A17" s="1166" t="str">
        <f>IF(J14&lt;&gt;0,"Die rote Markierung verschwindet, sobald alle notwendigen Angaben in der entsprechenden Zeile gemacht sind.","")</f>
        <v/>
      </c>
      <c r="B17" s="1166"/>
      <c r="C17" s="1166"/>
      <c r="D17" s="1166"/>
      <c r="E17" s="1166"/>
      <c r="F17" s="1166"/>
      <c r="H17" s="43"/>
    </row>
    <row r="18" spans="1:9">
      <c r="A18" s="1166"/>
      <c r="B18" s="1166"/>
      <c r="C18" s="1166"/>
      <c r="D18" s="1166"/>
      <c r="E18" s="1166"/>
      <c r="F18" s="1166"/>
    </row>
    <row r="20" spans="1:9">
      <c r="B20" s="115" t="s">
        <v>441</v>
      </c>
      <c r="C20" s="115" t="s">
        <v>442</v>
      </c>
      <c r="D20" s="115" t="s">
        <v>443</v>
      </c>
      <c r="E20" s="115" t="s">
        <v>1393</v>
      </c>
      <c r="F20" s="115" t="s">
        <v>445</v>
      </c>
      <c r="G20" s="115" t="s">
        <v>446</v>
      </c>
      <c r="H20" s="115" t="s">
        <v>447</v>
      </c>
      <c r="I20" s="115" t="s">
        <v>471</v>
      </c>
    </row>
    <row r="21" spans="1:9">
      <c r="B21" s="40">
        <f>F$1</f>
        <v>3158</v>
      </c>
      <c r="C21" s="40">
        <f>H$1</f>
        <v>5</v>
      </c>
      <c r="D21" s="40">
        <f>F$2</f>
        <v>2017</v>
      </c>
      <c r="E21" s="40">
        <v>1</v>
      </c>
      <c r="F21" s="40" t="s">
        <v>1517</v>
      </c>
      <c r="G21" s="40" t="s">
        <v>1508</v>
      </c>
      <c r="H21" s="127" t="str">
        <f>IF(ISBLANK(B10),"",B10)</f>
        <v/>
      </c>
      <c r="I21" s="40" t="s">
        <v>1628</v>
      </c>
    </row>
    <row r="22" spans="1:9">
      <c r="B22" s="40">
        <f t="shared" ref="B22:B34" si="1">F$1</f>
        <v>3158</v>
      </c>
      <c r="C22" s="40">
        <f t="shared" ref="C22:C34" si="2">H$1</f>
        <v>5</v>
      </c>
      <c r="D22" s="40">
        <f t="shared" ref="D22:D34" si="3">F$2</f>
        <v>2017</v>
      </c>
      <c r="E22" s="40">
        <v>1</v>
      </c>
      <c r="F22" s="40" t="s">
        <v>1517</v>
      </c>
      <c r="G22" s="40" t="s">
        <v>1510</v>
      </c>
      <c r="H22" s="127" t="str">
        <f>IF(ISBLANK(C10),"",C10)</f>
        <v/>
      </c>
      <c r="I22" s="40" t="s">
        <v>478</v>
      </c>
    </row>
    <row r="23" spans="1:9">
      <c r="B23" s="40">
        <f t="shared" si="1"/>
        <v>3158</v>
      </c>
      <c r="C23" s="40">
        <f t="shared" si="2"/>
        <v>5</v>
      </c>
      <c r="D23" s="40">
        <f t="shared" si="3"/>
        <v>2017</v>
      </c>
      <c r="E23" s="40">
        <v>1</v>
      </c>
      <c r="F23" s="40" t="s">
        <v>1517</v>
      </c>
      <c r="G23" s="40" t="s">
        <v>1511</v>
      </c>
      <c r="H23" s="197" t="str">
        <f>IF(ISBLANK(D10),"",D10)</f>
        <v/>
      </c>
      <c r="I23" s="40" t="s">
        <v>489</v>
      </c>
    </row>
    <row r="24" spans="1:9">
      <c r="B24" s="40">
        <f t="shared" si="1"/>
        <v>3158</v>
      </c>
      <c r="C24" s="40">
        <f t="shared" si="2"/>
        <v>5</v>
      </c>
      <c r="D24" s="40">
        <f t="shared" si="3"/>
        <v>2017</v>
      </c>
      <c r="E24" s="40">
        <v>1</v>
      </c>
      <c r="F24" s="40" t="s">
        <v>1517</v>
      </c>
      <c r="G24" s="40" t="s">
        <v>1518</v>
      </c>
      <c r="H24" s="194" t="str">
        <f>IF(ISBLANK(E10),"",E10)</f>
        <v/>
      </c>
      <c r="I24" s="40" t="s">
        <v>500</v>
      </c>
    </row>
    <row r="25" spans="1:9">
      <c r="B25" s="40">
        <f t="shared" si="1"/>
        <v>3158</v>
      </c>
      <c r="C25" s="40">
        <f t="shared" si="2"/>
        <v>5</v>
      </c>
      <c r="D25" s="40">
        <f t="shared" si="3"/>
        <v>2017</v>
      </c>
      <c r="E25" s="40">
        <v>1</v>
      </c>
      <c r="F25" s="40" t="s">
        <v>1517</v>
      </c>
      <c r="G25" s="40" t="s">
        <v>1516</v>
      </c>
      <c r="H25" s="194" t="str">
        <f>IF(ISBLANK(F10),"",F10)</f>
        <v/>
      </c>
      <c r="I25" s="40" t="s">
        <v>511</v>
      </c>
    </row>
    <row r="26" spans="1:9">
      <c r="B26" s="40">
        <f t="shared" si="1"/>
        <v>3158</v>
      </c>
      <c r="C26" s="40">
        <f t="shared" si="2"/>
        <v>5</v>
      </c>
      <c r="D26" s="40">
        <f t="shared" si="3"/>
        <v>2017</v>
      </c>
      <c r="E26" s="40">
        <v>2</v>
      </c>
      <c r="F26" s="40" t="s">
        <v>1517</v>
      </c>
      <c r="G26" s="40" t="s">
        <v>1508</v>
      </c>
      <c r="H26" s="127" t="str">
        <f>IF(ISBLANK(B11),"",B11)</f>
        <v/>
      </c>
      <c r="I26" s="40" t="s">
        <v>1629</v>
      </c>
    </row>
    <row r="27" spans="1:9">
      <c r="B27" s="40">
        <f t="shared" si="1"/>
        <v>3158</v>
      </c>
      <c r="C27" s="40">
        <f t="shared" si="2"/>
        <v>5</v>
      </c>
      <c r="D27" s="40">
        <f t="shared" si="3"/>
        <v>2017</v>
      </c>
      <c r="E27" s="40">
        <v>2</v>
      </c>
      <c r="F27" s="40" t="s">
        <v>1517</v>
      </c>
      <c r="G27" s="40" t="s">
        <v>1510</v>
      </c>
      <c r="H27" s="127" t="str">
        <f>IF(ISBLANK(C11),"",C11)</f>
        <v/>
      </c>
      <c r="I27" s="40" t="s">
        <v>479</v>
      </c>
    </row>
    <row r="28" spans="1:9">
      <c r="B28" s="40">
        <f t="shared" si="1"/>
        <v>3158</v>
      </c>
      <c r="C28" s="40">
        <f t="shared" si="2"/>
        <v>5</v>
      </c>
      <c r="D28" s="40">
        <f t="shared" si="3"/>
        <v>2017</v>
      </c>
      <c r="E28" s="40">
        <v>2</v>
      </c>
      <c r="F28" s="40" t="s">
        <v>1517</v>
      </c>
      <c r="G28" s="40" t="s">
        <v>1511</v>
      </c>
      <c r="H28" s="197" t="str">
        <f>IF(ISBLANK(D11),"",D11)</f>
        <v/>
      </c>
      <c r="I28" s="40" t="s">
        <v>490</v>
      </c>
    </row>
    <row r="29" spans="1:9">
      <c r="B29" s="40">
        <f t="shared" si="1"/>
        <v>3158</v>
      </c>
      <c r="C29" s="40">
        <f t="shared" si="2"/>
        <v>5</v>
      </c>
      <c r="D29" s="40">
        <f t="shared" si="3"/>
        <v>2017</v>
      </c>
      <c r="E29" s="40">
        <v>2</v>
      </c>
      <c r="F29" s="40" t="s">
        <v>1517</v>
      </c>
      <c r="G29" s="40" t="s">
        <v>1518</v>
      </c>
      <c r="H29" s="194" t="str">
        <f>IF(ISBLANK(E11),"",E11)</f>
        <v/>
      </c>
      <c r="I29" s="40" t="s">
        <v>501</v>
      </c>
    </row>
    <row r="30" spans="1:9">
      <c r="B30" s="40">
        <f t="shared" si="1"/>
        <v>3158</v>
      </c>
      <c r="C30" s="40">
        <f t="shared" si="2"/>
        <v>5</v>
      </c>
      <c r="D30" s="40">
        <f t="shared" si="3"/>
        <v>2017</v>
      </c>
      <c r="E30" s="40">
        <v>2</v>
      </c>
      <c r="F30" s="40" t="s">
        <v>1517</v>
      </c>
      <c r="G30" s="40" t="s">
        <v>1516</v>
      </c>
      <c r="H30" s="194" t="str">
        <f>IF(ISBLANK(F11),"",F11)</f>
        <v/>
      </c>
      <c r="I30" s="40" t="s">
        <v>512</v>
      </c>
    </row>
    <row r="31" spans="1:9">
      <c r="B31" s="40">
        <f t="shared" si="1"/>
        <v>3158</v>
      </c>
      <c r="C31" s="40">
        <f t="shared" si="2"/>
        <v>5</v>
      </c>
      <c r="D31" s="40">
        <f t="shared" si="3"/>
        <v>2017</v>
      </c>
      <c r="E31" s="40">
        <v>3</v>
      </c>
      <c r="F31" s="40" t="s">
        <v>1517</v>
      </c>
      <c r="G31" s="40" t="s">
        <v>1508</v>
      </c>
      <c r="H31" s="127" t="str">
        <f>IF(ISBLANK(B12),"",B12)</f>
        <v/>
      </c>
      <c r="I31" s="40" t="s">
        <v>1630</v>
      </c>
    </row>
    <row r="32" spans="1:9">
      <c r="B32" s="40">
        <f t="shared" si="1"/>
        <v>3158</v>
      </c>
      <c r="C32" s="40">
        <f t="shared" si="2"/>
        <v>5</v>
      </c>
      <c r="D32" s="40">
        <f t="shared" si="3"/>
        <v>2017</v>
      </c>
      <c r="E32" s="40">
        <v>3</v>
      </c>
      <c r="F32" s="40" t="s">
        <v>1517</v>
      </c>
      <c r="G32" s="40" t="s">
        <v>1510</v>
      </c>
      <c r="H32" s="127" t="str">
        <f>IF(ISBLANK(C12),"",C12)</f>
        <v/>
      </c>
      <c r="I32" s="40" t="s">
        <v>480</v>
      </c>
    </row>
    <row r="33" spans="2:9">
      <c r="B33" s="40">
        <f t="shared" si="1"/>
        <v>3158</v>
      </c>
      <c r="C33" s="40">
        <f t="shared" si="2"/>
        <v>5</v>
      </c>
      <c r="D33" s="40">
        <f t="shared" si="3"/>
        <v>2017</v>
      </c>
      <c r="E33" s="40">
        <v>3</v>
      </c>
      <c r="F33" s="40" t="s">
        <v>1517</v>
      </c>
      <c r="G33" s="40" t="s">
        <v>1511</v>
      </c>
      <c r="H33" s="197" t="str">
        <f>IF(ISBLANK(D12),"",D12)</f>
        <v/>
      </c>
      <c r="I33" s="40" t="s">
        <v>491</v>
      </c>
    </row>
    <row r="34" spans="2:9">
      <c r="B34" s="40">
        <f t="shared" si="1"/>
        <v>3158</v>
      </c>
      <c r="C34" s="40">
        <f t="shared" si="2"/>
        <v>5</v>
      </c>
      <c r="D34" s="40">
        <f t="shared" si="3"/>
        <v>2017</v>
      </c>
      <c r="E34" s="40">
        <v>3</v>
      </c>
      <c r="F34" s="40" t="s">
        <v>1517</v>
      </c>
      <c r="G34" s="40" t="s">
        <v>1518</v>
      </c>
      <c r="H34" s="194" t="str">
        <f>IF(ISBLANK(E12),"",E12)</f>
        <v/>
      </c>
      <c r="I34" s="40" t="s">
        <v>502</v>
      </c>
    </row>
    <row r="35" spans="2:9">
      <c r="B35" s="40">
        <f>F$1</f>
        <v>3158</v>
      </c>
      <c r="C35" s="40">
        <f>H$1</f>
        <v>5</v>
      </c>
      <c r="D35" s="40">
        <f>F$2</f>
        <v>2017</v>
      </c>
      <c r="E35" s="40">
        <v>3</v>
      </c>
      <c r="F35" s="40" t="s">
        <v>1517</v>
      </c>
      <c r="G35" s="40" t="s">
        <v>1516</v>
      </c>
      <c r="H35" s="194" t="str">
        <f>IF(ISBLANK(F12),"",F12)</f>
        <v/>
      </c>
      <c r="I35" s="40" t="s">
        <v>513</v>
      </c>
    </row>
  </sheetData>
  <mergeCells count="12">
    <mergeCell ref="I1:M1"/>
    <mergeCell ref="A15:F16"/>
    <mergeCell ref="I7:M7"/>
    <mergeCell ref="E5:E9"/>
    <mergeCell ref="F5:F9"/>
    <mergeCell ref="G11:H11"/>
    <mergeCell ref="A17:F18"/>
    <mergeCell ref="A4:A9"/>
    <mergeCell ref="B4:B9"/>
    <mergeCell ref="C4:C9"/>
    <mergeCell ref="D4:D9"/>
    <mergeCell ref="E4:F4"/>
  </mergeCells>
  <phoneticPr fontId="0" type="noConversion"/>
  <conditionalFormatting sqref="F10:F12">
    <cfRule type="expression" dxfId="34" priority="1" stopIfTrue="1">
      <formula>AND($I10&gt;0,(E10+F10)=0)</formula>
    </cfRule>
  </conditionalFormatting>
  <conditionalFormatting sqref="B10:B12 C10 C12">
    <cfRule type="expression" dxfId="33" priority="2" stopIfTrue="1">
      <formula>AND($I10&gt;0,B10=0)</formula>
    </cfRule>
  </conditionalFormatting>
  <conditionalFormatting sqref="E10:E12">
    <cfRule type="expression" dxfId="32" priority="3" stopIfTrue="1">
      <formula>AND($I10&gt;0,(E10)=0)</formula>
    </cfRule>
  </conditionalFormatting>
  <conditionalFormatting sqref="G10">
    <cfRule type="expression" dxfId="31" priority="4" stopIfTrue="1">
      <formula>$I$5=1</formula>
    </cfRule>
  </conditionalFormatting>
  <conditionalFormatting sqref="G12">
    <cfRule type="expression" dxfId="30" priority="5" stopIfTrue="1">
      <formula>$K$5=1</formula>
    </cfRule>
  </conditionalFormatting>
  <conditionalFormatting sqref="C11">
    <cfRule type="expression" dxfId="29" priority="6" stopIfTrue="1">
      <formula>AND($I11&gt;C11)</formula>
    </cfRule>
  </conditionalFormatting>
  <pageMargins left="1.7" right="0.78740157480314965" top="1.27" bottom="0.98425196850393704" header="0.51181102362204722" footer="0.51181102362204722"/>
  <pageSetup paperSize="9" orientation="landscape" horizontalDpi="300" verticalDpi="300" r:id="rId1"/>
  <headerFooter alignWithMargins="0">
    <oddFooter>&amp;LDruck: &amp;D, &amp;T</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tabColor theme="3" tint="0.59999389629810485"/>
  </sheetPr>
  <dimension ref="A1:R85"/>
  <sheetViews>
    <sheetView showGridLines="0" zoomScaleNormal="100" workbookViewId="0">
      <selection activeCell="E5" sqref="E5"/>
    </sheetView>
  </sheetViews>
  <sheetFormatPr baseColWidth="10" defaultRowHeight="15"/>
  <cols>
    <col min="1" max="1" width="35.33203125" style="103" customWidth="1"/>
    <col min="2" max="2" width="8.88671875" style="46" customWidth="1"/>
    <col min="3" max="3" width="9.21875" style="146" customWidth="1"/>
    <col min="4" max="5" width="7.109375" style="146" bestFit="1" customWidth="1"/>
    <col min="6" max="6" width="9.21875" style="146" bestFit="1" customWidth="1"/>
    <col min="7" max="7" width="7.77734375" style="146" customWidth="1"/>
    <col min="8" max="8" width="7.21875" style="146" customWidth="1"/>
    <col min="9" max="9" width="7.88671875" style="146" customWidth="1"/>
    <col min="10" max="10" width="8.21875" style="146" customWidth="1"/>
    <col min="11" max="11" width="7" style="146" bestFit="1" customWidth="1"/>
    <col min="12" max="15" width="11.5546875" style="198"/>
    <col min="16" max="16" width="11.5546875" style="198" hidden="1" customWidth="1"/>
    <col min="17" max="18" width="11.5546875" style="198"/>
    <col min="19" max="16384" width="11.5546875" style="46"/>
  </cols>
  <sheetData>
    <row r="1" spans="1:16">
      <c r="A1" s="639" t="s">
        <v>2483</v>
      </c>
      <c r="B1" s="100">
        <f>'Organisationsdaten (Basisinfo)'!H1</f>
        <v>3158</v>
      </c>
      <c r="D1" s="146" t="s">
        <v>439</v>
      </c>
      <c r="E1" s="147">
        <f>'Organisationsdaten (Basisinfo)'!K1</f>
        <v>5</v>
      </c>
    </row>
    <row r="2" spans="1:16" ht="18.75" thickBot="1">
      <c r="A2" s="101" t="s">
        <v>2543</v>
      </c>
      <c r="B2" s="102">
        <f>'Organisationsdaten (Basisinfo)'!D1</f>
        <v>2017</v>
      </c>
      <c r="D2" s="148"/>
    </row>
    <row r="3" spans="1:16" ht="67.5">
      <c r="A3" s="636"/>
      <c r="B3" s="637" t="s">
        <v>2544</v>
      </c>
      <c r="C3" s="871" t="s">
        <v>2501</v>
      </c>
      <c r="D3" s="871" t="s">
        <v>2502</v>
      </c>
      <c r="E3" s="871" t="s">
        <v>2466</v>
      </c>
      <c r="F3" s="871" t="s">
        <v>2467</v>
      </c>
      <c r="G3" s="871" t="s">
        <v>2468</v>
      </c>
      <c r="H3" s="871" t="s">
        <v>2469</v>
      </c>
      <c r="I3" s="871" t="s">
        <v>2470</v>
      </c>
      <c r="J3" s="871" t="s">
        <v>2471</v>
      </c>
      <c r="K3" s="872" t="s">
        <v>2546</v>
      </c>
    </row>
    <row r="4" spans="1:16" ht="5.25" customHeight="1">
      <c r="A4" s="638"/>
      <c r="B4" s="634"/>
      <c r="C4" s="634">
        <f>SUM(C5:C7)</f>
        <v>0</v>
      </c>
      <c r="D4" s="634">
        <f t="shared" ref="D4:K4" si="0">SUM(D5:D7)</f>
        <v>0</v>
      </c>
      <c r="E4" s="634">
        <f t="shared" si="0"/>
        <v>282.39999999999998</v>
      </c>
      <c r="F4" s="634">
        <f t="shared" si="0"/>
        <v>0</v>
      </c>
      <c r="G4" s="634">
        <f t="shared" si="0"/>
        <v>0</v>
      </c>
      <c r="H4" s="634">
        <f t="shared" si="0"/>
        <v>0</v>
      </c>
      <c r="I4" s="634">
        <f t="shared" si="0"/>
        <v>0</v>
      </c>
      <c r="J4" s="634">
        <f t="shared" si="0"/>
        <v>0</v>
      </c>
      <c r="K4" s="634">
        <f t="shared" si="0"/>
        <v>70.599999999999994</v>
      </c>
      <c r="L4" s="246"/>
      <c r="P4" s="246"/>
    </row>
    <row r="5" spans="1:16" ht="25.5">
      <c r="A5" s="267" t="s">
        <v>2547</v>
      </c>
      <c r="B5" s="635">
        <v>69</v>
      </c>
      <c r="C5" s="739">
        <v>0</v>
      </c>
      <c r="D5" s="739">
        <v>0</v>
      </c>
      <c r="E5" s="739">
        <v>55.2</v>
      </c>
      <c r="F5" s="739">
        <v>0</v>
      </c>
      <c r="G5" s="739">
        <v>0</v>
      </c>
      <c r="H5" s="739">
        <v>0</v>
      </c>
      <c r="I5" s="739">
        <v>0</v>
      </c>
      <c r="J5" s="739">
        <v>0</v>
      </c>
      <c r="K5" s="740">
        <v>13.8</v>
      </c>
      <c r="P5" s="246">
        <f>SUM(C5:K5)-B5</f>
        <v>0</v>
      </c>
    </row>
    <row r="6" spans="1:16" ht="25.5">
      <c r="A6" s="267" t="s">
        <v>2548</v>
      </c>
      <c r="B6" s="635">
        <v>284</v>
      </c>
      <c r="C6" s="739">
        <v>0</v>
      </c>
      <c r="D6" s="739">
        <v>0</v>
      </c>
      <c r="E6" s="739">
        <v>227.2</v>
      </c>
      <c r="F6" s="739">
        <v>0</v>
      </c>
      <c r="G6" s="739">
        <v>0</v>
      </c>
      <c r="H6" s="739">
        <v>0</v>
      </c>
      <c r="I6" s="739">
        <v>0</v>
      </c>
      <c r="J6" s="739">
        <v>0</v>
      </c>
      <c r="K6" s="740">
        <v>56.8</v>
      </c>
      <c r="P6" s="246">
        <f>SUM(C6:K6)-B6</f>
        <v>0</v>
      </c>
    </row>
    <row r="7" spans="1:16">
      <c r="A7" s="267" t="s">
        <v>2549</v>
      </c>
      <c r="B7" s="635"/>
      <c r="C7" s="739"/>
      <c r="D7" s="739"/>
      <c r="E7" s="739"/>
      <c r="F7" s="739"/>
      <c r="G7" s="739"/>
      <c r="H7" s="739"/>
      <c r="I7" s="739"/>
      <c r="J7" s="739"/>
      <c r="K7" s="740"/>
      <c r="P7" s="246">
        <f>SUM(C7:K7)-B7</f>
        <v>0</v>
      </c>
    </row>
    <row r="8" spans="1:16" ht="6" customHeight="1">
      <c r="A8" s="638"/>
      <c r="B8" s="634"/>
      <c r="C8" s="634">
        <f>C9</f>
        <v>0</v>
      </c>
      <c r="D8" s="634">
        <f t="shared" ref="D8:K8" si="1">D9</f>
        <v>0</v>
      </c>
      <c r="E8" s="634">
        <f t="shared" si="1"/>
        <v>0</v>
      </c>
      <c r="F8" s="634">
        <f t="shared" si="1"/>
        <v>0</v>
      </c>
      <c r="G8" s="634">
        <f t="shared" si="1"/>
        <v>0</v>
      </c>
      <c r="H8" s="634">
        <f t="shared" si="1"/>
        <v>0</v>
      </c>
      <c r="I8" s="634">
        <f t="shared" si="1"/>
        <v>0</v>
      </c>
      <c r="J8" s="634">
        <f t="shared" si="1"/>
        <v>0</v>
      </c>
      <c r="K8" s="634">
        <f t="shared" si="1"/>
        <v>0</v>
      </c>
      <c r="P8" s="246"/>
    </row>
    <row r="9" spans="1:16" ht="38.25">
      <c r="A9" s="267" t="s">
        <v>2550</v>
      </c>
      <c r="B9" s="635"/>
      <c r="C9" s="739"/>
      <c r="D9" s="739"/>
      <c r="E9" s="739"/>
      <c r="F9" s="739"/>
      <c r="G9" s="739"/>
      <c r="H9" s="739"/>
      <c r="I9" s="739"/>
      <c r="J9" s="739"/>
      <c r="K9" s="740"/>
      <c r="P9" s="246">
        <f>SUM(C9:K9)-B9</f>
        <v>0</v>
      </c>
    </row>
    <row r="10" spans="1:16" ht="5.25" customHeight="1">
      <c r="A10" s="745"/>
      <c r="B10" s="745"/>
      <c r="C10" s="745"/>
      <c r="D10" s="745"/>
      <c r="E10" s="745"/>
      <c r="F10" s="745"/>
      <c r="G10" s="745"/>
      <c r="H10" s="745"/>
      <c r="I10" s="745"/>
      <c r="J10" s="745"/>
      <c r="K10" s="745"/>
    </row>
    <row r="11" spans="1:16" ht="5.25" customHeight="1">
      <c r="A11" s="745"/>
      <c r="B11" s="745"/>
      <c r="C11" s="745"/>
      <c r="D11" s="745"/>
      <c r="E11" s="745"/>
      <c r="F11" s="745"/>
      <c r="G11" s="745"/>
      <c r="H11" s="745"/>
      <c r="I11" s="745"/>
      <c r="J11" s="745"/>
      <c r="K11" s="745"/>
    </row>
    <row r="12" spans="1:16" ht="25.5">
      <c r="A12" s="267" t="s">
        <v>2642</v>
      </c>
      <c r="B12" s="635"/>
      <c r="C12" s="741"/>
      <c r="D12" s="741"/>
      <c r="E12" s="741"/>
      <c r="F12" s="741"/>
      <c r="G12" s="741"/>
      <c r="H12" s="741"/>
      <c r="I12" s="741"/>
      <c r="J12" s="741"/>
      <c r="K12" s="742"/>
      <c r="P12" s="246">
        <f>SUM(C12:K12)-B12</f>
        <v>0</v>
      </c>
    </row>
    <row r="13" spans="1:16" ht="39" thickBot="1">
      <c r="A13" s="640" t="s">
        <v>2643</v>
      </c>
      <c r="B13" s="641"/>
      <c r="C13" s="743"/>
      <c r="D13" s="743"/>
      <c r="E13" s="743"/>
      <c r="F13" s="743"/>
      <c r="G13" s="743"/>
      <c r="H13" s="743"/>
      <c r="I13" s="743"/>
      <c r="J13" s="743"/>
      <c r="K13" s="744"/>
      <c r="P13" s="246">
        <f>SUM(C13:K13)-B13</f>
        <v>0</v>
      </c>
    </row>
    <row r="14" spans="1:16" ht="23.25" customHeight="1" thickBot="1">
      <c r="A14" s="268" t="s">
        <v>2545</v>
      </c>
      <c r="B14" s="245">
        <f>SUM(B5,B6,B7,B9,B12,B13)</f>
        <v>353</v>
      </c>
      <c r="C14" s="245">
        <f t="shared" ref="C14:K14" si="2">SUM(C5,C6,C7,C9,C12,C13)</f>
        <v>0</v>
      </c>
      <c r="D14" s="245">
        <f t="shared" si="2"/>
        <v>0</v>
      </c>
      <c r="E14" s="245">
        <f t="shared" si="2"/>
        <v>282.39999999999998</v>
      </c>
      <c r="F14" s="245">
        <f t="shared" si="2"/>
        <v>0</v>
      </c>
      <c r="G14" s="245">
        <f t="shared" si="2"/>
        <v>0</v>
      </c>
      <c r="H14" s="245">
        <f t="shared" si="2"/>
        <v>0</v>
      </c>
      <c r="I14" s="245">
        <f t="shared" si="2"/>
        <v>0</v>
      </c>
      <c r="J14" s="245">
        <f t="shared" si="2"/>
        <v>0</v>
      </c>
      <c r="K14" s="124">
        <f t="shared" si="2"/>
        <v>70.599999999999994</v>
      </c>
      <c r="P14" s="246">
        <f>SUM(C14:K14)-B14</f>
        <v>0</v>
      </c>
    </row>
    <row r="15" spans="1:16" ht="15" customHeight="1">
      <c r="A15" s="1222" t="s">
        <v>2650</v>
      </c>
      <c r="B15" s="1222"/>
      <c r="C15" s="1222"/>
      <c r="D15" s="1222"/>
      <c r="E15" s="1222"/>
      <c r="F15" s="1222"/>
      <c r="G15" s="1222"/>
      <c r="H15" s="1222"/>
      <c r="I15" s="1222"/>
      <c r="J15" s="1222"/>
      <c r="K15" s="1222"/>
      <c r="P15" s="246">
        <f>SUM(P5,P6,P7,P9,P12,P13,P14)</f>
        <v>0</v>
      </c>
    </row>
    <row r="16" spans="1:16" ht="15" customHeight="1">
      <c r="A16" s="1223" t="s">
        <v>2551</v>
      </c>
      <c r="B16" s="1223"/>
      <c r="C16" s="1223"/>
      <c r="D16" s="1223"/>
      <c r="E16" s="1223"/>
      <c r="F16" s="1223"/>
      <c r="G16" s="1223"/>
      <c r="H16" s="1223"/>
      <c r="I16" s="1223"/>
      <c r="J16" s="1223"/>
      <c r="K16" s="1223"/>
    </row>
    <row r="17" spans="1:11" ht="17.25" customHeight="1">
      <c r="A17" s="1224" t="str">
        <f>IF(L39&lt;&gt;0,"Die blaue Markierung verschwindet, sobald die Angaben für diese Leistung sowohl in der Kostenrechnung als auch in der Leistungstatistik vorhanden sind.","")</f>
        <v/>
      </c>
      <c r="B17" s="1224"/>
      <c r="C17" s="1224"/>
      <c r="D17" s="1224"/>
      <c r="E17" s="1224"/>
      <c r="F17" s="1224"/>
      <c r="G17" s="1224"/>
      <c r="H17" s="1224"/>
      <c r="I17" s="1224"/>
      <c r="J17" s="1224"/>
      <c r="K17" s="1224"/>
    </row>
    <row r="18" spans="1:11" ht="17.25" customHeight="1">
      <c r="A18" s="1224"/>
      <c r="B18" s="1224"/>
      <c r="C18" s="1224"/>
      <c r="D18" s="1224"/>
      <c r="E18" s="1224"/>
      <c r="F18" s="1224"/>
      <c r="G18" s="1224"/>
      <c r="H18" s="1224"/>
      <c r="I18" s="1224"/>
      <c r="J18" s="1224"/>
      <c r="K18" s="1224"/>
    </row>
    <row r="19" spans="1:11" ht="15" customHeight="1">
      <c r="A19" s="1224"/>
      <c r="B19" s="1224"/>
      <c r="C19" s="1224"/>
      <c r="D19" s="1224"/>
      <c r="E19" s="1224"/>
      <c r="F19" s="1224"/>
      <c r="G19" s="1224"/>
      <c r="H19" s="1224"/>
      <c r="I19" s="1224"/>
      <c r="J19" s="1224"/>
      <c r="K19" s="1224"/>
    </row>
    <row r="20" spans="1:11" ht="15" customHeight="1">
      <c r="A20" s="1225" t="str">
        <f>IF(P15&lt;&gt;0,"Die Summe der Stunden nach Zielgruppen stimmen nicht mit dem Total überein.","")</f>
        <v/>
      </c>
      <c r="B20" s="1225"/>
      <c r="C20" s="1225"/>
      <c r="D20" s="1225"/>
      <c r="E20" s="1225"/>
      <c r="F20" s="1225"/>
      <c r="G20" s="1225"/>
      <c r="H20" s="1225"/>
      <c r="I20" s="1225"/>
      <c r="J20" s="1225"/>
      <c r="K20" s="1225"/>
    </row>
    <row r="21" spans="1:11" ht="15" customHeight="1">
      <c r="A21" s="1225"/>
      <c r="B21" s="1225"/>
      <c r="C21" s="1225"/>
      <c r="D21" s="1225"/>
      <c r="E21" s="1225"/>
      <c r="F21" s="1225"/>
      <c r="G21" s="1225"/>
      <c r="H21" s="1225"/>
      <c r="I21" s="1225"/>
      <c r="J21" s="1225"/>
      <c r="K21" s="1225"/>
    </row>
    <row r="22" spans="1:11" ht="15" customHeight="1">
      <c r="A22" s="266"/>
      <c r="B22" s="266"/>
      <c r="C22" s="266"/>
      <c r="D22" s="266"/>
      <c r="E22" s="266"/>
      <c r="F22" s="266"/>
      <c r="G22" s="266"/>
      <c r="H22" s="266"/>
      <c r="I22" s="266"/>
      <c r="J22" s="266"/>
      <c r="K22" s="266"/>
    </row>
    <row r="25" spans="1:11" hidden="1"/>
    <row r="26" spans="1:11" hidden="1"/>
    <row r="27" spans="1:11" hidden="1"/>
    <row r="28" spans="1:11" hidden="1"/>
    <row r="29" spans="1:11" hidden="1"/>
    <row r="30" spans="1:11" hidden="1"/>
    <row r="31" spans="1:11" hidden="1"/>
    <row r="32" spans="1:11" hidden="1"/>
    <row r="33" spans="1:13" hidden="1"/>
    <row r="34" spans="1:13" hidden="1">
      <c r="A34" s="199"/>
      <c r="B34" s="198"/>
      <c r="C34" s="198"/>
      <c r="D34" s="198"/>
      <c r="E34" s="198"/>
      <c r="F34" s="198"/>
      <c r="G34" s="198"/>
      <c r="H34" s="198"/>
      <c r="I34" s="198"/>
      <c r="J34" s="198"/>
      <c r="K34" s="198"/>
    </row>
    <row r="35" spans="1:13" s="202" customFormat="1" hidden="1">
      <c r="A35" s="199"/>
      <c r="B35" s="198"/>
      <c r="C35" s="200" t="s">
        <v>441</v>
      </c>
      <c r="D35" s="200" t="s">
        <v>442</v>
      </c>
      <c r="E35" s="200" t="s">
        <v>443</v>
      </c>
      <c r="F35" s="643" t="s">
        <v>1391</v>
      </c>
      <c r="G35" s="200" t="s">
        <v>445</v>
      </c>
      <c r="H35" s="200" t="s">
        <v>446</v>
      </c>
      <c r="I35" s="201" t="s">
        <v>447</v>
      </c>
      <c r="J35" s="200" t="s">
        <v>471</v>
      </c>
      <c r="K35" s="198"/>
      <c r="L35" s="198"/>
      <c r="M35" s="198"/>
    </row>
    <row r="36" spans="1:13" s="202" customFormat="1" hidden="1">
      <c r="A36" s="203"/>
      <c r="C36" s="199">
        <f t="shared" ref="C36:C81" si="3">B$1</f>
        <v>3158</v>
      </c>
      <c r="D36" s="198">
        <f t="shared" ref="D36:D58" si="4">E$1</f>
        <v>5</v>
      </c>
      <c r="E36" s="198">
        <f t="shared" ref="E36:E58" si="5">B$2</f>
        <v>2017</v>
      </c>
      <c r="F36" s="198"/>
      <c r="G36" s="198" t="s">
        <v>1525</v>
      </c>
      <c r="H36" s="249" t="s">
        <v>1825</v>
      </c>
      <c r="I36" s="250" t="str">
        <f t="shared" ref="I36:I45" si="6">IF(ISBLANK(B4),"",B4)</f>
        <v/>
      </c>
      <c r="J36" s="198"/>
      <c r="K36" s="247" t="s">
        <v>1525</v>
      </c>
      <c r="L36" s="247" t="s">
        <v>143</v>
      </c>
    </row>
    <row r="37" spans="1:13" s="202" customFormat="1" hidden="1">
      <c r="A37" s="203"/>
      <c r="C37" s="199">
        <f t="shared" si="3"/>
        <v>3158</v>
      </c>
      <c r="D37" s="198">
        <f t="shared" si="4"/>
        <v>5</v>
      </c>
      <c r="E37" s="198">
        <f t="shared" si="5"/>
        <v>2017</v>
      </c>
      <c r="F37" s="198"/>
      <c r="G37" s="198" t="s">
        <v>1525</v>
      </c>
      <c r="H37" s="249" t="s">
        <v>1826</v>
      </c>
      <c r="I37" s="250">
        <f t="shared" si="6"/>
        <v>69</v>
      </c>
      <c r="J37" s="198" t="s">
        <v>388</v>
      </c>
      <c r="K37" s="248">
        <f>'Kostenrechnung konsolidiert'!U18</f>
        <v>7011.941575404011</v>
      </c>
      <c r="L37" s="247"/>
    </row>
    <row r="38" spans="1:13" s="202" customFormat="1" hidden="1">
      <c r="A38" s="203"/>
      <c r="C38" s="199">
        <f t="shared" si="3"/>
        <v>3158</v>
      </c>
      <c r="D38" s="198">
        <f t="shared" si="4"/>
        <v>5</v>
      </c>
      <c r="E38" s="198">
        <f t="shared" si="5"/>
        <v>2017</v>
      </c>
      <c r="F38" s="198"/>
      <c r="G38" s="198" t="s">
        <v>1525</v>
      </c>
      <c r="H38" s="249" t="s">
        <v>1827</v>
      </c>
      <c r="I38" s="250">
        <f t="shared" si="6"/>
        <v>284</v>
      </c>
      <c r="J38" s="198" t="s">
        <v>389</v>
      </c>
      <c r="K38" s="248">
        <f>B14</f>
        <v>353</v>
      </c>
      <c r="L38" s="247"/>
    </row>
    <row r="39" spans="1:13" s="202" customFormat="1" hidden="1">
      <c r="A39" s="203"/>
      <c r="C39" s="199">
        <f t="shared" si="3"/>
        <v>3158</v>
      </c>
      <c r="D39" s="198">
        <f t="shared" si="4"/>
        <v>5</v>
      </c>
      <c r="E39" s="198">
        <f t="shared" si="5"/>
        <v>2017</v>
      </c>
      <c r="F39" s="198"/>
      <c r="G39" s="198" t="s">
        <v>1525</v>
      </c>
      <c r="H39" s="249" t="s">
        <v>1828</v>
      </c>
      <c r="I39" s="250" t="str">
        <f t="shared" si="6"/>
        <v/>
      </c>
      <c r="J39" s="198" t="s">
        <v>1625</v>
      </c>
      <c r="K39" s="247">
        <f>COUNTIF(K37:K38,"&gt;0")</f>
        <v>2</v>
      </c>
      <c r="L39" s="247">
        <f>COUNTIF(K39,1)</f>
        <v>0</v>
      </c>
    </row>
    <row r="40" spans="1:13" s="202" customFormat="1" hidden="1">
      <c r="A40" s="203"/>
      <c r="C40" s="199">
        <f t="shared" si="3"/>
        <v>3158</v>
      </c>
      <c r="D40" s="198">
        <f t="shared" si="4"/>
        <v>5</v>
      </c>
      <c r="E40" s="198">
        <f t="shared" si="5"/>
        <v>2017</v>
      </c>
      <c r="F40" s="198"/>
      <c r="G40" s="198" t="s">
        <v>1525</v>
      </c>
      <c r="H40" s="249" t="s">
        <v>1829</v>
      </c>
      <c r="I40" s="250" t="str">
        <f t="shared" si="6"/>
        <v/>
      </c>
      <c r="J40" s="198"/>
    </row>
    <row r="41" spans="1:13" s="202" customFormat="1" hidden="1">
      <c r="A41" s="203"/>
      <c r="C41" s="199">
        <f t="shared" si="3"/>
        <v>3158</v>
      </c>
      <c r="D41" s="198">
        <f t="shared" si="4"/>
        <v>5</v>
      </c>
      <c r="E41" s="198">
        <f t="shared" si="5"/>
        <v>2017</v>
      </c>
      <c r="F41" s="198"/>
      <c r="G41" s="198" t="s">
        <v>1525</v>
      </c>
      <c r="H41" s="249" t="s">
        <v>1830</v>
      </c>
      <c r="I41" s="250" t="str">
        <f t="shared" si="6"/>
        <v/>
      </c>
      <c r="J41" s="198" t="s">
        <v>1627</v>
      </c>
    </row>
    <row r="42" spans="1:13" s="202" customFormat="1" hidden="1">
      <c r="A42" s="203"/>
      <c r="C42" s="199">
        <f t="shared" si="3"/>
        <v>3158</v>
      </c>
      <c r="D42" s="198">
        <f t="shared" si="4"/>
        <v>5</v>
      </c>
      <c r="E42" s="198">
        <f t="shared" si="5"/>
        <v>2017</v>
      </c>
      <c r="F42" s="198"/>
      <c r="G42" s="198" t="s">
        <v>1525</v>
      </c>
      <c r="H42" s="249" t="s">
        <v>1831</v>
      </c>
      <c r="I42" s="250" t="str">
        <f t="shared" si="6"/>
        <v/>
      </c>
      <c r="J42" s="198" t="s">
        <v>1628</v>
      </c>
    </row>
    <row r="43" spans="1:13" s="202" customFormat="1" hidden="1">
      <c r="A43" s="203"/>
      <c r="C43" s="199">
        <f t="shared" si="3"/>
        <v>3158</v>
      </c>
      <c r="D43" s="198">
        <f t="shared" si="4"/>
        <v>5</v>
      </c>
      <c r="E43" s="198">
        <f t="shared" si="5"/>
        <v>2017</v>
      </c>
      <c r="F43" s="198"/>
      <c r="G43" s="198" t="s">
        <v>1525</v>
      </c>
      <c r="H43" s="249" t="s">
        <v>1832</v>
      </c>
      <c r="I43" s="250" t="str">
        <f t="shared" si="6"/>
        <v/>
      </c>
      <c r="J43" s="198" t="s">
        <v>1629</v>
      </c>
    </row>
    <row r="44" spans="1:13" s="202" customFormat="1" hidden="1">
      <c r="A44" s="203"/>
      <c r="C44" s="199">
        <f t="shared" si="3"/>
        <v>3158</v>
      </c>
      <c r="D44" s="198">
        <f t="shared" si="4"/>
        <v>5</v>
      </c>
      <c r="E44" s="198">
        <f t="shared" si="5"/>
        <v>2017</v>
      </c>
      <c r="F44" s="198"/>
      <c r="G44" s="198" t="s">
        <v>1525</v>
      </c>
      <c r="H44" s="249" t="s">
        <v>1833</v>
      </c>
      <c r="I44" s="250" t="str">
        <f t="shared" si="6"/>
        <v/>
      </c>
      <c r="J44" s="198" t="s">
        <v>1630</v>
      </c>
    </row>
    <row r="45" spans="1:13" s="202" customFormat="1" hidden="1">
      <c r="A45" s="203"/>
      <c r="C45" s="199">
        <f t="shared" si="3"/>
        <v>3158</v>
      </c>
      <c r="D45" s="198">
        <f t="shared" si="4"/>
        <v>5</v>
      </c>
      <c r="E45" s="198">
        <f t="shared" si="5"/>
        <v>2017</v>
      </c>
      <c r="F45" s="198"/>
      <c r="G45" s="198" t="s">
        <v>1525</v>
      </c>
      <c r="H45" s="249" t="s">
        <v>1834</v>
      </c>
      <c r="I45" s="250" t="str">
        <f t="shared" si="6"/>
        <v/>
      </c>
      <c r="J45" s="198" t="s">
        <v>1631</v>
      </c>
    </row>
    <row r="46" spans="1:13" s="202" customFormat="1" hidden="1">
      <c r="A46" s="203"/>
      <c r="C46" s="251">
        <f t="shared" si="3"/>
        <v>3158</v>
      </c>
      <c r="D46" s="252">
        <f t="shared" si="4"/>
        <v>5</v>
      </c>
      <c r="E46" s="252">
        <f t="shared" si="5"/>
        <v>2017</v>
      </c>
      <c r="F46" s="252">
        <v>1</v>
      </c>
      <c r="G46" s="253" t="s">
        <v>1396</v>
      </c>
      <c r="H46" s="254" t="s">
        <v>1825</v>
      </c>
      <c r="I46" s="255">
        <f>C4</f>
        <v>0</v>
      </c>
      <c r="J46" s="256" t="s">
        <v>1397</v>
      </c>
    </row>
    <row r="47" spans="1:13" s="202" customFormat="1" hidden="1">
      <c r="A47" s="203"/>
      <c r="C47" s="251">
        <f t="shared" si="3"/>
        <v>3158</v>
      </c>
      <c r="D47" s="252">
        <f t="shared" si="4"/>
        <v>5</v>
      </c>
      <c r="E47" s="252">
        <f t="shared" si="5"/>
        <v>2017</v>
      </c>
      <c r="F47" s="252">
        <v>2</v>
      </c>
      <c r="G47" s="253" t="s">
        <v>1396</v>
      </c>
      <c r="H47" s="254" t="s">
        <v>1825</v>
      </c>
      <c r="I47" s="255">
        <f>D4</f>
        <v>0</v>
      </c>
      <c r="J47" s="256" t="s">
        <v>85</v>
      </c>
    </row>
    <row r="48" spans="1:13" hidden="1">
      <c r="B48" s="104"/>
      <c r="C48" s="251">
        <f t="shared" si="3"/>
        <v>3158</v>
      </c>
      <c r="D48" s="252">
        <f t="shared" si="4"/>
        <v>5</v>
      </c>
      <c r="E48" s="252">
        <f t="shared" si="5"/>
        <v>2017</v>
      </c>
      <c r="F48" s="252">
        <v>3</v>
      </c>
      <c r="G48" s="253" t="s">
        <v>1396</v>
      </c>
      <c r="H48" s="254" t="s">
        <v>1825</v>
      </c>
      <c r="I48" s="255">
        <f>E4</f>
        <v>282.39999999999998</v>
      </c>
      <c r="J48" s="256" t="s">
        <v>86</v>
      </c>
    </row>
    <row r="49" spans="3:10" hidden="1">
      <c r="C49" s="251">
        <f t="shared" si="3"/>
        <v>3158</v>
      </c>
      <c r="D49" s="252">
        <f t="shared" si="4"/>
        <v>5</v>
      </c>
      <c r="E49" s="252">
        <f t="shared" si="5"/>
        <v>2017</v>
      </c>
      <c r="F49" s="252">
        <v>4</v>
      </c>
      <c r="G49" s="253" t="s">
        <v>1396</v>
      </c>
      <c r="H49" s="254" t="s">
        <v>1825</v>
      </c>
      <c r="I49" s="255">
        <f>F4</f>
        <v>0</v>
      </c>
      <c r="J49" s="256" t="s">
        <v>87</v>
      </c>
    </row>
    <row r="50" spans="3:10" hidden="1">
      <c r="C50" s="251">
        <f t="shared" si="3"/>
        <v>3158</v>
      </c>
      <c r="D50" s="252">
        <f t="shared" si="4"/>
        <v>5</v>
      </c>
      <c r="E50" s="252">
        <f t="shared" si="5"/>
        <v>2017</v>
      </c>
      <c r="F50" s="252">
        <v>5</v>
      </c>
      <c r="G50" s="253" t="s">
        <v>1396</v>
      </c>
      <c r="H50" s="254" t="s">
        <v>1825</v>
      </c>
      <c r="I50" s="255">
        <f>G4</f>
        <v>0</v>
      </c>
      <c r="J50" s="256" t="s">
        <v>88</v>
      </c>
    </row>
    <row r="51" spans="3:10" hidden="1">
      <c r="C51" s="251">
        <f t="shared" si="3"/>
        <v>3158</v>
      </c>
      <c r="D51" s="252">
        <f t="shared" si="4"/>
        <v>5</v>
      </c>
      <c r="E51" s="252">
        <f t="shared" si="5"/>
        <v>2017</v>
      </c>
      <c r="F51" s="252">
        <v>6</v>
      </c>
      <c r="G51" s="253" t="s">
        <v>1396</v>
      </c>
      <c r="H51" s="254" t="s">
        <v>1825</v>
      </c>
      <c r="I51" s="255">
        <f>H4</f>
        <v>0</v>
      </c>
      <c r="J51" s="256" t="s">
        <v>89</v>
      </c>
    </row>
    <row r="52" spans="3:10" hidden="1">
      <c r="C52" s="251">
        <f t="shared" si="3"/>
        <v>3158</v>
      </c>
      <c r="D52" s="252">
        <f t="shared" si="4"/>
        <v>5</v>
      </c>
      <c r="E52" s="252">
        <f t="shared" si="5"/>
        <v>2017</v>
      </c>
      <c r="F52" s="252">
        <v>7</v>
      </c>
      <c r="G52" s="253" t="s">
        <v>1396</v>
      </c>
      <c r="H52" s="254" t="s">
        <v>1825</v>
      </c>
      <c r="I52" s="255">
        <f>I4</f>
        <v>0</v>
      </c>
      <c r="J52" s="256" t="s">
        <v>90</v>
      </c>
    </row>
    <row r="53" spans="3:10" hidden="1">
      <c r="C53" s="251">
        <f t="shared" si="3"/>
        <v>3158</v>
      </c>
      <c r="D53" s="252">
        <f t="shared" si="4"/>
        <v>5</v>
      </c>
      <c r="E53" s="252">
        <f t="shared" si="5"/>
        <v>2017</v>
      </c>
      <c r="F53" s="252">
        <v>8</v>
      </c>
      <c r="G53" s="253" t="s">
        <v>1396</v>
      </c>
      <c r="H53" s="254" t="s">
        <v>1825</v>
      </c>
      <c r="I53" s="255">
        <f>J4</f>
        <v>0</v>
      </c>
      <c r="J53" s="256" t="s">
        <v>91</v>
      </c>
    </row>
    <row r="54" spans="3:10" hidden="1">
      <c r="C54" s="251">
        <f t="shared" si="3"/>
        <v>3158</v>
      </c>
      <c r="D54" s="252">
        <f t="shared" si="4"/>
        <v>5</v>
      </c>
      <c r="E54" s="252">
        <f t="shared" si="5"/>
        <v>2017</v>
      </c>
      <c r="F54" s="253">
        <v>-2</v>
      </c>
      <c r="G54" s="253" t="s">
        <v>1396</v>
      </c>
      <c r="H54" s="254" t="s">
        <v>1825</v>
      </c>
      <c r="I54" s="255">
        <f>K4</f>
        <v>70.599999999999994</v>
      </c>
      <c r="J54" s="256" t="s">
        <v>92</v>
      </c>
    </row>
    <row r="55" spans="3:10" hidden="1">
      <c r="C55" s="251">
        <f t="shared" si="3"/>
        <v>3158</v>
      </c>
      <c r="D55" s="252">
        <f t="shared" si="4"/>
        <v>5</v>
      </c>
      <c r="E55" s="252">
        <f t="shared" si="5"/>
        <v>2017</v>
      </c>
      <c r="F55" s="252">
        <v>1</v>
      </c>
      <c r="G55" s="253" t="s">
        <v>1396</v>
      </c>
      <c r="H55" s="254" t="s">
        <v>1829</v>
      </c>
      <c r="I55" s="255">
        <f>C8</f>
        <v>0</v>
      </c>
      <c r="J55" s="257" t="s">
        <v>93</v>
      </c>
    </row>
    <row r="56" spans="3:10" hidden="1">
      <c r="C56" s="251">
        <f t="shared" si="3"/>
        <v>3158</v>
      </c>
      <c r="D56" s="252">
        <f t="shared" si="4"/>
        <v>5</v>
      </c>
      <c r="E56" s="252">
        <f t="shared" si="5"/>
        <v>2017</v>
      </c>
      <c r="F56" s="252">
        <v>2</v>
      </c>
      <c r="G56" s="253" t="s">
        <v>1396</v>
      </c>
      <c r="H56" s="254" t="s">
        <v>1829</v>
      </c>
      <c r="I56" s="255">
        <f>D8</f>
        <v>0</v>
      </c>
      <c r="J56" s="257" t="s">
        <v>94</v>
      </c>
    </row>
    <row r="57" spans="3:10" hidden="1">
      <c r="C57" s="251">
        <f t="shared" si="3"/>
        <v>3158</v>
      </c>
      <c r="D57" s="252">
        <f t="shared" si="4"/>
        <v>5</v>
      </c>
      <c r="E57" s="252">
        <f t="shared" si="5"/>
        <v>2017</v>
      </c>
      <c r="F57" s="252">
        <v>3</v>
      </c>
      <c r="G57" s="253" t="s">
        <v>1396</v>
      </c>
      <c r="H57" s="254" t="s">
        <v>1829</v>
      </c>
      <c r="I57" s="255">
        <f>E8</f>
        <v>0</v>
      </c>
      <c r="J57" s="257" t="s">
        <v>95</v>
      </c>
    </row>
    <row r="58" spans="3:10" hidden="1">
      <c r="C58" s="251">
        <f t="shared" si="3"/>
        <v>3158</v>
      </c>
      <c r="D58" s="252">
        <f t="shared" si="4"/>
        <v>5</v>
      </c>
      <c r="E58" s="252">
        <f t="shared" si="5"/>
        <v>2017</v>
      </c>
      <c r="F58" s="252">
        <v>4</v>
      </c>
      <c r="G58" s="253" t="s">
        <v>1396</v>
      </c>
      <c r="H58" s="254" t="s">
        <v>1829</v>
      </c>
      <c r="I58" s="255">
        <f>F8</f>
        <v>0</v>
      </c>
      <c r="J58" s="257" t="s">
        <v>96</v>
      </c>
    </row>
    <row r="59" spans="3:10" hidden="1">
      <c r="C59" s="251">
        <f t="shared" si="3"/>
        <v>3158</v>
      </c>
      <c r="D59" s="252">
        <f>E$1</f>
        <v>5</v>
      </c>
      <c r="E59" s="252">
        <f>B$2</f>
        <v>2017</v>
      </c>
      <c r="F59" s="252">
        <v>5</v>
      </c>
      <c r="G59" s="253" t="s">
        <v>1396</v>
      </c>
      <c r="H59" s="254" t="s">
        <v>1829</v>
      </c>
      <c r="I59" s="255">
        <f>G8</f>
        <v>0</v>
      </c>
      <c r="J59" s="257" t="s">
        <v>97</v>
      </c>
    </row>
    <row r="60" spans="3:10" hidden="1">
      <c r="C60" s="251">
        <f t="shared" si="3"/>
        <v>3158</v>
      </c>
      <c r="D60" s="252">
        <f>E$1</f>
        <v>5</v>
      </c>
      <c r="E60" s="252">
        <f>B$2</f>
        <v>2017</v>
      </c>
      <c r="F60" s="252">
        <v>6</v>
      </c>
      <c r="G60" s="253" t="s">
        <v>1396</v>
      </c>
      <c r="H60" s="254" t="s">
        <v>1829</v>
      </c>
      <c r="I60" s="255">
        <f>H8</f>
        <v>0</v>
      </c>
      <c r="J60" s="257" t="s">
        <v>98</v>
      </c>
    </row>
    <row r="61" spans="3:10" hidden="1">
      <c r="C61" s="251">
        <f t="shared" si="3"/>
        <v>3158</v>
      </c>
      <c r="D61" s="252">
        <f>E$1</f>
        <v>5</v>
      </c>
      <c r="E61" s="252">
        <f>B$2</f>
        <v>2017</v>
      </c>
      <c r="F61" s="252">
        <v>7</v>
      </c>
      <c r="G61" s="253" t="s">
        <v>1396</v>
      </c>
      <c r="H61" s="254" t="s">
        <v>1829</v>
      </c>
      <c r="I61" s="255">
        <f>I8</f>
        <v>0</v>
      </c>
      <c r="J61" s="257" t="s">
        <v>99</v>
      </c>
    </row>
    <row r="62" spans="3:10" hidden="1">
      <c r="C62" s="251">
        <f t="shared" si="3"/>
        <v>3158</v>
      </c>
      <c r="D62" s="252">
        <f>E$1</f>
        <v>5</v>
      </c>
      <c r="E62" s="252">
        <f>B$2</f>
        <v>2017</v>
      </c>
      <c r="F62" s="252">
        <v>8</v>
      </c>
      <c r="G62" s="253" t="s">
        <v>1396</v>
      </c>
      <c r="H62" s="254" t="s">
        <v>1829</v>
      </c>
      <c r="I62" s="255">
        <f>J8</f>
        <v>0</v>
      </c>
      <c r="J62" s="257" t="s">
        <v>100</v>
      </c>
    </row>
    <row r="63" spans="3:10" hidden="1">
      <c r="C63" s="251">
        <f t="shared" si="3"/>
        <v>3158</v>
      </c>
      <c r="D63" s="252">
        <f>E$1</f>
        <v>5</v>
      </c>
      <c r="E63" s="252">
        <f>B$2</f>
        <v>2017</v>
      </c>
      <c r="F63" s="253">
        <v>-2</v>
      </c>
      <c r="G63" s="253" t="s">
        <v>1396</v>
      </c>
      <c r="H63" s="254" t="s">
        <v>1829</v>
      </c>
      <c r="I63" s="255">
        <f>K8</f>
        <v>0</v>
      </c>
      <c r="J63" s="257" t="s">
        <v>101</v>
      </c>
    </row>
    <row r="64" spans="3:10" hidden="1">
      <c r="C64" s="251">
        <f t="shared" si="3"/>
        <v>3158</v>
      </c>
      <c r="D64" s="252">
        <f t="shared" ref="D64:D81" si="7">E$1</f>
        <v>5</v>
      </c>
      <c r="E64" s="252">
        <f t="shared" ref="E64:E81" si="8">B$2</f>
        <v>2017</v>
      </c>
      <c r="F64" s="252">
        <v>1</v>
      </c>
      <c r="G64" s="253" t="s">
        <v>1396</v>
      </c>
      <c r="H64" s="254" t="s">
        <v>1833</v>
      </c>
      <c r="I64" s="255">
        <f>C12</f>
        <v>0</v>
      </c>
      <c r="J64" s="257" t="s">
        <v>102</v>
      </c>
    </row>
    <row r="65" spans="3:10" hidden="1">
      <c r="C65" s="251">
        <f t="shared" si="3"/>
        <v>3158</v>
      </c>
      <c r="D65" s="252">
        <f t="shared" si="7"/>
        <v>5</v>
      </c>
      <c r="E65" s="252">
        <f t="shared" si="8"/>
        <v>2017</v>
      </c>
      <c r="F65" s="252">
        <v>2</v>
      </c>
      <c r="G65" s="253" t="s">
        <v>1396</v>
      </c>
      <c r="H65" s="254" t="s">
        <v>1833</v>
      </c>
      <c r="I65" s="255">
        <f>D12</f>
        <v>0</v>
      </c>
      <c r="J65" s="257" t="s">
        <v>103</v>
      </c>
    </row>
    <row r="66" spans="3:10" hidden="1">
      <c r="C66" s="251">
        <f t="shared" si="3"/>
        <v>3158</v>
      </c>
      <c r="D66" s="252">
        <f t="shared" si="7"/>
        <v>5</v>
      </c>
      <c r="E66" s="252">
        <f t="shared" si="8"/>
        <v>2017</v>
      </c>
      <c r="F66" s="252">
        <v>3</v>
      </c>
      <c r="G66" s="253" t="s">
        <v>1396</v>
      </c>
      <c r="H66" s="254" t="s">
        <v>1833</v>
      </c>
      <c r="I66" s="255">
        <f>E12</f>
        <v>0</v>
      </c>
      <c r="J66" s="257" t="s">
        <v>104</v>
      </c>
    </row>
    <row r="67" spans="3:10" hidden="1">
      <c r="C67" s="251">
        <f t="shared" si="3"/>
        <v>3158</v>
      </c>
      <c r="D67" s="252">
        <f t="shared" si="7"/>
        <v>5</v>
      </c>
      <c r="E67" s="252">
        <f t="shared" si="8"/>
        <v>2017</v>
      </c>
      <c r="F67" s="252">
        <v>4</v>
      </c>
      <c r="G67" s="253" t="s">
        <v>1396</v>
      </c>
      <c r="H67" s="254" t="s">
        <v>1833</v>
      </c>
      <c r="I67" s="255">
        <f>F12</f>
        <v>0</v>
      </c>
      <c r="J67" s="257" t="s">
        <v>105</v>
      </c>
    </row>
    <row r="68" spans="3:10" hidden="1">
      <c r="C68" s="251">
        <f t="shared" si="3"/>
        <v>3158</v>
      </c>
      <c r="D68" s="252">
        <f t="shared" si="7"/>
        <v>5</v>
      </c>
      <c r="E68" s="252">
        <f t="shared" si="8"/>
        <v>2017</v>
      </c>
      <c r="F68" s="252">
        <v>5</v>
      </c>
      <c r="G68" s="253" t="s">
        <v>1396</v>
      </c>
      <c r="H68" s="254" t="s">
        <v>1833</v>
      </c>
      <c r="I68" s="255">
        <f>G12</f>
        <v>0</v>
      </c>
      <c r="J68" s="257" t="s">
        <v>106</v>
      </c>
    </row>
    <row r="69" spans="3:10" hidden="1">
      <c r="C69" s="251">
        <f t="shared" si="3"/>
        <v>3158</v>
      </c>
      <c r="D69" s="252">
        <f t="shared" si="7"/>
        <v>5</v>
      </c>
      <c r="E69" s="252">
        <f t="shared" si="8"/>
        <v>2017</v>
      </c>
      <c r="F69" s="252">
        <v>6</v>
      </c>
      <c r="G69" s="253" t="s">
        <v>1396</v>
      </c>
      <c r="H69" s="254" t="s">
        <v>1833</v>
      </c>
      <c r="I69" s="255">
        <f>H12</f>
        <v>0</v>
      </c>
      <c r="J69" s="257" t="s">
        <v>107</v>
      </c>
    </row>
    <row r="70" spans="3:10" hidden="1">
      <c r="C70" s="251">
        <f t="shared" si="3"/>
        <v>3158</v>
      </c>
      <c r="D70" s="252">
        <f t="shared" si="7"/>
        <v>5</v>
      </c>
      <c r="E70" s="252">
        <f t="shared" si="8"/>
        <v>2017</v>
      </c>
      <c r="F70" s="252">
        <v>7</v>
      </c>
      <c r="G70" s="253" t="s">
        <v>1396</v>
      </c>
      <c r="H70" s="254" t="s">
        <v>1833</v>
      </c>
      <c r="I70" s="255">
        <f>I12</f>
        <v>0</v>
      </c>
      <c r="J70" s="257" t="s">
        <v>108</v>
      </c>
    </row>
    <row r="71" spans="3:10" hidden="1">
      <c r="C71" s="251">
        <f t="shared" si="3"/>
        <v>3158</v>
      </c>
      <c r="D71" s="252">
        <f t="shared" si="7"/>
        <v>5</v>
      </c>
      <c r="E71" s="252">
        <f t="shared" si="8"/>
        <v>2017</v>
      </c>
      <c r="F71" s="252">
        <v>8</v>
      </c>
      <c r="G71" s="253" t="s">
        <v>1396</v>
      </c>
      <c r="H71" s="254" t="s">
        <v>1833</v>
      </c>
      <c r="I71" s="255">
        <f>J12</f>
        <v>0</v>
      </c>
      <c r="J71" s="257" t="s">
        <v>109</v>
      </c>
    </row>
    <row r="72" spans="3:10" hidden="1">
      <c r="C72" s="251">
        <f t="shared" si="3"/>
        <v>3158</v>
      </c>
      <c r="D72" s="252">
        <f t="shared" si="7"/>
        <v>5</v>
      </c>
      <c r="E72" s="252">
        <f t="shared" si="8"/>
        <v>2017</v>
      </c>
      <c r="F72" s="253">
        <v>-2</v>
      </c>
      <c r="G72" s="253" t="s">
        <v>1396</v>
      </c>
      <c r="H72" s="254" t="s">
        <v>1833</v>
      </c>
      <c r="I72" s="255">
        <f>K12</f>
        <v>0</v>
      </c>
      <c r="J72" s="257" t="s">
        <v>110</v>
      </c>
    </row>
    <row r="73" spans="3:10" hidden="1">
      <c r="C73" s="251">
        <f t="shared" si="3"/>
        <v>3158</v>
      </c>
      <c r="D73" s="252">
        <f t="shared" si="7"/>
        <v>5</v>
      </c>
      <c r="E73" s="252">
        <f t="shared" si="8"/>
        <v>2017</v>
      </c>
      <c r="F73" s="252">
        <v>1</v>
      </c>
      <c r="G73" s="253" t="s">
        <v>1396</v>
      </c>
      <c r="H73" s="254" t="s">
        <v>1834</v>
      </c>
      <c r="I73" s="255">
        <f>C13</f>
        <v>0</v>
      </c>
      <c r="J73" s="257" t="s">
        <v>111</v>
      </c>
    </row>
    <row r="74" spans="3:10" hidden="1">
      <c r="C74" s="251">
        <f t="shared" si="3"/>
        <v>3158</v>
      </c>
      <c r="D74" s="252">
        <f t="shared" si="7"/>
        <v>5</v>
      </c>
      <c r="E74" s="252">
        <f t="shared" si="8"/>
        <v>2017</v>
      </c>
      <c r="F74" s="252">
        <v>2</v>
      </c>
      <c r="G74" s="253" t="s">
        <v>1396</v>
      </c>
      <c r="H74" s="254" t="s">
        <v>1834</v>
      </c>
      <c r="I74" s="255">
        <f>D13</f>
        <v>0</v>
      </c>
      <c r="J74" s="257" t="s">
        <v>112</v>
      </c>
    </row>
    <row r="75" spans="3:10" hidden="1">
      <c r="C75" s="251">
        <f t="shared" si="3"/>
        <v>3158</v>
      </c>
      <c r="D75" s="252">
        <f t="shared" si="7"/>
        <v>5</v>
      </c>
      <c r="E75" s="252">
        <f t="shared" si="8"/>
        <v>2017</v>
      </c>
      <c r="F75" s="252">
        <v>3</v>
      </c>
      <c r="G75" s="253" t="s">
        <v>1396</v>
      </c>
      <c r="H75" s="254" t="s">
        <v>1834</v>
      </c>
      <c r="I75" s="255">
        <f>E13</f>
        <v>0</v>
      </c>
      <c r="J75" s="257" t="s">
        <v>116</v>
      </c>
    </row>
    <row r="76" spans="3:10" hidden="1">
      <c r="C76" s="251">
        <f t="shared" si="3"/>
        <v>3158</v>
      </c>
      <c r="D76" s="252">
        <f t="shared" si="7"/>
        <v>5</v>
      </c>
      <c r="E76" s="252">
        <f t="shared" si="8"/>
        <v>2017</v>
      </c>
      <c r="F76" s="252">
        <v>4</v>
      </c>
      <c r="G76" s="253" t="s">
        <v>1396</v>
      </c>
      <c r="H76" s="254" t="s">
        <v>1834</v>
      </c>
      <c r="I76" s="255">
        <f>F13</f>
        <v>0</v>
      </c>
      <c r="J76" s="257" t="s">
        <v>117</v>
      </c>
    </row>
    <row r="77" spans="3:10" hidden="1">
      <c r="C77" s="251">
        <f t="shared" si="3"/>
        <v>3158</v>
      </c>
      <c r="D77" s="252">
        <f t="shared" si="7"/>
        <v>5</v>
      </c>
      <c r="E77" s="252">
        <f t="shared" si="8"/>
        <v>2017</v>
      </c>
      <c r="F77" s="252">
        <v>5</v>
      </c>
      <c r="G77" s="253" t="s">
        <v>1396</v>
      </c>
      <c r="H77" s="254" t="s">
        <v>1834</v>
      </c>
      <c r="I77" s="255">
        <f>G13</f>
        <v>0</v>
      </c>
      <c r="J77" s="257" t="s">
        <v>118</v>
      </c>
    </row>
    <row r="78" spans="3:10" hidden="1">
      <c r="C78" s="251">
        <f t="shared" si="3"/>
        <v>3158</v>
      </c>
      <c r="D78" s="252">
        <f t="shared" si="7"/>
        <v>5</v>
      </c>
      <c r="E78" s="252">
        <f t="shared" si="8"/>
        <v>2017</v>
      </c>
      <c r="F78" s="252">
        <v>6</v>
      </c>
      <c r="G78" s="253" t="s">
        <v>1396</v>
      </c>
      <c r="H78" s="254" t="s">
        <v>1834</v>
      </c>
      <c r="I78" s="255">
        <f>H13</f>
        <v>0</v>
      </c>
      <c r="J78" s="257" t="s">
        <v>119</v>
      </c>
    </row>
    <row r="79" spans="3:10" hidden="1">
      <c r="C79" s="251">
        <f t="shared" si="3"/>
        <v>3158</v>
      </c>
      <c r="D79" s="252">
        <f t="shared" si="7"/>
        <v>5</v>
      </c>
      <c r="E79" s="252">
        <f t="shared" si="8"/>
        <v>2017</v>
      </c>
      <c r="F79" s="252">
        <v>7</v>
      </c>
      <c r="G79" s="253" t="s">
        <v>1396</v>
      </c>
      <c r="H79" s="254" t="s">
        <v>1834</v>
      </c>
      <c r="I79" s="255">
        <f>I13</f>
        <v>0</v>
      </c>
      <c r="J79" s="257" t="s">
        <v>120</v>
      </c>
    </row>
    <row r="80" spans="3:10" hidden="1">
      <c r="C80" s="251">
        <f t="shared" si="3"/>
        <v>3158</v>
      </c>
      <c r="D80" s="252">
        <f t="shared" si="7"/>
        <v>5</v>
      </c>
      <c r="E80" s="252">
        <f t="shared" si="8"/>
        <v>2017</v>
      </c>
      <c r="F80" s="252">
        <v>8</v>
      </c>
      <c r="G80" s="253" t="s">
        <v>1396</v>
      </c>
      <c r="H80" s="254" t="s">
        <v>1834</v>
      </c>
      <c r="I80" s="255">
        <f>J13</f>
        <v>0</v>
      </c>
      <c r="J80" s="257" t="s">
        <v>121</v>
      </c>
    </row>
    <row r="81" spans="3:10" hidden="1">
      <c r="C81" s="251">
        <f t="shared" si="3"/>
        <v>3158</v>
      </c>
      <c r="D81" s="252">
        <f t="shared" si="7"/>
        <v>5</v>
      </c>
      <c r="E81" s="252">
        <f t="shared" si="8"/>
        <v>2017</v>
      </c>
      <c r="F81" s="253">
        <v>-2</v>
      </c>
      <c r="G81" s="253" t="s">
        <v>1396</v>
      </c>
      <c r="H81" s="254" t="s">
        <v>1834</v>
      </c>
      <c r="I81" s="255">
        <f>K13</f>
        <v>0</v>
      </c>
      <c r="J81" s="257" t="s">
        <v>122</v>
      </c>
    </row>
    <row r="82" spans="3:10" hidden="1"/>
    <row r="83" spans="3:10" hidden="1"/>
    <row r="84" spans="3:10" hidden="1"/>
    <row r="85" spans="3:10" hidden="1"/>
  </sheetData>
  <sheetProtection password="CB72" sheet="1" objects="1" scenarios="1"/>
  <mergeCells count="4">
    <mergeCell ref="A15:K15"/>
    <mergeCell ref="A16:K16"/>
    <mergeCell ref="A17:K19"/>
    <mergeCell ref="A20:K21"/>
  </mergeCells>
  <phoneticPr fontId="0" type="noConversion"/>
  <conditionalFormatting sqref="B15:K15">
    <cfRule type="expression" dxfId="22" priority="1" stopIfTrue="1">
      <formula>#REF!=1</formula>
    </cfRule>
  </conditionalFormatting>
  <pageMargins left="0.47244094488188981" right="0.19685039370078741" top="0.55118110236220474" bottom="0.82677165354330717" header="0.51181102362204722" footer="0.51181102362204722"/>
  <pageSetup paperSize="9" orientation="landscape" r:id="rId1"/>
  <headerFooter alignWithMargins="0">
    <oddFooter>&amp;L&amp;8Druck: &amp;D, &amp;T&amp;R&amp;8VAF-Periode 2015-2018</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tabColor theme="3" tint="0.59999389629810485"/>
  </sheetPr>
  <dimension ref="A1:IU717"/>
  <sheetViews>
    <sheetView showGridLines="0" zoomScale="70" zoomScaleNormal="70" zoomScaleSheetLayoutView="70" workbookViewId="0">
      <pane xSplit="2" ySplit="6" topLeftCell="C7" activePane="bottomRight" state="frozen"/>
      <selection activeCell="C3" sqref="C3:F3"/>
      <selection pane="topRight" activeCell="C3" sqref="C3:F3"/>
      <selection pane="bottomLeft" activeCell="C3" sqref="C3:F3"/>
      <selection pane="bottomRight" activeCell="C3" sqref="C3:F3"/>
    </sheetView>
  </sheetViews>
  <sheetFormatPr baseColWidth="10" defaultColWidth="10.6640625" defaultRowHeight="12.75"/>
  <cols>
    <col min="1" max="1" width="3.77734375" style="156" customWidth="1"/>
    <col min="2" max="2" width="31" style="156" customWidth="1"/>
    <col min="3" max="3" width="15" style="156" customWidth="1"/>
    <col min="4" max="4" width="15.21875" style="156" customWidth="1"/>
    <col min="5" max="5" width="12.77734375" style="156" customWidth="1"/>
    <col min="6" max="6" width="10.109375" style="156" customWidth="1"/>
    <col min="7" max="7" width="9.88671875" style="157" customWidth="1"/>
    <col min="8" max="8" width="13.109375" style="157" customWidth="1"/>
    <col min="9" max="9" width="17.33203125" style="156" customWidth="1"/>
    <col min="10" max="10" width="18.21875" style="156" customWidth="1"/>
    <col min="11" max="11" width="14.77734375" style="156" customWidth="1"/>
    <col min="12" max="12" width="13" style="156" customWidth="1"/>
    <col min="13" max="13" width="15.77734375" style="156" customWidth="1"/>
    <col min="14" max="14" width="2.5546875" style="156" customWidth="1"/>
    <col min="15" max="15" width="4.21875" style="156" customWidth="1"/>
    <col min="16" max="16" width="3" style="156" customWidth="1"/>
    <col min="17" max="19" width="4.21875" style="156" customWidth="1"/>
    <col min="20" max="29" width="4.21875" style="328" hidden="1" customWidth="1"/>
    <col min="30" max="32" width="4.21875" style="328" customWidth="1"/>
    <col min="33" max="34" width="4.21875" style="156" customWidth="1"/>
    <col min="35" max="36" width="10.6640625" style="156" customWidth="1"/>
    <col min="37" max="16384" width="10.6640625" style="156"/>
  </cols>
  <sheetData>
    <row r="1" spans="1:255" s="324" customFormat="1" ht="18.75" customHeight="1">
      <c r="A1" s="1226" t="s">
        <v>2575</v>
      </c>
      <c r="B1" s="1226"/>
      <c r="C1" s="322">
        <f>'Organisationsdaten (Basisinfo)'!D1</f>
        <v>2017</v>
      </c>
      <c r="D1" s="642" t="s">
        <v>2505</v>
      </c>
      <c r="E1" s="322">
        <f>'Organisationsdaten (Basisinfo)'!H1</f>
        <v>3158</v>
      </c>
      <c r="F1" s="323"/>
      <c r="G1" s="644"/>
      <c r="H1" s="644"/>
      <c r="I1" s="323"/>
      <c r="J1" s="323"/>
      <c r="K1" s="323"/>
      <c r="L1" s="323"/>
      <c r="M1" s="323"/>
      <c r="N1" s="323"/>
      <c r="O1" s="323"/>
      <c r="P1" s="323"/>
      <c r="Q1" s="323"/>
      <c r="R1" s="323"/>
      <c r="T1" s="325"/>
      <c r="U1" s="325"/>
      <c r="V1" s="325"/>
      <c r="W1" s="325"/>
      <c r="X1" s="325"/>
      <c r="Y1" s="325"/>
      <c r="Z1" s="325"/>
      <c r="AA1" s="325"/>
      <c r="AB1" s="325"/>
      <c r="AC1" s="325"/>
      <c r="AD1" s="325"/>
      <c r="AE1" s="325"/>
      <c r="AF1" s="325"/>
    </row>
    <row r="2" spans="1:255" ht="12" customHeight="1" thickBot="1">
      <c r="A2" s="326"/>
      <c r="C2" s="327"/>
      <c r="D2" s="327"/>
      <c r="E2" s="327"/>
      <c r="F2" s="327"/>
      <c r="G2" s="155"/>
      <c r="H2" s="155"/>
      <c r="I2" s="327"/>
      <c r="J2" s="327"/>
      <c r="K2" s="327"/>
      <c r="L2" s="327"/>
      <c r="M2" s="327"/>
      <c r="N2" s="327"/>
      <c r="O2" s="327"/>
      <c r="P2" s="327"/>
      <c r="Q2" s="327"/>
      <c r="R2" s="327"/>
      <c r="Y2" s="329"/>
      <c r="Z2" s="329"/>
      <c r="AA2" s="329"/>
      <c r="AB2" s="329"/>
      <c r="AC2" s="329"/>
      <c r="AD2" s="329"/>
      <c r="AE2" s="329"/>
      <c r="AF2" s="329"/>
      <c r="AG2" s="157"/>
      <c r="AH2" s="157"/>
      <c r="AI2" s="157"/>
      <c r="AJ2" s="157"/>
      <c r="AK2" s="157"/>
      <c r="AL2" s="157"/>
      <c r="AM2" s="157"/>
      <c r="AN2" s="157"/>
      <c r="AO2" s="157"/>
      <c r="AP2" s="157"/>
      <c r="AQ2" s="157"/>
      <c r="AR2" s="157"/>
      <c r="AS2" s="157"/>
      <c r="AT2" s="157"/>
      <c r="AU2" s="157"/>
      <c r="AV2" s="157"/>
      <c r="AW2" s="157"/>
      <c r="AX2" s="157"/>
      <c r="AY2" s="157"/>
      <c r="AZ2" s="157"/>
      <c r="BA2" s="157"/>
      <c r="BB2" s="157"/>
      <c r="BC2" s="157"/>
      <c r="BD2" s="157"/>
      <c r="BE2" s="157"/>
      <c r="BF2" s="157"/>
      <c r="BG2" s="157"/>
      <c r="BH2" s="157"/>
      <c r="BI2" s="157"/>
      <c r="BJ2" s="157"/>
      <c r="BK2" s="157"/>
      <c r="BL2" s="157"/>
      <c r="BM2" s="157"/>
      <c r="BN2" s="157"/>
      <c r="BO2" s="157"/>
      <c r="BP2" s="157"/>
      <c r="BQ2" s="157"/>
      <c r="BR2" s="157"/>
      <c r="BS2" s="157"/>
      <c r="BT2" s="157"/>
      <c r="BU2" s="157"/>
      <c r="BV2" s="157"/>
      <c r="BW2" s="157"/>
      <c r="BX2" s="157"/>
      <c r="BY2" s="157"/>
      <c r="BZ2" s="157"/>
      <c r="CA2" s="157"/>
      <c r="CB2" s="157"/>
      <c r="CC2" s="157"/>
      <c r="CD2" s="157"/>
      <c r="CE2" s="157"/>
      <c r="CF2" s="157"/>
      <c r="CG2" s="157"/>
      <c r="CH2" s="157"/>
      <c r="CI2" s="157"/>
      <c r="CJ2" s="157"/>
      <c r="CK2" s="157"/>
      <c r="CL2" s="157"/>
      <c r="CM2" s="157"/>
      <c r="CN2" s="157"/>
      <c r="CO2" s="157"/>
      <c r="CP2" s="157"/>
      <c r="CQ2" s="157"/>
      <c r="CR2" s="157"/>
      <c r="CS2" s="157"/>
      <c r="CT2" s="157"/>
      <c r="CU2" s="157"/>
      <c r="CV2" s="157"/>
      <c r="CW2" s="157"/>
      <c r="CX2" s="157"/>
      <c r="CY2" s="157"/>
      <c r="CZ2" s="157"/>
      <c r="DA2" s="157"/>
      <c r="DB2" s="157"/>
      <c r="DC2" s="157"/>
      <c r="DD2" s="157"/>
      <c r="DE2" s="157"/>
      <c r="DF2" s="157"/>
      <c r="DG2" s="157"/>
      <c r="DH2" s="157"/>
      <c r="DI2" s="157"/>
      <c r="DJ2" s="157"/>
      <c r="DK2" s="157"/>
      <c r="DL2" s="157"/>
      <c r="DM2" s="157"/>
      <c r="DN2" s="157"/>
      <c r="DO2" s="157"/>
      <c r="DP2" s="157"/>
      <c r="DQ2" s="157"/>
      <c r="DR2" s="157"/>
      <c r="DS2" s="157"/>
      <c r="DT2" s="157"/>
      <c r="DU2" s="157"/>
      <c r="DV2" s="157"/>
      <c r="DW2" s="157"/>
      <c r="DX2" s="157"/>
      <c r="DY2" s="157"/>
      <c r="DZ2" s="157"/>
      <c r="EA2" s="157"/>
      <c r="EB2" s="157"/>
      <c r="EC2" s="157"/>
      <c r="ED2" s="157"/>
      <c r="EE2" s="157"/>
      <c r="EF2" s="157"/>
      <c r="EG2" s="157"/>
      <c r="EH2" s="157"/>
      <c r="EI2" s="157"/>
      <c r="EJ2" s="157"/>
      <c r="EK2" s="157"/>
      <c r="EL2" s="157"/>
      <c r="EM2" s="157"/>
      <c r="EN2" s="157"/>
      <c r="EO2" s="157"/>
      <c r="EP2" s="157"/>
      <c r="EQ2" s="157"/>
      <c r="ER2" s="157"/>
      <c r="ES2" s="157"/>
      <c r="ET2" s="157"/>
      <c r="EU2" s="157"/>
      <c r="EV2" s="157"/>
      <c r="EW2" s="157"/>
      <c r="EX2" s="157"/>
      <c r="EY2" s="157"/>
      <c r="EZ2" s="157"/>
      <c r="FA2" s="157"/>
      <c r="FB2" s="157"/>
      <c r="FC2" s="157"/>
      <c r="FD2" s="157"/>
      <c r="FE2" s="157"/>
      <c r="FF2" s="157"/>
      <c r="FG2" s="157"/>
      <c r="FH2" s="157"/>
      <c r="FI2" s="157"/>
      <c r="FJ2" s="157"/>
      <c r="FK2" s="157"/>
      <c r="FL2" s="157"/>
      <c r="FM2" s="157"/>
      <c r="FN2" s="157"/>
      <c r="FO2" s="157"/>
      <c r="FP2" s="157"/>
      <c r="FQ2" s="157"/>
      <c r="FR2" s="157"/>
      <c r="FS2" s="157"/>
      <c r="FT2" s="157"/>
      <c r="FU2" s="157"/>
      <c r="FV2" s="157"/>
      <c r="FW2" s="157"/>
      <c r="FX2" s="157"/>
      <c r="FY2" s="157"/>
      <c r="FZ2" s="157"/>
      <c r="GA2" s="157"/>
      <c r="GB2" s="157"/>
      <c r="GC2" s="157"/>
      <c r="GD2" s="157"/>
      <c r="GE2" s="157"/>
      <c r="GF2" s="157"/>
      <c r="GG2" s="157"/>
      <c r="GH2" s="157"/>
      <c r="GI2" s="157"/>
      <c r="GJ2" s="157"/>
      <c r="GK2" s="157"/>
      <c r="GL2" s="157"/>
      <c r="GM2" s="157"/>
      <c r="GN2" s="157"/>
      <c r="GO2" s="157"/>
      <c r="GP2" s="157"/>
      <c r="GQ2" s="157"/>
      <c r="GR2" s="157"/>
      <c r="GS2" s="157"/>
      <c r="GT2" s="157"/>
      <c r="GU2" s="157"/>
      <c r="GV2" s="157"/>
      <c r="GW2" s="157"/>
      <c r="GX2" s="157"/>
      <c r="GY2" s="157"/>
      <c r="GZ2" s="157"/>
      <c r="HA2" s="157"/>
      <c r="HB2" s="157"/>
      <c r="HC2" s="157"/>
      <c r="HD2" s="157"/>
      <c r="HE2" s="157"/>
      <c r="HF2" s="157"/>
      <c r="HG2" s="157"/>
      <c r="HH2" s="157"/>
      <c r="HI2" s="157"/>
      <c r="HJ2" s="157"/>
      <c r="HK2" s="157"/>
      <c r="HL2" s="157"/>
      <c r="HM2" s="157"/>
      <c r="HN2" s="157"/>
      <c r="HO2" s="157"/>
      <c r="HP2" s="157"/>
      <c r="HQ2" s="157"/>
      <c r="HR2" s="157"/>
      <c r="HS2" s="157"/>
      <c r="HT2" s="157"/>
      <c r="HU2" s="157"/>
      <c r="HV2" s="157"/>
      <c r="HW2" s="157"/>
      <c r="HX2" s="157"/>
      <c r="HY2" s="157"/>
      <c r="HZ2" s="157"/>
      <c r="IA2" s="157"/>
      <c r="IB2" s="157"/>
      <c r="IC2" s="157"/>
      <c r="ID2" s="157"/>
      <c r="IE2" s="157"/>
      <c r="IF2" s="157"/>
      <c r="IG2" s="157"/>
      <c r="IH2" s="157"/>
      <c r="II2" s="157"/>
      <c r="IJ2" s="157"/>
      <c r="IK2" s="157"/>
      <c r="IL2" s="157"/>
      <c r="IM2" s="157"/>
      <c r="IN2" s="157"/>
      <c r="IO2" s="157"/>
      <c r="IP2" s="157"/>
      <c r="IQ2" s="157"/>
      <c r="IR2" s="157"/>
      <c r="IS2" s="157"/>
      <c r="IT2" s="157"/>
      <c r="IU2" s="157"/>
    </row>
    <row r="3" spans="1:255" s="331" customFormat="1" ht="30.75" customHeight="1">
      <c r="A3" s="1231"/>
      <c r="B3" s="1232"/>
      <c r="C3" s="1227" t="s">
        <v>2569</v>
      </c>
      <c r="D3" s="1228"/>
      <c r="E3" s="1229"/>
      <c r="F3" s="330"/>
      <c r="G3" s="330"/>
      <c r="H3" s="330"/>
      <c r="I3" s="1230"/>
      <c r="J3" s="1230"/>
      <c r="K3" s="1230"/>
      <c r="L3" s="1230"/>
      <c r="M3" s="1230"/>
      <c r="N3" s="1230"/>
      <c r="O3" s="1230"/>
      <c r="P3" s="1230"/>
      <c r="Q3" s="1247"/>
      <c r="R3" s="1230"/>
      <c r="T3" s="332"/>
      <c r="U3" s="332"/>
      <c r="V3" s="332"/>
      <c r="W3" s="332"/>
      <c r="X3" s="332"/>
      <c r="Y3" s="333"/>
      <c r="Z3" s="333"/>
      <c r="AA3" s="333"/>
      <c r="AB3" s="333"/>
      <c r="AC3" s="333"/>
      <c r="AD3" s="333"/>
      <c r="AE3" s="333"/>
      <c r="AF3" s="333"/>
      <c r="AG3" s="334"/>
      <c r="AH3" s="334"/>
      <c r="AI3" s="334"/>
      <c r="AJ3" s="334"/>
      <c r="AK3" s="334"/>
      <c r="AL3" s="334"/>
      <c r="AM3" s="334"/>
      <c r="AN3" s="334"/>
      <c r="AO3" s="334"/>
      <c r="AP3" s="334"/>
      <c r="AQ3" s="334"/>
      <c r="AR3" s="334"/>
      <c r="AS3" s="334"/>
      <c r="AT3" s="334"/>
      <c r="AU3" s="334"/>
      <c r="AV3" s="334"/>
      <c r="AW3" s="334"/>
      <c r="AX3" s="334"/>
      <c r="AY3" s="334"/>
      <c r="AZ3" s="334"/>
      <c r="BA3" s="334"/>
      <c r="BB3" s="334"/>
      <c r="BC3" s="334"/>
      <c r="BD3" s="334"/>
      <c r="BE3" s="334"/>
      <c r="BF3" s="334"/>
      <c r="BG3" s="334"/>
      <c r="BH3" s="334"/>
      <c r="BI3" s="334"/>
      <c r="BJ3" s="334"/>
      <c r="BK3" s="334"/>
      <c r="BL3" s="334"/>
      <c r="BM3" s="334"/>
      <c r="BN3" s="334"/>
      <c r="BO3" s="334"/>
      <c r="BP3" s="334"/>
      <c r="BQ3" s="334"/>
      <c r="BR3" s="334"/>
      <c r="BS3" s="334"/>
      <c r="BT3" s="334"/>
      <c r="BU3" s="334"/>
      <c r="BV3" s="334"/>
      <c r="BW3" s="334"/>
      <c r="BX3" s="334"/>
      <c r="BY3" s="334"/>
      <c r="BZ3" s="334"/>
      <c r="CA3" s="334"/>
      <c r="CB3" s="334"/>
      <c r="CC3" s="334"/>
      <c r="CD3" s="334"/>
      <c r="CE3" s="334"/>
      <c r="CF3" s="334"/>
      <c r="CG3" s="334"/>
      <c r="CH3" s="334"/>
      <c r="CI3" s="334"/>
      <c r="CJ3" s="334"/>
      <c r="CK3" s="334"/>
      <c r="CL3" s="334"/>
      <c r="CM3" s="334"/>
      <c r="CN3" s="334"/>
      <c r="CO3" s="334"/>
      <c r="CP3" s="334"/>
      <c r="CQ3" s="334"/>
      <c r="CR3" s="334"/>
      <c r="CS3" s="334"/>
      <c r="CT3" s="334"/>
      <c r="CU3" s="334"/>
      <c r="CV3" s="334"/>
      <c r="CW3" s="334"/>
      <c r="CX3" s="334"/>
      <c r="CY3" s="334"/>
      <c r="CZ3" s="334"/>
      <c r="DA3" s="334"/>
      <c r="DB3" s="334"/>
      <c r="DC3" s="334"/>
      <c r="DD3" s="334"/>
      <c r="DE3" s="334"/>
      <c r="DF3" s="334"/>
      <c r="DG3" s="334"/>
      <c r="DH3" s="334"/>
      <c r="DI3" s="334"/>
      <c r="DJ3" s="334"/>
      <c r="DK3" s="334"/>
      <c r="DL3" s="334"/>
      <c r="DM3" s="334"/>
      <c r="DN3" s="334"/>
      <c r="DO3" s="334"/>
      <c r="DP3" s="334"/>
      <c r="DQ3" s="334"/>
      <c r="DR3" s="334"/>
      <c r="DS3" s="334"/>
      <c r="DT3" s="334"/>
      <c r="DU3" s="334"/>
      <c r="DV3" s="334"/>
      <c r="DW3" s="334"/>
      <c r="DX3" s="334"/>
      <c r="DY3" s="334"/>
      <c r="DZ3" s="334"/>
      <c r="EA3" s="334"/>
      <c r="EB3" s="334"/>
      <c r="EC3" s="334"/>
      <c r="ED3" s="334"/>
      <c r="EE3" s="334"/>
      <c r="EF3" s="334"/>
      <c r="EG3" s="334"/>
      <c r="EH3" s="334"/>
      <c r="EI3" s="334"/>
      <c r="EJ3" s="334"/>
      <c r="EK3" s="334"/>
      <c r="EL3" s="334"/>
      <c r="EM3" s="334"/>
      <c r="EN3" s="334"/>
      <c r="EO3" s="334"/>
      <c r="EP3" s="334"/>
      <c r="EQ3" s="334"/>
      <c r="ER3" s="334"/>
      <c r="ES3" s="334"/>
      <c r="ET3" s="334"/>
      <c r="EU3" s="334"/>
      <c r="EV3" s="334"/>
      <c r="EW3" s="334"/>
      <c r="EX3" s="334"/>
      <c r="EY3" s="334"/>
      <c r="EZ3" s="334"/>
      <c r="FA3" s="334"/>
      <c r="FB3" s="334"/>
      <c r="FC3" s="334"/>
      <c r="FD3" s="334"/>
      <c r="FE3" s="334"/>
      <c r="FF3" s="334"/>
      <c r="FG3" s="334"/>
      <c r="FH3" s="334"/>
      <c r="FI3" s="334"/>
      <c r="FJ3" s="334"/>
      <c r="FK3" s="334"/>
      <c r="FL3" s="334"/>
      <c r="FM3" s="334"/>
      <c r="FN3" s="334"/>
      <c r="FO3" s="334"/>
      <c r="FP3" s="334"/>
      <c r="FQ3" s="334"/>
      <c r="FR3" s="334"/>
      <c r="FS3" s="334"/>
      <c r="FT3" s="334"/>
      <c r="FU3" s="334"/>
      <c r="FV3" s="334"/>
      <c r="FW3" s="334"/>
      <c r="FX3" s="334"/>
      <c r="FY3" s="334"/>
      <c r="FZ3" s="334"/>
      <c r="GA3" s="334"/>
      <c r="GB3" s="334"/>
      <c r="GC3" s="334"/>
      <c r="GD3" s="334"/>
      <c r="GE3" s="334"/>
      <c r="GF3" s="334"/>
      <c r="GG3" s="334"/>
      <c r="GH3" s="334"/>
      <c r="GI3" s="334"/>
      <c r="GJ3" s="334"/>
      <c r="GK3" s="334"/>
      <c r="GL3" s="334"/>
      <c r="GM3" s="334"/>
      <c r="GN3" s="334"/>
      <c r="GO3" s="334"/>
      <c r="GP3" s="334"/>
      <c r="GQ3" s="334"/>
      <c r="GR3" s="334"/>
      <c r="GS3" s="334"/>
      <c r="GT3" s="334"/>
      <c r="GU3" s="334"/>
      <c r="GV3" s="334"/>
      <c r="GW3" s="334"/>
      <c r="GX3" s="334"/>
      <c r="GY3" s="334"/>
      <c r="GZ3" s="334"/>
      <c r="HA3" s="334"/>
      <c r="HB3" s="334"/>
      <c r="HC3" s="334"/>
      <c r="HD3" s="334"/>
      <c r="HE3" s="334"/>
      <c r="HF3" s="334"/>
      <c r="HG3" s="334"/>
      <c r="HH3" s="334"/>
      <c r="HI3" s="334"/>
      <c r="HJ3" s="334"/>
      <c r="HK3" s="334"/>
      <c r="HL3" s="334"/>
      <c r="HM3" s="334"/>
      <c r="HN3" s="334"/>
      <c r="HO3" s="334"/>
      <c r="HP3" s="334"/>
      <c r="HQ3" s="334"/>
      <c r="HR3" s="334"/>
      <c r="HS3" s="334"/>
      <c r="HT3" s="334"/>
      <c r="HU3" s="334"/>
      <c r="HV3" s="334"/>
      <c r="HW3" s="334"/>
      <c r="HX3" s="334"/>
      <c r="HY3" s="334"/>
      <c r="HZ3" s="334"/>
      <c r="IA3" s="334"/>
      <c r="IB3" s="334"/>
      <c r="IC3" s="334"/>
      <c r="ID3" s="334"/>
      <c r="IE3" s="334"/>
      <c r="IF3" s="334"/>
      <c r="IG3" s="334"/>
      <c r="IH3" s="334"/>
      <c r="II3" s="334"/>
      <c r="IJ3" s="334"/>
      <c r="IK3" s="334"/>
      <c r="IL3" s="334"/>
      <c r="IM3" s="334"/>
      <c r="IN3" s="334"/>
      <c r="IO3" s="334"/>
      <c r="IP3" s="334"/>
      <c r="IQ3" s="334"/>
      <c r="IR3" s="334"/>
      <c r="IS3" s="334"/>
      <c r="IT3" s="334"/>
      <c r="IU3" s="334"/>
    </row>
    <row r="4" spans="1:255" ht="9" customHeight="1">
      <c r="A4" s="1233"/>
      <c r="B4" s="1234"/>
      <c r="C4" s="1237" t="s">
        <v>2570</v>
      </c>
      <c r="D4" s="1237" t="s">
        <v>2571</v>
      </c>
      <c r="E4" s="1242" t="s">
        <v>2572</v>
      </c>
      <c r="H4" s="1240"/>
      <c r="I4" s="1240"/>
      <c r="J4" s="1240"/>
      <c r="K4" s="335"/>
      <c r="L4" s="1240"/>
      <c r="M4" s="1240"/>
      <c r="N4" s="335"/>
      <c r="O4" s="1240"/>
      <c r="P4" s="1240"/>
      <c r="Q4" s="1240"/>
      <c r="R4" s="1240"/>
      <c r="Y4" s="329"/>
      <c r="Z4" s="329"/>
      <c r="AA4" s="329"/>
      <c r="AB4" s="329"/>
      <c r="AC4" s="329"/>
      <c r="AD4" s="329"/>
      <c r="AE4" s="329"/>
      <c r="AF4" s="329"/>
      <c r="AG4" s="157"/>
      <c r="AH4" s="157"/>
      <c r="AI4" s="157"/>
      <c r="AJ4" s="157"/>
      <c r="AK4" s="157"/>
      <c r="AL4" s="157"/>
      <c r="AM4" s="157"/>
      <c r="AN4" s="157"/>
      <c r="AO4" s="157"/>
      <c r="AP4" s="157"/>
      <c r="AQ4" s="157"/>
      <c r="AR4" s="157"/>
      <c r="AS4" s="157"/>
      <c r="AT4" s="157"/>
      <c r="AU4" s="157"/>
      <c r="AV4" s="157"/>
      <c r="AW4" s="157"/>
      <c r="AX4" s="157"/>
      <c r="AY4" s="157"/>
      <c r="AZ4" s="157"/>
      <c r="BA4" s="157"/>
      <c r="BB4" s="157"/>
      <c r="BC4" s="157"/>
      <c r="BD4" s="157"/>
      <c r="BE4" s="157"/>
      <c r="BF4" s="157"/>
      <c r="BG4" s="157"/>
      <c r="BH4" s="157"/>
      <c r="BI4" s="157"/>
      <c r="BJ4" s="157"/>
      <c r="BK4" s="157"/>
      <c r="BL4" s="157"/>
      <c r="BM4" s="157"/>
      <c r="BN4" s="157"/>
      <c r="BO4" s="157"/>
      <c r="BP4" s="157"/>
      <c r="BQ4" s="157"/>
      <c r="BR4" s="157"/>
      <c r="BS4" s="157"/>
      <c r="BT4" s="157"/>
      <c r="BU4" s="157"/>
      <c r="BV4" s="157"/>
      <c r="BW4" s="157"/>
      <c r="BX4" s="157"/>
      <c r="BY4" s="157"/>
      <c r="BZ4" s="157"/>
      <c r="CA4" s="157"/>
      <c r="CB4" s="157"/>
      <c r="CC4" s="157"/>
      <c r="CD4" s="157"/>
      <c r="CE4" s="157"/>
      <c r="CF4" s="157"/>
      <c r="CG4" s="157"/>
      <c r="CH4" s="157"/>
      <c r="CI4" s="157"/>
      <c r="CJ4" s="157"/>
      <c r="CK4" s="157"/>
      <c r="CL4" s="157"/>
      <c r="CM4" s="157"/>
      <c r="CN4" s="157"/>
      <c r="CO4" s="157"/>
      <c r="CP4" s="157"/>
      <c r="CQ4" s="157"/>
      <c r="CR4" s="157"/>
      <c r="CS4" s="157"/>
      <c r="CT4" s="157"/>
      <c r="CU4" s="157"/>
      <c r="CV4" s="157"/>
      <c r="CW4" s="157"/>
      <c r="CX4" s="157"/>
      <c r="CY4" s="157"/>
      <c r="CZ4" s="157"/>
      <c r="DA4" s="157"/>
      <c r="DB4" s="157"/>
      <c r="DC4" s="157"/>
      <c r="DD4" s="157"/>
      <c r="DE4" s="157"/>
      <c r="DF4" s="157"/>
      <c r="DG4" s="157"/>
      <c r="DH4" s="157"/>
      <c r="DI4" s="157"/>
      <c r="DJ4" s="157"/>
      <c r="DK4" s="157"/>
      <c r="DL4" s="157"/>
      <c r="DM4" s="157"/>
      <c r="DN4" s="157"/>
      <c r="DO4" s="157"/>
      <c r="DP4" s="157"/>
      <c r="DQ4" s="157"/>
      <c r="DR4" s="157"/>
      <c r="DS4" s="157"/>
      <c r="DT4" s="157"/>
      <c r="DU4" s="157"/>
      <c r="DV4" s="157"/>
      <c r="DW4" s="157"/>
      <c r="DX4" s="157"/>
      <c r="DY4" s="157"/>
      <c r="DZ4" s="157"/>
      <c r="EA4" s="157"/>
      <c r="EB4" s="157"/>
      <c r="EC4" s="157"/>
      <c r="ED4" s="157"/>
      <c r="EE4" s="157"/>
      <c r="EF4" s="157"/>
      <c r="EG4" s="157"/>
      <c r="EH4" s="157"/>
      <c r="EI4" s="157"/>
      <c r="EJ4" s="157"/>
      <c r="EK4" s="157"/>
      <c r="EL4" s="157"/>
      <c r="EM4" s="157"/>
      <c r="EN4" s="157"/>
      <c r="EO4" s="157"/>
      <c r="EP4" s="157"/>
      <c r="EQ4" s="157"/>
      <c r="ER4" s="157"/>
      <c r="ES4" s="157"/>
      <c r="ET4" s="157"/>
      <c r="EU4" s="157"/>
      <c r="EV4" s="157"/>
      <c r="EW4" s="157"/>
      <c r="EX4" s="157"/>
      <c r="EY4" s="157"/>
      <c r="EZ4" s="157"/>
      <c r="FA4" s="157"/>
      <c r="FB4" s="157"/>
      <c r="FC4" s="157"/>
      <c r="FD4" s="157"/>
      <c r="FE4" s="157"/>
      <c r="FF4" s="157"/>
      <c r="FG4" s="157"/>
      <c r="FH4" s="157"/>
      <c r="FI4" s="157"/>
      <c r="FJ4" s="157"/>
      <c r="FK4" s="157"/>
      <c r="FL4" s="157"/>
      <c r="FM4" s="157"/>
      <c r="FN4" s="157"/>
      <c r="FO4" s="157"/>
      <c r="FP4" s="157"/>
      <c r="FQ4" s="157"/>
      <c r="FR4" s="157"/>
      <c r="FS4" s="157"/>
      <c r="FT4" s="157"/>
      <c r="FU4" s="157"/>
      <c r="FV4" s="157"/>
      <c r="FW4" s="157"/>
      <c r="FX4" s="157"/>
      <c r="FY4" s="157"/>
      <c r="FZ4" s="157"/>
      <c r="GA4" s="157"/>
      <c r="GB4" s="157"/>
      <c r="GC4" s="157"/>
      <c r="GD4" s="157"/>
      <c r="GE4" s="157"/>
      <c r="GF4" s="157"/>
      <c r="GG4" s="157"/>
      <c r="GH4" s="157"/>
      <c r="GI4" s="157"/>
      <c r="GJ4" s="157"/>
      <c r="GK4" s="157"/>
      <c r="GL4" s="157"/>
      <c r="GM4" s="157"/>
      <c r="GN4" s="157"/>
      <c r="GO4" s="157"/>
      <c r="GP4" s="157"/>
      <c r="GQ4" s="157"/>
      <c r="GR4" s="157"/>
      <c r="GS4" s="157"/>
      <c r="GT4" s="157"/>
      <c r="GU4" s="157"/>
      <c r="GV4" s="157"/>
      <c r="GW4" s="157"/>
      <c r="GX4" s="157"/>
      <c r="GY4" s="157"/>
      <c r="GZ4" s="157"/>
      <c r="HA4" s="157"/>
      <c r="HB4" s="157"/>
      <c r="HC4" s="157"/>
      <c r="HD4" s="157"/>
      <c r="HE4" s="157"/>
      <c r="HF4" s="157"/>
      <c r="HG4" s="157"/>
      <c r="HH4" s="157"/>
      <c r="HI4" s="157"/>
      <c r="HJ4" s="157"/>
      <c r="HK4" s="157"/>
      <c r="HL4" s="157"/>
      <c r="HM4" s="157"/>
      <c r="HN4" s="157"/>
      <c r="HO4" s="157"/>
      <c r="HP4" s="157"/>
      <c r="HQ4" s="157"/>
      <c r="HR4" s="157"/>
      <c r="HS4" s="157"/>
      <c r="HT4" s="157"/>
      <c r="HU4" s="157"/>
      <c r="HV4" s="157"/>
      <c r="HW4" s="157"/>
      <c r="HX4" s="157"/>
      <c r="HY4" s="157"/>
      <c r="HZ4" s="157"/>
      <c r="IA4" s="157"/>
      <c r="IB4" s="157"/>
      <c r="IC4" s="157"/>
      <c r="ID4" s="157"/>
      <c r="IE4" s="157"/>
      <c r="IF4" s="157"/>
      <c r="IG4" s="157"/>
      <c r="IH4" s="157"/>
      <c r="II4" s="157"/>
      <c r="IJ4" s="157"/>
      <c r="IK4" s="157"/>
      <c r="IL4" s="157"/>
      <c r="IM4" s="157"/>
      <c r="IN4" s="157"/>
      <c r="IO4" s="157"/>
      <c r="IP4" s="157"/>
      <c r="IQ4" s="157"/>
      <c r="IR4" s="157"/>
      <c r="IS4" s="157"/>
      <c r="IT4" s="157"/>
      <c r="IU4" s="157"/>
    </row>
    <row r="5" spans="1:255" ht="9" customHeight="1">
      <c r="A5" s="1233"/>
      <c r="B5" s="1234"/>
      <c r="C5" s="1238"/>
      <c r="D5" s="1238"/>
      <c r="E5" s="1243"/>
      <c r="H5" s="1241"/>
      <c r="I5" s="1240"/>
      <c r="J5" s="1240"/>
      <c r="K5" s="1240"/>
      <c r="L5" s="1240"/>
      <c r="M5" s="1240"/>
      <c r="N5" s="1240"/>
      <c r="O5" s="1240"/>
      <c r="P5" s="1240"/>
      <c r="Q5" s="1240"/>
      <c r="R5" s="1240"/>
    </row>
    <row r="6" spans="1:255" ht="21" customHeight="1" thickBot="1">
      <c r="A6" s="1235"/>
      <c r="B6" s="1236"/>
      <c r="C6" s="1239"/>
      <c r="D6" s="1239"/>
      <c r="E6" s="1244"/>
      <c r="H6" s="1241"/>
      <c r="I6" s="1240"/>
      <c r="J6" s="1240"/>
      <c r="K6" s="1240"/>
      <c r="L6" s="1240"/>
      <c r="M6" s="1240"/>
      <c r="N6" s="1240"/>
      <c r="O6" s="1240"/>
      <c r="P6" s="1240"/>
      <c r="Q6" s="1240"/>
      <c r="R6" s="1240"/>
    </row>
    <row r="7" spans="1:255" ht="26.25" customHeight="1">
      <c r="A7" s="1258" t="s">
        <v>2653</v>
      </c>
      <c r="B7" s="336" t="s">
        <v>2501</v>
      </c>
      <c r="C7" s="310"/>
      <c r="D7" s="97"/>
      <c r="E7" s="305"/>
      <c r="H7" s="337"/>
      <c r="I7" s="338"/>
      <c r="J7" s="337"/>
      <c r="K7" s="338"/>
      <c r="L7" s="338"/>
      <c r="M7" s="337"/>
      <c r="N7" s="339"/>
      <c r="O7" s="339"/>
      <c r="P7" s="337"/>
      <c r="Q7" s="338"/>
      <c r="R7" s="337"/>
    </row>
    <row r="8" spans="1:255" ht="15" customHeight="1">
      <c r="A8" s="1259"/>
      <c r="B8" s="340" t="s">
        <v>2502</v>
      </c>
      <c r="C8" s="300"/>
      <c r="D8" s="64"/>
      <c r="E8" s="303"/>
      <c r="H8" s="337"/>
      <c r="I8" s="338"/>
      <c r="J8" s="337"/>
      <c r="K8" s="338"/>
      <c r="L8" s="338"/>
      <c r="M8" s="337"/>
      <c r="N8" s="339"/>
      <c r="O8" s="339"/>
      <c r="P8" s="337"/>
      <c r="Q8" s="338"/>
      <c r="R8" s="337"/>
    </row>
    <row r="9" spans="1:255" ht="15" customHeight="1">
      <c r="A9" s="1259"/>
      <c r="B9" s="340" t="s">
        <v>2466</v>
      </c>
      <c r="C9" s="300"/>
      <c r="D9" s="64"/>
      <c r="E9" s="303"/>
      <c r="H9" s="337"/>
      <c r="I9" s="338"/>
      <c r="J9" s="337"/>
      <c r="K9" s="338"/>
      <c r="L9" s="338"/>
      <c r="M9" s="337"/>
      <c r="N9" s="339"/>
      <c r="O9" s="339"/>
      <c r="P9" s="337"/>
      <c r="Q9" s="338"/>
      <c r="R9" s="337"/>
    </row>
    <row r="10" spans="1:255" ht="15" customHeight="1">
      <c r="A10" s="1259"/>
      <c r="B10" s="340" t="s">
        <v>2467</v>
      </c>
      <c r="C10" s="300"/>
      <c r="D10" s="64"/>
      <c r="E10" s="303"/>
      <c r="H10" s="337"/>
      <c r="I10" s="338"/>
      <c r="J10" s="337"/>
      <c r="K10" s="338"/>
      <c r="L10" s="338"/>
      <c r="M10" s="337"/>
      <c r="N10" s="339"/>
      <c r="O10" s="339"/>
      <c r="P10" s="337"/>
      <c r="Q10" s="338"/>
      <c r="R10" s="337"/>
    </row>
    <row r="11" spans="1:255" ht="15" customHeight="1">
      <c r="A11" s="1259"/>
      <c r="B11" s="340" t="s">
        <v>2468</v>
      </c>
      <c r="C11" s="300"/>
      <c r="D11" s="64"/>
      <c r="E11" s="303"/>
      <c r="F11" s="157"/>
      <c r="H11" s="337"/>
      <c r="I11" s="338"/>
      <c r="J11" s="337"/>
      <c r="K11" s="338"/>
      <c r="L11" s="338"/>
      <c r="M11" s="337"/>
      <c r="N11" s="339"/>
      <c r="O11" s="339"/>
      <c r="P11" s="337"/>
      <c r="Q11" s="338"/>
      <c r="R11" s="337"/>
    </row>
    <row r="12" spans="1:255" ht="15" customHeight="1">
      <c r="A12" s="1259"/>
      <c r="B12" s="340" t="s">
        <v>2469</v>
      </c>
      <c r="C12" s="300"/>
      <c r="D12" s="64"/>
      <c r="E12" s="303"/>
      <c r="F12" s="157"/>
      <c r="J12" s="337"/>
      <c r="K12" s="338"/>
      <c r="L12" s="338"/>
      <c r="M12" s="337"/>
      <c r="N12" s="339"/>
      <c r="O12" s="339"/>
      <c r="P12" s="337"/>
      <c r="Q12" s="338"/>
      <c r="R12" s="337"/>
    </row>
    <row r="13" spans="1:255" ht="15" customHeight="1">
      <c r="A13" s="1259"/>
      <c r="B13" s="340" t="s">
        <v>2470</v>
      </c>
      <c r="C13" s="300"/>
      <c r="D13" s="64"/>
      <c r="E13" s="303"/>
      <c r="F13" s="157"/>
      <c r="J13" s="337"/>
      <c r="K13" s="338"/>
      <c r="L13" s="338"/>
      <c r="M13" s="337"/>
      <c r="N13" s="339"/>
      <c r="O13" s="339"/>
      <c r="P13" s="337"/>
      <c r="Q13" s="338"/>
      <c r="R13" s="337"/>
      <c r="T13" s="1246" t="s">
        <v>136</v>
      </c>
      <c r="U13" s="1246"/>
      <c r="V13" s="1246"/>
      <c r="W13" s="1246"/>
      <c r="X13" s="1246"/>
      <c r="Y13" s="1246"/>
      <c r="Z13" s="1246"/>
      <c r="AA13" s="329"/>
      <c r="AB13" s="329"/>
      <c r="AC13" s="329"/>
      <c r="AD13" s="329"/>
      <c r="AE13" s="329"/>
      <c r="AF13" s="329"/>
    </row>
    <row r="14" spans="1:255" ht="15" customHeight="1">
      <c r="A14" s="1259"/>
      <c r="B14" s="340" t="s">
        <v>2471</v>
      </c>
      <c r="C14" s="300"/>
      <c r="D14" s="64"/>
      <c r="E14" s="303"/>
      <c r="F14" s="157"/>
      <c r="G14" s="650"/>
      <c r="H14" s="650"/>
      <c r="I14" s="651"/>
      <c r="J14" s="652"/>
      <c r="K14" s="653"/>
      <c r="L14" s="338"/>
      <c r="M14" s="337"/>
      <c r="N14" s="339"/>
      <c r="O14" s="339"/>
      <c r="P14" s="337"/>
      <c r="Q14" s="338"/>
      <c r="R14" s="337"/>
      <c r="T14" s="341"/>
      <c r="U14" s="341"/>
      <c r="V14" s="341" t="s">
        <v>1770</v>
      </c>
      <c r="W14" s="341" t="s">
        <v>1771</v>
      </c>
      <c r="X14" s="341" t="s">
        <v>1772</v>
      </c>
      <c r="Y14" s="341"/>
      <c r="Z14" s="329" t="s">
        <v>143</v>
      </c>
      <c r="AA14" s="341"/>
      <c r="AB14" s="341"/>
      <c r="AC14" s="341"/>
      <c r="AD14" s="341"/>
      <c r="AE14" s="341"/>
      <c r="AF14" s="341"/>
      <c r="AG14" s="341"/>
    </row>
    <row r="15" spans="1:255" ht="15" customHeight="1">
      <c r="A15" s="1259"/>
      <c r="B15" s="342" t="s">
        <v>1530</v>
      </c>
      <c r="C15" s="552">
        <f>SUM(C7:C14)</f>
        <v>0</v>
      </c>
      <c r="D15" s="553">
        <f>SUM(D7:D14)</f>
        <v>0</v>
      </c>
      <c r="E15" s="554">
        <f>SUM(E7:E14)</f>
        <v>0</v>
      </c>
      <c r="F15" s="157"/>
      <c r="G15" s="650"/>
      <c r="H15" s="650"/>
      <c r="I15" s="651"/>
      <c r="J15" s="654"/>
      <c r="K15" s="655"/>
      <c r="L15" s="344"/>
      <c r="M15" s="343"/>
      <c r="N15" s="344"/>
      <c r="O15" s="344"/>
      <c r="P15" s="343"/>
      <c r="Q15" s="343"/>
      <c r="R15" s="343"/>
      <c r="T15" s="345"/>
      <c r="U15" s="345"/>
      <c r="V15" s="346">
        <f>IF(OR(C15-C19&lt;&gt;0,C15-C47&lt;&gt;0),1,0)</f>
        <v>0</v>
      </c>
      <c r="W15" s="346">
        <f>IF(OR(D15-D19&lt;&gt;0,D15-D47&lt;&gt;0),1,0)</f>
        <v>0</v>
      </c>
      <c r="X15" s="346">
        <f>IF(OR(E15-E19&lt;&gt;0,E15-E47&lt;&gt;0),1,0)</f>
        <v>0</v>
      </c>
      <c r="Y15" s="347"/>
      <c r="Z15" s="345">
        <f>SUM(COUNTIF(V15:X15,"&lt;&gt;0"))</f>
        <v>0</v>
      </c>
      <c r="AA15" s="347"/>
      <c r="AB15" s="347"/>
      <c r="AC15" s="347"/>
      <c r="AD15" s="347"/>
      <c r="AE15" s="347"/>
      <c r="AF15" s="347"/>
      <c r="AG15" s="347"/>
    </row>
    <row r="16" spans="1:255" s="350" customFormat="1" ht="15" customHeight="1" thickBot="1">
      <c r="A16" s="1259"/>
      <c r="B16" s="348" t="s">
        <v>2503</v>
      </c>
      <c r="C16" s="308"/>
      <c r="D16" s="65"/>
      <c r="E16" s="309"/>
      <c r="F16" s="157"/>
      <c r="G16" s="650"/>
      <c r="H16" s="650"/>
      <c r="I16" s="651"/>
      <c r="J16" s="652"/>
      <c r="K16" s="656"/>
      <c r="L16" s="338"/>
      <c r="M16" s="337"/>
      <c r="N16" s="155"/>
      <c r="O16" s="338"/>
      <c r="P16" s="337"/>
      <c r="Q16" s="338"/>
      <c r="R16" s="337"/>
      <c r="S16" s="156"/>
      <c r="T16" s="329"/>
      <c r="U16" s="329"/>
      <c r="V16" s="329"/>
      <c r="W16" s="329"/>
      <c r="X16" s="329"/>
      <c r="Y16" s="349"/>
      <c r="Z16" s="349"/>
      <c r="AA16" s="349"/>
      <c r="AB16" s="349"/>
      <c r="AC16" s="349"/>
      <c r="AD16" s="349"/>
      <c r="AE16" s="349"/>
      <c r="AF16" s="349"/>
      <c r="AG16" s="158"/>
      <c r="AH16" s="158"/>
      <c r="AI16" s="158"/>
      <c r="AJ16" s="158"/>
      <c r="AK16" s="158"/>
      <c r="AL16" s="158"/>
      <c r="AM16" s="158"/>
      <c r="AN16" s="158"/>
      <c r="AO16" s="158"/>
      <c r="AP16" s="158"/>
      <c r="AQ16" s="158"/>
      <c r="AR16" s="158"/>
      <c r="AS16" s="158"/>
      <c r="AT16" s="158"/>
      <c r="AU16" s="158"/>
      <c r="AV16" s="158"/>
      <c r="AW16" s="158"/>
      <c r="AX16" s="158"/>
      <c r="AY16" s="158"/>
      <c r="AZ16" s="158"/>
      <c r="BA16" s="158"/>
      <c r="BB16" s="158"/>
      <c r="BC16" s="158"/>
      <c r="BD16" s="158"/>
      <c r="BE16" s="158"/>
      <c r="BF16" s="158"/>
      <c r="BG16" s="158"/>
      <c r="BH16" s="158"/>
      <c r="BI16" s="158"/>
      <c r="BJ16" s="158"/>
      <c r="BK16" s="158"/>
      <c r="BL16" s="158"/>
      <c r="BM16" s="158"/>
      <c r="BN16" s="158"/>
      <c r="BO16" s="158"/>
      <c r="BP16" s="158"/>
      <c r="BQ16" s="158"/>
      <c r="BR16" s="158"/>
      <c r="BS16" s="158"/>
      <c r="BT16" s="158"/>
      <c r="BU16" s="158"/>
      <c r="BV16" s="158"/>
      <c r="BW16" s="158"/>
      <c r="BX16" s="158"/>
      <c r="BY16" s="158"/>
      <c r="BZ16" s="158"/>
      <c r="CA16" s="158"/>
      <c r="CB16" s="158"/>
      <c r="CC16" s="158"/>
      <c r="CD16" s="158"/>
      <c r="CE16" s="158"/>
      <c r="CF16" s="158"/>
      <c r="CG16" s="158"/>
      <c r="CH16" s="158"/>
      <c r="CI16" s="158"/>
      <c r="CJ16" s="158"/>
      <c r="CK16" s="158"/>
      <c r="CL16" s="158"/>
      <c r="CM16" s="158"/>
      <c r="CN16" s="158"/>
      <c r="CO16" s="158"/>
      <c r="CP16" s="158"/>
      <c r="CQ16" s="158"/>
      <c r="CR16" s="158"/>
      <c r="CS16" s="158"/>
      <c r="CT16" s="158"/>
      <c r="CU16" s="158"/>
      <c r="CV16" s="158"/>
      <c r="CW16" s="158"/>
      <c r="CX16" s="158"/>
      <c r="CY16" s="158"/>
      <c r="CZ16" s="158"/>
      <c r="DA16" s="158"/>
      <c r="DB16" s="158"/>
      <c r="DC16" s="158"/>
      <c r="DD16" s="158"/>
      <c r="DE16" s="158"/>
      <c r="DF16" s="158"/>
      <c r="DG16" s="158"/>
      <c r="DH16" s="158"/>
      <c r="DI16" s="158"/>
      <c r="DJ16" s="158"/>
      <c r="DK16" s="158"/>
      <c r="DL16" s="158"/>
      <c r="DM16" s="158"/>
      <c r="DN16" s="158"/>
      <c r="DO16" s="158"/>
      <c r="DP16" s="158"/>
      <c r="DQ16" s="158"/>
      <c r="DR16" s="158"/>
      <c r="DS16" s="158"/>
      <c r="DT16" s="158"/>
      <c r="DU16" s="158"/>
      <c r="DV16" s="158"/>
      <c r="DW16" s="158"/>
      <c r="DX16" s="158"/>
      <c r="DY16" s="158"/>
      <c r="DZ16" s="158"/>
      <c r="EA16" s="158"/>
      <c r="EB16" s="158"/>
      <c r="EC16" s="158"/>
      <c r="ED16" s="158"/>
      <c r="EE16" s="158"/>
      <c r="EF16" s="158"/>
      <c r="EG16" s="158"/>
      <c r="EH16" s="158"/>
      <c r="EI16" s="158"/>
      <c r="EJ16" s="158"/>
      <c r="EK16" s="158"/>
      <c r="EL16" s="158"/>
      <c r="EM16" s="158"/>
      <c r="EN16" s="158"/>
      <c r="EO16" s="158"/>
      <c r="EP16" s="158"/>
      <c r="EQ16" s="158"/>
      <c r="ER16" s="158"/>
      <c r="ES16" s="158"/>
      <c r="ET16" s="158"/>
      <c r="EU16" s="158"/>
      <c r="EV16" s="158"/>
      <c r="EW16" s="158"/>
      <c r="EX16" s="158"/>
      <c r="EY16" s="158"/>
      <c r="EZ16" s="158"/>
      <c r="FA16" s="158"/>
      <c r="FB16" s="158"/>
      <c r="FC16" s="158"/>
      <c r="FD16" s="158"/>
      <c r="FE16" s="158"/>
      <c r="FF16" s="158"/>
      <c r="FG16" s="158"/>
      <c r="FH16" s="158"/>
      <c r="FI16" s="158"/>
      <c r="FJ16" s="158"/>
      <c r="FK16" s="158"/>
      <c r="FL16" s="158"/>
      <c r="FM16" s="158"/>
      <c r="FN16" s="158"/>
      <c r="FO16" s="158"/>
      <c r="FP16" s="158"/>
      <c r="FQ16" s="158"/>
      <c r="FR16" s="158"/>
      <c r="FS16" s="158"/>
      <c r="FT16" s="158"/>
      <c r="FU16" s="158"/>
      <c r="FV16" s="158"/>
      <c r="FW16" s="158"/>
      <c r="FX16" s="158"/>
      <c r="FY16" s="158"/>
      <c r="FZ16" s="158"/>
      <c r="GA16" s="158"/>
      <c r="GB16" s="158"/>
      <c r="GC16" s="158"/>
      <c r="GD16" s="158"/>
      <c r="GE16" s="158"/>
      <c r="GF16" s="158"/>
      <c r="GG16" s="158"/>
      <c r="GH16" s="158"/>
      <c r="GI16" s="158"/>
      <c r="GJ16" s="158"/>
      <c r="GK16" s="158"/>
      <c r="GL16" s="158"/>
      <c r="GM16" s="158"/>
      <c r="GN16" s="158"/>
      <c r="GO16" s="158"/>
      <c r="GP16" s="158"/>
      <c r="GQ16" s="158"/>
      <c r="GR16" s="158"/>
      <c r="GS16" s="158"/>
      <c r="GT16" s="158"/>
      <c r="GU16" s="158"/>
      <c r="GV16" s="158"/>
      <c r="GW16" s="158"/>
      <c r="GX16" s="158"/>
      <c r="GY16" s="158"/>
      <c r="GZ16" s="158"/>
      <c r="HA16" s="158"/>
      <c r="HB16" s="158"/>
      <c r="HC16" s="158"/>
      <c r="HD16" s="158"/>
      <c r="HE16" s="158"/>
      <c r="HF16" s="158"/>
      <c r="HG16" s="158"/>
      <c r="HH16" s="158"/>
      <c r="HI16" s="158"/>
      <c r="HJ16" s="158"/>
      <c r="HK16" s="158"/>
      <c r="HL16" s="158"/>
      <c r="HM16" s="158"/>
      <c r="HN16" s="158"/>
      <c r="HO16" s="158"/>
      <c r="HP16" s="158"/>
      <c r="HQ16" s="158"/>
      <c r="HR16" s="158"/>
      <c r="HS16" s="158"/>
      <c r="HT16" s="158"/>
      <c r="HU16" s="158"/>
      <c r="HV16" s="158"/>
      <c r="HW16" s="158"/>
      <c r="HX16" s="158"/>
      <c r="HY16" s="158"/>
      <c r="HZ16" s="158"/>
      <c r="IA16" s="158"/>
      <c r="IB16" s="158"/>
      <c r="IC16" s="158"/>
      <c r="ID16" s="158"/>
      <c r="IE16" s="158"/>
      <c r="IF16" s="158"/>
      <c r="IG16" s="158"/>
      <c r="IH16" s="158"/>
      <c r="II16" s="158"/>
      <c r="IJ16" s="158"/>
      <c r="IK16" s="158"/>
      <c r="IL16" s="158"/>
      <c r="IM16" s="158"/>
      <c r="IN16" s="158"/>
      <c r="IO16" s="158"/>
      <c r="IP16" s="158"/>
      <c r="IQ16" s="158"/>
      <c r="IR16" s="158"/>
      <c r="IS16" s="158"/>
      <c r="IT16" s="158"/>
      <c r="IU16" s="158"/>
    </row>
    <row r="17" spans="1:255" s="157" customFormat="1" ht="15" customHeight="1">
      <c r="A17" s="1259"/>
      <c r="B17" s="351" t="s">
        <v>2573</v>
      </c>
      <c r="C17" s="299"/>
      <c r="D17" s="67"/>
      <c r="E17" s="302"/>
      <c r="G17" s="650"/>
      <c r="H17" s="650"/>
      <c r="I17" s="650"/>
      <c r="J17" s="652"/>
      <c r="K17" s="400"/>
      <c r="L17" s="338"/>
      <c r="M17" s="337"/>
      <c r="N17" s="352"/>
      <c r="O17" s="338"/>
      <c r="P17" s="337"/>
      <c r="Q17" s="338"/>
      <c r="R17" s="337"/>
      <c r="S17" s="156"/>
      <c r="T17" s="329"/>
      <c r="U17" s="329"/>
      <c r="V17" s="329"/>
      <c r="W17" s="329"/>
      <c r="X17" s="329"/>
      <c r="Y17" s="328"/>
      <c r="Z17" s="328"/>
      <c r="AA17" s="328"/>
      <c r="AB17" s="328"/>
      <c r="AC17" s="328"/>
      <c r="AD17" s="328"/>
      <c r="AE17" s="328"/>
      <c r="AF17" s="328"/>
      <c r="AG17" s="156"/>
      <c r="AH17" s="156"/>
      <c r="AI17" s="156"/>
      <c r="AJ17" s="156"/>
      <c r="AK17" s="156"/>
      <c r="AL17" s="156"/>
      <c r="AM17" s="156"/>
      <c r="AN17" s="156"/>
      <c r="AO17" s="156"/>
      <c r="AP17" s="156"/>
      <c r="AQ17" s="156"/>
      <c r="AR17" s="156"/>
      <c r="AS17" s="156"/>
      <c r="AT17" s="156"/>
      <c r="AU17" s="156"/>
      <c r="AV17" s="156"/>
      <c r="AW17" s="156"/>
      <c r="AX17" s="156"/>
      <c r="AY17" s="156"/>
      <c r="AZ17" s="156"/>
      <c r="BA17" s="156"/>
      <c r="BB17" s="156"/>
      <c r="BC17" s="156"/>
      <c r="BD17" s="156"/>
      <c r="BE17" s="156"/>
      <c r="BF17" s="156"/>
      <c r="BG17" s="156"/>
      <c r="BH17" s="156"/>
      <c r="BI17" s="156"/>
      <c r="BJ17" s="156"/>
      <c r="BK17" s="156"/>
      <c r="BL17" s="156"/>
      <c r="BM17" s="156"/>
      <c r="BN17" s="156"/>
      <c r="BO17" s="156"/>
      <c r="BP17" s="156"/>
      <c r="BQ17" s="156"/>
      <c r="BR17" s="156"/>
      <c r="BS17" s="156"/>
      <c r="BT17" s="156"/>
      <c r="BU17" s="156"/>
      <c r="BV17" s="156"/>
      <c r="BW17" s="156"/>
      <c r="BX17" s="156"/>
      <c r="BY17" s="156"/>
      <c r="BZ17" s="156"/>
      <c r="CA17" s="156"/>
      <c r="CB17" s="156"/>
      <c r="CC17" s="156"/>
      <c r="CD17" s="156"/>
      <c r="CE17" s="156"/>
      <c r="CF17" s="156"/>
      <c r="CG17" s="156"/>
      <c r="CH17" s="156"/>
      <c r="CI17" s="156"/>
      <c r="CJ17" s="156"/>
      <c r="CK17" s="156"/>
      <c r="CL17" s="156"/>
      <c r="CM17" s="156"/>
      <c r="CN17" s="156"/>
      <c r="CO17" s="156"/>
      <c r="CP17" s="156"/>
      <c r="CQ17" s="156"/>
      <c r="CR17" s="156"/>
      <c r="CS17" s="156"/>
      <c r="CT17" s="156"/>
      <c r="CU17" s="156"/>
      <c r="CV17" s="156"/>
      <c r="CW17" s="156"/>
      <c r="CX17" s="156"/>
      <c r="CY17" s="156"/>
      <c r="CZ17" s="156"/>
      <c r="DA17" s="156"/>
      <c r="DB17" s="156"/>
      <c r="DC17" s="156"/>
      <c r="DD17" s="156"/>
      <c r="DE17" s="156"/>
      <c r="DF17" s="156"/>
      <c r="DG17" s="156"/>
      <c r="DH17" s="156"/>
      <c r="DI17" s="156"/>
      <c r="DJ17" s="156"/>
      <c r="DK17" s="156"/>
      <c r="DL17" s="156"/>
      <c r="DM17" s="156"/>
      <c r="DN17" s="156"/>
      <c r="DO17" s="156"/>
      <c r="DP17" s="156"/>
      <c r="DQ17" s="156"/>
      <c r="DR17" s="156"/>
      <c r="DS17" s="156"/>
      <c r="DT17" s="156"/>
      <c r="DU17" s="156"/>
      <c r="DV17" s="156"/>
      <c r="DW17" s="156"/>
      <c r="DX17" s="156"/>
      <c r="DY17" s="156"/>
      <c r="DZ17" s="156"/>
      <c r="EA17" s="156"/>
      <c r="EB17" s="156"/>
      <c r="EC17" s="156"/>
      <c r="ED17" s="156"/>
      <c r="EE17" s="156"/>
      <c r="EF17" s="156"/>
      <c r="EG17" s="156"/>
      <c r="EH17" s="156"/>
      <c r="EI17" s="156"/>
      <c r="EJ17" s="156"/>
      <c r="EK17" s="156"/>
      <c r="EL17" s="156"/>
      <c r="EM17" s="156"/>
      <c r="EN17" s="156"/>
      <c r="EO17" s="156"/>
      <c r="EP17" s="156"/>
      <c r="EQ17" s="156"/>
      <c r="ER17" s="156"/>
      <c r="ES17" s="156"/>
      <c r="ET17" s="156"/>
      <c r="EU17" s="156"/>
      <c r="EV17" s="156"/>
      <c r="EW17" s="156"/>
      <c r="EX17" s="156"/>
      <c r="EY17" s="156"/>
      <c r="EZ17" s="156"/>
      <c r="FA17" s="156"/>
      <c r="FB17" s="156"/>
      <c r="FC17" s="156"/>
      <c r="FD17" s="156"/>
      <c r="FE17" s="156"/>
      <c r="FF17" s="156"/>
      <c r="FG17" s="156"/>
      <c r="FH17" s="156"/>
      <c r="FI17" s="156"/>
      <c r="FJ17" s="156"/>
      <c r="FK17" s="156"/>
      <c r="FL17" s="156"/>
      <c r="FM17" s="156"/>
      <c r="FN17" s="156"/>
      <c r="FO17" s="156"/>
      <c r="FP17" s="156"/>
      <c r="FQ17" s="156"/>
      <c r="FR17" s="156"/>
      <c r="FS17" s="156"/>
      <c r="FT17" s="156"/>
      <c r="FU17" s="156"/>
      <c r="FV17" s="156"/>
      <c r="FW17" s="156"/>
      <c r="FX17" s="156"/>
      <c r="FY17" s="156"/>
      <c r="FZ17" s="156"/>
      <c r="GA17" s="156"/>
      <c r="GB17" s="156"/>
      <c r="GC17" s="156"/>
      <c r="GD17" s="156"/>
      <c r="GE17" s="156"/>
      <c r="GF17" s="156"/>
      <c r="GG17" s="156"/>
      <c r="GH17" s="156"/>
      <c r="GI17" s="156"/>
      <c r="GJ17" s="156"/>
      <c r="GK17" s="156"/>
      <c r="GL17" s="156"/>
      <c r="GM17" s="156"/>
      <c r="GN17" s="156"/>
      <c r="GO17" s="156"/>
      <c r="GP17" s="156"/>
      <c r="GQ17" s="156"/>
      <c r="GR17" s="156"/>
      <c r="GS17" s="156"/>
      <c r="GT17" s="156"/>
      <c r="GU17" s="156"/>
      <c r="GV17" s="156"/>
      <c r="GW17" s="156"/>
      <c r="GX17" s="156"/>
      <c r="GY17" s="156"/>
      <c r="GZ17" s="156"/>
      <c r="HA17" s="156"/>
      <c r="HB17" s="156"/>
      <c r="HC17" s="156"/>
      <c r="HD17" s="156"/>
      <c r="HE17" s="156"/>
      <c r="HF17" s="156"/>
      <c r="HG17" s="156"/>
      <c r="HH17" s="156"/>
      <c r="HI17" s="156"/>
      <c r="HJ17" s="156"/>
      <c r="HK17" s="156"/>
      <c r="HL17" s="156"/>
      <c r="HM17" s="156"/>
      <c r="HN17" s="156"/>
      <c r="HO17" s="156"/>
      <c r="HP17" s="156"/>
      <c r="HQ17" s="156"/>
      <c r="HR17" s="156"/>
      <c r="HS17" s="156"/>
      <c r="HT17" s="156"/>
      <c r="HU17" s="156"/>
      <c r="HV17" s="156"/>
      <c r="HW17" s="156"/>
      <c r="HX17" s="156"/>
      <c r="HY17" s="156"/>
      <c r="HZ17" s="156"/>
      <c r="IA17" s="156"/>
      <c r="IB17" s="156"/>
      <c r="IC17" s="156"/>
      <c r="ID17" s="156"/>
      <c r="IE17" s="156"/>
      <c r="IF17" s="156"/>
      <c r="IG17" s="156"/>
      <c r="IH17" s="156"/>
      <c r="II17" s="156"/>
      <c r="IJ17" s="156"/>
      <c r="IK17" s="156"/>
      <c r="IL17" s="156"/>
      <c r="IM17" s="156"/>
      <c r="IN17" s="156"/>
      <c r="IO17" s="156"/>
      <c r="IP17" s="156"/>
      <c r="IQ17" s="156"/>
      <c r="IR17" s="156"/>
      <c r="IS17" s="156"/>
      <c r="IT17" s="156"/>
      <c r="IU17" s="156"/>
    </row>
    <row r="18" spans="1:255" s="157" customFormat="1" ht="15" customHeight="1">
      <c r="A18" s="1259"/>
      <c r="B18" s="336" t="s">
        <v>2574</v>
      </c>
      <c r="C18" s="300"/>
      <c r="D18" s="64"/>
      <c r="E18" s="303"/>
      <c r="G18" s="650"/>
      <c r="H18" s="650"/>
      <c r="I18" s="650"/>
      <c r="J18" s="652"/>
      <c r="K18" s="400"/>
      <c r="L18" s="338"/>
      <c r="M18" s="337"/>
      <c r="N18" s="352"/>
      <c r="O18" s="338"/>
      <c r="P18" s="337"/>
      <c r="Q18" s="338"/>
      <c r="R18" s="337"/>
      <c r="S18" s="156"/>
      <c r="T18" s="1245" t="s">
        <v>149</v>
      </c>
      <c r="U18" s="1245"/>
      <c r="V18" s="1245"/>
      <c r="W18" s="1245"/>
      <c r="X18" s="1245"/>
      <c r="Y18" s="1245"/>
      <c r="Z18" s="1245"/>
      <c r="AA18" s="1245"/>
      <c r="AB18" s="1245"/>
      <c r="AC18" s="1245"/>
      <c r="AD18" s="328"/>
      <c r="AE18" s="328"/>
      <c r="AF18" s="328"/>
      <c r="AG18" s="156"/>
      <c r="AH18" s="156"/>
      <c r="AI18" s="156"/>
      <c r="AJ18" s="156"/>
      <c r="AK18" s="156"/>
      <c r="AL18" s="156"/>
      <c r="AM18" s="156"/>
      <c r="AN18" s="156"/>
      <c r="AO18" s="156"/>
      <c r="AP18" s="156"/>
      <c r="AQ18" s="156"/>
      <c r="AR18" s="156"/>
      <c r="AS18" s="156"/>
      <c r="AT18" s="156"/>
      <c r="AU18" s="156"/>
      <c r="AV18" s="156"/>
      <c r="AW18" s="156"/>
      <c r="AX18" s="156"/>
      <c r="AY18" s="156"/>
      <c r="AZ18" s="156"/>
      <c r="BA18" s="156"/>
      <c r="BB18" s="156"/>
      <c r="BC18" s="156"/>
      <c r="BD18" s="156"/>
      <c r="BE18" s="156"/>
      <c r="BF18" s="156"/>
      <c r="BG18" s="156"/>
      <c r="BH18" s="156"/>
      <c r="BI18" s="156"/>
      <c r="BJ18" s="156"/>
      <c r="BK18" s="156"/>
      <c r="BL18" s="156"/>
      <c r="BM18" s="156"/>
      <c r="BN18" s="156"/>
      <c r="BO18" s="156"/>
      <c r="BP18" s="156"/>
      <c r="BQ18" s="156"/>
      <c r="BR18" s="156"/>
      <c r="BS18" s="156"/>
      <c r="BT18" s="156"/>
      <c r="BU18" s="156"/>
      <c r="BV18" s="156"/>
      <c r="BW18" s="156"/>
      <c r="BX18" s="156"/>
      <c r="BY18" s="156"/>
      <c r="BZ18" s="156"/>
      <c r="CA18" s="156"/>
      <c r="CB18" s="156"/>
      <c r="CC18" s="156"/>
      <c r="CD18" s="156"/>
      <c r="CE18" s="156"/>
      <c r="CF18" s="156"/>
      <c r="CG18" s="156"/>
      <c r="CH18" s="156"/>
      <c r="CI18" s="156"/>
      <c r="CJ18" s="156"/>
      <c r="CK18" s="156"/>
      <c r="CL18" s="156"/>
      <c r="CM18" s="156"/>
      <c r="CN18" s="156"/>
      <c r="CO18" s="156"/>
      <c r="CP18" s="156"/>
      <c r="CQ18" s="156"/>
      <c r="CR18" s="156"/>
      <c r="CS18" s="156"/>
      <c r="CT18" s="156"/>
      <c r="CU18" s="156"/>
      <c r="CV18" s="156"/>
      <c r="CW18" s="156"/>
      <c r="CX18" s="156"/>
      <c r="CY18" s="156"/>
      <c r="CZ18" s="156"/>
      <c r="DA18" s="156"/>
      <c r="DB18" s="156"/>
      <c r="DC18" s="156"/>
      <c r="DD18" s="156"/>
      <c r="DE18" s="156"/>
      <c r="DF18" s="156"/>
      <c r="DG18" s="156"/>
      <c r="DH18" s="156"/>
      <c r="DI18" s="156"/>
      <c r="DJ18" s="156"/>
      <c r="DK18" s="156"/>
      <c r="DL18" s="156"/>
      <c r="DM18" s="156"/>
      <c r="DN18" s="156"/>
      <c r="DO18" s="156"/>
      <c r="DP18" s="156"/>
      <c r="DQ18" s="156"/>
      <c r="DR18" s="156"/>
      <c r="DS18" s="156"/>
      <c r="DT18" s="156"/>
      <c r="DU18" s="156"/>
      <c r="DV18" s="156"/>
      <c r="DW18" s="156"/>
      <c r="DX18" s="156"/>
      <c r="DY18" s="156"/>
      <c r="DZ18" s="156"/>
      <c r="EA18" s="156"/>
      <c r="EB18" s="156"/>
      <c r="EC18" s="156"/>
      <c r="ED18" s="156"/>
      <c r="EE18" s="156"/>
      <c r="EF18" s="156"/>
      <c r="EG18" s="156"/>
      <c r="EH18" s="156"/>
      <c r="EI18" s="156"/>
      <c r="EJ18" s="156"/>
      <c r="EK18" s="156"/>
      <c r="EL18" s="156"/>
      <c r="EM18" s="156"/>
      <c r="EN18" s="156"/>
      <c r="EO18" s="156"/>
      <c r="EP18" s="156"/>
      <c r="EQ18" s="156"/>
      <c r="ER18" s="156"/>
      <c r="ES18" s="156"/>
      <c r="ET18" s="156"/>
      <c r="EU18" s="156"/>
      <c r="EV18" s="156"/>
      <c r="EW18" s="156"/>
      <c r="EX18" s="156"/>
      <c r="EY18" s="156"/>
      <c r="EZ18" s="156"/>
      <c r="FA18" s="156"/>
      <c r="FB18" s="156"/>
      <c r="FC18" s="156"/>
      <c r="FD18" s="156"/>
      <c r="FE18" s="156"/>
      <c r="FF18" s="156"/>
      <c r="FG18" s="156"/>
      <c r="FH18" s="156"/>
      <c r="FI18" s="156"/>
      <c r="FJ18" s="156"/>
      <c r="FK18" s="156"/>
      <c r="FL18" s="156"/>
      <c r="FM18" s="156"/>
      <c r="FN18" s="156"/>
      <c r="FO18" s="156"/>
      <c r="FP18" s="156"/>
      <c r="FQ18" s="156"/>
      <c r="FR18" s="156"/>
      <c r="FS18" s="156"/>
      <c r="FT18" s="156"/>
      <c r="FU18" s="156"/>
      <c r="FV18" s="156"/>
      <c r="FW18" s="156"/>
      <c r="FX18" s="156"/>
      <c r="FY18" s="156"/>
      <c r="FZ18" s="156"/>
      <c r="GA18" s="156"/>
      <c r="GB18" s="156"/>
      <c r="GC18" s="156"/>
      <c r="GD18" s="156"/>
      <c r="GE18" s="156"/>
      <c r="GF18" s="156"/>
      <c r="GG18" s="156"/>
      <c r="GH18" s="156"/>
      <c r="GI18" s="156"/>
      <c r="GJ18" s="156"/>
      <c r="GK18" s="156"/>
      <c r="GL18" s="156"/>
      <c r="GM18" s="156"/>
      <c r="GN18" s="156"/>
      <c r="GO18" s="156"/>
      <c r="GP18" s="156"/>
      <c r="GQ18" s="156"/>
      <c r="GR18" s="156"/>
      <c r="GS18" s="156"/>
      <c r="GT18" s="156"/>
      <c r="GU18" s="156"/>
      <c r="GV18" s="156"/>
      <c r="GW18" s="156"/>
      <c r="GX18" s="156"/>
      <c r="GY18" s="156"/>
      <c r="GZ18" s="156"/>
      <c r="HA18" s="156"/>
      <c r="HB18" s="156"/>
      <c r="HC18" s="156"/>
      <c r="HD18" s="156"/>
      <c r="HE18" s="156"/>
      <c r="HF18" s="156"/>
      <c r="HG18" s="156"/>
      <c r="HH18" s="156"/>
      <c r="HI18" s="156"/>
      <c r="HJ18" s="156"/>
      <c r="HK18" s="156"/>
      <c r="HL18" s="156"/>
      <c r="HM18" s="156"/>
      <c r="HN18" s="156"/>
      <c r="HO18" s="156"/>
      <c r="HP18" s="156"/>
      <c r="HQ18" s="156"/>
      <c r="HR18" s="156"/>
      <c r="HS18" s="156"/>
      <c r="HT18" s="156"/>
      <c r="HU18" s="156"/>
      <c r="HV18" s="156"/>
      <c r="HW18" s="156"/>
      <c r="HX18" s="156"/>
      <c r="HY18" s="156"/>
      <c r="HZ18" s="156"/>
      <c r="IA18" s="156"/>
      <c r="IB18" s="156"/>
      <c r="IC18" s="156"/>
      <c r="ID18" s="156"/>
      <c r="IE18" s="156"/>
      <c r="IF18" s="156"/>
      <c r="IG18" s="156"/>
      <c r="IH18" s="156"/>
      <c r="II18" s="156"/>
      <c r="IJ18" s="156"/>
      <c r="IK18" s="156"/>
      <c r="IL18" s="156"/>
      <c r="IM18" s="156"/>
      <c r="IN18" s="156"/>
      <c r="IO18" s="156"/>
      <c r="IP18" s="156"/>
      <c r="IQ18" s="156"/>
      <c r="IR18" s="156"/>
      <c r="IS18" s="156"/>
      <c r="IT18" s="156"/>
      <c r="IU18" s="156"/>
    </row>
    <row r="19" spans="1:255" s="355" customFormat="1" ht="26.25" thickBot="1">
      <c r="A19" s="1259"/>
      <c r="B19" s="353" t="s">
        <v>1530</v>
      </c>
      <c r="C19" s="555">
        <f>ROUND(SUM(C17:C18),2)</f>
        <v>0</v>
      </c>
      <c r="D19" s="556">
        <f>SUM(D17:D18)</f>
        <v>0</v>
      </c>
      <c r="E19" s="557">
        <f>SUM(E17:E18)</f>
        <v>0</v>
      </c>
      <c r="F19" s="1249" t="str">
        <f>IF(X20=1,"Die blaue Markierung verschwindet, sobald die Angaben für diese Leistung sowohl in der Kostenrechnung als auch in der Leistungstatistik vorhanden sind.","")</f>
        <v/>
      </c>
      <c r="G19" s="1250"/>
      <c r="H19" s="343"/>
      <c r="I19" s="344"/>
      <c r="J19" s="343"/>
      <c r="K19" s="354"/>
      <c r="L19" s="344"/>
      <c r="M19" s="343"/>
      <c r="N19" s="354"/>
      <c r="O19" s="344"/>
      <c r="P19" s="343"/>
      <c r="Q19" s="343"/>
      <c r="R19" s="343"/>
      <c r="S19" s="156"/>
      <c r="T19" s="328"/>
      <c r="U19" s="328" t="s">
        <v>1029</v>
      </c>
      <c r="V19" s="328" t="s">
        <v>1025</v>
      </c>
      <c r="W19" s="328"/>
      <c r="X19" s="157"/>
      <c r="Y19" s="328"/>
      <c r="Z19" s="328"/>
      <c r="AA19" s="328"/>
      <c r="AB19" s="328"/>
      <c r="AC19" s="328"/>
      <c r="AD19" s="328"/>
      <c r="AE19" s="329"/>
      <c r="AF19" s="328"/>
      <c r="AG19" s="156"/>
      <c r="AH19" s="156"/>
      <c r="AI19" s="156"/>
      <c r="AJ19" s="156"/>
      <c r="AK19" s="156"/>
      <c r="AL19" s="156"/>
      <c r="AM19" s="156"/>
      <c r="AN19" s="156"/>
      <c r="AO19" s="156"/>
      <c r="AP19" s="156"/>
      <c r="AQ19" s="156"/>
      <c r="AR19" s="156"/>
      <c r="AS19" s="156"/>
      <c r="AT19" s="156"/>
      <c r="AU19" s="156"/>
      <c r="AV19" s="156"/>
      <c r="AW19" s="156"/>
      <c r="AX19" s="156"/>
      <c r="AY19" s="156"/>
      <c r="AZ19" s="156"/>
      <c r="BA19" s="156"/>
      <c r="BB19" s="156"/>
      <c r="BC19" s="156"/>
      <c r="BD19" s="156"/>
      <c r="BE19" s="156"/>
      <c r="BF19" s="156"/>
      <c r="BG19" s="156"/>
      <c r="BH19" s="156"/>
      <c r="BI19" s="156"/>
      <c r="BJ19" s="156"/>
      <c r="BK19" s="156"/>
      <c r="BL19" s="156"/>
      <c r="BM19" s="156"/>
      <c r="BN19" s="156"/>
      <c r="BO19" s="156"/>
      <c r="BP19" s="156"/>
      <c r="BQ19" s="156"/>
      <c r="BR19" s="156"/>
      <c r="BS19" s="156"/>
      <c r="BT19" s="156"/>
      <c r="BU19" s="156"/>
      <c r="BV19" s="156"/>
      <c r="BW19" s="156"/>
      <c r="BX19" s="156"/>
      <c r="BY19" s="156"/>
      <c r="BZ19" s="156"/>
      <c r="CA19" s="156"/>
      <c r="CB19" s="156"/>
      <c r="CC19" s="156"/>
      <c r="CD19" s="156"/>
      <c r="CE19" s="156"/>
      <c r="CF19" s="156"/>
      <c r="CG19" s="156"/>
      <c r="CH19" s="156"/>
      <c r="CI19" s="156"/>
      <c r="CJ19" s="156"/>
      <c r="CK19" s="156"/>
      <c r="CL19" s="156"/>
      <c r="CM19" s="156"/>
      <c r="CN19" s="156"/>
      <c r="CO19" s="156"/>
      <c r="CP19" s="156"/>
      <c r="CQ19" s="156"/>
      <c r="CR19" s="156"/>
      <c r="CS19" s="156"/>
      <c r="CT19" s="156"/>
      <c r="CU19" s="156"/>
      <c r="CV19" s="156"/>
      <c r="CW19" s="156"/>
      <c r="CX19" s="156"/>
      <c r="CY19" s="156"/>
      <c r="CZ19" s="156"/>
      <c r="DA19" s="156"/>
      <c r="DB19" s="156"/>
      <c r="DC19" s="156"/>
      <c r="DD19" s="156"/>
      <c r="DE19" s="156"/>
      <c r="DF19" s="156"/>
      <c r="DG19" s="156"/>
      <c r="DH19" s="156"/>
      <c r="DI19" s="156"/>
      <c r="DJ19" s="156"/>
      <c r="DK19" s="156"/>
      <c r="DL19" s="156"/>
      <c r="DM19" s="156"/>
      <c r="DN19" s="156"/>
      <c r="DO19" s="156"/>
      <c r="DP19" s="156"/>
      <c r="DQ19" s="156"/>
      <c r="DR19" s="156"/>
      <c r="DS19" s="156"/>
      <c r="DT19" s="156"/>
      <c r="DU19" s="156"/>
      <c r="DV19" s="156"/>
      <c r="DW19" s="156"/>
      <c r="DX19" s="156"/>
      <c r="DY19" s="156"/>
      <c r="DZ19" s="156"/>
      <c r="EA19" s="156"/>
      <c r="EB19" s="156"/>
      <c r="EC19" s="156"/>
      <c r="ED19" s="156"/>
      <c r="EE19" s="156"/>
      <c r="EF19" s="156"/>
      <c r="EG19" s="156"/>
      <c r="EH19" s="156"/>
      <c r="EI19" s="156"/>
      <c r="EJ19" s="156"/>
      <c r="EK19" s="156"/>
      <c r="EL19" s="156"/>
      <c r="EM19" s="156"/>
      <c r="EN19" s="156"/>
      <c r="EO19" s="156"/>
      <c r="EP19" s="156"/>
      <c r="EQ19" s="156"/>
      <c r="ER19" s="156"/>
      <c r="ES19" s="156"/>
      <c r="ET19" s="156"/>
      <c r="EU19" s="156"/>
      <c r="EV19" s="156"/>
      <c r="EW19" s="156"/>
      <c r="EX19" s="156"/>
      <c r="EY19" s="156"/>
      <c r="EZ19" s="156"/>
      <c r="FA19" s="156"/>
      <c r="FB19" s="156"/>
      <c r="FC19" s="156"/>
      <c r="FD19" s="156"/>
      <c r="FE19" s="156"/>
      <c r="FF19" s="156"/>
      <c r="FG19" s="156"/>
      <c r="FH19" s="156"/>
      <c r="FI19" s="156"/>
      <c r="FJ19" s="156"/>
      <c r="FK19" s="156"/>
      <c r="FL19" s="156"/>
      <c r="FM19" s="156"/>
      <c r="FN19" s="156"/>
      <c r="FO19" s="156"/>
      <c r="FP19" s="156"/>
      <c r="FQ19" s="156"/>
      <c r="FR19" s="156"/>
      <c r="FS19" s="156"/>
      <c r="FT19" s="156"/>
      <c r="FU19" s="156"/>
      <c r="FV19" s="156"/>
      <c r="FW19" s="156"/>
      <c r="FX19" s="156"/>
      <c r="FY19" s="156"/>
      <c r="FZ19" s="156"/>
      <c r="GA19" s="156"/>
      <c r="GB19" s="156"/>
      <c r="GC19" s="156"/>
      <c r="GD19" s="156"/>
      <c r="GE19" s="156"/>
      <c r="GF19" s="156"/>
      <c r="GG19" s="156"/>
      <c r="GH19" s="156"/>
      <c r="GI19" s="156"/>
      <c r="GJ19" s="156"/>
      <c r="GK19" s="156"/>
      <c r="GL19" s="156"/>
      <c r="GM19" s="156"/>
      <c r="GN19" s="156"/>
      <c r="GO19" s="156"/>
      <c r="GP19" s="156"/>
      <c r="GQ19" s="156"/>
      <c r="GR19" s="156"/>
      <c r="GS19" s="156"/>
      <c r="GT19" s="156"/>
      <c r="GU19" s="156"/>
      <c r="GV19" s="156"/>
      <c r="GW19" s="156"/>
      <c r="GX19" s="156"/>
      <c r="GY19" s="156"/>
      <c r="GZ19" s="156"/>
      <c r="HA19" s="156"/>
      <c r="HB19" s="156"/>
      <c r="HC19" s="156"/>
      <c r="HD19" s="156"/>
      <c r="HE19" s="156"/>
      <c r="HF19" s="156"/>
      <c r="HG19" s="156"/>
      <c r="HH19" s="156"/>
      <c r="HI19" s="156"/>
      <c r="HJ19" s="156"/>
      <c r="HK19" s="156"/>
      <c r="HL19" s="156"/>
      <c r="HM19" s="156"/>
      <c r="HN19" s="156"/>
      <c r="HO19" s="156"/>
      <c r="HP19" s="156"/>
      <c r="HQ19" s="156"/>
      <c r="HR19" s="156"/>
      <c r="HS19" s="156"/>
      <c r="HT19" s="156"/>
      <c r="HU19" s="156"/>
      <c r="HV19" s="156"/>
      <c r="HW19" s="156"/>
      <c r="HX19" s="156"/>
      <c r="HY19" s="156"/>
      <c r="HZ19" s="156"/>
      <c r="IA19" s="156"/>
      <c r="IB19" s="156"/>
      <c r="IC19" s="156"/>
      <c r="ID19" s="156"/>
      <c r="IE19" s="156"/>
      <c r="IF19" s="156"/>
      <c r="IG19" s="156"/>
      <c r="IH19" s="156"/>
      <c r="II19" s="156"/>
      <c r="IJ19" s="156"/>
      <c r="IK19" s="156"/>
      <c r="IL19" s="156"/>
      <c r="IM19" s="156"/>
      <c r="IN19" s="156"/>
      <c r="IO19" s="156"/>
      <c r="IP19" s="156"/>
      <c r="IQ19" s="156"/>
      <c r="IR19" s="156"/>
      <c r="IS19" s="156"/>
      <c r="IT19" s="156"/>
      <c r="IU19" s="156"/>
    </row>
    <row r="20" spans="1:255" s="157" customFormat="1" ht="15.75" thickBot="1">
      <c r="A20" s="1254" t="s">
        <v>2576</v>
      </c>
      <c r="B20" s="1255"/>
      <c r="C20" s="141"/>
      <c r="D20" s="141"/>
      <c r="E20" s="142"/>
      <c r="F20" s="1249"/>
      <c r="G20" s="1250"/>
      <c r="H20" s="343"/>
      <c r="I20" s="344"/>
      <c r="J20" s="343"/>
      <c r="K20" s="354"/>
      <c r="L20" s="344"/>
      <c r="M20" s="343"/>
      <c r="N20" s="354"/>
      <c r="O20" s="344"/>
      <c r="P20" s="343"/>
      <c r="Q20" s="343"/>
      <c r="R20" s="343"/>
      <c r="S20" s="156"/>
      <c r="T20" s="328"/>
      <c r="U20" s="358">
        <f>'Kostenrechnung konsolidiert'!W18</f>
        <v>0</v>
      </c>
      <c r="V20" s="358">
        <f>E15</f>
        <v>0</v>
      </c>
      <c r="W20" s="328"/>
      <c r="X20" s="157">
        <f>COUNTIF(U20:V20,"&gt;0")</f>
        <v>0</v>
      </c>
      <c r="Y20" s="328"/>
      <c r="Z20" s="328"/>
      <c r="AA20" s="328"/>
      <c r="AB20" s="328"/>
      <c r="AC20" s="328"/>
      <c r="AD20" s="328"/>
      <c r="AE20" s="329"/>
      <c r="AF20" s="328"/>
      <c r="AG20" s="156"/>
      <c r="AH20" s="156"/>
      <c r="AI20" s="156"/>
      <c r="AJ20" s="156"/>
      <c r="AK20" s="156"/>
      <c r="AL20" s="156"/>
      <c r="AM20" s="156"/>
      <c r="AN20" s="156"/>
      <c r="AO20" s="156"/>
      <c r="AP20" s="156"/>
      <c r="AQ20" s="156"/>
      <c r="AR20" s="156"/>
      <c r="AS20" s="156"/>
      <c r="AT20" s="156"/>
      <c r="AU20" s="156"/>
      <c r="AV20" s="156"/>
      <c r="AW20" s="156"/>
      <c r="AX20" s="156"/>
      <c r="AY20" s="156"/>
      <c r="AZ20" s="156"/>
      <c r="BA20" s="156"/>
      <c r="BB20" s="156"/>
      <c r="BC20" s="156"/>
      <c r="BD20" s="156"/>
      <c r="BE20" s="156"/>
      <c r="BF20" s="156"/>
      <c r="BG20" s="156"/>
      <c r="BH20" s="156"/>
      <c r="BI20" s="156"/>
      <c r="BJ20" s="156"/>
      <c r="BK20" s="156"/>
      <c r="BL20" s="156"/>
      <c r="BM20" s="156"/>
      <c r="BN20" s="156"/>
      <c r="BO20" s="156"/>
      <c r="BP20" s="156"/>
      <c r="BQ20" s="156"/>
      <c r="BR20" s="156"/>
      <c r="BS20" s="156"/>
      <c r="BT20" s="156"/>
      <c r="BU20" s="156"/>
      <c r="BV20" s="156"/>
      <c r="BW20" s="156"/>
      <c r="BX20" s="156"/>
      <c r="BY20" s="156"/>
      <c r="BZ20" s="156"/>
      <c r="CA20" s="156"/>
      <c r="CB20" s="156"/>
      <c r="CC20" s="156"/>
      <c r="CD20" s="156"/>
      <c r="CE20" s="156"/>
      <c r="CF20" s="156"/>
      <c r="CG20" s="156"/>
      <c r="CH20" s="156"/>
      <c r="CI20" s="156"/>
      <c r="CJ20" s="156"/>
      <c r="CK20" s="156"/>
      <c r="CL20" s="156"/>
      <c r="CM20" s="156"/>
      <c r="CN20" s="156"/>
      <c r="CO20" s="156"/>
      <c r="CP20" s="156"/>
      <c r="CQ20" s="156"/>
      <c r="CR20" s="156"/>
      <c r="CS20" s="156"/>
      <c r="CT20" s="156"/>
      <c r="CU20" s="156"/>
      <c r="CV20" s="156"/>
      <c r="CW20" s="156"/>
      <c r="CX20" s="156"/>
      <c r="CY20" s="156"/>
      <c r="CZ20" s="156"/>
      <c r="DA20" s="156"/>
      <c r="DB20" s="156"/>
      <c r="DC20" s="156"/>
      <c r="DD20" s="156"/>
      <c r="DE20" s="156"/>
      <c r="DF20" s="156"/>
      <c r="DG20" s="156"/>
      <c r="DH20" s="156"/>
      <c r="DI20" s="156"/>
      <c r="DJ20" s="156"/>
      <c r="DK20" s="156"/>
      <c r="DL20" s="156"/>
      <c r="DM20" s="156"/>
      <c r="DN20" s="156"/>
      <c r="DO20" s="156"/>
      <c r="DP20" s="156"/>
      <c r="DQ20" s="156"/>
      <c r="DR20" s="156"/>
      <c r="DS20" s="156"/>
      <c r="DT20" s="156"/>
      <c r="DU20" s="156"/>
      <c r="DV20" s="156"/>
      <c r="DW20" s="156"/>
      <c r="DX20" s="156"/>
      <c r="DY20" s="156"/>
      <c r="DZ20" s="156"/>
      <c r="EA20" s="156"/>
      <c r="EB20" s="156"/>
      <c r="EC20" s="156"/>
      <c r="ED20" s="156"/>
      <c r="EE20" s="156"/>
      <c r="EF20" s="156"/>
      <c r="EG20" s="156"/>
      <c r="EH20" s="156"/>
      <c r="EI20" s="156"/>
      <c r="EJ20" s="156"/>
      <c r="EK20" s="156"/>
      <c r="EL20" s="156"/>
      <c r="EM20" s="156"/>
      <c r="EN20" s="156"/>
      <c r="EO20" s="156"/>
      <c r="EP20" s="156"/>
      <c r="EQ20" s="156"/>
      <c r="ER20" s="156"/>
      <c r="ES20" s="156"/>
      <c r="ET20" s="156"/>
      <c r="EU20" s="156"/>
      <c r="EV20" s="156"/>
      <c r="EW20" s="156"/>
      <c r="EX20" s="156"/>
      <c r="EY20" s="156"/>
      <c r="EZ20" s="156"/>
      <c r="FA20" s="156"/>
      <c r="FB20" s="156"/>
      <c r="FC20" s="156"/>
      <c r="FD20" s="156"/>
      <c r="FE20" s="156"/>
      <c r="FF20" s="156"/>
      <c r="FG20" s="156"/>
      <c r="FH20" s="156"/>
      <c r="FI20" s="156"/>
      <c r="FJ20" s="156"/>
      <c r="FK20" s="156"/>
      <c r="FL20" s="156"/>
      <c r="FM20" s="156"/>
      <c r="FN20" s="156"/>
      <c r="FO20" s="156"/>
      <c r="FP20" s="156"/>
      <c r="FQ20" s="156"/>
      <c r="FR20" s="156"/>
      <c r="FS20" s="156"/>
      <c r="FT20" s="156"/>
      <c r="FU20" s="156"/>
      <c r="FV20" s="156"/>
      <c r="FW20" s="156"/>
      <c r="FX20" s="156"/>
      <c r="FY20" s="156"/>
      <c r="FZ20" s="156"/>
      <c r="GA20" s="156"/>
      <c r="GB20" s="156"/>
      <c r="GC20" s="156"/>
      <c r="GD20" s="156"/>
      <c r="GE20" s="156"/>
      <c r="GF20" s="156"/>
      <c r="GG20" s="156"/>
      <c r="GH20" s="156"/>
      <c r="GI20" s="156"/>
      <c r="GJ20" s="156"/>
      <c r="GK20" s="156"/>
      <c r="GL20" s="156"/>
      <c r="GM20" s="156"/>
      <c r="GN20" s="156"/>
      <c r="GO20" s="156"/>
      <c r="GP20" s="156"/>
      <c r="GQ20" s="156"/>
      <c r="GR20" s="156"/>
      <c r="GS20" s="156"/>
      <c r="GT20" s="156"/>
      <c r="GU20" s="156"/>
      <c r="GV20" s="156"/>
      <c r="GW20" s="156"/>
      <c r="GX20" s="156"/>
      <c r="GY20" s="156"/>
      <c r="GZ20" s="156"/>
      <c r="HA20" s="156"/>
      <c r="HB20" s="156"/>
      <c r="HC20" s="156"/>
      <c r="HD20" s="156"/>
      <c r="HE20" s="156"/>
      <c r="HF20" s="156"/>
      <c r="HG20" s="156"/>
      <c r="HH20" s="156"/>
      <c r="HI20" s="156"/>
      <c r="HJ20" s="156"/>
      <c r="HK20" s="156"/>
      <c r="HL20" s="156"/>
      <c r="HM20" s="156"/>
      <c r="HN20" s="156"/>
      <c r="HO20" s="156"/>
      <c r="HP20" s="156"/>
      <c r="HQ20" s="156"/>
      <c r="HR20" s="156"/>
      <c r="HS20" s="156"/>
      <c r="HT20" s="156"/>
      <c r="HU20" s="156"/>
      <c r="HV20" s="156"/>
      <c r="HW20" s="156"/>
      <c r="HX20" s="156"/>
      <c r="HY20" s="156"/>
      <c r="HZ20" s="156"/>
      <c r="IA20" s="156"/>
      <c r="IB20" s="156"/>
      <c r="IC20" s="156"/>
      <c r="ID20" s="156"/>
      <c r="IE20" s="156"/>
      <c r="IF20" s="156"/>
      <c r="IG20" s="156"/>
      <c r="IH20" s="156"/>
      <c r="II20" s="156"/>
      <c r="IJ20" s="156"/>
      <c r="IK20" s="156"/>
      <c r="IL20" s="156"/>
      <c r="IM20" s="156"/>
      <c r="IN20" s="156"/>
      <c r="IO20" s="156"/>
      <c r="IP20" s="156"/>
      <c r="IQ20" s="156"/>
      <c r="IR20" s="156"/>
      <c r="IS20" s="156"/>
      <c r="IT20" s="156"/>
      <c r="IU20" s="156"/>
    </row>
    <row r="21" spans="1:255" s="158" customFormat="1" ht="15" customHeight="1">
      <c r="A21" s="1258" t="s">
        <v>2653</v>
      </c>
      <c r="B21" s="356" t="s">
        <v>1741</v>
      </c>
      <c r="C21" s="310"/>
      <c r="D21" s="97"/>
      <c r="E21" s="305"/>
      <c r="F21" s="1250"/>
      <c r="G21" s="1250"/>
      <c r="H21" s="645"/>
      <c r="K21" s="357"/>
      <c r="L21" s="357"/>
      <c r="M21" s="337"/>
      <c r="N21" s="357"/>
      <c r="O21" s="357"/>
      <c r="P21" s="337"/>
      <c r="Q21" s="357"/>
      <c r="R21" s="337"/>
      <c r="T21" s="358"/>
      <c r="V21" s="358"/>
      <c r="W21" s="358"/>
      <c r="X21" s="358"/>
      <c r="Y21" s="328"/>
      <c r="Z21" s="358"/>
      <c r="AA21" s="358"/>
      <c r="AB21" s="358"/>
      <c r="AC21" s="358"/>
      <c r="AD21" s="358"/>
      <c r="AE21" s="349"/>
      <c r="AF21" s="328"/>
      <c r="AG21" s="156"/>
      <c r="AH21" s="156"/>
      <c r="AI21" s="156"/>
      <c r="AJ21" s="156"/>
      <c r="AK21" s="156"/>
      <c r="AL21" s="156"/>
      <c r="AM21" s="156"/>
      <c r="AN21" s="156"/>
      <c r="AO21" s="156"/>
      <c r="AP21" s="156"/>
      <c r="AQ21" s="156"/>
      <c r="AR21" s="156"/>
      <c r="AS21" s="156"/>
      <c r="AT21" s="156"/>
      <c r="AU21" s="156"/>
      <c r="AV21" s="156"/>
      <c r="AW21" s="156"/>
      <c r="AX21" s="156"/>
      <c r="AY21" s="156"/>
      <c r="AZ21" s="156"/>
      <c r="BA21" s="156"/>
      <c r="BB21" s="156"/>
      <c r="BC21" s="156"/>
      <c r="BD21" s="156"/>
      <c r="BE21" s="156"/>
      <c r="BF21" s="156"/>
      <c r="BG21" s="156"/>
      <c r="BH21" s="156"/>
      <c r="BI21" s="156"/>
      <c r="BJ21" s="156"/>
      <c r="BK21" s="156"/>
      <c r="BL21" s="156"/>
      <c r="BM21" s="156"/>
      <c r="BN21" s="156"/>
      <c r="BO21" s="156"/>
      <c r="BP21" s="156"/>
      <c r="BQ21" s="156"/>
      <c r="BR21" s="156"/>
      <c r="BS21" s="156"/>
      <c r="BT21" s="156"/>
      <c r="BU21" s="156"/>
      <c r="BV21" s="156"/>
      <c r="BW21" s="156"/>
      <c r="BX21" s="156"/>
      <c r="BY21" s="156"/>
      <c r="BZ21" s="156"/>
      <c r="CA21" s="156"/>
      <c r="CB21" s="156"/>
      <c r="CC21" s="156"/>
      <c r="CD21" s="156"/>
      <c r="CE21" s="156"/>
      <c r="CF21" s="156"/>
      <c r="CG21" s="156"/>
      <c r="CH21" s="156"/>
      <c r="CI21" s="156"/>
      <c r="CJ21" s="156"/>
      <c r="CK21" s="156"/>
      <c r="CL21" s="156"/>
      <c r="CM21" s="156"/>
      <c r="CN21" s="156"/>
      <c r="CO21" s="156"/>
      <c r="CP21" s="156"/>
      <c r="CQ21" s="156"/>
      <c r="CR21" s="156"/>
      <c r="CS21" s="156"/>
      <c r="CT21" s="156"/>
      <c r="CU21" s="156"/>
      <c r="CV21" s="156"/>
      <c r="CW21" s="156"/>
      <c r="CX21" s="156"/>
      <c r="CY21" s="156"/>
      <c r="CZ21" s="156"/>
      <c r="DA21" s="156"/>
      <c r="DB21" s="156"/>
      <c r="DC21" s="156"/>
      <c r="DD21" s="156"/>
      <c r="DE21" s="156"/>
      <c r="DF21" s="156"/>
      <c r="DG21" s="156"/>
      <c r="DH21" s="156"/>
      <c r="DI21" s="156"/>
      <c r="DJ21" s="156"/>
      <c r="DK21" s="156"/>
      <c r="DL21" s="156"/>
      <c r="DM21" s="156"/>
      <c r="DN21" s="156"/>
      <c r="DO21" s="156"/>
      <c r="DP21" s="156"/>
      <c r="DQ21" s="156"/>
      <c r="DR21" s="156"/>
      <c r="DS21" s="156"/>
      <c r="DT21" s="156"/>
      <c r="DU21" s="156"/>
      <c r="DV21" s="156"/>
      <c r="DW21" s="156"/>
      <c r="DX21" s="156"/>
      <c r="DY21" s="156"/>
      <c r="DZ21" s="156"/>
      <c r="EA21" s="156"/>
      <c r="EB21" s="156"/>
      <c r="EC21" s="156"/>
      <c r="ED21" s="156"/>
      <c r="EE21" s="156"/>
      <c r="EF21" s="156"/>
      <c r="EG21" s="156"/>
      <c r="EH21" s="156"/>
      <c r="EI21" s="156"/>
      <c r="EJ21" s="156"/>
      <c r="EK21" s="156"/>
      <c r="EL21" s="156"/>
      <c r="EM21" s="156"/>
      <c r="EN21" s="156"/>
      <c r="EO21" s="156"/>
      <c r="EP21" s="156"/>
      <c r="EQ21" s="156"/>
      <c r="ER21" s="156"/>
      <c r="ES21" s="156"/>
      <c r="ET21" s="156"/>
      <c r="EU21" s="156"/>
      <c r="EV21" s="156"/>
      <c r="EW21" s="156"/>
      <c r="EX21" s="156"/>
      <c r="EY21" s="156"/>
      <c r="EZ21" s="156"/>
      <c r="FA21" s="156"/>
      <c r="FB21" s="156"/>
      <c r="FC21" s="156"/>
      <c r="FD21" s="156"/>
      <c r="FE21" s="156"/>
      <c r="FF21" s="156"/>
      <c r="FG21" s="156"/>
      <c r="FH21" s="156"/>
      <c r="FI21" s="156"/>
      <c r="FJ21" s="156"/>
      <c r="FK21" s="156"/>
      <c r="FL21" s="156"/>
      <c r="FM21" s="156"/>
      <c r="FN21" s="156"/>
      <c r="FO21" s="156"/>
      <c r="FP21" s="156"/>
      <c r="FQ21" s="156"/>
      <c r="FR21" s="156"/>
      <c r="FS21" s="156"/>
      <c r="FT21" s="156"/>
      <c r="FU21" s="156"/>
      <c r="FV21" s="156"/>
      <c r="FW21" s="156"/>
      <c r="FX21" s="156"/>
      <c r="FY21" s="156"/>
      <c r="FZ21" s="156"/>
      <c r="GA21" s="156"/>
      <c r="GB21" s="156"/>
      <c r="GC21" s="156"/>
      <c r="GD21" s="156"/>
      <c r="GE21" s="156"/>
      <c r="GF21" s="156"/>
      <c r="GG21" s="156"/>
      <c r="GH21" s="156"/>
      <c r="GI21" s="156"/>
      <c r="GJ21" s="156"/>
      <c r="GK21" s="156"/>
      <c r="GL21" s="156"/>
      <c r="GM21" s="156"/>
      <c r="GN21" s="156"/>
      <c r="GO21" s="156"/>
      <c r="GP21" s="156"/>
      <c r="GQ21" s="156"/>
      <c r="GR21" s="156"/>
      <c r="GS21" s="156"/>
      <c r="GT21" s="156"/>
      <c r="GU21" s="156"/>
      <c r="GV21" s="156"/>
      <c r="GW21" s="156"/>
      <c r="GX21" s="156"/>
      <c r="GY21" s="156"/>
      <c r="GZ21" s="156"/>
      <c r="HA21" s="156"/>
      <c r="HB21" s="156"/>
      <c r="HC21" s="156"/>
      <c r="HD21" s="156"/>
      <c r="HE21" s="156"/>
      <c r="HF21" s="156"/>
      <c r="HG21" s="156"/>
      <c r="HH21" s="156"/>
      <c r="HI21" s="156"/>
      <c r="HJ21" s="156"/>
      <c r="HK21" s="156"/>
      <c r="HL21" s="156"/>
      <c r="HM21" s="156"/>
      <c r="HN21" s="156"/>
      <c r="HO21" s="156"/>
      <c r="HP21" s="156"/>
      <c r="HQ21" s="156"/>
      <c r="HR21" s="156"/>
      <c r="HS21" s="156"/>
      <c r="HT21" s="156"/>
      <c r="HU21" s="156"/>
      <c r="HV21" s="156"/>
      <c r="HW21" s="156"/>
      <c r="HX21" s="156"/>
      <c r="HY21" s="156"/>
      <c r="HZ21" s="156"/>
      <c r="IA21" s="156"/>
      <c r="IB21" s="156"/>
      <c r="IC21" s="156"/>
      <c r="ID21" s="156"/>
      <c r="IE21" s="156"/>
      <c r="IF21" s="156"/>
      <c r="IG21" s="156"/>
      <c r="IH21" s="156"/>
      <c r="II21" s="156"/>
      <c r="IJ21" s="156"/>
      <c r="IK21" s="156"/>
      <c r="IL21" s="156"/>
      <c r="IM21" s="156"/>
      <c r="IN21" s="156"/>
      <c r="IO21" s="156"/>
      <c r="IP21" s="156"/>
      <c r="IQ21" s="156"/>
      <c r="IR21" s="156"/>
      <c r="IS21" s="156"/>
      <c r="IT21" s="156"/>
      <c r="IU21" s="156"/>
    </row>
    <row r="22" spans="1:255" s="158" customFormat="1" ht="15" customHeight="1">
      <c r="A22" s="1259"/>
      <c r="B22" s="359" t="s">
        <v>1742</v>
      </c>
      <c r="C22" s="300"/>
      <c r="D22" s="64"/>
      <c r="E22" s="303"/>
      <c r="F22" s="1250"/>
      <c r="G22" s="1250"/>
      <c r="H22" s="645"/>
      <c r="K22" s="357"/>
      <c r="L22" s="357"/>
      <c r="M22" s="337"/>
      <c r="N22" s="357"/>
      <c r="O22" s="357"/>
      <c r="P22" s="337"/>
      <c r="Q22" s="357"/>
      <c r="R22" s="337"/>
      <c r="T22" s="328"/>
      <c r="U22" s="328"/>
      <c r="V22" s="328"/>
      <c r="W22" s="328"/>
      <c r="X22" s="328"/>
      <c r="Y22" s="328"/>
      <c r="Z22" s="328"/>
      <c r="AA22" s="328"/>
      <c r="AB22" s="328"/>
      <c r="AC22" s="328"/>
      <c r="AD22" s="328"/>
      <c r="AE22" s="349"/>
      <c r="AF22" s="328"/>
      <c r="AG22" s="156"/>
      <c r="AH22" s="156"/>
      <c r="AI22" s="156"/>
      <c r="AJ22" s="156"/>
      <c r="AK22" s="156"/>
      <c r="AL22" s="156"/>
      <c r="AM22" s="156"/>
      <c r="AN22" s="156"/>
      <c r="AO22" s="156"/>
      <c r="AP22" s="156"/>
      <c r="AQ22" s="156"/>
      <c r="AR22" s="156"/>
      <c r="AS22" s="156"/>
      <c r="AT22" s="156"/>
      <c r="AU22" s="156"/>
      <c r="AV22" s="156"/>
      <c r="AW22" s="156"/>
      <c r="AX22" s="156"/>
      <c r="AY22" s="156"/>
      <c r="AZ22" s="156"/>
      <c r="BA22" s="156"/>
      <c r="BB22" s="156"/>
      <c r="BC22" s="156"/>
      <c r="BD22" s="156"/>
      <c r="BE22" s="156"/>
      <c r="BF22" s="156"/>
      <c r="BG22" s="156"/>
      <c r="BH22" s="156"/>
      <c r="BI22" s="156"/>
      <c r="BJ22" s="156"/>
      <c r="BK22" s="156"/>
      <c r="BL22" s="156"/>
      <c r="BM22" s="156"/>
      <c r="BN22" s="156"/>
      <c r="BO22" s="156"/>
      <c r="BP22" s="156"/>
      <c r="BQ22" s="156"/>
      <c r="BR22" s="156"/>
      <c r="BS22" s="156"/>
      <c r="BT22" s="156"/>
      <c r="BU22" s="156"/>
      <c r="BV22" s="156"/>
      <c r="BW22" s="156"/>
      <c r="BX22" s="156"/>
      <c r="BY22" s="156"/>
      <c r="BZ22" s="156"/>
      <c r="CA22" s="156"/>
      <c r="CB22" s="156"/>
      <c r="CC22" s="156"/>
      <c r="CD22" s="156"/>
      <c r="CE22" s="156"/>
      <c r="CF22" s="156"/>
      <c r="CG22" s="156"/>
      <c r="CH22" s="156"/>
      <c r="CI22" s="156"/>
      <c r="CJ22" s="156"/>
      <c r="CK22" s="156"/>
      <c r="CL22" s="156"/>
      <c r="CM22" s="156"/>
      <c r="CN22" s="156"/>
      <c r="CO22" s="156"/>
      <c r="CP22" s="156"/>
      <c r="CQ22" s="156"/>
      <c r="CR22" s="156"/>
      <c r="CS22" s="156"/>
      <c r="CT22" s="156"/>
      <c r="CU22" s="156"/>
      <c r="CV22" s="156"/>
      <c r="CW22" s="156"/>
      <c r="CX22" s="156"/>
      <c r="CY22" s="156"/>
      <c r="CZ22" s="156"/>
      <c r="DA22" s="156"/>
      <c r="DB22" s="156"/>
      <c r="DC22" s="156"/>
      <c r="DD22" s="156"/>
      <c r="DE22" s="156"/>
      <c r="DF22" s="156"/>
      <c r="DG22" s="156"/>
      <c r="DH22" s="156"/>
      <c r="DI22" s="156"/>
      <c r="DJ22" s="156"/>
      <c r="DK22" s="156"/>
      <c r="DL22" s="156"/>
      <c r="DM22" s="156"/>
      <c r="DN22" s="156"/>
      <c r="DO22" s="156"/>
      <c r="DP22" s="156"/>
      <c r="DQ22" s="156"/>
      <c r="DR22" s="156"/>
      <c r="DS22" s="156"/>
      <c r="DT22" s="156"/>
      <c r="DU22" s="156"/>
      <c r="DV22" s="156"/>
      <c r="DW22" s="156"/>
      <c r="DX22" s="156"/>
      <c r="DY22" s="156"/>
      <c r="DZ22" s="156"/>
      <c r="EA22" s="156"/>
      <c r="EB22" s="156"/>
      <c r="EC22" s="156"/>
      <c r="ED22" s="156"/>
      <c r="EE22" s="156"/>
      <c r="EF22" s="156"/>
      <c r="EG22" s="156"/>
      <c r="EH22" s="156"/>
      <c r="EI22" s="156"/>
      <c r="EJ22" s="156"/>
      <c r="EK22" s="156"/>
      <c r="EL22" s="156"/>
      <c r="EM22" s="156"/>
      <c r="EN22" s="156"/>
      <c r="EO22" s="156"/>
      <c r="EP22" s="156"/>
      <c r="EQ22" s="156"/>
      <c r="ER22" s="156"/>
      <c r="ES22" s="156"/>
      <c r="ET22" s="156"/>
      <c r="EU22" s="156"/>
      <c r="EV22" s="156"/>
      <c r="EW22" s="156"/>
      <c r="EX22" s="156"/>
      <c r="EY22" s="156"/>
      <c r="EZ22" s="156"/>
      <c r="FA22" s="156"/>
      <c r="FB22" s="156"/>
      <c r="FC22" s="156"/>
      <c r="FD22" s="156"/>
      <c r="FE22" s="156"/>
      <c r="FF22" s="156"/>
      <c r="FG22" s="156"/>
      <c r="FH22" s="156"/>
      <c r="FI22" s="156"/>
      <c r="FJ22" s="156"/>
      <c r="FK22" s="156"/>
      <c r="FL22" s="156"/>
      <c r="FM22" s="156"/>
      <c r="FN22" s="156"/>
      <c r="FO22" s="156"/>
      <c r="FP22" s="156"/>
      <c r="FQ22" s="156"/>
      <c r="FR22" s="156"/>
      <c r="FS22" s="156"/>
      <c r="FT22" s="156"/>
      <c r="FU22" s="156"/>
      <c r="FV22" s="156"/>
      <c r="FW22" s="156"/>
      <c r="FX22" s="156"/>
      <c r="FY22" s="156"/>
      <c r="FZ22" s="156"/>
      <c r="GA22" s="156"/>
      <c r="GB22" s="156"/>
      <c r="GC22" s="156"/>
      <c r="GD22" s="156"/>
      <c r="GE22" s="156"/>
      <c r="GF22" s="156"/>
      <c r="GG22" s="156"/>
      <c r="GH22" s="156"/>
      <c r="GI22" s="156"/>
      <c r="GJ22" s="156"/>
      <c r="GK22" s="156"/>
      <c r="GL22" s="156"/>
      <c r="GM22" s="156"/>
      <c r="GN22" s="156"/>
      <c r="GO22" s="156"/>
      <c r="GP22" s="156"/>
      <c r="GQ22" s="156"/>
      <c r="GR22" s="156"/>
      <c r="GS22" s="156"/>
      <c r="GT22" s="156"/>
      <c r="GU22" s="156"/>
      <c r="GV22" s="156"/>
      <c r="GW22" s="156"/>
      <c r="GX22" s="156"/>
      <c r="GY22" s="156"/>
      <c r="GZ22" s="156"/>
      <c r="HA22" s="156"/>
      <c r="HB22" s="156"/>
      <c r="HC22" s="156"/>
      <c r="HD22" s="156"/>
      <c r="HE22" s="156"/>
      <c r="HF22" s="156"/>
      <c r="HG22" s="156"/>
      <c r="HH22" s="156"/>
      <c r="HI22" s="156"/>
      <c r="HJ22" s="156"/>
      <c r="HK22" s="156"/>
      <c r="HL22" s="156"/>
      <c r="HM22" s="156"/>
      <c r="HN22" s="156"/>
      <c r="HO22" s="156"/>
      <c r="HP22" s="156"/>
      <c r="HQ22" s="156"/>
      <c r="HR22" s="156"/>
      <c r="HS22" s="156"/>
      <c r="HT22" s="156"/>
      <c r="HU22" s="156"/>
      <c r="HV22" s="156"/>
      <c r="HW22" s="156"/>
      <c r="HX22" s="156"/>
      <c r="HY22" s="156"/>
      <c r="HZ22" s="156"/>
      <c r="IA22" s="156"/>
      <c r="IB22" s="156"/>
      <c r="IC22" s="156"/>
      <c r="ID22" s="156"/>
      <c r="IE22" s="156"/>
      <c r="IF22" s="156"/>
      <c r="IG22" s="156"/>
      <c r="IH22" s="156"/>
      <c r="II22" s="156"/>
      <c r="IJ22" s="156"/>
      <c r="IK22" s="156"/>
      <c r="IL22" s="156"/>
      <c r="IM22" s="156"/>
      <c r="IN22" s="156"/>
      <c r="IO22" s="156"/>
      <c r="IP22" s="156"/>
      <c r="IQ22" s="156"/>
      <c r="IR22" s="156"/>
      <c r="IS22" s="156"/>
      <c r="IT22" s="156"/>
      <c r="IU22" s="156"/>
    </row>
    <row r="23" spans="1:255" s="158" customFormat="1" ht="15" customHeight="1">
      <c r="A23" s="1259"/>
      <c r="B23" s="359" t="s">
        <v>1743</v>
      </c>
      <c r="C23" s="300"/>
      <c r="D23" s="64"/>
      <c r="E23" s="303"/>
      <c r="F23" s="1250"/>
      <c r="G23" s="1250"/>
      <c r="H23" s="645"/>
      <c r="K23" s="357"/>
      <c r="L23" s="357"/>
      <c r="M23" s="337"/>
      <c r="N23" s="357"/>
      <c r="O23" s="357"/>
      <c r="P23" s="337"/>
      <c r="Q23" s="357"/>
      <c r="R23" s="337"/>
      <c r="T23" s="360"/>
      <c r="U23" s="360"/>
      <c r="V23" s="360"/>
      <c r="W23" s="360"/>
      <c r="X23" s="360"/>
      <c r="Y23" s="328"/>
      <c r="Z23" s="328"/>
      <c r="AA23" s="328"/>
      <c r="AB23" s="328"/>
      <c r="AC23" s="328"/>
      <c r="AD23" s="328"/>
      <c r="AE23" s="328"/>
      <c r="AF23" s="328"/>
      <c r="AG23" s="156"/>
      <c r="AH23" s="156"/>
      <c r="AI23" s="156"/>
      <c r="AJ23" s="156"/>
      <c r="AK23" s="156"/>
      <c r="AL23" s="156"/>
      <c r="AM23" s="156"/>
      <c r="AN23" s="156"/>
      <c r="AO23" s="156"/>
      <c r="AP23" s="156"/>
      <c r="AQ23" s="156"/>
      <c r="AR23" s="156"/>
      <c r="AS23" s="156"/>
      <c r="AT23" s="156"/>
      <c r="AU23" s="156"/>
      <c r="AV23" s="156"/>
      <c r="AW23" s="156"/>
      <c r="AX23" s="156"/>
      <c r="AY23" s="156"/>
      <c r="AZ23" s="156"/>
      <c r="BA23" s="156"/>
      <c r="BB23" s="156"/>
      <c r="BC23" s="156"/>
      <c r="BD23" s="156"/>
      <c r="BE23" s="156"/>
      <c r="BF23" s="156"/>
      <c r="BG23" s="156"/>
      <c r="BH23" s="156"/>
      <c r="BI23" s="156"/>
      <c r="BJ23" s="156"/>
      <c r="BK23" s="156"/>
      <c r="BL23" s="156"/>
      <c r="BM23" s="156"/>
      <c r="BN23" s="156"/>
      <c r="BO23" s="156"/>
      <c r="BP23" s="156"/>
      <c r="BQ23" s="156"/>
      <c r="BR23" s="156"/>
      <c r="BS23" s="156"/>
      <c r="BT23" s="156"/>
      <c r="BU23" s="156"/>
      <c r="BV23" s="156"/>
      <c r="BW23" s="156"/>
      <c r="BX23" s="156"/>
      <c r="BY23" s="156"/>
      <c r="BZ23" s="156"/>
      <c r="CA23" s="156"/>
      <c r="CB23" s="156"/>
      <c r="CC23" s="156"/>
      <c r="CD23" s="156"/>
      <c r="CE23" s="156"/>
      <c r="CF23" s="156"/>
      <c r="CG23" s="156"/>
      <c r="CH23" s="156"/>
      <c r="CI23" s="156"/>
      <c r="CJ23" s="156"/>
      <c r="CK23" s="156"/>
      <c r="CL23" s="156"/>
      <c r="CM23" s="156"/>
      <c r="CN23" s="156"/>
      <c r="CO23" s="156"/>
      <c r="CP23" s="156"/>
      <c r="CQ23" s="156"/>
      <c r="CR23" s="156"/>
      <c r="CS23" s="156"/>
      <c r="CT23" s="156"/>
      <c r="CU23" s="156"/>
      <c r="CV23" s="156"/>
      <c r="CW23" s="156"/>
      <c r="CX23" s="156"/>
      <c r="CY23" s="156"/>
      <c r="CZ23" s="156"/>
      <c r="DA23" s="156"/>
      <c r="DB23" s="156"/>
      <c r="DC23" s="156"/>
      <c r="DD23" s="156"/>
      <c r="DE23" s="156"/>
      <c r="DF23" s="156"/>
      <c r="DG23" s="156"/>
      <c r="DH23" s="156"/>
      <c r="DI23" s="156"/>
      <c r="DJ23" s="156"/>
      <c r="DK23" s="156"/>
      <c r="DL23" s="156"/>
      <c r="DM23" s="156"/>
      <c r="DN23" s="156"/>
      <c r="DO23" s="156"/>
      <c r="DP23" s="156"/>
      <c r="DQ23" s="156"/>
      <c r="DR23" s="156"/>
      <c r="DS23" s="156"/>
      <c r="DT23" s="156"/>
      <c r="DU23" s="156"/>
      <c r="DV23" s="156"/>
      <c r="DW23" s="156"/>
      <c r="DX23" s="156"/>
      <c r="DY23" s="156"/>
      <c r="DZ23" s="156"/>
      <c r="EA23" s="156"/>
      <c r="EB23" s="156"/>
      <c r="EC23" s="156"/>
      <c r="ED23" s="156"/>
      <c r="EE23" s="156"/>
      <c r="EF23" s="156"/>
      <c r="EG23" s="156"/>
      <c r="EH23" s="156"/>
      <c r="EI23" s="156"/>
      <c r="EJ23" s="156"/>
      <c r="EK23" s="156"/>
      <c r="EL23" s="156"/>
      <c r="EM23" s="156"/>
      <c r="EN23" s="156"/>
      <c r="EO23" s="156"/>
      <c r="EP23" s="156"/>
      <c r="EQ23" s="156"/>
      <c r="ER23" s="156"/>
      <c r="ES23" s="156"/>
      <c r="ET23" s="156"/>
      <c r="EU23" s="156"/>
      <c r="EV23" s="156"/>
      <c r="EW23" s="156"/>
      <c r="EX23" s="156"/>
      <c r="EY23" s="156"/>
      <c r="EZ23" s="156"/>
      <c r="FA23" s="156"/>
      <c r="FB23" s="156"/>
      <c r="FC23" s="156"/>
      <c r="FD23" s="156"/>
      <c r="FE23" s="156"/>
      <c r="FF23" s="156"/>
      <c r="FG23" s="156"/>
      <c r="FH23" s="156"/>
      <c r="FI23" s="156"/>
      <c r="FJ23" s="156"/>
      <c r="FK23" s="156"/>
      <c r="FL23" s="156"/>
      <c r="FM23" s="156"/>
      <c r="FN23" s="156"/>
      <c r="FO23" s="156"/>
      <c r="FP23" s="156"/>
      <c r="FQ23" s="156"/>
      <c r="FR23" s="156"/>
      <c r="FS23" s="156"/>
      <c r="FT23" s="156"/>
      <c r="FU23" s="156"/>
      <c r="FV23" s="156"/>
      <c r="FW23" s="156"/>
      <c r="FX23" s="156"/>
      <c r="FY23" s="156"/>
      <c r="FZ23" s="156"/>
      <c r="GA23" s="156"/>
      <c r="GB23" s="156"/>
      <c r="GC23" s="156"/>
      <c r="GD23" s="156"/>
      <c r="GE23" s="156"/>
      <c r="GF23" s="156"/>
      <c r="GG23" s="156"/>
      <c r="GH23" s="156"/>
      <c r="GI23" s="156"/>
      <c r="GJ23" s="156"/>
      <c r="GK23" s="156"/>
      <c r="GL23" s="156"/>
      <c r="GM23" s="156"/>
      <c r="GN23" s="156"/>
      <c r="GO23" s="156"/>
      <c r="GP23" s="156"/>
      <c r="GQ23" s="156"/>
      <c r="GR23" s="156"/>
      <c r="GS23" s="156"/>
      <c r="GT23" s="156"/>
      <c r="GU23" s="156"/>
      <c r="GV23" s="156"/>
      <c r="GW23" s="156"/>
      <c r="GX23" s="156"/>
      <c r="GY23" s="156"/>
      <c r="GZ23" s="156"/>
      <c r="HA23" s="156"/>
      <c r="HB23" s="156"/>
      <c r="HC23" s="156"/>
      <c r="HD23" s="156"/>
      <c r="HE23" s="156"/>
      <c r="HF23" s="156"/>
      <c r="HG23" s="156"/>
      <c r="HH23" s="156"/>
      <c r="HI23" s="156"/>
      <c r="HJ23" s="156"/>
      <c r="HK23" s="156"/>
      <c r="HL23" s="156"/>
      <c r="HM23" s="156"/>
      <c r="HN23" s="156"/>
      <c r="HO23" s="156"/>
      <c r="HP23" s="156"/>
      <c r="HQ23" s="156"/>
      <c r="HR23" s="156"/>
      <c r="HS23" s="156"/>
      <c r="HT23" s="156"/>
      <c r="HU23" s="156"/>
      <c r="HV23" s="156"/>
      <c r="HW23" s="156"/>
      <c r="HX23" s="156"/>
      <c r="HY23" s="156"/>
      <c r="HZ23" s="156"/>
      <c r="IA23" s="156"/>
      <c r="IB23" s="156"/>
      <c r="IC23" s="156"/>
      <c r="ID23" s="156"/>
      <c r="IE23" s="156"/>
      <c r="IF23" s="156"/>
      <c r="IG23" s="156"/>
      <c r="IH23" s="156"/>
      <c r="II23" s="156"/>
      <c r="IJ23" s="156"/>
      <c r="IK23" s="156"/>
      <c r="IL23" s="156"/>
      <c r="IM23" s="156"/>
      <c r="IN23" s="156"/>
      <c r="IO23" s="156"/>
      <c r="IP23" s="156"/>
      <c r="IQ23" s="156"/>
      <c r="IR23" s="156"/>
      <c r="IS23" s="156"/>
      <c r="IT23" s="156"/>
      <c r="IU23" s="156"/>
    </row>
    <row r="24" spans="1:255" s="158" customFormat="1" ht="15" customHeight="1">
      <c r="A24" s="1259"/>
      <c r="B24" s="359" t="s">
        <v>1744</v>
      </c>
      <c r="C24" s="300"/>
      <c r="D24" s="64"/>
      <c r="E24" s="303"/>
      <c r="F24" s="1250"/>
      <c r="G24" s="1250"/>
      <c r="H24" s="645"/>
      <c r="K24" s="357"/>
      <c r="L24" s="357"/>
      <c r="M24" s="337"/>
      <c r="N24" s="357"/>
      <c r="O24" s="357"/>
      <c r="P24" s="337"/>
      <c r="Q24" s="357"/>
      <c r="R24" s="337"/>
      <c r="T24" s="360"/>
      <c r="U24" s="360"/>
      <c r="V24" s="349"/>
      <c r="W24" s="349"/>
      <c r="X24" s="349"/>
      <c r="Y24" s="349"/>
      <c r="Z24" s="349"/>
      <c r="AA24" s="349"/>
      <c r="AB24" s="349"/>
      <c r="AC24" s="349"/>
      <c r="AD24" s="349"/>
      <c r="AE24" s="349"/>
      <c r="AF24" s="349"/>
      <c r="AH24" s="156"/>
      <c r="AI24" s="156"/>
      <c r="AJ24" s="156"/>
      <c r="AK24" s="156"/>
      <c r="AL24" s="156"/>
      <c r="AM24" s="156"/>
      <c r="AN24" s="156"/>
      <c r="AO24" s="156"/>
      <c r="AP24" s="156"/>
      <c r="AQ24" s="156"/>
      <c r="AR24" s="156"/>
      <c r="AS24" s="156"/>
      <c r="AT24" s="156"/>
      <c r="AU24" s="156"/>
      <c r="AV24" s="156"/>
      <c r="AW24" s="156"/>
      <c r="AX24" s="156"/>
      <c r="AY24" s="156"/>
      <c r="AZ24" s="156"/>
      <c r="BA24" s="156"/>
      <c r="BB24" s="156"/>
      <c r="BC24" s="156"/>
      <c r="BD24" s="156"/>
      <c r="BE24" s="156"/>
      <c r="BF24" s="156"/>
      <c r="BG24" s="156"/>
      <c r="BH24" s="156"/>
      <c r="BI24" s="156"/>
      <c r="BJ24" s="156"/>
      <c r="BK24" s="156"/>
      <c r="BL24" s="156"/>
      <c r="BM24" s="156"/>
      <c r="BN24" s="156"/>
      <c r="BO24" s="156"/>
      <c r="BP24" s="156"/>
      <c r="BQ24" s="156"/>
      <c r="BR24" s="156"/>
      <c r="BS24" s="156"/>
      <c r="BT24" s="156"/>
      <c r="BU24" s="156"/>
      <c r="BV24" s="156"/>
      <c r="BW24" s="156"/>
      <c r="BX24" s="156"/>
      <c r="BY24" s="156"/>
      <c r="BZ24" s="156"/>
      <c r="CA24" s="156"/>
      <c r="CB24" s="156"/>
      <c r="CC24" s="156"/>
      <c r="CD24" s="156"/>
      <c r="CE24" s="156"/>
      <c r="CF24" s="156"/>
      <c r="CG24" s="156"/>
      <c r="CH24" s="156"/>
      <c r="CI24" s="156"/>
      <c r="CJ24" s="156"/>
      <c r="CK24" s="156"/>
      <c r="CL24" s="156"/>
      <c r="CM24" s="156"/>
      <c r="CN24" s="156"/>
      <c r="CO24" s="156"/>
      <c r="CP24" s="156"/>
      <c r="CQ24" s="156"/>
      <c r="CR24" s="156"/>
      <c r="CS24" s="156"/>
      <c r="CT24" s="156"/>
      <c r="CU24" s="156"/>
      <c r="CV24" s="156"/>
      <c r="CW24" s="156"/>
      <c r="CX24" s="156"/>
      <c r="CY24" s="156"/>
      <c r="CZ24" s="156"/>
      <c r="DA24" s="156"/>
      <c r="DB24" s="156"/>
      <c r="DC24" s="156"/>
      <c r="DD24" s="156"/>
      <c r="DE24" s="156"/>
      <c r="DF24" s="156"/>
      <c r="DG24" s="156"/>
      <c r="DH24" s="156"/>
      <c r="DI24" s="156"/>
      <c r="DJ24" s="156"/>
      <c r="DK24" s="156"/>
      <c r="DL24" s="156"/>
      <c r="DM24" s="156"/>
      <c r="DN24" s="156"/>
      <c r="DO24" s="156"/>
      <c r="DP24" s="156"/>
      <c r="DQ24" s="156"/>
      <c r="DR24" s="156"/>
      <c r="DS24" s="156"/>
      <c r="DT24" s="156"/>
      <c r="DU24" s="156"/>
      <c r="DV24" s="156"/>
      <c r="DW24" s="156"/>
      <c r="DX24" s="156"/>
      <c r="DY24" s="156"/>
      <c r="DZ24" s="156"/>
      <c r="EA24" s="156"/>
      <c r="EB24" s="156"/>
      <c r="EC24" s="156"/>
      <c r="ED24" s="156"/>
      <c r="EE24" s="156"/>
      <c r="EF24" s="156"/>
      <c r="EG24" s="156"/>
      <c r="EH24" s="156"/>
      <c r="EI24" s="156"/>
      <c r="EJ24" s="156"/>
      <c r="EK24" s="156"/>
      <c r="EL24" s="156"/>
      <c r="EM24" s="156"/>
      <c r="EN24" s="156"/>
      <c r="EO24" s="156"/>
      <c r="EP24" s="156"/>
      <c r="EQ24" s="156"/>
      <c r="ER24" s="156"/>
      <c r="ES24" s="156"/>
      <c r="ET24" s="156"/>
      <c r="EU24" s="156"/>
      <c r="EV24" s="156"/>
      <c r="EW24" s="156"/>
      <c r="EX24" s="156"/>
      <c r="EY24" s="156"/>
      <c r="EZ24" s="156"/>
      <c r="FA24" s="156"/>
      <c r="FB24" s="156"/>
      <c r="FC24" s="156"/>
      <c r="FD24" s="156"/>
      <c r="FE24" s="156"/>
      <c r="FF24" s="156"/>
      <c r="FG24" s="156"/>
      <c r="FH24" s="156"/>
      <c r="FI24" s="156"/>
      <c r="FJ24" s="156"/>
      <c r="FK24" s="156"/>
      <c r="FL24" s="156"/>
      <c r="FM24" s="156"/>
      <c r="FN24" s="156"/>
      <c r="FO24" s="156"/>
      <c r="FP24" s="156"/>
      <c r="FQ24" s="156"/>
      <c r="FR24" s="156"/>
      <c r="FS24" s="156"/>
      <c r="FT24" s="156"/>
      <c r="FU24" s="156"/>
      <c r="FV24" s="156"/>
      <c r="FW24" s="156"/>
      <c r="FX24" s="156"/>
      <c r="FY24" s="156"/>
      <c r="FZ24" s="156"/>
      <c r="GA24" s="156"/>
      <c r="GB24" s="156"/>
      <c r="GC24" s="156"/>
      <c r="GD24" s="156"/>
      <c r="GE24" s="156"/>
      <c r="GF24" s="156"/>
      <c r="GG24" s="156"/>
      <c r="GH24" s="156"/>
      <c r="GI24" s="156"/>
      <c r="GJ24" s="156"/>
      <c r="GK24" s="156"/>
      <c r="GL24" s="156"/>
      <c r="GM24" s="156"/>
      <c r="GN24" s="156"/>
      <c r="GO24" s="156"/>
      <c r="GP24" s="156"/>
      <c r="GQ24" s="156"/>
      <c r="GR24" s="156"/>
      <c r="GS24" s="156"/>
      <c r="GT24" s="156"/>
      <c r="GU24" s="156"/>
      <c r="GV24" s="156"/>
      <c r="GW24" s="156"/>
      <c r="GX24" s="156"/>
      <c r="GY24" s="156"/>
      <c r="GZ24" s="156"/>
      <c r="HA24" s="156"/>
      <c r="HB24" s="156"/>
      <c r="HC24" s="156"/>
      <c r="HD24" s="156"/>
      <c r="HE24" s="156"/>
      <c r="HF24" s="156"/>
      <c r="HG24" s="156"/>
      <c r="HH24" s="156"/>
      <c r="HI24" s="156"/>
      <c r="HJ24" s="156"/>
      <c r="HK24" s="156"/>
      <c r="HL24" s="156"/>
      <c r="HM24" s="156"/>
      <c r="HN24" s="156"/>
      <c r="HO24" s="156"/>
      <c r="HP24" s="156"/>
      <c r="HQ24" s="156"/>
      <c r="HR24" s="156"/>
      <c r="HS24" s="156"/>
      <c r="HT24" s="156"/>
      <c r="HU24" s="156"/>
      <c r="HV24" s="156"/>
      <c r="HW24" s="156"/>
      <c r="HX24" s="156"/>
      <c r="HY24" s="156"/>
      <c r="HZ24" s="156"/>
      <c r="IA24" s="156"/>
      <c r="IB24" s="156"/>
      <c r="IC24" s="156"/>
      <c r="ID24" s="156"/>
      <c r="IE24" s="156"/>
      <c r="IF24" s="156"/>
      <c r="IG24" s="156"/>
      <c r="IH24" s="156"/>
      <c r="II24" s="156"/>
      <c r="IJ24" s="156"/>
      <c r="IK24" s="156"/>
      <c r="IL24" s="156"/>
      <c r="IM24" s="156"/>
      <c r="IN24" s="156"/>
      <c r="IO24" s="156"/>
      <c r="IP24" s="156"/>
      <c r="IQ24" s="156"/>
      <c r="IR24" s="156"/>
      <c r="IS24" s="156"/>
      <c r="IT24" s="156"/>
      <c r="IU24" s="156"/>
    </row>
    <row r="25" spans="1:255" s="158" customFormat="1" ht="15" customHeight="1">
      <c r="A25" s="1259"/>
      <c r="B25" s="359" t="s">
        <v>1745</v>
      </c>
      <c r="C25" s="300"/>
      <c r="D25" s="64"/>
      <c r="E25" s="303"/>
      <c r="F25" s="1250"/>
      <c r="G25" s="1250"/>
      <c r="H25" s="645"/>
      <c r="K25" s="357"/>
      <c r="L25" s="357"/>
      <c r="M25" s="337"/>
      <c r="N25" s="357"/>
      <c r="O25" s="357"/>
      <c r="P25" s="337"/>
      <c r="Q25" s="357"/>
      <c r="R25" s="337"/>
      <c r="T25" s="360"/>
      <c r="U25" s="360"/>
      <c r="V25" s="349"/>
      <c r="W25" s="349"/>
      <c r="X25" s="349"/>
      <c r="Y25" s="349"/>
      <c r="Z25" s="349"/>
      <c r="AA25" s="349"/>
      <c r="AB25" s="349"/>
      <c r="AC25" s="349"/>
      <c r="AD25" s="349"/>
      <c r="AE25" s="349"/>
      <c r="AF25" s="349"/>
      <c r="AH25" s="156"/>
      <c r="AI25" s="156"/>
      <c r="AJ25" s="156"/>
      <c r="AK25" s="156"/>
      <c r="AL25" s="156"/>
      <c r="AM25" s="156"/>
      <c r="AN25" s="156"/>
      <c r="AO25" s="156"/>
      <c r="AP25" s="156"/>
      <c r="AQ25" s="156"/>
      <c r="AR25" s="156"/>
      <c r="AS25" s="156"/>
      <c r="AT25" s="156"/>
      <c r="AU25" s="156"/>
      <c r="AV25" s="156"/>
      <c r="AW25" s="156"/>
      <c r="AX25" s="156"/>
      <c r="AY25" s="156"/>
      <c r="AZ25" s="156"/>
      <c r="BA25" s="156"/>
      <c r="BB25" s="156"/>
      <c r="BC25" s="156"/>
      <c r="BD25" s="156"/>
      <c r="BE25" s="156"/>
      <c r="BF25" s="156"/>
      <c r="BG25" s="156"/>
      <c r="BH25" s="156"/>
      <c r="BI25" s="156"/>
      <c r="BJ25" s="156"/>
      <c r="BK25" s="156"/>
      <c r="BL25" s="156"/>
      <c r="BM25" s="156"/>
      <c r="BN25" s="156"/>
      <c r="BO25" s="156"/>
      <c r="BP25" s="156"/>
      <c r="BQ25" s="156"/>
      <c r="BR25" s="156"/>
      <c r="BS25" s="156"/>
      <c r="BT25" s="156"/>
      <c r="BU25" s="156"/>
      <c r="BV25" s="156"/>
      <c r="BW25" s="156"/>
      <c r="BX25" s="156"/>
      <c r="BY25" s="156"/>
      <c r="BZ25" s="156"/>
      <c r="CA25" s="156"/>
      <c r="CB25" s="156"/>
      <c r="CC25" s="156"/>
      <c r="CD25" s="156"/>
      <c r="CE25" s="156"/>
      <c r="CF25" s="156"/>
      <c r="CG25" s="156"/>
      <c r="CH25" s="156"/>
      <c r="CI25" s="156"/>
      <c r="CJ25" s="156"/>
      <c r="CK25" s="156"/>
      <c r="CL25" s="156"/>
      <c r="CM25" s="156"/>
      <c r="CN25" s="156"/>
      <c r="CO25" s="156"/>
      <c r="CP25" s="156"/>
      <c r="CQ25" s="156"/>
      <c r="CR25" s="156"/>
      <c r="CS25" s="156"/>
      <c r="CT25" s="156"/>
      <c r="CU25" s="156"/>
      <c r="CV25" s="156"/>
      <c r="CW25" s="156"/>
      <c r="CX25" s="156"/>
      <c r="CY25" s="156"/>
      <c r="CZ25" s="156"/>
      <c r="DA25" s="156"/>
      <c r="DB25" s="156"/>
      <c r="DC25" s="156"/>
      <c r="DD25" s="156"/>
      <c r="DE25" s="156"/>
      <c r="DF25" s="156"/>
      <c r="DG25" s="156"/>
      <c r="DH25" s="156"/>
      <c r="DI25" s="156"/>
      <c r="DJ25" s="156"/>
      <c r="DK25" s="156"/>
      <c r="DL25" s="156"/>
      <c r="DM25" s="156"/>
      <c r="DN25" s="156"/>
      <c r="DO25" s="156"/>
      <c r="DP25" s="156"/>
      <c r="DQ25" s="156"/>
      <c r="DR25" s="156"/>
      <c r="DS25" s="156"/>
      <c r="DT25" s="156"/>
      <c r="DU25" s="156"/>
      <c r="DV25" s="156"/>
      <c r="DW25" s="156"/>
      <c r="DX25" s="156"/>
      <c r="DY25" s="156"/>
      <c r="DZ25" s="156"/>
      <c r="EA25" s="156"/>
      <c r="EB25" s="156"/>
      <c r="EC25" s="156"/>
      <c r="ED25" s="156"/>
      <c r="EE25" s="156"/>
      <c r="EF25" s="156"/>
      <c r="EG25" s="156"/>
      <c r="EH25" s="156"/>
      <c r="EI25" s="156"/>
      <c r="EJ25" s="156"/>
      <c r="EK25" s="156"/>
      <c r="EL25" s="156"/>
      <c r="EM25" s="156"/>
      <c r="EN25" s="156"/>
      <c r="EO25" s="156"/>
      <c r="EP25" s="156"/>
      <c r="EQ25" s="156"/>
      <c r="ER25" s="156"/>
      <c r="ES25" s="156"/>
      <c r="ET25" s="156"/>
      <c r="EU25" s="156"/>
      <c r="EV25" s="156"/>
      <c r="EW25" s="156"/>
      <c r="EX25" s="156"/>
      <c r="EY25" s="156"/>
      <c r="EZ25" s="156"/>
      <c r="FA25" s="156"/>
      <c r="FB25" s="156"/>
      <c r="FC25" s="156"/>
      <c r="FD25" s="156"/>
      <c r="FE25" s="156"/>
      <c r="FF25" s="156"/>
      <c r="FG25" s="156"/>
      <c r="FH25" s="156"/>
      <c r="FI25" s="156"/>
      <c r="FJ25" s="156"/>
      <c r="FK25" s="156"/>
      <c r="FL25" s="156"/>
      <c r="FM25" s="156"/>
      <c r="FN25" s="156"/>
      <c r="FO25" s="156"/>
      <c r="FP25" s="156"/>
      <c r="FQ25" s="156"/>
      <c r="FR25" s="156"/>
      <c r="FS25" s="156"/>
      <c r="FT25" s="156"/>
      <c r="FU25" s="156"/>
      <c r="FV25" s="156"/>
      <c r="FW25" s="156"/>
      <c r="FX25" s="156"/>
      <c r="FY25" s="156"/>
      <c r="FZ25" s="156"/>
      <c r="GA25" s="156"/>
      <c r="GB25" s="156"/>
      <c r="GC25" s="156"/>
      <c r="GD25" s="156"/>
      <c r="GE25" s="156"/>
      <c r="GF25" s="156"/>
      <c r="GG25" s="156"/>
      <c r="GH25" s="156"/>
      <c r="GI25" s="156"/>
      <c r="GJ25" s="156"/>
      <c r="GK25" s="156"/>
      <c r="GL25" s="156"/>
      <c r="GM25" s="156"/>
      <c r="GN25" s="156"/>
      <c r="GO25" s="156"/>
      <c r="GP25" s="156"/>
      <c r="GQ25" s="156"/>
      <c r="GR25" s="156"/>
      <c r="GS25" s="156"/>
      <c r="GT25" s="156"/>
      <c r="GU25" s="156"/>
      <c r="GV25" s="156"/>
      <c r="GW25" s="156"/>
      <c r="GX25" s="156"/>
      <c r="GY25" s="156"/>
      <c r="GZ25" s="156"/>
      <c r="HA25" s="156"/>
      <c r="HB25" s="156"/>
      <c r="HC25" s="156"/>
      <c r="HD25" s="156"/>
      <c r="HE25" s="156"/>
      <c r="HF25" s="156"/>
      <c r="HG25" s="156"/>
      <c r="HH25" s="156"/>
      <c r="HI25" s="156"/>
      <c r="HJ25" s="156"/>
      <c r="HK25" s="156"/>
      <c r="HL25" s="156"/>
      <c r="HM25" s="156"/>
      <c r="HN25" s="156"/>
      <c r="HO25" s="156"/>
      <c r="HP25" s="156"/>
      <c r="HQ25" s="156"/>
      <c r="HR25" s="156"/>
      <c r="HS25" s="156"/>
      <c r="HT25" s="156"/>
      <c r="HU25" s="156"/>
      <c r="HV25" s="156"/>
      <c r="HW25" s="156"/>
      <c r="HX25" s="156"/>
      <c r="HY25" s="156"/>
      <c r="HZ25" s="156"/>
      <c r="IA25" s="156"/>
      <c r="IB25" s="156"/>
      <c r="IC25" s="156"/>
      <c r="ID25" s="156"/>
      <c r="IE25" s="156"/>
      <c r="IF25" s="156"/>
      <c r="IG25" s="156"/>
      <c r="IH25" s="156"/>
      <c r="II25" s="156"/>
      <c r="IJ25" s="156"/>
      <c r="IK25" s="156"/>
      <c r="IL25" s="156"/>
      <c r="IM25" s="156"/>
      <c r="IN25" s="156"/>
      <c r="IO25" s="156"/>
      <c r="IP25" s="156"/>
      <c r="IQ25" s="156"/>
      <c r="IR25" s="156"/>
      <c r="IS25" s="156"/>
      <c r="IT25" s="156"/>
      <c r="IU25" s="156"/>
    </row>
    <row r="26" spans="1:255" s="158" customFormat="1" ht="15" customHeight="1">
      <c r="A26" s="1259"/>
      <c r="B26" s="359" t="s">
        <v>1746</v>
      </c>
      <c r="C26" s="300"/>
      <c r="D26" s="64"/>
      <c r="E26" s="303"/>
      <c r="F26" s="1250"/>
      <c r="G26" s="1250"/>
      <c r="H26" s="645"/>
      <c r="K26" s="357"/>
      <c r="L26" s="357"/>
      <c r="M26" s="337"/>
      <c r="N26" s="357"/>
      <c r="O26" s="357"/>
      <c r="P26" s="337"/>
      <c r="Q26" s="357"/>
      <c r="R26" s="337"/>
      <c r="T26" s="360"/>
      <c r="U26" s="360"/>
      <c r="V26" s="349"/>
      <c r="W26" s="349"/>
      <c r="X26" s="349"/>
      <c r="Y26" s="349"/>
      <c r="Z26" s="349"/>
      <c r="AA26" s="349"/>
      <c r="AB26" s="349"/>
      <c r="AC26" s="349"/>
      <c r="AD26" s="349"/>
      <c r="AE26" s="349"/>
      <c r="AF26" s="349"/>
      <c r="AH26" s="156"/>
      <c r="AI26" s="156"/>
      <c r="AJ26" s="156"/>
      <c r="AK26" s="156"/>
      <c r="AL26" s="156"/>
      <c r="AM26" s="156"/>
      <c r="AN26" s="156"/>
      <c r="AO26" s="156"/>
      <c r="AP26" s="156"/>
      <c r="AQ26" s="156"/>
      <c r="AR26" s="156"/>
      <c r="AS26" s="156"/>
      <c r="AT26" s="156"/>
      <c r="AU26" s="156"/>
      <c r="AV26" s="156"/>
      <c r="AW26" s="156"/>
      <c r="AX26" s="156"/>
      <c r="AY26" s="156"/>
      <c r="AZ26" s="156"/>
      <c r="BA26" s="156"/>
      <c r="BB26" s="156"/>
      <c r="BC26" s="156"/>
      <c r="BD26" s="156"/>
      <c r="BE26" s="156"/>
      <c r="BF26" s="156"/>
      <c r="BG26" s="156"/>
      <c r="BH26" s="156"/>
      <c r="BI26" s="156"/>
      <c r="BJ26" s="156"/>
      <c r="BK26" s="156"/>
      <c r="BL26" s="156"/>
      <c r="BM26" s="156"/>
      <c r="BN26" s="156"/>
      <c r="BO26" s="156"/>
      <c r="BP26" s="156"/>
      <c r="BQ26" s="156"/>
      <c r="BR26" s="156"/>
      <c r="BS26" s="156"/>
      <c r="BT26" s="156"/>
      <c r="BU26" s="156"/>
      <c r="BV26" s="156"/>
      <c r="BW26" s="156"/>
      <c r="BX26" s="156"/>
      <c r="BY26" s="156"/>
      <c r="BZ26" s="156"/>
      <c r="CA26" s="156"/>
      <c r="CB26" s="156"/>
      <c r="CC26" s="156"/>
      <c r="CD26" s="156"/>
      <c r="CE26" s="156"/>
      <c r="CF26" s="156"/>
      <c r="CG26" s="156"/>
      <c r="CH26" s="156"/>
      <c r="CI26" s="156"/>
      <c r="CJ26" s="156"/>
      <c r="CK26" s="156"/>
      <c r="CL26" s="156"/>
      <c r="CM26" s="156"/>
      <c r="CN26" s="156"/>
      <c r="CO26" s="156"/>
      <c r="CP26" s="156"/>
      <c r="CQ26" s="156"/>
      <c r="CR26" s="156"/>
      <c r="CS26" s="156"/>
      <c r="CT26" s="156"/>
      <c r="CU26" s="156"/>
      <c r="CV26" s="156"/>
      <c r="CW26" s="156"/>
      <c r="CX26" s="156"/>
      <c r="CY26" s="156"/>
      <c r="CZ26" s="156"/>
      <c r="DA26" s="156"/>
      <c r="DB26" s="156"/>
      <c r="DC26" s="156"/>
      <c r="DD26" s="156"/>
      <c r="DE26" s="156"/>
      <c r="DF26" s="156"/>
      <c r="DG26" s="156"/>
      <c r="DH26" s="156"/>
      <c r="DI26" s="156"/>
      <c r="DJ26" s="156"/>
      <c r="DK26" s="156"/>
      <c r="DL26" s="156"/>
      <c r="DM26" s="156"/>
      <c r="DN26" s="156"/>
      <c r="DO26" s="156"/>
      <c r="DP26" s="156"/>
      <c r="DQ26" s="156"/>
      <c r="DR26" s="156"/>
      <c r="DS26" s="156"/>
      <c r="DT26" s="156"/>
      <c r="DU26" s="156"/>
      <c r="DV26" s="156"/>
      <c r="DW26" s="156"/>
      <c r="DX26" s="156"/>
      <c r="DY26" s="156"/>
      <c r="DZ26" s="156"/>
      <c r="EA26" s="156"/>
      <c r="EB26" s="156"/>
      <c r="EC26" s="156"/>
      <c r="ED26" s="156"/>
      <c r="EE26" s="156"/>
      <c r="EF26" s="156"/>
      <c r="EG26" s="156"/>
      <c r="EH26" s="156"/>
      <c r="EI26" s="156"/>
      <c r="EJ26" s="156"/>
      <c r="EK26" s="156"/>
      <c r="EL26" s="156"/>
      <c r="EM26" s="156"/>
      <c r="EN26" s="156"/>
      <c r="EO26" s="156"/>
      <c r="EP26" s="156"/>
      <c r="EQ26" s="156"/>
      <c r="ER26" s="156"/>
      <c r="ES26" s="156"/>
      <c r="ET26" s="156"/>
      <c r="EU26" s="156"/>
      <c r="EV26" s="156"/>
      <c r="EW26" s="156"/>
      <c r="EX26" s="156"/>
      <c r="EY26" s="156"/>
      <c r="EZ26" s="156"/>
      <c r="FA26" s="156"/>
      <c r="FB26" s="156"/>
      <c r="FC26" s="156"/>
      <c r="FD26" s="156"/>
      <c r="FE26" s="156"/>
      <c r="FF26" s="156"/>
      <c r="FG26" s="156"/>
      <c r="FH26" s="156"/>
      <c r="FI26" s="156"/>
      <c r="FJ26" s="156"/>
      <c r="FK26" s="156"/>
      <c r="FL26" s="156"/>
      <c r="FM26" s="156"/>
      <c r="FN26" s="156"/>
      <c r="FO26" s="156"/>
      <c r="FP26" s="156"/>
      <c r="FQ26" s="156"/>
      <c r="FR26" s="156"/>
      <c r="FS26" s="156"/>
      <c r="FT26" s="156"/>
      <c r="FU26" s="156"/>
      <c r="FV26" s="156"/>
      <c r="FW26" s="156"/>
      <c r="FX26" s="156"/>
      <c r="FY26" s="156"/>
      <c r="FZ26" s="156"/>
      <c r="GA26" s="156"/>
      <c r="GB26" s="156"/>
      <c r="GC26" s="156"/>
      <c r="GD26" s="156"/>
      <c r="GE26" s="156"/>
      <c r="GF26" s="156"/>
      <c r="GG26" s="156"/>
      <c r="GH26" s="156"/>
      <c r="GI26" s="156"/>
      <c r="GJ26" s="156"/>
      <c r="GK26" s="156"/>
      <c r="GL26" s="156"/>
      <c r="GM26" s="156"/>
      <c r="GN26" s="156"/>
      <c r="GO26" s="156"/>
      <c r="GP26" s="156"/>
      <c r="GQ26" s="156"/>
      <c r="GR26" s="156"/>
      <c r="GS26" s="156"/>
      <c r="GT26" s="156"/>
      <c r="GU26" s="156"/>
      <c r="GV26" s="156"/>
      <c r="GW26" s="156"/>
      <c r="GX26" s="156"/>
      <c r="GY26" s="156"/>
      <c r="GZ26" s="156"/>
      <c r="HA26" s="156"/>
      <c r="HB26" s="156"/>
      <c r="HC26" s="156"/>
      <c r="HD26" s="156"/>
      <c r="HE26" s="156"/>
      <c r="HF26" s="156"/>
      <c r="HG26" s="156"/>
      <c r="HH26" s="156"/>
      <c r="HI26" s="156"/>
      <c r="HJ26" s="156"/>
      <c r="HK26" s="156"/>
      <c r="HL26" s="156"/>
      <c r="HM26" s="156"/>
      <c r="HN26" s="156"/>
      <c r="HO26" s="156"/>
      <c r="HP26" s="156"/>
      <c r="HQ26" s="156"/>
      <c r="HR26" s="156"/>
      <c r="HS26" s="156"/>
      <c r="HT26" s="156"/>
      <c r="HU26" s="156"/>
      <c r="HV26" s="156"/>
      <c r="HW26" s="156"/>
      <c r="HX26" s="156"/>
      <c r="HY26" s="156"/>
      <c r="HZ26" s="156"/>
      <c r="IA26" s="156"/>
      <c r="IB26" s="156"/>
      <c r="IC26" s="156"/>
      <c r="ID26" s="156"/>
      <c r="IE26" s="156"/>
      <c r="IF26" s="156"/>
      <c r="IG26" s="156"/>
      <c r="IH26" s="156"/>
      <c r="II26" s="156"/>
      <c r="IJ26" s="156"/>
      <c r="IK26" s="156"/>
      <c r="IL26" s="156"/>
      <c r="IM26" s="156"/>
      <c r="IN26" s="156"/>
      <c r="IO26" s="156"/>
      <c r="IP26" s="156"/>
      <c r="IQ26" s="156"/>
      <c r="IR26" s="156"/>
      <c r="IS26" s="156"/>
      <c r="IT26" s="156"/>
      <c r="IU26" s="156"/>
    </row>
    <row r="27" spans="1:255" s="158" customFormat="1" ht="15" customHeight="1">
      <c r="A27" s="1259"/>
      <c r="B27" s="359" t="s">
        <v>1747</v>
      </c>
      <c r="C27" s="300"/>
      <c r="D27" s="64"/>
      <c r="E27" s="303"/>
      <c r="F27" s="645"/>
      <c r="G27" s="645"/>
      <c r="H27" s="645"/>
      <c r="K27" s="357"/>
      <c r="L27" s="357"/>
      <c r="M27" s="337"/>
      <c r="N27" s="357"/>
      <c r="O27" s="357"/>
      <c r="P27" s="337"/>
      <c r="Q27" s="357"/>
      <c r="R27" s="337"/>
      <c r="T27" s="360"/>
      <c r="U27" s="360"/>
      <c r="V27" s="349"/>
      <c r="W27" s="349"/>
      <c r="X27" s="349"/>
      <c r="Y27" s="349"/>
      <c r="Z27" s="349"/>
      <c r="AA27" s="349"/>
      <c r="AB27" s="349"/>
      <c r="AC27" s="349"/>
      <c r="AD27" s="349"/>
      <c r="AE27" s="349"/>
      <c r="AF27" s="349"/>
      <c r="AH27" s="156"/>
      <c r="AI27" s="156"/>
      <c r="AJ27" s="156"/>
      <c r="AK27" s="156"/>
      <c r="AL27" s="156"/>
      <c r="AM27" s="156"/>
      <c r="AN27" s="156"/>
      <c r="AO27" s="156"/>
      <c r="AP27" s="156"/>
      <c r="AQ27" s="156"/>
      <c r="AR27" s="156"/>
      <c r="AS27" s="156"/>
      <c r="AT27" s="156"/>
      <c r="AU27" s="156"/>
      <c r="AV27" s="156"/>
      <c r="AW27" s="156"/>
      <c r="AX27" s="156"/>
      <c r="AY27" s="156"/>
      <c r="AZ27" s="156"/>
      <c r="BA27" s="156"/>
      <c r="BB27" s="156"/>
      <c r="BC27" s="156"/>
      <c r="BD27" s="156"/>
      <c r="BE27" s="156"/>
      <c r="BF27" s="156"/>
      <c r="BG27" s="156"/>
      <c r="BH27" s="156"/>
      <c r="BI27" s="156"/>
      <c r="BJ27" s="156"/>
      <c r="BK27" s="156"/>
      <c r="BL27" s="156"/>
      <c r="BM27" s="156"/>
      <c r="BN27" s="156"/>
      <c r="BO27" s="156"/>
      <c r="BP27" s="156"/>
      <c r="BQ27" s="156"/>
      <c r="BR27" s="156"/>
      <c r="BS27" s="156"/>
      <c r="BT27" s="156"/>
      <c r="BU27" s="156"/>
      <c r="BV27" s="156"/>
      <c r="BW27" s="156"/>
      <c r="BX27" s="156"/>
      <c r="BY27" s="156"/>
      <c r="BZ27" s="156"/>
      <c r="CA27" s="156"/>
      <c r="CB27" s="156"/>
      <c r="CC27" s="156"/>
      <c r="CD27" s="156"/>
      <c r="CE27" s="156"/>
      <c r="CF27" s="156"/>
      <c r="CG27" s="156"/>
      <c r="CH27" s="156"/>
      <c r="CI27" s="156"/>
      <c r="CJ27" s="156"/>
      <c r="CK27" s="156"/>
      <c r="CL27" s="156"/>
      <c r="CM27" s="156"/>
      <c r="CN27" s="156"/>
      <c r="CO27" s="156"/>
      <c r="CP27" s="156"/>
      <c r="CQ27" s="156"/>
      <c r="CR27" s="156"/>
      <c r="CS27" s="156"/>
      <c r="CT27" s="156"/>
      <c r="CU27" s="156"/>
      <c r="CV27" s="156"/>
      <c r="CW27" s="156"/>
      <c r="CX27" s="156"/>
      <c r="CY27" s="156"/>
      <c r="CZ27" s="156"/>
      <c r="DA27" s="156"/>
      <c r="DB27" s="156"/>
      <c r="DC27" s="156"/>
      <c r="DD27" s="156"/>
      <c r="DE27" s="156"/>
      <c r="DF27" s="156"/>
      <c r="DG27" s="156"/>
      <c r="DH27" s="156"/>
      <c r="DI27" s="156"/>
      <c r="DJ27" s="156"/>
      <c r="DK27" s="156"/>
      <c r="DL27" s="156"/>
      <c r="DM27" s="156"/>
      <c r="DN27" s="156"/>
      <c r="DO27" s="156"/>
      <c r="DP27" s="156"/>
      <c r="DQ27" s="156"/>
      <c r="DR27" s="156"/>
      <c r="DS27" s="156"/>
      <c r="DT27" s="156"/>
      <c r="DU27" s="156"/>
      <c r="DV27" s="156"/>
      <c r="DW27" s="156"/>
      <c r="DX27" s="156"/>
      <c r="DY27" s="156"/>
      <c r="DZ27" s="156"/>
      <c r="EA27" s="156"/>
      <c r="EB27" s="156"/>
      <c r="EC27" s="156"/>
      <c r="ED27" s="156"/>
      <c r="EE27" s="156"/>
      <c r="EF27" s="156"/>
      <c r="EG27" s="156"/>
      <c r="EH27" s="156"/>
      <c r="EI27" s="156"/>
      <c r="EJ27" s="156"/>
      <c r="EK27" s="156"/>
      <c r="EL27" s="156"/>
      <c r="EM27" s="156"/>
      <c r="EN27" s="156"/>
      <c r="EO27" s="156"/>
      <c r="EP27" s="156"/>
      <c r="EQ27" s="156"/>
      <c r="ER27" s="156"/>
      <c r="ES27" s="156"/>
      <c r="ET27" s="156"/>
      <c r="EU27" s="156"/>
      <c r="EV27" s="156"/>
      <c r="EW27" s="156"/>
      <c r="EX27" s="156"/>
      <c r="EY27" s="156"/>
      <c r="EZ27" s="156"/>
      <c r="FA27" s="156"/>
      <c r="FB27" s="156"/>
      <c r="FC27" s="156"/>
      <c r="FD27" s="156"/>
      <c r="FE27" s="156"/>
      <c r="FF27" s="156"/>
      <c r="FG27" s="156"/>
      <c r="FH27" s="156"/>
      <c r="FI27" s="156"/>
      <c r="FJ27" s="156"/>
      <c r="FK27" s="156"/>
      <c r="FL27" s="156"/>
      <c r="FM27" s="156"/>
      <c r="FN27" s="156"/>
      <c r="FO27" s="156"/>
      <c r="FP27" s="156"/>
      <c r="FQ27" s="156"/>
      <c r="FR27" s="156"/>
      <c r="FS27" s="156"/>
      <c r="FT27" s="156"/>
      <c r="FU27" s="156"/>
      <c r="FV27" s="156"/>
      <c r="FW27" s="156"/>
      <c r="FX27" s="156"/>
      <c r="FY27" s="156"/>
      <c r="FZ27" s="156"/>
      <c r="GA27" s="156"/>
      <c r="GB27" s="156"/>
      <c r="GC27" s="156"/>
      <c r="GD27" s="156"/>
      <c r="GE27" s="156"/>
      <c r="GF27" s="156"/>
      <c r="GG27" s="156"/>
      <c r="GH27" s="156"/>
      <c r="GI27" s="156"/>
      <c r="GJ27" s="156"/>
      <c r="GK27" s="156"/>
      <c r="GL27" s="156"/>
      <c r="GM27" s="156"/>
      <c r="GN27" s="156"/>
      <c r="GO27" s="156"/>
      <c r="GP27" s="156"/>
      <c r="GQ27" s="156"/>
      <c r="GR27" s="156"/>
      <c r="GS27" s="156"/>
      <c r="GT27" s="156"/>
      <c r="GU27" s="156"/>
      <c r="GV27" s="156"/>
      <c r="GW27" s="156"/>
      <c r="GX27" s="156"/>
      <c r="GY27" s="156"/>
      <c r="GZ27" s="156"/>
      <c r="HA27" s="156"/>
      <c r="HB27" s="156"/>
      <c r="HC27" s="156"/>
      <c r="HD27" s="156"/>
      <c r="HE27" s="156"/>
      <c r="HF27" s="156"/>
      <c r="HG27" s="156"/>
      <c r="HH27" s="156"/>
      <c r="HI27" s="156"/>
      <c r="HJ27" s="156"/>
      <c r="HK27" s="156"/>
      <c r="HL27" s="156"/>
      <c r="HM27" s="156"/>
      <c r="HN27" s="156"/>
      <c r="HO27" s="156"/>
      <c r="HP27" s="156"/>
      <c r="HQ27" s="156"/>
      <c r="HR27" s="156"/>
      <c r="HS27" s="156"/>
      <c r="HT27" s="156"/>
      <c r="HU27" s="156"/>
      <c r="HV27" s="156"/>
      <c r="HW27" s="156"/>
      <c r="HX27" s="156"/>
      <c r="HY27" s="156"/>
      <c r="HZ27" s="156"/>
      <c r="IA27" s="156"/>
      <c r="IB27" s="156"/>
      <c r="IC27" s="156"/>
      <c r="ID27" s="156"/>
      <c r="IE27" s="156"/>
      <c r="IF27" s="156"/>
      <c r="IG27" s="156"/>
      <c r="IH27" s="156"/>
      <c r="II27" s="156"/>
      <c r="IJ27" s="156"/>
      <c r="IK27" s="156"/>
      <c r="IL27" s="156"/>
      <c r="IM27" s="156"/>
      <c r="IN27" s="156"/>
      <c r="IO27" s="156"/>
      <c r="IP27" s="156"/>
      <c r="IQ27" s="156"/>
      <c r="IR27" s="156"/>
      <c r="IS27" s="156"/>
      <c r="IT27" s="156"/>
      <c r="IU27" s="156"/>
    </row>
    <row r="28" spans="1:255" s="158" customFormat="1" ht="15" customHeight="1">
      <c r="A28" s="1259"/>
      <c r="B28" s="359" t="s">
        <v>1748</v>
      </c>
      <c r="C28" s="300"/>
      <c r="D28" s="64"/>
      <c r="E28" s="303"/>
      <c r="F28" s="1251" t="str">
        <f>IF(Z15&lt;&gt;0,"Die rote Markierung verschwindet, sobald die Totale übereinstimmen","")</f>
        <v/>
      </c>
      <c r="G28" s="1250"/>
      <c r="H28" s="645"/>
      <c r="J28" s="337"/>
      <c r="K28" s="357"/>
      <c r="L28" s="357"/>
      <c r="M28" s="337"/>
      <c r="N28" s="357"/>
      <c r="O28" s="357"/>
      <c r="P28" s="337"/>
      <c r="Q28" s="357"/>
      <c r="R28" s="337"/>
      <c r="T28" s="360"/>
      <c r="U28" s="360"/>
      <c r="V28" s="349"/>
      <c r="W28" s="349"/>
      <c r="X28" s="349"/>
      <c r="Y28" s="349"/>
      <c r="Z28" s="349"/>
      <c r="AA28" s="349"/>
      <c r="AB28" s="349"/>
      <c r="AC28" s="349"/>
      <c r="AD28" s="349"/>
      <c r="AE28" s="349"/>
      <c r="AF28" s="349"/>
      <c r="AH28" s="156"/>
      <c r="AI28" s="156"/>
      <c r="AJ28" s="156"/>
      <c r="AK28" s="156"/>
      <c r="AL28" s="156"/>
      <c r="AM28" s="156"/>
      <c r="AN28" s="156"/>
      <c r="AO28" s="156"/>
      <c r="AP28" s="156"/>
      <c r="AQ28" s="156"/>
      <c r="AR28" s="156"/>
      <c r="AS28" s="156"/>
      <c r="AT28" s="156"/>
      <c r="AU28" s="156"/>
      <c r="AV28" s="156"/>
      <c r="AW28" s="156"/>
      <c r="AX28" s="156"/>
      <c r="AY28" s="156"/>
      <c r="AZ28" s="156"/>
      <c r="BA28" s="156"/>
      <c r="BB28" s="156"/>
      <c r="BC28" s="156"/>
      <c r="BD28" s="156"/>
      <c r="BE28" s="156"/>
      <c r="BF28" s="156"/>
      <c r="BG28" s="156"/>
      <c r="BH28" s="156"/>
      <c r="BI28" s="156"/>
      <c r="BJ28" s="156"/>
      <c r="BK28" s="156"/>
      <c r="BL28" s="156"/>
      <c r="BM28" s="156"/>
      <c r="BN28" s="156"/>
      <c r="BO28" s="156"/>
      <c r="BP28" s="156"/>
      <c r="BQ28" s="156"/>
      <c r="BR28" s="156"/>
      <c r="BS28" s="156"/>
      <c r="BT28" s="156"/>
      <c r="BU28" s="156"/>
      <c r="BV28" s="156"/>
      <c r="BW28" s="156"/>
      <c r="BX28" s="156"/>
      <c r="BY28" s="156"/>
      <c r="BZ28" s="156"/>
      <c r="CA28" s="156"/>
      <c r="CB28" s="156"/>
      <c r="CC28" s="156"/>
      <c r="CD28" s="156"/>
      <c r="CE28" s="156"/>
      <c r="CF28" s="156"/>
      <c r="CG28" s="156"/>
      <c r="CH28" s="156"/>
      <c r="CI28" s="156"/>
      <c r="CJ28" s="156"/>
      <c r="CK28" s="156"/>
      <c r="CL28" s="156"/>
      <c r="CM28" s="156"/>
      <c r="CN28" s="156"/>
      <c r="CO28" s="156"/>
      <c r="CP28" s="156"/>
      <c r="CQ28" s="156"/>
      <c r="CR28" s="156"/>
      <c r="CS28" s="156"/>
      <c r="CT28" s="156"/>
      <c r="CU28" s="156"/>
      <c r="CV28" s="156"/>
      <c r="CW28" s="156"/>
      <c r="CX28" s="156"/>
      <c r="CY28" s="156"/>
      <c r="CZ28" s="156"/>
      <c r="DA28" s="156"/>
      <c r="DB28" s="156"/>
      <c r="DC28" s="156"/>
      <c r="DD28" s="156"/>
      <c r="DE28" s="156"/>
      <c r="DF28" s="156"/>
      <c r="DG28" s="156"/>
      <c r="DH28" s="156"/>
      <c r="DI28" s="156"/>
      <c r="DJ28" s="156"/>
      <c r="DK28" s="156"/>
      <c r="DL28" s="156"/>
      <c r="DM28" s="156"/>
      <c r="DN28" s="156"/>
      <c r="DO28" s="156"/>
      <c r="DP28" s="156"/>
      <c r="DQ28" s="156"/>
      <c r="DR28" s="156"/>
      <c r="DS28" s="156"/>
      <c r="DT28" s="156"/>
      <c r="DU28" s="156"/>
      <c r="DV28" s="156"/>
      <c r="DW28" s="156"/>
      <c r="DX28" s="156"/>
      <c r="DY28" s="156"/>
      <c r="DZ28" s="156"/>
      <c r="EA28" s="156"/>
      <c r="EB28" s="156"/>
      <c r="EC28" s="156"/>
      <c r="ED28" s="156"/>
      <c r="EE28" s="156"/>
      <c r="EF28" s="156"/>
      <c r="EG28" s="156"/>
      <c r="EH28" s="156"/>
      <c r="EI28" s="156"/>
      <c r="EJ28" s="156"/>
      <c r="EK28" s="156"/>
      <c r="EL28" s="156"/>
      <c r="EM28" s="156"/>
      <c r="EN28" s="156"/>
      <c r="EO28" s="156"/>
      <c r="EP28" s="156"/>
      <c r="EQ28" s="156"/>
      <c r="ER28" s="156"/>
      <c r="ES28" s="156"/>
      <c r="ET28" s="156"/>
      <c r="EU28" s="156"/>
      <c r="EV28" s="156"/>
      <c r="EW28" s="156"/>
      <c r="EX28" s="156"/>
      <c r="EY28" s="156"/>
      <c r="EZ28" s="156"/>
      <c r="FA28" s="156"/>
      <c r="FB28" s="156"/>
      <c r="FC28" s="156"/>
      <c r="FD28" s="156"/>
      <c r="FE28" s="156"/>
      <c r="FF28" s="156"/>
      <c r="FG28" s="156"/>
      <c r="FH28" s="156"/>
      <c r="FI28" s="156"/>
      <c r="FJ28" s="156"/>
      <c r="FK28" s="156"/>
      <c r="FL28" s="156"/>
      <c r="FM28" s="156"/>
      <c r="FN28" s="156"/>
      <c r="FO28" s="156"/>
      <c r="FP28" s="156"/>
      <c r="FQ28" s="156"/>
      <c r="FR28" s="156"/>
      <c r="FS28" s="156"/>
      <c r="FT28" s="156"/>
      <c r="FU28" s="156"/>
      <c r="FV28" s="156"/>
      <c r="FW28" s="156"/>
      <c r="FX28" s="156"/>
      <c r="FY28" s="156"/>
      <c r="FZ28" s="156"/>
      <c r="GA28" s="156"/>
      <c r="GB28" s="156"/>
      <c r="GC28" s="156"/>
      <c r="GD28" s="156"/>
      <c r="GE28" s="156"/>
      <c r="GF28" s="156"/>
      <c r="GG28" s="156"/>
      <c r="GH28" s="156"/>
      <c r="GI28" s="156"/>
      <c r="GJ28" s="156"/>
      <c r="GK28" s="156"/>
      <c r="GL28" s="156"/>
      <c r="GM28" s="156"/>
      <c r="GN28" s="156"/>
      <c r="GO28" s="156"/>
      <c r="GP28" s="156"/>
      <c r="GQ28" s="156"/>
      <c r="GR28" s="156"/>
      <c r="GS28" s="156"/>
      <c r="GT28" s="156"/>
      <c r="GU28" s="156"/>
      <c r="GV28" s="156"/>
      <c r="GW28" s="156"/>
      <c r="GX28" s="156"/>
      <c r="GY28" s="156"/>
      <c r="GZ28" s="156"/>
      <c r="HA28" s="156"/>
      <c r="HB28" s="156"/>
      <c r="HC28" s="156"/>
      <c r="HD28" s="156"/>
      <c r="HE28" s="156"/>
      <c r="HF28" s="156"/>
      <c r="HG28" s="156"/>
      <c r="HH28" s="156"/>
      <c r="HI28" s="156"/>
      <c r="HJ28" s="156"/>
      <c r="HK28" s="156"/>
      <c r="HL28" s="156"/>
      <c r="HM28" s="156"/>
      <c r="HN28" s="156"/>
      <c r="HO28" s="156"/>
      <c r="HP28" s="156"/>
      <c r="HQ28" s="156"/>
      <c r="HR28" s="156"/>
      <c r="HS28" s="156"/>
      <c r="HT28" s="156"/>
      <c r="HU28" s="156"/>
      <c r="HV28" s="156"/>
      <c r="HW28" s="156"/>
      <c r="HX28" s="156"/>
      <c r="HY28" s="156"/>
      <c r="HZ28" s="156"/>
      <c r="IA28" s="156"/>
      <c r="IB28" s="156"/>
      <c r="IC28" s="156"/>
      <c r="ID28" s="156"/>
      <c r="IE28" s="156"/>
      <c r="IF28" s="156"/>
      <c r="IG28" s="156"/>
      <c r="IH28" s="156"/>
      <c r="II28" s="156"/>
      <c r="IJ28" s="156"/>
      <c r="IK28" s="156"/>
      <c r="IL28" s="156"/>
      <c r="IM28" s="156"/>
      <c r="IN28" s="156"/>
      <c r="IO28" s="156"/>
      <c r="IP28" s="156"/>
      <c r="IQ28" s="156"/>
      <c r="IR28" s="156"/>
      <c r="IS28" s="156"/>
      <c r="IT28" s="156"/>
      <c r="IU28" s="156"/>
    </row>
    <row r="29" spans="1:255" s="158" customFormat="1" ht="15" customHeight="1">
      <c r="A29" s="1259"/>
      <c r="B29" s="359" t="s">
        <v>1749</v>
      </c>
      <c r="C29" s="300"/>
      <c r="D29" s="64"/>
      <c r="E29" s="303"/>
      <c r="F29" s="1250"/>
      <c r="G29" s="1250"/>
      <c r="H29" s="645"/>
      <c r="K29" s="357"/>
      <c r="L29" s="357"/>
      <c r="M29" s="337"/>
      <c r="N29" s="357"/>
      <c r="O29" s="357"/>
      <c r="P29" s="337"/>
      <c r="Q29" s="357"/>
      <c r="R29" s="337"/>
      <c r="T29" s="360"/>
      <c r="U29" s="360"/>
      <c r="V29" s="360"/>
      <c r="W29" s="360"/>
      <c r="X29" s="360"/>
      <c r="Y29" s="328"/>
      <c r="Z29" s="328"/>
      <c r="AA29" s="328"/>
      <c r="AB29" s="328"/>
      <c r="AC29" s="328"/>
      <c r="AD29" s="328"/>
      <c r="AE29" s="328"/>
      <c r="AF29" s="328"/>
      <c r="AG29" s="156"/>
      <c r="AH29" s="156"/>
      <c r="AI29" s="156"/>
      <c r="AJ29" s="156"/>
      <c r="AK29" s="156"/>
      <c r="AL29" s="156"/>
      <c r="AM29" s="156"/>
      <c r="AN29" s="156"/>
      <c r="AO29" s="156"/>
      <c r="AP29" s="156"/>
      <c r="AQ29" s="156"/>
      <c r="AR29" s="156"/>
      <c r="AS29" s="156"/>
      <c r="AT29" s="156"/>
      <c r="AU29" s="156"/>
      <c r="AV29" s="156"/>
      <c r="AW29" s="156"/>
      <c r="AX29" s="156"/>
      <c r="AY29" s="156"/>
      <c r="AZ29" s="156"/>
      <c r="BA29" s="156"/>
      <c r="BB29" s="156"/>
      <c r="BC29" s="156"/>
      <c r="BD29" s="156"/>
      <c r="BE29" s="156"/>
      <c r="BF29" s="156"/>
      <c r="BG29" s="156"/>
      <c r="BH29" s="156"/>
      <c r="BI29" s="156"/>
      <c r="BJ29" s="156"/>
      <c r="BK29" s="156"/>
      <c r="BL29" s="156"/>
      <c r="BM29" s="156"/>
      <c r="BN29" s="156"/>
      <c r="BO29" s="156"/>
      <c r="BP29" s="156"/>
      <c r="BQ29" s="156"/>
      <c r="BR29" s="156"/>
      <c r="BS29" s="156"/>
      <c r="BT29" s="156"/>
      <c r="BU29" s="156"/>
      <c r="BV29" s="156"/>
      <c r="BW29" s="156"/>
      <c r="BX29" s="156"/>
      <c r="BY29" s="156"/>
      <c r="BZ29" s="156"/>
      <c r="CA29" s="156"/>
      <c r="CB29" s="156"/>
      <c r="CC29" s="156"/>
      <c r="CD29" s="156"/>
      <c r="CE29" s="156"/>
      <c r="CF29" s="156"/>
      <c r="CG29" s="156"/>
      <c r="CH29" s="156"/>
      <c r="CI29" s="156"/>
      <c r="CJ29" s="156"/>
      <c r="CK29" s="156"/>
      <c r="CL29" s="156"/>
      <c r="CM29" s="156"/>
      <c r="CN29" s="156"/>
      <c r="CO29" s="156"/>
      <c r="CP29" s="156"/>
      <c r="CQ29" s="156"/>
      <c r="CR29" s="156"/>
      <c r="CS29" s="156"/>
      <c r="CT29" s="156"/>
      <c r="CU29" s="156"/>
      <c r="CV29" s="156"/>
      <c r="CW29" s="156"/>
      <c r="CX29" s="156"/>
      <c r="CY29" s="156"/>
      <c r="CZ29" s="156"/>
      <c r="DA29" s="156"/>
      <c r="DB29" s="156"/>
      <c r="DC29" s="156"/>
      <c r="DD29" s="156"/>
      <c r="DE29" s="156"/>
      <c r="DF29" s="156"/>
      <c r="DG29" s="156"/>
      <c r="DH29" s="156"/>
      <c r="DI29" s="156"/>
      <c r="DJ29" s="156"/>
      <c r="DK29" s="156"/>
      <c r="DL29" s="156"/>
      <c r="DM29" s="156"/>
      <c r="DN29" s="156"/>
      <c r="DO29" s="156"/>
      <c r="DP29" s="156"/>
      <c r="DQ29" s="156"/>
      <c r="DR29" s="156"/>
      <c r="DS29" s="156"/>
      <c r="DT29" s="156"/>
      <c r="DU29" s="156"/>
      <c r="DV29" s="156"/>
      <c r="DW29" s="156"/>
      <c r="DX29" s="156"/>
      <c r="DY29" s="156"/>
      <c r="DZ29" s="156"/>
      <c r="EA29" s="156"/>
      <c r="EB29" s="156"/>
      <c r="EC29" s="156"/>
      <c r="ED29" s="156"/>
      <c r="EE29" s="156"/>
      <c r="EF29" s="156"/>
      <c r="EG29" s="156"/>
      <c r="EH29" s="156"/>
      <c r="EI29" s="156"/>
      <c r="EJ29" s="156"/>
      <c r="EK29" s="156"/>
      <c r="EL29" s="156"/>
      <c r="EM29" s="156"/>
      <c r="EN29" s="156"/>
      <c r="EO29" s="156"/>
      <c r="EP29" s="156"/>
      <c r="EQ29" s="156"/>
      <c r="ER29" s="156"/>
      <c r="ES29" s="156"/>
      <c r="ET29" s="156"/>
      <c r="EU29" s="156"/>
      <c r="EV29" s="156"/>
      <c r="EW29" s="156"/>
      <c r="EX29" s="156"/>
      <c r="EY29" s="156"/>
      <c r="EZ29" s="156"/>
      <c r="FA29" s="156"/>
      <c r="FB29" s="156"/>
      <c r="FC29" s="156"/>
      <c r="FD29" s="156"/>
      <c r="FE29" s="156"/>
      <c r="FF29" s="156"/>
      <c r="FG29" s="156"/>
      <c r="FH29" s="156"/>
      <c r="FI29" s="156"/>
      <c r="FJ29" s="156"/>
      <c r="FK29" s="156"/>
      <c r="FL29" s="156"/>
      <c r="FM29" s="156"/>
      <c r="FN29" s="156"/>
      <c r="FO29" s="156"/>
      <c r="FP29" s="156"/>
      <c r="FQ29" s="156"/>
      <c r="FR29" s="156"/>
      <c r="FS29" s="156"/>
      <c r="FT29" s="156"/>
      <c r="FU29" s="156"/>
      <c r="FV29" s="156"/>
      <c r="FW29" s="156"/>
      <c r="FX29" s="156"/>
      <c r="FY29" s="156"/>
      <c r="FZ29" s="156"/>
      <c r="GA29" s="156"/>
      <c r="GB29" s="156"/>
      <c r="GC29" s="156"/>
      <c r="GD29" s="156"/>
      <c r="GE29" s="156"/>
      <c r="GF29" s="156"/>
      <c r="GG29" s="156"/>
      <c r="GH29" s="156"/>
      <c r="GI29" s="156"/>
      <c r="GJ29" s="156"/>
      <c r="GK29" s="156"/>
      <c r="GL29" s="156"/>
      <c r="GM29" s="156"/>
      <c r="GN29" s="156"/>
      <c r="GO29" s="156"/>
      <c r="GP29" s="156"/>
      <c r="GQ29" s="156"/>
      <c r="GR29" s="156"/>
      <c r="GS29" s="156"/>
      <c r="GT29" s="156"/>
      <c r="GU29" s="156"/>
      <c r="GV29" s="156"/>
      <c r="GW29" s="156"/>
      <c r="GX29" s="156"/>
      <c r="GY29" s="156"/>
      <c r="GZ29" s="156"/>
      <c r="HA29" s="156"/>
      <c r="HB29" s="156"/>
      <c r="HC29" s="156"/>
      <c r="HD29" s="156"/>
      <c r="HE29" s="156"/>
      <c r="HF29" s="156"/>
      <c r="HG29" s="156"/>
      <c r="HH29" s="156"/>
      <c r="HI29" s="156"/>
      <c r="HJ29" s="156"/>
      <c r="HK29" s="156"/>
      <c r="HL29" s="156"/>
      <c r="HM29" s="156"/>
      <c r="HN29" s="156"/>
      <c r="HO29" s="156"/>
      <c r="HP29" s="156"/>
      <c r="HQ29" s="156"/>
      <c r="HR29" s="156"/>
      <c r="HS29" s="156"/>
      <c r="HT29" s="156"/>
      <c r="HU29" s="156"/>
      <c r="HV29" s="156"/>
      <c r="HW29" s="156"/>
      <c r="HX29" s="156"/>
      <c r="HY29" s="156"/>
      <c r="HZ29" s="156"/>
      <c r="IA29" s="156"/>
      <c r="IB29" s="156"/>
      <c r="IC29" s="156"/>
      <c r="ID29" s="156"/>
      <c r="IE29" s="156"/>
      <c r="IF29" s="156"/>
      <c r="IG29" s="156"/>
      <c r="IH29" s="156"/>
      <c r="II29" s="156"/>
      <c r="IJ29" s="156"/>
      <c r="IK29" s="156"/>
      <c r="IL29" s="156"/>
      <c r="IM29" s="156"/>
      <c r="IN29" s="156"/>
      <c r="IO29" s="156"/>
      <c r="IP29" s="156"/>
      <c r="IQ29" s="156"/>
      <c r="IR29" s="156"/>
      <c r="IS29" s="156"/>
      <c r="IT29" s="156"/>
      <c r="IU29" s="156"/>
    </row>
    <row r="30" spans="1:255" s="158" customFormat="1" ht="15" customHeight="1">
      <c r="A30" s="1259"/>
      <c r="B30" s="359" t="s">
        <v>1750</v>
      </c>
      <c r="C30" s="300"/>
      <c r="D30" s="64"/>
      <c r="E30" s="303"/>
      <c r="F30" s="1250"/>
      <c r="G30" s="1250"/>
      <c r="H30" s="645"/>
      <c r="K30" s="357"/>
      <c r="L30" s="357"/>
      <c r="M30" s="337"/>
      <c r="N30" s="357"/>
      <c r="O30" s="357"/>
      <c r="P30" s="337"/>
      <c r="Q30" s="357"/>
      <c r="R30" s="337"/>
      <c r="T30" s="360"/>
      <c r="U30" s="360"/>
      <c r="V30" s="360"/>
      <c r="W30" s="360"/>
      <c r="X30" s="360"/>
      <c r="Y30" s="328"/>
      <c r="Z30" s="328"/>
      <c r="AA30" s="328"/>
      <c r="AB30" s="328"/>
      <c r="AC30" s="328"/>
      <c r="AD30" s="328"/>
      <c r="AE30" s="328"/>
      <c r="AF30" s="328"/>
      <c r="AG30" s="156"/>
      <c r="AH30" s="156"/>
      <c r="AI30" s="156"/>
      <c r="AJ30" s="156"/>
      <c r="AK30" s="156"/>
      <c r="AL30" s="156"/>
      <c r="AM30" s="156"/>
      <c r="AN30" s="156"/>
      <c r="AO30" s="156"/>
      <c r="AP30" s="156"/>
      <c r="AQ30" s="156"/>
      <c r="AR30" s="156"/>
      <c r="AS30" s="156"/>
      <c r="AT30" s="156"/>
      <c r="AU30" s="156"/>
      <c r="AV30" s="156"/>
      <c r="AW30" s="156"/>
      <c r="AX30" s="156"/>
      <c r="AY30" s="156"/>
      <c r="AZ30" s="156"/>
      <c r="BA30" s="156"/>
      <c r="BB30" s="156"/>
      <c r="BC30" s="156"/>
      <c r="BD30" s="156"/>
      <c r="BE30" s="156"/>
      <c r="BF30" s="156"/>
      <c r="BG30" s="156"/>
      <c r="BH30" s="156"/>
      <c r="BI30" s="156"/>
      <c r="BJ30" s="156"/>
      <c r="BK30" s="156"/>
      <c r="BL30" s="156"/>
      <c r="BM30" s="156"/>
      <c r="BN30" s="156"/>
      <c r="BO30" s="156"/>
      <c r="BP30" s="156"/>
      <c r="BQ30" s="156"/>
      <c r="BR30" s="156"/>
      <c r="BS30" s="156"/>
      <c r="BT30" s="156"/>
      <c r="BU30" s="156"/>
      <c r="BV30" s="156"/>
      <c r="BW30" s="156"/>
      <c r="BX30" s="156"/>
      <c r="BY30" s="156"/>
      <c r="BZ30" s="156"/>
      <c r="CA30" s="156"/>
      <c r="CB30" s="156"/>
      <c r="CC30" s="156"/>
      <c r="CD30" s="156"/>
      <c r="CE30" s="156"/>
      <c r="CF30" s="156"/>
      <c r="CG30" s="156"/>
      <c r="CH30" s="156"/>
      <c r="CI30" s="156"/>
      <c r="CJ30" s="156"/>
      <c r="CK30" s="156"/>
      <c r="CL30" s="156"/>
      <c r="CM30" s="156"/>
      <c r="CN30" s="156"/>
      <c r="CO30" s="156"/>
      <c r="CP30" s="156"/>
      <c r="CQ30" s="156"/>
      <c r="CR30" s="156"/>
      <c r="CS30" s="156"/>
      <c r="CT30" s="156"/>
      <c r="CU30" s="156"/>
      <c r="CV30" s="156"/>
      <c r="CW30" s="156"/>
      <c r="CX30" s="156"/>
      <c r="CY30" s="156"/>
      <c r="CZ30" s="156"/>
      <c r="DA30" s="156"/>
      <c r="DB30" s="156"/>
      <c r="DC30" s="156"/>
      <c r="DD30" s="156"/>
      <c r="DE30" s="156"/>
      <c r="DF30" s="156"/>
      <c r="DG30" s="156"/>
      <c r="DH30" s="156"/>
      <c r="DI30" s="156"/>
      <c r="DJ30" s="156"/>
      <c r="DK30" s="156"/>
      <c r="DL30" s="156"/>
      <c r="DM30" s="156"/>
      <c r="DN30" s="156"/>
      <c r="DO30" s="156"/>
      <c r="DP30" s="156"/>
      <c r="DQ30" s="156"/>
      <c r="DR30" s="156"/>
      <c r="DS30" s="156"/>
      <c r="DT30" s="156"/>
      <c r="DU30" s="156"/>
      <c r="DV30" s="156"/>
      <c r="DW30" s="156"/>
      <c r="DX30" s="156"/>
      <c r="DY30" s="156"/>
      <c r="DZ30" s="156"/>
      <c r="EA30" s="156"/>
      <c r="EB30" s="156"/>
      <c r="EC30" s="156"/>
      <c r="ED30" s="156"/>
      <c r="EE30" s="156"/>
      <c r="EF30" s="156"/>
      <c r="EG30" s="156"/>
      <c r="EH30" s="156"/>
      <c r="EI30" s="156"/>
      <c r="EJ30" s="156"/>
      <c r="EK30" s="156"/>
      <c r="EL30" s="156"/>
      <c r="EM30" s="156"/>
      <c r="EN30" s="156"/>
      <c r="EO30" s="156"/>
      <c r="EP30" s="156"/>
      <c r="EQ30" s="156"/>
      <c r="ER30" s="156"/>
      <c r="ES30" s="156"/>
      <c r="ET30" s="156"/>
      <c r="EU30" s="156"/>
      <c r="EV30" s="156"/>
      <c r="EW30" s="156"/>
      <c r="EX30" s="156"/>
      <c r="EY30" s="156"/>
      <c r="EZ30" s="156"/>
      <c r="FA30" s="156"/>
      <c r="FB30" s="156"/>
      <c r="FC30" s="156"/>
      <c r="FD30" s="156"/>
      <c r="FE30" s="156"/>
      <c r="FF30" s="156"/>
      <c r="FG30" s="156"/>
      <c r="FH30" s="156"/>
      <c r="FI30" s="156"/>
      <c r="FJ30" s="156"/>
      <c r="FK30" s="156"/>
      <c r="FL30" s="156"/>
      <c r="FM30" s="156"/>
      <c r="FN30" s="156"/>
      <c r="FO30" s="156"/>
      <c r="FP30" s="156"/>
      <c r="FQ30" s="156"/>
      <c r="FR30" s="156"/>
      <c r="FS30" s="156"/>
      <c r="FT30" s="156"/>
      <c r="FU30" s="156"/>
      <c r="FV30" s="156"/>
      <c r="FW30" s="156"/>
      <c r="FX30" s="156"/>
      <c r="FY30" s="156"/>
      <c r="FZ30" s="156"/>
      <c r="GA30" s="156"/>
      <c r="GB30" s="156"/>
      <c r="GC30" s="156"/>
      <c r="GD30" s="156"/>
      <c r="GE30" s="156"/>
      <c r="GF30" s="156"/>
      <c r="GG30" s="156"/>
      <c r="GH30" s="156"/>
      <c r="GI30" s="156"/>
      <c r="GJ30" s="156"/>
      <c r="GK30" s="156"/>
      <c r="GL30" s="156"/>
      <c r="GM30" s="156"/>
      <c r="GN30" s="156"/>
      <c r="GO30" s="156"/>
      <c r="GP30" s="156"/>
      <c r="GQ30" s="156"/>
      <c r="GR30" s="156"/>
      <c r="GS30" s="156"/>
      <c r="GT30" s="156"/>
      <c r="GU30" s="156"/>
      <c r="GV30" s="156"/>
      <c r="GW30" s="156"/>
      <c r="GX30" s="156"/>
      <c r="GY30" s="156"/>
      <c r="GZ30" s="156"/>
      <c r="HA30" s="156"/>
      <c r="HB30" s="156"/>
      <c r="HC30" s="156"/>
      <c r="HD30" s="156"/>
      <c r="HE30" s="156"/>
      <c r="HF30" s="156"/>
      <c r="HG30" s="156"/>
      <c r="HH30" s="156"/>
      <c r="HI30" s="156"/>
      <c r="HJ30" s="156"/>
      <c r="HK30" s="156"/>
      <c r="HL30" s="156"/>
      <c r="HM30" s="156"/>
      <c r="HN30" s="156"/>
      <c r="HO30" s="156"/>
      <c r="HP30" s="156"/>
      <c r="HQ30" s="156"/>
      <c r="HR30" s="156"/>
      <c r="HS30" s="156"/>
      <c r="HT30" s="156"/>
      <c r="HU30" s="156"/>
      <c r="HV30" s="156"/>
      <c r="HW30" s="156"/>
      <c r="HX30" s="156"/>
      <c r="HY30" s="156"/>
      <c r="HZ30" s="156"/>
      <c r="IA30" s="156"/>
      <c r="IB30" s="156"/>
      <c r="IC30" s="156"/>
      <c r="ID30" s="156"/>
      <c r="IE30" s="156"/>
      <c r="IF30" s="156"/>
      <c r="IG30" s="156"/>
      <c r="IH30" s="156"/>
      <c r="II30" s="156"/>
      <c r="IJ30" s="156"/>
      <c r="IK30" s="156"/>
      <c r="IL30" s="156"/>
      <c r="IM30" s="156"/>
      <c r="IN30" s="156"/>
      <c r="IO30" s="156"/>
      <c r="IP30" s="156"/>
      <c r="IQ30" s="156"/>
      <c r="IR30" s="156"/>
      <c r="IS30" s="156"/>
      <c r="IT30" s="156"/>
      <c r="IU30" s="156"/>
    </row>
    <row r="31" spans="1:255" s="158" customFormat="1" ht="15" customHeight="1">
      <c r="A31" s="1259"/>
      <c r="B31" s="359" t="s">
        <v>1751</v>
      </c>
      <c r="C31" s="301"/>
      <c r="D31" s="307"/>
      <c r="E31" s="304"/>
      <c r="F31" s="1250"/>
      <c r="G31" s="1250"/>
      <c r="H31" s="645"/>
      <c r="K31" s="357"/>
      <c r="L31" s="357"/>
      <c r="M31" s="361"/>
      <c r="N31" s="357"/>
      <c r="O31" s="357"/>
      <c r="P31" s="361"/>
      <c r="Q31" s="357"/>
      <c r="R31" s="337"/>
      <c r="T31" s="360"/>
      <c r="U31" s="360"/>
      <c r="V31" s="360"/>
      <c r="W31" s="360"/>
      <c r="X31" s="360"/>
      <c r="Y31" s="328"/>
      <c r="Z31" s="328"/>
      <c r="AA31" s="328"/>
      <c r="AB31" s="328"/>
      <c r="AC31" s="328"/>
      <c r="AD31" s="328"/>
      <c r="AE31" s="328"/>
      <c r="AF31" s="328"/>
      <c r="AG31" s="156"/>
      <c r="AH31" s="156"/>
      <c r="AI31" s="156"/>
      <c r="AJ31" s="156"/>
      <c r="AK31" s="156"/>
      <c r="AL31" s="156"/>
      <c r="AM31" s="156"/>
      <c r="AN31" s="156"/>
      <c r="AO31" s="156"/>
      <c r="AP31" s="156"/>
      <c r="AQ31" s="156"/>
      <c r="AR31" s="156"/>
      <c r="AS31" s="156"/>
      <c r="AT31" s="156"/>
      <c r="AU31" s="156"/>
      <c r="AV31" s="156"/>
      <c r="AW31" s="156"/>
      <c r="AX31" s="156"/>
      <c r="AY31" s="156"/>
      <c r="AZ31" s="156"/>
      <c r="BA31" s="156"/>
      <c r="BB31" s="156"/>
      <c r="BC31" s="156"/>
      <c r="BD31" s="156"/>
      <c r="BE31" s="156"/>
      <c r="BF31" s="156"/>
      <c r="BG31" s="156"/>
      <c r="BH31" s="156"/>
      <c r="BI31" s="156"/>
      <c r="BJ31" s="156"/>
      <c r="BK31" s="156"/>
      <c r="BL31" s="156"/>
      <c r="BM31" s="156"/>
      <c r="BN31" s="156"/>
      <c r="BO31" s="156"/>
      <c r="BP31" s="156"/>
      <c r="BQ31" s="156"/>
      <c r="BR31" s="156"/>
      <c r="BS31" s="156"/>
      <c r="BT31" s="156"/>
      <c r="BU31" s="156"/>
      <c r="BV31" s="156"/>
      <c r="BW31" s="156"/>
      <c r="BX31" s="156"/>
      <c r="BY31" s="156"/>
      <c r="BZ31" s="156"/>
      <c r="CA31" s="156"/>
      <c r="CB31" s="156"/>
      <c r="CC31" s="156"/>
      <c r="CD31" s="156"/>
      <c r="CE31" s="156"/>
      <c r="CF31" s="156"/>
      <c r="CG31" s="156"/>
      <c r="CH31" s="156"/>
      <c r="CI31" s="156"/>
      <c r="CJ31" s="156"/>
      <c r="CK31" s="156"/>
      <c r="CL31" s="156"/>
      <c r="CM31" s="156"/>
      <c r="CN31" s="156"/>
      <c r="CO31" s="156"/>
      <c r="CP31" s="156"/>
      <c r="CQ31" s="156"/>
      <c r="CR31" s="156"/>
      <c r="CS31" s="156"/>
      <c r="CT31" s="156"/>
      <c r="CU31" s="156"/>
      <c r="CV31" s="156"/>
      <c r="CW31" s="156"/>
      <c r="CX31" s="156"/>
      <c r="CY31" s="156"/>
      <c r="CZ31" s="156"/>
      <c r="DA31" s="156"/>
      <c r="DB31" s="156"/>
      <c r="DC31" s="156"/>
      <c r="DD31" s="156"/>
      <c r="DE31" s="156"/>
      <c r="DF31" s="156"/>
      <c r="DG31" s="156"/>
      <c r="DH31" s="156"/>
      <c r="DI31" s="156"/>
      <c r="DJ31" s="156"/>
      <c r="DK31" s="156"/>
      <c r="DL31" s="156"/>
      <c r="DM31" s="156"/>
      <c r="DN31" s="156"/>
      <c r="DO31" s="156"/>
      <c r="DP31" s="156"/>
      <c r="DQ31" s="156"/>
      <c r="DR31" s="156"/>
      <c r="DS31" s="156"/>
      <c r="DT31" s="156"/>
      <c r="DU31" s="156"/>
      <c r="DV31" s="156"/>
      <c r="DW31" s="156"/>
      <c r="DX31" s="156"/>
      <c r="DY31" s="156"/>
      <c r="DZ31" s="156"/>
      <c r="EA31" s="156"/>
      <c r="EB31" s="156"/>
      <c r="EC31" s="156"/>
      <c r="ED31" s="156"/>
      <c r="EE31" s="156"/>
      <c r="EF31" s="156"/>
      <c r="EG31" s="156"/>
      <c r="EH31" s="156"/>
      <c r="EI31" s="156"/>
      <c r="EJ31" s="156"/>
      <c r="EK31" s="156"/>
      <c r="EL31" s="156"/>
      <c r="EM31" s="156"/>
      <c r="EN31" s="156"/>
      <c r="EO31" s="156"/>
      <c r="EP31" s="156"/>
      <c r="EQ31" s="156"/>
      <c r="ER31" s="156"/>
      <c r="ES31" s="156"/>
      <c r="ET31" s="156"/>
      <c r="EU31" s="156"/>
      <c r="EV31" s="156"/>
      <c r="EW31" s="156"/>
      <c r="EX31" s="156"/>
      <c r="EY31" s="156"/>
      <c r="EZ31" s="156"/>
      <c r="FA31" s="156"/>
      <c r="FB31" s="156"/>
      <c r="FC31" s="156"/>
      <c r="FD31" s="156"/>
      <c r="FE31" s="156"/>
      <c r="FF31" s="156"/>
      <c r="FG31" s="156"/>
      <c r="FH31" s="156"/>
      <c r="FI31" s="156"/>
      <c r="FJ31" s="156"/>
      <c r="FK31" s="156"/>
      <c r="FL31" s="156"/>
      <c r="FM31" s="156"/>
      <c r="FN31" s="156"/>
      <c r="FO31" s="156"/>
      <c r="FP31" s="156"/>
      <c r="FQ31" s="156"/>
      <c r="FR31" s="156"/>
      <c r="FS31" s="156"/>
      <c r="FT31" s="156"/>
      <c r="FU31" s="156"/>
      <c r="FV31" s="156"/>
      <c r="FW31" s="156"/>
      <c r="FX31" s="156"/>
      <c r="FY31" s="156"/>
      <c r="FZ31" s="156"/>
      <c r="GA31" s="156"/>
      <c r="GB31" s="156"/>
      <c r="GC31" s="156"/>
      <c r="GD31" s="156"/>
      <c r="GE31" s="156"/>
      <c r="GF31" s="156"/>
      <c r="GG31" s="156"/>
      <c r="GH31" s="156"/>
      <c r="GI31" s="156"/>
      <c r="GJ31" s="156"/>
      <c r="GK31" s="156"/>
      <c r="GL31" s="156"/>
      <c r="GM31" s="156"/>
      <c r="GN31" s="156"/>
      <c r="GO31" s="156"/>
      <c r="GP31" s="156"/>
      <c r="GQ31" s="156"/>
      <c r="GR31" s="156"/>
      <c r="GS31" s="156"/>
      <c r="GT31" s="156"/>
      <c r="GU31" s="156"/>
      <c r="GV31" s="156"/>
      <c r="GW31" s="156"/>
      <c r="GX31" s="156"/>
      <c r="GY31" s="156"/>
      <c r="GZ31" s="156"/>
      <c r="HA31" s="156"/>
      <c r="HB31" s="156"/>
      <c r="HC31" s="156"/>
      <c r="HD31" s="156"/>
      <c r="HE31" s="156"/>
      <c r="HF31" s="156"/>
      <c r="HG31" s="156"/>
      <c r="HH31" s="156"/>
      <c r="HI31" s="156"/>
      <c r="HJ31" s="156"/>
      <c r="HK31" s="156"/>
      <c r="HL31" s="156"/>
      <c r="HM31" s="156"/>
      <c r="HN31" s="156"/>
      <c r="HO31" s="156"/>
      <c r="HP31" s="156"/>
      <c r="HQ31" s="156"/>
      <c r="HR31" s="156"/>
      <c r="HS31" s="156"/>
      <c r="HT31" s="156"/>
      <c r="HU31" s="156"/>
      <c r="HV31" s="156"/>
      <c r="HW31" s="156"/>
      <c r="HX31" s="156"/>
      <c r="HY31" s="156"/>
      <c r="HZ31" s="156"/>
      <c r="IA31" s="156"/>
      <c r="IB31" s="156"/>
      <c r="IC31" s="156"/>
      <c r="ID31" s="156"/>
      <c r="IE31" s="156"/>
      <c r="IF31" s="156"/>
      <c r="IG31" s="156"/>
      <c r="IH31" s="156"/>
      <c r="II31" s="156"/>
      <c r="IJ31" s="156"/>
      <c r="IK31" s="156"/>
      <c r="IL31" s="156"/>
      <c r="IM31" s="156"/>
      <c r="IN31" s="156"/>
      <c r="IO31" s="156"/>
      <c r="IP31" s="156"/>
      <c r="IQ31" s="156"/>
      <c r="IR31" s="156"/>
      <c r="IS31" s="156"/>
      <c r="IT31" s="156"/>
      <c r="IU31" s="156"/>
    </row>
    <row r="32" spans="1:255" s="158" customFormat="1" ht="15" customHeight="1">
      <c r="A32" s="1259"/>
      <c r="B32" s="359" t="s">
        <v>1752</v>
      </c>
      <c r="C32" s="300"/>
      <c r="D32" s="64"/>
      <c r="E32" s="303"/>
      <c r="F32" s="645"/>
      <c r="G32" s="645"/>
      <c r="H32" s="645"/>
      <c r="K32" s="357"/>
      <c r="L32" s="357"/>
      <c r="M32" s="337"/>
      <c r="N32" s="357"/>
      <c r="O32" s="357"/>
      <c r="P32" s="337"/>
      <c r="Q32" s="357"/>
      <c r="R32" s="337"/>
      <c r="T32" s="360"/>
      <c r="U32" s="360"/>
      <c r="V32" s="360"/>
      <c r="W32" s="360"/>
      <c r="X32" s="360"/>
      <c r="Y32" s="328"/>
      <c r="Z32" s="328"/>
      <c r="AA32" s="328"/>
      <c r="AB32" s="328"/>
      <c r="AC32" s="328"/>
      <c r="AD32" s="328"/>
      <c r="AE32" s="328"/>
      <c r="AF32" s="328"/>
      <c r="AG32" s="156"/>
      <c r="AH32" s="156"/>
      <c r="AI32" s="156"/>
      <c r="AJ32" s="156"/>
      <c r="AK32" s="156"/>
      <c r="AL32" s="156"/>
      <c r="AM32" s="156"/>
      <c r="AN32" s="156"/>
      <c r="AO32" s="156"/>
      <c r="AP32" s="156"/>
      <c r="AQ32" s="156"/>
      <c r="AR32" s="156"/>
      <c r="AS32" s="156"/>
      <c r="AT32" s="156"/>
      <c r="AU32" s="156"/>
      <c r="AV32" s="156"/>
      <c r="AW32" s="156"/>
      <c r="AX32" s="156"/>
      <c r="AY32" s="156"/>
      <c r="AZ32" s="156"/>
      <c r="BA32" s="156"/>
      <c r="BB32" s="156"/>
      <c r="BC32" s="156"/>
      <c r="BD32" s="156"/>
      <c r="BE32" s="156"/>
      <c r="BF32" s="156"/>
      <c r="BG32" s="156"/>
      <c r="BH32" s="156"/>
      <c r="BI32" s="156"/>
      <c r="BJ32" s="156"/>
      <c r="BK32" s="156"/>
      <c r="BL32" s="156"/>
      <c r="BM32" s="156"/>
      <c r="BN32" s="156"/>
      <c r="BO32" s="156"/>
      <c r="BP32" s="156"/>
      <c r="BQ32" s="156"/>
      <c r="BR32" s="156"/>
      <c r="BS32" s="156"/>
      <c r="BT32" s="156"/>
      <c r="BU32" s="156"/>
      <c r="BV32" s="156"/>
      <c r="BW32" s="156"/>
      <c r="BX32" s="156"/>
      <c r="BY32" s="156"/>
      <c r="BZ32" s="156"/>
      <c r="CA32" s="156"/>
      <c r="CB32" s="156"/>
      <c r="CC32" s="156"/>
      <c r="CD32" s="156"/>
      <c r="CE32" s="156"/>
      <c r="CF32" s="156"/>
      <c r="CG32" s="156"/>
      <c r="CH32" s="156"/>
      <c r="CI32" s="156"/>
      <c r="CJ32" s="156"/>
      <c r="CK32" s="156"/>
      <c r="CL32" s="156"/>
      <c r="CM32" s="156"/>
      <c r="CN32" s="156"/>
      <c r="CO32" s="156"/>
      <c r="CP32" s="156"/>
      <c r="CQ32" s="156"/>
      <c r="CR32" s="156"/>
      <c r="CS32" s="156"/>
      <c r="CT32" s="156"/>
      <c r="CU32" s="156"/>
      <c r="CV32" s="156"/>
      <c r="CW32" s="156"/>
      <c r="CX32" s="156"/>
      <c r="CY32" s="156"/>
      <c r="CZ32" s="156"/>
      <c r="DA32" s="156"/>
      <c r="DB32" s="156"/>
      <c r="DC32" s="156"/>
      <c r="DD32" s="156"/>
      <c r="DE32" s="156"/>
      <c r="DF32" s="156"/>
      <c r="DG32" s="156"/>
      <c r="DH32" s="156"/>
      <c r="DI32" s="156"/>
      <c r="DJ32" s="156"/>
      <c r="DK32" s="156"/>
      <c r="DL32" s="156"/>
      <c r="DM32" s="156"/>
      <c r="DN32" s="156"/>
      <c r="DO32" s="156"/>
      <c r="DP32" s="156"/>
      <c r="DQ32" s="156"/>
      <c r="DR32" s="156"/>
      <c r="DS32" s="156"/>
      <c r="DT32" s="156"/>
      <c r="DU32" s="156"/>
      <c r="DV32" s="156"/>
      <c r="DW32" s="156"/>
      <c r="DX32" s="156"/>
      <c r="DY32" s="156"/>
      <c r="DZ32" s="156"/>
      <c r="EA32" s="156"/>
      <c r="EB32" s="156"/>
      <c r="EC32" s="156"/>
      <c r="ED32" s="156"/>
      <c r="EE32" s="156"/>
      <c r="EF32" s="156"/>
      <c r="EG32" s="156"/>
      <c r="EH32" s="156"/>
      <c r="EI32" s="156"/>
      <c r="EJ32" s="156"/>
      <c r="EK32" s="156"/>
      <c r="EL32" s="156"/>
      <c r="EM32" s="156"/>
      <c r="EN32" s="156"/>
      <c r="EO32" s="156"/>
      <c r="EP32" s="156"/>
      <c r="EQ32" s="156"/>
      <c r="ER32" s="156"/>
      <c r="ES32" s="156"/>
      <c r="ET32" s="156"/>
      <c r="EU32" s="156"/>
      <c r="EV32" s="156"/>
      <c r="EW32" s="156"/>
      <c r="EX32" s="156"/>
      <c r="EY32" s="156"/>
      <c r="EZ32" s="156"/>
      <c r="FA32" s="156"/>
      <c r="FB32" s="156"/>
      <c r="FC32" s="156"/>
      <c r="FD32" s="156"/>
      <c r="FE32" s="156"/>
      <c r="FF32" s="156"/>
      <c r="FG32" s="156"/>
      <c r="FH32" s="156"/>
      <c r="FI32" s="156"/>
      <c r="FJ32" s="156"/>
      <c r="FK32" s="156"/>
      <c r="FL32" s="156"/>
      <c r="FM32" s="156"/>
      <c r="FN32" s="156"/>
      <c r="FO32" s="156"/>
      <c r="FP32" s="156"/>
      <c r="FQ32" s="156"/>
      <c r="FR32" s="156"/>
      <c r="FS32" s="156"/>
      <c r="FT32" s="156"/>
      <c r="FU32" s="156"/>
      <c r="FV32" s="156"/>
      <c r="FW32" s="156"/>
      <c r="FX32" s="156"/>
      <c r="FY32" s="156"/>
      <c r="FZ32" s="156"/>
      <c r="GA32" s="156"/>
      <c r="GB32" s="156"/>
      <c r="GC32" s="156"/>
      <c r="GD32" s="156"/>
      <c r="GE32" s="156"/>
      <c r="GF32" s="156"/>
      <c r="GG32" s="156"/>
      <c r="GH32" s="156"/>
      <c r="GI32" s="156"/>
      <c r="GJ32" s="156"/>
      <c r="GK32" s="156"/>
      <c r="GL32" s="156"/>
      <c r="GM32" s="156"/>
      <c r="GN32" s="156"/>
      <c r="GO32" s="156"/>
      <c r="GP32" s="156"/>
      <c r="GQ32" s="156"/>
      <c r="GR32" s="156"/>
      <c r="GS32" s="156"/>
      <c r="GT32" s="156"/>
      <c r="GU32" s="156"/>
      <c r="GV32" s="156"/>
      <c r="GW32" s="156"/>
      <c r="GX32" s="156"/>
      <c r="GY32" s="156"/>
      <c r="GZ32" s="156"/>
      <c r="HA32" s="156"/>
      <c r="HB32" s="156"/>
      <c r="HC32" s="156"/>
      <c r="HD32" s="156"/>
      <c r="HE32" s="156"/>
      <c r="HF32" s="156"/>
      <c r="HG32" s="156"/>
      <c r="HH32" s="156"/>
      <c r="HI32" s="156"/>
      <c r="HJ32" s="156"/>
      <c r="HK32" s="156"/>
      <c r="HL32" s="156"/>
      <c r="HM32" s="156"/>
      <c r="HN32" s="156"/>
      <c r="HO32" s="156"/>
      <c r="HP32" s="156"/>
      <c r="HQ32" s="156"/>
      <c r="HR32" s="156"/>
      <c r="HS32" s="156"/>
      <c r="HT32" s="156"/>
      <c r="HU32" s="156"/>
      <c r="HV32" s="156"/>
      <c r="HW32" s="156"/>
      <c r="HX32" s="156"/>
      <c r="HY32" s="156"/>
      <c r="HZ32" s="156"/>
      <c r="IA32" s="156"/>
      <c r="IB32" s="156"/>
      <c r="IC32" s="156"/>
      <c r="ID32" s="156"/>
      <c r="IE32" s="156"/>
      <c r="IF32" s="156"/>
      <c r="IG32" s="156"/>
      <c r="IH32" s="156"/>
      <c r="II32" s="156"/>
      <c r="IJ32" s="156"/>
      <c r="IK32" s="156"/>
      <c r="IL32" s="156"/>
      <c r="IM32" s="156"/>
      <c r="IN32" s="156"/>
      <c r="IO32" s="156"/>
      <c r="IP32" s="156"/>
      <c r="IQ32" s="156"/>
      <c r="IR32" s="156"/>
      <c r="IS32" s="156"/>
      <c r="IT32" s="156"/>
      <c r="IU32" s="156"/>
    </row>
    <row r="33" spans="1:255" s="158" customFormat="1" ht="15" customHeight="1">
      <c r="A33" s="1259"/>
      <c r="B33" s="359" t="s">
        <v>1753</v>
      </c>
      <c r="C33" s="300"/>
      <c r="D33" s="64"/>
      <c r="E33" s="303"/>
      <c r="G33" s="645"/>
      <c r="H33" s="645"/>
      <c r="J33" s="337"/>
      <c r="K33" s="357"/>
      <c r="L33" s="357"/>
      <c r="M33" s="337"/>
      <c r="N33" s="357"/>
      <c r="O33" s="357"/>
      <c r="P33" s="337"/>
      <c r="Q33" s="357"/>
      <c r="R33" s="337"/>
      <c r="T33" s="360"/>
      <c r="U33" s="360"/>
      <c r="V33" s="360"/>
      <c r="W33" s="360"/>
      <c r="X33" s="360"/>
      <c r="Y33" s="328"/>
      <c r="Z33" s="328"/>
      <c r="AA33" s="328"/>
      <c r="AB33" s="328"/>
      <c r="AC33" s="328"/>
      <c r="AD33" s="328"/>
      <c r="AE33" s="328"/>
      <c r="AF33" s="328"/>
      <c r="AG33" s="156"/>
      <c r="AH33" s="156"/>
      <c r="AI33" s="156"/>
      <c r="AJ33" s="156"/>
      <c r="AK33" s="156"/>
      <c r="AL33" s="156"/>
      <c r="AM33" s="156"/>
      <c r="AN33" s="156"/>
      <c r="AO33" s="156"/>
      <c r="AP33" s="156"/>
      <c r="AQ33" s="156"/>
      <c r="AR33" s="156"/>
      <c r="AS33" s="156"/>
      <c r="AT33" s="156"/>
      <c r="AU33" s="156"/>
      <c r="AV33" s="156"/>
      <c r="AW33" s="156"/>
      <c r="AX33" s="156"/>
      <c r="AY33" s="156"/>
      <c r="AZ33" s="156"/>
      <c r="BA33" s="156"/>
      <c r="BB33" s="156"/>
      <c r="BC33" s="156"/>
      <c r="BD33" s="156"/>
      <c r="BE33" s="156"/>
      <c r="BF33" s="156"/>
      <c r="BG33" s="156"/>
      <c r="BH33" s="156"/>
      <c r="BI33" s="156"/>
      <c r="BJ33" s="156"/>
      <c r="BK33" s="156"/>
      <c r="BL33" s="156"/>
      <c r="BM33" s="156"/>
      <c r="BN33" s="156"/>
      <c r="BO33" s="156"/>
      <c r="BP33" s="156"/>
      <c r="BQ33" s="156"/>
      <c r="BR33" s="156"/>
      <c r="BS33" s="156"/>
      <c r="BT33" s="156"/>
      <c r="BU33" s="156"/>
      <c r="BV33" s="156"/>
      <c r="BW33" s="156"/>
      <c r="BX33" s="156"/>
      <c r="BY33" s="156"/>
      <c r="BZ33" s="156"/>
      <c r="CA33" s="156"/>
      <c r="CB33" s="156"/>
      <c r="CC33" s="156"/>
      <c r="CD33" s="156"/>
      <c r="CE33" s="156"/>
      <c r="CF33" s="156"/>
      <c r="CG33" s="156"/>
      <c r="CH33" s="156"/>
      <c r="CI33" s="156"/>
      <c r="CJ33" s="156"/>
      <c r="CK33" s="156"/>
      <c r="CL33" s="156"/>
      <c r="CM33" s="156"/>
      <c r="CN33" s="156"/>
      <c r="CO33" s="156"/>
      <c r="CP33" s="156"/>
      <c r="CQ33" s="156"/>
      <c r="CR33" s="156"/>
      <c r="CS33" s="156"/>
      <c r="CT33" s="156"/>
      <c r="CU33" s="156"/>
      <c r="CV33" s="156"/>
      <c r="CW33" s="156"/>
      <c r="CX33" s="156"/>
      <c r="CY33" s="156"/>
      <c r="CZ33" s="156"/>
      <c r="DA33" s="156"/>
      <c r="DB33" s="156"/>
      <c r="DC33" s="156"/>
      <c r="DD33" s="156"/>
      <c r="DE33" s="156"/>
      <c r="DF33" s="156"/>
      <c r="DG33" s="156"/>
      <c r="DH33" s="156"/>
      <c r="DI33" s="156"/>
      <c r="DJ33" s="156"/>
      <c r="DK33" s="156"/>
      <c r="DL33" s="156"/>
      <c r="DM33" s="156"/>
      <c r="DN33" s="156"/>
      <c r="DO33" s="156"/>
      <c r="DP33" s="156"/>
      <c r="DQ33" s="156"/>
      <c r="DR33" s="156"/>
      <c r="DS33" s="156"/>
      <c r="DT33" s="156"/>
      <c r="DU33" s="156"/>
      <c r="DV33" s="156"/>
      <c r="DW33" s="156"/>
      <c r="DX33" s="156"/>
      <c r="DY33" s="156"/>
      <c r="DZ33" s="156"/>
      <c r="EA33" s="156"/>
      <c r="EB33" s="156"/>
      <c r="EC33" s="156"/>
      <c r="ED33" s="156"/>
      <c r="EE33" s="156"/>
      <c r="EF33" s="156"/>
      <c r="EG33" s="156"/>
      <c r="EH33" s="156"/>
      <c r="EI33" s="156"/>
      <c r="EJ33" s="156"/>
      <c r="EK33" s="156"/>
      <c r="EL33" s="156"/>
      <c r="EM33" s="156"/>
      <c r="EN33" s="156"/>
      <c r="EO33" s="156"/>
      <c r="EP33" s="156"/>
      <c r="EQ33" s="156"/>
      <c r="ER33" s="156"/>
      <c r="ES33" s="156"/>
      <c r="ET33" s="156"/>
      <c r="EU33" s="156"/>
      <c r="EV33" s="156"/>
      <c r="EW33" s="156"/>
      <c r="EX33" s="156"/>
      <c r="EY33" s="156"/>
      <c r="EZ33" s="156"/>
      <c r="FA33" s="156"/>
      <c r="FB33" s="156"/>
      <c r="FC33" s="156"/>
      <c r="FD33" s="156"/>
      <c r="FE33" s="156"/>
      <c r="FF33" s="156"/>
      <c r="FG33" s="156"/>
      <c r="FH33" s="156"/>
      <c r="FI33" s="156"/>
      <c r="FJ33" s="156"/>
      <c r="FK33" s="156"/>
      <c r="FL33" s="156"/>
      <c r="FM33" s="156"/>
      <c r="FN33" s="156"/>
      <c r="FO33" s="156"/>
      <c r="FP33" s="156"/>
      <c r="FQ33" s="156"/>
      <c r="FR33" s="156"/>
      <c r="FS33" s="156"/>
      <c r="FT33" s="156"/>
      <c r="FU33" s="156"/>
      <c r="FV33" s="156"/>
      <c r="FW33" s="156"/>
      <c r="FX33" s="156"/>
      <c r="FY33" s="156"/>
      <c r="FZ33" s="156"/>
      <c r="GA33" s="156"/>
      <c r="GB33" s="156"/>
      <c r="GC33" s="156"/>
      <c r="GD33" s="156"/>
      <c r="GE33" s="156"/>
      <c r="GF33" s="156"/>
      <c r="GG33" s="156"/>
      <c r="GH33" s="156"/>
      <c r="GI33" s="156"/>
      <c r="GJ33" s="156"/>
      <c r="GK33" s="156"/>
      <c r="GL33" s="156"/>
      <c r="GM33" s="156"/>
      <c r="GN33" s="156"/>
      <c r="GO33" s="156"/>
      <c r="GP33" s="156"/>
      <c r="GQ33" s="156"/>
      <c r="GR33" s="156"/>
      <c r="GS33" s="156"/>
      <c r="GT33" s="156"/>
      <c r="GU33" s="156"/>
      <c r="GV33" s="156"/>
      <c r="GW33" s="156"/>
      <c r="GX33" s="156"/>
      <c r="GY33" s="156"/>
      <c r="GZ33" s="156"/>
      <c r="HA33" s="156"/>
      <c r="HB33" s="156"/>
      <c r="HC33" s="156"/>
      <c r="HD33" s="156"/>
      <c r="HE33" s="156"/>
      <c r="HF33" s="156"/>
      <c r="HG33" s="156"/>
      <c r="HH33" s="156"/>
      <c r="HI33" s="156"/>
      <c r="HJ33" s="156"/>
      <c r="HK33" s="156"/>
      <c r="HL33" s="156"/>
      <c r="HM33" s="156"/>
      <c r="HN33" s="156"/>
      <c r="HO33" s="156"/>
      <c r="HP33" s="156"/>
      <c r="HQ33" s="156"/>
      <c r="HR33" s="156"/>
      <c r="HS33" s="156"/>
      <c r="HT33" s="156"/>
      <c r="HU33" s="156"/>
      <c r="HV33" s="156"/>
      <c r="HW33" s="156"/>
      <c r="HX33" s="156"/>
      <c r="HY33" s="156"/>
      <c r="HZ33" s="156"/>
      <c r="IA33" s="156"/>
      <c r="IB33" s="156"/>
      <c r="IC33" s="156"/>
      <c r="ID33" s="156"/>
      <c r="IE33" s="156"/>
      <c r="IF33" s="156"/>
      <c r="IG33" s="156"/>
      <c r="IH33" s="156"/>
      <c r="II33" s="156"/>
      <c r="IJ33" s="156"/>
      <c r="IK33" s="156"/>
      <c r="IL33" s="156"/>
      <c r="IM33" s="156"/>
      <c r="IN33" s="156"/>
      <c r="IO33" s="156"/>
      <c r="IP33" s="156"/>
      <c r="IQ33" s="156"/>
      <c r="IR33" s="156"/>
      <c r="IS33" s="156"/>
      <c r="IT33" s="156"/>
      <c r="IU33" s="156"/>
    </row>
    <row r="34" spans="1:255" s="158" customFormat="1" ht="15" customHeight="1">
      <c r="A34" s="1259"/>
      <c r="B34" s="359" t="s">
        <v>1754</v>
      </c>
      <c r="C34" s="300"/>
      <c r="D34" s="64"/>
      <c r="E34" s="303"/>
      <c r="G34" s="645"/>
      <c r="H34" s="645"/>
      <c r="J34" s="337"/>
      <c r="K34" s="357"/>
      <c r="L34" s="357"/>
      <c r="M34" s="337"/>
      <c r="N34" s="357"/>
      <c r="O34" s="357"/>
      <c r="P34" s="337"/>
      <c r="Q34" s="357"/>
      <c r="R34" s="337"/>
      <c r="T34" s="360"/>
      <c r="U34" s="360"/>
      <c r="V34" s="360"/>
      <c r="W34" s="360"/>
      <c r="X34" s="360"/>
      <c r="Y34" s="328"/>
      <c r="Z34" s="328"/>
      <c r="AA34" s="328"/>
      <c r="AB34" s="328"/>
      <c r="AC34" s="328"/>
      <c r="AD34" s="328"/>
      <c r="AE34" s="328"/>
      <c r="AF34" s="328"/>
      <c r="AG34" s="156"/>
      <c r="AH34" s="156"/>
      <c r="AI34" s="156"/>
      <c r="AJ34" s="156"/>
      <c r="AK34" s="156"/>
      <c r="AL34" s="156"/>
      <c r="AM34" s="156"/>
      <c r="AN34" s="156"/>
      <c r="AO34" s="156"/>
      <c r="AP34" s="156"/>
      <c r="AQ34" s="156"/>
      <c r="AR34" s="156"/>
      <c r="AS34" s="156"/>
      <c r="AT34" s="156"/>
      <c r="AU34" s="156"/>
      <c r="AV34" s="156"/>
      <c r="AW34" s="156"/>
      <c r="AX34" s="156"/>
      <c r="AY34" s="156"/>
      <c r="AZ34" s="156"/>
      <c r="BA34" s="156"/>
      <c r="BB34" s="156"/>
      <c r="BC34" s="156"/>
      <c r="BD34" s="156"/>
      <c r="BE34" s="156"/>
      <c r="BF34" s="156"/>
      <c r="BG34" s="156"/>
      <c r="BH34" s="156"/>
      <c r="BI34" s="156"/>
      <c r="BJ34" s="156"/>
      <c r="BK34" s="156"/>
      <c r="BL34" s="156"/>
      <c r="BM34" s="156"/>
      <c r="BN34" s="156"/>
      <c r="BO34" s="156"/>
      <c r="BP34" s="156"/>
      <c r="BQ34" s="156"/>
      <c r="BR34" s="156"/>
      <c r="BS34" s="156"/>
      <c r="BT34" s="156"/>
      <c r="BU34" s="156"/>
      <c r="BV34" s="156"/>
      <c r="BW34" s="156"/>
      <c r="BX34" s="156"/>
      <c r="BY34" s="156"/>
      <c r="BZ34" s="156"/>
      <c r="CA34" s="156"/>
      <c r="CB34" s="156"/>
      <c r="CC34" s="156"/>
      <c r="CD34" s="156"/>
      <c r="CE34" s="156"/>
      <c r="CF34" s="156"/>
      <c r="CG34" s="156"/>
      <c r="CH34" s="156"/>
      <c r="CI34" s="156"/>
      <c r="CJ34" s="156"/>
      <c r="CK34" s="156"/>
      <c r="CL34" s="156"/>
      <c r="CM34" s="156"/>
      <c r="CN34" s="156"/>
      <c r="CO34" s="156"/>
      <c r="CP34" s="156"/>
      <c r="CQ34" s="156"/>
      <c r="CR34" s="156"/>
      <c r="CS34" s="156"/>
      <c r="CT34" s="156"/>
      <c r="CU34" s="156"/>
      <c r="CV34" s="156"/>
      <c r="CW34" s="156"/>
      <c r="CX34" s="156"/>
      <c r="CY34" s="156"/>
      <c r="CZ34" s="156"/>
      <c r="DA34" s="156"/>
      <c r="DB34" s="156"/>
      <c r="DC34" s="156"/>
      <c r="DD34" s="156"/>
      <c r="DE34" s="156"/>
      <c r="DF34" s="156"/>
      <c r="DG34" s="156"/>
      <c r="DH34" s="156"/>
      <c r="DI34" s="156"/>
      <c r="DJ34" s="156"/>
      <c r="DK34" s="156"/>
      <c r="DL34" s="156"/>
      <c r="DM34" s="156"/>
      <c r="DN34" s="156"/>
      <c r="DO34" s="156"/>
      <c r="DP34" s="156"/>
      <c r="DQ34" s="156"/>
      <c r="DR34" s="156"/>
      <c r="DS34" s="156"/>
      <c r="DT34" s="156"/>
      <c r="DU34" s="156"/>
      <c r="DV34" s="156"/>
      <c r="DW34" s="156"/>
      <c r="DX34" s="156"/>
      <c r="DY34" s="156"/>
      <c r="DZ34" s="156"/>
      <c r="EA34" s="156"/>
      <c r="EB34" s="156"/>
      <c r="EC34" s="156"/>
      <c r="ED34" s="156"/>
      <c r="EE34" s="156"/>
      <c r="EF34" s="156"/>
      <c r="EG34" s="156"/>
      <c r="EH34" s="156"/>
      <c r="EI34" s="156"/>
      <c r="EJ34" s="156"/>
      <c r="EK34" s="156"/>
      <c r="EL34" s="156"/>
      <c r="EM34" s="156"/>
      <c r="EN34" s="156"/>
      <c r="EO34" s="156"/>
      <c r="EP34" s="156"/>
      <c r="EQ34" s="156"/>
      <c r="ER34" s="156"/>
      <c r="ES34" s="156"/>
      <c r="ET34" s="156"/>
      <c r="EU34" s="156"/>
      <c r="EV34" s="156"/>
      <c r="EW34" s="156"/>
      <c r="EX34" s="156"/>
      <c r="EY34" s="156"/>
      <c r="EZ34" s="156"/>
      <c r="FA34" s="156"/>
      <c r="FB34" s="156"/>
      <c r="FC34" s="156"/>
      <c r="FD34" s="156"/>
      <c r="FE34" s="156"/>
      <c r="FF34" s="156"/>
      <c r="FG34" s="156"/>
      <c r="FH34" s="156"/>
      <c r="FI34" s="156"/>
      <c r="FJ34" s="156"/>
      <c r="FK34" s="156"/>
      <c r="FL34" s="156"/>
      <c r="FM34" s="156"/>
      <c r="FN34" s="156"/>
      <c r="FO34" s="156"/>
      <c r="FP34" s="156"/>
      <c r="FQ34" s="156"/>
      <c r="FR34" s="156"/>
      <c r="FS34" s="156"/>
      <c r="FT34" s="156"/>
      <c r="FU34" s="156"/>
      <c r="FV34" s="156"/>
      <c r="FW34" s="156"/>
      <c r="FX34" s="156"/>
      <c r="FY34" s="156"/>
      <c r="FZ34" s="156"/>
      <c r="GA34" s="156"/>
      <c r="GB34" s="156"/>
      <c r="GC34" s="156"/>
      <c r="GD34" s="156"/>
      <c r="GE34" s="156"/>
      <c r="GF34" s="156"/>
      <c r="GG34" s="156"/>
      <c r="GH34" s="156"/>
      <c r="GI34" s="156"/>
      <c r="GJ34" s="156"/>
      <c r="GK34" s="156"/>
      <c r="GL34" s="156"/>
      <c r="GM34" s="156"/>
      <c r="GN34" s="156"/>
      <c r="GO34" s="156"/>
      <c r="GP34" s="156"/>
      <c r="GQ34" s="156"/>
      <c r="GR34" s="156"/>
      <c r="GS34" s="156"/>
      <c r="GT34" s="156"/>
      <c r="GU34" s="156"/>
      <c r="GV34" s="156"/>
      <c r="GW34" s="156"/>
      <c r="GX34" s="156"/>
      <c r="GY34" s="156"/>
      <c r="GZ34" s="156"/>
      <c r="HA34" s="156"/>
      <c r="HB34" s="156"/>
      <c r="HC34" s="156"/>
      <c r="HD34" s="156"/>
      <c r="HE34" s="156"/>
      <c r="HF34" s="156"/>
      <c r="HG34" s="156"/>
      <c r="HH34" s="156"/>
      <c r="HI34" s="156"/>
      <c r="HJ34" s="156"/>
      <c r="HK34" s="156"/>
      <c r="HL34" s="156"/>
      <c r="HM34" s="156"/>
      <c r="HN34" s="156"/>
      <c r="HO34" s="156"/>
      <c r="HP34" s="156"/>
      <c r="HQ34" s="156"/>
      <c r="HR34" s="156"/>
      <c r="HS34" s="156"/>
      <c r="HT34" s="156"/>
      <c r="HU34" s="156"/>
      <c r="HV34" s="156"/>
      <c r="HW34" s="156"/>
      <c r="HX34" s="156"/>
      <c r="HY34" s="156"/>
      <c r="HZ34" s="156"/>
      <c r="IA34" s="156"/>
      <c r="IB34" s="156"/>
      <c r="IC34" s="156"/>
      <c r="ID34" s="156"/>
      <c r="IE34" s="156"/>
      <c r="IF34" s="156"/>
      <c r="IG34" s="156"/>
      <c r="IH34" s="156"/>
      <c r="II34" s="156"/>
      <c r="IJ34" s="156"/>
      <c r="IK34" s="156"/>
      <c r="IL34" s="156"/>
      <c r="IM34" s="156"/>
      <c r="IN34" s="156"/>
      <c r="IO34" s="156"/>
      <c r="IP34" s="156"/>
      <c r="IQ34" s="156"/>
      <c r="IR34" s="156"/>
      <c r="IS34" s="156"/>
      <c r="IT34" s="156"/>
      <c r="IU34" s="156"/>
    </row>
    <row r="35" spans="1:255" s="158" customFormat="1" ht="15" customHeight="1">
      <c r="A35" s="1259"/>
      <c r="B35" s="359" t="s">
        <v>1755</v>
      </c>
      <c r="C35" s="300"/>
      <c r="D35" s="64"/>
      <c r="E35" s="303"/>
      <c r="G35" s="645"/>
      <c r="H35" s="645"/>
      <c r="J35" s="337"/>
      <c r="K35" s="357"/>
      <c r="L35" s="357"/>
      <c r="M35" s="337"/>
      <c r="N35" s="357"/>
      <c r="O35" s="357"/>
      <c r="P35" s="337"/>
      <c r="Q35" s="357"/>
      <c r="R35" s="337"/>
      <c r="T35" s="360"/>
      <c r="U35" s="360"/>
      <c r="V35" s="360"/>
      <c r="W35" s="360"/>
      <c r="X35" s="360"/>
      <c r="Y35" s="328"/>
      <c r="Z35" s="328"/>
      <c r="AA35" s="328"/>
      <c r="AB35" s="328"/>
      <c r="AC35" s="328"/>
      <c r="AD35" s="328"/>
      <c r="AE35" s="328"/>
      <c r="AF35" s="328"/>
      <c r="AG35" s="156"/>
      <c r="AH35" s="156"/>
      <c r="AI35" s="156"/>
      <c r="AJ35" s="156"/>
      <c r="AK35" s="156"/>
      <c r="AL35" s="156"/>
      <c r="AM35" s="156"/>
      <c r="AN35" s="156"/>
      <c r="AO35" s="156"/>
      <c r="AP35" s="156"/>
      <c r="AQ35" s="156"/>
      <c r="AR35" s="156"/>
      <c r="AS35" s="156"/>
      <c r="AT35" s="156"/>
      <c r="AU35" s="156"/>
      <c r="AV35" s="156"/>
      <c r="AW35" s="156"/>
      <c r="AX35" s="156"/>
      <c r="AY35" s="156"/>
      <c r="AZ35" s="156"/>
      <c r="BA35" s="156"/>
      <c r="BB35" s="156"/>
      <c r="BC35" s="156"/>
      <c r="BD35" s="156"/>
      <c r="BE35" s="156"/>
      <c r="BF35" s="156"/>
      <c r="BG35" s="156"/>
      <c r="BH35" s="156"/>
      <c r="BI35" s="156"/>
      <c r="BJ35" s="156"/>
      <c r="BK35" s="156"/>
      <c r="BL35" s="156"/>
      <c r="BM35" s="156"/>
      <c r="BN35" s="156"/>
      <c r="BO35" s="156"/>
      <c r="BP35" s="156"/>
      <c r="BQ35" s="156"/>
      <c r="BR35" s="156"/>
      <c r="BS35" s="156"/>
      <c r="BT35" s="156"/>
      <c r="BU35" s="156"/>
      <c r="BV35" s="156"/>
      <c r="BW35" s="156"/>
      <c r="BX35" s="156"/>
      <c r="BY35" s="156"/>
      <c r="BZ35" s="156"/>
      <c r="CA35" s="156"/>
      <c r="CB35" s="156"/>
      <c r="CC35" s="156"/>
      <c r="CD35" s="156"/>
      <c r="CE35" s="156"/>
      <c r="CF35" s="156"/>
      <c r="CG35" s="156"/>
      <c r="CH35" s="156"/>
      <c r="CI35" s="156"/>
      <c r="CJ35" s="156"/>
      <c r="CK35" s="156"/>
      <c r="CL35" s="156"/>
      <c r="CM35" s="156"/>
      <c r="CN35" s="156"/>
      <c r="CO35" s="156"/>
      <c r="CP35" s="156"/>
      <c r="CQ35" s="156"/>
      <c r="CR35" s="156"/>
      <c r="CS35" s="156"/>
      <c r="CT35" s="156"/>
      <c r="CU35" s="156"/>
      <c r="CV35" s="156"/>
      <c r="CW35" s="156"/>
      <c r="CX35" s="156"/>
      <c r="CY35" s="156"/>
      <c r="CZ35" s="156"/>
      <c r="DA35" s="156"/>
      <c r="DB35" s="156"/>
      <c r="DC35" s="156"/>
      <c r="DD35" s="156"/>
      <c r="DE35" s="156"/>
      <c r="DF35" s="156"/>
      <c r="DG35" s="156"/>
      <c r="DH35" s="156"/>
      <c r="DI35" s="156"/>
      <c r="DJ35" s="156"/>
      <c r="DK35" s="156"/>
      <c r="DL35" s="156"/>
      <c r="DM35" s="156"/>
      <c r="DN35" s="156"/>
      <c r="DO35" s="156"/>
      <c r="DP35" s="156"/>
      <c r="DQ35" s="156"/>
      <c r="DR35" s="156"/>
      <c r="DS35" s="156"/>
      <c r="DT35" s="156"/>
      <c r="DU35" s="156"/>
      <c r="DV35" s="156"/>
      <c r="DW35" s="156"/>
      <c r="DX35" s="156"/>
      <c r="DY35" s="156"/>
      <c r="DZ35" s="156"/>
      <c r="EA35" s="156"/>
      <c r="EB35" s="156"/>
      <c r="EC35" s="156"/>
      <c r="ED35" s="156"/>
      <c r="EE35" s="156"/>
      <c r="EF35" s="156"/>
      <c r="EG35" s="156"/>
      <c r="EH35" s="156"/>
      <c r="EI35" s="156"/>
      <c r="EJ35" s="156"/>
      <c r="EK35" s="156"/>
      <c r="EL35" s="156"/>
      <c r="EM35" s="156"/>
      <c r="EN35" s="156"/>
      <c r="EO35" s="156"/>
      <c r="EP35" s="156"/>
      <c r="EQ35" s="156"/>
      <c r="ER35" s="156"/>
      <c r="ES35" s="156"/>
      <c r="ET35" s="156"/>
      <c r="EU35" s="156"/>
      <c r="EV35" s="156"/>
      <c r="EW35" s="156"/>
      <c r="EX35" s="156"/>
      <c r="EY35" s="156"/>
      <c r="EZ35" s="156"/>
      <c r="FA35" s="156"/>
      <c r="FB35" s="156"/>
      <c r="FC35" s="156"/>
      <c r="FD35" s="156"/>
      <c r="FE35" s="156"/>
      <c r="FF35" s="156"/>
      <c r="FG35" s="156"/>
      <c r="FH35" s="156"/>
      <c r="FI35" s="156"/>
      <c r="FJ35" s="156"/>
      <c r="FK35" s="156"/>
      <c r="FL35" s="156"/>
      <c r="FM35" s="156"/>
      <c r="FN35" s="156"/>
      <c r="FO35" s="156"/>
      <c r="FP35" s="156"/>
      <c r="FQ35" s="156"/>
      <c r="FR35" s="156"/>
      <c r="FS35" s="156"/>
      <c r="FT35" s="156"/>
      <c r="FU35" s="156"/>
      <c r="FV35" s="156"/>
      <c r="FW35" s="156"/>
      <c r="FX35" s="156"/>
      <c r="FY35" s="156"/>
      <c r="FZ35" s="156"/>
      <c r="GA35" s="156"/>
      <c r="GB35" s="156"/>
      <c r="GC35" s="156"/>
      <c r="GD35" s="156"/>
      <c r="GE35" s="156"/>
      <c r="GF35" s="156"/>
      <c r="GG35" s="156"/>
      <c r="GH35" s="156"/>
      <c r="GI35" s="156"/>
      <c r="GJ35" s="156"/>
      <c r="GK35" s="156"/>
      <c r="GL35" s="156"/>
      <c r="GM35" s="156"/>
      <c r="GN35" s="156"/>
      <c r="GO35" s="156"/>
      <c r="GP35" s="156"/>
      <c r="GQ35" s="156"/>
      <c r="GR35" s="156"/>
      <c r="GS35" s="156"/>
      <c r="GT35" s="156"/>
      <c r="GU35" s="156"/>
      <c r="GV35" s="156"/>
      <c r="GW35" s="156"/>
      <c r="GX35" s="156"/>
      <c r="GY35" s="156"/>
      <c r="GZ35" s="156"/>
      <c r="HA35" s="156"/>
      <c r="HB35" s="156"/>
      <c r="HC35" s="156"/>
      <c r="HD35" s="156"/>
      <c r="HE35" s="156"/>
      <c r="HF35" s="156"/>
      <c r="HG35" s="156"/>
      <c r="HH35" s="156"/>
      <c r="HI35" s="156"/>
      <c r="HJ35" s="156"/>
      <c r="HK35" s="156"/>
      <c r="HL35" s="156"/>
      <c r="HM35" s="156"/>
      <c r="HN35" s="156"/>
      <c r="HO35" s="156"/>
      <c r="HP35" s="156"/>
      <c r="HQ35" s="156"/>
      <c r="HR35" s="156"/>
      <c r="HS35" s="156"/>
      <c r="HT35" s="156"/>
      <c r="HU35" s="156"/>
      <c r="HV35" s="156"/>
      <c r="HW35" s="156"/>
      <c r="HX35" s="156"/>
      <c r="HY35" s="156"/>
      <c r="HZ35" s="156"/>
      <c r="IA35" s="156"/>
      <c r="IB35" s="156"/>
      <c r="IC35" s="156"/>
      <c r="ID35" s="156"/>
      <c r="IE35" s="156"/>
      <c r="IF35" s="156"/>
      <c r="IG35" s="156"/>
      <c r="IH35" s="156"/>
      <c r="II35" s="156"/>
      <c r="IJ35" s="156"/>
      <c r="IK35" s="156"/>
      <c r="IL35" s="156"/>
      <c r="IM35" s="156"/>
      <c r="IN35" s="156"/>
      <c r="IO35" s="156"/>
      <c r="IP35" s="156"/>
      <c r="IQ35" s="156"/>
      <c r="IR35" s="156"/>
      <c r="IS35" s="156"/>
      <c r="IT35" s="156"/>
      <c r="IU35" s="156"/>
    </row>
    <row r="36" spans="1:255" s="158" customFormat="1" ht="15" customHeight="1">
      <c r="A36" s="1259"/>
      <c r="B36" s="359" t="s">
        <v>1756</v>
      </c>
      <c r="C36" s="300"/>
      <c r="D36" s="64"/>
      <c r="E36" s="303"/>
      <c r="G36" s="645"/>
      <c r="H36" s="645"/>
      <c r="J36" s="337"/>
      <c r="K36" s="357"/>
      <c r="L36" s="357"/>
      <c r="M36" s="337"/>
      <c r="N36" s="357"/>
      <c r="O36" s="357"/>
      <c r="P36" s="337"/>
      <c r="Q36" s="357"/>
      <c r="R36" s="337"/>
      <c r="T36" s="360"/>
      <c r="U36" s="360"/>
      <c r="V36" s="360"/>
      <c r="W36" s="360"/>
      <c r="X36" s="360"/>
      <c r="Y36" s="328"/>
      <c r="Z36" s="328"/>
      <c r="AA36" s="328"/>
      <c r="AB36" s="328"/>
      <c r="AC36" s="328"/>
      <c r="AD36" s="328"/>
      <c r="AE36" s="328"/>
      <c r="AF36" s="328"/>
      <c r="AG36" s="156"/>
      <c r="AH36" s="156"/>
      <c r="AI36" s="156"/>
      <c r="AJ36" s="156"/>
      <c r="AK36" s="156"/>
      <c r="AL36" s="156"/>
      <c r="AM36" s="156"/>
      <c r="AN36" s="156"/>
      <c r="AO36" s="156"/>
      <c r="AP36" s="156"/>
      <c r="AQ36" s="156"/>
      <c r="AR36" s="156"/>
      <c r="AS36" s="156"/>
      <c r="AT36" s="156"/>
      <c r="AU36" s="156"/>
      <c r="AV36" s="156"/>
      <c r="AW36" s="156"/>
      <c r="AX36" s="156"/>
      <c r="AY36" s="156"/>
      <c r="AZ36" s="156"/>
      <c r="BA36" s="156"/>
      <c r="BB36" s="156"/>
      <c r="BC36" s="156"/>
      <c r="BD36" s="156"/>
      <c r="BE36" s="156"/>
      <c r="BF36" s="156"/>
      <c r="BG36" s="156"/>
      <c r="BH36" s="156"/>
      <c r="BI36" s="156"/>
      <c r="BJ36" s="156"/>
      <c r="BK36" s="156"/>
      <c r="BL36" s="156"/>
      <c r="BM36" s="156"/>
      <c r="BN36" s="156"/>
      <c r="BO36" s="156"/>
      <c r="BP36" s="156"/>
      <c r="BQ36" s="156"/>
      <c r="BR36" s="156"/>
      <c r="BS36" s="156"/>
      <c r="BT36" s="156"/>
      <c r="BU36" s="156"/>
      <c r="BV36" s="156"/>
      <c r="BW36" s="156"/>
      <c r="BX36" s="156"/>
      <c r="BY36" s="156"/>
      <c r="BZ36" s="156"/>
      <c r="CA36" s="156"/>
      <c r="CB36" s="156"/>
      <c r="CC36" s="156"/>
      <c r="CD36" s="156"/>
      <c r="CE36" s="156"/>
      <c r="CF36" s="156"/>
      <c r="CG36" s="156"/>
      <c r="CH36" s="156"/>
      <c r="CI36" s="156"/>
      <c r="CJ36" s="156"/>
      <c r="CK36" s="156"/>
      <c r="CL36" s="156"/>
      <c r="CM36" s="156"/>
      <c r="CN36" s="156"/>
      <c r="CO36" s="156"/>
      <c r="CP36" s="156"/>
      <c r="CQ36" s="156"/>
      <c r="CR36" s="156"/>
      <c r="CS36" s="156"/>
      <c r="CT36" s="156"/>
      <c r="CU36" s="156"/>
      <c r="CV36" s="156"/>
      <c r="CW36" s="156"/>
      <c r="CX36" s="156"/>
      <c r="CY36" s="156"/>
      <c r="CZ36" s="156"/>
      <c r="DA36" s="156"/>
      <c r="DB36" s="156"/>
      <c r="DC36" s="156"/>
      <c r="DD36" s="156"/>
      <c r="DE36" s="156"/>
      <c r="DF36" s="156"/>
      <c r="DG36" s="156"/>
      <c r="DH36" s="156"/>
      <c r="DI36" s="156"/>
      <c r="DJ36" s="156"/>
      <c r="DK36" s="156"/>
      <c r="DL36" s="156"/>
      <c r="DM36" s="156"/>
      <c r="DN36" s="156"/>
      <c r="DO36" s="156"/>
      <c r="DP36" s="156"/>
      <c r="DQ36" s="156"/>
      <c r="DR36" s="156"/>
      <c r="DS36" s="156"/>
      <c r="DT36" s="156"/>
      <c r="DU36" s="156"/>
      <c r="DV36" s="156"/>
      <c r="DW36" s="156"/>
      <c r="DX36" s="156"/>
      <c r="DY36" s="156"/>
      <c r="DZ36" s="156"/>
      <c r="EA36" s="156"/>
      <c r="EB36" s="156"/>
      <c r="EC36" s="156"/>
      <c r="ED36" s="156"/>
      <c r="EE36" s="156"/>
      <c r="EF36" s="156"/>
      <c r="EG36" s="156"/>
      <c r="EH36" s="156"/>
      <c r="EI36" s="156"/>
      <c r="EJ36" s="156"/>
      <c r="EK36" s="156"/>
      <c r="EL36" s="156"/>
      <c r="EM36" s="156"/>
      <c r="EN36" s="156"/>
      <c r="EO36" s="156"/>
      <c r="EP36" s="156"/>
      <c r="EQ36" s="156"/>
      <c r="ER36" s="156"/>
      <c r="ES36" s="156"/>
      <c r="ET36" s="156"/>
      <c r="EU36" s="156"/>
      <c r="EV36" s="156"/>
      <c r="EW36" s="156"/>
      <c r="EX36" s="156"/>
      <c r="EY36" s="156"/>
      <c r="EZ36" s="156"/>
      <c r="FA36" s="156"/>
      <c r="FB36" s="156"/>
      <c r="FC36" s="156"/>
      <c r="FD36" s="156"/>
      <c r="FE36" s="156"/>
      <c r="FF36" s="156"/>
      <c r="FG36" s="156"/>
      <c r="FH36" s="156"/>
      <c r="FI36" s="156"/>
      <c r="FJ36" s="156"/>
      <c r="FK36" s="156"/>
      <c r="FL36" s="156"/>
      <c r="FM36" s="156"/>
      <c r="FN36" s="156"/>
      <c r="FO36" s="156"/>
      <c r="FP36" s="156"/>
      <c r="FQ36" s="156"/>
      <c r="FR36" s="156"/>
      <c r="FS36" s="156"/>
      <c r="FT36" s="156"/>
      <c r="FU36" s="156"/>
      <c r="FV36" s="156"/>
      <c r="FW36" s="156"/>
      <c r="FX36" s="156"/>
      <c r="FY36" s="156"/>
      <c r="FZ36" s="156"/>
      <c r="GA36" s="156"/>
      <c r="GB36" s="156"/>
      <c r="GC36" s="156"/>
      <c r="GD36" s="156"/>
      <c r="GE36" s="156"/>
      <c r="GF36" s="156"/>
      <c r="GG36" s="156"/>
      <c r="GH36" s="156"/>
      <c r="GI36" s="156"/>
      <c r="GJ36" s="156"/>
      <c r="GK36" s="156"/>
      <c r="GL36" s="156"/>
      <c r="GM36" s="156"/>
      <c r="GN36" s="156"/>
      <c r="GO36" s="156"/>
      <c r="GP36" s="156"/>
      <c r="GQ36" s="156"/>
      <c r="GR36" s="156"/>
      <c r="GS36" s="156"/>
      <c r="GT36" s="156"/>
      <c r="GU36" s="156"/>
      <c r="GV36" s="156"/>
      <c r="GW36" s="156"/>
      <c r="GX36" s="156"/>
      <c r="GY36" s="156"/>
      <c r="GZ36" s="156"/>
      <c r="HA36" s="156"/>
      <c r="HB36" s="156"/>
      <c r="HC36" s="156"/>
      <c r="HD36" s="156"/>
      <c r="HE36" s="156"/>
      <c r="HF36" s="156"/>
      <c r="HG36" s="156"/>
      <c r="HH36" s="156"/>
      <c r="HI36" s="156"/>
      <c r="HJ36" s="156"/>
      <c r="HK36" s="156"/>
      <c r="HL36" s="156"/>
      <c r="HM36" s="156"/>
      <c r="HN36" s="156"/>
      <c r="HO36" s="156"/>
      <c r="HP36" s="156"/>
      <c r="HQ36" s="156"/>
      <c r="HR36" s="156"/>
      <c r="HS36" s="156"/>
      <c r="HT36" s="156"/>
      <c r="HU36" s="156"/>
      <c r="HV36" s="156"/>
      <c r="HW36" s="156"/>
      <c r="HX36" s="156"/>
      <c r="HY36" s="156"/>
      <c r="HZ36" s="156"/>
      <c r="IA36" s="156"/>
      <c r="IB36" s="156"/>
      <c r="IC36" s="156"/>
      <c r="ID36" s="156"/>
      <c r="IE36" s="156"/>
      <c r="IF36" s="156"/>
      <c r="IG36" s="156"/>
      <c r="IH36" s="156"/>
      <c r="II36" s="156"/>
      <c r="IJ36" s="156"/>
      <c r="IK36" s="156"/>
      <c r="IL36" s="156"/>
      <c r="IM36" s="156"/>
      <c r="IN36" s="156"/>
      <c r="IO36" s="156"/>
      <c r="IP36" s="156"/>
      <c r="IQ36" s="156"/>
      <c r="IR36" s="156"/>
      <c r="IS36" s="156"/>
      <c r="IT36" s="156"/>
      <c r="IU36" s="156"/>
    </row>
    <row r="37" spans="1:255" s="158" customFormat="1" ht="15" customHeight="1">
      <c r="A37" s="1259"/>
      <c r="B37" s="359" t="s">
        <v>1757</v>
      </c>
      <c r="C37" s="300"/>
      <c r="D37" s="64"/>
      <c r="E37" s="303"/>
      <c r="G37" s="645"/>
      <c r="H37" s="645"/>
      <c r="J37" s="337"/>
      <c r="K37" s="357"/>
      <c r="L37" s="357"/>
      <c r="M37" s="337"/>
      <c r="N37" s="357"/>
      <c r="O37" s="357"/>
      <c r="P37" s="337"/>
      <c r="Q37" s="357"/>
      <c r="R37" s="337"/>
      <c r="T37" s="360"/>
      <c r="U37" s="360"/>
      <c r="V37" s="360"/>
      <c r="W37" s="360"/>
      <c r="X37" s="360"/>
      <c r="Y37" s="328"/>
      <c r="Z37" s="328"/>
      <c r="AA37" s="328"/>
      <c r="AB37" s="328"/>
      <c r="AC37" s="328"/>
      <c r="AD37" s="328"/>
      <c r="AE37" s="328"/>
      <c r="AF37" s="328"/>
      <c r="AG37" s="156"/>
      <c r="AH37" s="156"/>
      <c r="AI37" s="156"/>
      <c r="AJ37" s="156"/>
      <c r="AK37" s="156"/>
      <c r="AL37" s="156"/>
      <c r="AM37" s="156"/>
      <c r="AN37" s="156"/>
      <c r="AO37" s="156"/>
      <c r="AP37" s="156"/>
      <c r="AQ37" s="156"/>
      <c r="AR37" s="156"/>
      <c r="AS37" s="156"/>
      <c r="AT37" s="156"/>
      <c r="AU37" s="156"/>
      <c r="AV37" s="156"/>
      <c r="AW37" s="156"/>
      <c r="AX37" s="156"/>
      <c r="AY37" s="156"/>
      <c r="AZ37" s="156"/>
      <c r="BA37" s="156"/>
      <c r="BB37" s="156"/>
      <c r="BC37" s="156"/>
      <c r="BD37" s="156"/>
      <c r="BE37" s="156"/>
      <c r="BF37" s="156"/>
      <c r="BG37" s="156"/>
      <c r="BH37" s="156"/>
      <c r="BI37" s="156"/>
      <c r="BJ37" s="156"/>
      <c r="BK37" s="156"/>
      <c r="BL37" s="156"/>
      <c r="BM37" s="156"/>
      <c r="BN37" s="156"/>
      <c r="BO37" s="156"/>
      <c r="BP37" s="156"/>
      <c r="BQ37" s="156"/>
      <c r="BR37" s="156"/>
      <c r="BS37" s="156"/>
      <c r="BT37" s="156"/>
      <c r="BU37" s="156"/>
      <c r="BV37" s="156"/>
      <c r="BW37" s="156"/>
      <c r="BX37" s="156"/>
      <c r="BY37" s="156"/>
      <c r="BZ37" s="156"/>
      <c r="CA37" s="156"/>
      <c r="CB37" s="156"/>
      <c r="CC37" s="156"/>
      <c r="CD37" s="156"/>
      <c r="CE37" s="156"/>
      <c r="CF37" s="156"/>
      <c r="CG37" s="156"/>
      <c r="CH37" s="156"/>
      <c r="CI37" s="156"/>
      <c r="CJ37" s="156"/>
      <c r="CK37" s="156"/>
      <c r="CL37" s="156"/>
      <c r="CM37" s="156"/>
      <c r="CN37" s="156"/>
      <c r="CO37" s="156"/>
      <c r="CP37" s="156"/>
      <c r="CQ37" s="156"/>
      <c r="CR37" s="156"/>
      <c r="CS37" s="156"/>
      <c r="CT37" s="156"/>
      <c r="CU37" s="156"/>
      <c r="CV37" s="156"/>
      <c r="CW37" s="156"/>
      <c r="CX37" s="156"/>
      <c r="CY37" s="156"/>
      <c r="CZ37" s="156"/>
      <c r="DA37" s="156"/>
      <c r="DB37" s="156"/>
      <c r="DC37" s="156"/>
      <c r="DD37" s="156"/>
      <c r="DE37" s="156"/>
      <c r="DF37" s="156"/>
      <c r="DG37" s="156"/>
      <c r="DH37" s="156"/>
      <c r="DI37" s="156"/>
      <c r="DJ37" s="156"/>
      <c r="DK37" s="156"/>
      <c r="DL37" s="156"/>
      <c r="DM37" s="156"/>
      <c r="DN37" s="156"/>
      <c r="DO37" s="156"/>
      <c r="DP37" s="156"/>
      <c r="DQ37" s="156"/>
      <c r="DR37" s="156"/>
      <c r="DS37" s="156"/>
      <c r="DT37" s="156"/>
      <c r="DU37" s="156"/>
      <c r="DV37" s="156"/>
      <c r="DW37" s="156"/>
      <c r="DX37" s="156"/>
      <c r="DY37" s="156"/>
      <c r="DZ37" s="156"/>
      <c r="EA37" s="156"/>
      <c r="EB37" s="156"/>
      <c r="EC37" s="156"/>
      <c r="ED37" s="156"/>
      <c r="EE37" s="156"/>
      <c r="EF37" s="156"/>
      <c r="EG37" s="156"/>
      <c r="EH37" s="156"/>
      <c r="EI37" s="156"/>
      <c r="EJ37" s="156"/>
      <c r="EK37" s="156"/>
      <c r="EL37" s="156"/>
      <c r="EM37" s="156"/>
      <c r="EN37" s="156"/>
      <c r="EO37" s="156"/>
      <c r="EP37" s="156"/>
      <c r="EQ37" s="156"/>
      <c r="ER37" s="156"/>
      <c r="ES37" s="156"/>
      <c r="ET37" s="156"/>
      <c r="EU37" s="156"/>
      <c r="EV37" s="156"/>
      <c r="EW37" s="156"/>
      <c r="EX37" s="156"/>
      <c r="EY37" s="156"/>
      <c r="EZ37" s="156"/>
      <c r="FA37" s="156"/>
      <c r="FB37" s="156"/>
      <c r="FC37" s="156"/>
      <c r="FD37" s="156"/>
      <c r="FE37" s="156"/>
      <c r="FF37" s="156"/>
      <c r="FG37" s="156"/>
      <c r="FH37" s="156"/>
      <c r="FI37" s="156"/>
      <c r="FJ37" s="156"/>
      <c r="FK37" s="156"/>
      <c r="FL37" s="156"/>
      <c r="FM37" s="156"/>
      <c r="FN37" s="156"/>
      <c r="FO37" s="156"/>
      <c r="FP37" s="156"/>
      <c r="FQ37" s="156"/>
      <c r="FR37" s="156"/>
      <c r="FS37" s="156"/>
      <c r="FT37" s="156"/>
      <c r="FU37" s="156"/>
      <c r="FV37" s="156"/>
      <c r="FW37" s="156"/>
      <c r="FX37" s="156"/>
      <c r="FY37" s="156"/>
      <c r="FZ37" s="156"/>
      <c r="GA37" s="156"/>
      <c r="GB37" s="156"/>
      <c r="GC37" s="156"/>
      <c r="GD37" s="156"/>
      <c r="GE37" s="156"/>
      <c r="GF37" s="156"/>
      <c r="GG37" s="156"/>
      <c r="GH37" s="156"/>
      <c r="GI37" s="156"/>
      <c r="GJ37" s="156"/>
      <c r="GK37" s="156"/>
      <c r="GL37" s="156"/>
      <c r="GM37" s="156"/>
      <c r="GN37" s="156"/>
      <c r="GO37" s="156"/>
      <c r="GP37" s="156"/>
      <c r="GQ37" s="156"/>
      <c r="GR37" s="156"/>
      <c r="GS37" s="156"/>
      <c r="GT37" s="156"/>
      <c r="GU37" s="156"/>
      <c r="GV37" s="156"/>
      <c r="GW37" s="156"/>
      <c r="GX37" s="156"/>
      <c r="GY37" s="156"/>
      <c r="GZ37" s="156"/>
      <c r="HA37" s="156"/>
      <c r="HB37" s="156"/>
      <c r="HC37" s="156"/>
      <c r="HD37" s="156"/>
      <c r="HE37" s="156"/>
      <c r="HF37" s="156"/>
      <c r="HG37" s="156"/>
      <c r="HH37" s="156"/>
      <c r="HI37" s="156"/>
      <c r="HJ37" s="156"/>
      <c r="HK37" s="156"/>
      <c r="HL37" s="156"/>
      <c r="HM37" s="156"/>
      <c r="HN37" s="156"/>
      <c r="HO37" s="156"/>
      <c r="HP37" s="156"/>
      <c r="HQ37" s="156"/>
      <c r="HR37" s="156"/>
      <c r="HS37" s="156"/>
      <c r="HT37" s="156"/>
      <c r="HU37" s="156"/>
      <c r="HV37" s="156"/>
      <c r="HW37" s="156"/>
      <c r="HX37" s="156"/>
      <c r="HY37" s="156"/>
      <c r="HZ37" s="156"/>
      <c r="IA37" s="156"/>
      <c r="IB37" s="156"/>
      <c r="IC37" s="156"/>
      <c r="ID37" s="156"/>
      <c r="IE37" s="156"/>
      <c r="IF37" s="156"/>
      <c r="IG37" s="156"/>
      <c r="IH37" s="156"/>
      <c r="II37" s="156"/>
      <c r="IJ37" s="156"/>
      <c r="IK37" s="156"/>
      <c r="IL37" s="156"/>
      <c r="IM37" s="156"/>
      <c r="IN37" s="156"/>
      <c r="IO37" s="156"/>
      <c r="IP37" s="156"/>
      <c r="IQ37" s="156"/>
      <c r="IR37" s="156"/>
      <c r="IS37" s="156"/>
      <c r="IT37" s="156"/>
      <c r="IU37" s="156"/>
    </row>
    <row r="38" spans="1:255" s="158" customFormat="1" ht="15" customHeight="1">
      <c r="A38" s="1259"/>
      <c r="B38" s="359" t="s">
        <v>1758</v>
      </c>
      <c r="C38" s="300"/>
      <c r="D38" s="64"/>
      <c r="E38" s="303"/>
      <c r="G38" s="645"/>
      <c r="H38" s="645"/>
      <c r="J38" s="337"/>
      <c r="K38" s="357"/>
      <c r="L38" s="357"/>
      <c r="M38" s="337"/>
      <c r="N38" s="357"/>
      <c r="O38" s="357"/>
      <c r="P38" s="337"/>
      <c r="Q38" s="357"/>
      <c r="R38" s="337"/>
      <c r="T38" s="360"/>
      <c r="U38" s="360"/>
      <c r="V38" s="360"/>
      <c r="W38" s="360"/>
      <c r="X38" s="360"/>
      <c r="Y38" s="328"/>
      <c r="Z38" s="328"/>
      <c r="AA38" s="328"/>
      <c r="AB38" s="328"/>
      <c r="AC38" s="328"/>
      <c r="AD38" s="328"/>
      <c r="AE38" s="328"/>
      <c r="AF38" s="328"/>
      <c r="AG38" s="156"/>
      <c r="AH38" s="156"/>
      <c r="AI38" s="156"/>
      <c r="AJ38" s="156"/>
      <c r="AK38" s="156"/>
      <c r="AL38" s="156"/>
      <c r="AM38" s="156"/>
      <c r="AN38" s="156"/>
      <c r="AO38" s="156"/>
      <c r="AP38" s="156"/>
      <c r="AQ38" s="156"/>
      <c r="AR38" s="156"/>
      <c r="AS38" s="156"/>
      <c r="AT38" s="156"/>
      <c r="AU38" s="156"/>
      <c r="AV38" s="156"/>
      <c r="AW38" s="156"/>
      <c r="AX38" s="156"/>
      <c r="AY38" s="156"/>
      <c r="AZ38" s="156"/>
      <c r="BA38" s="156"/>
      <c r="BB38" s="156"/>
      <c r="BC38" s="156"/>
      <c r="BD38" s="156"/>
      <c r="BE38" s="156"/>
      <c r="BF38" s="156"/>
      <c r="BG38" s="156"/>
      <c r="BH38" s="156"/>
      <c r="BI38" s="156"/>
      <c r="BJ38" s="156"/>
      <c r="BK38" s="156"/>
      <c r="BL38" s="156"/>
      <c r="BM38" s="156"/>
      <c r="BN38" s="156"/>
      <c r="BO38" s="156"/>
      <c r="BP38" s="156"/>
      <c r="BQ38" s="156"/>
      <c r="BR38" s="156"/>
      <c r="BS38" s="156"/>
      <c r="BT38" s="156"/>
      <c r="BU38" s="156"/>
      <c r="BV38" s="156"/>
      <c r="BW38" s="156"/>
      <c r="BX38" s="156"/>
      <c r="BY38" s="156"/>
      <c r="BZ38" s="156"/>
      <c r="CA38" s="156"/>
      <c r="CB38" s="156"/>
      <c r="CC38" s="156"/>
      <c r="CD38" s="156"/>
      <c r="CE38" s="156"/>
      <c r="CF38" s="156"/>
      <c r="CG38" s="156"/>
      <c r="CH38" s="156"/>
      <c r="CI38" s="156"/>
      <c r="CJ38" s="156"/>
      <c r="CK38" s="156"/>
      <c r="CL38" s="156"/>
      <c r="CM38" s="156"/>
      <c r="CN38" s="156"/>
      <c r="CO38" s="156"/>
      <c r="CP38" s="156"/>
      <c r="CQ38" s="156"/>
      <c r="CR38" s="156"/>
      <c r="CS38" s="156"/>
      <c r="CT38" s="156"/>
      <c r="CU38" s="156"/>
      <c r="CV38" s="156"/>
      <c r="CW38" s="156"/>
      <c r="CX38" s="156"/>
      <c r="CY38" s="156"/>
      <c r="CZ38" s="156"/>
      <c r="DA38" s="156"/>
      <c r="DB38" s="156"/>
      <c r="DC38" s="156"/>
      <c r="DD38" s="156"/>
      <c r="DE38" s="156"/>
      <c r="DF38" s="156"/>
      <c r="DG38" s="156"/>
      <c r="DH38" s="156"/>
      <c r="DI38" s="156"/>
      <c r="DJ38" s="156"/>
      <c r="DK38" s="156"/>
      <c r="DL38" s="156"/>
      <c r="DM38" s="156"/>
      <c r="DN38" s="156"/>
      <c r="DO38" s="156"/>
      <c r="DP38" s="156"/>
      <c r="DQ38" s="156"/>
      <c r="DR38" s="156"/>
      <c r="DS38" s="156"/>
      <c r="DT38" s="156"/>
      <c r="DU38" s="156"/>
      <c r="DV38" s="156"/>
      <c r="DW38" s="156"/>
      <c r="DX38" s="156"/>
      <c r="DY38" s="156"/>
      <c r="DZ38" s="156"/>
      <c r="EA38" s="156"/>
      <c r="EB38" s="156"/>
      <c r="EC38" s="156"/>
      <c r="ED38" s="156"/>
      <c r="EE38" s="156"/>
      <c r="EF38" s="156"/>
      <c r="EG38" s="156"/>
      <c r="EH38" s="156"/>
      <c r="EI38" s="156"/>
      <c r="EJ38" s="156"/>
      <c r="EK38" s="156"/>
      <c r="EL38" s="156"/>
      <c r="EM38" s="156"/>
      <c r="EN38" s="156"/>
      <c r="EO38" s="156"/>
      <c r="EP38" s="156"/>
      <c r="EQ38" s="156"/>
      <c r="ER38" s="156"/>
      <c r="ES38" s="156"/>
      <c r="ET38" s="156"/>
      <c r="EU38" s="156"/>
      <c r="EV38" s="156"/>
      <c r="EW38" s="156"/>
      <c r="EX38" s="156"/>
      <c r="EY38" s="156"/>
      <c r="EZ38" s="156"/>
      <c r="FA38" s="156"/>
      <c r="FB38" s="156"/>
      <c r="FC38" s="156"/>
      <c r="FD38" s="156"/>
      <c r="FE38" s="156"/>
      <c r="FF38" s="156"/>
      <c r="FG38" s="156"/>
      <c r="FH38" s="156"/>
      <c r="FI38" s="156"/>
      <c r="FJ38" s="156"/>
      <c r="FK38" s="156"/>
      <c r="FL38" s="156"/>
      <c r="FM38" s="156"/>
      <c r="FN38" s="156"/>
      <c r="FO38" s="156"/>
      <c r="FP38" s="156"/>
      <c r="FQ38" s="156"/>
      <c r="FR38" s="156"/>
      <c r="FS38" s="156"/>
      <c r="FT38" s="156"/>
      <c r="FU38" s="156"/>
      <c r="FV38" s="156"/>
      <c r="FW38" s="156"/>
      <c r="FX38" s="156"/>
      <c r="FY38" s="156"/>
      <c r="FZ38" s="156"/>
      <c r="GA38" s="156"/>
      <c r="GB38" s="156"/>
      <c r="GC38" s="156"/>
      <c r="GD38" s="156"/>
      <c r="GE38" s="156"/>
      <c r="GF38" s="156"/>
      <c r="GG38" s="156"/>
      <c r="GH38" s="156"/>
      <c r="GI38" s="156"/>
      <c r="GJ38" s="156"/>
      <c r="GK38" s="156"/>
      <c r="GL38" s="156"/>
      <c r="GM38" s="156"/>
      <c r="GN38" s="156"/>
      <c r="GO38" s="156"/>
      <c r="GP38" s="156"/>
      <c r="GQ38" s="156"/>
      <c r="GR38" s="156"/>
      <c r="GS38" s="156"/>
      <c r="GT38" s="156"/>
      <c r="GU38" s="156"/>
      <c r="GV38" s="156"/>
      <c r="GW38" s="156"/>
      <c r="GX38" s="156"/>
      <c r="GY38" s="156"/>
      <c r="GZ38" s="156"/>
      <c r="HA38" s="156"/>
      <c r="HB38" s="156"/>
      <c r="HC38" s="156"/>
      <c r="HD38" s="156"/>
      <c r="HE38" s="156"/>
      <c r="HF38" s="156"/>
      <c r="HG38" s="156"/>
      <c r="HH38" s="156"/>
      <c r="HI38" s="156"/>
      <c r="HJ38" s="156"/>
      <c r="HK38" s="156"/>
      <c r="HL38" s="156"/>
      <c r="HM38" s="156"/>
      <c r="HN38" s="156"/>
      <c r="HO38" s="156"/>
      <c r="HP38" s="156"/>
      <c r="HQ38" s="156"/>
      <c r="HR38" s="156"/>
      <c r="HS38" s="156"/>
      <c r="HT38" s="156"/>
      <c r="HU38" s="156"/>
      <c r="HV38" s="156"/>
      <c r="HW38" s="156"/>
      <c r="HX38" s="156"/>
      <c r="HY38" s="156"/>
      <c r="HZ38" s="156"/>
      <c r="IA38" s="156"/>
      <c r="IB38" s="156"/>
      <c r="IC38" s="156"/>
      <c r="ID38" s="156"/>
      <c r="IE38" s="156"/>
      <c r="IF38" s="156"/>
      <c r="IG38" s="156"/>
      <c r="IH38" s="156"/>
      <c r="II38" s="156"/>
      <c r="IJ38" s="156"/>
      <c r="IK38" s="156"/>
      <c r="IL38" s="156"/>
      <c r="IM38" s="156"/>
      <c r="IN38" s="156"/>
      <c r="IO38" s="156"/>
      <c r="IP38" s="156"/>
      <c r="IQ38" s="156"/>
      <c r="IR38" s="156"/>
      <c r="IS38" s="156"/>
      <c r="IT38" s="156"/>
      <c r="IU38" s="156"/>
    </row>
    <row r="39" spans="1:255" s="158" customFormat="1" ht="15" customHeight="1">
      <c r="A39" s="1259"/>
      <c r="B39" s="359" t="s">
        <v>1759</v>
      </c>
      <c r="C39" s="300"/>
      <c r="D39" s="64"/>
      <c r="E39" s="303"/>
      <c r="G39" s="645"/>
      <c r="H39" s="337"/>
      <c r="I39" s="357"/>
      <c r="J39" s="337"/>
      <c r="K39" s="357"/>
      <c r="L39" s="357"/>
      <c r="M39" s="337"/>
      <c r="N39" s="357"/>
      <c r="O39" s="357"/>
      <c r="P39" s="337"/>
      <c r="Q39" s="357"/>
      <c r="R39" s="337"/>
      <c r="T39" s="360"/>
      <c r="U39" s="360"/>
      <c r="V39" s="360"/>
      <c r="W39" s="360"/>
      <c r="X39" s="360"/>
      <c r="Y39" s="328"/>
      <c r="Z39" s="328"/>
      <c r="AA39" s="328"/>
      <c r="AB39" s="328"/>
      <c r="AC39" s="328"/>
      <c r="AD39" s="328"/>
      <c r="AE39" s="328"/>
      <c r="AF39" s="328"/>
      <c r="AG39" s="156"/>
      <c r="AH39" s="156"/>
      <c r="AI39" s="156"/>
      <c r="AJ39" s="156"/>
      <c r="AK39" s="156"/>
      <c r="AL39" s="156"/>
      <c r="AM39" s="156"/>
      <c r="AN39" s="156"/>
      <c r="AO39" s="156"/>
      <c r="AP39" s="156"/>
      <c r="AQ39" s="156"/>
      <c r="AR39" s="156"/>
      <c r="AS39" s="156"/>
      <c r="AT39" s="156"/>
      <c r="AU39" s="156"/>
      <c r="AV39" s="156"/>
      <c r="AW39" s="156"/>
      <c r="AX39" s="156"/>
      <c r="AY39" s="156"/>
      <c r="AZ39" s="156"/>
      <c r="BA39" s="156"/>
      <c r="BB39" s="156"/>
      <c r="BC39" s="156"/>
      <c r="BD39" s="156"/>
      <c r="BE39" s="156"/>
      <c r="BF39" s="156"/>
      <c r="BG39" s="156"/>
      <c r="BH39" s="156"/>
      <c r="BI39" s="156"/>
      <c r="BJ39" s="156"/>
      <c r="BK39" s="156"/>
      <c r="BL39" s="156"/>
      <c r="BM39" s="156"/>
      <c r="BN39" s="156"/>
      <c r="BO39" s="156"/>
      <c r="BP39" s="156"/>
      <c r="BQ39" s="156"/>
      <c r="BR39" s="156"/>
      <c r="BS39" s="156"/>
      <c r="BT39" s="156"/>
      <c r="BU39" s="156"/>
      <c r="BV39" s="156"/>
      <c r="BW39" s="156"/>
      <c r="BX39" s="156"/>
      <c r="BY39" s="156"/>
      <c r="BZ39" s="156"/>
      <c r="CA39" s="156"/>
      <c r="CB39" s="156"/>
      <c r="CC39" s="156"/>
      <c r="CD39" s="156"/>
      <c r="CE39" s="156"/>
      <c r="CF39" s="156"/>
      <c r="CG39" s="156"/>
      <c r="CH39" s="156"/>
      <c r="CI39" s="156"/>
      <c r="CJ39" s="156"/>
      <c r="CK39" s="156"/>
      <c r="CL39" s="156"/>
      <c r="CM39" s="156"/>
      <c r="CN39" s="156"/>
      <c r="CO39" s="156"/>
      <c r="CP39" s="156"/>
      <c r="CQ39" s="156"/>
      <c r="CR39" s="156"/>
      <c r="CS39" s="156"/>
      <c r="CT39" s="156"/>
      <c r="CU39" s="156"/>
      <c r="CV39" s="156"/>
      <c r="CW39" s="156"/>
      <c r="CX39" s="156"/>
      <c r="CY39" s="156"/>
      <c r="CZ39" s="156"/>
      <c r="DA39" s="156"/>
      <c r="DB39" s="156"/>
      <c r="DC39" s="156"/>
      <c r="DD39" s="156"/>
      <c r="DE39" s="156"/>
      <c r="DF39" s="156"/>
      <c r="DG39" s="156"/>
      <c r="DH39" s="156"/>
      <c r="DI39" s="156"/>
      <c r="DJ39" s="156"/>
      <c r="DK39" s="156"/>
      <c r="DL39" s="156"/>
      <c r="DM39" s="156"/>
      <c r="DN39" s="156"/>
      <c r="DO39" s="156"/>
      <c r="DP39" s="156"/>
      <c r="DQ39" s="156"/>
      <c r="DR39" s="156"/>
      <c r="DS39" s="156"/>
      <c r="DT39" s="156"/>
      <c r="DU39" s="156"/>
      <c r="DV39" s="156"/>
      <c r="DW39" s="156"/>
      <c r="DX39" s="156"/>
      <c r="DY39" s="156"/>
      <c r="DZ39" s="156"/>
      <c r="EA39" s="156"/>
      <c r="EB39" s="156"/>
      <c r="EC39" s="156"/>
      <c r="ED39" s="156"/>
      <c r="EE39" s="156"/>
      <c r="EF39" s="156"/>
      <c r="EG39" s="156"/>
      <c r="EH39" s="156"/>
      <c r="EI39" s="156"/>
      <c r="EJ39" s="156"/>
      <c r="EK39" s="156"/>
      <c r="EL39" s="156"/>
      <c r="EM39" s="156"/>
      <c r="EN39" s="156"/>
      <c r="EO39" s="156"/>
      <c r="EP39" s="156"/>
      <c r="EQ39" s="156"/>
      <c r="ER39" s="156"/>
      <c r="ES39" s="156"/>
      <c r="ET39" s="156"/>
      <c r="EU39" s="156"/>
      <c r="EV39" s="156"/>
      <c r="EW39" s="156"/>
      <c r="EX39" s="156"/>
      <c r="EY39" s="156"/>
      <c r="EZ39" s="156"/>
      <c r="FA39" s="156"/>
      <c r="FB39" s="156"/>
      <c r="FC39" s="156"/>
      <c r="FD39" s="156"/>
      <c r="FE39" s="156"/>
      <c r="FF39" s="156"/>
      <c r="FG39" s="156"/>
      <c r="FH39" s="156"/>
      <c r="FI39" s="156"/>
      <c r="FJ39" s="156"/>
      <c r="FK39" s="156"/>
      <c r="FL39" s="156"/>
      <c r="FM39" s="156"/>
      <c r="FN39" s="156"/>
      <c r="FO39" s="156"/>
      <c r="FP39" s="156"/>
      <c r="FQ39" s="156"/>
      <c r="FR39" s="156"/>
      <c r="FS39" s="156"/>
      <c r="FT39" s="156"/>
      <c r="FU39" s="156"/>
      <c r="FV39" s="156"/>
      <c r="FW39" s="156"/>
      <c r="FX39" s="156"/>
      <c r="FY39" s="156"/>
      <c r="FZ39" s="156"/>
      <c r="GA39" s="156"/>
      <c r="GB39" s="156"/>
      <c r="GC39" s="156"/>
      <c r="GD39" s="156"/>
      <c r="GE39" s="156"/>
      <c r="GF39" s="156"/>
      <c r="GG39" s="156"/>
      <c r="GH39" s="156"/>
      <c r="GI39" s="156"/>
      <c r="GJ39" s="156"/>
      <c r="GK39" s="156"/>
      <c r="GL39" s="156"/>
      <c r="GM39" s="156"/>
      <c r="GN39" s="156"/>
      <c r="GO39" s="156"/>
      <c r="GP39" s="156"/>
      <c r="GQ39" s="156"/>
      <c r="GR39" s="156"/>
      <c r="GS39" s="156"/>
      <c r="GT39" s="156"/>
      <c r="GU39" s="156"/>
      <c r="GV39" s="156"/>
      <c r="GW39" s="156"/>
      <c r="GX39" s="156"/>
      <c r="GY39" s="156"/>
      <c r="GZ39" s="156"/>
      <c r="HA39" s="156"/>
      <c r="HB39" s="156"/>
      <c r="HC39" s="156"/>
      <c r="HD39" s="156"/>
      <c r="HE39" s="156"/>
      <c r="HF39" s="156"/>
      <c r="HG39" s="156"/>
      <c r="HH39" s="156"/>
      <c r="HI39" s="156"/>
      <c r="HJ39" s="156"/>
      <c r="HK39" s="156"/>
      <c r="HL39" s="156"/>
      <c r="HM39" s="156"/>
      <c r="HN39" s="156"/>
      <c r="HO39" s="156"/>
      <c r="HP39" s="156"/>
      <c r="HQ39" s="156"/>
      <c r="HR39" s="156"/>
      <c r="HS39" s="156"/>
      <c r="HT39" s="156"/>
      <c r="HU39" s="156"/>
      <c r="HV39" s="156"/>
      <c r="HW39" s="156"/>
      <c r="HX39" s="156"/>
      <c r="HY39" s="156"/>
      <c r="HZ39" s="156"/>
      <c r="IA39" s="156"/>
      <c r="IB39" s="156"/>
      <c r="IC39" s="156"/>
      <c r="ID39" s="156"/>
      <c r="IE39" s="156"/>
      <c r="IF39" s="156"/>
      <c r="IG39" s="156"/>
      <c r="IH39" s="156"/>
      <c r="II39" s="156"/>
      <c r="IJ39" s="156"/>
      <c r="IK39" s="156"/>
      <c r="IL39" s="156"/>
      <c r="IM39" s="156"/>
      <c r="IN39" s="156"/>
      <c r="IO39" s="156"/>
      <c r="IP39" s="156"/>
      <c r="IQ39" s="156"/>
      <c r="IR39" s="156"/>
      <c r="IS39" s="156"/>
      <c r="IT39" s="156"/>
      <c r="IU39" s="156"/>
    </row>
    <row r="40" spans="1:255" s="158" customFormat="1" ht="15" customHeight="1">
      <c r="A40" s="1259"/>
      <c r="B40" s="359" t="s">
        <v>1760</v>
      </c>
      <c r="C40" s="300"/>
      <c r="D40" s="64"/>
      <c r="E40" s="303"/>
      <c r="G40" s="645"/>
      <c r="H40" s="337"/>
      <c r="I40" s="357"/>
      <c r="J40" s="337"/>
      <c r="K40" s="357"/>
      <c r="L40" s="357"/>
      <c r="M40" s="337"/>
      <c r="N40" s="357"/>
      <c r="O40" s="357"/>
      <c r="P40" s="337"/>
      <c r="Q40" s="357"/>
      <c r="R40" s="337"/>
      <c r="T40" s="360"/>
      <c r="U40" s="360"/>
      <c r="V40" s="360"/>
      <c r="W40" s="360"/>
      <c r="X40" s="360"/>
      <c r="Y40" s="328"/>
      <c r="Z40" s="328"/>
      <c r="AA40" s="328"/>
      <c r="AB40" s="328"/>
      <c r="AC40" s="328"/>
      <c r="AD40" s="328"/>
      <c r="AE40" s="328"/>
      <c r="AF40" s="328"/>
      <c r="AG40" s="156"/>
      <c r="AH40" s="156"/>
      <c r="AI40" s="156"/>
      <c r="AJ40" s="156"/>
      <c r="AK40" s="156"/>
      <c r="AL40" s="156"/>
      <c r="AM40" s="156"/>
      <c r="AN40" s="156"/>
      <c r="AO40" s="156"/>
      <c r="AP40" s="156"/>
      <c r="AQ40" s="156"/>
      <c r="AR40" s="156"/>
      <c r="AS40" s="156"/>
      <c r="AT40" s="156"/>
      <c r="AU40" s="156"/>
      <c r="AV40" s="156"/>
      <c r="AW40" s="156"/>
      <c r="AX40" s="156"/>
      <c r="AY40" s="156"/>
      <c r="AZ40" s="156"/>
      <c r="BA40" s="156"/>
      <c r="BB40" s="156"/>
      <c r="BC40" s="156"/>
      <c r="BD40" s="156"/>
      <c r="BE40" s="156"/>
      <c r="BF40" s="156"/>
      <c r="BG40" s="156"/>
      <c r="BH40" s="156"/>
      <c r="BI40" s="156"/>
      <c r="BJ40" s="156"/>
      <c r="BK40" s="156"/>
      <c r="BL40" s="156"/>
      <c r="BM40" s="156"/>
      <c r="BN40" s="156"/>
      <c r="BO40" s="156"/>
      <c r="BP40" s="156"/>
      <c r="BQ40" s="156"/>
      <c r="BR40" s="156"/>
      <c r="BS40" s="156"/>
      <c r="BT40" s="156"/>
      <c r="BU40" s="156"/>
      <c r="BV40" s="156"/>
      <c r="BW40" s="156"/>
      <c r="BX40" s="156"/>
      <c r="BY40" s="156"/>
      <c r="BZ40" s="156"/>
      <c r="CA40" s="156"/>
      <c r="CB40" s="156"/>
      <c r="CC40" s="156"/>
      <c r="CD40" s="156"/>
      <c r="CE40" s="156"/>
      <c r="CF40" s="156"/>
      <c r="CG40" s="156"/>
      <c r="CH40" s="156"/>
      <c r="CI40" s="156"/>
      <c r="CJ40" s="156"/>
      <c r="CK40" s="156"/>
      <c r="CL40" s="156"/>
      <c r="CM40" s="156"/>
      <c r="CN40" s="156"/>
      <c r="CO40" s="156"/>
      <c r="CP40" s="156"/>
      <c r="CQ40" s="156"/>
      <c r="CR40" s="156"/>
      <c r="CS40" s="156"/>
      <c r="CT40" s="156"/>
      <c r="CU40" s="156"/>
      <c r="CV40" s="156"/>
      <c r="CW40" s="156"/>
      <c r="CX40" s="156"/>
      <c r="CY40" s="156"/>
      <c r="CZ40" s="156"/>
      <c r="DA40" s="156"/>
      <c r="DB40" s="156"/>
      <c r="DC40" s="156"/>
      <c r="DD40" s="156"/>
      <c r="DE40" s="156"/>
      <c r="DF40" s="156"/>
      <c r="DG40" s="156"/>
      <c r="DH40" s="156"/>
      <c r="DI40" s="156"/>
      <c r="DJ40" s="156"/>
      <c r="DK40" s="156"/>
      <c r="DL40" s="156"/>
      <c r="DM40" s="156"/>
      <c r="DN40" s="156"/>
      <c r="DO40" s="156"/>
      <c r="DP40" s="156"/>
      <c r="DQ40" s="156"/>
      <c r="DR40" s="156"/>
      <c r="DS40" s="156"/>
      <c r="DT40" s="156"/>
      <c r="DU40" s="156"/>
      <c r="DV40" s="156"/>
      <c r="DW40" s="156"/>
      <c r="DX40" s="156"/>
      <c r="DY40" s="156"/>
      <c r="DZ40" s="156"/>
      <c r="EA40" s="156"/>
      <c r="EB40" s="156"/>
      <c r="EC40" s="156"/>
      <c r="ED40" s="156"/>
      <c r="EE40" s="156"/>
      <c r="EF40" s="156"/>
      <c r="EG40" s="156"/>
      <c r="EH40" s="156"/>
      <c r="EI40" s="156"/>
      <c r="EJ40" s="156"/>
      <c r="EK40" s="156"/>
      <c r="EL40" s="156"/>
      <c r="EM40" s="156"/>
      <c r="EN40" s="156"/>
      <c r="EO40" s="156"/>
      <c r="EP40" s="156"/>
      <c r="EQ40" s="156"/>
      <c r="ER40" s="156"/>
      <c r="ES40" s="156"/>
      <c r="ET40" s="156"/>
      <c r="EU40" s="156"/>
      <c r="EV40" s="156"/>
      <c r="EW40" s="156"/>
      <c r="EX40" s="156"/>
      <c r="EY40" s="156"/>
      <c r="EZ40" s="156"/>
      <c r="FA40" s="156"/>
      <c r="FB40" s="156"/>
      <c r="FC40" s="156"/>
      <c r="FD40" s="156"/>
      <c r="FE40" s="156"/>
      <c r="FF40" s="156"/>
      <c r="FG40" s="156"/>
      <c r="FH40" s="156"/>
      <c r="FI40" s="156"/>
      <c r="FJ40" s="156"/>
      <c r="FK40" s="156"/>
      <c r="FL40" s="156"/>
      <c r="FM40" s="156"/>
      <c r="FN40" s="156"/>
      <c r="FO40" s="156"/>
      <c r="FP40" s="156"/>
      <c r="FQ40" s="156"/>
      <c r="FR40" s="156"/>
      <c r="FS40" s="156"/>
      <c r="FT40" s="156"/>
      <c r="FU40" s="156"/>
      <c r="FV40" s="156"/>
      <c r="FW40" s="156"/>
      <c r="FX40" s="156"/>
      <c r="FY40" s="156"/>
      <c r="FZ40" s="156"/>
      <c r="GA40" s="156"/>
      <c r="GB40" s="156"/>
      <c r="GC40" s="156"/>
      <c r="GD40" s="156"/>
      <c r="GE40" s="156"/>
      <c r="GF40" s="156"/>
      <c r="GG40" s="156"/>
      <c r="GH40" s="156"/>
      <c r="GI40" s="156"/>
      <c r="GJ40" s="156"/>
      <c r="GK40" s="156"/>
      <c r="GL40" s="156"/>
      <c r="GM40" s="156"/>
      <c r="GN40" s="156"/>
      <c r="GO40" s="156"/>
      <c r="GP40" s="156"/>
      <c r="GQ40" s="156"/>
      <c r="GR40" s="156"/>
      <c r="GS40" s="156"/>
      <c r="GT40" s="156"/>
      <c r="GU40" s="156"/>
      <c r="GV40" s="156"/>
      <c r="GW40" s="156"/>
      <c r="GX40" s="156"/>
      <c r="GY40" s="156"/>
      <c r="GZ40" s="156"/>
      <c r="HA40" s="156"/>
      <c r="HB40" s="156"/>
      <c r="HC40" s="156"/>
      <c r="HD40" s="156"/>
      <c r="HE40" s="156"/>
      <c r="HF40" s="156"/>
      <c r="HG40" s="156"/>
      <c r="HH40" s="156"/>
      <c r="HI40" s="156"/>
      <c r="HJ40" s="156"/>
      <c r="HK40" s="156"/>
      <c r="HL40" s="156"/>
      <c r="HM40" s="156"/>
      <c r="HN40" s="156"/>
      <c r="HO40" s="156"/>
      <c r="HP40" s="156"/>
      <c r="HQ40" s="156"/>
      <c r="HR40" s="156"/>
      <c r="HS40" s="156"/>
      <c r="HT40" s="156"/>
      <c r="HU40" s="156"/>
      <c r="HV40" s="156"/>
      <c r="HW40" s="156"/>
      <c r="HX40" s="156"/>
      <c r="HY40" s="156"/>
      <c r="HZ40" s="156"/>
      <c r="IA40" s="156"/>
      <c r="IB40" s="156"/>
      <c r="IC40" s="156"/>
      <c r="ID40" s="156"/>
      <c r="IE40" s="156"/>
      <c r="IF40" s="156"/>
      <c r="IG40" s="156"/>
      <c r="IH40" s="156"/>
      <c r="II40" s="156"/>
      <c r="IJ40" s="156"/>
      <c r="IK40" s="156"/>
      <c r="IL40" s="156"/>
      <c r="IM40" s="156"/>
      <c r="IN40" s="156"/>
      <c r="IO40" s="156"/>
      <c r="IP40" s="156"/>
      <c r="IQ40" s="156"/>
      <c r="IR40" s="156"/>
      <c r="IS40" s="156"/>
      <c r="IT40" s="156"/>
      <c r="IU40" s="156"/>
    </row>
    <row r="41" spans="1:255" s="158" customFormat="1" ht="15" customHeight="1">
      <c r="A41" s="1259"/>
      <c r="B41" s="359" t="s">
        <v>1761</v>
      </c>
      <c r="C41" s="300"/>
      <c r="D41" s="64"/>
      <c r="E41" s="303"/>
      <c r="G41" s="645"/>
      <c r="H41" s="337"/>
      <c r="I41" s="357"/>
      <c r="J41" s="337"/>
      <c r="K41" s="357"/>
      <c r="L41" s="357"/>
      <c r="M41" s="337"/>
      <c r="N41" s="357"/>
      <c r="O41" s="357"/>
      <c r="P41" s="337"/>
      <c r="Q41" s="357"/>
      <c r="R41" s="337"/>
      <c r="T41" s="360"/>
      <c r="U41" s="360"/>
      <c r="V41" s="360"/>
      <c r="W41" s="360"/>
      <c r="X41" s="360"/>
      <c r="Y41" s="328"/>
      <c r="Z41" s="328"/>
      <c r="AA41" s="328"/>
      <c r="AB41" s="328"/>
      <c r="AC41" s="328"/>
      <c r="AD41" s="328"/>
      <c r="AE41" s="328"/>
      <c r="AF41" s="328"/>
      <c r="AG41" s="156"/>
      <c r="AH41" s="156"/>
      <c r="AI41" s="156"/>
      <c r="AJ41" s="156"/>
      <c r="AK41" s="156"/>
      <c r="AL41" s="156"/>
      <c r="AM41" s="156"/>
      <c r="AN41" s="156"/>
      <c r="AO41" s="156"/>
      <c r="AP41" s="156"/>
      <c r="AQ41" s="156"/>
      <c r="AR41" s="156"/>
      <c r="AS41" s="156"/>
      <c r="AT41" s="156"/>
      <c r="AU41" s="156"/>
      <c r="AV41" s="156"/>
      <c r="AW41" s="156"/>
      <c r="AX41" s="156"/>
      <c r="AY41" s="156"/>
      <c r="AZ41" s="156"/>
      <c r="BA41" s="156"/>
      <c r="BB41" s="156"/>
      <c r="BC41" s="156"/>
      <c r="BD41" s="156"/>
      <c r="BE41" s="156"/>
      <c r="BF41" s="156"/>
      <c r="BG41" s="156"/>
      <c r="BH41" s="156"/>
      <c r="BI41" s="156"/>
      <c r="BJ41" s="156"/>
      <c r="BK41" s="156"/>
      <c r="BL41" s="156"/>
      <c r="BM41" s="156"/>
      <c r="BN41" s="156"/>
      <c r="BO41" s="156"/>
      <c r="BP41" s="156"/>
      <c r="BQ41" s="156"/>
      <c r="BR41" s="156"/>
      <c r="BS41" s="156"/>
      <c r="BT41" s="156"/>
      <c r="BU41" s="156"/>
      <c r="BV41" s="156"/>
      <c r="BW41" s="156"/>
      <c r="BX41" s="156"/>
      <c r="BY41" s="156"/>
      <c r="BZ41" s="156"/>
      <c r="CA41" s="156"/>
      <c r="CB41" s="156"/>
      <c r="CC41" s="156"/>
      <c r="CD41" s="156"/>
      <c r="CE41" s="156"/>
      <c r="CF41" s="156"/>
      <c r="CG41" s="156"/>
      <c r="CH41" s="156"/>
      <c r="CI41" s="156"/>
      <c r="CJ41" s="156"/>
      <c r="CK41" s="156"/>
      <c r="CL41" s="156"/>
      <c r="CM41" s="156"/>
      <c r="CN41" s="156"/>
      <c r="CO41" s="156"/>
      <c r="CP41" s="156"/>
      <c r="CQ41" s="156"/>
      <c r="CR41" s="156"/>
      <c r="CS41" s="156"/>
      <c r="CT41" s="156"/>
      <c r="CU41" s="156"/>
      <c r="CV41" s="156"/>
      <c r="CW41" s="156"/>
      <c r="CX41" s="156"/>
      <c r="CY41" s="156"/>
      <c r="CZ41" s="156"/>
      <c r="DA41" s="156"/>
      <c r="DB41" s="156"/>
      <c r="DC41" s="156"/>
      <c r="DD41" s="156"/>
      <c r="DE41" s="156"/>
      <c r="DF41" s="156"/>
      <c r="DG41" s="156"/>
      <c r="DH41" s="156"/>
      <c r="DI41" s="156"/>
      <c r="DJ41" s="156"/>
      <c r="DK41" s="156"/>
      <c r="DL41" s="156"/>
      <c r="DM41" s="156"/>
      <c r="DN41" s="156"/>
      <c r="DO41" s="156"/>
      <c r="DP41" s="156"/>
      <c r="DQ41" s="156"/>
      <c r="DR41" s="156"/>
      <c r="DS41" s="156"/>
      <c r="DT41" s="156"/>
      <c r="DU41" s="156"/>
      <c r="DV41" s="156"/>
      <c r="DW41" s="156"/>
      <c r="DX41" s="156"/>
      <c r="DY41" s="156"/>
      <c r="DZ41" s="156"/>
      <c r="EA41" s="156"/>
      <c r="EB41" s="156"/>
      <c r="EC41" s="156"/>
      <c r="ED41" s="156"/>
      <c r="EE41" s="156"/>
      <c r="EF41" s="156"/>
      <c r="EG41" s="156"/>
      <c r="EH41" s="156"/>
      <c r="EI41" s="156"/>
      <c r="EJ41" s="156"/>
      <c r="EK41" s="156"/>
      <c r="EL41" s="156"/>
      <c r="EM41" s="156"/>
      <c r="EN41" s="156"/>
      <c r="EO41" s="156"/>
      <c r="EP41" s="156"/>
      <c r="EQ41" s="156"/>
      <c r="ER41" s="156"/>
      <c r="ES41" s="156"/>
      <c r="ET41" s="156"/>
      <c r="EU41" s="156"/>
      <c r="EV41" s="156"/>
      <c r="EW41" s="156"/>
      <c r="EX41" s="156"/>
      <c r="EY41" s="156"/>
      <c r="EZ41" s="156"/>
      <c r="FA41" s="156"/>
      <c r="FB41" s="156"/>
      <c r="FC41" s="156"/>
      <c r="FD41" s="156"/>
      <c r="FE41" s="156"/>
      <c r="FF41" s="156"/>
      <c r="FG41" s="156"/>
      <c r="FH41" s="156"/>
      <c r="FI41" s="156"/>
      <c r="FJ41" s="156"/>
      <c r="FK41" s="156"/>
      <c r="FL41" s="156"/>
      <c r="FM41" s="156"/>
      <c r="FN41" s="156"/>
      <c r="FO41" s="156"/>
      <c r="FP41" s="156"/>
      <c r="FQ41" s="156"/>
      <c r="FR41" s="156"/>
      <c r="FS41" s="156"/>
      <c r="FT41" s="156"/>
      <c r="FU41" s="156"/>
      <c r="FV41" s="156"/>
      <c r="FW41" s="156"/>
      <c r="FX41" s="156"/>
      <c r="FY41" s="156"/>
      <c r="FZ41" s="156"/>
      <c r="GA41" s="156"/>
      <c r="GB41" s="156"/>
      <c r="GC41" s="156"/>
      <c r="GD41" s="156"/>
      <c r="GE41" s="156"/>
      <c r="GF41" s="156"/>
      <c r="GG41" s="156"/>
      <c r="GH41" s="156"/>
      <c r="GI41" s="156"/>
      <c r="GJ41" s="156"/>
      <c r="GK41" s="156"/>
      <c r="GL41" s="156"/>
      <c r="GM41" s="156"/>
      <c r="GN41" s="156"/>
      <c r="GO41" s="156"/>
      <c r="GP41" s="156"/>
      <c r="GQ41" s="156"/>
      <c r="GR41" s="156"/>
      <c r="GS41" s="156"/>
      <c r="GT41" s="156"/>
      <c r="GU41" s="156"/>
      <c r="GV41" s="156"/>
      <c r="GW41" s="156"/>
      <c r="GX41" s="156"/>
      <c r="GY41" s="156"/>
      <c r="GZ41" s="156"/>
      <c r="HA41" s="156"/>
      <c r="HB41" s="156"/>
      <c r="HC41" s="156"/>
      <c r="HD41" s="156"/>
      <c r="HE41" s="156"/>
      <c r="HF41" s="156"/>
      <c r="HG41" s="156"/>
      <c r="HH41" s="156"/>
      <c r="HI41" s="156"/>
      <c r="HJ41" s="156"/>
      <c r="HK41" s="156"/>
      <c r="HL41" s="156"/>
      <c r="HM41" s="156"/>
      <c r="HN41" s="156"/>
      <c r="HO41" s="156"/>
      <c r="HP41" s="156"/>
      <c r="HQ41" s="156"/>
      <c r="HR41" s="156"/>
      <c r="HS41" s="156"/>
      <c r="HT41" s="156"/>
      <c r="HU41" s="156"/>
      <c r="HV41" s="156"/>
      <c r="HW41" s="156"/>
      <c r="HX41" s="156"/>
      <c r="HY41" s="156"/>
      <c r="HZ41" s="156"/>
      <c r="IA41" s="156"/>
      <c r="IB41" s="156"/>
      <c r="IC41" s="156"/>
      <c r="ID41" s="156"/>
      <c r="IE41" s="156"/>
      <c r="IF41" s="156"/>
      <c r="IG41" s="156"/>
      <c r="IH41" s="156"/>
      <c r="II41" s="156"/>
      <c r="IJ41" s="156"/>
      <c r="IK41" s="156"/>
      <c r="IL41" s="156"/>
      <c r="IM41" s="156"/>
      <c r="IN41" s="156"/>
      <c r="IO41" s="156"/>
      <c r="IP41" s="156"/>
      <c r="IQ41" s="156"/>
      <c r="IR41" s="156"/>
      <c r="IS41" s="156"/>
      <c r="IT41" s="156"/>
      <c r="IU41" s="156"/>
    </row>
    <row r="42" spans="1:255" s="158" customFormat="1" ht="15" customHeight="1">
      <c r="A42" s="1259"/>
      <c r="B42" s="359" t="s">
        <v>1762</v>
      </c>
      <c r="C42" s="300"/>
      <c r="D42" s="64"/>
      <c r="E42" s="303"/>
      <c r="G42" s="645"/>
      <c r="H42" s="337"/>
      <c r="I42" s="357"/>
      <c r="J42" s="337"/>
      <c r="K42" s="357"/>
      <c r="L42" s="357"/>
      <c r="M42" s="337"/>
      <c r="N42" s="357"/>
      <c r="O42" s="357"/>
      <c r="P42" s="337"/>
      <c r="Q42" s="357"/>
      <c r="R42" s="337"/>
      <c r="T42" s="360"/>
      <c r="U42" s="360"/>
      <c r="V42" s="360"/>
      <c r="W42" s="360"/>
      <c r="X42" s="360"/>
      <c r="Y42" s="328"/>
      <c r="Z42" s="328"/>
      <c r="AA42" s="328"/>
      <c r="AB42" s="328"/>
      <c r="AC42" s="328"/>
      <c r="AD42" s="328"/>
      <c r="AE42" s="328"/>
      <c r="AF42" s="328"/>
      <c r="AG42" s="156"/>
      <c r="AH42" s="156"/>
      <c r="AI42" s="156"/>
      <c r="AJ42" s="156"/>
      <c r="AK42" s="156"/>
      <c r="AL42" s="156"/>
      <c r="AM42" s="156"/>
      <c r="AN42" s="156"/>
      <c r="AO42" s="156"/>
      <c r="AP42" s="156"/>
      <c r="AQ42" s="156"/>
      <c r="AR42" s="156"/>
      <c r="AS42" s="156"/>
      <c r="AT42" s="156"/>
      <c r="AU42" s="156"/>
      <c r="AV42" s="156"/>
      <c r="AW42" s="156"/>
      <c r="AX42" s="156"/>
      <c r="AY42" s="156"/>
      <c r="AZ42" s="156"/>
      <c r="BA42" s="156"/>
      <c r="BB42" s="156"/>
      <c r="BC42" s="156"/>
      <c r="BD42" s="156"/>
      <c r="BE42" s="156"/>
      <c r="BF42" s="156"/>
      <c r="BG42" s="156"/>
      <c r="BH42" s="156"/>
      <c r="BI42" s="156"/>
      <c r="BJ42" s="156"/>
      <c r="BK42" s="156"/>
      <c r="BL42" s="156"/>
      <c r="BM42" s="156"/>
      <c r="BN42" s="156"/>
      <c r="BO42" s="156"/>
      <c r="BP42" s="156"/>
      <c r="BQ42" s="156"/>
      <c r="BR42" s="156"/>
      <c r="BS42" s="156"/>
      <c r="BT42" s="156"/>
      <c r="BU42" s="156"/>
      <c r="BV42" s="156"/>
      <c r="BW42" s="156"/>
      <c r="BX42" s="156"/>
      <c r="BY42" s="156"/>
      <c r="BZ42" s="156"/>
      <c r="CA42" s="156"/>
      <c r="CB42" s="156"/>
      <c r="CC42" s="156"/>
      <c r="CD42" s="156"/>
      <c r="CE42" s="156"/>
      <c r="CF42" s="156"/>
      <c r="CG42" s="156"/>
      <c r="CH42" s="156"/>
      <c r="CI42" s="156"/>
      <c r="CJ42" s="156"/>
      <c r="CK42" s="156"/>
      <c r="CL42" s="156"/>
      <c r="CM42" s="156"/>
      <c r="CN42" s="156"/>
      <c r="CO42" s="156"/>
      <c r="CP42" s="156"/>
      <c r="CQ42" s="156"/>
      <c r="CR42" s="156"/>
      <c r="CS42" s="156"/>
      <c r="CT42" s="156"/>
      <c r="CU42" s="156"/>
      <c r="CV42" s="156"/>
      <c r="CW42" s="156"/>
      <c r="CX42" s="156"/>
      <c r="CY42" s="156"/>
      <c r="CZ42" s="156"/>
      <c r="DA42" s="156"/>
      <c r="DB42" s="156"/>
      <c r="DC42" s="156"/>
      <c r="DD42" s="156"/>
      <c r="DE42" s="156"/>
      <c r="DF42" s="156"/>
      <c r="DG42" s="156"/>
      <c r="DH42" s="156"/>
      <c r="DI42" s="156"/>
      <c r="DJ42" s="156"/>
      <c r="DK42" s="156"/>
      <c r="DL42" s="156"/>
      <c r="DM42" s="156"/>
      <c r="DN42" s="156"/>
      <c r="DO42" s="156"/>
      <c r="DP42" s="156"/>
      <c r="DQ42" s="156"/>
      <c r="DR42" s="156"/>
      <c r="DS42" s="156"/>
      <c r="DT42" s="156"/>
      <c r="DU42" s="156"/>
      <c r="DV42" s="156"/>
      <c r="DW42" s="156"/>
      <c r="DX42" s="156"/>
      <c r="DY42" s="156"/>
      <c r="DZ42" s="156"/>
      <c r="EA42" s="156"/>
      <c r="EB42" s="156"/>
      <c r="EC42" s="156"/>
      <c r="ED42" s="156"/>
      <c r="EE42" s="156"/>
      <c r="EF42" s="156"/>
      <c r="EG42" s="156"/>
      <c r="EH42" s="156"/>
      <c r="EI42" s="156"/>
      <c r="EJ42" s="156"/>
      <c r="EK42" s="156"/>
      <c r="EL42" s="156"/>
      <c r="EM42" s="156"/>
      <c r="EN42" s="156"/>
      <c r="EO42" s="156"/>
      <c r="EP42" s="156"/>
      <c r="EQ42" s="156"/>
      <c r="ER42" s="156"/>
      <c r="ES42" s="156"/>
      <c r="ET42" s="156"/>
      <c r="EU42" s="156"/>
      <c r="EV42" s="156"/>
      <c r="EW42" s="156"/>
      <c r="EX42" s="156"/>
      <c r="EY42" s="156"/>
      <c r="EZ42" s="156"/>
      <c r="FA42" s="156"/>
      <c r="FB42" s="156"/>
      <c r="FC42" s="156"/>
      <c r="FD42" s="156"/>
      <c r="FE42" s="156"/>
      <c r="FF42" s="156"/>
      <c r="FG42" s="156"/>
      <c r="FH42" s="156"/>
      <c r="FI42" s="156"/>
      <c r="FJ42" s="156"/>
      <c r="FK42" s="156"/>
      <c r="FL42" s="156"/>
      <c r="FM42" s="156"/>
      <c r="FN42" s="156"/>
      <c r="FO42" s="156"/>
      <c r="FP42" s="156"/>
      <c r="FQ42" s="156"/>
      <c r="FR42" s="156"/>
      <c r="FS42" s="156"/>
      <c r="FT42" s="156"/>
      <c r="FU42" s="156"/>
      <c r="FV42" s="156"/>
      <c r="FW42" s="156"/>
      <c r="FX42" s="156"/>
      <c r="FY42" s="156"/>
      <c r="FZ42" s="156"/>
      <c r="GA42" s="156"/>
      <c r="GB42" s="156"/>
      <c r="GC42" s="156"/>
      <c r="GD42" s="156"/>
      <c r="GE42" s="156"/>
      <c r="GF42" s="156"/>
      <c r="GG42" s="156"/>
      <c r="GH42" s="156"/>
      <c r="GI42" s="156"/>
      <c r="GJ42" s="156"/>
      <c r="GK42" s="156"/>
      <c r="GL42" s="156"/>
      <c r="GM42" s="156"/>
      <c r="GN42" s="156"/>
      <c r="GO42" s="156"/>
      <c r="GP42" s="156"/>
      <c r="GQ42" s="156"/>
      <c r="GR42" s="156"/>
      <c r="GS42" s="156"/>
      <c r="GT42" s="156"/>
      <c r="GU42" s="156"/>
      <c r="GV42" s="156"/>
      <c r="GW42" s="156"/>
      <c r="GX42" s="156"/>
      <c r="GY42" s="156"/>
      <c r="GZ42" s="156"/>
      <c r="HA42" s="156"/>
      <c r="HB42" s="156"/>
      <c r="HC42" s="156"/>
      <c r="HD42" s="156"/>
      <c r="HE42" s="156"/>
      <c r="HF42" s="156"/>
      <c r="HG42" s="156"/>
      <c r="HH42" s="156"/>
      <c r="HI42" s="156"/>
      <c r="HJ42" s="156"/>
      <c r="HK42" s="156"/>
      <c r="HL42" s="156"/>
      <c r="HM42" s="156"/>
      <c r="HN42" s="156"/>
      <c r="HO42" s="156"/>
      <c r="HP42" s="156"/>
      <c r="HQ42" s="156"/>
      <c r="HR42" s="156"/>
      <c r="HS42" s="156"/>
      <c r="HT42" s="156"/>
      <c r="HU42" s="156"/>
      <c r="HV42" s="156"/>
      <c r="HW42" s="156"/>
      <c r="HX42" s="156"/>
      <c r="HY42" s="156"/>
      <c r="HZ42" s="156"/>
      <c r="IA42" s="156"/>
      <c r="IB42" s="156"/>
      <c r="IC42" s="156"/>
      <c r="ID42" s="156"/>
      <c r="IE42" s="156"/>
      <c r="IF42" s="156"/>
      <c r="IG42" s="156"/>
      <c r="IH42" s="156"/>
      <c r="II42" s="156"/>
      <c r="IJ42" s="156"/>
      <c r="IK42" s="156"/>
      <c r="IL42" s="156"/>
      <c r="IM42" s="156"/>
      <c r="IN42" s="156"/>
      <c r="IO42" s="156"/>
      <c r="IP42" s="156"/>
      <c r="IQ42" s="156"/>
      <c r="IR42" s="156"/>
      <c r="IS42" s="156"/>
      <c r="IT42" s="156"/>
      <c r="IU42" s="156"/>
    </row>
    <row r="43" spans="1:255" s="158" customFormat="1" ht="15" customHeight="1">
      <c r="A43" s="1259"/>
      <c r="B43" s="359" t="s">
        <v>1763</v>
      </c>
      <c r="C43" s="300"/>
      <c r="D43" s="64"/>
      <c r="E43" s="303"/>
      <c r="G43" s="645"/>
      <c r="H43" s="337"/>
      <c r="I43" s="357"/>
      <c r="J43" s="337"/>
      <c r="K43" s="357"/>
      <c r="L43" s="357"/>
      <c r="M43" s="337"/>
      <c r="N43" s="357"/>
      <c r="O43" s="357"/>
      <c r="P43" s="337"/>
      <c r="Q43" s="357"/>
      <c r="R43" s="337"/>
      <c r="T43" s="360"/>
      <c r="U43" s="360"/>
      <c r="V43" s="360"/>
      <c r="W43" s="360"/>
      <c r="X43" s="360"/>
      <c r="Y43" s="328"/>
      <c r="Z43" s="328"/>
      <c r="AA43" s="328"/>
      <c r="AB43" s="328"/>
      <c r="AC43" s="328"/>
      <c r="AD43" s="328"/>
      <c r="AE43" s="328"/>
      <c r="AF43" s="328"/>
      <c r="AG43" s="156"/>
      <c r="AH43" s="156"/>
      <c r="AI43" s="156"/>
      <c r="AJ43" s="156"/>
      <c r="AK43" s="156"/>
      <c r="AL43" s="156"/>
      <c r="AM43" s="156"/>
      <c r="AN43" s="156"/>
      <c r="AO43" s="156"/>
      <c r="AP43" s="156"/>
      <c r="AQ43" s="156"/>
      <c r="AR43" s="156"/>
      <c r="AS43" s="156"/>
      <c r="AT43" s="156"/>
      <c r="AU43" s="156"/>
      <c r="AV43" s="156"/>
      <c r="AW43" s="156"/>
      <c r="AX43" s="156"/>
      <c r="AY43" s="156"/>
      <c r="AZ43" s="156"/>
      <c r="BA43" s="156"/>
      <c r="BB43" s="156"/>
      <c r="BC43" s="156"/>
      <c r="BD43" s="156"/>
      <c r="BE43" s="156"/>
      <c r="BF43" s="156"/>
      <c r="BG43" s="156"/>
      <c r="BH43" s="156"/>
      <c r="BI43" s="156"/>
      <c r="BJ43" s="156"/>
      <c r="BK43" s="156"/>
      <c r="BL43" s="156"/>
      <c r="BM43" s="156"/>
      <c r="BN43" s="156"/>
      <c r="BO43" s="156"/>
      <c r="BP43" s="156"/>
      <c r="BQ43" s="156"/>
      <c r="BR43" s="156"/>
      <c r="BS43" s="156"/>
      <c r="BT43" s="156"/>
      <c r="BU43" s="156"/>
      <c r="BV43" s="156"/>
      <c r="BW43" s="156"/>
      <c r="BX43" s="156"/>
      <c r="BY43" s="156"/>
      <c r="BZ43" s="156"/>
      <c r="CA43" s="156"/>
      <c r="CB43" s="156"/>
      <c r="CC43" s="156"/>
      <c r="CD43" s="156"/>
      <c r="CE43" s="156"/>
      <c r="CF43" s="156"/>
      <c r="CG43" s="156"/>
      <c r="CH43" s="156"/>
      <c r="CI43" s="156"/>
      <c r="CJ43" s="156"/>
      <c r="CK43" s="156"/>
      <c r="CL43" s="156"/>
      <c r="CM43" s="156"/>
      <c r="CN43" s="156"/>
      <c r="CO43" s="156"/>
      <c r="CP43" s="156"/>
      <c r="CQ43" s="156"/>
      <c r="CR43" s="156"/>
      <c r="CS43" s="156"/>
      <c r="CT43" s="156"/>
      <c r="CU43" s="156"/>
      <c r="CV43" s="156"/>
      <c r="CW43" s="156"/>
      <c r="CX43" s="156"/>
      <c r="CY43" s="156"/>
      <c r="CZ43" s="156"/>
      <c r="DA43" s="156"/>
      <c r="DB43" s="156"/>
      <c r="DC43" s="156"/>
      <c r="DD43" s="156"/>
      <c r="DE43" s="156"/>
      <c r="DF43" s="156"/>
      <c r="DG43" s="156"/>
      <c r="DH43" s="156"/>
      <c r="DI43" s="156"/>
      <c r="DJ43" s="156"/>
      <c r="DK43" s="156"/>
      <c r="DL43" s="156"/>
      <c r="DM43" s="156"/>
      <c r="DN43" s="156"/>
      <c r="DO43" s="156"/>
      <c r="DP43" s="156"/>
      <c r="DQ43" s="156"/>
      <c r="DR43" s="156"/>
      <c r="DS43" s="156"/>
      <c r="DT43" s="156"/>
      <c r="DU43" s="156"/>
      <c r="DV43" s="156"/>
      <c r="DW43" s="156"/>
      <c r="DX43" s="156"/>
      <c r="DY43" s="156"/>
      <c r="DZ43" s="156"/>
      <c r="EA43" s="156"/>
      <c r="EB43" s="156"/>
      <c r="EC43" s="156"/>
      <c r="ED43" s="156"/>
      <c r="EE43" s="156"/>
      <c r="EF43" s="156"/>
      <c r="EG43" s="156"/>
      <c r="EH43" s="156"/>
      <c r="EI43" s="156"/>
      <c r="EJ43" s="156"/>
      <c r="EK43" s="156"/>
      <c r="EL43" s="156"/>
      <c r="EM43" s="156"/>
      <c r="EN43" s="156"/>
      <c r="EO43" s="156"/>
      <c r="EP43" s="156"/>
      <c r="EQ43" s="156"/>
      <c r="ER43" s="156"/>
      <c r="ES43" s="156"/>
      <c r="ET43" s="156"/>
      <c r="EU43" s="156"/>
      <c r="EV43" s="156"/>
      <c r="EW43" s="156"/>
      <c r="EX43" s="156"/>
      <c r="EY43" s="156"/>
      <c r="EZ43" s="156"/>
      <c r="FA43" s="156"/>
      <c r="FB43" s="156"/>
      <c r="FC43" s="156"/>
      <c r="FD43" s="156"/>
      <c r="FE43" s="156"/>
      <c r="FF43" s="156"/>
      <c r="FG43" s="156"/>
      <c r="FH43" s="156"/>
      <c r="FI43" s="156"/>
      <c r="FJ43" s="156"/>
      <c r="FK43" s="156"/>
      <c r="FL43" s="156"/>
      <c r="FM43" s="156"/>
      <c r="FN43" s="156"/>
      <c r="FO43" s="156"/>
      <c r="FP43" s="156"/>
      <c r="FQ43" s="156"/>
      <c r="FR43" s="156"/>
      <c r="FS43" s="156"/>
      <c r="FT43" s="156"/>
      <c r="FU43" s="156"/>
      <c r="FV43" s="156"/>
      <c r="FW43" s="156"/>
      <c r="FX43" s="156"/>
      <c r="FY43" s="156"/>
      <c r="FZ43" s="156"/>
      <c r="GA43" s="156"/>
      <c r="GB43" s="156"/>
      <c r="GC43" s="156"/>
      <c r="GD43" s="156"/>
      <c r="GE43" s="156"/>
      <c r="GF43" s="156"/>
      <c r="GG43" s="156"/>
      <c r="GH43" s="156"/>
      <c r="GI43" s="156"/>
      <c r="GJ43" s="156"/>
      <c r="GK43" s="156"/>
      <c r="GL43" s="156"/>
      <c r="GM43" s="156"/>
      <c r="GN43" s="156"/>
      <c r="GO43" s="156"/>
      <c r="GP43" s="156"/>
      <c r="GQ43" s="156"/>
      <c r="GR43" s="156"/>
      <c r="GS43" s="156"/>
      <c r="GT43" s="156"/>
      <c r="GU43" s="156"/>
      <c r="GV43" s="156"/>
      <c r="GW43" s="156"/>
      <c r="GX43" s="156"/>
      <c r="GY43" s="156"/>
      <c r="GZ43" s="156"/>
      <c r="HA43" s="156"/>
      <c r="HB43" s="156"/>
      <c r="HC43" s="156"/>
      <c r="HD43" s="156"/>
      <c r="HE43" s="156"/>
      <c r="HF43" s="156"/>
      <c r="HG43" s="156"/>
      <c r="HH43" s="156"/>
      <c r="HI43" s="156"/>
      <c r="HJ43" s="156"/>
      <c r="HK43" s="156"/>
      <c r="HL43" s="156"/>
      <c r="HM43" s="156"/>
      <c r="HN43" s="156"/>
      <c r="HO43" s="156"/>
      <c r="HP43" s="156"/>
      <c r="HQ43" s="156"/>
      <c r="HR43" s="156"/>
      <c r="HS43" s="156"/>
      <c r="HT43" s="156"/>
      <c r="HU43" s="156"/>
      <c r="HV43" s="156"/>
      <c r="HW43" s="156"/>
      <c r="HX43" s="156"/>
      <c r="HY43" s="156"/>
      <c r="HZ43" s="156"/>
      <c r="IA43" s="156"/>
      <c r="IB43" s="156"/>
      <c r="IC43" s="156"/>
      <c r="ID43" s="156"/>
      <c r="IE43" s="156"/>
      <c r="IF43" s="156"/>
      <c r="IG43" s="156"/>
      <c r="IH43" s="156"/>
      <c r="II43" s="156"/>
      <c r="IJ43" s="156"/>
      <c r="IK43" s="156"/>
      <c r="IL43" s="156"/>
      <c r="IM43" s="156"/>
      <c r="IN43" s="156"/>
      <c r="IO43" s="156"/>
      <c r="IP43" s="156"/>
      <c r="IQ43" s="156"/>
      <c r="IR43" s="156"/>
      <c r="IS43" s="156"/>
      <c r="IT43" s="156"/>
      <c r="IU43" s="156"/>
    </row>
    <row r="44" spans="1:255" s="158" customFormat="1" ht="15" customHeight="1">
      <c r="A44" s="1259"/>
      <c r="B44" s="359" t="s">
        <v>1764</v>
      </c>
      <c r="C44" s="300"/>
      <c r="D44" s="64"/>
      <c r="E44" s="303"/>
      <c r="G44" s="645"/>
      <c r="H44" s="337"/>
      <c r="I44" s="357"/>
      <c r="J44" s="337"/>
      <c r="K44" s="357"/>
      <c r="L44" s="357"/>
      <c r="M44" s="337"/>
      <c r="N44" s="357"/>
      <c r="O44" s="357"/>
      <c r="P44" s="337"/>
      <c r="Q44" s="357"/>
      <c r="R44" s="337"/>
      <c r="T44" s="360"/>
      <c r="U44" s="360"/>
      <c r="V44" s="360"/>
      <c r="W44" s="360"/>
      <c r="X44" s="360"/>
      <c r="Y44" s="328"/>
      <c r="Z44" s="328"/>
      <c r="AA44" s="328"/>
      <c r="AB44" s="328"/>
      <c r="AC44" s="328"/>
      <c r="AD44" s="328"/>
      <c r="AE44" s="328"/>
      <c r="AF44" s="328"/>
      <c r="AG44" s="156"/>
      <c r="AH44" s="156"/>
      <c r="AI44" s="156"/>
      <c r="AJ44" s="156"/>
      <c r="AK44" s="156"/>
      <c r="AL44" s="156"/>
      <c r="AM44" s="156"/>
      <c r="AN44" s="156"/>
      <c r="AO44" s="156"/>
      <c r="AP44" s="156"/>
      <c r="AQ44" s="156"/>
      <c r="AR44" s="156"/>
      <c r="AS44" s="156"/>
      <c r="AT44" s="156"/>
      <c r="AU44" s="156"/>
      <c r="AV44" s="156"/>
      <c r="AW44" s="156"/>
      <c r="AX44" s="156"/>
      <c r="AY44" s="156"/>
      <c r="AZ44" s="156"/>
      <c r="BA44" s="156"/>
      <c r="BB44" s="156"/>
      <c r="BC44" s="156"/>
      <c r="BD44" s="156"/>
      <c r="BE44" s="156"/>
      <c r="BF44" s="156"/>
      <c r="BG44" s="156"/>
      <c r="BH44" s="156"/>
      <c r="BI44" s="156"/>
      <c r="BJ44" s="156"/>
      <c r="BK44" s="156"/>
      <c r="BL44" s="156"/>
      <c r="BM44" s="156"/>
      <c r="BN44" s="156"/>
      <c r="BO44" s="156"/>
      <c r="BP44" s="156"/>
      <c r="BQ44" s="156"/>
      <c r="BR44" s="156"/>
      <c r="BS44" s="156"/>
      <c r="BT44" s="156"/>
      <c r="BU44" s="156"/>
      <c r="BV44" s="156"/>
      <c r="BW44" s="156"/>
      <c r="BX44" s="156"/>
      <c r="BY44" s="156"/>
      <c r="BZ44" s="156"/>
      <c r="CA44" s="156"/>
      <c r="CB44" s="156"/>
      <c r="CC44" s="156"/>
      <c r="CD44" s="156"/>
      <c r="CE44" s="156"/>
      <c r="CF44" s="156"/>
      <c r="CG44" s="156"/>
      <c r="CH44" s="156"/>
      <c r="CI44" s="156"/>
      <c r="CJ44" s="156"/>
      <c r="CK44" s="156"/>
      <c r="CL44" s="156"/>
      <c r="CM44" s="156"/>
      <c r="CN44" s="156"/>
      <c r="CO44" s="156"/>
      <c r="CP44" s="156"/>
      <c r="CQ44" s="156"/>
      <c r="CR44" s="156"/>
      <c r="CS44" s="156"/>
      <c r="CT44" s="156"/>
      <c r="CU44" s="156"/>
      <c r="CV44" s="156"/>
      <c r="CW44" s="156"/>
      <c r="CX44" s="156"/>
      <c r="CY44" s="156"/>
      <c r="CZ44" s="156"/>
      <c r="DA44" s="156"/>
      <c r="DB44" s="156"/>
      <c r="DC44" s="156"/>
      <c r="DD44" s="156"/>
      <c r="DE44" s="156"/>
      <c r="DF44" s="156"/>
      <c r="DG44" s="156"/>
      <c r="DH44" s="156"/>
      <c r="DI44" s="156"/>
      <c r="DJ44" s="156"/>
      <c r="DK44" s="156"/>
      <c r="DL44" s="156"/>
      <c r="DM44" s="156"/>
      <c r="DN44" s="156"/>
      <c r="DO44" s="156"/>
      <c r="DP44" s="156"/>
      <c r="DQ44" s="156"/>
      <c r="DR44" s="156"/>
      <c r="DS44" s="156"/>
      <c r="DT44" s="156"/>
      <c r="DU44" s="156"/>
      <c r="DV44" s="156"/>
      <c r="DW44" s="156"/>
      <c r="DX44" s="156"/>
      <c r="DY44" s="156"/>
      <c r="DZ44" s="156"/>
      <c r="EA44" s="156"/>
      <c r="EB44" s="156"/>
      <c r="EC44" s="156"/>
      <c r="ED44" s="156"/>
      <c r="EE44" s="156"/>
      <c r="EF44" s="156"/>
      <c r="EG44" s="156"/>
      <c r="EH44" s="156"/>
      <c r="EI44" s="156"/>
      <c r="EJ44" s="156"/>
      <c r="EK44" s="156"/>
      <c r="EL44" s="156"/>
      <c r="EM44" s="156"/>
      <c r="EN44" s="156"/>
      <c r="EO44" s="156"/>
      <c r="EP44" s="156"/>
      <c r="EQ44" s="156"/>
      <c r="ER44" s="156"/>
      <c r="ES44" s="156"/>
      <c r="ET44" s="156"/>
      <c r="EU44" s="156"/>
      <c r="EV44" s="156"/>
      <c r="EW44" s="156"/>
      <c r="EX44" s="156"/>
      <c r="EY44" s="156"/>
      <c r="EZ44" s="156"/>
      <c r="FA44" s="156"/>
      <c r="FB44" s="156"/>
      <c r="FC44" s="156"/>
      <c r="FD44" s="156"/>
      <c r="FE44" s="156"/>
      <c r="FF44" s="156"/>
      <c r="FG44" s="156"/>
      <c r="FH44" s="156"/>
      <c r="FI44" s="156"/>
      <c r="FJ44" s="156"/>
      <c r="FK44" s="156"/>
      <c r="FL44" s="156"/>
      <c r="FM44" s="156"/>
      <c r="FN44" s="156"/>
      <c r="FO44" s="156"/>
      <c r="FP44" s="156"/>
      <c r="FQ44" s="156"/>
      <c r="FR44" s="156"/>
      <c r="FS44" s="156"/>
      <c r="FT44" s="156"/>
      <c r="FU44" s="156"/>
      <c r="FV44" s="156"/>
      <c r="FW44" s="156"/>
      <c r="FX44" s="156"/>
      <c r="FY44" s="156"/>
      <c r="FZ44" s="156"/>
      <c r="GA44" s="156"/>
      <c r="GB44" s="156"/>
      <c r="GC44" s="156"/>
      <c r="GD44" s="156"/>
      <c r="GE44" s="156"/>
      <c r="GF44" s="156"/>
      <c r="GG44" s="156"/>
      <c r="GH44" s="156"/>
      <c r="GI44" s="156"/>
      <c r="GJ44" s="156"/>
      <c r="GK44" s="156"/>
      <c r="GL44" s="156"/>
      <c r="GM44" s="156"/>
      <c r="GN44" s="156"/>
      <c r="GO44" s="156"/>
      <c r="GP44" s="156"/>
      <c r="GQ44" s="156"/>
      <c r="GR44" s="156"/>
      <c r="GS44" s="156"/>
      <c r="GT44" s="156"/>
      <c r="GU44" s="156"/>
      <c r="GV44" s="156"/>
      <c r="GW44" s="156"/>
      <c r="GX44" s="156"/>
      <c r="GY44" s="156"/>
      <c r="GZ44" s="156"/>
      <c r="HA44" s="156"/>
      <c r="HB44" s="156"/>
      <c r="HC44" s="156"/>
      <c r="HD44" s="156"/>
      <c r="HE44" s="156"/>
      <c r="HF44" s="156"/>
      <c r="HG44" s="156"/>
      <c r="HH44" s="156"/>
      <c r="HI44" s="156"/>
      <c r="HJ44" s="156"/>
      <c r="HK44" s="156"/>
      <c r="HL44" s="156"/>
      <c r="HM44" s="156"/>
      <c r="HN44" s="156"/>
      <c r="HO44" s="156"/>
      <c r="HP44" s="156"/>
      <c r="HQ44" s="156"/>
      <c r="HR44" s="156"/>
      <c r="HS44" s="156"/>
      <c r="HT44" s="156"/>
      <c r="HU44" s="156"/>
      <c r="HV44" s="156"/>
      <c r="HW44" s="156"/>
      <c r="HX44" s="156"/>
      <c r="HY44" s="156"/>
      <c r="HZ44" s="156"/>
      <c r="IA44" s="156"/>
      <c r="IB44" s="156"/>
      <c r="IC44" s="156"/>
      <c r="ID44" s="156"/>
      <c r="IE44" s="156"/>
      <c r="IF44" s="156"/>
      <c r="IG44" s="156"/>
      <c r="IH44" s="156"/>
      <c r="II44" s="156"/>
      <c r="IJ44" s="156"/>
      <c r="IK44" s="156"/>
      <c r="IL44" s="156"/>
      <c r="IM44" s="156"/>
      <c r="IN44" s="156"/>
      <c r="IO44" s="156"/>
      <c r="IP44" s="156"/>
      <c r="IQ44" s="156"/>
      <c r="IR44" s="156"/>
      <c r="IS44" s="156"/>
      <c r="IT44" s="156"/>
      <c r="IU44" s="156"/>
    </row>
    <row r="45" spans="1:255" ht="15" customHeight="1">
      <c r="A45" s="1259"/>
      <c r="B45" s="359" t="s">
        <v>1765</v>
      </c>
      <c r="C45" s="300"/>
      <c r="D45" s="64"/>
      <c r="E45" s="303"/>
      <c r="H45" s="337"/>
      <c r="I45" s="155"/>
      <c r="J45" s="337"/>
      <c r="K45" s="155"/>
      <c r="L45" s="155"/>
      <c r="M45" s="337"/>
      <c r="N45" s="155"/>
      <c r="O45" s="155"/>
      <c r="P45" s="337"/>
      <c r="Q45" s="155"/>
      <c r="R45" s="337"/>
    </row>
    <row r="46" spans="1:255" ht="15" customHeight="1">
      <c r="A46" s="1259"/>
      <c r="B46" s="359" t="s">
        <v>1531</v>
      </c>
      <c r="C46" s="300"/>
      <c r="D46" s="64"/>
      <c r="E46" s="303"/>
      <c r="H46" s="337"/>
      <c r="I46" s="155"/>
      <c r="J46" s="337"/>
      <c r="K46" s="155"/>
      <c r="L46" s="155"/>
      <c r="M46" s="337"/>
      <c r="N46" s="155"/>
      <c r="O46" s="155"/>
      <c r="P46" s="337"/>
      <c r="Q46" s="155"/>
      <c r="R46" s="337"/>
    </row>
    <row r="47" spans="1:255" ht="15" customHeight="1" thickBot="1">
      <c r="A47" s="1259"/>
      <c r="B47" s="362" t="s">
        <v>1530</v>
      </c>
      <c r="C47" s="558">
        <f>SUM(C21:C46)</f>
        <v>0</v>
      </c>
      <c r="D47" s="559">
        <f>SUM(D21:D46)</f>
        <v>0</v>
      </c>
      <c r="E47" s="560">
        <f>SUM(E21:E46)</f>
        <v>0</v>
      </c>
      <c r="H47" s="337"/>
      <c r="I47" s="155"/>
      <c r="J47" s="337"/>
      <c r="K47" s="155"/>
      <c r="L47" s="155"/>
      <c r="M47" s="337"/>
      <c r="N47" s="155"/>
      <c r="O47" s="155"/>
      <c r="P47" s="337"/>
      <c r="Q47" s="155"/>
      <c r="R47" s="337"/>
    </row>
    <row r="48" spans="1:255" ht="15" customHeight="1">
      <c r="A48" s="1259"/>
      <c r="B48" s="363" t="s">
        <v>2577</v>
      </c>
      <c r="C48" s="364"/>
      <c r="D48" s="365"/>
      <c r="E48" s="321"/>
      <c r="H48" s="343"/>
      <c r="I48" s="366"/>
      <c r="J48" s="343"/>
      <c r="K48" s="366"/>
      <c r="L48" s="366"/>
      <c r="M48" s="343"/>
      <c r="N48" s="366"/>
      <c r="O48" s="366"/>
      <c r="P48" s="343"/>
      <c r="Q48" s="367"/>
      <c r="R48" s="343"/>
    </row>
    <row r="49" spans="1:255" ht="15" customHeight="1" thickBot="1">
      <c r="A49" s="1259"/>
      <c r="B49" s="340" t="s">
        <v>2578</v>
      </c>
      <c r="C49" s="368"/>
      <c r="D49" s="369"/>
      <c r="E49" s="303"/>
      <c r="H49" s="337"/>
      <c r="I49" s="155"/>
      <c r="J49" s="337"/>
      <c r="K49" s="155"/>
      <c r="L49" s="155"/>
      <c r="M49" s="337"/>
      <c r="N49" s="155"/>
      <c r="O49" s="155"/>
      <c r="P49" s="337"/>
      <c r="Q49" s="155"/>
      <c r="R49" s="337"/>
    </row>
    <row r="50" spans="1:255" ht="15" customHeight="1" thickBot="1">
      <c r="A50" s="1259"/>
      <c r="B50" s="370" t="s">
        <v>1530</v>
      </c>
      <c r="C50" s="371"/>
      <c r="D50" s="372"/>
      <c r="E50" s="561">
        <f>SUM(E48:E49)</f>
        <v>0</v>
      </c>
      <c r="H50" s="343"/>
      <c r="I50" s="366"/>
      <c r="J50" s="343"/>
      <c r="K50" s="366"/>
      <c r="L50" s="366"/>
      <c r="M50" s="343"/>
      <c r="N50" s="366"/>
      <c r="O50" s="366"/>
      <c r="P50" s="343"/>
      <c r="Q50" s="367"/>
      <c r="R50" s="343"/>
    </row>
    <row r="51" spans="1:255" s="158" customFormat="1" ht="15" customHeight="1">
      <c r="A51" s="1256" t="s">
        <v>2579</v>
      </c>
      <c r="B51" s="1257"/>
      <c r="C51" s="1257"/>
      <c r="D51" s="1257"/>
      <c r="E51" s="302">
        <v>0</v>
      </c>
      <c r="G51" s="645"/>
      <c r="H51" s="337"/>
      <c r="I51" s="357"/>
      <c r="J51" s="337"/>
      <c r="K51" s="357"/>
      <c r="L51" s="357"/>
      <c r="M51" s="337"/>
      <c r="N51" s="357"/>
      <c r="O51" s="357"/>
      <c r="P51" s="337"/>
      <c r="Q51" s="357"/>
      <c r="R51" s="337"/>
      <c r="T51" s="349"/>
      <c r="U51" s="349"/>
      <c r="V51" s="349"/>
      <c r="W51" s="349"/>
      <c r="X51" s="349"/>
      <c r="Y51" s="328"/>
      <c r="Z51" s="328"/>
      <c r="AA51" s="328"/>
      <c r="AB51" s="328"/>
      <c r="AC51" s="328"/>
      <c r="AD51" s="328"/>
      <c r="AE51" s="328"/>
      <c r="AF51" s="328"/>
      <c r="AG51" s="156"/>
      <c r="AH51" s="156"/>
      <c r="AI51" s="156"/>
      <c r="AJ51" s="156"/>
      <c r="AK51" s="156"/>
      <c r="AL51" s="156"/>
      <c r="AM51" s="156"/>
      <c r="AN51" s="156"/>
      <c r="AO51" s="156"/>
      <c r="AP51" s="156"/>
      <c r="AQ51" s="156"/>
      <c r="AR51" s="156"/>
      <c r="AS51" s="156"/>
      <c r="AT51" s="156"/>
      <c r="AU51" s="156"/>
      <c r="AV51" s="156"/>
      <c r="AW51" s="156"/>
      <c r="AX51" s="156"/>
      <c r="AY51" s="156"/>
      <c r="AZ51" s="156"/>
      <c r="BA51" s="156"/>
      <c r="BB51" s="156"/>
      <c r="BC51" s="156"/>
      <c r="BD51" s="156"/>
      <c r="BE51" s="156"/>
      <c r="BF51" s="156"/>
      <c r="BG51" s="156"/>
      <c r="BH51" s="156"/>
      <c r="BI51" s="156"/>
      <c r="BJ51" s="156"/>
      <c r="BK51" s="156"/>
      <c r="BL51" s="156"/>
      <c r="BM51" s="156"/>
      <c r="BN51" s="156"/>
      <c r="BO51" s="156"/>
      <c r="BP51" s="156"/>
      <c r="BQ51" s="156"/>
      <c r="BR51" s="156"/>
      <c r="BS51" s="156"/>
      <c r="BT51" s="156"/>
      <c r="BU51" s="156"/>
      <c r="BV51" s="156"/>
      <c r="BW51" s="156"/>
      <c r="BX51" s="156"/>
      <c r="BY51" s="156"/>
      <c r="BZ51" s="156"/>
      <c r="CA51" s="156"/>
      <c r="CB51" s="156"/>
      <c r="CC51" s="156"/>
      <c r="CD51" s="156"/>
      <c r="CE51" s="156"/>
      <c r="CF51" s="156"/>
      <c r="CG51" s="156"/>
      <c r="CH51" s="156"/>
      <c r="CI51" s="156"/>
      <c r="CJ51" s="156"/>
      <c r="CK51" s="156"/>
      <c r="CL51" s="156"/>
      <c r="CM51" s="156"/>
      <c r="CN51" s="156"/>
      <c r="CO51" s="156"/>
      <c r="CP51" s="156"/>
      <c r="CQ51" s="156"/>
      <c r="CR51" s="156"/>
      <c r="CS51" s="156"/>
      <c r="CT51" s="156"/>
      <c r="CU51" s="156"/>
      <c r="CV51" s="156"/>
      <c r="CW51" s="156"/>
      <c r="CX51" s="156"/>
      <c r="CY51" s="156"/>
      <c r="CZ51" s="156"/>
      <c r="DA51" s="156"/>
      <c r="DB51" s="156"/>
      <c r="DC51" s="156"/>
      <c r="DD51" s="156"/>
      <c r="DE51" s="156"/>
      <c r="DF51" s="156"/>
      <c r="DG51" s="156"/>
      <c r="DH51" s="156"/>
      <c r="DI51" s="156"/>
      <c r="DJ51" s="156"/>
      <c r="DK51" s="156"/>
      <c r="DL51" s="156"/>
      <c r="DM51" s="156"/>
      <c r="DN51" s="156"/>
      <c r="DO51" s="156"/>
      <c r="DP51" s="156"/>
      <c r="DQ51" s="156"/>
      <c r="DR51" s="156"/>
      <c r="DS51" s="156"/>
      <c r="DT51" s="156"/>
      <c r="DU51" s="156"/>
      <c r="DV51" s="156"/>
      <c r="DW51" s="156"/>
      <c r="DX51" s="156"/>
      <c r="DY51" s="156"/>
      <c r="DZ51" s="156"/>
      <c r="EA51" s="156"/>
      <c r="EB51" s="156"/>
      <c r="EC51" s="156"/>
      <c r="ED51" s="156"/>
      <c r="EE51" s="156"/>
      <c r="EF51" s="156"/>
      <c r="EG51" s="156"/>
      <c r="EH51" s="156"/>
      <c r="EI51" s="156"/>
      <c r="EJ51" s="156"/>
      <c r="EK51" s="156"/>
      <c r="EL51" s="156"/>
      <c r="EM51" s="156"/>
      <c r="EN51" s="156"/>
      <c r="EO51" s="156"/>
      <c r="EP51" s="156"/>
      <c r="EQ51" s="156"/>
      <c r="ER51" s="156"/>
      <c r="ES51" s="156"/>
      <c r="ET51" s="156"/>
      <c r="EU51" s="156"/>
      <c r="EV51" s="156"/>
      <c r="EW51" s="156"/>
      <c r="EX51" s="156"/>
      <c r="EY51" s="156"/>
      <c r="EZ51" s="156"/>
      <c r="FA51" s="156"/>
      <c r="FB51" s="156"/>
      <c r="FC51" s="156"/>
      <c r="FD51" s="156"/>
      <c r="FE51" s="156"/>
      <c r="FF51" s="156"/>
      <c r="FG51" s="156"/>
      <c r="FH51" s="156"/>
      <c r="FI51" s="156"/>
      <c r="FJ51" s="156"/>
      <c r="FK51" s="156"/>
      <c r="FL51" s="156"/>
      <c r="FM51" s="156"/>
      <c r="FN51" s="156"/>
      <c r="FO51" s="156"/>
      <c r="FP51" s="156"/>
      <c r="FQ51" s="156"/>
      <c r="FR51" s="156"/>
      <c r="FS51" s="156"/>
      <c r="FT51" s="156"/>
      <c r="FU51" s="156"/>
      <c r="FV51" s="156"/>
      <c r="FW51" s="156"/>
      <c r="FX51" s="156"/>
      <c r="FY51" s="156"/>
      <c r="FZ51" s="156"/>
      <c r="GA51" s="156"/>
      <c r="GB51" s="156"/>
      <c r="GC51" s="156"/>
      <c r="GD51" s="156"/>
      <c r="GE51" s="156"/>
      <c r="GF51" s="156"/>
      <c r="GG51" s="156"/>
      <c r="GH51" s="156"/>
      <c r="GI51" s="156"/>
      <c r="GJ51" s="156"/>
      <c r="GK51" s="156"/>
      <c r="GL51" s="156"/>
      <c r="GM51" s="156"/>
      <c r="GN51" s="156"/>
      <c r="GO51" s="156"/>
      <c r="GP51" s="156"/>
      <c r="GQ51" s="156"/>
      <c r="GR51" s="156"/>
      <c r="GS51" s="156"/>
      <c r="GT51" s="156"/>
      <c r="GU51" s="156"/>
      <c r="GV51" s="156"/>
      <c r="GW51" s="156"/>
      <c r="GX51" s="156"/>
      <c r="GY51" s="156"/>
      <c r="GZ51" s="156"/>
      <c r="HA51" s="156"/>
      <c r="HB51" s="156"/>
      <c r="HC51" s="156"/>
      <c r="HD51" s="156"/>
      <c r="HE51" s="156"/>
      <c r="HF51" s="156"/>
      <c r="HG51" s="156"/>
      <c r="HH51" s="156"/>
      <c r="HI51" s="156"/>
      <c r="HJ51" s="156"/>
      <c r="HK51" s="156"/>
      <c r="HL51" s="156"/>
      <c r="HM51" s="156"/>
      <c r="HN51" s="156"/>
      <c r="HO51" s="156"/>
      <c r="HP51" s="156"/>
      <c r="HQ51" s="156"/>
      <c r="HR51" s="156"/>
      <c r="HS51" s="156"/>
      <c r="HT51" s="156"/>
      <c r="HU51" s="156"/>
      <c r="HV51" s="156"/>
      <c r="HW51" s="156"/>
      <c r="HX51" s="156"/>
      <c r="HY51" s="156"/>
      <c r="HZ51" s="156"/>
      <c r="IA51" s="156"/>
      <c r="IB51" s="156"/>
      <c r="IC51" s="156"/>
      <c r="ID51" s="156"/>
      <c r="IE51" s="156"/>
      <c r="IF51" s="156"/>
      <c r="IG51" s="156"/>
      <c r="IH51" s="156"/>
      <c r="II51" s="156"/>
      <c r="IJ51" s="156"/>
      <c r="IK51" s="156"/>
      <c r="IL51" s="156"/>
      <c r="IM51" s="156"/>
      <c r="IN51" s="156"/>
      <c r="IO51" s="156"/>
      <c r="IP51" s="156"/>
      <c r="IQ51" s="156"/>
      <c r="IR51" s="156"/>
      <c r="IS51" s="156"/>
      <c r="IT51" s="156"/>
      <c r="IU51" s="156"/>
    </row>
    <row r="52" spans="1:255" ht="15" customHeight="1" thickBot="1">
      <c r="A52" s="1252" t="s">
        <v>2581</v>
      </c>
      <c r="B52" s="1253"/>
      <c r="C52" s="1253"/>
      <c r="D52" s="1253"/>
      <c r="E52" s="306">
        <v>0</v>
      </c>
      <c r="H52" s="337"/>
      <c r="I52" s="155"/>
      <c r="J52" s="337"/>
      <c r="K52" s="155"/>
      <c r="L52" s="155"/>
      <c r="M52" s="337"/>
      <c r="N52" s="155"/>
      <c r="O52" s="155"/>
      <c r="P52" s="337"/>
      <c r="Q52" s="155"/>
      <c r="R52" s="337"/>
    </row>
    <row r="53" spans="1:255" ht="15" customHeight="1">
      <c r="A53" s="373" t="s">
        <v>2668</v>
      </c>
      <c r="B53" s="374"/>
      <c r="C53" s="375"/>
      <c r="D53" s="376"/>
      <c r="E53" s="327"/>
      <c r="F53" s="327"/>
      <c r="G53" s="155"/>
      <c r="H53" s="155"/>
      <c r="I53" s="327"/>
      <c r="J53" s="327"/>
      <c r="K53" s="327"/>
      <c r="L53" s="327"/>
      <c r="M53" s="327"/>
      <c r="N53" s="327"/>
      <c r="O53" s="327"/>
      <c r="P53" s="327"/>
      <c r="Q53" s="327"/>
      <c r="R53" s="327"/>
    </row>
    <row r="54" spans="1:255">
      <c r="A54" s="377" t="s">
        <v>2580</v>
      </c>
      <c r="C54" s="378"/>
      <c r="D54" s="379"/>
    </row>
    <row r="55" spans="1:255">
      <c r="C55" s="378"/>
      <c r="D55" s="379"/>
    </row>
    <row r="56" spans="1:255">
      <c r="C56" s="327"/>
      <c r="D56" s="379"/>
    </row>
    <row r="57" spans="1:255">
      <c r="C57" s="380"/>
      <c r="D57" s="380"/>
      <c r="E57" s="381"/>
      <c r="F57" s="381"/>
      <c r="G57" s="381"/>
      <c r="H57" s="381"/>
    </row>
    <row r="58" spans="1:255" ht="14.25" customHeight="1">
      <c r="C58" s="1248"/>
      <c r="D58" s="1248"/>
      <c r="E58" s="157"/>
      <c r="F58" s="382"/>
    </row>
    <row r="59" spans="1:255" ht="12.75" hidden="1" customHeight="1">
      <c r="C59" s="383" t="s">
        <v>439</v>
      </c>
      <c r="D59" s="384">
        <f>'Organisationsdaten (Basisinfo)'!K1</f>
        <v>5</v>
      </c>
      <c r="E59" s="385"/>
      <c r="F59" s="385"/>
      <c r="G59" s="386"/>
      <c r="H59" s="385"/>
      <c r="I59" s="387"/>
      <c r="J59" s="388"/>
      <c r="K59" s="388"/>
      <c r="L59" s="388"/>
      <c r="M59" s="388"/>
      <c r="N59" s="388"/>
    </row>
    <row r="60" spans="1:255" hidden="1">
      <c r="C60" s="385"/>
      <c r="D60" s="385"/>
      <c r="E60" s="385"/>
      <c r="F60" s="385"/>
      <c r="G60" s="386"/>
      <c r="H60" s="385"/>
      <c r="I60" s="387"/>
      <c r="J60" s="388"/>
      <c r="K60" s="388"/>
      <c r="L60" s="388"/>
      <c r="M60" s="388"/>
      <c r="N60" s="388"/>
    </row>
    <row r="61" spans="1:255" hidden="1">
      <c r="C61" s="389" t="s">
        <v>441</v>
      </c>
      <c r="D61" s="389" t="s">
        <v>442</v>
      </c>
      <c r="E61" s="389" t="s">
        <v>443</v>
      </c>
      <c r="F61" s="390" t="s">
        <v>1391</v>
      </c>
      <c r="G61" s="646" t="s">
        <v>1394</v>
      </c>
      <c r="H61" s="646" t="s">
        <v>445</v>
      </c>
      <c r="I61" s="389" t="s">
        <v>446</v>
      </c>
      <c r="J61" s="389" t="s">
        <v>447</v>
      </c>
      <c r="K61" s="389" t="s">
        <v>471</v>
      </c>
      <c r="L61" s="388"/>
      <c r="M61" s="389"/>
      <c r="N61" s="388"/>
    </row>
    <row r="62" spans="1:255" hidden="1">
      <c r="C62" s="327">
        <f t="shared" ref="C62:C125" si="0">E$1</f>
        <v>3158</v>
      </c>
      <c r="D62" s="327">
        <f t="shared" ref="D62:D125" si="1">D$59</f>
        <v>5</v>
      </c>
      <c r="E62" s="327">
        <f t="shared" ref="E62:E125" si="2">C$1</f>
        <v>2017</v>
      </c>
      <c r="F62" s="327">
        <v>1</v>
      </c>
      <c r="G62" s="647"/>
      <c r="H62" s="648" t="s">
        <v>2025</v>
      </c>
      <c r="I62" s="402" t="s">
        <v>2026</v>
      </c>
      <c r="J62" s="397" t="str">
        <f>IF(ISBLANK(C7),"",C7)</f>
        <v/>
      </c>
      <c r="K62" s="376" t="s">
        <v>475</v>
      </c>
      <c r="M62" s="375"/>
    </row>
    <row r="63" spans="1:255" ht="12.75" hidden="1" customHeight="1">
      <c r="C63" s="327">
        <f t="shared" si="0"/>
        <v>3158</v>
      </c>
      <c r="D63" s="327">
        <f t="shared" si="1"/>
        <v>5</v>
      </c>
      <c r="E63" s="327">
        <f t="shared" si="2"/>
        <v>2017</v>
      </c>
      <c r="F63" s="327">
        <v>1</v>
      </c>
      <c r="G63" s="647"/>
      <c r="H63" s="648" t="s">
        <v>2025</v>
      </c>
      <c r="I63" s="402" t="s">
        <v>2027</v>
      </c>
      <c r="J63" s="397" t="str">
        <f>IF(ISBLANK(D7),"",D7)</f>
        <v/>
      </c>
      <c r="K63" s="396" t="s">
        <v>486</v>
      </c>
      <c r="M63" s="392"/>
    </row>
    <row r="64" spans="1:255" hidden="1">
      <c r="C64" s="327">
        <f t="shared" si="0"/>
        <v>3158</v>
      </c>
      <c r="D64" s="327">
        <f t="shared" si="1"/>
        <v>5</v>
      </c>
      <c r="E64" s="327">
        <f t="shared" si="2"/>
        <v>2017</v>
      </c>
      <c r="F64" s="327">
        <v>1</v>
      </c>
      <c r="G64" s="647"/>
      <c r="H64" s="648" t="s">
        <v>2025</v>
      </c>
      <c r="I64" s="402" t="s">
        <v>2008</v>
      </c>
      <c r="J64" s="397" t="str">
        <f>IF(ISBLANK(E7),"",E7)</f>
        <v/>
      </c>
      <c r="K64" s="396" t="s">
        <v>497</v>
      </c>
      <c r="M64" s="392"/>
    </row>
    <row r="65" spans="3:13" hidden="1">
      <c r="C65" s="327">
        <f t="shared" si="0"/>
        <v>3158</v>
      </c>
      <c r="D65" s="327">
        <f t="shared" si="1"/>
        <v>5</v>
      </c>
      <c r="E65" s="327">
        <f t="shared" si="2"/>
        <v>2017</v>
      </c>
      <c r="F65" s="327">
        <v>2</v>
      </c>
      <c r="G65" s="647"/>
      <c r="H65" s="648" t="s">
        <v>2025</v>
      </c>
      <c r="I65" s="402" t="s">
        <v>2026</v>
      </c>
      <c r="J65" s="397" t="str">
        <f>IF(ISBLANK(C8),"",C8)</f>
        <v/>
      </c>
      <c r="K65" s="376" t="s">
        <v>476</v>
      </c>
      <c r="M65" s="375"/>
    </row>
    <row r="66" spans="3:13" hidden="1">
      <c r="C66" s="327">
        <f t="shared" si="0"/>
        <v>3158</v>
      </c>
      <c r="D66" s="327">
        <f t="shared" si="1"/>
        <v>5</v>
      </c>
      <c r="E66" s="327">
        <f t="shared" si="2"/>
        <v>2017</v>
      </c>
      <c r="F66" s="327">
        <v>2</v>
      </c>
      <c r="G66" s="647"/>
      <c r="H66" s="648" t="s">
        <v>2025</v>
      </c>
      <c r="I66" s="402" t="s">
        <v>2027</v>
      </c>
      <c r="J66" s="397" t="str">
        <f>IF(ISBLANK(D8),"",D8)</f>
        <v/>
      </c>
      <c r="K66" s="396" t="s">
        <v>487</v>
      </c>
      <c r="M66" s="392"/>
    </row>
    <row r="67" spans="3:13" hidden="1">
      <c r="C67" s="327">
        <f t="shared" si="0"/>
        <v>3158</v>
      </c>
      <c r="D67" s="327">
        <f t="shared" si="1"/>
        <v>5</v>
      </c>
      <c r="E67" s="327">
        <f t="shared" si="2"/>
        <v>2017</v>
      </c>
      <c r="F67" s="327">
        <v>2</v>
      </c>
      <c r="G67" s="647"/>
      <c r="H67" s="648" t="s">
        <v>2025</v>
      </c>
      <c r="I67" s="402" t="s">
        <v>2008</v>
      </c>
      <c r="J67" s="397" t="str">
        <f>IF(ISBLANK(E8),"",E8)</f>
        <v/>
      </c>
      <c r="K67" s="396" t="s">
        <v>498</v>
      </c>
      <c r="M67" s="392"/>
    </row>
    <row r="68" spans="3:13" hidden="1">
      <c r="C68" s="327">
        <f t="shared" si="0"/>
        <v>3158</v>
      </c>
      <c r="D68" s="327">
        <f t="shared" si="1"/>
        <v>5</v>
      </c>
      <c r="E68" s="327">
        <f t="shared" si="2"/>
        <v>2017</v>
      </c>
      <c r="F68" s="327">
        <v>3</v>
      </c>
      <c r="G68" s="647"/>
      <c r="H68" s="648" t="s">
        <v>2025</v>
      </c>
      <c r="I68" s="402" t="s">
        <v>2026</v>
      </c>
      <c r="J68" s="397" t="str">
        <f>IF(ISBLANK(C9),"",C9)</f>
        <v/>
      </c>
      <c r="K68" s="376" t="s">
        <v>477</v>
      </c>
      <c r="M68" s="375"/>
    </row>
    <row r="69" spans="3:13" hidden="1">
      <c r="C69" s="327">
        <f t="shared" si="0"/>
        <v>3158</v>
      </c>
      <c r="D69" s="327">
        <f t="shared" si="1"/>
        <v>5</v>
      </c>
      <c r="E69" s="327">
        <f t="shared" si="2"/>
        <v>2017</v>
      </c>
      <c r="F69" s="327">
        <v>3</v>
      </c>
      <c r="G69" s="647"/>
      <c r="H69" s="648" t="s">
        <v>2025</v>
      </c>
      <c r="I69" s="402" t="s">
        <v>2027</v>
      </c>
      <c r="J69" s="397" t="str">
        <f>IF(ISBLANK(D9),"",D9)</f>
        <v/>
      </c>
      <c r="K69" s="396" t="s">
        <v>488</v>
      </c>
      <c r="M69" s="392"/>
    </row>
    <row r="70" spans="3:13" hidden="1">
      <c r="C70" s="327">
        <f t="shared" si="0"/>
        <v>3158</v>
      </c>
      <c r="D70" s="327">
        <f t="shared" si="1"/>
        <v>5</v>
      </c>
      <c r="E70" s="327">
        <f t="shared" si="2"/>
        <v>2017</v>
      </c>
      <c r="F70" s="327">
        <v>3</v>
      </c>
      <c r="G70" s="647"/>
      <c r="H70" s="648" t="s">
        <v>2025</v>
      </c>
      <c r="I70" s="402" t="s">
        <v>2008</v>
      </c>
      <c r="J70" s="397" t="str">
        <f>IF(ISBLANK(E9),"",E9)</f>
        <v/>
      </c>
      <c r="K70" s="396" t="s">
        <v>499</v>
      </c>
      <c r="M70" s="392"/>
    </row>
    <row r="71" spans="3:13" hidden="1">
      <c r="C71" s="327">
        <f t="shared" si="0"/>
        <v>3158</v>
      </c>
      <c r="D71" s="327">
        <f t="shared" si="1"/>
        <v>5</v>
      </c>
      <c r="E71" s="327">
        <f t="shared" si="2"/>
        <v>2017</v>
      </c>
      <c r="F71" s="327">
        <v>4</v>
      </c>
      <c r="G71" s="647"/>
      <c r="H71" s="648" t="s">
        <v>2025</v>
      </c>
      <c r="I71" s="402" t="s">
        <v>2026</v>
      </c>
      <c r="J71" s="397" t="str">
        <f>IF(ISBLANK(C10),"",C10)</f>
        <v/>
      </c>
      <c r="K71" s="376" t="s">
        <v>478</v>
      </c>
      <c r="M71" s="375"/>
    </row>
    <row r="72" spans="3:13" hidden="1">
      <c r="C72" s="327">
        <f t="shared" si="0"/>
        <v>3158</v>
      </c>
      <c r="D72" s="327">
        <f t="shared" si="1"/>
        <v>5</v>
      </c>
      <c r="E72" s="327">
        <f t="shared" si="2"/>
        <v>2017</v>
      </c>
      <c r="F72" s="327">
        <v>4</v>
      </c>
      <c r="G72" s="647"/>
      <c r="H72" s="648" t="s">
        <v>2025</v>
      </c>
      <c r="I72" s="402" t="s">
        <v>2027</v>
      </c>
      <c r="J72" s="397" t="str">
        <f>IF(ISBLANK(D10),"",D10)</f>
        <v/>
      </c>
      <c r="K72" s="396" t="s">
        <v>489</v>
      </c>
      <c r="M72" s="392"/>
    </row>
    <row r="73" spans="3:13" hidden="1">
      <c r="C73" s="327">
        <f t="shared" si="0"/>
        <v>3158</v>
      </c>
      <c r="D73" s="327">
        <f t="shared" si="1"/>
        <v>5</v>
      </c>
      <c r="E73" s="327">
        <f t="shared" si="2"/>
        <v>2017</v>
      </c>
      <c r="F73" s="327">
        <v>4</v>
      </c>
      <c r="G73" s="647"/>
      <c r="H73" s="648" t="s">
        <v>2025</v>
      </c>
      <c r="I73" s="402" t="s">
        <v>2008</v>
      </c>
      <c r="J73" s="397" t="str">
        <f>IF(ISBLANK(E10),"",E10)</f>
        <v/>
      </c>
      <c r="K73" s="396" t="s">
        <v>500</v>
      </c>
      <c r="M73" s="392"/>
    </row>
    <row r="74" spans="3:13" hidden="1">
      <c r="C74" s="327">
        <f t="shared" si="0"/>
        <v>3158</v>
      </c>
      <c r="D74" s="327">
        <f t="shared" si="1"/>
        <v>5</v>
      </c>
      <c r="E74" s="327">
        <f t="shared" si="2"/>
        <v>2017</v>
      </c>
      <c r="F74" s="327">
        <v>5</v>
      </c>
      <c r="G74" s="647"/>
      <c r="H74" s="648" t="s">
        <v>2025</v>
      </c>
      <c r="I74" s="402" t="s">
        <v>2026</v>
      </c>
      <c r="J74" s="397" t="str">
        <f>IF(ISBLANK(C11),"",C11)</f>
        <v/>
      </c>
      <c r="K74" s="376" t="s">
        <v>479</v>
      </c>
      <c r="M74" s="375"/>
    </row>
    <row r="75" spans="3:13" hidden="1">
      <c r="C75" s="327">
        <f t="shared" si="0"/>
        <v>3158</v>
      </c>
      <c r="D75" s="327">
        <f t="shared" si="1"/>
        <v>5</v>
      </c>
      <c r="E75" s="327">
        <f t="shared" si="2"/>
        <v>2017</v>
      </c>
      <c r="F75" s="327">
        <v>5</v>
      </c>
      <c r="G75" s="647"/>
      <c r="H75" s="648" t="s">
        <v>2025</v>
      </c>
      <c r="I75" s="402" t="s">
        <v>2027</v>
      </c>
      <c r="J75" s="397" t="str">
        <f>IF(ISBLANK(D11),"",D11)</f>
        <v/>
      </c>
      <c r="K75" s="396" t="s">
        <v>490</v>
      </c>
      <c r="M75" s="392"/>
    </row>
    <row r="76" spans="3:13" hidden="1">
      <c r="C76" s="327">
        <f t="shared" si="0"/>
        <v>3158</v>
      </c>
      <c r="D76" s="327">
        <f t="shared" si="1"/>
        <v>5</v>
      </c>
      <c r="E76" s="327">
        <f t="shared" si="2"/>
        <v>2017</v>
      </c>
      <c r="F76" s="327">
        <v>5</v>
      </c>
      <c r="G76" s="647"/>
      <c r="H76" s="648" t="s">
        <v>2025</v>
      </c>
      <c r="I76" s="402" t="s">
        <v>2008</v>
      </c>
      <c r="J76" s="397" t="str">
        <f>IF(ISBLANK(E11),"",E11)</f>
        <v/>
      </c>
      <c r="K76" s="396" t="s">
        <v>501</v>
      </c>
      <c r="M76" s="392"/>
    </row>
    <row r="77" spans="3:13" hidden="1">
      <c r="C77" s="327">
        <f t="shared" si="0"/>
        <v>3158</v>
      </c>
      <c r="D77" s="327">
        <f t="shared" si="1"/>
        <v>5</v>
      </c>
      <c r="E77" s="327">
        <f t="shared" si="2"/>
        <v>2017</v>
      </c>
      <c r="F77" s="327">
        <v>6</v>
      </c>
      <c r="G77" s="647"/>
      <c r="H77" s="648" t="s">
        <v>2025</v>
      </c>
      <c r="I77" s="402" t="s">
        <v>2026</v>
      </c>
      <c r="J77" s="397" t="str">
        <f>IF(ISBLANK(C12),"",C12)</f>
        <v/>
      </c>
      <c r="K77" s="376" t="s">
        <v>480</v>
      </c>
      <c r="M77" s="375"/>
    </row>
    <row r="78" spans="3:13" hidden="1">
      <c r="C78" s="327">
        <f t="shared" si="0"/>
        <v>3158</v>
      </c>
      <c r="D78" s="327">
        <f t="shared" si="1"/>
        <v>5</v>
      </c>
      <c r="E78" s="327">
        <f t="shared" si="2"/>
        <v>2017</v>
      </c>
      <c r="F78" s="327">
        <v>6</v>
      </c>
      <c r="G78" s="647"/>
      <c r="H78" s="648" t="s">
        <v>2025</v>
      </c>
      <c r="I78" s="402" t="s">
        <v>2027</v>
      </c>
      <c r="J78" s="397" t="str">
        <f>IF(ISBLANK(D12),"",D12)</f>
        <v/>
      </c>
      <c r="K78" s="396" t="s">
        <v>491</v>
      </c>
      <c r="M78" s="392"/>
    </row>
    <row r="79" spans="3:13" hidden="1">
      <c r="C79" s="327">
        <f t="shared" si="0"/>
        <v>3158</v>
      </c>
      <c r="D79" s="327">
        <f t="shared" si="1"/>
        <v>5</v>
      </c>
      <c r="E79" s="327">
        <f t="shared" si="2"/>
        <v>2017</v>
      </c>
      <c r="F79" s="327">
        <v>6</v>
      </c>
      <c r="G79" s="647"/>
      <c r="H79" s="648" t="s">
        <v>2025</v>
      </c>
      <c r="I79" s="402" t="s">
        <v>2008</v>
      </c>
      <c r="J79" s="397" t="str">
        <f>IF(ISBLANK(E12),"",E12)</f>
        <v/>
      </c>
      <c r="K79" s="396" t="s">
        <v>502</v>
      </c>
      <c r="M79" s="392"/>
    </row>
    <row r="80" spans="3:13" hidden="1">
      <c r="C80" s="327">
        <f t="shared" si="0"/>
        <v>3158</v>
      </c>
      <c r="D80" s="327">
        <f t="shared" si="1"/>
        <v>5</v>
      </c>
      <c r="E80" s="327">
        <f t="shared" si="2"/>
        <v>2017</v>
      </c>
      <c r="F80" s="327">
        <v>7</v>
      </c>
      <c r="G80" s="647"/>
      <c r="H80" s="648" t="s">
        <v>2025</v>
      </c>
      <c r="I80" s="402" t="s">
        <v>2026</v>
      </c>
      <c r="J80" s="397" t="str">
        <f>IF(ISBLANK(C13),"",C13)</f>
        <v/>
      </c>
      <c r="K80" s="376" t="s">
        <v>481</v>
      </c>
      <c r="M80" s="375"/>
    </row>
    <row r="81" spans="3:17" hidden="1">
      <c r="C81" s="327">
        <f t="shared" si="0"/>
        <v>3158</v>
      </c>
      <c r="D81" s="327">
        <f t="shared" si="1"/>
        <v>5</v>
      </c>
      <c r="E81" s="327">
        <f t="shared" si="2"/>
        <v>2017</v>
      </c>
      <c r="F81" s="327">
        <v>7</v>
      </c>
      <c r="G81" s="647"/>
      <c r="H81" s="648" t="s">
        <v>2025</v>
      </c>
      <c r="I81" s="402" t="s">
        <v>2027</v>
      </c>
      <c r="J81" s="397" t="str">
        <f>IF(ISBLANK(D13),"",D13)</f>
        <v/>
      </c>
      <c r="K81" s="396" t="s">
        <v>492</v>
      </c>
      <c r="M81" s="392"/>
    </row>
    <row r="82" spans="3:17" hidden="1">
      <c r="C82" s="327">
        <f t="shared" si="0"/>
        <v>3158</v>
      </c>
      <c r="D82" s="327">
        <f t="shared" si="1"/>
        <v>5</v>
      </c>
      <c r="E82" s="327">
        <f t="shared" si="2"/>
        <v>2017</v>
      </c>
      <c r="F82" s="327">
        <v>7</v>
      </c>
      <c r="G82" s="647"/>
      <c r="H82" s="648" t="s">
        <v>2025</v>
      </c>
      <c r="I82" s="402" t="s">
        <v>2008</v>
      </c>
      <c r="J82" s="397" t="str">
        <f>IF(ISBLANK(E13),"",E13)</f>
        <v/>
      </c>
      <c r="K82" s="396" t="s">
        <v>503</v>
      </c>
      <c r="M82" s="392"/>
    </row>
    <row r="83" spans="3:17" hidden="1">
      <c r="C83" s="327">
        <f t="shared" si="0"/>
        <v>3158</v>
      </c>
      <c r="D83" s="327">
        <f t="shared" si="1"/>
        <v>5</v>
      </c>
      <c r="E83" s="327">
        <f t="shared" si="2"/>
        <v>2017</v>
      </c>
      <c r="F83" s="327">
        <v>8</v>
      </c>
      <c r="G83" s="647"/>
      <c r="H83" s="648" t="s">
        <v>2025</v>
      </c>
      <c r="I83" s="402" t="s">
        <v>2026</v>
      </c>
      <c r="J83" s="397" t="str">
        <f>IF(ISBLANK(C14),"",C14)</f>
        <v/>
      </c>
      <c r="K83" s="376" t="s">
        <v>482</v>
      </c>
      <c r="M83" s="375"/>
    </row>
    <row r="84" spans="3:17" hidden="1">
      <c r="C84" s="327">
        <f t="shared" si="0"/>
        <v>3158</v>
      </c>
      <c r="D84" s="327">
        <f t="shared" si="1"/>
        <v>5</v>
      </c>
      <c r="E84" s="327">
        <f t="shared" si="2"/>
        <v>2017</v>
      </c>
      <c r="F84" s="327">
        <v>8</v>
      </c>
      <c r="G84" s="647"/>
      <c r="H84" s="648" t="s">
        <v>2025</v>
      </c>
      <c r="I84" s="402" t="s">
        <v>2027</v>
      </c>
      <c r="J84" s="397" t="str">
        <f>IF(ISBLANK(D14),"",D14)</f>
        <v/>
      </c>
      <c r="K84" s="396" t="s">
        <v>493</v>
      </c>
      <c r="M84" s="392"/>
    </row>
    <row r="85" spans="3:17" hidden="1">
      <c r="C85" s="327">
        <f t="shared" si="0"/>
        <v>3158</v>
      </c>
      <c r="D85" s="327">
        <f t="shared" si="1"/>
        <v>5</v>
      </c>
      <c r="E85" s="327">
        <f t="shared" si="2"/>
        <v>2017</v>
      </c>
      <c r="F85" s="327">
        <v>8</v>
      </c>
      <c r="G85" s="647"/>
      <c r="H85" s="648" t="s">
        <v>2025</v>
      </c>
      <c r="I85" s="402" t="s">
        <v>2008</v>
      </c>
      <c r="J85" s="397" t="str">
        <f>IF(ISBLANK(E14),"",E14)</f>
        <v/>
      </c>
      <c r="K85" s="396" t="s">
        <v>504</v>
      </c>
      <c r="M85" s="392"/>
    </row>
    <row r="86" spans="3:17" hidden="1">
      <c r="C86" s="327">
        <f t="shared" si="0"/>
        <v>3158</v>
      </c>
      <c r="D86" s="327">
        <f t="shared" si="1"/>
        <v>5</v>
      </c>
      <c r="E86" s="327">
        <f t="shared" si="2"/>
        <v>2017</v>
      </c>
      <c r="F86" s="327"/>
      <c r="G86" s="647"/>
      <c r="H86" s="648" t="s">
        <v>2028</v>
      </c>
      <c r="I86" s="402" t="s">
        <v>2029</v>
      </c>
      <c r="J86" s="397" t="str">
        <f>IF(ISBLANK(C16),"",C16)</f>
        <v/>
      </c>
      <c r="K86" s="376" t="s">
        <v>1634</v>
      </c>
      <c r="M86" s="375"/>
    </row>
    <row r="87" spans="3:17" hidden="1">
      <c r="C87" s="327">
        <f t="shared" si="0"/>
        <v>3158</v>
      </c>
      <c r="D87" s="327">
        <f t="shared" si="1"/>
        <v>5</v>
      </c>
      <c r="E87" s="327">
        <f t="shared" si="2"/>
        <v>2017</v>
      </c>
      <c r="F87" s="327"/>
      <c r="G87" s="647"/>
      <c r="H87" s="648" t="s">
        <v>2028</v>
      </c>
      <c r="I87" s="402" t="s">
        <v>2030</v>
      </c>
      <c r="J87" s="397" t="str">
        <f>IF(ISBLANK(D16),"",D16)</f>
        <v/>
      </c>
      <c r="K87" s="396" t="s">
        <v>258</v>
      </c>
      <c r="M87" s="392"/>
    </row>
    <row r="88" spans="3:17" hidden="1">
      <c r="C88" s="327">
        <f t="shared" si="0"/>
        <v>3158</v>
      </c>
      <c r="D88" s="327">
        <f t="shared" si="1"/>
        <v>5</v>
      </c>
      <c r="E88" s="327">
        <f t="shared" si="2"/>
        <v>2017</v>
      </c>
      <c r="F88" s="327"/>
      <c r="G88" s="647"/>
      <c r="H88" s="648" t="s">
        <v>2028</v>
      </c>
      <c r="I88" s="402" t="s">
        <v>2031</v>
      </c>
      <c r="J88" s="397" t="str">
        <f>IF(ISBLANK(E16),"",E16)</f>
        <v/>
      </c>
      <c r="K88" s="396" t="s">
        <v>262</v>
      </c>
      <c r="M88" s="392"/>
    </row>
    <row r="89" spans="3:17" hidden="1">
      <c r="C89" s="327">
        <f t="shared" si="0"/>
        <v>3158</v>
      </c>
      <c r="D89" s="327">
        <f t="shared" si="1"/>
        <v>5</v>
      </c>
      <c r="E89" s="327">
        <f t="shared" si="2"/>
        <v>2017</v>
      </c>
      <c r="F89" s="327"/>
      <c r="G89" s="647"/>
      <c r="H89" s="648" t="s">
        <v>2028</v>
      </c>
      <c r="I89" s="402" t="s">
        <v>2032</v>
      </c>
      <c r="J89" s="397" t="str">
        <f>IF(ISBLANK(C17),"",C17)</f>
        <v/>
      </c>
      <c r="K89" s="376" t="s">
        <v>1662</v>
      </c>
      <c r="M89" s="375"/>
    </row>
    <row r="90" spans="3:17" hidden="1">
      <c r="C90" s="327">
        <f t="shared" si="0"/>
        <v>3158</v>
      </c>
      <c r="D90" s="327">
        <f t="shared" si="1"/>
        <v>5</v>
      </c>
      <c r="E90" s="327">
        <f t="shared" si="2"/>
        <v>2017</v>
      </c>
      <c r="F90" s="327"/>
      <c r="G90" s="647"/>
      <c r="H90" s="648" t="s">
        <v>2028</v>
      </c>
      <c r="I90" s="402" t="s">
        <v>2033</v>
      </c>
      <c r="J90" s="397" t="str">
        <f>IF(ISBLANK(D17),"",D17)</f>
        <v/>
      </c>
      <c r="K90" s="396" t="s">
        <v>259</v>
      </c>
      <c r="M90" s="392"/>
    </row>
    <row r="91" spans="3:17" hidden="1">
      <c r="C91" s="327">
        <f t="shared" si="0"/>
        <v>3158</v>
      </c>
      <c r="D91" s="327">
        <f t="shared" si="1"/>
        <v>5</v>
      </c>
      <c r="E91" s="327">
        <f t="shared" si="2"/>
        <v>2017</v>
      </c>
      <c r="F91" s="327"/>
      <c r="G91" s="647"/>
      <c r="H91" s="648" t="s">
        <v>2028</v>
      </c>
      <c r="I91" s="402" t="s">
        <v>2034</v>
      </c>
      <c r="J91" s="397" t="str">
        <f>IF(ISBLANK(E17),"",E17)</f>
        <v/>
      </c>
      <c r="K91" s="396" t="s">
        <v>263</v>
      </c>
      <c r="M91" s="392"/>
    </row>
    <row r="92" spans="3:17" hidden="1">
      <c r="C92" s="327">
        <f t="shared" si="0"/>
        <v>3158</v>
      </c>
      <c r="D92" s="327">
        <f t="shared" si="1"/>
        <v>5</v>
      </c>
      <c r="E92" s="327">
        <f t="shared" si="2"/>
        <v>2017</v>
      </c>
      <c r="F92" s="327"/>
      <c r="G92" s="647"/>
      <c r="H92" s="648" t="s">
        <v>2028</v>
      </c>
      <c r="I92" s="402" t="s">
        <v>2035</v>
      </c>
      <c r="J92" s="397" t="str">
        <f>IF(ISBLANK(C18),"",C18)</f>
        <v/>
      </c>
      <c r="K92" s="376" t="s">
        <v>1663</v>
      </c>
      <c r="M92" s="375"/>
    </row>
    <row r="93" spans="3:17" hidden="1">
      <c r="C93" s="327">
        <f t="shared" si="0"/>
        <v>3158</v>
      </c>
      <c r="D93" s="327">
        <f t="shared" si="1"/>
        <v>5</v>
      </c>
      <c r="E93" s="327">
        <f t="shared" si="2"/>
        <v>2017</v>
      </c>
      <c r="F93" s="327"/>
      <c r="G93" s="647"/>
      <c r="H93" s="648" t="s">
        <v>2028</v>
      </c>
      <c r="I93" s="402" t="s">
        <v>2036</v>
      </c>
      <c r="J93" s="397" t="str">
        <f>IF(ISBLANK(D18),"",D18)</f>
        <v/>
      </c>
      <c r="K93" s="396" t="s">
        <v>260</v>
      </c>
      <c r="M93" s="392"/>
    </row>
    <row r="94" spans="3:17" hidden="1">
      <c r="C94" s="327">
        <f t="shared" si="0"/>
        <v>3158</v>
      </c>
      <c r="D94" s="327">
        <f t="shared" si="1"/>
        <v>5</v>
      </c>
      <c r="E94" s="327">
        <f t="shared" si="2"/>
        <v>2017</v>
      </c>
      <c r="F94" s="327"/>
      <c r="G94" s="647"/>
      <c r="H94" s="648" t="s">
        <v>2028</v>
      </c>
      <c r="I94" s="402" t="s">
        <v>2037</v>
      </c>
      <c r="J94" s="397" t="str">
        <f>IF(ISBLANK(E18),"",E18)</f>
        <v/>
      </c>
      <c r="K94" s="396" t="s">
        <v>264</v>
      </c>
      <c r="L94" s="394"/>
      <c r="M94" s="392"/>
      <c r="N94" s="394"/>
    </row>
    <row r="95" spans="3:17" hidden="1">
      <c r="C95" s="327">
        <f t="shared" si="0"/>
        <v>3158</v>
      </c>
      <c r="D95" s="327">
        <f t="shared" si="1"/>
        <v>5</v>
      </c>
      <c r="E95" s="327">
        <f t="shared" si="2"/>
        <v>2017</v>
      </c>
      <c r="F95" s="327"/>
      <c r="G95" s="647"/>
      <c r="H95" s="648" t="s">
        <v>2028</v>
      </c>
      <c r="I95" s="402" t="s">
        <v>2038</v>
      </c>
      <c r="J95" s="397" t="str">
        <f>IF(ISBLANK(C20),"",C20)</f>
        <v/>
      </c>
      <c r="K95" s="396" t="s">
        <v>1665</v>
      </c>
      <c r="M95" s="392"/>
      <c r="Q95" s="159"/>
    </row>
    <row r="96" spans="3:17" hidden="1">
      <c r="C96" s="327">
        <f t="shared" si="0"/>
        <v>3158</v>
      </c>
      <c r="D96" s="327">
        <f t="shared" si="1"/>
        <v>5</v>
      </c>
      <c r="E96" s="327">
        <f t="shared" si="2"/>
        <v>2017</v>
      </c>
      <c r="F96" s="327"/>
      <c r="G96" s="647"/>
      <c r="H96" s="648" t="s">
        <v>2028</v>
      </c>
      <c r="I96" s="402" t="s">
        <v>2039</v>
      </c>
      <c r="J96" s="397" t="str">
        <f>IF(ISBLANK(D20),"",D20)</f>
        <v/>
      </c>
      <c r="K96" s="396" t="s">
        <v>261</v>
      </c>
      <c r="L96" s="394"/>
      <c r="M96" s="392"/>
      <c r="N96" s="394"/>
    </row>
    <row r="97" spans="3:34" hidden="1">
      <c r="C97" s="327">
        <f t="shared" si="0"/>
        <v>3158</v>
      </c>
      <c r="D97" s="327">
        <f t="shared" si="1"/>
        <v>5</v>
      </c>
      <c r="E97" s="327">
        <f t="shared" si="2"/>
        <v>2017</v>
      </c>
      <c r="F97" s="327"/>
      <c r="G97" s="647"/>
      <c r="H97" s="648" t="s">
        <v>2028</v>
      </c>
      <c r="I97" s="402" t="s">
        <v>2040</v>
      </c>
      <c r="J97" s="397" t="str">
        <f>IF(ISBLANK(E20),"",E20)</f>
        <v/>
      </c>
      <c r="K97" s="396" t="s">
        <v>265</v>
      </c>
      <c r="L97" s="394"/>
      <c r="M97" s="392"/>
      <c r="N97" s="394"/>
    </row>
    <row r="98" spans="3:34" hidden="1">
      <c r="C98" s="327">
        <f t="shared" si="0"/>
        <v>3158</v>
      </c>
      <c r="D98" s="327">
        <f t="shared" si="1"/>
        <v>5</v>
      </c>
      <c r="E98" s="327">
        <f t="shared" si="2"/>
        <v>2017</v>
      </c>
      <c r="F98" s="327"/>
      <c r="G98" s="647">
        <v>19</v>
      </c>
      <c r="H98" s="648" t="s">
        <v>2041</v>
      </c>
      <c r="I98" s="402" t="s">
        <v>2026</v>
      </c>
      <c r="J98" s="403" t="str">
        <f>IF(ISBLANK(C21),"",C21)</f>
        <v/>
      </c>
      <c r="K98" s="396" t="s">
        <v>1666</v>
      </c>
      <c r="M98" s="396"/>
      <c r="T98" s="156"/>
      <c r="U98" s="156"/>
      <c r="AG98" s="328"/>
      <c r="AH98" s="328"/>
    </row>
    <row r="99" spans="3:34" hidden="1">
      <c r="C99" s="327">
        <f t="shared" si="0"/>
        <v>3158</v>
      </c>
      <c r="D99" s="327">
        <f t="shared" si="1"/>
        <v>5</v>
      </c>
      <c r="E99" s="327">
        <f t="shared" si="2"/>
        <v>2017</v>
      </c>
      <c r="F99" s="327"/>
      <c r="G99" s="647">
        <v>19</v>
      </c>
      <c r="H99" s="648" t="s">
        <v>2041</v>
      </c>
      <c r="I99" s="402" t="s">
        <v>2027</v>
      </c>
      <c r="J99" s="403" t="str">
        <f>IF(ISBLANK(D21),"",D21)</f>
        <v/>
      </c>
      <c r="K99" s="396" t="s">
        <v>1690</v>
      </c>
      <c r="M99" s="396"/>
    </row>
    <row r="100" spans="3:34" hidden="1">
      <c r="C100" s="327">
        <f t="shared" si="0"/>
        <v>3158</v>
      </c>
      <c r="D100" s="327">
        <f t="shared" si="1"/>
        <v>5</v>
      </c>
      <c r="E100" s="327">
        <f t="shared" si="2"/>
        <v>2017</v>
      </c>
      <c r="F100" s="327"/>
      <c r="G100" s="647">
        <v>19</v>
      </c>
      <c r="H100" s="648" t="s">
        <v>2041</v>
      </c>
      <c r="I100" s="402" t="s">
        <v>2008</v>
      </c>
      <c r="J100" s="403" t="str">
        <f>IF(ISBLANK(E21),"",E21)</f>
        <v/>
      </c>
      <c r="K100" s="396" t="s">
        <v>1714</v>
      </c>
      <c r="L100" s="396"/>
      <c r="M100" s="396"/>
      <c r="N100" s="396"/>
    </row>
    <row r="101" spans="3:34" hidden="1">
      <c r="C101" s="327">
        <f t="shared" si="0"/>
        <v>3158</v>
      </c>
      <c r="D101" s="327">
        <f t="shared" si="1"/>
        <v>5</v>
      </c>
      <c r="E101" s="327">
        <f t="shared" si="2"/>
        <v>2017</v>
      </c>
      <c r="F101" s="327"/>
      <c r="G101" s="647">
        <v>16</v>
      </c>
      <c r="H101" s="648" t="s">
        <v>2041</v>
      </c>
      <c r="I101" s="402" t="s">
        <v>2026</v>
      </c>
      <c r="J101" s="403" t="str">
        <f>IF(ISBLANK(C22),"",C22)</f>
        <v/>
      </c>
      <c r="K101" s="396" t="s">
        <v>1667</v>
      </c>
      <c r="L101" s="396"/>
      <c r="M101" s="396"/>
      <c r="N101" s="396"/>
      <c r="P101" s="396"/>
    </row>
    <row r="102" spans="3:34" hidden="1">
      <c r="C102" s="327">
        <f t="shared" si="0"/>
        <v>3158</v>
      </c>
      <c r="D102" s="327">
        <f t="shared" si="1"/>
        <v>5</v>
      </c>
      <c r="E102" s="327">
        <f t="shared" si="2"/>
        <v>2017</v>
      </c>
      <c r="F102" s="327"/>
      <c r="G102" s="647">
        <v>16</v>
      </c>
      <c r="H102" s="648" t="s">
        <v>2041</v>
      </c>
      <c r="I102" s="402" t="s">
        <v>2027</v>
      </c>
      <c r="J102" s="403" t="str">
        <f>IF(ISBLANK(D22),"",D22)</f>
        <v/>
      </c>
      <c r="K102" s="396" t="s">
        <v>1691</v>
      </c>
      <c r="M102" s="396"/>
      <c r="P102" s="396"/>
    </row>
    <row r="103" spans="3:34" hidden="1">
      <c r="C103" s="327">
        <f t="shared" si="0"/>
        <v>3158</v>
      </c>
      <c r="D103" s="327">
        <f t="shared" si="1"/>
        <v>5</v>
      </c>
      <c r="E103" s="327">
        <f t="shared" si="2"/>
        <v>2017</v>
      </c>
      <c r="F103" s="327"/>
      <c r="G103" s="647">
        <v>16</v>
      </c>
      <c r="H103" s="648" t="s">
        <v>2041</v>
      </c>
      <c r="I103" s="402" t="s">
        <v>2008</v>
      </c>
      <c r="J103" s="403" t="str">
        <f>IF(ISBLANK(E22),"",E22)</f>
        <v/>
      </c>
      <c r="K103" s="396" t="s">
        <v>1715</v>
      </c>
      <c r="L103" s="396"/>
      <c r="M103" s="396"/>
      <c r="N103" s="396"/>
    </row>
    <row r="104" spans="3:34" hidden="1">
      <c r="C104" s="327">
        <f t="shared" si="0"/>
        <v>3158</v>
      </c>
      <c r="D104" s="327">
        <f t="shared" si="1"/>
        <v>5</v>
      </c>
      <c r="E104" s="327">
        <f t="shared" si="2"/>
        <v>2017</v>
      </c>
      <c r="F104" s="327"/>
      <c r="G104" s="647">
        <v>15</v>
      </c>
      <c r="H104" s="648" t="s">
        <v>2041</v>
      </c>
      <c r="I104" s="402" t="s">
        <v>2026</v>
      </c>
      <c r="J104" s="403" t="str">
        <f>IF(ISBLANK(C23),"",C23)</f>
        <v/>
      </c>
      <c r="K104" s="396" t="s">
        <v>1668</v>
      </c>
      <c r="L104" s="396"/>
      <c r="M104" s="396"/>
      <c r="N104" s="396"/>
      <c r="P104" s="396"/>
    </row>
    <row r="105" spans="3:34" hidden="1">
      <c r="C105" s="327">
        <f t="shared" si="0"/>
        <v>3158</v>
      </c>
      <c r="D105" s="327">
        <f t="shared" si="1"/>
        <v>5</v>
      </c>
      <c r="E105" s="327">
        <f t="shared" si="2"/>
        <v>2017</v>
      </c>
      <c r="F105" s="327"/>
      <c r="G105" s="647">
        <v>15</v>
      </c>
      <c r="H105" s="648" t="s">
        <v>2041</v>
      </c>
      <c r="I105" s="402" t="s">
        <v>2027</v>
      </c>
      <c r="J105" s="403" t="str">
        <f>IF(ISBLANK(D23),"",D23)</f>
        <v/>
      </c>
      <c r="K105" s="396" t="s">
        <v>1692</v>
      </c>
      <c r="M105" s="396"/>
      <c r="P105" s="396"/>
    </row>
    <row r="106" spans="3:34" hidden="1">
      <c r="C106" s="327">
        <f t="shared" si="0"/>
        <v>3158</v>
      </c>
      <c r="D106" s="327">
        <f t="shared" si="1"/>
        <v>5</v>
      </c>
      <c r="E106" s="327">
        <f t="shared" si="2"/>
        <v>2017</v>
      </c>
      <c r="F106" s="327"/>
      <c r="G106" s="647">
        <v>15</v>
      </c>
      <c r="H106" s="648" t="s">
        <v>2041</v>
      </c>
      <c r="I106" s="402" t="s">
        <v>2008</v>
      </c>
      <c r="J106" s="403" t="str">
        <f>IF(ISBLANK(E23),"",E23)</f>
        <v/>
      </c>
      <c r="K106" s="396" t="s">
        <v>1716</v>
      </c>
      <c r="L106" s="396"/>
      <c r="M106" s="396"/>
      <c r="N106" s="396"/>
    </row>
    <row r="107" spans="3:34" hidden="1">
      <c r="C107" s="327">
        <f t="shared" si="0"/>
        <v>3158</v>
      </c>
      <c r="D107" s="327">
        <f t="shared" si="1"/>
        <v>5</v>
      </c>
      <c r="E107" s="327">
        <f t="shared" si="2"/>
        <v>2017</v>
      </c>
      <c r="F107" s="327"/>
      <c r="G107" s="647">
        <v>2</v>
      </c>
      <c r="H107" s="648" t="s">
        <v>2041</v>
      </c>
      <c r="I107" s="402" t="s">
        <v>2026</v>
      </c>
      <c r="J107" s="403" t="str">
        <f>IF(ISBLANK(C24),"",C24)</f>
        <v/>
      </c>
      <c r="K107" s="396" t="s">
        <v>1669</v>
      </c>
      <c r="L107" s="396"/>
      <c r="M107" s="396"/>
      <c r="N107" s="396"/>
      <c r="P107" s="396"/>
    </row>
    <row r="108" spans="3:34" hidden="1">
      <c r="C108" s="327">
        <f t="shared" si="0"/>
        <v>3158</v>
      </c>
      <c r="D108" s="327">
        <f t="shared" si="1"/>
        <v>5</v>
      </c>
      <c r="E108" s="327">
        <f t="shared" si="2"/>
        <v>2017</v>
      </c>
      <c r="F108" s="327"/>
      <c r="G108" s="647">
        <v>2</v>
      </c>
      <c r="H108" s="648" t="s">
        <v>2041</v>
      </c>
      <c r="I108" s="402" t="s">
        <v>2027</v>
      </c>
      <c r="J108" s="403" t="str">
        <f>IF(ISBLANK(D24),"",D24)</f>
        <v/>
      </c>
      <c r="K108" s="396" t="s">
        <v>1693</v>
      </c>
      <c r="M108" s="396"/>
      <c r="P108" s="396"/>
    </row>
    <row r="109" spans="3:34" hidden="1">
      <c r="C109" s="327">
        <f t="shared" si="0"/>
        <v>3158</v>
      </c>
      <c r="D109" s="327">
        <f t="shared" si="1"/>
        <v>5</v>
      </c>
      <c r="E109" s="327">
        <f t="shared" si="2"/>
        <v>2017</v>
      </c>
      <c r="F109" s="327"/>
      <c r="G109" s="647">
        <v>2</v>
      </c>
      <c r="H109" s="648" t="s">
        <v>2041</v>
      </c>
      <c r="I109" s="402" t="s">
        <v>2008</v>
      </c>
      <c r="J109" s="403" t="str">
        <f>IF(ISBLANK(E24),"",E24)</f>
        <v/>
      </c>
      <c r="K109" s="396" t="s">
        <v>1717</v>
      </c>
      <c r="L109" s="396"/>
      <c r="M109" s="396"/>
      <c r="N109" s="396"/>
    </row>
    <row r="110" spans="3:34" hidden="1">
      <c r="C110" s="327">
        <f t="shared" si="0"/>
        <v>3158</v>
      </c>
      <c r="D110" s="327">
        <f t="shared" si="1"/>
        <v>5</v>
      </c>
      <c r="E110" s="327">
        <f t="shared" si="2"/>
        <v>2017</v>
      </c>
      <c r="F110" s="327"/>
      <c r="G110" s="647">
        <v>13</v>
      </c>
      <c r="H110" s="648" t="s">
        <v>2041</v>
      </c>
      <c r="I110" s="402" t="s">
        <v>2026</v>
      </c>
      <c r="J110" s="403" t="str">
        <f>IF(ISBLANK(C25),"",C25)</f>
        <v/>
      </c>
      <c r="K110" s="396" t="s">
        <v>1670</v>
      </c>
      <c r="L110" s="396"/>
      <c r="M110" s="396"/>
      <c r="N110" s="396"/>
      <c r="P110" s="396"/>
    </row>
    <row r="111" spans="3:34" hidden="1">
      <c r="C111" s="327">
        <f t="shared" si="0"/>
        <v>3158</v>
      </c>
      <c r="D111" s="327">
        <f t="shared" si="1"/>
        <v>5</v>
      </c>
      <c r="E111" s="327">
        <f t="shared" si="2"/>
        <v>2017</v>
      </c>
      <c r="F111" s="327"/>
      <c r="G111" s="647">
        <v>13</v>
      </c>
      <c r="H111" s="648" t="s">
        <v>2041</v>
      </c>
      <c r="I111" s="402" t="s">
        <v>2027</v>
      </c>
      <c r="J111" s="403" t="str">
        <f>IF(ISBLANK(D25),"",D25)</f>
        <v/>
      </c>
      <c r="K111" s="396" t="s">
        <v>1694</v>
      </c>
      <c r="M111" s="396"/>
      <c r="P111" s="396"/>
    </row>
    <row r="112" spans="3:34" hidden="1">
      <c r="C112" s="327">
        <f t="shared" si="0"/>
        <v>3158</v>
      </c>
      <c r="D112" s="327">
        <f t="shared" si="1"/>
        <v>5</v>
      </c>
      <c r="E112" s="327">
        <f t="shared" si="2"/>
        <v>2017</v>
      </c>
      <c r="F112" s="327"/>
      <c r="G112" s="647">
        <v>13</v>
      </c>
      <c r="H112" s="648" t="s">
        <v>2041</v>
      </c>
      <c r="I112" s="402" t="s">
        <v>2008</v>
      </c>
      <c r="J112" s="403" t="str">
        <f>IF(ISBLANK(E25),"",E25)</f>
        <v/>
      </c>
      <c r="K112" s="396" t="s">
        <v>1718</v>
      </c>
      <c r="L112" s="396"/>
      <c r="M112" s="396"/>
      <c r="N112" s="396"/>
    </row>
    <row r="113" spans="3:16" hidden="1">
      <c r="C113" s="327">
        <f t="shared" si="0"/>
        <v>3158</v>
      </c>
      <c r="D113" s="327">
        <f t="shared" si="1"/>
        <v>5</v>
      </c>
      <c r="E113" s="327">
        <f t="shared" si="2"/>
        <v>2017</v>
      </c>
      <c r="F113" s="327"/>
      <c r="G113" s="647">
        <v>12</v>
      </c>
      <c r="H113" s="648" t="s">
        <v>2041</v>
      </c>
      <c r="I113" s="402" t="s">
        <v>2026</v>
      </c>
      <c r="J113" s="403" t="str">
        <f>IF(ISBLANK(C26),"",C26)</f>
        <v/>
      </c>
      <c r="K113" s="396" t="s">
        <v>1671</v>
      </c>
      <c r="L113" s="396"/>
      <c r="M113" s="396"/>
      <c r="N113" s="396"/>
      <c r="P113" s="396"/>
    </row>
    <row r="114" spans="3:16" hidden="1">
      <c r="C114" s="327">
        <f t="shared" si="0"/>
        <v>3158</v>
      </c>
      <c r="D114" s="327">
        <f t="shared" si="1"/>
        <v>5</v>
      </c>
      <c r="E114" s="327">
        <f t="shared" si="2"/>
        <v>2017</v>
      </c>
      <c r="F114" s="327"/>
      <c r="G114" s="647">
        <v>12</v>
      </c>
      <c r="H114" s="648" t="s">
        <v>2041</v>
      </c>
      <c r="I114" s="402" t="s">
        <v>2027</v>
      </c>
      <c r="J114" s="403" t="str">
        <f>IF(ISBLANK(D26),"",D26)</f>
        <v/>
      </c>
      <c r="K114" s="396" t="s">
        <v>1695</v>
      </c>
      <c r="M114" s="396"/>
      <c r="P114" s="396"/>
    </row>
    <row r="115" spans="3:16" hidden="1">
      <c r="C115" s="327">
        <f t="shared" si="0"/>
        <v>3158</v>
      </c>
      <c r="D115" s="327">
        <f t="shared" si="1"/>
        <v>5</v>
      </c>
      <c r="E115" s="327">
        <f t="shared" si="2"/>
        <v>2017</v>
      </c>
      <c r="F115" s="327"/>
      <c r="G115" s="647">
        <v>12</v>
      </c>
      <c r="H115" s="648" t="s">
        <v>2041</v>
      </c>
      <c r="I115" s="402" t="s">
        <v>2008</v>
      </c>
      <c r="J115" s="403" t="str">
        <f>IF(ISBLANK(E26),"",E26)</f>
        <v/>
      </c>
      <c r="K115" s="396" t="s">
        <v>1719</v>
      </c>
      <c r="L115" s="396"/>
      <c r="M115" s="396"/>
      <c r="N115" s="396"/>
    </row>
    <row r="116" spans="3:16" hidden="1">
      <c r="C116" s="327">
        <f t="shared" si="0"/>
        <v>3158</v>
      </c>
      <c r="D116" s="327">
        <f t="shared" si="1"/>
        <v>5</v>
      </c>
      <c r="E116" s="327">
        <f t="shared" si="2"/>
        <v>2017</v>
      </c>
      <c r="F116" s="327"/>
      <c r="G116" s="647">
        <v>10</v>
      </c>
      <c r="H116" s="648" t="s">
        <v>2041</v>
      </c>
      <c r="I116" s="402" t="s">
        <v>2026</v>
      </c>
      <c r="J116" s="403" t="str">
        <f>IF(ISBLANK(C27),"",C27)</f>
        <v/>
      </c>
      <c r="K116" s="396" t="s">
        <v>1672</v>
      </c>
      <c r="L116" s="396"/>
      <c r="M116" s="396"/>
      <c r="N116" s="396"/>
      <c r="P116" s="396"/>
    </row>
    <row r="117" spans="3:16" hidden="1">
      <c r="C117" s="327">
        <f t="shared" si="0"/>
        <v>3158</v>
      </c>
      <c r="D117" s="327">
        <f t="shared" si="1"/>
        <v>5</v>
      </c>
      <c r="E117" s="327">
        <f t="shared" si="2"/>
        <v>2017</v>
      </c>
      <c r="F117" s="327"/>
      <c r="G117" s="647">
        <v>10</v>
      </c>
      <c r="H117" s="648" t="s">
        <v>2041</v>
      </c>
      <c r="I117" s="402" t="s">
        <v>2027</v>
      </c>
      <c r="J117" s="403" t="str">
        <f>IF(ISBLANK(D27),"",D27)</f>
        <v/>
      </c>
      <c r="K117" s="396" t="s">
        <v>1696</v>
      </c>
      <c r="M117" s="396"/>
      <c r="P117" s="396"/>
    </row>
    <row r="118" spans="3:16" hidden="1">
      <c r="C118" s="327">
        <f t="shared" si="0"/>
        <v>3158</v>
      </c>
      <c r="D118" s="327">
        <f t="shared" si="1"/>
        <v>5</v>
      </c>
      <c r="E118" s="327">
        <f t="shared" si="2"/>
        <v>2017</v>
      </c>
      <c r="F118" s="327"/>
      <c r="G118" s="647">
        <v>10</v>
      </c>
      <c r="H118" s="648" t="s">
        <v>2041</v>
      </c>
      <c r="I118" s="402" t="s">
        <v>2008</v>
      </c>
      <c r="J118" s="403" t="str">
        <f>IF(ISBLANK(E27),"",E27)</f>
        <v/>
      </c>
      <c r="K118" s="396" t="s">
        <v>1720</v>
      </c>
      <c r="L118" s="396"/>
      <c r="M118" s="396"/>
      <c r="N118" s="396"/>
    </row>
    <row r="119" spans="3:16" hidden="1">
      <c r="C119" s="327">
        <f t="shared" si="0"/>
        <v>3158</v>
      </c>
      <c r="D119" s="327">
        <f t="shared" si="1"/>
        <v>5</v>
      </c>
      <c r="E119" s="327">
        <f t="shared" si="2"/>
        <v>2017</v>
      </c>
      <c r="F119" s="327"/>
      <c r="G119" s="647">
        <v>25</v>
      </c>
      <c r="H119" s="648" t="s">
        <v>2041</v>
      </c>
      <c r="I119" s="402" t="s">
        <v>2026</v>
      </c>
      <c r="J119" s="403" t="str">
        <f>IF(ISBLANK(C28),"",C28)</f>
        <v/>
      </c>
      <c r="K119" s="396" t="s">
        <v>1673</v>
      </c>
      <c r="L119" s="396"/>
      <c r="M119" s="396"/>
      <c r="N119" s="396"/>
      <c r="P119" s="396"/>
    </row>
    <row r="120" spans="3:16" hidden="1">
      <c r="C120" s="327">
        <f t="shared" si="0"/>
        <v>3158</v>
      </c>
      <c r="D120" s="327">
        <f t="shared" si="1"/>
        <v>5</v>
      </c>
      <c r="E120" s="327">
        <f t="shared" si="2"/>
        <v>2017</v>
      </c>
      <c r="F120" s="327"/>
      <c r="G120" s="647">
        <v>25</v>
      </c>
      <c r="H120" s="648" t="s">
        <v>2041</v>
      </c>
      <c r="I120" s="402" t="s">
        <v>2027</v>
      </c>
      <c r="J120" s="403" t="str">
        <f>IF(ISBLANK(D28),"",D28)</f>
        <v/>
      </c>
      <c r="K120" s="396" t="s">
        <v>1697</v>
      </c>
      <c r="M120" s="396"/>
      <c r="P120" s="396"/>
    </row>
    <row r="121" spans="3:16" hidden="1">
      <c r="C121" s="327">
        <f t="shared" si="0"/>
        <v>3158</v>
      </c>
      <c r="D121" s="327">
        <f t="shared" si="1"/>
        <v>5</v>
      </c>
      <c r="E121" s="327">
        <f t="shared" si="2"/>
        <v>2017</v>
      </c>
      <c r="F121" s="327"/>
      <c r="G121" s="647">
        <v>25</v>
      </c>
      <c r="H121" s="648" t="s">
        <v>2041</v>
      </c>
      <c r="I121" s="402" t="s">
        <v>2008</v>
      </c>
      <c r="J121" s="403" t="str">
        <f>IF(ISBLANK(E28),"",E28)</f>
        <v/>
      </c>
      <c r="K121" s="396" t="s">
        <v>1721</v>
      </c>
      <c r="L121" s="396"/>
      <c r="M121" s="396"/>
      <c r="N121" s="396"/>
    </row>
    <row r="122" spans="3:16" hidden="1">
      <c r="C122" s="327">
        <f t="shared" si="0"/>
        <v>3158</v>
      </c>
      <c r="D122" s="327">
        <f t="shared" si="1"/>
        <v>5</v>
      </c>
      <c r="E122" s="327">
        <f t="shared" si="2"/>
        <v>2017</v>
      </c>
      <c r="F122" s="327"/>
      <c r="G122" s="647">
        <v>8</v>
      </c>
      <c r="H122" s="648" t="s">
        <v>2041</v>
      </c>
      <c r="I122" s="402" t="s">
        <v>2026</v>
      </c>
      <c r="J122" s="403" t="str">
        <f>IF(ISBLANK(C29),"",C29)</f>
        <v/>
      </c>
      <c r="K122" s="396" t="s">
        <v>1674</v>
      </c>
      <c r="L122" s="396"/>
      <c r="M122" s="396"/>
      <c r="N122" s="396"/>
      <c r="P122" s="396"/>
    </row>
    <row r="123" spans="3:16" hidden="1">
      <c r="C123" s="327">
        <f t="shared" si="0"/>
        <v>3158</v>
      </c>
      <c r="D123" s="327">
        <f t="shared" si="1"/>
        <v>5</v>
      </c>
      <c r="E123" s="327">
        <f t="shared" si="2"/>
        <v>2017</v>
      </c>
      <c r="F123" s="327"/>
      <c r="G123" s="647">
        <v>8</v>
      </c>
      <c r="H123" s="648" t="s">
        <v>2041</v>
      </c>
      <c r="I123" s="402" t="s">
        <v>2027</v>
      </c>
      <c r="J123" s="403" t="str">
        <f>IF(ISBLANK(D29),"",D29)</f>
        <v/>
      </c>
      <c r="K123" s="396" t="s">
        <v>1698</v>
      </c>
      <c r="M123" s="396"/>
      <c r="P123" s="396"/>
    </row>
    <row r="124" spans="3:16" hidden="1">
      <c r="C124" s="327">
        <f t="shared" si="0"/>
        <v>3158</v>
      </c>
      <c r="D124" s="327">
        <f t="shared" si="1"/>
        <v>5</v>
      </c>
      <c r="E124" s="327">
        <f t="shared" si="2"/>
        <v>2017</v>
      </c>
      <c r="F124" s="327"/>
      <c r="G124" s="647">
        <v>8</v>
      </c>
      <c r="H124" s="648" t="s">
        <v>2041</v>
      </c>
      <c r="I124" s="402" t="s">
        <v>2008</v>
      </c>
      <c r="J124" s="403" t="str">
        <f>IF(ISBLANK(E29),"",E29)</f>
        <v/>
      </c>
      <c r="K124" s="396" t="s">
        <v>1722</v>
      </c>
      <c r="L124" s="396"/>
      <c r="M124" s="396"/>
      <c r="N124" s="396"/>
    </row>
    <row r="125" spans="3:16" hidden="1">
      <c r="C125" s="327">
        <f t="shared" si="0"/>
        <v>3158</v>
      </c>
      <c r="D125" s="327">
        <f t="shared" si="1"/>
        <v>5</v>
      </c>
      <c r="E125" s="327">
        <f t="shared" si="2"/>
        <v>2017</v>
      </c>
      <c r="F125" s="327"/>
      <c r="G125" s="647">
        <v>18</v>
      </c>
      <c r="H125" s="648" t="s">
        <v>2041</v>
      </c>
      <c r="I125" s="402" t="s">
        <v>2026</v>
      </c>
      <c r="J125" s="403" t="str">
        <f>IF(ISBLANK(C30),"",C30)</f>
        <v/>
      </c>
      <c r="K125" s="396" t="s">
        <v>1675</v>
      </c>
      <c r="L125" s="396"/>
      <c r="M125" s="396"/>
      <c r="N125" s="396"/>
      <c r="P125" s="396"/>
    </row>
    <row r="126" spans="3:16" hidden="1">
      <c r="C126" s="327">
        <f t="shared" ref="C126:C179" si="3">E$1</f>
        <v>3158</v>
      </c>
      <c r="D126" s="327">
        <f t="shared" ref="D126:D179" si="4">D$59</f>
        <v>5</v>
      </c>
      <c r="E126" s="327">
        <f t="shared" ref="E126:E179" si="5">C$1</f>
        <v>2017</v>
      </c>
      <c r="F126" s="327"/>
      <c r="G126" s="647">
        <v>18</v>
      </c>
      <c r="H126" s="648" t="s">
        <v>2041</v>
      </c>
      <c r="I126" s="402" t="s">
        <v>2027</v>
      </c>
      <c r="J126" s="403" t="str">
        <f>IF(ISBLANK(D30),"",D30)</f>
        <v/>
      </c>
      <c r="K126" s="396" t="s">
        <v>1699</v>
      </c>
      <c r="M126" s="396"/>
      <c r="P126" s="396"/>
    </row>
    <row r="127" spans="3:16" hidden="1">
      <c r="C127" s="327">
        <f t="shared" si="3"/>
        <v>3158</v>
      </c>
      <c r="D127" s="327">
        <f t="shared" si="4"/>
        <v>5</v>
      </c>
      <c r="E127" s="327">
        <f t="shared" si="5"/>
        <v>2017</v>
      </c>
      <c r="F127" s="327"/>
      <c r="G127" s="647">
        <v>18</v>
      </c>
      <c r="H127" s="648" t="s">
        <v>2041</v>
      </c>
      <c r="I127" s="402" t="s">
        <v>2008</v>
      </c>
      <c r="J127" s="403" t="str">
        <f>IF(ISBLANK(E30),"",E30)</f>
        <v/>
      </c>
      <c r="K127" s="396" t="s">
        <v>1731</v>
      </c>
      <c r="L127" s="396"/>
      <c r="M127" s="396"/>
      <c r="N127" s="396"/>
    </row>
    <row r="128" spans="3:16" hidden="1">
      <c r="C128" s="327">
        <f t="shared" si="3"/>
        <v>3158</v>
      </c>
      <c r="D128" s="327">
        <f t="shared" si="4"/>
        <v>5</v>
      </c>
      <c r="E128" s="327">
        <f t="shared" si="5"/>
        <v>2017</v>
      </c>
      <c r="F128" s="327"/>
      <c r="G128" s="647">
        <v>26</v>
      </c>
      <c r="H128" s="648" t="s">
        <v>2041</v>
      </c>
      <c r="I128" s="402" t="s">
        <v>2026</v>
      </c>
      <c r="J128" s="403" t="str">
        <f>IF(ISBLANK(C31),"",C31)</f>
        <v/>
      </c>
      <c r="K128" s="396" t="s">
        <v>1676</v>
      </c>
      <c r="L128" s="396"/>
      <c r="M128" s="396"/>
      <c r="N128" s="396"/>
      <c r="P128" s="396"/>
    </row>
    <row r="129" spans="3:16" hidden="1">
      <c r="C129" s="327">
        <f t="shared" si="3"/>
        <v>3158</v>
      </c>
      <c r="D129" s="327">
        <f t="shared" si="4"/>
        <v>5</v>
      </c>
      <c r="E129" s="327">
        <f t="shared" si="5"/>
        <v>2017</v>
      </c>
      <c r="F129" s="327"/>
      <c r="G129" s="647">
        <v>26</v>
      </c>
      <c r="H129" s="648" t="s">
        <v>2041</v>
      </c>
      <c r="I129" s="402" t="s">
        <v>2027</v>
      </c>
      <c r="J129" s="403" t="str">
        <f>IF(ISBLANK(D31),"",D31)</f>
        <v/>
      </c>
      <c r="K129" s="396" t="s">
        <v>1700</v>
      </c>
      <c r="M129" s="396"/>
      <c r="P129" s="396"/>
    </row>
    <row r="130" spans="3:16" hidden="1">
      <c r="C130" s="327">
        <f t="shared" si="3"/>
        <v>3158</v>
      </c>
      <c r="D130" s="327">
        <f t="shared" si="4"/>
        <v>5</v>
      </c>
      <c r="E130" s="327">
        <f t="shared" si="5"/>
        <v>2017</v>
      </c>
      <c r="F130" s="327"/>
      <c r="G130" s="647">
        <v>26</v>
      </c>
      <c r="H130" s="648" t="s">
        <v>2041</v>
      </c>
      <c r="I130" s="402" t="s">
        <v>2008</v>
      </c>
      <c r="J130" s="403" t="str">
        <f>IF(ISBLANK(E31),"",E31)</f>
        <v/>
      </c>
      <c r="K130" s="396" t="s">
        <v>342</v>
      </c>
      <c r="L130" s="396"/>
      <c r="M130" s="396"/>
      <c r="N130" s="396"/>
    </row>
    <row r="131" spans="3:16" hidden="1">
      <c r="C131" s="327">
        <f t="shared" si="3"/>
        <v>3158</v>
      </c>
      <c r="D131" s="327">
        <f t="shared" si="4"/>
        <v>5</v>
      </c>
      <c r="E131" s="327">
        <f t="shared" si="5"/>
        <v>2017</v>
      </c>
      <c r="F131" s="327"/>
      <c r="G131" s="647">
        <v>3</v>
      </c>
      <c r="H131" s="648" t="s">
        <v>2041</v>
      </c>
      <c r="I131" s="402" t="s">
        <v>2026</v>
      </c>
      <c r="J131" s="403" t="str">
        <f>IF(ISBLANK(C32),"",C32)</f>
        <v/>
      </c>
      <c r="K131" s="396" t="s">
        <v>1677</v>
      </c>
      <c r="L131" s="396"/>
      <c r="M131" s="396"/>
      <c r="N131" s="396"/>
      <c r="P131" s="396"/>
    </row>
    <row r="132" spans="3:16" hidden="1">
      <c r="C132" s="327">
        <f t="shared" si="3"/>
        <v>3158</v>
      </c>
      <c r="D132" s="327">
        <f t="shared" si="4"/>
        <v>5</v>
      </c>
      <c r="E132" s="327">
        <f t="shared" si="5"/>
        <v>2017</v>
      </c>
      <c r="F132" s="327"/>
      <c r="G132" s="647">
        <v>3</v>
      </c>
      <c r="H132" s="648" t="s">
        <v>2041</v>
      </c>
      <c r="I132" s="402" t="s">
        <v>2027</v>
      </c>
      <c r="J132" s="403" t="str">
        <f>IF(ISBLANK(D32),"",D32)</f>
        <v/>
      </c>
      <c r="K132" s="396" t="s">
        <v>1701</v>
      </c>
      <c r="M132" s="396"/>
      <c r="P132" s="396"/>
    </row>
    <row r="133" spans="3:16" hidden="1">
      <c r="C133" s="327">
        <f t="shared" si="3"/>
        <v>3158</v>
      </c>
      <c r="D133" s="327">
        <f t="shared" si="4"/>
        <v>5</v>
      </c>
      <c r="E133" s="327">
        <f t="shared" si="5"/>
        <v>2017</v>
      </c>
      <c r="F133" s="327"/>
      <c r="G133" s="647">
        <v>3</v>
      </c>
      <c r="H133" s="648" t="s">
        <v>2041</v>
      </c>
      <c r="I133" s="402" t="s">
        <v>2008</v>
      </c>
      <c r="J133" s="403" t="str">
        <f>IF(ISBLANK(E32),"",E32)</f>
        <v/>
      </c>
      <c r="K133" s="396" t="s">
        <v>343</v>
      </c>
      <c r="L133" s="396"/>
      <c r="M133" s="396"/>
      <c r="N133" s="396"/>
    </row>
    <row r="134" spans="3:16" hidden="1">
      <c r="C134" s="327">
        <f t="shared" si="3"/>
        <v>3158</v>
      </c>
      <c r="D134" s="327">
        <f t="shared" si="4"/>
        <v>5</v>
      </c>
      <c r="E134" s="327">
        <f t="shared" si="5"/>
        <v>2017</v>
      </c>
      <c r="F134" s="327"/>
      <c r="G134" s="647">
        <v>24</v>
      </c>
      <c r="H134" s="648" t="s">
        <v>2041</v>
      </c>
      <c r="I134" s="402" t="s">
        <v>2026</v>
      </c>
      <c r="J134" s="403" t="str">
        <f>IF(ISBLANK(C33),"",C33)</f>
        <v/>
      </c>
      <c r="K134" s="396" t="s">
        <v>1678</v>
      </c>
      <c r="L134" s="396"/>
      <c r="M134" s="396"/>
      <c r="N134" s="396"/>
      <c r="P134" s="396"/>
    </row>
    <row r="135" spans="3:16" hidden="1">
      <c r="C135" s="327">
        <f t="shared" si="3"/>
        <v>3158</v>
      </c>
      <c r="D135" s="327">
        <f t="shared" si="4"/>
        <v>5</v>
      </c>
      <c r="E135" s="327">
        <f t="shared" si="5"/>
        <v>2017</v>
      </c>
      <c r="F135" s="327"/>
      <c r="G135" s="647">
        <v>24</v>
      </c>
      <c r="H135" s="648" t="s">
        <v>2041</v>
      </c>
      <c r="I135" s="402" t="s">
        <v>2027</v>
      </c>
      <c r="J135" s="403" t="str">
        <f>IF(ISBLANK(D33),"",D33)</f>
        <v/>
      </c>
      <c r="K135" s="396" t="s">
        <v>1702</v>
      </c>
      <c r="M135" s="396"/>
      <c r="P135" s="396"/>
    </row>
    <row r="136" spans="3:16" hidden="1">
      <c r="C136" s="327">
        <f t="shared" si="3"/>
        <v>3158</v>
      </c>
      <c r="D136" s="327">
        <f t="shared" si="4"/>
        <v>5</v>
      </c>
      <c r="E136" s="327">
        <f t="shared" si="5"/>
        <v>2017</v>
      </c>
      <c r="F136" s="327"/>
      <c r="G136" s="647">
        <v>24</v>
      </c>
      <c r="H136" s="648" t="s">
        <v>2041</v>
      </c>
      <c r="I136" s="402" t="s">
        <v>2008</v>
      </c>
      <c r="J136" s="403" t="str">
        <f>IF(ISBLANK(E33),"",E33)</f>
        <v/>
      </c>
      <c r="K136" s="396" t="s">
        <v>344</v>
      </c>
      <c r="L136" s="396"/>
      <c r="M136" s="396"/>
      <c r="N136" s="396"/>
    </row>
    <row r="137" spans="3:16" hidden="1">
      <c r="C137" s="327">
        <f t="shared" si="3"/>
        <v>3158</v>
      </c>
      <c r="D137" s="327">
        <f t="shared" si="4"/>
        <v>5</v>
      </c>
      <c r="E137" s="327">
        <f t="shared" si="5"/>
        <v>2017</v>
      </c>
      <c r="F137" s="327"/>
      <c r="G137" s="647">
        <v>7</v>
      </c>
      <c r="H137" s="648" t="s">
        <v>2041</v>
      </c>
      <c r="I137" s="402" t="s">
        <v>2026</v>
      </c>
      <c r="J137" s="403" t="str">
        <f>IF(ISBLANK(C34),"",C34)</f>
        <v/>
      </c>
      <c r="K137" s="396" t="s">
        <v>1679</v>
      </c>
      <c r="L137" s="396"/>
      <c r="M137" s="396"/>
      <c r="N137" s="396"/>
      <c r="P137" s="396"/>
    </row>
    <row r="138" spans="3:16" hidden="1">
      <c r="C138" s="327">
        <f t="shared" si="3"/>
        <v>3158</v>
      </c>
      <c r="D138" s="327">
        <f t="shared" si="4"/>
        <v>5</v>
      </c>
      <c r="E138" s="327">
        <f t="shared" si="5"/>
        <v>2017</v>
      </c>
      <c r="F138" s="327"/>
      <c r="G138" s="647">
        <v>7</v>
      </c>
      <c r="H138" s="648" t="s">
        <v>2041</v>
      </c>
      <c r="I138" s="402" t="s">
        <v>2027</v>
      </c>
      <c r="J138" s="403" t="str">
        <f>IF(ISBLANK(D34),"",D34)</f>
        <v/>
      </c>
      <c r="K138" s="396" t="s">
        <v>1703</v>
      </c>
      <c r="M138" s="396"/>
      <c r="P138" s="396"/>
    </row>
    <row r="139" spans="3:16" hidden="1">
      <c r="C139" s="327">
        <f t="shared" si="3"/>
        <v>3158</v>
      </c>
      <c r="D139" s="327">
        <f t="shared" si="4"/>
        <v>5</v>
      </c>
      <c r="E139" s="327">
        <f t="shared" si="5"/>
        <v>2017</v>
      </c>
      <c r="F139" s="327"/>
      <c r="G139" s="647">
        <v>7</v>
      </c>
      <c r="H139" s="648" t="s">
        <v>2041</v>
      </c>
      <c r="I139" s="402" t="s">
        <v>2008</v>
      </c>
      <c r="J139" s="403" t="str">
        <f>IF(ISBLANK(E34),"",E34)</f>
        <v/>
      </c>
      <c r="K139" s="396" t="s">
        <v>345</v>
      </c>
      <c r="L139" s="396"/>
      <c r="M139" s="396"/>
      <c r="N139" s="396"/>
    </row>
    <row r="140" spans="3:16" hidden="1">
      <c r="C140" s="327">
        <f t="shared" si="3"/>
        <v>3158</v>
      </c>
      <c r="D140" s="327">
        <f t="shared" si="4"/>
        <v>5</v>
      </c>
      <c r="E140" s="327">
        <f t="shared" si="5"/>
        <v>2017</v>
      </c>
      <c r="F140" s="327"/>
      <c r="G140" s="647">
        <v>6</v>
      </c>
      <c r="H140" s="648" t="s">
        <v>2041</v>
      </c>
      <c r="I140" s="402" t="s">
        <v>2026</v>
      </c>
      <c r="J140" s="403" t="str">
        <f>IF(ISBLANK(C35),"",C35)</f>
        <v/>
      </c>
      <c r="K140" s="396" t="s">
        <v>1680</v>
      </c>
      <c r="L140" s="396"/>
      <c r="M140" s="396"/>
      <c r="N140" s="396"/>
      <c r="P140" s="396"/>
    </row>
    <row r="141" spans="3:16" hidden="1">
      <c r="C141" s="327">
        <f t="shared" si="3"/>
        <v>3158</v>
      </c>
      <c r="D141" s="327">
        <f t="shared" si="4"/>
        <v>5</v>
      </c>
      <c r="E141" s="327">
        <f t="shared" si="5"/>
        <v>2017</v>
      </c>
      <c r="F141" s="327"/>
      <c r="G141" s="647">
        <v>6</v>
      </c>
      <c r="H141" s="648" t="s">
        <v>2041</v>
      </c>
      <c r="I141" s="402" t="s">
        <v>2027</v>
      </c>
      <c r="J141" s="403" t="str">
        <f>IF(ISBLANK(D35),"",D35)</f>
        <v/>
      </c>
      <c r="K141" s="396" t="s">
        <v>1704</v>
      </c>
      <c r="M141" s="396"/>
      <c r="P141" s="396"/>
    </row>
    <row r="142" spans="3:16" hidden="1">
      <c r="C142" s="327">
        <f t="shared" si="3"/>
        <v>3158</v>
      </c>
      <c r="D142" s="327">
        <f t="shared" si="4"/>
        <v>5</v>
      </c>
      <c r="E142" s="327">
        <f t="shared" si="5"/>
        <v>2017</v>
      </c>
      <c r="F142" s="327"/>
      <c r="G142" s="647">
        <v>6</v>
      </c>
      <c r="H142" s="648" t="s">
        <v>2041</v>
      </c>
      <c r="I142" s="402" t="s">
        <v>2008</v>
      </c>
      <c r="J142" s="403" t="str">
        <f>IF(ISBLANK(E35),"",E35)</f>
        <v/>
      </c>
      <c r="K142" s="396" t="s">
        <v>346</v>
      </c>
      <c r="L142" s="396"/>
      <c r="M142" s="396"/>
      <c r="N142" s="396"/>
    </row>
    <row r="143" spans="3:16" hidden="1">
      <c r="C143" s="327">
        <f t="shared" si="3"/>
        <v>3158</v>
      </c>
      <c r="D143" s="327">
        <f t="shared" si="4"/>
        <v>5</v>
      </c>
      <c r="E143" s="327">
        <f t="shared" si="5"/>
        <v>2017</v>
      </c>
      <c r="F143" s="327"/>
      <c r="G143" s="647">
        <v>17</v>
      </c>
      <c r="H143" s="648" t="s">
        <v>2041</v>
      </c>
      <c r="I143" s="402" t="s">
        <v>2026</v>
      </c>
      <c r="J143" s="403" t="str">
        <f>IF(ISBLANK(C36),"",C36)</f>
        <v/>
      </c>
      <c r="K143" s="396" t="s">
        <v>1681</v>
      </c>
      <c r="L143" s="396"/>
      <c r="M143" s="396"/>
      <c r="N143" s="396"/>
      <c r="P143" s="396"/>
    </row>
    <row r="144" spans="3:16" hidden="1">
      <c r="C144" s="327">
        <f t="shared" si="3"/>
        <v>3158</v>
      </c>
      <c r="D144" s="327">
        <f t="shared" si="4"/>
        <v>5</v>
      </c>
      <c r="E144" s="327">
        <f t="shared" si="5"/>
        <v>2017</v>
      </c>
      <c r="F144" s="327"/>
      <c r="G144" s="647">
        <v>17</v>
      </c>
      <c r="H144" s="648" t="s">
        <v>2041</v>
      </c>
      <c r="I144" s="402" t="s">
        <v>2027</v>
      </c>
      <c r="J144" s="403" t="str">
        <f>IF(ISBLANK(D36),"",D36)</f>
        <v/>
      </c>
      <c r="K144" s="396" t="s">
        <v>1705</v>
      </c>
      <c r="M144" s="396"/>
      <c r="P144" s="396"/>
    </row>
    <row r="145" spans="3:16" hidden="1">
      <c r="C145" s="327">
        <f t="shared" si="3"/>
        <v>3158</v>
      </c>
      <c r="D145" s="327">
        <f t="shared" si="4"/>
        <v>5</v>
      </c>
      <c r="E145" s="327">
        <f t="shared" si="5"/>
        <v>2017</v>
      </c>
      <c r="F145" s="327"/>
      <c r="G145" s="647">
        <v>17</v>
      </c>
      <c r="H145" s="648" t="s">
        <v>2041</v>
      </c>
      <c r="I145" s="402" t="s">
        <v>2008</v>
      </c>
      <c r="J145" s="403" t="str">
        <f>IF(ISBLANK(E36),"",E36)</f>
        <v/>
      </c>
      <c r="K145" s="396" t="s">
        <v>347</v>
      </c>
      <c r="L145" s="396"/>
      <c r="M145" s="396"/>
      <c r="N145" s="396"/>
    </row>
    <row r="146" spans="3:16" hidden="1">
      <c r="C146" s="327">
        <f t="shared" si="3"/>
        <v>3158</v>
      </c>
      <c r="D146" s="327">
        <f t="shared" si="4"/>
        <v>5</v>
      </c>
      <c r="E146" s="327">
        <f t="shared" si="5"/>
        <v>2017</v>
      </c>
      <c r="F146" s="327"/>
      <c r="G146" s="647">
        <v>14</v>
      </c>
      <c r="H146" s="648" t="s">
        <v>2041</v>
      </c>
      <c r="I146" s="402" t="s">
        <v>2026</v>
      </c>
      <c r="J146" s="403" t="str">
        <f>IF(ISBLANK(C37),"",C37)</f>
        <v/>
      </c>
      <c r="K146" s="396" t="s">
        <v>1682</v>
      </c>
      <c r="L146" s="396"/>
      <c r="M146" s="396"/>
      <c r="N146" s="396"/>
      <c r="P146" s="396"/>
    </row>
    <row r="147" spans="3:16" hidden="1">
      <c r="C147" s="327">
        <f t="shared" si="3"/>
        <v>3158</v>
      </c>
      <c r="D147" s="327">
        <f t="shared" si="4"/>
        <v>5</v>
      </c>
      <c r="E147" s="327">
        <f t="shared" si="5"/>
        <v>2017</v>
      </c>
      <c r="F147" s="327"/>
      <c r="G147" s="647">
        <v>14</v>
      </c>
      <c r="H147" s="648" t="s">
        <v>2041</v>
      </c>
      <c r="I147" s="402" t="s">
        <v>2027</v>
      </c>
      <c r="J147" s="403" t="str">
        <f>IF(ISBLANK(D37),"",D37)</f>
        <v/>
      </c>
      <c r="K147" s="396" t="s">
        <v>1706</v>
      </c>
      <c r="M147" s="396"/>
      <c r="P147" s="396"/>
    </row>
    <row r="148" spans="3:16" hidden="1">
      <c r="C148" s="327">
        <f t="shared" si="3"/>
        <v>3158</v>
      </c>
      <c r="D148" s="327">
        <f t="shared" si="4"/>
        <v>5</v>
      </c>
      <c r="E148" s="327">
        <f t="shared" si="5"/>
        <v>2017</v>
      </c>
      <c r="F148" s="327"/>
      <c r="G148" s="647">
        <v>14</v>
      </c>
      <c r="H148" s="648" t="s">
        <v>2041</v>
      </c>
      <c r="I148" s="402" t="s">
        <v>2008</v>
      </c>
      <c r="J148" s="403" t="str">
        <f>IF(ISBLANK(E37),"",E37)</f>
        <v/>
      </c>
      <c r="K148" s="396" t="s">
        <v>348</v>
      </c>
      <c r="L148" s="396"/>
      <c r="M148" s="396"/>
      <c r="N148" s="396"/>
    </row>
    <row r="149" spans="3:16" hidden="1">
      <c r="C149" s="327">
        <f t="shared" si="3"/>
        <v>3158</v>
      </c>
      <c r="D149" s="327">
        <f t="shared" si="4"/>
        <v>5</v>
      </c>
      <c r="E149" s="327">
        <f t="shared" si="5"/>
        <v>2017</v>
      </c>
      <c r="F149" s="327"/>
      <c r="G149" s="647">
        <v>11</v>
      </c>
      <c r="H149" s="648" t="s">
        <v>2041</v>
      </c>
      <c r="I149" s="402" t="s">
        <v>2026</v>
      </c>
      <c r="J149" s="403" t="str">
        <f>IF(ISBLANK(C38),"",C38)</f>
        <v/>
      </c>
      <c r="K149" s="396" t="s">
        <v>1683</v>
      </c>
      <c r="L149" s="396"/>
      <c r="M149" s="396"/>
      <c r="N149" s="396"/>
      <c r="P149" s="396"/>
    </row>
    <row r="150" spans="3:16" hidden="1">
      <c r="C150" s="327">
        <f t="shared" si="3"/>
        <v>3158</v>
      </c>
      <c r="D150" s="327">
        <f t="shared" si="4"/>
        <v>5</v>
      </c>
      <c r="E150" s="327">
        <f t="shared" si="5"/>
        <v>2017</v>
      </c>
      <c r="F150" s="327"/>
      <c r="G150" s="647">
        <v>11</v>
      </c>
      <c r="H150" s="648" t="s">
        <v>2041</v>
      </c>
      <c r="I150" s="402" t="s">
        <v>2027</v>
      </c>
      <c r="J150" s="403" t="str">
        <f>IF(ISBLANK(D38),"",D38)</f>
        <v/>
      </c>
      <c r="K150" s="396" t="s">
        <v>1707</v>
      </c>
      <c r="M150" s="396"/>
      <c r="P150" s="396"/>
    </row>
    <row r="151" spans="3:16" hidden="1">
      <c r="C151" s="327">
        <f t="shared" si="3"/>
        <v>3158</v>
      </c>
      <c r="D151" s="327">
        <f t="shared" si="4"/>
        <v>5</v>
      </c>
      <c r="E151" s="327">
        <f t="shared" si="5"/>
        <v>2017</v>
      </c>
      <c r="F151" s="327"/>
      <c r="G151" s="647">
        <v>11</v>
      </c>
      <c r="H151" s="648" t="s">
        <v>2041</v>
      </c>
      <c r="I151" s="402" t="s">
        <v>2008</v>
      </c>
      <c r="J151" s="403" t="str">
        <f>IF(ISBLANK(E38),"",E38)</f>
        <v/>
      </c>
      <c r="K151" s="396" t="s">
        <v>349</v>
      </c>
      <c r="L151" s="396"/>
      <c r="M151" s="396"/>
      <c r="N151" s="396"/>
    </row>
    <row r="152" spans="3:16" hidden="1">
      <c r="C152" s="327">
        <f t="shared" si="3"/>
        <v>3158</v>
      </c>
      <c r="D152" s="327">
        <f t="shared" si="4"/>
        <v>5</v>
      </c>
      <c r="E152" s="327">
        <f t="shared" si="5"/>
        <v>2017</v>
      </c>
      <c r="F152" s="327"/>
      <c r="G152" s="647">
        <v>5</v>
      </c>
      <c r="H152" s="648" t="s">
        <v>2041</v>
      </c>
      <c r="I152" s="402" t="s">
        <v>2026</v>
      </c>
      <c r="J152" s="403" t="str">
        <f>IF(ISBLANK(C39),"",C39)</f>
        <v/>
      </c>
      <c r="K152" s="396" t="s">
        <v>1684</v>
      </c>
      <c r="L152" s="396"/>
      <c r="M152" s="396"/>
      <c r="N152" s="396"/>
      <c r="P152" s="396"/>
    </row>
    <row r="153" spans="3:16" hidden="1">
      <c r="C153" s="327">
        <f t="shared" si="3"/>
        <v>3158</v>
      </c>
      <c r="D153" s="327">
        <f t="shared" si="4"/>
        <v>5</v>
      </c>
      <c r="E153" s="327">
        <f t="shared" si="5"/>
        <v>2017</v>
      </c>
      <c r="F153" s="327"/>
      <c r="G153" s="647">
        <v>5</v>
      </c>
      <c r="H153" s="648" t="s">
        <v>2041</v>
      </c>
      <c r="I153" s="402" t="s">
        <v>2027</v>
      </c>
      <c r="J153" s="403" t="str">
        <f>IF(ISBLANK(D39),"",D39)</f>
        <v/>
      </c>
      <c r="K153" s="396" t="s">
        <v>1708</v>
      </c>
      <c r="M153" s="396"/>
      <c r="P153" s="396"/>
    </row>
    <row r="154" spans="3:16" hidden="1">
      <c r="C154" s="327">
        <f t="shared" si="3"/>
        <v>3158</v>
      </c>
      <c r="D154" s="327">
        <f t="shared" si="4"/>
        <v>5</v>
      </c>
      <c r="E154" s="327">
        <f t="shared" si="5"/>
        <v>2017</v>
      </c>
      <c r="F154" s="327"/>
      <c r="G154" s="647">
        <v>5</v>
      </c>
      <c r="H154" s="648" t="s">
        <v>2041</v>
      </c>
      <c r="I154" s="402" t="s">
        <v>2008</v>
      </c>
      <c r="J154" s="403" t="str">
        <f>IF(ISBLANK(E39),"",E39)</f>
        <v/>
      </c>
      <c r="K154" s="396" t="s">
        <v>350</v>
      </c>
      <c r="L154" s="396"/>
      <c r="M154" s="396"/>
      <c r="N154" s="396"/>
    </row>
    <row r="155" spans="3:16" hidden="1">
      <c r="C155" s="327">
        <f t="shared" si="3"/>
        <v>3158</v>
      </c>
      <c r="D155" s="327">
        <f t="shared" si="4"/>
        <v>5</v>
      </c>
      <c r="E155" s="327">
        <f t="shared" si="5"/>
        <v>2017</v>
      </c>
      <c r="F155" s="327"/>
      <c r="G155" s="647">
        <v>20</v>
      </c>
      <c r="H155" s="648" t="s">
        <v>2041</v>
      </c>
      <c r="I155" s="402" t="s">
        <v>2026</v>
      </c>
      <c r="J155" s="403" t="str">
        <f>IF(ISBLANK(C40),"",C40)</f>
        <v/>
      </c>
      <c r="K155" s="396" t="s">
        <v>1685</v>
      </c>
      <c r="L155" s="396"/>
      <c r="M155" s="396"/>
      <c r="N155" s="396"/>
      <c r="P155" s="396"/>
    </row>
    <row r="156" spans="3:16" hidden="1">
      <c r="C156" s="327">
        <f t="shared" si="3"/>
        <v>3158</v>
      </c>
      <c r="D156" s="327">
        <f t="shared" si="4"/>
        <v>5</v>
      </c>
      <c r="E156" s="327">
        <f t="shared" si="5"/>
        <v>2017</v>
      </c>
      <c r="F156" s="327"/>
      <c r="G156" s="647">
        <v>20</v>
      </c>
      <c r="H156" s="648" t="s">
        <v>2041</v>
      </c>
      <c r="I156" s="402" t="s">
        <v>2027</v>
      </c>
      <c r="J156" s="403" t="str">
        <f>IF(ISBLANK(D40),"",D40)</f>
        <v/>
      </c>
      <c r="K156" s="396" t="s">
        <v>1709</v>
      </c>
      <c r="M156" s="396"/>
      <c r="P156" s="396"/>
    </row>
    <row r="157" spans="3:16" hidden="1">
      <c r="C157" s="327">
        <f t="shared" si="3"/>
        <v>3158</v>
      </c>
      <c r="D157" s="327">
        <f t="shared" si="4"/>
        <v>5</v>
      </c>
      <c r="E157" s="327">
        <f t="shared" si="5"/>
        <v>2017</v>
      </c>
      <c r="F157" s="327"/>
      <c r="G157" s="647">
        <v>20</v>
      </c>
      <c r="H157" s="648" t="s">
        <v>2041</v>
      </c>
      <c r="I157" s="402" t="s">
        <v>2008</v>
      </c>
      <c r="J157" s="403" t="str">
        <f>IF(ISBLANK(E40),"",E40)</f>
        <v/>
      </c>
      <c r="K157" s="396" t="s">
        <v>351</v>
      </c>
      <c r="L157" s="396"/>
      <c r="M157" s="396"/>
      <c r="N157" s="396"/>
    </row>
    <row r="158" spans="3:16" hidden="1">
      <c r="C158" s="327">
        <f t="shared" si="3"/>
        <v>3158</v>
      </c>
      <c r="D158" s="327">
        <f t="shared" si="4"/>
        <v>5</v>
      </c>
      <c r="E158" s="327">
        <f t="shared" si="5"/>
        <v>2017</v>
      </c>
      <c r="F158" s="327"/>
      <c r="G158" s="647">
        <v>21</v>
      </c>
      <c r="H158" s="648" t="s">
        <v>2041</v>
      </c>
      <c r="I158" s="402" t="s">
        <v>2026</v>
      </c>
      <c r="J158" s="403" t="str">
        <f>IF(ISBLANK(C41),"",C41)</f>
        <v/>
      </c>
      <c r="K158" s="396" t="s">
        <v>1686</v>
      </c>
      <c r="L158" s="396"/>
      <c r="M158" s="396"/>
      <c r="N158" s="396"/>
      <c r="P158" s="396"/>
    </row>
    <row r="159" spans="3:16" ht="12.75" hidden="1" customHeight="1">
      <c r="C159" s="327">
        <f t="shared" si="3"/>
        <v>3158</v>
      </c>
      <c r="D159" s="327">
        <f t="shared" si="4"/>
        <v>5</v>
      </c>
      <c r="E159" s="327">
        <f t="shared" si="5"/>
        <v>2017</v>
      </c>
      <c r="F159" s="327"/>
      <c r="G159" s="647">
        <v>21</v>
      </c>
      <c r="H159" s="648" t="s">
        <v>2041</v>
      </c>
      <c r="I159" s="402" t="s">
        <v>2027</v>
      </c>
      <c r="J159" s="403" t="str">
        <f>IF(ISBLANK(D41),"",D41)</f>
        <v/>
      </c>
      <c r="K159" s="396" t="s">
        <v>1710</v>
      </c>
      <c r="M159" s="396"/>
      <c r="P159" s="396"/>
    </row>
    <row r="160" spans="3:16" hidden="1">
      <c r="C160" s="327">
        <f t="shared" si="3"/>
        <v>3158</v>
      </c>
      <c r="D160" s="327">
        <f t="shared" si="4"/>
        <v>5</v>
      </c>
      <c r="E160" s="327">
        <f t="shared" si="5"/>
        <v>2017</v>
      </c>
      <c r="F160" s="327"/>
      <c r="G160" s="647">
        <v>21</v>
      </c>
      <c r="H160" s="648" t="s">
        <v>2041</v>
      </c>
      <c r="I160" s="402" t="s">
        <v>2008</v>
      </c>
      <c r="J160" s="403" t="str">
        <f>IF(ISBLANK(E41),"",E41)</f>
        <v/>
      </c>
      <c r="K160" s="396" t="s">
        <v>352</v>
      </c>
      <c r="L160" s="396"/>
      <c r="M160" s="396"/>
      <c r="N160" s="396"/>
    </row>
    <row r="161" spans="3:16" hidden="1">
      <c r="C161" s="327">
        <f t="shared" si="3"/>
        <v>3158</v>
      </c>
      <c r="D161" s="327">
        <f t="shared" si="4"/>
        <v>5</v>
      </c>
      <c r="E161" s="327">
        <f t="shared" si="5"/>
        <v>2017</v>
      </c>
      <c r="F161" s="327"/>
      <c r="G161" s="647">
        <v>4</v>
      </c>
      <c r="H161" s="648" t="s">
        <v>2041</v>
      </c>
      <c r="I161" s="402" t="s">
        <v>2026</v>
      </c>
      <c r="J161" s="403" t="str">
        <f>IF(ISBLANK(C42),"",C42)</f>
        <v/>
      </c>
      <c r="K161" s="396" t="s">
        <v>1687</v>
      </c>
      <c r="L161" s="396"/>
      <c r="M161" s="396"/>
      <c r="N161" s="396"/>
      <c r="P161" s="396"/>
    </row>
    <row r="162" spans="3:16" hidden="1">
      <c r="C162" s="327">
        <f t="shared" si="3"/>
        <v>3158</v>
      </c>
      <c r="D162" s="327">
        <f t="shared" si="4"/>
        <v>5</v>
      </c>
      <c r="E162" s="327">
        <f t="shared" si="5"/>
        <v>2017</v>
      </c>
      <c r="F162" s="327"/>
      <c r="G162" s="647">
        <v>4</v>
      </c>
      <c r="H162" s="648" t="s">
        <v>2041</v>
      </c>
      <c r="I162" s="402" t="s">
        <v>2027</v>
      </c>
      <c r="J162" s="403" t="str">
        <f>IF(ISBLANK(D42),"",D42)</f>
        <v/>
      </c>
      <c r="K162" s="396" t="s">
        <v>1711</v>
      </c>
      <c r="M162" s="396"/>
      <c r="P162" s="396"/>
    </row>
    <row r="163" spans="3:16" hidden="1">
      <c r="C163" s="327">
        <f t="shared" si="3"/>
        <v>3158</v>
      </c>
      <c r="D163" s="327">
        <f t="shared" si="4"/>
        <v>5</v>
      </c>
      <c r="E163" s="327">
        <f t="shared" si="5"/>
        <v>2017</v>
      </c>
      <c r="F163" s="327"/>
      <c r="G163" s="647">
        <v>4</v>
      </c>
      <c r="H163" s="648" t="s">
        <v>2041</v>
      </c>
      <c r="I163" s="402" t="s">
        <v>2008</v>
      </c>
      <c r="J163" s="403" t="str">
        <f>IF(ISBLANK(E42),"",E42)</f>
        <v/>
      </c>
      <c r="K163" s="396" t="s">
        <v>353</v>
      </c>
      <c r="L163" s="396"/>
      <c r="M163" s="396"/>
      <c r="N163" s="396"/>
    </row>
    <row r="164" spans="3:16" hidden="1">
      <c r="C164" s="327">
        <f t="shared" si="3"/>
        <v>3158</v>
      </c>
      <c r="D164" s="327">
        <f t="shared" si="4"/>
        <v>5</v>
      </c>
      <c r="E164" s="327">
        <f t="shared" si="5"/>
        <v>2017</v>
      </c>
      <c r="F164" s="327"/>
      <c r="G164" s="647">
        <v>22</v>
      </c>
      <c r="H164" s="648" t="s">
        <v>2041</v>
      </c>
      <c r="I164" s="402" t="s">
        <v>2026</v>
      </c>
      <c r="J164" s="403" t="str">
        <f>IF(ISBLANK(C43),"",C43)</f>
        <v/>
      </c>
      <c r="K164" s="396" t="s">
        <v>1688</v>
      </c>
      <c r="L164" s="396"/>
      <c r="M164" s="396"/>
      <c r="N164" s="396"/>
      <c r="P164" s="396"/>
    </row>
    <row r="165" spans="3:16" hidden="1">
      <c r="C165" s="327">
        <f t="shared" si="3"/>
        <v>3158</v>
      </c>
      <c r="D165" s="327">
        <f t="shared" si="4"/>
        <v>5</v>
      </c>
      <c r="E165" s="327">
        <f t="shared" si="5"/>
        <v>2017</v>
      </c>
      <c r="F165" s="327"/>
      <c r="G165" s="647">
        <v>22</v>
      </c>
      <c r="H165" s="648" t="s">
        <v>2041</v>
      </c>
      <c r="I165" s="402" t="s">
        <v>2027</v>
      </c>
      <c r="J165" s="403" t="str">
        <f>IF(ISBLANK(D43),"",D43)</f>
        <v/>
      </c>
      <c r="K165" s="396" t="s">
        <v>1712</v>
      </c>
      <c r="M165" s="396"/>
      <c r="P165" s="396"/>
    </row>
    <row r="166" spans="3:16" hidden="1">
      <c r="C166" s="327">
        <f t="shared" si="3"/>
        <v>3158</v>
      </c>
      <c r="D166" s="327">
        <f t="shared" si="4"/>
        <v>5</v>
      </c>
      <c r="E166" s="327">
        <f t="shared" si="5"/>
        <v>2017</v>
      </c>
      <c r="F166" s="327"/>
      <c r="G166" s="647">
        <v>22</v>
      </c>
      <c r="H166" s="648" t="s">
        <v>2041</v>
      </c>
      <c r="I166" s="402" t="s">
        <v>2008</v>
      </c>
      <c r="J166" s="403" t="str">
        <f>IF(ISBLANK(E43),"",E43)</f>
        <v/>
      </c>
      <c r="K166" s="396" t="s">
        <v>354</v>
      </c>
      <c r="L166" s="396"/>
      <c r="M166" s="396"/>
      <c r="N166" s="396"/>
    </row>
    <row r="167" spans="3:16" hidden="1">
      <c r="C167" s="327">
        <f t="shared" si="3"/>
        <v>3158</v>
      </c>
      <c r="D167" s="327">
        <f t="shared" si="4"/>
        <v>5</v>
      </c>
      <c r="E167" s="327">
        <f t="shared" si="5"/>
        <v>2017</v>
      </c>
      <c r="F167" s="327"/>
      <c r="G167" s="647">
        <v>23</v>
      </c>
      <c r="H167" s="648" t="s">
        <v>2041</v>
      </c>
      <c r="I167" s="402" t="s">
        <v>2026</v>
      </c>
      <c r="J167" s="403" t="str">
        <f>IF(ISBLANK(C44),"",C44)</f>
        <v/>
      </c>
      <c r="K167" s="396" t="s">
        <v>801</v>
      </c>
      <c r="L167" s="396"/>
      <c r="M167" s="396"/>
      <c r="N167" s="396"/>
      <c r="P167" s="396"/>
    </row>
    <row r="168" spans="3:16" hidden="1">
      <c r="C168" s="327">
        <f t="shared" si="3"/>
        <v>3158</v>
      </c>
      <c r="D168" s="327">
        <f t="shared" si="4"/>
        <v>5</v>
      </c>
      <c r="E168" s="327">
        <f t="shared" si="5"/>
        <v>2017</v>
      </c>
      <c r="F168" s="327"/>
      <c r="G168" s="647">
        <v>23</v>
      </c>
      <c r="H168" s="648" t="s">
        <v>2041</v>
      </c>
      <c r="I168" s="402" t="s">
        <v>2027</v>
      </c>
      <c r="J168" s="403" t="str">
        <f>IF(ISBLANK(D44),"",D44)</f>
        <v/>
      </c>
      <c r="K168" s="396" t="s">
        <v>804</v>
      </c>
      <c r="M168" s="396"/>
      <c r="P168" s="396"/>
    </row>
    <row r="169" spans="3:16" hidden="1">
      <c r="C169" s="327">
        <f t="shared" si="3"/>
        <v>3158</v>
      </c>
      <c r="D169" s="327">
        <f t="shared" si="4"/>
        <v>5</v>
      </c>
      <c r="E169" s="327">
        <f t="shared" si="5"/>
        <v>2017</v>
      </c>
      <c r="F169" s="327"/>
      <c r="G169" s="647">
        <v>23</v>
      </c>
      <c r="H169" s="648" t="s">
        <v>2041</v>
      </c>
      <c r="I169" s="402" t="s">
        <v>2008</v>
      </c>
      <c r="J169" s="403" t="str">
        <f>IF(ISBLANK(E44),"",E44)</f>
        <v/>
      </c>
      <c r="K169" s="396" t="s">
        <v>807</v>
      </c>
      <c r="L169" s="396"/>
      <c r="M169" s="396"/>
      <c r="N169" s="396"/>
    </row>
    <row r="170" spans="3:16" hidden="1">
      <c r="C170" s="327">
        <f t="shared" si="3"/>
        <v>3158</v>
      </c>
      <c r="D170" s="327">
        <f t="shared" si="4"/>
        <v>5</v>
      </c>
      <c r="E170" s="327">
        <f t="shared" si="5"/>
        <v>2017</v>
      </c>
      <c r="F170" s="327"/>
      <c r="G170" s="647">
        <v>9</v>
      </c>
      <c r="H170" s="648" t="s">
        <v>2041</v>
      </c>
      <c r="I170" s="402" t="s">
        <v>2026</v>
      </c>
      <c r="J170" s="403" t="str">
        <f>IF(ISBLANK(C45),"",C45)</f>
        <v/>
      </c>
      <c r="K170" s="396" t="s">
        <v>802</v>
      </c>
      <c r="L170" s="396"/>
      <c r="M170" s="396"/>
      <c r="N170" s="396"/>
      <c r="P170" s="396"/>
    </row>
    <row r="171" spans="3:16" hidden="1">
      <c r="C171" s="327">
        <f t="shared" si="3"/>
        <v>3158</v>
      </c>
      <c r="D171" s="327">
        <f t="shared" si="4"/>
        <v>5</v>
      </c>
      <c r="E171" s="327">
        <f t="shared" si="5"/>
        <v>2017</v>
      </c>
      <c r="F171" s="327"/>
      <c r="G171" s="647">
        <v>9</v>
      </c>
      <c r="H171" s="648" t="s">
        <v>2041</v>
      </c>
      <c r="I171" s="402" t="s">
        <v>2027</v>
      </c>
      <c r="J171" s="403" t="str">
        <f>IF(ISBLANK(D45),"",D45)</f>
        <v/>
      </c>
      <c r="K171" s="396" t="s">
        <v>805</v>
      </c>
      <c r="M171" s="396"/>
      <c r="P171" s="396"/>
    </row>
    <row r="172" spans="3:16" hidden="1">
      <c r="C172" s="327">
        <f t="shared" si="3"/>
        <v>3158</v>
      </c>
      <c r="D172" s="327">
        <f t="shared" si="4"/>
        <v>5</v>
      </c>
      <c r="E172" s="327">
        <f t="shared" si="5"/>
        <v>2017</v>
      </c>
      <c r="F172" s="327"/>
      <c r="G172" s="647">
        <v>9</v>
      </c>
      <c r="H172" s="648" t="s">
        <v>2041</v>
      </c>
      <c r="I172" s="402" t="s">
        <v>2008</v>
      </c>
      <c r="J172" s="403" t="str">
        <f>IF(ISBLANK(E45),"",E45)</f>
        <v/>
      </c>
      <c r="K172" s="396" t="s">
        <v>808</v>
      </c>
      <c r="L172" s="396"/>
      <c r="M172" s="396"/>
      <c r="N172" s="396"/>
    </row>
    <row r="173" spans="3:16" hidden="1">
      <c r="C173" s="327">
        <f t="shared" si="3"/>
        <v>3158</v>
      </c>
      <c r="D173" s="327">
        <f t="shared" si="4"/>
        <v>5</v>
      </c>
      <c r="E173" s="327">
        <f t="shared" si="5"/>
        <v>2017</v>
      </c>
      <c r="F173" s="327"/>
      <c r="G173" s="647">
        <v>1</v>
      </c>
      <c r="H173" s="648" t="s">
        <v>2041</v>
      </c>
      <c r="I173" s="402" t="s">
        <v>2026</v>
      </c>
      <c r="J173" s="403" t="str">
        <f>IF(ISBLANK(C46),"",C46)</f>
        <v/>
      </c>
      <c r="K173" s="396" t="s">
        <v>803</v>
      </c>
      <c r="L173" s="396"/>
      <c r="M173" s="396"/>
      <c r="N173" s="396"/>
      <c r="P173" s="396"/>
    </row>
    <row r="174" spans="3:16" hidden="1">
      <c r="C174" s="327">
        <f t="shared" si="3"/>
        <v>3158</v>
      </c>
      <c r="D174" s="327">
        <f t="shared" si="4"/>
        <v>5</v>
      </c>
      <c r="E174" s="327">
        <f t="shared" si="5"/>
        <v>2017</v>
      </c>
      <c r="F174" s="327"/>
      <c r="G174" s="647">
        <v>1</v>
      </c>
      <c r="H174" s="648" t="s">
        <v>2041</v>
      </c>
      <c r="I174" s="402" t="s">
        <v>2027</v>
      </c>
      <c r="J174" s="403" t="str">
        <f>IF(ISBLANK(D46),"",D46)</f>
        <v/>
      </c>
      <c r="K174" s="396" t="s">
        <v>806</v>
      </c>
      <c r="M174" s="396"/>
      <c r="P174" s="396"/>
    </row>
    <row r="175" spans="3:16" hidden="1">
      <c r="C175" s="327">
        <f t="shared" si="3"/>
        <v>3158</v>
      </c>
      <c r="D175" s="327">
        <f t="shared" si="4"/>
        <v>5</v>
      </c>
      <c r="E175" s="327">
        <f t="shared" si="5"/>
        <v>2017</v>
      </c>
      <c r="F175" s="327"/>
      <c r="G175" s="647">
        <v>1</v>
      </c>
      <c r="H175" s="648" t="s">
        <v>2041</v>
      </c>
      <c r="I175" s="402" t="s">
        <v>2008</v>
      </c>
      <c r="J175" s="403" t="str">
        <f>IF(ISBLANK(E46),"",E46)</f>
        <v/>
      </c>
      <c r="K175" s="396" t="s">
        <v>809</v>
      </c>
      <c r="L175" s="395"/>
      <c r="M175" s="396"/>
      <c r="N175" s="395"/>
    </row>
    <row r="176" spans="3:16" hidden="1">
      <c r="C176" s="327">
        <f t="shared" si="3"/>
        <v>3158</v>
      </c>
      <c r="D176" s="327">
        <f t="shared" si="4"/>
        <v>5</v>
      </c>
      <c r="E176" s="327">
        <f t="shared" si="5"/>
        <v>2017</v>
      </c>
      <c r="F176" s="327"/>
      <c r="G176" s="155"/>
      <c r="H176" s="648" t="s">
        <v>2028</v>
      </c>
      <c r="I176" s="402" t="s">
        <v>2042</v>
      </c>
      <c r="J176" s="403" t="str">
        <f>IF(ISBLANK(E48),"",E48)</f>
        <v/>
      </c>
      <c r="K176" s="396" t="s">
        <v>2020</v>
      </c>
      <c r="L176" s="394"/>
      <c r="M176" s="392"/>
      <c r="N176" s="394"/>
    </row>
    <row r="177" spans="3:14" hidden="1">
      <c r="C177" s="327">
        <f t="shared" si="3"/>
        <v>3158</v>
      </c>
      <c r="D177" s="327">
        <f t="shared" si="4"/>
        <v>5</v>
      </c>
      <c r="E177" s="327">
        <f t="shared" si="5"/>
        <v>2017</v>
      </c>
      <c r="F177" s="327"/>
      <c r="G177" s="155"/>
      <c r="H177" s="648" t="s">
        <v>2028</v>
      </c>
      <c r="I177" s="402" t="s">
        <v>2043</v>
      </c>
      <c r="J177" s="403" t="str">
        <f>IF(ISBLANK(E49),"",E49)</f>
        <v/>
      </c>
      <c r="K177" s="396" t="s">
        <v>2021</v>
      </c>
      <c r="L177" s="394"/>
      <c r="M177" s="392"/>
      <c r="N177" s="394"/>
    </row>
    <row r="178" spans="3:14" hidden="1">
      <c r="C178" s="327">
        <f t="shared" si="3"/>
        <v>3158</v>
      </c>
      <c r="D178" s="327">
        <f t="shared" si="4"/>
        <v>5</v>
      </c>
      <c r="E178" s="327">
        <f t="shared" si="5"/>
        <v>2017</v>
      </c>
      <c r="F178" s="327"/>
      <c r="G178" s="155"/>
      <c r="H178" s="648" t="s">
        <v>2028</v>
      </c>
      <c r="I178" s="402" t="s">
        <v>2044</v>
      </c>
      <c r="J178" s="403">
        <f>IF(ISBLANK(E51),"",E51)</f>
        <v>0</v>
      </c>
      <c r="K178" s="376" t="s">
        <v>2022</v>
      </c>
      <c r="L178" s="394"/>
      <c r="M178" s="376"/>
      <c r="N178" s="394"/>
    </row>
    <row r="179" spans="3:14" hidden="1">
      <c r="C179" s="327">
        <f t="shared" si="3"/>
        <v>3158</v>
      </c>
      <c r="D179" s="327">
        <f t="shared" si="4"/>
        <v>5</v>
      </c>
      <c r="E179" s="327">
        <f t="shared" si="5"/>
        <v>2017</v>
      </c>
      <c r="F179" s="327"/>
      <c r="G179" s="155"/>
      <c r="H179" s="648" t="s">
        <v>2028</v>
      </c>
      <c r="I179" s="402" t="s">
        <v>2045</v>
      </c>
      <c r="J179" s="403">
        <f>IF(ISBLANK(E52),"",E52)</f>
        <v>0</v>
      </c>
      <c r="K179" s="376" t="s">
        <v>2023</v>
      </c>
      <c r="L179" s="394"/>
      <c r="M179" s="376"/>
      <c r="N179" s="394"/>
    </row>
    <row r="180" spans="3:14">
      <c r="C180" s="393"/>
      <c r="D180" s="393"/>
      <c r="E180" s="393"/>
      <c r="F180" s="391"/>
      <c r="G180" s="649"/>
      <c r="H180" s="649"/>
      <c r="I180" s="391"/>
      <c r="J180" s="327"/>
      <c r="K180" s="327"/>
      <c r="L180" s="397"/>
      <c r="M180" s="398"/>
      <c r="N180" s="394"/>
    </row>
    <row r="181" spans="3:14">
      <c r="C181" s="393"/>
      <c r="D181" s="393"/>
      <c r="E181" s="393"/>
      <c r="F181" s="391"/>
      <c r="G181" s="649"/>
      <c r="H181" s="649"/>
      <c r="I181" s="391"/>
      <c r="J181" s="327"/>
      <c r="K181" s="327"/>
      <c r="L181" s="397"/>
      <c r="M181" s="398"/>
      <c r="N181" s="394"/>
    </row>
    <row r="182" spans="3:14">
      <c r="C182" s="393"/>
      <c r="D182" s="393"/>
      <c r="E182" s="393"/>
      <c r="F182" s="391"/>
      <c r="G182" s="649"/>
      <c r="H182" s="649"/>
      <c r="I182" s="391"/>
      <c r="J182" s="327"/>
      <c r="K182" s="327"/>
      <c r="L182" s="397"/>
      <c r="M182" s="398"/>
      <c r="N182" s="394"/>
    </row>
    <row r="183" spans="3:14">
      <c r="C183" s="393"/>
      <c r="D183" s="393"/>
      <c r="E183" s="393"/>
      <c r="F183" s="391"/>
      <c r="G183" s="649"/>
      <c r="H183" s="649"/>
      <c r="I183" s="391"/>
      <c r="J183" s="327"/>
      <c r="K183" s="327"/>
      <c r="L183" s="397"/>
      <c r="M183" s="398"/>
      <c r="N183" s="394"/>
    </row>
    <row r="184" spans="3:14">
      <c r="C184" s="393"/>
      <c r="D184" s="393"/>
      <c r="E184" s="393"/>
      <c r="F184" s="391"/>
      <c r="G184" s="649"/>
      <c r="H184" s="649"/>
      <c r="I184" s="391"/>
      <c r="J184" s="327"/>
      <c r="K184" s="327"/>
      <c r="L184" s="397"/>
      <c r="M184" s="398"/>
      <c r="N184" s="394"/>
    </row>
    <row r="185" spans="3:14">
      <c r="C185" s="393"/>
      <c r="D185" s="393"/>
      <c r="E185" s="393"/>
      <c r="F185" s="391"/>
      <c r="G185" s="649"/>
      <c r="H185" s="649"/>
      <c r="I185" s="391"/>
      <c r="J185" s="327"/>
      <c r="K185" s="327"/>
      <c r="L185" s="397"/>
      <c r="M185" s="398"/>
      <c r="N185" s="394"/>
    </row>
    <row r="186" spans="3:14">
      <c r="C186" s="393"/>
      <c r="D186" s="393"/>
      <c r="E186" s="393"/>
      <c r="F186" s="391"/>
      <c r="G186" s="649"/>
      <c r="H186" s="649"/>
      <c r="I186" s="391"/>
      <c r="J186" s="327"/>
      <c r="K186" s="327"/>
      <c r="L186" s="397"/>
      <c r="M186" s="398"/>
      <c r="N186" s="394"/>
    </row>
    <row r="187" spans="3:14">
      <c r="C187" s="393"/>
      <c r="D187" s="393"/>
      <c r="E187" s="393"/>
      <c r="F187" s="391"/>
      <c r="G187" s="649"/>
      <c r="H187" s="649"/>
      <c r="I187" s="391"/>
      <c r="J187" s="327"/>
      <c r="K187" s="327"/>
      <c r="L187" s="397"/>
      <c r="M187" s="398"/>
      <c r="N187" s="394"/>
    </row>
    <row r="188" spans="3:14">
      <c r="C188" s="393"/>
      <c r="D188" s="393"/>
      <c r="E188" s="393"/>
      <c r="F188" s="391"/>
      <c r="G188" s="649"/>
      <c r="H188" s="649"/>
      <c r="I188" s="391"/>
      <c r="J188" s="327"/>
      <c r="K188" s="327"/>
      <c r="L188" s="397"/>
      <c r="M188" s="398"/>
      <c r="N188" s="394"/>
    </row>
    <row r="189" spans="3:14">
      <c r="C189" s="393"/>
      <c r="D189" s="393"/>
      <c r="E189" s="393"/>
      <c r="F189" s="391"/>
      <c r="G189" s="649"/>
      <c r="H189" s="649"/>
      <c r="I189" s="391"/>
      <c r="J189" s="327"/>
      <c r="K189" s="327"/>
      <c r="L189" s="397"/>
      <c r="M189" s="398"/>
      <c r="N189" s="394"/>
    </row>
    <row r="190" spans="3:14">
      <c r="C190" s="393"/>
      <c r="D190" s="393"/>
      <c r="E190" s="393"/>
      <c r="F190" s="391"/>
      <c r="G190" s="649"/>
      <c r="H190" s="649"/>
      <c r="I190" s="391"/>
      <c r="J190" s="327"/>
      <c r="K190" s="327"/>
      <c r="L190" s="397"/>
      <c r="M190" s="398"/>
      <c r="N190" s="394"/>
    </row>
    <row r="191" spans="3:14">
      <c r="C191" s="393"/>
      <c r="D191" s="393"/>
      <c r="E191" s="393"/>
      <c r="F191" s="391"/>
      <c r="G191" s="649"/>
      <c r="H191" s="649"/>
      <c r="I191" s="391"/>
      <c r="J191" s="327"/>
      <c r="K191" s="327"/>
      <c r="L191" s="397"/>
      <c r="M191" s="398"/>
      <c r="N191" s="394"/>
    </row>
    <row r="192" spans="3:14">
      <c r="C192" s="393"/>
      <c r="D192" s="393"/>
      <c r="E192" s="393"/>
      <c r="F192" s="391"/>
      <c r="G192" s="649"/>
      <c r="H192" s="649"/>
      <c r="I192" s="391"/>
      <c r="J192" s="327"/>
      <c r="K192" s="327"/>
      <c r="L192" s="397"/>
      <c r="M192" s="398"/>
      <c r="N192" s="394"/>
    </row>
    <row r="193" spans="3:14">
      <c r="C193" s="393"/>
      <c r="D193" s="393"/>
      <c r="E193" s="393"/>
      <c r="F193" s="391"/>
      <c r="G193" s="649"/>
      <c r="H193" s="649"/>
      <c r="I193" s="391"/>
      <c r="J193" s="327"/>
      <c r="K193" s="327"/>
      <c r="L193" s="397"/>
      <c r="M193" s="398"/>
      <c r="N193" s="394"/>
    </row>
    <row r="194" spans="3:14">
      <c r="C194" s="393"/>
      <c r="D194" s="393"/>
      <c r="E194" s="393"/>
      <c r="F194" s="391"/>
      <c r="G194" s="649"/>
      <c r="H194" s="649"/>
      <c r="I194" s="391"/>
      <c r="J194" s="327"/>
      <c r="K194" s="327"/>
      <c r="L194" s="397"/>
      <c r="M194" s="398"/>
      <c r="N194" s="394"/>
    </row>
    <row r="195" spans="3:14">
      <c r="C195" s="393"/>
      <c r="D195" s="393"/>
      <c r="E195" s="393"/>
      <c r="F195" s="391"/>
      <c r="G195" s="649"/>
      <c r="H195" s="649"/>
      <c r="I195" s="391"/>
      <c r="J195" s="327"/>
      <c r="K195" s="327"/>
      <c r="L195" s="397"/>
      <c r="M195" s="398"/>
      <c r="N195" s="394"/>
    </row>
    <row r="196" spans="3:14">
      <c r="C196" s="393"/>
      <c r="D196" s="393"/>
      <c r="E196" s="393"/>
      <c r="F196" s="391"/>
      <c r="G196" s="649"/>
      <c r="H196" s="649"/>
      <c r="I196" s="391"/>
      <c r="J196" s="327"/>
      <c r="K196" s="327"/>
      <c r="L196" s="397"/>
      <c r="M196" s="398"/>
      <c r="N196" s="394"/>
    </row>
    <row r="197" spans="3:14">
      <c r="C197" s="393"/>
      <c r="D197" s="393"/>
      <c r="E197" s="393"/>
      <c r="F197" s="391"/>
      <c r="G197" s="649"/>
      <c r="H197" s="649"/>
      <c r="I197" s="391"/>
      <c r="J197" s="327"/>
      <c r="K197" s="327"/>
      <c r="L197" s="397"/>
      <c r="M197" s="398"/>
      <c r="N197" s="394"/>
    </row>
    <row r="198" spans="3:14">
      <c r="C198" s="393"/>
      <c r="D198" s="393"/>
      <c r="E198" s="393"/>
      <c r="F198" s="391"/>
      <c r="G198" s="649"/>
      <c r="H198" s="649"/>
      <c r="I198" s="391"/>
      <c r="J198" s="327"/>
      <c r="K198" s="327"/>
      <c r="L198" s="397"/>
      <c r="M198" s="398"/>
      <c r="N198" s="394"/>
    </row>
    <row r="199" spans="3:14">
      <c r="C199" s="393"/>
      <c r="D199" s="393"/>
      <c r="E199" s="393"/>
      <c r="F199" s="391"/>
      <c r="G199" s="649"/>
      <c r="H199" s="649"/>
      <c r="I199" s="391"/>
      <c r="J199" s="327"/>
      <c r="K199" s="327"/>
      <c r="L199" s="397"/>
      <c r="M199" s="398"/>
      <c r="N199" s="394"/>
    </row>
    <row r="200" spans="3:14">
      <c r="C200" s="393"/>
      <c r="D200" s="393"/>
      <c r="E200" s="393"/>
      <c r="F200" s="391"/>
      <c r="G200" s="649"/>
      <c r="H200" s="649"/>
      <c r="I200" s="391"/>
      <c r="J200" s="327"/>
      <c r="K200" s="327"/>
      <c r="L200" s="397"/>
      <c r="M200" s="398"/>
      <c r="N200" s="394"/>
    </row>
    <row r="201" spans="3:14">
      <c r="C201" s="393"/>
      <c r="D201" s="393"/>
      <c r="E201" s="393"/>
      <c r="F201" s="391"/>
      <c r="G201" s="649"/>
      <c r="H201" s="649"/>
      <c r="I201" s="391"/>
      <c r="J201" s="327"/>
      <c r="K201" s="327"/>
      <c r="L201" s="397"/>
      <c r="M201" s="398"/>
      <c r="N201" s="394"/>
    </row>
    <row r="202" spans="3:14">
      <c r="C202" s="393"/>
      <c r="D202" s="393"/>
      <c r="E202" s="393"/>
      <c r="F202" s="391"/>
      <c r="G202" s="649"/>
      <c r="H202" s="649"/>
      <c r="I202" s="391"/>
      <c r="J202" s="327"/>
      <c r="K202" s="327"/>
      <c r="L202" s="397"/>
      <c r="M202" s="398"/>
      <c r="N202" s="394"/>
    </row>
    <row r="203" spans="3:14">
      <c r="C203" s="393"/>
      <c r="D203" s="393"/>
      <c r="E203" s="393"/>
      <c r="F203" s="391"/>
      <c r="G203" s="649"/>
      <c r="H203" s="649"/>
      <c r="I203" s="391"/>
      <c r="J203" s="327"/>
      <c r="K203" s="327"/>
      <c r="L203" s="397"/>
      <c r="M203" s="398"/>
      <c r="N203" s="394"/>
    </row>
    <row r="204" spans="3:14">
      <c r="C204" s="393"/>
      <c r="D204" s="393"/>
      <c r="E204" s="393"/>
      <c r="F204" s="391"/>
      <c r="G204" s="649"/>
      <c r="H204" s="649"/>
      <c r="I204" s="391"/>
      <c r="J204" s="327"/>
      <c r="K204" s="327"/>
      <c r="L204" s="397"/>
      <c r="M204" s="398"/>
      <c r="N204" s="394"/>
    </row>
    <row r="205" spans="3:14" ht="12" customHeight="1">
      <c r="C205" s="393"/>
      <c r="D205" s="393"/>
      <c r="E205" s="393"/>
      <c r="F205" s="391"/>
      <c r="G205" s="649"/>
      <c r="H205" s="649"/>
      <c r="I205" s="391"/>
      <c r="J205" s="327"/>
      <c r="K205" s="327"/>
      <c r="L205" s="397"/>
      <c r="M205" s="398"/>
      <c r="N205" s="394"/>
    </row>
    <row r="206" spans="3:14">
      <c r="C206" s="393"/>
      <c r="D206" s="393"/>
      <c r="E206" s="393"/>
      <c r="F206" s="391"/>
      <c r="G206" s="649"/>
      <c r="H206" s="649"/>
      <c r="I206" s="391"/>
      <c r="J206" s="327"/>
      <c r="K206" s="327"/>
      <c r="L206" s="397"/>
      <c r="M206" s="398"/>
      <c r="N206" s="394"/>
    </row>
    <row r="207" spans="3:14" ht="12.75" customHeight="1">
      <c r="C207" s="393"/>
      <c r="D207" s="393"/>
      <c r="E207" s="393"/>
      <c r="F207" s="391"/>
      <c r="G207" s="649"/>
      <c r="H207" s="649"/>
      <c r="I207" s="391"/>
      <c r="J207" s="327"/>
      <c r="K207" s="327"/>
      <c r="L207" s="397"/>
      <c r="M207" s="398"/>
      <c r="N207" s="394"/>
    </row>
    <row r="208" spans="3:14">
      <c r="C208" s="393"/>
      <c r="D208" s="393"/>
      <c r="E208" s="393"/>
      <c r="F208" s="391"/>
      <c r="G208" s="649"/>
      <c r="H208" s="649"/>
      <c r="I208" s="391"/>
      <c r="J208" s="327"/>
      <c r="K208" s="327"/>
      <c r="L208" s="397"/>
      <c r="M208" s="398"/>
      <c r="N208" s="394"/>
    </row>
    <row r="209" spans="3:14">
      <c r="C209" s="393"/>
      <c r="D209" s="393"/>
      <c r="E209" s="393"/>
      <c r="F209" s="391"/>
      <c r="G209" s="649"/>
      <c r="H209" s="649"/>
      <c r="I209" s="391"/>
      <c r="J209" s="327"/>
      <c r="K209" s="327"/>
      <c r="L209" s="397"/>
      <c r="M209" s="398"/>
      <c r="N209" s="394"/>
    </row>
    <row r="210" spans="3:14">
      <c r="C210" s="393"/>
      <c r="D210" s="393"/>
      <c r="E210" s="393"/>
      <c r="F210" s="391"/>
      <c r="G210" s="649"/>
      <c r="H210" s="649"/>
      <c r="I210" s="391"/>
      <c r="J210" s="327"/>
      <c r="K210" s="327"/>
      <c r="L210" s="397"/>
      <c r="M210" s="398"/>
      <c r="N210" s="394"/>
    </row>
    <row r="211" spans="3:14">
      <c r="C211" s="393"/>
      <c r="D211" s="393"/>
      <c r="E211" s="393"/>
      <c r="F211" s="391"/>
      <c r="G211" s="649"/>
      <c r="H211" s="649"/>
      <c r="I211" s="391"/>
      <c r="J211" s="327"/>
      <c r="K211" s="327"/>
      <c r="L211" s="397"/>
      <c r="M211" s="398"/>
      <c r="N211" s="394"/>
    </row>
    <row r="212" spans="3:14">
      <c r="C212" s="393"/>
      <c r="D212" s="393"/>
      <c r="E212" s="393"/>
      <c r="F212" s="391"/>
      <c r="G212" s="649"/>
      <c r="H212" s="649"/>
      <c r="I212" s="391"/>
      <c r="J212" s="327"/>
      <c r="K212" s="327"/>
      <c r="L212" s="397"/>
      <c r="M212" s="398"/>
      <c r="N212" s="394"/>
    </row>
    <row r="213" spans="3:14">
      <c r="C213" s="393"/>
      <c r="D213" s="393"/>
      <c r="E213" s="393"/>
      <c r="F213" s="391"/>
      <c r="G213" s="649"/>
      <c r="H213" s="649"/>
      <c r="I213" s="391"/>
      <c r="J213" s="327"/>
      <c r="K213" s="327"/>
      <c r="L213" s="397"/>
      <c r="M213" s="398"/>
      <c r="N213" s="394"/>
    </row>
    <row r="214" spans="3:14">
      <c r="C214" s="393"/>
      <c r="D214" s="393"/>
      <c r="E214" s="393"/>
      <c r="F214" s="391"/>
      <c r="G214" s="649"/>
      <c r="H214" s="649"/>
      <c r="I214" s="391"/>
      <c r="J214" s="327"/>
      <c r="K214" s="327"/>
      <c r="L214" s="397"/>
      <c r="M214" s="398"/>
      <c r="N214" s="394"/>
    </row>
    <row r="215" spans="3:14">
      <c r="C215" s="393"/>
      <c r="D215" s="393"/>
      <c r="E215" s="393"/>
      <c r="F215" s="391"/>
      <c r="G215" s="649"/>
      <c r="H215" s="649"/>
      <c r="I215" s="391"/>
      <c r="J215" s="327"/>
      <c r="K215" s="327"/>
      <c r="L215" s="397"/>
      <c r="M215" s="398"/>
      <c r="N215" s="394"/>
    </row>
    <row r="216" spans="3:14">
      <c r="C216" s="393"/>
      <c r="D216" s="393"/>
      <c r="E216" s="393"/>
      <c r="F216" s="391"/>
      <c r="G216" s="649"/>
      <c r="H216" s="649"/>
      <c r="I216" s="391"/>
      <c r="J216" s="327"/>
      <c r="K216" s="327"/>
      <c r="L216" s="397"/>
      <c r="M216" s="398"/>
      <c r="N216" s="394"/>
    </row>
    <row r="217" spans="3:14">
      <c r="C217" s="393"/>
      <c r="D217" s="393"/>
      <c r="E217" s="393"/>
      <c r="F217" s="391"/>
      <c r="G217" s="649"/>
      <c r="H217" s="649"/>
      <c r="I217" s="391"/>
      <c r="J217" s="327"/>
      <c r="K217" s="327"/>
      <c r="L217" s="397"/>
      <c r="M217" s="398"/>
      <c r="N217" s="394"/>
    </row>
    <row r="218" spans="3:14">
      <c r="C218" s="393"/>
      <c r="D218" s="393"/>
      <c r="E218" s="393"/>
      <c r="F218" s="391"/>
      <c r="G218" s="649"/>
      <c r="H218" s="649"/>
      <c r="I218" s="391"/>
      <c r="J218" s="327"/>
      <c r="K218" s="327"/>
      <c r="L218" s="397"/>
      <c r="M218" s="398"/>
      <c r="N218" s="394"/>
    </row>
    <row r="219" spans="3:14">
      <c r="C219" s="393"/>
      <c r="D219" s="393"/>
      <c r="E219" s="393"/>
      <c r="F219" s="391"/>
      <c r="G219" s="649"/>
      <c r="H219" s="649"/>
      <c r="I219" s="391"/>
      <c r="J219" s="327"/>
      <c r="K219" s="327"/>
      <c r="L219" s="397"/>
      <c r="M219" s="398"/>
      <c r="N219" s="394"/>
    </row>
    <row r="220" spans="3:14">
      <c r="C220" s="393"/>
      <c r="D220" s="393"/>
      <c r="E220" s="393"/>
      <c r="F220" s="391"/>
      <c r="G220" s="649"/>
      <c r="H220" s="649"/>
      <c r="I220" s="391"/>
      <c r="J220" s="327"/>
      <c r="K220" s="327"/>
      <c r="L220" s="397"/>
      <c r="M220" s="398"/>
      <c r="N220" s="394"/>
    </row>
    <row r="221" spans="3:14">
      <c r="C221" s="393"/>
      <c r="D221" s="393"/>
      <c r="E221" s="393"/>
      <c r="F221" s="391"/>
      <c r="G221" s="649"/>
      <c r="H221" s="649"/>
      <c r="I221" s="391"/>
      <c r="J221" s="327"/>
      <c r="K221" s="327"/>
      <c r="L221" s="397"/>
      <c r="M221" s="398"/>
      <c r="N221" s="394"/>
    </row>
    <row r="222" spans="3:14">
      <c r="C222" s="393"/>
      <c r="D222" s="393"/>
      <c r="E222" s="393"/>
      <c r="F222" s="391"/>
      <c r="G222" s="649"/>
      <c r="H222" s="649"/>
      <c r="I222" s="391"/>
      <c r="J222" s="327"/>
      <c r="K222" s="327"/>
      <c r="L222" s="397"/>
      <c r="M222" s="398"/>
      <c r="N222" s="394"/>
    </row>
    <row r="223" spans="3:14">
      <c r="C223" s="393"/>
      <c r="D223" s="393"/>
      <c r="E223" s="393"/>
      <c r="F223" s="391"/>
      <c r="G223" s="649"/>
      <c r="H223" s="649"/>
      <c r="I223" s="391"/>
      <c r="J223" s="327"/>
      <c r="K223" s="327"/>
      <c r="L223" s="397"/>
      <c r="M223" s="398"/>
      <c r="N223" s="394"/>
    </row>
    <row r="224" spans="3:14">
      <c r="C224" s="393"/>
      <c r="D224" s="393"/>
      <c r="E224" s="393"/>
      <c r="F224" s="391"/>
      <c r="G224" s="649"/>
      <c r="H224" s="649"/>
      <c r="I224" s="391"/>
      <c r="J224" s="327"/>
      <c r="K224" s="327"/>
      <c r="L224" s="397"/>
      <c r="M224" s="398"/>
      <c r="N224" s="394"/>
    </row>
    <row r="225" spans="3:14">
      <c r="C225" s="393"/>
      <c r="D225" s="393"/>
      <c r="E225" s="393"/>
      <c r="F225" s="391"/>
      <c r="G225" s="649"/>
      <c r="H225" s="649"/>
      <c r="I225" s="391"/>
      <c r="J225" s="327"/>
      <c r="K225" s="327"/>
      <c r="L225" s="397"/>
      <c r="M225" s="398"/>
      <c r="N225" s="394"/>
    </row>
    <row r="226" spans="3:14">
      <c r="C226" s="393"/>
      <c r="D226" s="393"/>
      <c r="E226" s="393"/>
      <c r="F226" s="391"/>
      <c r="G226" s="649"/>
      <c r="H226" s="649"/>
      <c r="I226" s="391"/>
      <c r="J226" s="327"/>
      <c r="K226" s="327"/>
      <c r="L226" s="397"/>
      <c r="M226" s="398"/>
      <c r="N226" s="394"/>
    </row>
    <row r="227" spans="3:14">
      <c r="C227" s="393"/>
      <c r="D227" s="393"/>
      <c r="E227" s="393"/>
      <c r="F227" s="391"/>
      <c r="G227" s="649"/>
      <c r="H227" s="649"/>
      <c r="I227" s="391"/>
      <c r="J227" s="327"/>
      <c r="K227" s="327"/>
      <c r="L227" s="397"/>
      <c r="M227" s="398"/>
      <c r="N227" s="394"/>
    </row>
    <row r="228" spans="3:14">
      <c r="C228" s="393"/>
      <c r="D228" s="393"/>
      <c r="E228" s="393"/>
      <c r="F228" s="391"/>
      <c r="G228" s="649"/>
      <c r="H228" s="649"/>
      <c r="I228" s="391"/>
      <c r="J228" s="327"/>
      <c r="K228" s="327"/>
      <c r="L228" s="397"/>
      <c r="M228" s="398"/>
      <c r="N228" s="394"/>
    </row>
    <row r="229" spans="3:14">
      <c r="C229" s="393"/>
      <c r="D229" s="393"/>
      <c r="E229" s="393"/>
      <c r="F229" s="391"/>
      <c r="G229" s="649"/>
      <c r="H229" s="649"/>
      <c r="I229" s="391"/>
      <c r="J229" s="327"/>
      <c r="K229" s="327"/>
      <c r="L229" s="397"/>
      <c r="M229" s="398"/>
      <c r="N229" s="394"/>
    </row>
    <row r="230" spans="3:14">
      <c r="C230" s="393"/>
      <c r="D230" s="393"/>
      <c r="E230" s="393"/>
      <c r="F230" s="391"/>
      <c r="G230" s="649"/>
      <c r="H230" s="649"/>
      <c r="I230" s="391"/>
      <c r="J230" s="327"/>
      <c r="K230" s="327"/>
      <c r="L230" s="397"/>
      <c r="M230" s="398"/>
      <c r="N230" s="394"/>
    </row>
    <row r="231" spans="3:14">
      <c r="C231" s="393"/>
      <c r="D231" s="393"/>
      <c r="E231" s="393"/>
      <c r="F231" s="391"/>
      <c r="G231" s="649"/>
      <c r="H231" s="649"/>
      <c r="I231" s="391"/>
      <c r="J231" s="327"/>
      <c r="K231" s="327"/>
      <c r="L231" s="397"/>
      <c r="M231" s="398"/>
      <c r="N231" s="394"/>
    </row>
    <row r="232" spans="3:14">
      <c r="C232" s="393"/>
      <c r="D232" s="393"/>
      <c r="E232" s="393"/>
      <c r="F232" s="391"/>
      <c r="G232" s="649"/>
      <c r="H232" s="649"/>
      <c r="I232" s="391"/>
      <c r="J232" s="327"/>
      <c r="K232" s="327"/>
      <c r="L232" s="397"/>
      <c r="M232" s="398"/>
      <c r="N232" s="394"/>
    </row>
    <row r="233" spans="3:14">
      <c r="C233" s="393"/>
      <c r="D233" s="393"/>
      <c r="E233" s="393"/>
      <c r="F233" s="391"/>
      <c r="G233" s="649"/>
      <c r="H233" s="649"/>
      <c r="I233" s="391"/>
      <c r="J233" s="327"/>
      <c r="K233" s="327"/>
      <c r="L233" s="397"/>
      <c r="M233" s="398"/>
      <c r="N233" s="394"/>
    </row>
    <row r="234" spans="3:14">
      <c r="C234" s="393"/>
      <c r="D234" s="393"/>
      <c r="E234" s="393"/>
      <c r="F234" s="391"/>
      <c r="G234" s="649"/>
      <c r="H234" s="649"/>
      <c r="I234" s="391"/>
      <c r="J234" s="327"/>
      <c r="K234" s="327"/>
      <c r="L234" s="397"/>
      <c r="M234" s="398"/>
      <c r="N234" s="394"/>
    </row>
    <row r="235" spans="3:14">
      <c r="C235" s="393"/>
      <c r="D235" s="393"/>
      <c r="E235" s="393"/>
      <c r="F235" s="391"/>
      <c r="G235" s="649"/>
      <c r="H235" s="649"/>
      <c r="I235" s="391"/>
      <c r="J235" s="327"/>
      <c r="K235" s="327"/>
      <c r="L235" s="397"/>
      <c r="M235" s="398"/>
      <c r="N235" s="394"/>
    </row>
    <row r="236" spans="3:14">
      <c r="C236" s="393"/>
      <c r="D236" s="393"/>
      <c r="E236" s="393"/>
      <c r="F236" s="391"/>
      <c r="G236" s="649"/>
      <c r="H236" s="649"/>
      <c r="I236" s="391"/>
      <c r="J236" s="327"/>
      <c r="K236" s="327"/>
      <c r="L236" s="397"/>
      <c r="M236" s="398"/>
      <c r="N236" s="394"/>
    </row>
    <row r="237" spans="3:14">
      <c r="C237" s="393"/>
      <c r="D237" s="393"/>
      <c r="E237" s="393"/>
      <c r="F237" s="391"/>
      <c r="G237" s="649"/>
      <c r="H237" s="649"/>
      <c r="I237" s="391"/>
      <c r="J237" s="327"/>
      <c r="K237" s="327"/>
      <c r="L237" s="397"/>
      <c r="M237" s="398"/>
      <c r="N237" s="394"/>
    </row>
    <row r="238" spans="3:14">
      <c r="C238" s="393"/>
      <c r="D238" s="393"/>
      <c r="E238" s="393"/>
      <c r="F238" s="391"/>
      <c r="G238" s="649"/>
      <c r="H238" s="649"/>
      <c r="I238" s="391"/>
      <c r="J238" s="327"/>
      <c r="K238" s="327"/>
      <c r="L238" s="397"/>
      <c r="M238" s="398"/>
      <c r="N238" s="394"/>
    </row>
    <row r="239" spans="3:14">
      <c r="C239" s="393"/>
      <c r="D239" s="393"/>
      <c r="E239" s="393"/>
      <c r="F239" s="391"/>
      <c r="G239" s="649"/>
      <c r="H239" s="649"/>
      <c r="I239" s="391"/>
      <c r="J239" s="327"/>
      <c r="K239" s="327"/>
      <c r="L239" s="397"/>
      <c r="M239" s="398"/>
      <c r="N239" s="394"/>
    </row>
    <row r="240" spans="3:14">
      <c r="C240" s="393"/>
      <c r="D240" s="393"/>
      <c r="E240" s="393"/>
      <c r="F240" s="391"/>
      <c r="G240" s="649"/>
      <c r="H240" s="649"/>
      <c r="I240" s="391"/>
      <c r="J240" s="327"/>
      <c r="K240" s="327"/>
      <c r="L240" s="397"/>
      <c r="M240" s="398"/>
      <c r="N240" s="394"/>
    </row>
    <row r="241" spans="3:14">
      <c r="C241" s="393"/>
      <c r="D241" s="393"/>
      <c r="E241" s="393"/>
      <c r="F241" s="391"/>
      <c r="G241" s="649"/>
      <c r="H241" s="649"/>
      <c r="I241" s="391"/>
      <c r="J241" s="327"/>
      <c r="K241" s="327"/>
      <c r="L241" s="397"/>
      <c r="M241" s="398"/>
      <c r="N241" s="394"/>
    </row>
    <row r="242" spans="3:14">
      <c r="C242" s="393"/>
      <c r="D242" s="393"/>
      <c r="E242" s="393"/>
      <c r="F242" s="391"/>
      <c r="G242" s="649"/>
      <c r="H242" s="649"/>
      <c r="I242" s="391"/>
      <c r="J242" s="327"/>
      <c r="K242" s="327"/>
      <c r="L242" s="397"/>
      <c r="M242" s="398"/>
      <c r="N242" s="394"/>
    </row>
    <row r="243" spans="3:14">
      <c r="C243" s="393"/>
      <c r="D243" s="393"/>
      <c r="E243" s="393"/>
      <c r="F243" s="391"/>
      <c r="G243" s="649"/>
      <c r="H243" s="649"/>
      <c r="I243" s="391"/>
      <c r="J243" s="327"/>
      <c r="K243" s="327"/>
      <c r="L243" s="397"/>
      <c r="M243" s="398"/>
      <c r="N243" s="394"/>
    </row>
    <row r="244" spans="3:14">
      <c r="C244" s="393"/>
      <c r="D244" s="393"/>
      <c r="E244" s="393"/>
      <c r="F244" s="391"/>
      <c r="G244" s="649"/>
      <c r="H244" s="649"/>
      <c r="I244" s="391"/>
      <c r="J244" s="327"/>
      <c r="K244" s="327"/>
      <c r="L244" s="397"/>
      <c r="M244" s="398"/>
      <c r="N244" s="394"/>
    </row>
    <row r="245" spans="3:14">
      <c r="C245" s="393"/>
      <c r="D245" s="393"/>
      <c r="E245" s="393"/>
      <c r="F245" s="391"/>
      <c r="G245" s="649"/>
      <c r="H245" s="649"/>
      <c r="I245" s="391"/>
      <c r="J245" s="327"/>
      <c r="K245" s="327"/>
      <c r="L245" s="397"/>
      <c r="M245" s="398"/>
      <c r="N245" s="394"/>
    </row>
    <row r="246" spans="3:14">
      <c r="C246" s="393"/>
      <c r="D246" s="393"/>
      <c r="E246" s="393"/>
      <c r="F246" s="391"/>
      <c r="G246" s="649"/>
      <c r="H246" s="649"/>
      <c r="I246" s="391"/>
      <c r="J246" s="327"/>
      <c r="K246" s="327"/>
      <c r="L246" s="397"/>
      <c r="M246" s="398"/>
      <c r="N246" s="399"/>
    </row>
    <row r="247" spans="3:14">
      <c r="C247" s="393"/>
      <c r="D247" s="393"/>
      <c r="E247" s="393"/>
      <c r="F247" s="391"/>
      <c r="G247" s="649"/>
      <c r="H247" s="649"/>
      <c r="I247" s="391"/>
      <c r="J247" s="327"/>
      <c r="K247" s="327"/>
      <c r="L247" s="397"/>
      <c r="M247" s="398"/>
      <c r="N247" s="399"/>
    </row>
    <row r="248" spans="3:14">
      <c r="C248" s="393"/>
      <c r="D248" s="393"/>
      <c r="E248" s="393"/>
      <c r="F248" s="391"/>
      <c r="G248" s="649"/>
      <c r="H248" s="649"/>
      <c r="I248" s="391"/>
      <c r="J248" s="327"/>
      <c r="K248" s="327"/>
      <c r="L248" s="397"/>
      <c r="M248" s="398"/>
      <c r="N248" s="394"/>
    </row>
    <row r="249" spans="3:14">
      <c r="C249" s="393"/>
      <c r="D249" s="393"/>
      <c r="E249" s="393"/>
      <c r="F249" s="391"/>
      <c r="G249" s="649"/>
      <c r="H249" s="649"/>
      <c r="I249" s="391"/>
      <c r="J249" s="327"/>
      <c r="K249" s="327"/>
      <c r="L249" s="397"/>
      <c r="M249" s="398"/>
      <c r="N249" s="394"/>
    </row>
    <row r="250" spans="3:14">
      <c r="C250" s="393"/>
      <c r="D250" s="393"/>
      <c r="E250" s="393"/>
      <c r="F250" s="391"/>
      <c r="G250" s="649"/>
      <c r="H250" s="649"/>
      <c r="I250" s="391"/>
      <c r="J250" s="327"/>
      <c r="K250" s="327"/>
      <c r="L250" s="397"/>
      <c r="M250" s="398"/>
      <c r="N250" s="394"/>
    </row>
    <row r="251" spans="3:14">
      <c r="C251" s="393"/>
      <c r="D251" s="393"/>
      <c r="E251" s="393"/>
      <c r="F251" s="391"/>
      <c r="G251" s="649"/>
      <c r="H251" s="649"/>
      <c r="I251" s="391"/>
      <c r="J251" s="327"/>
      <c r="K251" s="327"/>
      <c r="L251" s="397"/>
      <c r="M251" s="398"/>
      <c r="N251" s="394"/>
    </row>
    <row r="252" spans="3:14">
      <c r="C252" s="393"/>
      <c r="D252" s="393"/>
      <c r="E252" s="393"/>
      <c r="F252" s="391"/>
      <c r="G252" s="649"/>
      <c r="H252" s="649"/>
      <c r="I252" s="391"/>
      <c r="J252" s="327"/>
      <c r="K252" s="327"/>
      <c r="L252" s="397"/>
      <c r="M252" s="398"/>
      <c r="N252" s="394"/>
    </row>
    <row r="253" spans="3:14">
      <c r="C253" s="393"/>
      <c r="D253" s="393"/>
      <c r="E253" s="393"/>
      <c r="F253" s="391"/>
      <c r="G253" s="649"/>
      <c r="H253" s="649"/>
      <c r="I253" s="391"/>
      <c r="J253" s="327"/>
      <c r="K253" s="327"/>
      <c r="L253" s="397"/>
      <c r="M253" s="398"/>
      <c r="N253" s="394"/>
    </row>
    <row r="254" spans="3:14">
      <c r="C254" s="393"/>
      <c r="D254" s="393"/>
      <c r="E254" s="393"/>
      <c r="F254" s="391"/>
      <c r="G254" s="649"/>
      <c r="H254" s="649"/>
      <c r="I254" s="391"/>
      <c r="J254" s="327"/>
      <c r="K254" s="327"/>
      <c r="L254" s="397"/>
      <c r="M254" s="398"/>
      <c r="N254" s="394"/>
    </row>
    <row r="255" spans="3:14">
      <c r="C255" s="393"/>
      <c r="D255" s="393"/>
      <c r="E255" s="393"/>
      <c r="F255" s="391"/>
      <c r="G255" s="649"/>
      <c r="H255" s="649"/>
      <c r="I255" s="391"/>
      <c r="J255" s="327"/>
      <c r="K255" s="327"/>
      <c r="L255" s="397"/>
      <c r="M255" s="398"/>
      <c r="N255" s="394"/>
    </row>
    <row r="256" spans="3:14">
      <c r="C256" s="393"/>
      <c r="D256" s="393"/>
      <c r="E256" s="393"/>
      <c r="F256" s="391"/>
      <c r="G256" s="649"/>
      <c r="H256" s="649"/>
      <c r="I256" s="391"/>
      <c r="J256" s="327"/>
      <c r="K256" s="327"/>
      <c r="L256" s="397"/>
      <c r="M256" s="398"/>
      <c r="N256" s="394"/>
    </row>
    <row r="257" spans="3:14">
      <c r="C257" s="393"/>
      <c r="D257" s="393"/>
      <c r="E257" s="393"/>
      <c r="F257" s="391"/>
      <c r="G257" s="649"/>
      <c r="H257" s="649"/>
      <c r="I257" s="391"/>
      <c r="J257" s="327"/>
      <c r="K257" s="327"/>
      <c r="L257" s="397"/>
      <c r="M257" s="398"/>
      <c r="N257" s="394"/>
    </row>
    <row r="258" spans="3:14">
      <c r="C258" s="393"/>
      <c r="D258" s="393"/>
      <c r="E258" s="393"/>
      <c r="F258" s="391"/>
      <c r="G258" s="649"/>
      <c r="H258" s="649"/>
      <c r="I258" s="391"/>
      <c r="J258" s="327"/>
      <c r="K258" s="327"/>
      <c r="L258" s="397"/>
      <c r="M258" s="398"/>
      <c r="N258" s="394"/>
    </row>
    <row r="259" spans="3:14">
      <c r="C259" s="393"/>
      <c r="D259" s="393"/>
      <c r="E259" s="393"/>
      <c r="F259" s="391"/>
      <c r="G259" s="649"/>
      <c r="H259" s="649"/>
      <c r="I259" s="391"/>
      <c r="J259" s="327"/>
      <c r="K259" s="327"/>
      <c r="L259" s="397"/>
      <c r="M259" s="398"/>
      <c r="N259" s="394"/>
    </row>
    <row r="260" spans="3:14">
      <c r="C260" s="393"/>
      <c r="D260" s="393"/>
      <c r="E260" s="393"/>
      <c r="F260" s="391"/>
      <c r="G260" s="649"/>
      <c r="H260" s="649"/>
      <c r="I260" s="391"/>
      <c r="J260" s="327"/>
      <c r="K260" s="327"/>
      <c r="L260" s="397"/>
      <c r="M260" s="398"/>
      <c r="N260" s="394"/>
    </row>
    <row r="261" spans="3:14">
      <c r="C261" s="393"/>
      <c r="D261" s="393"/>
      <c r="E261" s="393"/>
      <c r="F261" s="391"/>
      <c r="G261" s="649"/>
      <c r="H261" s="649"/>
      <c r="I261" s="391"/>
      <c r="J261" s="327"/>
      <c r="K261" s="327"/>
      <c r="L261" s="397"/>
      <c r="M261" s="398"/>
      <c r="N261" s="394"/>
    </row>
    <row r="262" spans="3:14">
      <c r="C262" s="393"/>
      <c r="D262" s="393"/>
      <c r="E262" s="393"/>
      <c r="F262" s="391"/>
      <c r="G262" s="649"/>
      <c r="H262" s="649"/>
      <c r="I262" s="391"/>
      <c r="J262" s="327"/>
      <c r="K262" s="327"/>
      <c r="L262" s="397"/>
      <c r="M262" s="398"/>
      <c r="N262" s="394"/>
    </row>
    <row r="263" spans="3:14">
      <c r="C263" s="393"/>
      <c r="D263" s="393"/>
      <c r="E263" s="393"/>
      <c r="F263" s="391"/>
      <c r="G263" s="649"/>
      <c r="H263" s="649"/>
      <c r="I263" s="391"/>
      <c r="J263" s="327"/>
      <c r="K263" s="327"/>
      <c r="L263" s="397"/>
      <c r="M263" s="398"/>
      <c r="N263" s="394"/>
    </row>
    <row r="264" spans="3:14">
      <c r="C264" s="393"/>
      <c r="D264" s="393"/>
      <c r="E264" s="393"/>
      <c r="F264" s="391"/>
      <c r="G264" s="649"/>
      <c r="H264" s="649"/>
      <c r="I264" s="391"/>
      <c r="J264" s="327"/>
      <c r="K264" s="327"/>
      <c r="L264" s="397"/>
      <c r="M264" s="398"/>
      <c r="N264" s="394"/>
    </row>
    <row r="265" spans="3:14">
      <c r="C265" s="393"/>
      <c r="D265" s="393"/>
      <c r="E265" s="393"/>
      <c r="F265" s="391"/>
      <c r="G265" s="649"/>
      <c r="H265" s="649"/>
      <c r="I265" s="391"/>
      <c r="J265" s="327"/>
      <c r="K265" s="327"/>
      <c r="L265" s="397"/>
      <c r="M265" s="398"/>
      <c r="N265" s="394"/>
    </row>
    <row r="266" spans="3:14">
      <c r="C266" s="393"/>
      <c r="D266" s="393"/>
      <c r="E266" s="393"/>
      <c r="F266" s="391"/>
      <c r="G266" s="649"/>
      <c r="H266" s="649"/>
      <c r="I266" s="391"/>
      <c r="J266" s="327"/>
      <c r="K266" s="327"/>
      <c r="L266" s="397"/>
      <c r="M266" s="398"/>
      <c r="N266" s="394"/>
    </row>
    <row r="267" spans="3:14">
      <c r="C267" s="393"/>
      <c r="D267" s="393"/>
      <c r="E267" s="393"/>
      <c r="F267" s="391"/>
      <c r="G267" s="649"/>
      <c r="H267" s="649"/>
      <c r="I267" s="391"/>
      <c r="J267" s="327"/>
      <c r="K267" s="327"/>
      <c r="L267" s="397"/>
      <c r="M267" s="398"/>
      <c r="N267" s="394"/>
    </row>
    <row r="268" spans="3:14">
      <c r="C268" s="393"/>
      <c r="D268" s="393"/>
      <c r="E268" s="393"/>
      <c r="F268" s="391"/>
      <c r="G268" s="649"/>
      <c r="H268" s="649"/>
      <c r="I268" s="391"/>
      <c r="J268" s="327"/>
      <c r="K268" s="327"/>
      <c r="L268" s="397"/>
      <c r="M268" s="398"/>
      <c r="N268" s="394"/>
    </row>
    <row r="269" spans="3:14">
      <c r="C269" s="393"/>
      <c r="D269" s="393"/>
      <c r="E269" s="393"/>
      <c r="F269" s="391"/>
      <c r="G269" s="649"/>
      <c r="H269" s="649"/>
      <c r="I269" s="391"/>
      <c r="J269" s="327"/>
      <c r="K269" s="327"/>
      <c r="L269" s="397"/>
      <c r="M269" s="398"/>
      <c r="N269" s="394"/>
    </row>
    <row r="270" spans="3:14">
      <c r="C270" s="393"/>
      <c r="D270" s="393"/>
      <c r="E270" s="393"/>
      <c r="F270" s="391"/>
      <c r="G270" s="649"/>
      <c r="H270" s="649"/>
      <c r="I270" s="391"/>
      <c r="J270" s="327"/>
      <c r="K270" s="327"/>
      <c r="L270" s="397"/>
      <c r="M270" s="398"/>
      <c r="N270" s="394"/>
    </row>
    <row r="271" spans="3:14">
      <c r="C271" s="393"/>
      <c r="D271" s="393"/>
      <c r="E271" s="393"/>
      <c r="F271" s="391"/>
      <c r="G271" s="649"/>
      <c r="H271" s="649"/>
      <c r="I271" s="391"/>
      <c r="J271" s="327"/>
      <c r="K271" s="327"/>
      <c r="L271" s="397"/>
      <c r="M271" s="398"/>
      <c r="N271" s="394"/>
    </row>
    <row r="272" spans="3:14">
      <c r="C272" s="393"/>
      <c r="D272" s="393"/>
      <c r="E272" s="393"/>
      <c r="F272" s="391"/>
      <c r="G272" s="649"/>
      <c r="H272" s="649"/>
      <c r="I272" s="391"/>
      <c r="J272" s="327"/>
      <c r="K272" s="327"/>
      <c r="L272" s="397"/>
      <c r="M272" s="398"/>
      <c r="N272" s="394"/>
    </row>
    <row r="273" spans="3:14">
      <c r="C273" s="393"/>
      <c r="D273" s="393"/>
      <c r="E273" s="393"/>
      <c r="F273" s="391"/>
      <c r="G273" s="649"/>
      <c r="H273" s="649"/>
      <c r="I273" s="391"/>
      <c r="J273" s="327"/>
      <c r="K273" s="327"/>
      <c r="L273" s="397"/>
      <c r="M273" s="398"/>
      <c r="N273" s="394"/>
    </row>
    <row r="274" spans="3:14">
      <c r="C274" s="393"/>
      <c r="D274" s="393"/>
      <c r="E274" s="393"/>
      <c r="F274" s="391"/>
      <c r="G274" s="649"/>
      <c r="H274" s="649"/>
      <c r="I274" s="391"/>
      <c r="J274" s="327"/>
      <c r="K274" s="327"/>
      <c r="L274" s="397"/>
      <c r="M274" s="398"/>
      <c r="N274" s="394"/>
    </row>
    <row r="275" spans="3:14">
      <c r="C275" s="393"/>
      <c r="D275" s="393"/>
      <c r="E275" s="393"/>
      <c r="F275" s="391"/>
      <c r="G275" s="649"/>
      <c r="H275" s="649"/>
      <c r="I275" s="391"/>
      <c r="J275" s="327"/>
      <c r="K275" s="327"/>
      <c r="L275" s="397"/>
      <c r="M275" s="398"/>
      <c r="N275" s="394"/>
    </row>
    <row r="276" spans="3:14">
      <c r="C276" s="393"/>
      <c r="D276" s="393"/>
      <c r="E276" s="393"/>
      <c r="F276" s="391"/>
      <c r="G276" s="649"/>
      <c r="H276" s="649"/>
      <c r="I276" s="391"/>
      <c r="J276" s="327"/>
      <c r="K276" s="327"/>
      <c r="L276" s="397"/>
      <c r="M276" s="398"/>
      <c r="N276" s="394"/>
    </row>
    <row r="277" spans="3:14">
      <c r="C277" s="393"/>
      <c r="D277" s="393"/>
      <c r="E277" s="393"/>
      <c r="F277" s="391"/>
      <c r="G277" s="649"/>
      <c r="H277" s="649"/>
      <c r="I277" s="391"/>
      <c r="J277" s="327"/>
      <c r="K277" s="327"/>
      <c r="L277" s="397"/>
      <c r="M277" s="398"/>
      <c r="N277" s="394"/>
    </row>
    <row r="278" spans="3:14">
      <c r="C278" s="393"/>
      <c r="D278" s="393"/>
      <c r="E278" s="393"/>
      <c r="F278" s="391"/>
      <c r="G278" s="649"/>
      <c r="H278" s="649"/>
      <c r="I278" s="391"/>
      <c r="J278" s="327"/>
      <c r="K278" s="327"/>
      <c r="L278" s="397"/>
      <c r="M278" s="398"/>
      <c r="N278" s="394"/>
    </row>
    <row r="279" spans="3:14">
      <c r="C279" s="393"/>
      <c r="D279" s="393"/>
      <c r="E279" s="393"/>
      <c r="F279" s="391"/>
      <c r="G279" s="649"/>
      <c r="H279" s="649"/>
      <c r="I279" s="391"/>
      <c r="J279" s="327"/>
      <c r="K279" s="327"/>
      <c r="L279" s="397"/>
      <c r="M279" s="398"/>
      <c r="N279" s="394"/>
    </row>
    <row r="280" spans="3:14">
      <c r="C280" s="393"/>
      <c r="D280" s="393"/>
      <c r="E280" s="393"/>
      <c r="F280" s="391"/>
      <c r="G280" s="649"/>
      <c r="H280" s="649"/>
      <c r="I280" s="391"/>
      <c r="J280" s="327"/>
      <c r="K280" s="327"/>
      <c r="L280" s="397"/>
      <c r="M280" s="398"/>
      <c r="N280" s="394"/>
    </row>
    <row r="281" spans="3:14">
      <c r="C281" s="393"/>
      <c r="D281" s="393"/>
      <c r="E281" s="393"/>
      <c r="F281" s="391"/>
      <c r="G281" s="649"/>
      <c r="H281" s="649"/>
      <c r="I281" s="391"/>
      <c r="J281" s="327"/>
      <c r="K281" s="327"/>
      <c r="L281" s="397"/>
      <c r="M281" s="398"/>
      <c r="N281" s="394"/>
    </row>
    <row r="282" spans="3:14">
      <c r="C282" s="393"/>
      <c r="D282" s="393"/>
      <c r="E282" s="393"/>
      <c r="F282" s="391"/>
      <c r="G282" s="649"/>
      <c r="H282" s="649"/>
      <c r="I282" s="391"/>
      <c r="J282" s="327"/>
      <c r="K282" s="327"/>
      <c r="L282" s="397"/>
      <c r="M282" s="398"/>
      <c r="N282" s="394"/>
    </row>
    <row r="283" spans="3:14">
      <c r="C283" s="393"/>
      <c r="D283" s="393"/>
      <c r="E283" s="393"/>
      <c r="F283" s="391"/>
      <c r="G283" s="649"/>
      <c r="H283" s="649"/>
      <c r="I283" s="391"/>
      <c r="J283" s="327"/>
      <c r="K283" s="327"/>
      <c r="L283" s="397"/>
      <c r="M283" s="398"/>
      <c r="N283" s="394"/>
    </row>
    <row r="284" spans="3:14">
      <c r="C284" s="393"/>
      <c r="D284" s="393"/>
      <c r="E284" s="393"/>
      <c r="F284" s="391"/>
      <c r="G284" s="649"/>
      <c r="H284" s="649"/>
      <c r="I284" s="391"/>
      <c r="J284" s="327"/>
      <c r="K284" s="327"/>
      <c r="L284" s="397"/>
      <c r="M284" s="398"/>
      <c r="N284" s="394"/>
    </row>
    <row r="285" spans="3:14">
      <c r="C285" s="393"/>
      <c r="D285" s="393"/>
      <c r="E285" s="393"/>
      <c r="F285" s="391"/>
      <c r="G285" s="649"/>
      <c r="H285" s="649"/>
      <c r="I285" s="391"/>
      <c r="J285" s="327"/>
      <c r="K285" s="327"/>
      <c r="L285" s="397"/>
      <c r="M285" s="398"/>
      <c r="N285" s="394"/>
    </row>
    <row r="286" spans="3:14">
      <c r="C286" s="393"/>
      <c r="D286" s="393"/>
      <c r="E286" s="393"/>
      <c r="F286" s="391"/>
      <c r="G286" s="649"/>
      <c r="H286" s="649"/>
      <c r="I286" s="391"/>
      <c r="J286" s="327"/>
      <c r="K286" s="327"/>
      <c r="L286" s="397"/>
      <c r="M286" s="398"/>
      <c r="N286" s="394"/>
    </row>
    <row r="287" spans="3:14">
      <c r="C287" s="393"/>
      <c r="D287" s="393"/>
      <c r="E287" s="393"/>
      <c r="F287" s="391"/>
      <c r="G287" s="649"/>
      <c r="H287" s="649"/>
      <c r="I287" s="391"/>
      <c r="J287" s="327"/>
      <c r="K287" s="327"/>
      <c r="L287" s="397"/>
      <c r="M287" s="398"/>
      <c r="N287" s="394"/>
    </row>
    <row r="288" spans="3:14">
      <c r="C288" s="393"/>
      <c r="D288" s="393"/>
      <c r="E288" s="393"/>
      <c r="F288" s="391"/>
      <c r="G288" s="649"/>
      <c r="H288" s="649"/>
      <c r="I288" s="391"/>
      <c r="J288" s="327"/>
      <c r="K288" s="327"/>
      <c r="L288" s="397"/>
      <c r="M288" s="398"/>
      <c r="N288" s="394"/>
    </row>
    <row r="289" spans="3:14">
      <c r="C289" s="393"/>
      <c r="D289" s="393"/>
      <c r="E289" s="393"/>
      <c r="F289" s="391"/>
      <c r="G289" s="649"/>
      <c r="H289" s="649"/>
      <c r="I289" s="391"/>
      <c r="J289" s="327"/>
      <c r="K289" s="327"/>
      <c r="L289" s="397"/>
      <c r="M289" s="398"/>
      <c r="N289" s="394"/>
    </row>
    <row r="290" spans="3:14">
      <c r="C290" s="393"/>
      <c r="D290" s="393"/>
      <c r="E290" s="393"/>
      <c r="F290" s="391"/>
      <c r="G290" s="649"/>
      <c r="H290" s="649"/>
      <c r="I290" s="391"/>
      <c r="J290" s="327"/>
      <c r="K290" s="327"/>
      <c r="L290" s="397"/>
      <c r="M290" s="398"/>
      <c r="N290" s="394"/>
    </row>
    <row r="291" spans="3:14">
      <c r="C291" s="393"/>
      <c r="D291" s="393"/>
      <c r="E291" s="393"/>
      <c r="F291" s="391"/>
      <c r="G291" s="649"/>
      <c r="H291" s="649"/>
      <c r="I291" s="391"/>
      <c r="J291" s="327"/>
      <c r="K291" s="327"/>
      <c r="L291" s="397"/>
      <c r="M291" s="398"/>
      <c r="N291" s="394"/>
    </row>
    <row r="292" spans="3:14">
      <c r="C292" s="393"/>
      <c r="D292" s="393"/>
      <c r="E292" s="393"/>
      <c r="F292" s="391"/>
      <c r="G292" s="649"/>
      <c r="H292" s="649"/>
      <c r="I292" s="391"/>
      <c r="J292" s="327"/>
      <c r="K292" s="327"/>
      <c r="L292" s="397"/>
      <c r="M292" s="398"/>
      <c r="N292" s="394"/>
    </row>
    <row r="293" spans="3:14">
      <c r="C293" s="393"/>
      <c r="D293" s="393"/>
      <c r="E293" s="393"/>
      <c r="F293" s="391"/>
      <c r="G293" s="649"/>
      <c r="H293" s="649"/>
      <c r="I293" s="391"/>
      <c r="J293" s="327"/>
      <c r="K293" s="327"/>
      <c r="L293" s="397"/>
      <c r="M293" s="398"/>
      <c r="N293" s="394"/>
    </row>
    <row r="294" spans="3:14">
      <c r="C294" s="393"/>
      <c r="D294" s="393"/>
      <c r="E294" s="393"/>
      <c r="F294" s="391"/>
      <c r="G294" s="649"/>
      <c r="H294" s="649"/>
      <c r="I294" s="391"/>
      <c r="J294" s="327"/>
      <c r="K294" s="327"/>
      <c r="L294" s="397"/>
      <c r="M294" s="398"/>
      <c r="N294" s="394"/>
    </row>
    <row r="295" spans="3:14">
      <c r="C295" s="393"/>
      <c r="D295" s="393"/>
      <c r="E295" s="393"/>
      <c r="F295" s="391"/>
      <c r="G295" s="649"/>
      <c r="H295" s="649"/>
      <c r="I295" s="391"/>
      <c r="J295" s="327"/>
      <c r="K295" s="327"/>
      <c r="L295" s="397"/>
      <c r="M295" s="398"/>
      <c r="N295" s="394"/>
    </row>
    <row r="296" spans="3:14">
      <c r="C296" s="393"/>
      <c r="D296" s="393"/>
      <c r="E296" s="393"/>
      <c r="F296" s="391"/>
      <c r="G296" s="649"/>
      <c r="H296" s="649"/>
      <c r="I296" s="391"/>
      <c r="J296" s="327"/>
      <c r="K296" s="327"/>
      <c r="L296" s="397"/>
      <c r="M296" s="398"/>
      <c r="N296" s="399"/>
    </row>
    <row r="297" spans="3:14">
      <c r="C297" s="393"/>
      <c r="D297" s="393"/>
      <c r="E297" s="393"/>
      <c r="F297" s="391"/>
      <c r="G297" s="649"/>
      <c r="H297" s="649"/>
      <c r="I297" s="391"/>
      <c r="J297" s="327"/>
      <c r="K297" s="327"/>
      <c r="L297" s="397"/>
      <c r="M297" s="398"/>
      <c r="N297" s="399"/>
    </row>
    <row r="298" spans="3:14">
      <c r="C298" s="393"/>
      <c r="D298" s="393"/>
      <c r="E298" s="393"/>
      <c r="F298" s="391"/>
      <c r="G298" s="649"/>
      <c r="H298" s="649"/>
      <c r="I298" s="391"/>
      <c r="J298" s="327"/>
      <c r="K298" s="327"/>
      <c r="L298" s="397"/>
      <c r="M298" s="398"/>
      <c r="N298" s="399"/>
    </row>
    <row r="299" spans="3:14">
      <c r="C299" s="393"/>
      <c r="D299" s="393"/>
      <c r="E299" s="393"/>
      <c r="F299" s="391"/>
      <c r="G299" s="649"/>
      <c r="H299" s="649"/>
      <c r="I299" s="391"/>
      <c r="J299" s="327"/>
      <c r="K299" s="327"/>
      <c r="L299" s="397"/>
      <c r="M299" s="398"/>
      <c r="N299" s="399"/>
    </row>
    <row r="300" spans="3:14">
      <c r="C300" s="393"/>
      <c r="D300" s="393"/>
      <c r="E300" s="393"/>
      <c r="F300" s="391"/>
      <c r="G300" s="649"/>
      <c r="H300" s="649"/>
      <c r="I300" s="391"/>
      <c r="J300" s="327"/>
      <c r="K300" s="327"/>
      <c r="L300" s="397"/>
      <c r="M300" s="398"/>
      <c r="N300" s="399"/>
    </row>
    <row r="301" spans="3:14">
      <c r="C301" s="393"/>
      <c r="D301" s="393"/>
      <c r="E301" s="393"/>
      <c r="F301" s="391"/>
      <c r="G301" s="649"/>
      <c r="H301" s="649"/>
      <c r="I301" s="391"/>
      <c r="J301" s="327"/>
      <c r="K301" s="327"/>
      <c r="L301" s="397"/>
      <c r="M301" s="398"/>
      <c r="N301" s="399"/>
    </row>
    <row r="302" spans="3:14">
      <c r="C302" s="393"/>
      <c r="D302" s="393"/>
      <c r="E302" s="393"/>
      <c r="F302" s="391"/>
      <c r="G302" s="649"/>
      <c r="H302" s="649"/>
      <c r="I302" s="391"/>
      <c r="J302" s="327"/>
      <c r="K302" s="327"/>
      <c r="L302" s="397"/>
      <c r="M302" s="398"/>
      <c r="N302" s="399"/>
    </row>
    <row r="303" spans="3:14">
      <c r="C303" s="393"/>
      <c r="D303" s="393"/>
      <c r="E303" s="393"/>
      <c r="F303" s="391"/>
      <c r="G303" s="649"/>
      <c r="H303" s="649"/>
      <c r="I303" s="391"/>
      <c r="J303" s="327"/>
      <c r="K303" s="327"/>
      <c r="L303" s="397"/>
      <c r="M303" s="398"/>
      <c r="N303" s="399"/>
    </row>
    <row r="304" spans="3:14">
      <c r="C304" s="393"/>
      <c r="D304" s="393"/>
      <c r="E304" s="393"/>
      <c r="F304" s="391"/>
      <c r="G304" s="649"/>
      <c r="H304" s="649"/>
      <c r="I304" s="391"/>
      <c r="J304" s="327"/>
      <c r="K304" s="327"/>
      <c r="L304" s="397"/>
      <c r="M304" s="398"/>
      <c r="N304" s="400"/>
    </row>
    <row r="305" spans="3:14">
      <c r="C305" s="393"/>
      <c r="D305" s="393"/>
      <c r="E305" s="393"/>
      <c r="F305" s="391"/>
      <c r="G305" s="649"/>
      <c r="H305" s="649"/>
      <c r="I305" s="391"/>
      <c r="J305" s="327"/>
      <c r="K305" s="327"/>
      <c r="L305" s="397"/>
      <c r="M305" s="398"/>
      <c r="N305" s="400"/>
    </row>
    <row r="306" spans="3:14">
      <c r="C306" s="393"/>
      <c r="D306" s="393"/>
      <c r="E306" s="393"/>
      <c r="F306" s="391"/>
      <c r="G306" s="649"/>
      <c r="H306" s="649"/>
      <c r="I306" s="391"/>
      <c r="J306" s="327"/>
      <c r="K306" s="327"/>
      <c r="L306" s="397"/>
      <c r="M306" s="398"/>
      <c r="N306" s="400"/>
    </row>
    <row r="307" spans="3:14">
      <c r="C307" s="393"/>
      <c r="D307" s="393"/>
      <c r="E307" s="393"/>
      <c r="F307" s="391"/>
      <c r="G307" s="649"/>
      <c r="H307" s="649"/>
      <c r="I307" s="391"/>
      <c r="J307" s="327"/>
      <c r="K307" s="327"/>
      <c r="L307" s="397"/>
      <c r="M307" s="398"/>
      <c r="N307" s="400"/>
    </row>
    <row r="308" spans="3:14">
      <c r="C308" s="393"/>
      <c r="D308" s="393"/>
      <c r="E308" s="393"/>
      <c r="F308" s="391"/>
      <c r="G308" s="649"/>
      <c r="H308" s="649"/>
      <c r="I308" s="391"/>
      <c r="J308" s="327"/>
      <c r="K308" s="327"/>
      <c r="L308" s="397"/>
      <c r="M308" s="398"/>
      <c r="N308" s="400"/>
    </row>
    <row r="309" spans="3:14">
      <c r="C309" s="393"/>
      <c r="D309" s="393"/>
      <c r="E309" s="393"/>
      <c r="F309" s="391"/>
      <c r="G309" s="649"/>
      <c r="H309" s="649"/>
      <c r="I309" s="391"/>
      <c r="J309" s="327"/>
      <c r="K309" s="327"/>
      <c r="L309" s="397"/>
      <c r="M309" s="398"/>
      <c r="N309" s="400"/>
    </row>
    <row r="310" spans="3:14">
      <c r="C310" s="393"/>
      <c r="D310" s="393"/>
      <c r="E310" s="393"/>
      <c r="F310" s="391"/>
      <c r="G310" s="649"/>
      <c r="H310" s="649"/>
      <c r="I310" s="391"/>
      <c r="J310" s="327"/>
      <c r="K310" s="327"/>
      <c r="L310" s="397"/>
      <c r="M310" s="398"/>
      <c r="N310" s="400"/>
    </row>
    <row r="311" spans="3:14">
      <c r="C311" s="393"/>
      <c r="D311" s="393"/>
      <c r="E311" s="393"/>
      <c r="F311" s="391"/>
      <c r="G311" s="649"/>
      <c r="H311" s="649"/>
      <c r="I311" s="391"/>
      <c r="J311" s="327"/>
      <c r="K311" s="327"/>
      <c r="L311" s="397"/>
      <c r="M311" s="398"/>
      <c r="N311" s="400"/>
    </row>
    <row r="312" spans="3:14">
      <c r="C312" s="393"/>
      <c r="D312" s="393"/>
      <c r="E312" s="393"/>
      <c r="F312" s="391"/>
      <c r="G312" s="649"/>
      <c r="H312" s="649"/>
      <c r="I312" s="391"/>
      <c r="J312" s="327"/>
      <c r="K312" s="327"/>
      <c r="L312" s="397"/>
      <c r="M312" s="398"/>
      <c r="N312" s="400"/>
    </row>
    <row r="313" spans="3:14">
      <c r="C313" s="393"/>
      <c r="D313" s="393"/>
      <c r="E313" s="393"/>
      <c r="F313" s="391"/>
      <c r="G313" s="649"/>
      <c r="H313" s="649"/>
      <c r="I313" s="391"/>
      <c r="J313" s="327"/>
      <c r="K313" s="327"/>
      <c r="L313" s="397"/>
      <c r="M313" s="398"/>
      <c r="N313" s="400"/>
    </row>
    <row r="314" spans="3:14">
      <c r="C314" s="393"/>
      <c r="D314" s="393"/>
      <c r="E314" s="393"/>
      <c r="F314" s="391"/>
      <c r="G314" s="649"/>
      <c r="H314" s="649"/>
      <c r="I314" s="391"/>
      <c r="J314" s="327"/>
      <c r="K314" s="327"/>
      <c r="L314" s="397"/>
      <c r="M314" s="398"/>
      <c r="N314" s="400"/>
    </row>
    <row r="315" spans="3:14">
      <c r="C315" s="393"/>
      <c r="D315" s="393"/>
      <c r="E315" s="393"/>
      <c r="F315" s="391"/>
      <c r="G315" s="649"/>
      <c r="H315" s="649"/>
      <c r="I315" s="391"/>
      <c r="J315" s="327"/>
      <c r="K315" s="327"/>
      <c r="L315" s="397"/>
      <c r="M315" s="398"/>
      <c r="N315" s="400"/>
    </row>
    <row r="316" spans="3:14">
      <c r="C316" s="393"/>
      <c r="D316" s="393"/>
      <c r="E316" s="393"/>
      <c r="F316" s="391"/>
      <c r="G316" s="649"/>
      <c r="H316" s="649"/>
      <c r="I316" s="391"/>
      <c r="J316" s="327"/>
      <c r="K316" s="327"/>
      <c r="L316" s="397"/>
      <c r="M316" s="398"/>
      <c r="N316" s="400"/>
    </row>
    <row r="317" spans="3:14">
      <c r="C317" s="393"/>
      <c r="D317" s="393"/>
      <c r="E317" s="393"/>
      <c r="F317" s="391"/>
      <c r="G317" s="649"/>
      <c r="H317" s="649"/>
      <c r="I317" s="391"/>
      <c r="J317" s="327"/>
      <c r="K317" s="327"/>
      <c r="L317" s="397"/>
      <c r="M317" s="398"/>
      <c r="N317" s="400"/>
    </row>
    <row r="318" spans="3:14">
      <c r="C318" s="393"/>
      <c r="D318" s="393"/>
      <c r="E318" s="393"/>
      <c r="F318" s="391"/>
      <c r="G318" s="649"/>
      <c r="H318" s="649"/>
      <c r="I318" s="391"/>
      <c r="J318" s="327"/>
      <c r="K318" s="327"/>
      <c r="L318" s="397"/>
      <c r="M318" s="398"/>
      <c r="N318" s="400"/>
    </row>
    <row r="319" spans="3:14">
      <c r="C319" s="393"/>
      <c r="D319" s="393"/>
      <c r="E319" s="393"/>
      <c r="F319" s="391"/>
      <c r="G319" s="649"/>
      <c r="H319" s="649"/>
      <c r="I319" s="391"/>
      <c r="J319" s="327"/>
      <c r="K319" s="327"/>
      <c r="L319" s="397"/>
      <c r="M319" s="398"/>
      <c r="N319" s="400"/>
    </row>
    <row r="320" spans="3:14">
      <c r="C320" s="393"/>
      <c r="D320" s="393"/>
      <c r="E320" s="393"/>
      <c r="F320" s="391"/>
      <c r="G320" s="649"/>
      <c r="H320" s="649"/>
      <c r="I320" s="391"/>
      <c r="J320" s="327"/>
      <c r="K320" s="327"/>
      <c r="L320" s="397"/>
      <c r="M320" s="398"/>
      <c r="N320" s="400"/>
    </row>
    <row r="321" spans="3:14">
      <c r="C321" s="393"/>
      <c r="D321" s="393"/>
      <c r="E321" s="393"/>
      <c r="F321" s="391"/>
      <c r="G321" s="649"/>
      <c r="H321" s="649"/>
      <c r="I321" s="391"/>
      <c r="J321" s="327"/>
      <c r="K321" s="327"/>
      <c r="L321" s="397"/>
      <c r="M321" s="398"/>
      <c r="N321" s="400"/>
    </row>
    <row r="322" spans="3:14">
      <c r="C322" s="393"/>
      <c r="D322" s="393"/>
      <c r="E322" s="393"/>
      <c r="F322" s="391"/>
      <c r="G322" s="649"/>
      <c r="H322" s="649"/>
      <c r="I322" s="391"/>
      <c r="J322" s="327"/>
      <c r="K322" s="327"/>
      <c r="L322" s="397"/>
      <c r="M322" s="398"/>
      <c r="N322" s="400"/>
    </row>
    <row r="323" spans="3:14">
      <c r="C323" s="393"/>
      <c r="D323" s="393"/>
      <c r="E323" s="393"/>
      <c r="F323" s="391"/>
      <c r="G323" s="649"/>
      <c r="H323" s="649"/>
      <c r="I323" s="391"/>
      <c r="J323" s="327"/>
      <c r="K323" s="327"/>
      <c r="L323" s="397"/>
      <c r="M323" s="398"/>
      <c r="N323" s="400"/>
    </row>
    <row r="324" spans="3:14">
      <c r="C324" s="393"/>
      <c r="D324" s="393"/>
      <c r="E324" s="393"/>
      <c r="F324" s="391"/>
      <c r="G324" s="649"/>
      <c r="H324" s="649"/>
      <c r="I324" s="391"/>
      <c r="J324" s="327"/>
      <c r="K324" s="327"/>
      <c r="L324" s="397"/>
      <c r="M324" s="398"/>
      <c r="N324" s="400"/>
    </row>
    <row r="325" spans="3:14">
      <c r="C325" s="393"/>
      <c r="D325" s="393"/>
      <c r="E325" s="393"/>
      <c r="F325" s="391"/>
      <c r="G325" s="649"/>
      <c r="H325" s="649"/>
      <c r="I325" s="391"/>
      <c r="J325" s="327"/>
      <c r="K325" s="327"/>
      <c r="L325" s="397"/>
      <c r="M325" s="398"/>
      <c r="N325" s="400"/>
    </row>
    <row r="326" spans="3:14">
      <c r="C326" s="393"/>
      <c r="D326" s="393"/>
      <c r="E326" s="393"/>
      <c r="F326" s="391"/>
      <c r="G326" s="649"/>
      <c r="H326" s="649"/>
      <c r="I326" s="391"/>
      <c r="J326" s="327"/>
      <c r="K326" s="327"/>
      <c r="L326" s="397"/>
      <c r="M326" s="398"/>
      <c r="N326" s="400"/>
    </row>
    <row r="327" spans="3:14">
      <c r="C327" s="393"/>
      <c r="D327" s="393"/>
      <c r="E327" s="393"/>
      <c r="F327" s="391"/>
      <c r="G327" s="649"/>
      <c r="H327" s="649"/>
      <c r="I327" s="391"/>
      <c r="J327" s="327"/>
      <c r="K327" s="327"/>
      <c r="L327" s="397"/>
      <c r="M327" s="398"/>
      <c r="N327" s="400"/>
    </row>
    <row r="328" spans="3:14">
      <c r="C328" s="393"/>
      <c r="D328" s="393"/>
      <c r="E328" s="393"/>
      <c r="F328" s="391"/>
      <c r="G328" s="649"/>
      <c r="H328" s="649"/>
      <c r="I328" s="391"/>
      <c r="J328" s="327"/>
      <c r="K328" s="327"/>
      <c r="L328" s="397"/>
      <c r="M328" s="398"/>
      <c r="N328" s="400"/>
    </row>
    <row r="329" spans="3:14">
      <c r="C329" s="393"/>
      <c r="D329" s="393"/>
      <c r="E329" s="393"/>
      <c r="F329" s="391"/>
      <c r="G329" s="649"/>
      <c r="H329" s="649"/>
      <c r="I329" s="391"/>
      <c r="J329" s="327"/>
      <c r="K329" s="327"/>
      <c r="L329" s="397"/>
      <c r="M329" s="398"/>
      <c r="N329" s="400"/>
    </row>
    <row r="330" spans="3:14">
      <c r="C330" s="393"/>
      <c r="D330" s="393"/>
      <c r="E330" s="393"/>
      <c r="F330" s="391"/>
      <c r="G330" s="649"/>
      <c r="H330" s="649"/>
      <c r="I330" s="391"/>
      <c r="J330" s="327"/>
      <c r="K330" s="327"/>
      <c r="L330" s="397"/>
      <c r="M330" s="398"/>
      <c r="N330" s="400"/>
    </row>
    <row r="331" spans="3:14">
      <c r="C331" s="393"/>
      <c r="D331" s="393"/>
      <c r="E331" s="393"/>
      <c r="F331" s="391"/>
      <c r="G331" s="649"/>
      <c r="H331" s="649"/>
      <c r="I331" s="391"/>
      <c r="J331" s="327"/>
      <c r="K331" s="327"/>
      <c r="L331" s="397"/>
      <c r="M331" s="398"/>
      <c r="N331" s="400"/>
    </row>
    <row r="332" spans="3:14">
      <c r="C332" s="393"/>
      <c r="D332" s="393"/>
      <c r="E332" s="393"/>
      <c r="F332" s="391"/>
      <c r="G332" s="649"/>
      <c r="H332" s="649"/>
      <c r="I332" s="391"/>
      <c r="J332" s="327"/>
      <c r="K332" s="327"/>
      <c r="L332" s="397"/>
      <c r="M332" s="398"/>
      <c r="N332" s="400"/>
    </row>
    <row r="333" spans="3:14">
      <c r="C333" s="393"/>
      <c r="D333" s="393"/>
      <c r="E333" s="393"/>
      <c r="F333" s="391"/>
      <c r="G333" s="649"/>
      <c r="H333" s="649"/>
      <c r="I333" s="391"/>
      <c r="J333" s="327"/>
      <c r="K333" s="327"/>
      <c r="L333" s="397"/>
      <c r="M333" s="398"/>
      <c r="N333" s="400"/>
    </row>
    <row r="334" spans="3:14">
      <c r="C334" s="393"/>
      <c r="D334" s="393"/>
      <c r="E334" s="393"/>
      <c r="F334" s="391"/>
      <c r="G334" s="649"/>
      <c r="H334" s="649"/>
      <c r="I334" s="391"/>
      <c r="J334" s="327"/>
      <c r="K334" s="327"/>
      <c r="L334" s="397"/>
      <c r="M334" s="398"/>
      <c r="N334" s="400"/>
    </row>
    <row r="335" spans="3:14">
      <c r="C335" s="393"/>
      <c r="D335" s="393"/>
      <c r="E335" s="393"/>
      <c r="F335" s="391"/>
      <c r="G335" s="649"/>
      <c r="H335" s="649"/>
      <c r="I335" s="391"/>
      <c r="J335" s="327"/>
      <c r="K335" s="327"/>
      <c r="L335" s="397"/>
      <c r="M335" s="398"/>
      <c r="N335" s="400"/>
    </row>
    <row r="336" spans="3:14">
      <c r="C336" s="393"/>
      <c r="D336" s="393"/>
      <c r="E336" s="393"/>
      <c r="F336" s="391"/>
      <c r="G336" s="649"/>
      <c r="H336" s="649"/>
      <c r="I336" s="391"/>
      <c r="J336" s="327"/>
      <c r="K336" s="327"/>
      <c r="L336" s="397"/>
      <c r="M336" s="398"/>
      <c r="N336" s="400"/>
    </row>
    <row r="337" spans="3:14">
      <c r="C337" s="393"/>
      <c r="D337" s="393"/>
      <c r="E337" s="393"/>
      <c r="F337" s="391"/>
      <c r="G337" s="649"/>
      <c r="H337" s="649"/>
      <c r="I337" s="391"/>
      <c r="J337" s="327"/>
      <c r="K337" s="327"/>
      <c r="L337" s="397"/>
      <c r="M337" s="398"/>
      <c r="N337" s="400"/>
    </row>
    <row r="338" spans="3:14">
      <c r="C338" s="393"/>
      <c r="D338" s="393"/>
      <c r="E338" s="393"/>
      <c r="F338" s="391"/>
      <c r="G338" s="649"/>
      <c r="H338" s="649"/>
      <c r="I338" s="391"/>
      <c r="J338" s="327"/>
      <c r="K338" s="327"/>
      <c r="L338" s="397"/>
      <c r="M338" s="398"/>
      <c r="N338" s="400"/>
    </row>
    <row r="339" spans="3:14">
      <c r="C339" s="393"/>
      <c r="D339" s="393"/>
      <c r="E339" s="393"/>
      <c r="F339" s="391"/>
      <c r="G339" s="649"/>
      <c r="H339" s="649"/>
      <c r="I339" s="391"/>
      <c r="J339" s="327"/>
      <c r="K339" s="327"/>
      <c r="L339" s="397"/>
      <c r="M339" s="398"/>
      <c r="N339" s="400"/>
    </row>
    <row r="340" spans="3:14">
      <c r="C340" s="393"/>
      <c r="D340" s="393"/>
      <c r="E340" s="393"/>
      <c r="F340" s="391"/>
      <c r="G340" s="649"/>
      <c r="H340" s="649"/>
      <c r="I340" s="391"/>
      <c r="J340" s="327"/>
      <c r="K340" s="327"/>
      <c r="L340" s="397"/>
      <c r="M340" s="398"/>
      <c r="N340" s="400"/>
    </row>
    <row r="341" spans="3:14">
      <c r="C341" s="393"/>
      <c r="D341" s="393"/>
      <c r="E341" s="393"/>
      <c r="F341" s="391"/>
      <c r="G341" s="649"/>
      <c r="H341" s="649"/>
      <c r="I341" s="391"/>
      <c r="J341" s="327"/>
      <c r="K341" s="327"/>
      <c r="L341" s="397"/>
      <c r="M341" s="398"/>
      <c r="N341" s="400"/>
    </row>
    <row r="342" spans="3:14" ht="12.75" customHeight="1">
      <c r="C342" s="393"/>
      <c r="D342" s="393"/>
      <c r="E342" s="393"/>
      <c r="F342" s="391"/>
      <c r="G342" s="649"/>
      <c r="H342" s="649"/>
      <c r="I342" s="391"/>
      <c r="J342" s="327"/>
      <c r="K342" s="327"/>
      <c r="L342" s="397"/>
      <c r="M342" s="398"/>
      <c r="N342" s="400"/>
    </row>
    <row r="343" spans="3:14">
      <c r="C343" s="393"/>
      <c r="D343" s="393"/>
      <c r="E343" s="393"/>
      <c r="F343" s="391"/>
      <c r="G343" s="649"/>
      <c r="H343" s="649"/>
      <c r="I343" s="391"/>
      <c r="J343" s="327"/>
      <c r="K343" s="327"/>
      <c r="L343" s="397"/>
      <c r="M343" s="398"/>
      <c r="N343" s="400"/>
    </row>
    <row r="344" spans="3:14">
      <c r="C344" s="393"/>
      <c r="D344" s="393"/>
      <c r="E344" s="393"/>
      <c r="F344" s="391"/>
      <c r="G344" s="649"/>
      <c r="H344" s="649"/>
      <c r="I344" s="391"/>
      <c r="J344" s="327"/>
      <c r="K344" s="327"/>
      <c r="L344" s="397"/>
      <c r="M344" s="398"/>
      <c r="N344" s="400"/>
    </row>
    <row r="345" spans="3:14">
      <c r="C345" s="393"/>
      <c r="D345" s="393"/>
      <c r="E345" s="393"/>
      <c r="F345" s="391"/>
      <c r="G345" s="649"/>
      <c r="H345" s="649"/>
      <c r="I345" s="391"/>
      <c r="J345" s="327"/>
      <c r="K345" s="327"/>
      <c r="L345" s="397"/>
      <c r="M345" s="398"/>
      <c r="N345" s="400"/>
    </row>
    <row r="346" spans="3:14">
      <c r="C346" s="393"/>
      <c r="D346" s="393"/>
      <c r="E346" s="393"/>
      <c r="F346" s="391"/>
      <c r="G346" s="649"/>
      <c r="H346" s="649"/>
      <c r="I346" s="391"/>
      <c r="J346" s="327"/>
      <c r="K346" s="327"/>
      <c r="L346" s="397"/>
      <c r="M346" s="398"/>
      <c r="N346" s="400"/>
    </row>
    <row r="347" spans="3:14">
      <c r="C347" s="393"/>
      <c r="D347" s="393"/>
      <c r="E347" s="393"/>
      <c r="F347" s="391"/>
      <c r="G347" s="649"/>
      <c r="H347" s="649"/>
      <c r="I347" s="391"/>
      <c r="J347" s="327"/>
      <c r="K347" s="327"/>
      <c r="L347" s="397"/>
      <c r="M347" s="398"/>
      <c r="N347" s="400"/>
    </row>
    <row r="348" spans="3:14">
      <c r="C348" s="393"/>
      <c r="D348" s="393"/>
      <c r="E348" s="393"/>
      <c r="F348" s="391"/>
      <c r="G348" s="649"/>
      <c r="H348" s="649"/>
      <c r="I348" s="391"/>
      <c r="J348" s="327"/>
      <c r="K348" s="327"/>
      <c r="L348" s="397"/>
      <c r="M348" s="398"/>
      <c r="N348" s="400"/>
    </row>
    <row r="349" spans="3:14">
      <c r="C349" s="393"/>
      <c r="D349" s="393"/>
      <c r="E349" s="393"/>
      <c r="F349" s="391"/>
      <c r="G349" s="649"/>
      <c r="H349" s="649"/>
      <c r="I349" s="391"/>
      <c r="J349" s="327"/>
      <c r="K349" s="327"/>
      <c r="L349" s="397"/>
      <c r="M349" s="398"/>
      <c r="N349" s="400"/>
    </row>
    <row r="350" spans="3:14">
      <c r="C350" s="393"/>
      <c r="D350" s="393"/>
      <c r="E350" s="393"/>
      <c r="F350" s="391"/>
      <c r="G350" s="649"/>
      <c r="H350" s="649"/>
      <c r="I350" s="391"/>
      <c r="J350" s="327"/>
      <c r="K350" s="327"/>
      <c r="L350" s="397"/>
      <c r="M350" s="398"/>
      <c r="N350" s="400"/>
    </row>
    <row r="351" spans="3:14">
      <c r="C351" s="393"/>
      <c r="D351" s="393"/>
      <c r="E351" s="393"/>
      <c r="F351" s="391"/>
      <c r="G351" s="649"/>
      <c r="H351" s="649"/>
      <c r="I351" s="391"/>
      <c r="J351" s="327"/>
      <c r="K351" s="327"/>
      <c r="L351" s="397"/>
      <c r="M351" s="398"/>
      <c r="N351" s="400"/>
    </row>
    <row r="352" spans="3:14">
      <c r="C352" s="393"/>
      <c r="D352" s="393"/>
      <c r="E352" s="393"/>
      <c r="F352" s="391"/>
      <c r="G352" s="649"/>
      <c r="H352" s="649"/>
      <c r="I352" s="391"/>
      <c r="J352" s="327"/>
      <c r="K352" s="327"/>
      <c r="L352" s="397"/>
      <c r="M352" s="398"/>
      <c r="N352" s="400"/>
    </row>
    <row r="353" spans="3:14">
      <c r="C353" s="393"/>
      <c r="D353" s="393"/>
      <c r="E353" s="393"/>
      <c r="F353" s="391"/>
      <c r="G353" s="649"/>
      <c r="H353" s="649"/>
      <c r="I353" s="391"/>
      <c r="J353" s="327"/>
      <c r="K353" s="327"/>
      <c r="L353" s="397"/>
      <c r="M353" s="398"/>
      <c r="N353" s="400"/>
    </row>
    <row r="354" spans="3:14">
      <c r="C354" s="393"/>
      <c r="D354" s="393"/>
      <c r="E354" s="393"/>
      <c r="F354" s="391"/>
      <c r="G354" s="649"/>
      <c r="H354" s="649"/>
      <c r="I354" s="391"/>
      <c r="J354" s="327"/>
      <c r="K354" s="327"/>
      <c r="L354" s="397"/>
      <c r="M354" s="398"/>
      <c r="N354" s="400"/>
    </row>
    <row r="355" spans="3:14">
      <c r="C355" s="393"/>
      <c r="D355" s="393"/>
      <c r="E355" s="393"/>
      <c r="F355" s="391"/>
      <c r="G355" s="649"/>
      <c r="H355" s="649"/>
      <c r="I355" s="391"/>
      <c r="J355" s="327"/>
      <c r="K355" s="327"/>
      <c r="L355" s="397"/>
      <c r="M355" s="398"/>
      <c r="N355" s="400"/>
    </row>
    <row r="356" spans="3:14">
      <c r="C356" s="393"/>
      <c r="D356" s="393"/>
      <c r="E356" s="393"/>
      <c r="F356" s="391"/>
      <c r="G356" s="649"/>
      <c r="H356" s="649"/>
      <c r="I356" s="391"/>
      <c r="J356" s="327"/>
      <c r="K356" s="327"/>
      <c r="L356" s="397"/>
      <c r="M356" s="398"/>
      <c r="N356" s="400"/>
    </row>
    <row r="357" spans="3:14">
      <c r="C357" s="393"/>
      <c r="D357" s="393"/>
      <c r="E357" s="393"/>
      <c r="F357" s="391"/>
      <c r="G357" s="649"/>
      <c r="H357" s="649"/>
      <c r="I357" s="391"/>
      <c r="J357" s="327"/>
      <c r="K357" s="327"/>
      <c r="L357" s="397"/>
      <c r="M357" s="398"/>
      <c r="N357" s="400"/>
    </row>
    <row r="358" spans="3:14">
      <c r="C358" s="393"/>
      <c r="D358" s="393"/>
      <c r="E358" s="393"/>
      <c r="F358" s="391"/>
      <c r="G358" s="649"/>
      <c r="H358" s="649"/>
      <c r="I358" s="391"/>
      <c r="J358" s="327"/>
      <c r="K358" s="327"/>
      <c r="L358" s="397"/>
      <c r="M358" s="398"/>
      <c r="N358" s="400"/>
    </row>
    <row r="359" spans="3:14">
      <c r="C359" s="393"/>
      <c r="D359" s="393"/>
      <c r="E359" s="393"/>
      <c r="F359" s="391"/>
      <c r="G359" s="649"/>
      <c r="H359" s="649"/>
      <c r="I359" s="391"/>
      <c r="J359" s="327"/>
      <c r="K359" s="327"/>
      <c r="L359" s="397"/>
      <c r="M359" s="398"/>
      <c r="N359" s="400"/>
    </row>
    <row r="360" spans="3:14">
      <c r="C360" s="393"/>
      <c r="D360" s="393"/>
      <c r="E360" s="393"/>
      <c r="F360" s="391"/>
      <c r="G360" s="649"/>
      <c r="H360" s="649"/>
      <c r="I360" s="391"/>
      <c r="J360" s="327"/>
      <c r="K360" s="327"/>
      <c r="L360" s="397"/>
      <c r="M360" s="398"/>
      <c r="N360" s="400"/>
    </row>
    <row r="361" spans="3:14">
      <c r="C361" s="393"/>
      <c r="D361" s="393"/>
      <c r="E361" s="393"/>
      <c r="F361" s="391"/>
      <c r="G361" s="649"/>
      <c r="H361" s="649"/>
      <c r="I361" s="391"/>
      <c r="J361" s="327"/>
      <c r="K361" s="327"/>
      <c r="L361" s="397"/>
      <c r="M361" s="398"/>
      <c r="N361" s="400"/>
    </row>
    <row r="362" spans="3:14">
      <c r="C362" s="393"/>
      <c r="D362" s="393"/>
      <c r="E362" s="393"/>
      <c r="F362" s="391"/>
      <c r="G362" s="649"/>
      <c r="H362" s="649"/>
      <c r="I362" s="391"/>
      <c r="J362" s="327"/>
      <c r="K362" s="327"/>
      <c r="L362" s="397"/>
      <c r="M362" s="398"/>
      <c r="N362" s="400"/>
    </row>
    <row r="363" spans="3:14">
      <c r="C363" s="393"/>
      <c r="D363" s="393"/>
      <c r="E363" s="393"/>
      <c r="F363" s="391"/>
      <c r="G363" s="649"/>
      <c r="H363" s="649"/>
      <c r="I363" s="391"/>
      <c r="J363" s="327"/>
      <c r="K363" s="327"/>
      <c r="L363" s="397"/>
      <c r="M363" s="398"/>
      <c r="N363" s="400"/>
    </row>
    <row r="364" spans="3:14">
      <c r="C364" s="393"/>
      <c r="D364" s="393"/>
      <c r="E364" s="393"/>
      <c r="F364" s="391"/>
      <c r="G364" s="649"/>
      <c r="H364" s="649"/>
      <c r="I364" s="391"/>
      <c r="J364" s="327"/>
      <c r="K364" s="327"/>
      <c r="L364" s="397"/>
      <c r="M364" s="398"/>
      <c r="N364" s="400"/>
    </row>
    <row r="365" spans="3:14">
      <c r="C365" s="393"/>
      <c r="D365" s="393"/>
      <c r="E365" s="393"/>
      <c r="F365" s="391"/>
      <c r="G365" s="649"/>
      <c r="H365" s="649"/>
      <c r="I365" s="391"/>
      <c r="J365" s="327"/>
      <c r="K365" s="327"/>
      <c r="L365" s="397"/>
      <c r="M365" s="398"/>
      <c r="N365" s="400"/>
    </row>
    <row r="366" spans="3:14">
      <c r="C366" s="393"/>
      <c r="D366" s="393"/>
      <c r="E366" s="393"/>
      <c r="F366" s="391"/>
      <c r="G366" s="649"/>
      <c r="H366" s="649"/>
      <c r="I366" s="391"/>
      <c r="J366" s="327"/>
      <c r="K366" s="327"/>
      <c r="L366" s="397"/>
      <c r="M366" s="398"/>
      <c r="N366" s="400"/>
    </row>
    <row r="367" spans="3:14">
      <c r="C367" s="393"/>
      <c r="D367" s="393"/>
      <c r="E367" s="393"/>
      <c r="F367" s="391"/>
      <c r="G367" s="649"/>
      <c r="H367" s="649"/>
      <c r="I367" s="391"/>
      <c r="J367" s="327"/>
      <c r="K367" s="327"/>
      <c r="L367" s="397"/>
      <c r="M367" s="398"/>
      <c r="N367" s="400"/>
    </row>
    <row r="368" spans="3:14">
      <c r="C368" s="393"/>
      <c r="D368" s="393"/>
      <c r="E368" s="393"/>
      <c r="F368" s="391"/>
      <c r="G368" s="649"/>
      <c r="H368" s="649"/>
      <c r="I368" s="391"/>
      <c r="J368" s="327"/>
      <c r="K368" s="327"/>
      <c r="L368" s="397"/>
      <c r="M368" s="398"/>
      <c r="N368" s="400"/>
    </row>
    <row r="369" spans="3:14">
      <c r="C369" s="393"/>
      <c r="D369" s="393"/>
      <c r="E369" s="393"/>
      <c r="F369" s="391"/>
      <c r="G369" s="649"/>
      <c r="H369" s="649"/>
      <c r="I369" s="391"/>
      <c r="J369" s="327"/>
      <c r="K369" s="327"/>
      <c r="L369" s="397"/>
      <c r="M369" s="398"/>
      <c r="N369" s="400"/>
    </row>
    <row r="370" spans="3:14">
      <c r="C370" s="393"/>
      <c r="D370" s="393"/>
      <c r="E370" s="393"/>
      <c r="F370" s="391"/>
      <c r="G370" s="649"/>
      <c r="H370" s="649"/>
      <c r="I370" s="391"/>
      <c r="J370" s="327"/>
      <c r="K370" s="327"/>
      <c r="L370" s="397"/>
      <c r="M370" s="398"/>
      <c r="N370" s="400"/>
    </row>
    <row r="371" spans="3:14">
      <c r="C371" s="393"/>
      <c r="D371" s="393"/>
      <c r="E371" s="393"/>
      <c r="F371" s="391"/>
      <c r="G371" s="649"/>
      <c r="H371" s="649"/>
      <c r="I371" s="391"/>
      <c r="J371" s="327"/>
      <c r="K371" s="327"/>
      <c r="L371" s="397"/>
      <c r="M371" s="398"/>
      <c r="N371" s="400"/>
    </row>
    <row r="372" spans="3:14">
      <c r="C372" s="393"/>
      <c r="D372" s="393"/>
      <c r="E372" s="393"/>
      <c r="F372" s="391"/>
      <c r="G372" s="649"/>
      <c r="H372" s="649"/>
      <c r="I372" s="391"/>
      <c r="J372" s="327"/>
      <c r="K372" s="327"/>
      <c r="L372" s="397"/>
      <c r="M372" s="398"/>
      <c r="N372" s="400"/>
    </row>
    <row r="373" spans="3:14">
      <c r="C373" s="393"/>
      <c r="D373" s="393"/>
      <c r="E373" s="393"/>
      <c r="F373" s="391"/>
      <c r="G373" s="649"/>
      <c r="H373" s="649"/>
      <c r="I373" s="391"/>
      <c r="J373" s="327"/>
      <c r="K373" s="327"/>
      <c r="L373" s="397"/>
      <c r="M373" s="398"/>
      <c r="N373" s="400"/>
    </row>
    <row r="374" spans="3:14">
      <c r="C374" s="393"/>
      <c r="D374" s="393"/>
      <c r="E374" s="393"/>
      <c r="F374" s="391"/>
      <c r="G374" s="649"/>
      <c r="H374" s="649"/>
      <c r="I374" s="391"/>
      <c r="J374" s="327"/>
      <c r="K374" s="327"/>
      <c r="L374" s="397"/>
      <c r="M374" s="398"/>
      <c r="N374" s="400"/>
    </row>
    <row r="375" spans="3:14">
      <c r="C375" s="393"/>
      <c r="D375" s="393"/>
      <c r="E375" s="393"/>
      <c r="F375" s="391"/>
      <c r="G375" s="649"/>
      <c r="H375" s="649"/>
      <c r="I375" s="391"/>
      <c r="J375" s="327"/>
      <c r="K375" s="327"/>
      <c r="L375" s="397"/>
      <c r="M375" s="398"/>
      <c r="N375" s="400"/>
    </row>
    <row r="376" spans="3:14">
      <c r="C376" s="393"/>
      <c r="D376" s="393"/>
      <c r="E376" s="393"/>
      <c r="F376" s="391"/>
      <c r="G376" s="649"/>
      <c r="H376" s="649"/>
      <c r="I376" s="391"/>
      <c r="J376" s="327"/>
      <c r="K376" s="327"/>
      <c r="L376" s="397"/>
      <c r="M376" s="398"/>
      <c r="N376" s="400"/>
    </row>
    <row r="377" spans="3:14">
      <c r="C377" s="393"/>
      <c r="D377" s="393"/>
      <c r="E377" s="393"/>
      <c r="F377" s="391"/>
      <c r="G377" s="649"/>
      <c r="H377" s="649"/>
      <c r="I377" s="391"/>
      <c r="J377" s="327"/>
      <c r="K377" s="327"/>
      <c r="L377" s="397"/>
      <c r="M377" s="398"/>
      <c r="N377" s="400"/>
    </row>
    <row r="378" spans="3:14">
      <c r="C378" s="393"/>
      <c r="D378" s="393"/>
      <c r="E378" s="393"/>
      <c r="F378" s="391"/>
      <c r="G378" s="649"/>
      <c r="H378" s="649"/>
      <c r="I378" s="391"/>
      <c r="J378" s="327"/>
      <c r="K378" s="327"/>
      <c r="L378" s="397"/>
      <c r="M378" s="398"/>
      <c r="N378" s="400"/>
    </row>
    <row r="379" spans="3:14">
      <c r="C379" s="393"/>
      <c r="D379" s="393"/>
      <c r="E379" s="393"/>
      <c r="F379" s="391"/>
      <c r="G379" s="649"/>
      <c r="H379" s="649"/>
      <c r="I379" s="391"/>
      <c r="J379" s="327"/>
      <c r="K379" s="327"/>
      <c r="L379" s="397"/>
      <c r="M379" s="398"/>
      <c r="N379" s="400"/>
    </row>
    <row r="380" spans="3:14">
      <c r="C380" s="393"/>
      <c r="D380" s="393"/>
      <c r="E380" s="393"/>
      <c r="F380" s="391"/>
      <c r="G380" s="649"/>
      <c r="H380" s="649"/>
      <c r="I380" s="391"/>
      <c r="J380" s="327"/>
      <c r="K380" s="327"/>
      <c r="L380" s="397"/>
      <c r="M380" s="398"/>
      <c r="N380" s="400"/>
    </row>
    <row r="381" spans="3:14">
      <c r="C381" s="393"/>
      <c r="D381" s="393"/>
      <c r="E381" s="393"/>
      <c r="F381" s="391"/>
      <c r="G381" s="649"/>
      <c r="H381" s="649"/>
      <c r="I381" s="391"/>
      <c r="J381" s="327"/>
      <c r="K381" s="327"/>
      <c r="L381" s="397"/>
      <c r="M381" s="398"/>
      <c r="N381" s="400"/>
    </row>
    <row r="382" spans="3:14">
      <c r="C382" s="393"/>
      <c r="D382" s="393"/>
      <c r="E382" s="393"/>
      <c r="F382" s="391"/>
      <c r="G382" s="649"/>
      <c r="H382" s="649"/>
      <c r="I382" s="391"/>
      <c r="J382" s="327"/>
      <c r="K382" s="327"/>
      <c r="L382" s="397"/>
      <c r="M382" s="398"/>
      <c r="N382" s="400"/>
    </row>
    <row r="383" spans="3:14">
      <c r="C383" s="393"/>
      <c r="D383" s="393"/>
      <c r="E383" s="393"/>
      <c r="F383" s="391"/>
      <c r="G383" s="649"/>
      <c r="H383" s="649"/>
      <c r="I383" s="391"/>
      <c r="J383" s="327"/>
      <c r="K383" s="327"/>
      <c r="L383" s="397"/>
      <c r="M383" s="398"/>
      <c r="N383" s="400"/>
    </row>
    <row r="384" spans="3:14">
      <c r="C384" s="393"/>
      <c r="D384" s="393"/>
      <c r="E384" s="393"/>
      <c r="F384" s="391"/>
      <c r="G384" s="649"/>
      <c r="H384" s="649"/>
      <c r="I384" s="391"/>
      <c r="J384" s="327"/>
      <c r="K384" s="327"/>
      <c r="L384" s="397"/>
      <c r="M384" s="398"/>
      <c r="N384" s="400"/>
    </row>
    <row r="385" spans="3:14">
      <c r="C385" s="393"/>
      <c r="D385" s="393"/>
      <c r="E385" s="393"/>
      <c r="F385" s="391"/>
      <c r="G385" s="649"/>
      <c r="H385" s="649"/>
      <c r="I385" s="391"/>
      <c r="J385" s="327"/>
      <c r="K385" s="327"/>
      <c r="L385" s="397"/>
      <c r="M385" s="398"/>
      <c r="N385" s="400"/>
    </row>
    <row r="386" spans="3:14">
      <c r="C386" s="393"/>
      <c r="D386" s="393"/>
      <c r="E386" s="393"/>
      <c r="F386" s="391"/>
      <c r="G386" s="649"/>
      <c r="H386" s="649"/>
      <c r="I386" s="391"/>
      <c r="J386" s="327"/>
      <c r="K386" s="327"/>
      <c r="L386" s="397"/>
      <c r="M386" s="398"/>
      <c r="N386" s="400"/>
    </row>
    <row r="387" spans="3:14">
      <c r="C387" s="393"/>
      <c r="D387" s="393"/>
      <c r="E387" s="393"/>
      <c r="F387" s="391"/>
      <c r="G387" s="649"/>
      <c r="H387" s="649"/>
      <c r="I387" s="391"/>
      <c r="J387" s="327"/>
      <c r="K387" s="327"/>
      <c r="L387" s="397"/>
      <c r="M387" s="398"/>
      <c r="N387" s="400"/>
    </row>
    <row r="388" spans="3:14">
      <c r="C388" s="393"/>
      <c r="D388" s="393"/>
      <c r="E388" s="393"/>
      <c r="F388" s="391"/>
      <c r="G388" s="649"/>
      <c r="H388" s="649"/>
      <c r="I388" s="391"/>
      <c r="J388" s="327"/>
      <c r="K388" s="327"/>
      <c r="L388" s="397"/>
      <c r="M388" s="398"/>
      <c r="N388" s="400"/>
    </row>
    <row r="389" spans="3:14">
      <c r="C389" s="393"/>
      <c r="D389" s="393"/>
      <c r="E389" s="393"/>
      <c r="F389" s="391"/>
      <c r="G389" s="649"/>
      <c r="H389" s="649"/>
      <c r="I389" s="391"/>
      <c r="J389" s="327"/>
      <c r="K389" s="327"/>
      <c r="L389" s="397"/>
      <c r="M389" s="398"/>
      <c r="N389" s="400"/>
    </row>
    <row r="390" spans="3:14">
      <c r="C390" s="393"/>
      <c r="D390" s="393"/>
      <c r="E390" s="393"/>
      <c r="F390" s="391"/>
      <c r="G390" s="649"/>
      <c r="H390" s="649"/>
      <c r="I390" s="391"/>
      <c r="J390" s="327"/>
      <c r="K390" s="327"/>
      <c r="L390" s="397"/>
      <c r="M390" s="398"/>
      <c r="N390" s="400"/>
    </row>
    <row r="391" spans="3:14">
      <c r="C391" s="393"/>
      <c r="D391" s="393"/>
      <c r="E391" s="393"/>
      <c r="F391" s="391"/>
      <c r="G391" s="649"/>
      <c r="H391" s="649"/>
      <c r="I391" s="391"/>
      <c r="J391" s="327"/>
      <c r="K391" s="327"/>
      <c r="L391" s="397"/>
      <c r="M391" s="398"/>
      <c r="N391" s="400"/>
    </row>
    <row r="392" spans="3:14">
      <c r="C392" s="393"/>
      <c r="D392" s="393"/>
      <c r="E392" s="393"/>
      <c r="F392" s="391"/>
      <c r="G392" s="649"/>
      <c r="H392" s="649"/>
      <c r="I392" s="391"/>
      <c r="J392" s="327"/>
      <c r="K392" s="327"/>
      <c r="L392" s="397"/>
      <c r="M392" s="398"/>
      <c r="N392" s="400"/>
    </row>
    <row r="393" spans="3:14">
      <c r="C393" s="393"/>
      <c r="D393" s="393"/>
      <c r="E393" s="393"/>
      <c r="F393" s="391"/>
      <c r="G393" s="649"/>
      <c r="H393" s="649"/>
      <c r="I393" s="391"/>
      <c r="J393" s="327"/>
      <c r="K393" s="327"/>
      <c r="L393" s="397"/>
      <c r="M393" s="398"/>
      <c r="N393" s="400"/>
    </row>
    <row r="394" spans="3:14">
      <c r="C394" s="393"/>
      <c r="D394" s="393"/>
      <c r="E394" s="393"/>
      <c r="F394" s="391"/>
      <c r="G394" s="649"/>
      <c r="H394" s="649"/>
      <c r="I394" s="391"/>
      <c r="J394" s="327"/>
      <c r="K394" s="327"/>
      <c r="L394" s="397"/>
      <c r="M394" s="398"/>
      <c r="N394" s="400"/>
    </row>
    <row r="395" spans="3:14">
      <c r="C395" s="393"/>
      <c r="D395" s="393"/>
      <c r="E395" s="393"/>
      <c r="F395" s="391"/>
      <c r="G395" s="649"/>
      <c r="H395" s="649"/>
      <c r="I395" s="391"/>
      <c r="J395" s="327"/>
      <c r="K395" s="327"/>
      <c r="L395" s="397"/>
      <c r="M395" s="398"/>
      <c r="N395" s="400"/>
    </row>
    <row r="396" spans="3:14">
      <c r="C396" s="393"/>
      <c r="D396" s="393"/>
      <c r="E396" s="393"/>
      <c r="F396" s="391"/>
      <c r="G396" s="649"/>
      <c r="H396" s="649"/>
      <c r="I396" s="391"/>
      <c r="J396" s="327"/>
      <c r="K396" s="327"/>
      <c r="L396" s="397"/>
      <c r="M396" s="398"/>
      <c r="N396" s="400"/>
    </row>
    <row r="397" spans="3:14">
      <c r="C397" s="393"/>
      <c r="D397" s="393"/>
      <c r="E397" s="393"/>
      <c r="F397" s="391"/>
      <c r="G397" s="649"/>
      <c r="H397" s="649"/>
      <c r="I397" s="391"/>
      <c r="J397" s="327"/>
      <c r="K397" s="327"/>
      <c r="L397" s="397"/>
      <c r="M397" s="398"/>
      <c r="N397" s="400"/>
    </row>
    <row r="398" spans="3:14">
      <c r="C398" s="393"/>
      <c r="D398" s="393"/>
      <c r="E398" s="393"/>
      <c r="F398" s="391"/>
      <c r="G398" s="649"/>
      <c r="H398" s="649"/>
      <c r="I398" s="391"/>
      <c r="J398" s="327"/>
      <c r="K398" s="327"/>
      <c r="L398" s="397"/>
      <c r="M398" s="398"/>
      <c r="N398" s="400"/>
    </row>
    <row r="399" spans="3:14">
      <c r="C399" s="393"/>
      <c r="D399" s="393"/>
      <c r="E399" s="393"/>
      <c r="F399" s="391"/>
      <c r="G399" s="649"/>
      <c r="H399" s="649"/>
      <c r="I399" s="391"/>
      <c r="J399" s="327"/>
      <c r="K399" s="327"/>
      <c r="L399" s="397"/>
      <c r="M399" s="398"/>
      <c r="N399" s="400"/>
    </row>
    <row r="400" spans="3:14">
      <c r="C400" s="393"/>
      <c r="D400" s="393"/>
      <c r="E400" s="393"/>
      <c r="F400" s="391"/>
      <c r="G400" s="649"/>
      <c r="H400" s="649"/>
      <c r="I400" s="391"/>
      <c r="J400" s="327"/>
      <c r="K400" s="327"/>
      <c r="L400" s="397"/>
      <c r="M400" s="398"/>
      <c r="N400" s="400"/>
    </row>
    <row r="401" spans="3:14">
      <c r="C401" s="393"/>
      <c r="D401" s="393"/>
      <c r="E401" s="393"/>
      <c r="F401" s="391"/>
      <c r="G401" s="649"/>
      <c r="H401" s="649"/>
      <c r="I401" s="391"/>
      <c r="J401" s="327"/>
      <c r="K401" s="327"/>
      <c r="L401" s="397"/>
      <c r="M401" s="398"/>
      <c r="N401" s="400"/>
    </row>
    <row r="402" spans="3:14">
      <c r="C402" s="393"/>
      <c r="D402" s="393"/>
      <c r="E402" s="393"/>
      <c r="F402" s="391"/>
      <c r="G402" s="649"/>
      <c r="H402" s="649"/>
      <c r="I402" s="391"/>
      <c r="J402" s="327"/>
      <c r="K402" s="327"/>
      <c r="L402" s="397"/>
      <c r="M402" s="398"/>
      <c r="N402" s="400"/>
    </row>
    <row r="403" spans="3:14">
      <c r="C403" s="393"/>
      <c r="D403" s="393"/>
      <c r="E403" s="393"/>
      <c r="F403" s="391"/>
      <c r="G403" s="649"/>
      <c r="H403" s="649"/>
      <c r="I403" s="391"/>
      <c r="J403" s="327"/>
      <c r="K403" s="327"/>
      <c r="L403" s="397"/>
      <c r="M403" s="398"/>
      <c r="N403" s="400"/>
    </row>
    <row r="404" spans="3:14">
      <c r="C404" s="393"/>
      <c r="D404" s="393"/>
      <c r="E404" s="393"/>
      <c r="F404" s="391"/>
      <c r="G404" s="649"/>
      <c r="H404" s="649"/>
      <c r="I404" s="391"/>
      <c r="J404" s="327"/>
      <c r="K404" s="327"/>
      <c r="L404" s="397"/>
      <c r="M404" s="398"/>
      <c r="N404" s="400"/>
    </row>
    <row r="405" spans="3:14">
      <c r="C405" s="393"/>
      <c r="D405" s="393"/>
      <c r="E405" s="393"/>
      <c r="F405" s="391"/>
      <c r="G405" s="649"/>
      <c r="H405" s="649"/>
      <c r="I405" s="391"/>
      <c r="J405" s="327"/>
      <c r="K405" s="327"/>
      <c r="L405" s="397"/>
      <c r="M405" s="398"/>
      <c r="N405" s="400"/>
    </row>
    <row r="406" spans="3:14">
      <c r="C406" s="393"/>
      <c r="D406" s="393"/>
      <c r="E406" s="393"/>
      <c r="F406" s="391"/>
      <c r="G406" s="649"/>
      <c r="H406" s="649"/>
      <c r="I406" s="391"/>
      <c r="J406" s="327"/>
      <c r="K406" s="327"/>
      <c r="L406" s="397"/>
      <c r="M406" s="398"/>
      <c r="N406" s="400"/>
    </row>
    <row r="407" spans="3:14">
      <c r="C407" s="393"/>
      <c r="D407" s="393"/>
      <c r="E407" s="393"/>
      <c r="F407" s="391"/>
      <c r="G407" s="649"/>
      <c r="H407" s="649"/>
      <c r="I407" s="391"/>
      <c r="J407" s="327"/>
      <c r="K407" s="327"/>
      <c r="L407" s="397"/>
      <c r="M407" s="398"/>
      <c r="N407" s="400"/>
    </row>
    <row r="408" spans="3:14">
      <c r="C408" s="393"/>
      <c r="D408" s="393"/>
      <c r="E408" s="393"/>
      <c r="F408" s="391"/>
      <c r="G408" s="649"/>
      <c r="H408" s="649"/>
      <c r="I408" s="391"/>
      <c r="J408" s="327"/>
      <c r="K408" s="327"/>
      <c r="L408" s="397"/>
      <c r="M408" s="398"/>
      <c r="N408" s="400"/>
    </row>
    <row r="409" spans="3:14">
      <c r="C409" s="393"/>
      <c r="D409" s="393"/>
      <c r="E409" s="393"/>
      <c r="F409" s="391"/>
      <c r="G409" s="649"/>
      <c r="H409" s="649"/>
      <c r="I409" s="391"/>
      <c r="J409" s="327"/>
      <c r="K409" s="327"/>
      <c r="L409" s="397"/>
      <c r="M409" s="398"/>
      <c r="N409" s="400"/>
    </row>
    <row r="410" spans="3:14">
      <c r="C410" s="393"/>
      <c r="D410" s="393"/>
      <c r="E410" s="393"/>
      <c r="F410" s="391"/>
      <c r="G410" s="649"/>
      <c r="H410" s="649"/>
      <c r="I410" s="391"/>
      <c r="J410" s="327"/>
      <c r="K410" s="327"/>
      <c r="L410" s="397"/>
      <c r="M410" s="398"/>
      <c r="N410" s="400"/>
    </row>
    <row r="411" spans="3:14">
      <c r="C411" s="393"/>
      <c r="D411" s="393"/>
      <c r="E411" s="393"/>
      <c r="F411" s="391"/>
      <c r="G411" s="649"/>
      <c r="H411" s="649"/>
      <c r="I411" s="391"/>
      <c r="J411" s="327"/>
      <c r="K411" s="327"/>
      <c r="L411" s="397"/>
      <c r="M411" s="398"/>
      <c r="N411" s="400"/>
    </row>
    <row r="412" spans="3:14">
      <c r="C412" s="393"/>
      <c r="D412" s="393"/>
      <c r="E412" s="393"/>
      <c r="F412" s="391"/>
      <c r="G412" s="649"/>
      <c r="H412" s="649"/>
      <c r="I412" s="391"/>
      <c r="J412" s="327"/>
      <c r="K412" s="327"/>
      <c r="L412" s="397"/>
      <c r="M412" s="398"/>
      <c r="N412" s="400"/>
    </row>
    <row r="413" spans="3:14">
      <c r="C413" s="393"/>
      <c r="D413" s="393"/>
      <c r="E413" s="393"/>
      <c r="F413" s="391"/>
      <c r="G413" s="649"/>
      <c r="H413" s="649"/>
      <c r="I413" s="391"/>
      <c r="J413" s="327"/>
      <c r="K413" s="327"/>
      <c r="L413" s="397"/>
      <c r="M413" s="398"/>
      <c r="N413" s="400"/>
    </row>
    <row r="414" spans="3:14">
      <c r="C414" s="393"/>
      <c r="D414" s="393"/>
      <c r="E414" s="393"/>
      <c r="F414" s="391"/>
      <c r="G414" s="649"/>
      <c r="H414" s="649"/>
      <c r="I414" s="391"/>
      <c r="J414" s="327"/>
      <c r="K414" s="327"/>
      <c r="L414" s="397"/>
      <c r="M414" s="398"/>
      <c r="N414" s="400"/>
    </row>
    <row r="415" spans="3:14">
      <c r="C415" s="393"/>
      <c r="D415" s="393"/>
      <c r="E415" s="393"/>
      <c r="F415" s="391"/>
      <c r="G415" s="649"/>
      <c r="H415" s="649"/>
      <c r="I415" s="391"/>
      <c r="J415" s="327"/>
      <c r="K415" s="327"/>
      <c r="L415" s="397"/>
      <c r="M415" s="398"/>
      <c r="N415" s="400"/>
    </row>
    <row r="416" spans="3:14">
      <c r="C416" s="393"/>
      <c r="D416" s="393"/>
      <c r="E416" s="393"/>
      <c r="F416" s="391"/>
      <c r="G416" s="649"/>
      <c r="H416" s="649"/>
      <c r="I416" s="391"/>
      <c r="J416" s="327"/>
      <c r="K416" s="327"/>
      <c r="L416" s="397"/>
      <c r="M416" s="398"/>
      <c r="N416" s="400"/>
    </row>
    <row r="417" spans="3:14">
      <c r="C417" s="393"/>
      <c r="D417" s="393"/>
      <c r="E417" s="393"/>
      <c r="F417" s="391"/>
      <c r="G417" s="649"/>
      <c r="H417" s="649"/>
      <c r="I417" s="391"/>
      <c r="J417" s="327"/>
      <c r="K417" s="327"/>
      <c r="L417" s="397"/>
      <c r="M417" s="398"/>
      <c r="N417" s="400"/>
    </row>
    <row r="418" spans="3:14">
      <c r="C418" s="393"/>
      <c r="D418" s="393"/>
      <c r="E418" s="393"/>
      <c r="F418" s="391"/>
      <c r="G418" s="649"/>
      <c r="H418" s="649"/>
      <c r="I418" s="391"/>
      <c r="J418" s="327"/>
      <c r="K418" s="327"/>
      <c r="L418" s="397"/>
      <c r="M418" s="398"/>
      <c r="N418" s="400"/>
    </row>
    <row r="419" spans="3:14">
      <c r="C419" s="393"/>
      <c r="D419" s="393"/>
      <c r="E419" s="393"/>
      <c r="F419" s="391"/>
      <c r="G419" s="649"/>
      <c r="H419" s="649"/>
      <c r="I419" s="391"/>
      <c r="J419" s="327"/>
      <c r="K419" s="327"/>
      <c r="L419" s="397"/>
      <c r="M419" s="398"/>
      <c r="N419" s="400"/>
    </row>
    <row r="420" spans="3:14">
      <c r="C420" s="393"/>
      <c r="D420" s="393"/>
      <c r="E420" s="393"/>
      <c r="F420" s="391"/>
      <c r="G420" s="649"/>
      <c r="H420" s="649"/>
      <c r="I420" s="391"/>
      <c r="J420" s="327"/>
      <c r="K420" s="327"/>
      <c r="L420" s="397"/>
      <c r="M420" s="398"/>
      <c r="N420" s="400"/>
    </row>
    <row r="421" spans="3:14">
      <c r="C421" s="393"/>
      <c r="D421" s="393"/>
      <c r="E421" s="393"/>
      <c r="F421" s="391"/>
      <c r="G421" s="649"/>
      <c r="H421" s="649"/>
      <c r="I421" s="391"/>
      <c r="J421" s="327"/>
      <c r="K421" s="327"/>
      <c r="L421" s="397"/>
      <c r="M421" s="398"/>
      <c r="N421" s="400"/>
    </row>
    <row r="422" spans="3:14">
      <c r="C422" s="393"/>
      <c r="D422" s="393"/>
      <c r="E422" s="393"/>
      <c r="F422" s="391"/>
      <c r="G422" s="649"/>
      <c r="H422" s="649"/>
      <c r="I422" s="391"/>
      <c r="J422" s="327"/>
      <c r="K422" s="327"/>
      <c r="L422" s="397"/>
      <c r="M422" s="398"/>
      <c r="N422" s="400"/>
    </row>
    <row r="423" spans="3:14">
      <c r="C423" s="393"/>
      <c r="D423" s="393"/>
      <c r="E423" s="393"/>
      <c r="F423" s="391"/>
      <c r="G423" s="649"/>
      <c r="H423" s="649"/>
      <c r="I423" s="391"/>
      <c r="J423" s="327"/>
      <c r="K423" s="327"/>
      <c r="L423" s="397"/>
      <c r="M423" s="398"/>
      <c r="N423" s="400"/>
    </row>
    <row r="424" spans="3:14">
      <c r="C424" s="393"/>
      <c r="D424" s="393"/>
      <c r="E424" s="393"/>
      <c r="F424" s="391"/>
      <c r="G424" s="649"/>
      <c r="H424" s="649"/>
      <c r="I424" s="391"/>
      <c r="J424" s="327"/>
      <c r="K424" s="327"/>
      <c r="L424" s="397"/>
      <c r="M424" s="398"/>
      <c r="N424" s="400"/>
    </row>
    <row r="425" spans="3:14">
      <c r="C425" s="393"/>
      <c r="D425" s="393"/>
      <c r="E425" s="393"/>
      <c r="F425" s="391"/>
      <c r="G425" s="649"/>
      <c r="H425" s="649"/>
      <c r="I425" s="391"/>
      <c r="J425" s="327"/>
      <c r="K425" s="327"/>
      <c r="L425" s="397"/>
      <c r="M425" s="398"/>
      <c r="N425" s="400"/>
    </row>
    <row r="426" spans="3:14">
      <c r="C426" s="393"/>
      <c r="D426" s="393"/>
      <c r="E426" s="393"/>
      <c r="F426" s="391"/>
      <c r="G426" s="649"/>
      <c r="H426" s="649"/>
      <c r="I426" s="391"/>
      <c r="J426" s="327"/>
      <c r="K426" s="327"/>
      <c r="L426" s="397"/>
      <c r="M426" s="398"/>
      <c r="N426" s="400"/>
    </row>
    <row r="427" spans="3:14">
      <c r="C427" s="393"/>
      <c r="D427" s="393"/>
      <c r="E427" s="393"/>
      <c r="F427" s="391"/>
      <c r="G427" s="649"/>
      <c r="H427" s="649"/>
      <c r="I427" s="391"/>
      <c r="J427" s="327"/>
      <c r="K427" s="327"/>
      <c r="L427" s="397"/>
      <c r="M427" s="398"/>
      <c r="N427" s="400"/>
    </row>
    <row r="428" spans="3:14">
      <c r="C428" s="393"/>
      <c r="D428" s="393"/>
      <c r="E428" s="393"/>
      <c r="F428" s="391"/>
      <c r="G428" s="649"/>
      <c r="H428" s="649"/>
      <c r="I428" s="391"/>
      <c r="J428" s="327"/>
      <c r="K428" s="327"/>
      <c r="L428" s="397"/>
      <c r="M428" s="398"/>
      <c r="N428" s="400"/>
    </row>
    <row r="429" spans="3:14">
      <c r="C429" s="393"/>
      <c r="D429" s="393"/>
      <c r="E429" s="393"/>
      <c r="F429" s="391"/>
      <c r="G429" s="649"/>
      <c r="H429" s="649"/>
      <c r="I429" s="391"/>
      <c r="J429" s="327"/>
      <c r="K429" s="327"/>
      <c r="L429" s="397"/>
      <c r="M429" s="398"/>
      <c r="N429" s="400"/>
    </row>
    <row r="430" spans="3:14">
      <c r="C430" s="393"/>
      <c r="D430" s="393"/>
      <c r="E430" s="393"/>
      <c r="F430" s="391"/>
      <c r="G430" s="649"/>
      <c r="H430" s="649"/>
      <c r="I430" s="391"/>
      <c r="J430" s="327"/>
      <c r="K430" s="327"/>
      <c r="L430" s="397"/>
      <c r="M430" s="398"/>
      <c r="N430" s="400"/>
    </row>
    <row r="431" spans="3:14">
      <c r="C431" s="393"/>
      <c r="D431" s="393"/>
      <c r="E431" s="393"/>
      <c r="F431" s="391"/>
      <c r="G431" s="649"/>
      <c r="H431" s="649"/>
      <c r="I431" s="391"/>
      <c r="J431" s="327"/>
      <c r="K431" s="327"/>
      <c r="L431" s="397"/>
      <c r="M431" s="398"/>
      <c r="N431" s="400"/>
    </row>
    <row r="432" spans="3:14">
      <c r="C432" s="393"/>
      <c r="D432" s="393"/>
      <c r="E432" s="393"/>
      <c r="F432" s="391"/>
      <c r="G432" s="649"/>
      <c r="H432" s="649"/>
      <c r="I432" s="391"/>
      <c r="J432" s="327"/>
      <c r="K432" s="327"/>
      <c r="L432" s="397"/>
      <c r="M432" s="398"/>
      <c r="N432" s="400"/>
    </row>
    <row r="433" spans="3:14">
      <c r="C433" s="393"/>
      <c r="D433" s="393"/>
      <c r="E433" s="393"/>
      <c r="F433" s="391"/>
      <c r="G433" s="649"/>
      <c r="H433" s="649"/>
      <c r="I433" s="391"/>
      <c r="J433" s="327"/>
      <c r="K433" s="327"/>
      <c r="L433" s="397"/>
      <c r="M433" s="398"/>
      <c r="N433" s="400"/>
    </row>
    <row r="434" spans="3:14">
      <c r="C434" s="393"/>
      <c r="D434" s="393"/>
      <c r="E434" s="393"/>
      <c r="F434" s="391"/>
      <c r="G434" s="649"/>
      <c r="H434" s="649"/>
      <c r="I434" s="391"/>
      <c r="J434" s="327"/>
      <c r="K434" s="327"/>
      <c r="L434" s="397"/>
      <c r="M434" s="398"/>
      <c r="N434" s="400"/>
    </row>
    <row r="435" spans="3:14">
      <c r="C435" s="393"/>
      <c r="D435" s="393"/>
      <c r="E435" s="393"/>
      <c r="F435" s="391"/>
      <c r="G435" s="649"/>
      <c r="H435" s="649"/>
      <c r="I435" s="391"/>
      <c r="J435" s="327"/>
      <c r="K435" s="327"/>
      <c r="L435" s="397"/>
      <c r="M435" s="398"/>
      <c r="N435" s="400"/>
    </row>
    <row r="436" spans="3:14">
      <c r="C436" s="393"/>
      <c r="D436" s="393"/>
      <c r="E436" s="393"/>
      <c r="F436" s="391"/>
      <c r="G436" s="649"/>
      <c r="H436" s="649"/>
      <c r="I436" s="391"/>
      <c r="J436" s="327"/>
      <c r="K436" s="327"/>
      <c r="L436" s="397"/>
      <c r="M436" s="398"/>
      <c r="N436" s="400"/>
    </row>
    <row r="437" spans="3:14">
      <c r="C437" s="393"/>
      <c r="D437" s="393"/>
      <c r="E437" s="393"/>
      <c r="F437" s="391"/>
      <c r="G437" s="649"/>
      <c r="H437" s="649"/>
      <c r="I437" s="391"/>
      <c r="J437" s="327"/>
      <c r="K437" s="327"/>
      <c r="L437" s="397"/>
      <c r="M437" s="398"/>
      <c r="N437" s="400"/>
    </row>
    <row r="438" spans="3:14">
      <c r="C438" s="393"/>
      <c r="D438" s="393"/>
      <c r="E438" s="393"/>
      <c r="F438" s="391"/>
      <c r="G438" s="649"/>
      <c r="H438" s="649"/>
      <c r="I438" s="391"/>
      <c r="J438" s="327"/>
      <c r="K438" s="327"/>
      <c r="L438" s="397"/>
      <c r="M438" s="398"/>
      <c r="N438" s="400"/>
    </row>
    <row r="439" spans="3:14">
      <c r="C439" s="393"/>
      <c r="D439" s="393"/>
      <c r="E439" s="393"/>
      <c r="F439" s="391"/>
      <c r="G439" s="649"/>
      <c r="H439" s="649"/>
      <c r="I439" s="391"/>
      <c r="J439" s="327"/>
      <c r="K439" s="327"/>
      <c r="L439" s="397"/>
      <c r="M439" s="398"/>
      <c r="N439" s="352"/>
    </row>
    <row r="440" spans="3:14">
      <c r="C440" s="393"/>
      <c r="D440" s="393"/>
      <c r="E440" s="393"/>
      <c r="F440" s="391"/>
      <c r="G440" s="649"/>
      <c r="H440" s="649"/>
      <c r="I440" s="391"/>
      <c r="J440" s="327"/>
      <c r="K440" s="327"/>
      <c r="L440" s="397"/>
      <c r="M440" s="398"/>
      <c r="N440" s="352"/>
    </row>
    <row r="441" spans="3:14">
      <c r="C441" s="393"/>
      <c r="D441" s="393"/>
      <c r="E441" s="393"/>
      <c r="F441" s="391"/>
      <c r="G441" s="649"/>
      <c r="H441" s="649"/>
      <c r="I441" s="391"/>
      <c r="J441" s="327"/>
      <c r="K441" s="327"/>
      <c r="L441" s="397"/>
      <c r="M441" s="398"/>
      <c r="N441" s="352"/>
    </row>
    <row r="442" spans="3:14">
      <c r="C442" s="393"/>
      <c r="D442" s="393"/>
      <c r="E442" s="393"/>
      <c r="F442" s="391"/>
      <c r="G442" s="649"/>
      <c r="H442" s="649"/>
      <c r="I442" s="391"/>
      <c r="J442" s="327"/>
      <c r="K442" s="327"/>
      <c r="L442" s="397"/>
      <c r="M442" s="398"/>
      <c r="N442" s="352"/>
    </row>
    <row r="443" spans="3:14">
      <c r="C443" s="393"/>
      <c r="D443" s="393"/>
      <c r="E443" s="393"/>
      <c r="F443" s="391"/>
      <c r="G443" s="649"/>
      <c r="H443" s="649"/>
      <c r="I443" s="391"/>
      <c r="J443" s="327"/>
      <c r="K443" s="327"/>
      <c r="L443" s="397"/>
      <c r="M443" s="398"/>
      <c r="N443" s="352"/>
    </row>
    <row r="444" spans="3:14">
      <c r="C444" s="393"/>
      <c r="D444" s="393"/>
      <c r="E444" s="393"/>
      <c r="F444" s="391"/>
      <c r="G444" s="649"/>
      <c r="H444" s="649"/>
      <c r="I444" s="391"/>
      <c r="J444" s="327"/>
      <c r="K444" s="327"/>
      <c r="L444" s="397"/>
      <c r="M444" s="398"/>
      <c r="N444" s="352"/>
    </row>
    <row r="445" spans="3:14">
      <c r="C445" s="393"/>
      <c r="D445" s="393"/>
      <c r="E445" s="393"/>
      <c r="F445" s="391"/>
      <c r="G445" s="649"/>
      <c r="H445" s="649"/>
      <c r="I445" s="391"/>
      <c r="J445" s="327"/>
      <c r="K445" s="327"/>
      <c r="L445" s="397"/>
      <c r="M445" s="398"/>
      <c r="N445" s="352"/>
    </row>
    <row r="446" spans="3:14">
      <c r="C446" s="393"/>
      <c r="D446" s="393"/>
      <c r="E446" s="393"/>
      <c r="F446" s="391"/>
      <c r="G446" s="649"/>
      <c r="H446" s="649"/>
      <c r="I446" s="391"/>
      <c r="J446" s="327"/>
      <c r="K446" s="327"/>
      <c r="L446" s="397"/>
      <c r="M446" s="398"/>
      <c r="N446" s="352"/>
    </row>
    <row r="447" spans="3:14">
      <c r="C447" s="393"/>
      <c r="D447" s="393"/>
      <c r="E447" s="393"/>
      <c r="F447" s="391"/>
      <c r="G447" s="649"/>
      <c r="H447" s="649"/>
      <c r="I447" s="391"/>
      <c r="J447" s="327"/>
      <c r="K447" s="327"/>
      <c r="L447" s="397"/>
      <c r="M447" s="398"/>
      <c r="N447" s="352"/>
    </row>
    <row r="448" spans="3:14">
      <c r="C448" s="393"/>
      <c r="D448" s="393"/>
      <c r="E448" s="393"/>
      <c r="F448" s="391"/>
      <c r="G448" s="649"/>
      <c r="H448" s="649"/>
      <c r="I448" s="391"/>
      <c r="J448" s="327"/>
      <c r="K448" s="327"/>
      <c r="L448" s="397"/>
      <c r="M448" s="398"/>
      <c r="N448" s="352"/>
    </row>
    <row r="449" spans="3:14">
      <c r="C449" s="393"/>
      <c r="D449" s="393"/>
      <c r="E449" s="393"/>
      <c r="F449" s="391"/>
      <c r="G449" s="649"/>
      <c r="H449" s="649"/>
      <c r="I449" s="391"/>
      <c r="J449" s="327"/>
      <c r="K449" s="327"/>
      <c r="L449" s="397"/>
      <c r="M449" s="398"/>
      <c r="N449" s="352"/>
    </row>
    <row r="450" spans="3:14">
      <c r="C450" s="393"/>
      <c r="D450" s="393"/>
      <c r="E450" s="393"/>
      <c r="F450" s="391"/>
      <c r="G450" s="649"/>
      <c r="H450" s="649"/>
      <c r="I450" s="391"/>
      <c r="J450" s="327"/>
      <c r="K450" s="327"/>
      <c r="L450" s="397"/>
      <c r="M450" s="398"/>
      <c r="N450" s="352"/>
    </row>
    <row r="451" spans="3:14">
      <c r="C451" s="393"/>
      <c r="D451" s="393"/>
      <c r="E451" s="393"/>
      <c r="F451" s="391"/>
      <c r="G451" s="649"/>
      <c r="H451" s="649"/>
      <c r="I451" s="391"/>
      <c r="J451" s="327"/>
      <c r="K451" s="327"/>
      <c r="L451" s="397"/>
      <c r="M451" s="398"/>
      <c r="N451" s="352"/>
    </row>
    <row r="452" spans="3:14">
      <c r="C452" s="393"/>
      <c r="D452" s="393"/>
      <c r="E452" s="393"/>
      <c r="F452" s="391"/>
      <c r="G452" s="649"/>
      <c r="H452" s="649"/>
      <c r="I452" s="391"/>
      <c r="J452" s="327"/>
      <c r="K452" s="327"/>
      <c r="L452" s="397"/>
      <c r="M452" s="398"/>
      <c r="N452" s="352"/>
    </row>
    <row r="453" spans="3:14">
      <c r="C453" s="393"/>
      <c r="D453" s="393"/>
      <c r="E453" s="393"/>
      <c r="F453" s="391"/>
      <c r="G453" s="649"/>
      <c r="H453" s="649"/>
      <c r="I453" s="391"/>
      <c r="J453" s="327"/>
      <c r="K453" s="327"/>
      <c r="L453" s="397"/>
      <c r="M453" s="398"/>
      <c r="N453" s="352"/>
    </row>
    <row r="454" spans="3:14">
      <c r="C454" s="393"/>
      <c r="D454" s="393"/>
      <c r="E454" s="393"/>
      <c r="F454" s="391"/>
      <c r="G454" s="649"/>
      <c r="H454" s="649"/>
      <c r="I454" s="391"/>
      <c r="J454" s="327"/>
      <c r="K454" s="327"/>
      <c r="L454" s="397"/>
      <c r="M454" s="398"/>
      <c r="N454" s="352"/>
    </row>
    <row r="455" spans="3:14">
      <c r="C455" s="393"/>
      <c r="D455" s="393"/>
      <c r="E455" s="393"/>
      <c r="F455" s="391"/>
      <c r="G455" s="649"/>
      <c r="H455" s="649"/>
      <c r="I455" s="391"/>
      <c r="J455" s="327"/>
      <c r="K455" s="327"/>
      <c r="L455" s="397"/>
      <c r="M455" s="398"/>
      <c r="N455" s="352"/>
    </row>
    <row r="456" spans="3:14">
      <c r="C456" s="393"/>
      <c r="D456" s="393"/>
      <c r="E456" s="393"/>
      <c r="F456" s="391"/>
      <c r="G456" s="649"/>
      <c r="H456" s="649"/>
      <c r="I456" s="391"/>
      <c r="J456" s="327"/>
      <c r="K456" s="327"/>
      <c r="L456" s="397"/>
      <c r="M456" s="398"/>
      <c r="N456" s="352"/>
    </row>
    <row r="457" spans="3:14">
      <c r="C457" s="393"/>
      <c r="D457" s="393"/>
      <c r="E457" s="393"/>
      <c r="F457" s="391"/>
      <c r="G457" s="649"/>
      <c r="H457" s="649"/>
      <c r="I457" s="391"/>
      <c r="J457" s="327"/>
      <c r="K457" s="327"/>
      <c r="L457" s="397"/>
      <c r="M457" s="398"/>
      <c r="N457" s="352"/>
    </row>
    <row r="458" spans="3:14">
      <c r="C458" s="393"/>
      <c r="D458" s="393"/>
      <c r="E458" s="393"/>
      <c r="F458" s="391"/>
      <c r="G458" s="649"/>
      <c r="H458" s="649"/>
      <c r="I458" s="391"/>
      <c r="J458" s="327"/>
      <c r="K458" s="327"/>
      <c r="L458" s="397"/>
      <c r="M458" s="398"/>
      <c r="N458" s="352"/>
    </row>
    <row r="459" spans="3:14">
      <c r="C459" s="393"/>
      <c r="D459" s="393"/>
      <c r="E459" s="393"/>
      <c r="F459" s="391"/>
      <c r="G459" s="649"/>
      <c r="H459" s="649"/>
      <c r="I459" s="391"/>
      <c r="J459" s="327"/>
      <c r="K459" s="327"/>
      <c r="L459" s="397"/>
      <c r="M459" s="398"/>
      <c r="N459" s="352"/>
    </row>
    <row r="460" spans="3:14">
      <c r="C460" s="393"/>
      <c r="D460" s="393"/>
      <c r="E460" s="393"/>
      <c r="F460" s="391"/>
      <c r="G460" s="649"/>
      <c r="H460" s="649"/>
      <c r="I460" s="391"/>
      <c r="J460" s="327"/>
      <c r="K460" s="327"/>
      <c r="L460" s="397"/>
      <c r="M460" s="398"/>
      <c r="N460" s="352"/>
    </row>
    <row r="461" spans="3:14">
      <c r="C461" s="393"/>
      <c r="D461" s="393"/>
      <c r="E461" s="393"/>
      <c r="F461" s="391"/>
      <c r="G461" s="649"/>
      <c r="H461" s="649"/>
      <c r="I461" s="391"/>
      <c r="J461" s="327"/>
      <c r="K461" s="327"/>
      <c r="L461" s="397"/>
      <c r="M461" s="398"/>
      <c r="N461" s="352"/>
    </row>
    <row r="462" spans="3:14">
      <c r="C462" s="393"/>
      <c r="D462" s="393"/>
      <c r="E462" s="393"/>
      <c r="F462" s="391"/>
      <c r="G462" s="649"/>
      <c r="H462" s="649"/>
      <c r="I462" s="391"/>
      <c r="J462" s="327"/>
      <c r="K462" s="327"/>
      <c r="L462" s="397"/>
      <c r="M462" s="398"/>
      <c r="N462" s="352"/>
    </row>
    <row r="463" spans="3:14">
      <c r="C463" s="393"/>
      <c r="D463" s="393"/>
      <c r="E463" s="393"/>
      <c r="F463" s="391"/>
      <c r="G463" s="649"/>
      <c r="H463" s="649"/>
      <c r="I463" s="391"/>
      <c r="J463" s="327"/>
      <c r="K463" s="327"/>
      <c r="L463" s="397"/>
      <c r="M463" s="398"/>
      <c r="N463" s="352"/>
    </row>
    <row r="464" spans="3:14">
      <c r="C464" s="393"/>
      <c r="D464" s="393"/>
      <c r="E464" s="393"/>
      <c r="F464" s="391"/>
      <c r="G464" s="649"/>
      <c r="H464" s="649"/>
      <c r="I464" s="391"/>
      <c r="J464" s="327"/>
      <c r="K464" s="327"/>
      <c r="L464" s="397"/>
      <c r="M464" s="398"/>
      <c r="N464" s="352"/>
    </row>
    <row r="465" spans="3:14">
      <c r="C465" s="393"/>
      <c r="D465" s="393"/>
      <c r="E465" s="393"/>
      <c r="F465" s="391"/>
      <c r="G465" s="649"/>
      <c r="H465" s="649"/>
      <c r="I465" s="391"/>
      <c r="J465" s="327"/>
      <c r="K465" s="327"/>
      <c r="L465" s="397"/>
      <c r="M465" s="398"/>
      <c r="N465" s="352"/>
    </row>
    <row r="466" spans="3:14">
      <c r="C466" s="393"/>
      <c r="D466" s="393"/>
      <c r="E466" s="393"/>
      <c r="F466" s="391"/>
      <c r="G466" s="649"/>
      <c r="H466" s="649"/>
      <c r="I466" s="391"/>
      <c r="J466" s="327"/>
      <c r="K466" s="327"/>
      <c r="L466" s="397"/>
      <c r="M466" s="398"/>
      <c r="N466" s="394"/>
    </row>
    <row r="467" spans="3:14">
      <c r="C467" s="393"/>
      <c r="D467" s="393"/>
      <c r="E467" s="393"/>
      <c r="F467" s="391"/>
      <c r="G467" s="649"/>
      <c r="H467" s="649"/>
      <c r="I467" s="391"/>
      <c r="J467" s="327"/>
      <c r="K467" s="327"/>
      <c r="L467" s="397"/>
      <c r="M467" s="398"/>
      <c r="N467" s="394"/>
    </row>
    <row r="468" spans="3:14">
      <c r="C468" s="393"/>
      <c r="D468" s="393"/>
      <c r="E468" s="393"/>
      <c r="F468" s="391"/>
      <c r="G468" s="649"/>
      <c r="H468" s="649"/>
      <c r="I468" s="391"/>
      <c r="J468" s="327"/>
      <c r="K468" s="327"/>
      <c r="L468" s="397"/>
      <c r="M468" s="398"/>
      <c r="N468" s="394"/>
    </row>
    <row r="469" spans="3:14">
      <c r="C469" s="393"/>
      <c r="D469" s="393"/>
      <c r="E469" s="393"/>
      <c r="F469" s="391"/>
      <c r="G469" s="649"/>
      <c r="H469" s="649"/>
      <c r="I469" s="391"/>
      <c r="J469" s="327"/>
      <c r="K469" s="327"/>
      <c r="L469" s="397"/>
      <c r="M469" s="398"/>
      <c r="N469" s="394"/>
    </row>
    <row r="470" spans="3:14">
      <c r="C470" s="393"/>
      <c r="D470" s="393"/>
      <c r="E470" s="393"/>
      <c r="F470" s="391"/>
      <c r="G470" s="649"/>
      <c r="H470" s="649"/>
      <c r="I470" s="391"/>
      <c r="J470" s="327"/>
      <c r="K470" s="327"/>
      <c r="L470" s="397"/>
      <c r="M470" s="398"/>
      <c r="N470" s="394"/>
    </row>
    <row r="471" spans="3:14">
      <c r="C471" s="393"/>
      <c r="D471" s="393"/>
      <c r="E471" s="393"/>
      <c r="F471" s="391"/>
      <c r="G471" s="649"/>
      <c r="H471" s="649"/>
      <c r="I471" s="391"/>
      <c r="J471" s="327"/>
      <c r="K471" s="327"/>
      <c r="L471" s="397"/>
      <c r="M471" s="398"/>
      <c r="N471" s="394"/>
    </row>
    <row r="472" spans="3:14">
      <c r="C472" s="393"/>
      <c r="D472" s="393"/>
      <c r="E472" s="393"/>
      <c r="F472" s="391"/>
      <c r="G472" s="649"/>
      <c r="H472" s="649"/>
      <c r="I472" s="391"/>
      <c r="J472" s="327"/>
      <c r="K472" s="327"/>
      <c r="L472" s="397"/>
      <c r="M472" s="398"/>
      <c r="N472" s="394"/>
    </row>
    <row r="473" spans="3:14">
      <c r="C473" s="393"/>
      <c r="D473" s="393"/>
      <c r="E473" s="393"/>
      <c r="F473" s="391"/>
      <c r="G473" s="649"/>
      <c r="H473" s="649"/>
      <c r="I473" s="391"/>
      <c r="J473" s="327"/>
      <c r="K473" s="327"/>
      <c r="L473" s="397"/>
      <c r="M473" s="398"/>
      <c r="N473" s="394"/>
    </row>
    <row r="474" spans="3:14">
      <c r="C474" s="393"/>
      <c r="D474" s="393"/>
      <c r="E474" s="393"/>
      <c r="F474" s="391"/>
      <c r="G474" s="649"/>
      <c r="H474" s="649"/>
      <c r="I474" s="391"/>
      <c r="J474" s="327"/>
      <c r="K474" s="327"/>
      <c r="L474" s="397"/>
      <c r="M474" s="398"/>
      <c r="N474" s="394"/>
    </row>
    <row r="475" spans="3:14">
      <c r="C475" s="393"/>
      <c r="D475" s="393"/>
      <c r="E475" s="393"/>
      <c r="F475" s="391"/>
      <c r="G475" s="649"/>
      <c r="H475" s="649"/>
      <c r="I475" s="391"/>
      <c r="J475" s="327"/>
      <c r="K475" s="327"/>
      <c r="L475" s="397"/>
      <c r="M475" s="398"/>
      <c r="N475" s="394"/>
    </row>
    <row r="476" spans="3:14">
      <c r="C476" s="393"/>
      <c r="D476" s="393"/>
      <c r="E476" s="393"/>
      <c r="F476" s="391"/>
      <c r="G476" s="649"/>
      <c r="H476" s="649"/>
      <c r="I476" s="391"/>
      <c r="J476" s="327"/>
      <c r="K476" s="327"/>
      <c r="L476" s="397"/>
      <c r="M476" s="398"/>
    </row>
    <row r="477" spans="3:14">
      <c r="C477" s="393"/>
      <c r="D477" s="393"/>
      <c r="E477" s="393"/>
      <c r="F477" s="391"/>
      <c r="G477" s="649"/>
      <c r="H477" s="649"/>
      <c r="I477" s="391"/>
      <c r="J477" s="327"/>
      <c r="K477" s="327"/>
      <c r="L477" s="397"/>
      <c r="M477" s="398"/>
    </row>
    <row r="478" spans="3:14">
      <c r="C478" s="393"/>
      <c r="D478" s="393"/>
      <c r="E478" s="393"/>
      <c r="F478" s="391"/>
      <c r="G478" s="649"/>
      <c r="H478" s="649"/>
      <c r="I478" s="391"/>
      <c r="J478" s="327"/>
      <c r="K478" s="327"/>
      <c r="L478" s="397"/>
      <c r="M478" s="398"/>
    </row>
    <row r="479" spans="3:14">
      <c r="C479" s="393"/>
      <c r="D479" s="393"/>
      <c r="E479" s="393"/>
      <c r="F479" s="391"/>
      <c r="G479" s="649"/>
      <c r="H479" s="649"/>
      <c r="I479" s="391"/>
      <c r="J479" s="327"/>
      <c r="K479" s="327"/>
      <c r="L479" s="397"/>
      <c r="M479" s="398"/>
    </row>
    <row r="480" spans="3:14">
      <c r="C480" s="393"/>
      <c r="D480" s="393"/>
      <c r="E480" s="393"/>
      <c r="F480" s="391"/>
      <c r="G480" s="649"/>
      <c r="H480" s="649"/>
      <c r="I480" s="391"/>
      <c r="J480" s="327"/>
      <c r="K480" s="327"/>
      <c r="L480" s="397"/>
      <c r="M480" s="398"/>
    </row>
    <row r="481" spans="3:13">
      <c r="C481" s="393"/>
      <c r="D481" s="393"/>
      <c r="E481" s="393"/>
      <c r="F481" s="391"/>
      <c r="G481" s="649"/>
      <c r="H481" s="649"/>
      <c r="I481" s="391"/>
      <c r="J481" s="327"/>
      <c r="K481" s="327"/>
      <c r="L481" s="397"/>
      <c r="M481" s="398"/>
    </row>
    <row r="482" spans="3:13">
      <c r="C482" s="393"/>
      <c r="D482" s="393"/>
      <c r="E482" s="393"/>
      <c r="F482" s="391"/>
      <c r="G482" s="649"/>
      <c r="H482" s="649"/>
      <c r="I482" s="391"/>
      <c r="J482" s="327"/>
      <c r="K482" s="327"/>
      <c r="L482" s="397"/>
      <c r="M482" s="398"/>
    </row>
    <row r="483" spans="3:13">
      <c r="C483" s="393"/>
      <c r="D483" s="393"/>
      <c r="E483" s="393"/>
      <c r="F483" s="391"/>
      <c r="G483" s="649"/>
      <c r="H483" s="649"/>
      <c r="I483" s="391"/>
      <c r="J483" s="327"/>
      <c r="K483" s="327"/>
      <c r="L483" s="397"/>
      <c r="M483" s="398"/>
    </row>
    <row r="484" spans="3:13">
      <c r="C484" s="393"/>
      <c r="D484" s="393"/>
      <c r="E484" s="393"/>
      <c r="F484" s="391"/>
      <c r="G484" s="649"/>
      <c r="H484" s="649"/>
      <c r="I484" s="391"/>
      <c r="J484" s="327"/>
      <c r="K484" s="327"/>
      <c r="L484" s="397"/>
      <c r="M484" s="398"/>
    </row>
    <row r="485" spans="3:13">
      <c r="C485" s="393"/>
      <c r="D485" s="393"/>
      <c r="E485" s="393"/>
      <c r="F485" s="391"/>
      <c r="G485" s="649"/>
      <c r="H485" s="649"/>
      <c r="I485" s="391"/>
      <c r="J485" s="327"/>
      <c r="K485" s="327"/>
      <c r="L485" s="397"/>
      <c r="M485" s="398"/>
    </row>
    <row r="486" spans="3:13">
      <c r="C486" s="393"/>
      <c r="D486" s="393"/>
      <c r="E486" s="393"/>
      <c r="F486" s="391"/>
      <c r="G486" s="649"/>
      <c r="H486" s="649"/>
      <c r="I486" s="391"/>
      <c r="J486" s="327"/>
      <c r="K486" s="327"/>
      <c r="L486" s="397"/>
      <c r="M486" s="398"/>
    </row>
    <row r="487" spans="3:13">
      <c r="C487" s="393"/>
      <c r="D487" s="393"/>
      <c r="E487" s="393"/>
      <c r="F487" s="391"/>
      <c r="G487" s="649"/>
      <c r="H487" s="649"/>
      <c r="I487" s="391"/>
      <c r="J487" s="327"/>
      <c r="K487" s="327"/>
      <c r="L487" s="397"/>
      <c r="M487" s="398"/>
    </row>
    <row r="488" spans="3:13">
      <c r="C488" s="393"/>
      <c r="D488" s="393"/>
      <c r="E488" s="393"/>
      <c r="F488" s="391"/>
      <c r="G488" s="649"/>
      <c r="H488" s="649"/>
      <c r="I488" s="391"/>
      <c r="J488" s="327"/>
      <c r="K488" s="327"/>
      <c r="L488" s="397"/>
      <c r="M488" s="398"/>
    </row>
    <row r="489" spans="3:13">
      <c r="C489" s="393"/>
      <c r="D489" s="393"/>
      <c r="E489" s="393"/>
      <c r="F489" s="391"/>
      <c r="G489" s="649"/>
      <c r="H489" s="649"/>
      <c r="I489" s="391"/>
      <c r="J489" s="327"/>
      <c r="K489" s="327"/>
      <c r="L489" s="397"/>
      <c r="M489" s="398"/>
    </row>
    <row r="490" spans="3:13">
      <c r="C490" s="393"/>
      <c r="D490" s="393"/>
      <c r="E490" s="393"/>
      <c r="F490" s="391"/>
      <c r="G490" s="649"/>
      <c r="H490" s="649"/>
      <c r="I490" s="391"/>
      <c r="J490" s="327"/>
      <c r="K490" s="327"/>
      <c r="L490" s="397"/>
      <c r="M490" s="398"/>
    </row>
    <row r="491" spans="3:13">
      <c r="C491" s="393"/>
      <c r="D491" s="393"/>
      <c r="E491" s="393"/>
      <c r="F491" s="391"/>
      <c r="G491" s="649"/>
      <c r="H491" s="649"/>
      <c r="I491" s="391"/>
      <c r="J491" s="327"/>
      <c r="K491" s="327"/>
      <c r="L491" s="397"/>
      <c r="M491" s="398"/>
    </row>
    <row r="492" spans="3:13">
      <c r="C492" s="393"/>
      <c r="D492" s="393"/>
      <c r="E492" s="393"/>
      <c r="F492" s="391"/>
      <c r="G492" s="649"/>
      <c r="H492" s="649"/>
      <c r="I492" s="391"/>
      <c r="J492" s="327"/>
      <c r="K492" s="327"/>
      <c r="L492" s="397"/>
      <c r="M492" s="398"/>
    </row>
    <row r="493" spans="3:13">
      <c r="C493" s="393"/>
      <c r="D493" s="393"/>
      <c r="E493" s="393"/>
      <c r="F493" s="391"/>
      <c r="G493" s="649"/>
      <c r="H493" s="649"/>
      <c r="I493" s="391"/>
      <c r="J493" s="327"/>
      <c r="K493" s="327"/>
      <c r="L493" s="397"/>
      <c r="M493" s="398"/>
    </row>
    <row r="494" spans="3:13">
      <c r="C494" s="393"/>
      <c r="D494" s="393"/>
      <c r="E494" s="393"/>
      <c r="F494" s="391"/>
      <c r="G494" s="649"/>
      <c r="H494" s="649"/>
      <c r="I494" s="391"/>
      <c r="J494" s="327"/>
      <c r="K494" s="327"/>
      <c r="L494" s="397"/>
      <c r="M494" s="398"/>
    </row>
    <row r="495" spans="3:13">
      <c r="C495" s="393"/>
      <c r="D495" s="393"/>
      <c r="E495" s="393"/>
      <c r="F495" s="391"/>
      <c r="G495" s="649"/>
      <c r="H495" s="649"/>
      <c r="I495" s="391"/>
      <c r="J495" s="327"/>
      <c r="K495" s="327"/>
      <c r="L495" s="397"/>
      <c r="M495" s="398"/>
    </row>
    <row r="496" spans="3:13">
      <c r="C496" s="393"/>
      <c r="D496" s="393"/>
      <c r="E496" s="393"/>
      <c r="F496" s="391"/>
      <c r="G496" s="649"/>
      <c r="H496" s="649"/>
      <c r="I496" s="391"/>
      <c r="J496" s="327"/>
      <c r="K496" s="327"/>
      <c r="L496" s="397"/>
      <c r="M496" s="398"/>
    </row>
    <row r="497" spans="3:13">
      <c r="C497" s="393"/>
      <c r="D497" s="393"/>
      <c r="E497" s="393"/>
      <c r="F497" s="391"/>
      <c r="G497" s="649"/>
      <c r="H497" s="649"/>
      <c r="I497" s="391"/>
      <c r="J497" s="327"/>
      <c r="K497" s="327"/>
      <c r="L497" s="397"/>
      <c r="M497" s="398"/>
    </row>
    <row r="498" spans="3:13">
      <c r="C498" s="393"/>
      <c r="D498" s="393"/>
      <c r="E498" s="393"/>
      <c r="F498" s="391"/>
      <c r="G498" s="649"/>
      <c r="H498" s="649"/>
      <c r="I498" s="391"/>
      <c r="J498" s="327"/>
      <c r="K498" s="327"/>
      <c r="L498" s="397"/>
      <c r="M498" s="398"/>
    </row>
    <row r="499" spans="3:13">
      <c r="C499" s="393"/>
      <c r="D499" s="393"/>
      <c r="E499" s="393"/>
      <c r="F499" s="391"/>
      <c r="G499" s="649"/>
      <c r="H499" s="649"/>
      <c r="I499" s="391"/>
      <c r="J499" s="327"/>
      <c r="K499" s="327"/>
      <c r="L499" s="397"/>
      <c r="M499" s="398"/>
    </row>
    <row r="500" spans="3:13">
      <c r="C500" s="393"/>
      <c r="D500" s="393"/>
      <c r="E500" s="393"/>
      <c r="F500" s="391"/>
      <c r="G500" s="649"/>
      <c r="H500" s="649"/>
      <c r="I500" s="391"/>
      <c r="J500" s="327"/>
      <c r="K500" s="327"/>
      <c r="L500" s="397"/>
      <c r="M500" s="398"/>
    </row>
    <row r="501" spans="3:13">
      <c r="C501" s="393"/>
      <c r="D501" s="393"/>
      <c r="E501" s="393"/>
      <c r="F501" s="391"/>
      <c r="G501" s="649"/>
      <c r="H501" s="649"/>
      <c r="I501" s="391"/>
      <c r="J501" s="327"/>
      <c r="K501" s="327"/>
      <c r="L501" s="397"/>
      <c r="M501" s="398"/>
    </row>
    <row r="502" spans="3:13">
      <c r="C502" s="393"/>
      <c r="D502" s="393"/>
      <c r="E502" s="393"/>
      <c r="F502" s="391"/>
      <c r="G502" s="649"/>
      <c r="H502" s="649"/>
      <c r="I502" s="391"/>
      <c r="J502" s="327"/>
      <c r="K502" s="327"/>
      <c r="L502" s="397"/>
      <c r="M502" s="398"/>
    </row>
    <row r="503" spans="3:13">
      <c r="C503" s="393"/>
      <c r="D503" s="393"/>
      <c r="E503" s="393"/>
      <c r="F503" s="391"/>
      <c r="G503" s="649"/>
      <c r="H503" s="649"/>
      <c r="I503" s="391"/>
      <c r="J503" s="327"/>
      <c r="K503" s="327"/>
      <c r="L503" s="397"/>
      <c r="M503" s="398"/>
    </row>
    <row r="504" spans="3:13">
      <c r="C504" s="393"/>
      <c r="D504" s="393"/>
      <c r="E504" s="393"/>
      <c r="F504" s="391"/>
      <c r="G504" s="649"/>
      <c r="H504" s="649"/>
      <c r="I504" s="391"/>
      <c r="J504" s="327"/>
      <c r="K504" s="327"/>
      <c r="L504" s="397"/>
      <c r="M504" s="398"/>
    </row>
    <row r="505" spans="3:13">
      <c r="C505" s="393"/>
      <c r="D505" s="393"/>
      <c r="E505" s="393"/>
      <c r="F505" s="391"/>
      <c r="G505" s="649"/>
      <c r="H505" s="649"/>
      <c r="I505" s="391"/>
      <c r="J505" s="327"/>
      <c r="K505" s="327"/>
      <c r="L505" s="397"/>
      <c r="M505" s="398"/>
    </row>
    <row r="506" spans="3:13">
      <c r="C506" s="393"/>
      <c r="D506" s="393"/>
      <c r="E506" s="393"/>
      <c r="F506" s="391"/>
      <c r="G506" s="649"/>
      <c r="H506" s="649"/>
      <c r="I506" s="391"/>
      <c r="J506" s="327"/>
      <c r="K506" s="327"/>
      <c r="L506" s="397"/>
      <c r="M506" s="398"/>
    </row>
    <row r="507" spans="3:13">
      <c r="C507" s="393"/>
      <c r="D507" s="393"/>
      <c r="E507" s="393"/>
      <c r="F507" s="391"/>
      <c r="G507" s="649"/>
      <c r="H507" s="649"/>
      <c r="I507" s="391"/>
      <c r="J507" s="327"/>
      <c r="K507" s="327"/>
      <c r="L507" s="397"/>
      <c r="M507" s="398"/>
    </row>
    <row r="508" spans="3:13">
      <c r="C508" s="393"/>
      <c r="D508" s="393"/>
      <c r="E508" s="393"/>
      <c r="F508" s="391"/>
      <c r="G508" s="649"/>
      <c r="H508" s="649"/>
      <c r="I508" s="391"/>
      <c r="J508" s="327"/>
      <c r="K508" s="327"/>
      <c r="L508" s="397"/>
      <c r="M508" s="398"/>
    </row>
    <row r="509" spans="3:13">
      <c r="C509" s="393"/>
      <c r="D509" s="393"/>
      <c r="E509" s="393"/>
      <c r="F509" s="391"/>
      <c r="G509" s="649"/>
      <c r="H509" s="649"/>
      <c r="I509" s="391"/>
      <c r="J509" s="327"/>
      <c r="K509" s="327"/>
      <c r="L509" s="397"/>
      <c r="M509" s="398"/>
    </row>
    <row r="510" spans="3:13">
      <c r="C510" s="393"/>
      <c r="D510" s="393"/>
      <c r="E510" s="393"/>
      <c r="F510" s="391"/>
      <c r="G510" s="649"/>
      <c r="H510" s="649"/>
      <c r="I510" s="391"/>
      <c r="J510" s="327"/>
      <c r="K510" s="327"/>
      <c r="L510" s="397"/>
      <c r="M510" s="398"/>
    </row>
    <row r="511" spans="3:13">
      <c r="C511" s="393"/>
      <c r="D511" s="393"/>
      <c r="E511" s="393"/>
      <c r="F511" s="391"/>
      <c r="G511" s="649"/>
      <c r="H511" s="649"/>
      <c r="I511" s="391"/>
      <c r="J511" s="327"/>
      <c r="K511" s="327"/>
      <c r="L511" s="397"/>
      <c r="M511" s="398"/>
    </row>
    <row r="512" spans="3:13">
      <c r="C512" s="393"/>
      <c r="D512" s="393"/>
      <c r="E512" s="393"/>
      <c r="F512" s="391"/>
      <c r="G512" s="649"/>
      <c r="H512" s="649"/>
      <c r="I512" s="391"/>
      <c r="J512" s="327"/>
      <c r="K512" s="327"/>
      <c r="L512" s="397"/>
      <c r="M512" s="398"/>
    </row>
    <row r="513" spans="3:13">
      <c r="C513" s="393"/>
      <c r="D513" s="393"/>
      <c r="E513" s="393"/>
      <c r="F513" s="391"/>
      <c r="G513" s="649"/>
      <c r="H513" s="649"/>
      <c r="I513" s="391"/>
      <c r="J513" s="327"/>
      <c r="K513" s="327"/>
      <c r="L513" s="397"/>
      <c r="M513" s="398"/>
    </row>
    <row r="514" spans="3:13">
      <c r="C514" s="393"/>
      <c r="D514" s="393"/>
      <c r="E514" s="393"/>
      <c r="F514" s="391"/>
      <c r="G514" s="649"/>
      <c r="H514" s="649"/>
      <c r="I514" s="391"/>
      <c r="J514" s="327"/>
      <c r="K514" s="327"/>
      <c r="L514" s="397"/>
      <c r="M514" s="398"/>
    </row>
    <row r="515" spans="3:13">
      <c r="C515" s="393"/>
      <c r="D515" s="393"/>
      <c r="E515" s="393"/>
      <c r="F515" s="391"/>
      <c r="G515" s="649"/>
      <c r="H515" s="649"/>
      <c r="I515" s="391"/>
      <c r="J515" s="327"/>
      <c r="K515" s="327"/>
      <c r="L515" s="397"/>
      <c r="M515" s="398"/>
    </row>
    <row r="516" spans="3:13">
      <c r="C516" s="393"/>
      <c r="D516" s="393"/>
      <c r="E516" s="393"/>
      <c r="F516" s="391"/>
      <c r="G516" s="649"/>
      <c r="H516" s="649"/>
      <c r="I516" s="391"/>
      <c r="J516" s="327"/>
      <c r="K516" s="327"/>
      <c r="L516" s="397"/>
      <c r="M516" s="398"/>
    </row>
    <row r="517" spans="3:13">
      <c r="C517" s="393"/>
      <c r="D517" s="393"/>
      <c r="E517" s="393"/>
      <c r="F517" s="391"/>
      <c r="G517" s="649"/>
      <c r="H517" s="649"/>
      <c r="I517" s="391"/>
      <c r="J517" s="327"/>
      <c r="K517" s="327"/>
      <c r="L517" s="397"/>
      <c r="M517" s="398"/>
    </row>
    <row r="518" spans="3:13">
      <c r="C518" s="393"/>
      <c r="D518" s="393"/>
      <c r="E518" s="393"/>
      <c r="F518" s="391"/>
      <c r="G518" s="649"/>
      <c r="H518" s="649"/>
      <c r="I518" s="391"/>
      <c r="J518" s="327"/>
      <c r="K518" s="327"/>
      <c r="L518" s="397"/>
      <c r="M518" s="398"/>
    </row>
    <row r="519" spans="3:13">
      <c r="C519" s="393"/>
      <c r="D519" s="393"/>
      <c r="E519" s="393"/>
      <c r="F519" s="391"/>
      <c r="G519" s="649"/>
      <c r="H519" s="649"/>
      <c r="I519" s="391"/>
      <c r="J519" s="327"/>
      <c r="K519" s="327"/>
      <c r="L519" s="397"/>
      <c r="M519" s="398"/>
    </row>
    <row r="520" spans="3:13">
      <c r="C520" s="393"/>
      <c r="D520" s="393"/>
      <c r="E520" s="393"/>
      <c r="F520" s="391"/>
      <c r="G520" s="649"/>
      <c r="H520" s="649"/>
      <c r="I520" s="391"/>
      <c r="J520" s="327"/>
      <c r="K520" s="327"/>
      <c r="L520" s="397"/>
      <c r="M520" s="398"/>
    </row>
    <row r="521" spans="3:13">
      <c r="C521" s="393"/>
      <c r="D521" s="393"/>
      <c r="E521" s="393"/>
      <c r="F521" s="391"/>
      <c r="G521" s="649"/>
      <c r="H521" s="649"/>
      <c r="I521" s="391"/>
      <c r="J521" s="327"/>
      <c r="K521" s="327"/>
      <c r="L521" s="397"/>
      <c r="M521" s="398"/>
    </row>
    <row r="522" spans="3:13">
      <c r="C522" s="393"/>
      <c r="D522" s="393"/>
      <c r="E522" s="393"/>
      <c r="F522" s="391"/>
      <c r="G522" s="649"/>
      <c r="H522" s="649"/>
      <c r="I522" s="391"/>
      <c r="J522" s="327"/>
      <c r="K522" s="327"/>
      <c r="L522" s="397"/>
      <c r="M522" s="398"/>
    </row>
    <row r="523" spans="3:13">
      <c r="C523" s="393"/>
      <c r="D523" s="393"/>
      <c r="E523" s="393"/>
      <c r="F523" s="391"/>
      <c r="G523" s="649"/>
      <c r="H523" s="649"/>
      <c r="I523" s="391"/>
      <c r="J523" s="327"/>
      <c r="K523" s="327"/>
      <c r="L523" s="397"/>
      <c r="M523" s="398"/>
    </row>
    <row r="524" spans="3:13">
      <c r="C524" s="393"/>
      <c r="D524" s="393"/>
      <c r="E524" s="393"/>
      <c r="F524" s="391"/>
      <c r="G524" s="649"/>
      <c r="H524" s="649"/>
      <c r="I524" s="391"/>
      <c r="J524" s="327"/>
      <c r="K524" s="327"/>
      <c r="L524" s="397"/>
      <c r="M524" s="398"/>
    </row>
    <row r="525" spans="3:13">
      <c r="C525" s="393"/>
      <c r="D525" s="393"/>
      <c r="E525" s="393"/>
      <c r="F525" s="391"/>
      <c r="G525" s="649"/>
      <c r="H525" s="649"/>
      <c r="I525" s="391"/>
      <c r="J525" s="327"/>
      <c r="K525" s="327"/>
      <c r="L525" s="397"/>
      <c r="M525" s="398"/>
    </row>
    <row r="526" spans="3:13">
      <c r="C526" s="393"/>
      <c r="D526" s="393"/>
      <c r="E526" s="393"/>
      <c r="F526" s="391"/>
      <c r="G526" s="649"/>
      <c r="H526" s="649"/>
      <c r="I526" s="391"/>
      <c r="J526" s="327"/>
      <c r="K526" s="327"/>
      <c r="L526" s="397"/>
      <c r="M526" s="398"/>
    </row>
    <row r="527" spans="3:13">
      <c r="C527" s="393"/>
      <c r="D527" s="393"/>
      <c r="E527" s="393"/>
      <c r="F527" s="391"/>
      <c r="G527" s="649"/>
      <c r="H527" s="649"/>
      <c r="I527" s="391"/>
      <c r="J527" s="327"/>
      <c r="K527" s="327"/>
      <c r="L527" s="397"/>
      <c r="M527" s="398"/>
    </row>
    <row r="528" spans="3:13">
      <c r="C528" s="393"/>
      <c r="D528" s="393"/>
      <c r="E528" s="393"/>
      <c r="F528" s="391"/>
      <c r="G528" s="649"/>
      <c r="H528" s="649"/>
      <c r="I528" s="391"/>
      <c r="J528" s="327"/>
      <c r="K528" s="327"/>
      <c r="L528" s="397"/>
      <c r="M528" s="398"/>
    </row>
    <row r="529" spans="3:13">
      <c r="C529" s="393"/>
      <c r="D529" s="393"/>
      <c r="E529" s="393"/>
      <c r="F529" s="391"/>
      <c r="G529" s="649"/>
      <c r="H529" s="649"/>
      <c r="I529" s="391"/>
      <c r="J529" s="327"/>
      <c r="K529" s="327"/>
      <c r="L529" s="397"/>
      <c r="M529" s="398"/>
    </row>
    <row r="530" spans="3:13">
      <c r="C530" s="393"/>
      <c r="D530" s="393"/>
      <c r="E530" s="393"/>
      <c r="F530" s="391"/>
      <c r="G530" s="649"/>
      <c r="H530" s="649"/>
      <c r="I530" s="391"/>
      <c r="J530" s="327"/>
      <c r="K530" s="327"/>
      <c r="L530" s="397"/>
      <c r="M530" s="398"/>
    </row>
    <row r="531" spans="3:13">
      <c r="C531" s="393"/>
      <c r="D531" s="393"/>
      <c r="E531" s="393"/>
      <c r="F531" s="391"/>
      <c r="G531" s="649"/>
      <c r="H531" s="649"/>
      <c r="I531" s="391"/>
      <c r="J531" s="327"/>
      <c r="K531" s="327"/>
      <c r="L531" s="397"/>
      <c r="M531" s="398"/>
    </row>
    <row r="532" spans="3:13">
      <c r="C532" s="393"/>
      <c r="D532" s="393"/>
      <c r="E532" s="393"/>
      <c r="F532" s="391"/>
      <c r="G532" s="649"/>
      <c r="H532" s="649"/>
      <c r="I532" s="391"/>
      <c r="J532" s="327"/>
      <c r="K532" s="327"/>
      <c r="L532" s="397"/>
      <c r="M532" s="398"/>
    </row>
    <row r="533" spans="3:13">
      <c r="C533" s="393"/>
      <c r="D533" s="393"/>
      <c r="E533" s="393"/>
      <c r="F533" s="391"/>
      <c r="G533" s="649"/>
      <c r="H533" s="649"/>
      <c r="I533" s="391"/>
      <c r="J533" s="327"/>
      <c r="K533" s="327"/>
      <c r="L533" s="397"/>
      <c r="M533" s="398"/>
    </row>
    <row r="534" spans="3:13">
      <c r="C534" s="393"/>
      <c r="D534" s="393"/>
      <c r="E534" s="393"/>
      <c r="F534" s="391"/>
      <c r="G534" s="649"/>
      <c r="H534" s="649"/>
      <c r="I534" s="391"/>
      <c r="J534" s="327"/>
      <c r="K534" s="327"/>
      <c r="L534" s="397"/>
      <c r="M534" s="398"/>
    </row>
    <row r="535" spans="3:13">
      <c r="C535" s="393"/>
      <c r="D535" s="393"/>
      <c r="E535" s="393"/>
      <c r="F535" s="391"/>
      <c r="G535" s="649"/>
      <c r="H535" s="649"/>
      <c r="I535" s="391"/>
      <c r="J535" s="327"/>
      <c r="K535" s="327"/>
      <c r="L535" s="397"/>
      <c r="M535" s="398"/>
    </row>
    <row r="536" spans="3:13">
      <c r="C536" s="393"/>
      <c r="D536" s="393"/>
      <c r="E536" s="393"/>
      <c r="F536" s="391"/>
      <c r="G536" s="649"/>
      <c r="H536" s="649"/>
      <c r="I536" s="391"/>
      <c r="J536" s="327"/>
      <c r="K536" s="327"/>
      <c r="L536" s="397"/>
      <c r="M536" s="398"/>
    </row>
    <row r="537" spans="3:13">
      <c r="C537" s="393"/>
      <c r="D537" s="393"/>
      <c r="E537" s="393"/>
      <c r="F537" s="391"/>
      <c r="G537" s="649"/>
      <c r="H537" s="649"/>
      <c r="I537" s="391"/>
      <c r="J537" s="327"/>
      <c r="K537" s="327"/>
      <c r="L537" s="397"/>
      <c r="M537" s="398"/>
    </row>
    <row r="538" spans="3:13">
      <c r="C538" s="393"/>
      <c r="D538" s="393"/>
      <c r="E538" s="393"/>
      <c r="F538" s="391"/>
      <c r="G538" s="649"/>
      <c r="H538" s="649"/>
      <c r="I538" s="391"/>
      <c r="J538" s="327"/>
      <c r="K538" s="327"/>
      <c r="L538" s="397"/>
      <c r="M538" s="398"/>
    </row>
    <row r="539" spans="3:13">
      <c r="C539" s="393"/>
      <c r="D539" s="393"/>
      <c r="E539" s="393"/>
      <c r="F539" s="391"/>
      <c r="G539" s="649"/>
      <c r="H539" s="649"/>
      <c r="I539" s="391"/>
      <c r="J539" s="327"/>
      <c r="K539" s="327"/>
      <c r="L539" s="397"/>
      <c r="M539" s="398"/>
    </row>
    <row r="540" spans="3:13">
      <c r="C540" s="393"/>
      <c r="D540" s="393"/>
      <c r="E540" s="393"/>
      <c r="F540" s="391"/>
      <c r="G540" s="649"/>
      <c r="H540" s="649"/>
      <c r="I540" s="391"/>
      <c r="J540" s="327"/>
      <c r="K540" s="327"/>
      <c r="L540" s="397"/>
      <c r="M540" s="398"/>
    </row>
    <row r="541" spans="3:13">
      <c r="C541" s="393"/>
      <c r="D541" s="393"/>
      <c r="E541" s="393"/>
      <c r="F541" s="391"/>
      <c r="G541" s="649"/>
      <c r="H541" s="649"/>
      <c r="I541" s="391"/>
      <c r="J541" s="327"/>
      <c r="K541" s="327"/>
      <c r="L541" s="397"/>
      <c r="M541" s="398"/>
    </row>
    <row r="542" spans="3:13">
      <c r="C542" s="393"/>
      <c r="D542" s="393"/>
      <c r="E542" s="393"/>
      <c r="F542" s="391"/>
      <c r="G542" s="649"/>
      <c r="H542" s="649"/>
      <c r="I542" s="391"/>
      <c r="J542" s="327"/>
      <c r="K542" s="327"/>
      <c r="L542" s="397"/>
      <c r="M542" s="398"/>
    </row>
    <row r="543" spans="3:13">
      <c r="C543" s="393"/>
      <c r="D543" s="393"/>
      <c r="E543" s="393"/>
      <c r="F543" s="391"/>
      <c r="G543" s="649"/>
      <c r="H543" s="649"/>
      <c r="I543" s="391"/>
      <c r="J543" s="327"/>
      <c r="K543" s="327"/>
      <c r="L543" s="397"/>
      <c r="M543" s="398"/>
    </row>
    <row r="544" spans="3:13">
      <c r="C544" s="393"/>
      <c r="D544" s="393"/>
      <c r="E544" s="393"/>
      <c r="F544" s="391"/>
      <c r="G544" s="649"/>
      <c r="H544" s="649"/>
      <c r="I544" s="391"/>
      <c r="J544" s="327"/>
      <c r="K544" s="327"/>
      <c r="L544" s="397"/>
      <c r="M544" s="398"/>
    </row>
    <row r="545" spans="3:13">
      <c r="C545" s="393"/>
      <c r="D545" s="393"/>
      <c r="E545" s="393"/>
      <c r="F545" s="391"/>
      <c r="G545" s="649"/>
      <c r="H545" s="649"/>
      <c r="I545" s="391"/>
      <c r="J545" s="327"/>
      <c r="K545" s="327"/>
      <c r="L545" s="397"/>
      <c r="M545" s="398"/>
    </row>
    <row r="546" spans="3:13">
      <c r="C546" s="393"/>
      <c r="D546" s="393"/>
      <c r="E546" s="393"/>
      <c r="F546" s="391"/>
      <c r="G546" s="649"/>
      <c r="H546" s="649"/>
      <c r="I546" s="391"/>
      <c r="J546" s="327"/>
      <c r="K546" s="327"/>
      <c r="L546" s="397"/>
      <c r="M546" s="398"/>
    </row>
    <row r="547" spans="3:13">
      <c r="C547" s="393"/>
      <c r="D547" s="393"/>
      <c r="E547" s="393"/>
      <c r="F547" s="391"/>
      <c r="G547" s="649"/>
      <c r="H547" s="649"/>
      <c r="I547" s="391"/>
      <c r="J547" s="327"/>
      <c r="K547" s="327"/>
      <c r="L547" s="397"/>
      <c r="M547" s="398"/>
    </row>
    <row r="548" spans="3:13">
      <c r="C548" s="393"/>
      <c r="D548" s="393"/>
      <c r="E548" s="393"/>
      <c r="F548" s="391"/>
      <c r="G548" s="649"/>
      <c r="H548" s="649"/>
      <c r="I548" s="391"/>
      <c r="J548" s="327"/>
      <c r="K548" s="327"/>
      <c r="L548" s="397"/>
      <c r="M548" s="398"/>
    </row>
    <row r="549" spans="3:13">
      <c r="C549" s="393"/>
      <c r="D549" s="393"/>
      <c r="E549" s="393"/>
      <c r="F549" s="391"/>
      <c r="G549" s="649"/>
      <c r="H549" s="649"/>
      <c r="I549" s="391"/>
      <c r="J549" s="327"/>
      <c r="K549" s="327"/>
      <c r="L549" s="397"/>
      <c r="M549" s="398"/>
    </row>
    <row r="550" spans="3:13">
      <c r="C550" s="393"/>
      <c r="D550" s="393"/>
      <c r="E550" s="393"/>
      <c r="F550" s="391"/>
      <c r="G550" s="649"/>
      <c r="H550" s="649"/>
      <c r="I550" s="391"/>
      <c r="J550" s="327"/>
      <c r="K550" s="327"/>
      <c r="L550" s="397"/>
      <c r="M550" s="398"/>
    </row>
    <row r="551" spans="3:13">
      <c r="C551" s="393"/>
      <c r="D551" s="393"/>
      <c r="E551" s="393"/>
      <c r="F551" s="391"/>
      <c r="G551" s="649"/>
      <c r="H551" s="649"/>
      <c r="I551" s="391"/>
      <c r="J551" s="327"/>
      <c r="K551" s="327"/>
      <c r="L551" s="397"/>
      <c r="M551" s="398"/>
    </row>
    <row r="552" spans="3:13">
      <c r="C552" s="393"/>
      <c r="D552" s="393"/>
      <c r="E552" s="393"/>
      <c r="F552" s="391"/>
      <c r="G552" s="649"/>
      <c r="H552" s="649"/>
      <c r="I552" s="391"/>
      <c r="J552" s="327"/>
      <c r="K552" s="327"/>
      <c r="L552" s="397"/>
      <c r="M552" s="398"/>
    </row>
    <row r="553" spans="3:13">
      <c r="C553" s="393"/>
      <c r="D553" s="393"/>
      <c r="E553" s="393"/>
      <c r="F553" s="391"/>
      <c r="G553" s="649"/>
      <c r="H553" s="649"/>
      <c r="I553" s="391"/>
      <c r="J553" s="327"/>
      <c r="K553" s="327"/>
      <c r="L553" s="397"/>
      <c r="M553" s="398"/>
    </row>
    <row r="554" spans="3:13">
      <c r="C554" s="393"/>
      <c r="D554" s="393"/>
      <c r="E554" s="393"/>
      <c r="F554" s="391"/>
      <c r="G554" s="649"/>
      <c r="H554" s="649"/>
      <c r="I554" s="391"/>
      <c r="J554" s="327"/>
      <c r="K554" s="327"/>
      <c r="L554" s="397"/>
      <c r="M554" s="398"/>
    </row>
    <row r="555" spans="3:13">
      <c r="C555" s="393"/>
      <c r="D555" s="393"/>
      <c r="E555" s="393"/>
      <c r="F555" s="391"/>
      <c r="G555" s="649"/>
      <c r="H555" s="649"/>
      <c r="I555" s="391"/>
      <c r="J555" s="327"/>
      <c r="K555" s="327"/>
      <c r="L555" s="397"/>
      <c r="M555" s="398"/>
    </row>
    <row r="556" spans="3:13">
      <c r="C556" s="393"/>
      <c r="D556" s="393"/>
      <c r="E556" s="393"/>
      <c r="F556" s="391"/>
      <c r="G556" s="649"/>
      <c r="H556" s="649"/>
      <c r="I556" s="391"/>
      <c r="J556" s="327"/>
      <c r="K556" s="327"/>
      <c r="L556" s="397"/>
      <c r="M556" s="398"/>
    </row>
    <row r="557" spans="3:13">
      <c r="C557" s="393"/>
      <c r="D557" s="393"/>
      <c r="E557" s="393"/>
      <c r="F557" s="391"/>
      <c r="G557" s="649"/>
      <c r="H557" s="649"/>
      <c r="I557" s="391"/>
      <c r="J557" s="327"/>
      <c r="K557" s="327"/>
      <c r="L557" s="397"/>
      <c r="M557" s="398"/>
    </row>
    <row r="558" spans="3:13">
      <c r="C558" s="393"/>
      <c r="D558" s="393"/>
      <c r="E558" s="393"/>
      <c r="F558" s="391"/>
      <c r="G558" s="649"/>
      <c r="H558" s="649"/>
      <c r="I558" s="391"/>
      <c r="J558" s="327"/>
      <c r="K558" s="327"/>
      <c r="L558" s="397"/>
      <c r="M558" s="398"/>
    </row>
    <row r="559" spans="3:13">
      <c r="C559" s="393"/>
      <c r="D559" s="393"/>
      <c r="E559" s="393"/>
      <c r="F559" s="391"/>
      <c r="G559" s="649"/>
      <c r="H559" s="649"/>
      <c r="I559" s="391"/>
      <c r="J559" s="327"/>
      <c r="K559" s="327"/>
      <c r="L559" s="397"/>
      <c r="M559" s="398"/>
    </row>
    <row r="560" spans="3:13">
      <c r="C560" s="393"/>
      <c r="D560" s="393"/>
      <c r="E560" s="393"/>
      <c r="F560" s="391"/>
      <c r="G560" s="649"/>
      <c r="H560" s="649"/>
      <c r="I560" s="391"/>
      <c r="J560" s="327"/>
      <c r="K560" s="327"/>
      <c r="L560" s="397"/>
      <c r="M560" s="398"/>
    </row>
    <row r="561" spans="3:13">
      <c r="C561" s="393"/>
      <c r="D561" s="393"/>
      <c r="E561" s="393"/>
      <c r="F561" s="391"/>
      <c r="G561" s="649"/>
      <c r="H561" s="649"/>
      <c r="I561" s="391"/>
      <c r="J561" s="327"/>
      <c r="K561" s="327"/>
      <c r="L561" s="397"/>
      <c r="M561" s="398"/>
    </row>
    <row r="562" spans="3:13">
      <c r="C562" s="393"/>
      <c r="D562" s="393"/>
      <c r="E562" s="393"/>
      <c r="F562" s="391"/>
      <c r="G562" s="649"/>
      <c r="H562" s="649"/>
      <c r="I562" s="391"/>
      <c r="J562" s="327"/>
      <c r="K562" s="327"/>
      <c r="L562" s="397"/>
      <c r="M562" s="398"/>
    </row>
    <row r="563" spans="3:13">
      <c r="C563" s="393"/>
      <c r="D563" s="393"/>
      <c r="E563" s="393"/>
      <c r="F563" s="391"/>
      <c r="G563" s="649"/>
      <c r="H563" s="649"/>
      <c r="I563" s="391"/>
      <c r="J563" s="327"/>
      <c r="K563" s="327"/>
      <c r="L563" s="397"/>
      <c r="M563" s="398"/>
    </row>
    <row r="564" spans="3:13">
      <c r="C564" s="393"/>
      <c r="D564" s="393"/>
      <c r="E564" s="393"/>
      <c r="F564" s="391"/>
      <c r="G564" s="649"/>
      <c r="H564" s="649"/>
      <c r="I564" s="391"/>
      <c r="J564" s="327"/>
      <c r="K564" s="327"/>
      <c r="L564" s="397"/>
      <c r="M564" s="398"/>
    </row>
    <row r="565" spans="3:13">
      <c r="C565" s="393"/>
      <c r="D565" s="393"/>
      <c r="E565" s="393"/>
      <c r="F565" s="391"/>
      <c r="G565" s="649"/>
      <c r="H565" s="649"/>
      <c r="I565" s="391"/>
      <c r="J565" s="327"/>
      <c r="K565" s="327"/>
      <c r="L565" s="397"/>
      <c r="M565" s="398"/>
    </row>
    <row r="566" spans="3:13">
      <c r="C566" s="393"/>
      <c r="D566" s="393"/>
      <c r="E566" s="393"/>
      <c r="F566" s="391"/>
      <c r="G566" s="649"/>
      <c r="H566" s="649"/>
      <c r="I566" s="391"/>
      <c r="J566" s="327"/>
      <c r="K566" s="327"/>
      <c r="L566" s="397"/>
      <c r="M566" s="398"/>
    </row>
    <row r="567" spans="3:13">
      <c r="C567" s="393"/>
      <c r="D567" s="393"/>
      <c r="E567" s="393"/>
      <c r="F567" s="391"/>
      <c r="G567" s="649"/>
      <c r="H567" s="649"/>
      <c r="I567" s="391"/>
      <c r="J567" s="327"/>
      <c r="K567" s="327"/>
      <c r="L567" s="397"/>
      <c r="M567" s="398"/>
    </row>
    <row r="568" spans="3:13">
      <c r="C568" s="393"/>
      <c r="D568" s="393"/>
      <c r="E568" s="393"/>
      <c r="F568" s="391"/>
      <c r="G568" s="649"/>
      <c r="H568" s="649"/>
      <c r="I568" s="391"/>
      <c r="J568" s="327"/>
      <c r="K568" s="327"/>
      <c r="L568" s="397"/>
      <c r="M568" s="398"/>
    </row>
    <row r="569" spans="3:13">
      <c r="C569" s="393"/>
      <c r="D569" s="393"/>
      <c r="E569" s="393"/>
      <c r="F569" s="391"/>
      <c r="G569" s="649"/>
      <c r="H569" s="649"/>
      <c r="I569" s="391"/>
      <c r="J569" s="327"/>
      <c r="K569" s="327"/>
      <c r="L569" s="397"/>
      <c r="M569" s="398"/>
    </row>
    <row r="570" spans="3:13">
      <c r="C570" s="393"/>
      <c r="D570" s="393"/>
      <c r="E570" s="393"/>
      <c r="F570" s="391"/>
      <c r="G570" s="649"/>
      <c r="H570" s="649"/>
      <c r="I570" s="391"/>
      <c r="J570" s="327"/>
      <c r="K570" s="327"/>
      <c r="L570" s="397"/>
      <c r="M570" s="398"/>
    </row>
    <row r="571" spans="3:13">
      <c r="C571" s="393"/>
      <c r="D571" s="393"/>
      <c r="E571" s="393"/>
      <c r="F571" s="391"/>
      <c r="G571" s="649"/>
      <c r="H571" s="649"/>
      <c r="I571" s="391"/>
      <c r="J571" s="327"/>
      <c r="K571" s="327"/>
      <c r="L571" s="397"/>
      <c r="M571" s="398"/>
    </row>
    <row r="572" spans="3:13">
      <c r="C572" s="393"/>
      <c r="D572" s="393"/>
      <c r="E572" s="393"/>
      <c r="F572" s="391"/>
      <c r="G572" s="649"/>
      <c r="H572" s="649"/>
      <c r="I572" s="391"/>
      <c r="J572" s="327"/>
      <c r="K572" s="327"/>
      <c r="L572" s="397"/>
      <c r="M572" s="398"/>
    </row>
    <row r="573" spans="3:13">
      <c r="C573" s="393"/>
      <c r="D573" s="393"/>
      <c r="E573" s="393"/>
      <c r="F573" s="391"/>
      <c r="G573" s="649"/>
      <c r="H573" s="649"/>
      <c r="I573" s="391"/>
      <c r="J573" s="327"/>
      <c r="K573" s="327"/>
      <c r="L573" s="397"/>
      <c r="M573" s="398"/>
    </row>
    <row r="574" spans="3:13">
      <c r="C574" s="393"/>
      <c r="D574" s="393"/>
      <c r="E574" s="393"/>
      <c r="F574" s="391"/>
      <c r="G574" s="649"/>
      <c r="H574" s="649"/>
      <c r="I574" s="391"/>
      <c r="J574" s="327"/>
      <c r="K574" s="327"/>
      <c r="L574" s="397"/>
      <c r="M574" s="398"/>
    </row>
    <row r="575" spans="3:13">
      <c r="C575" s="393"/>
      <c r="D575" s="393"/>
      <c r="E575" s="393"/>
      <c r="F575" s="391"/>
      <c r="G575" s="649"/>
      <c r="H575" s="649"/>
      <c r="I575" s="391"/>
      <c r="J575" s="327"/>
      <c r="K575" s="327"/>
      <c r="L575" s="397"/>
      <c r="M575" s="398"/>
    </row>
    <row r="576" spans="3:13">
      <c r="C576" s="393"/>
      <c r="D576" s="393"/>
      <c r="E576" s="393"/>
      <c r="F576" s="391"/>
      <c r="G576" s="649"/>
      <c r="H576" s="649"/>
      <c r="I576" s="391"/>
      <c r="J576" s="327"/>
      <c r="K576" s="327"/>
      <c r="L576" s="397"/>
      <c r="M576" s="398"/>
    </row>
    <row r="577" spans="3:13">
      <c r="C577" s="393"/>
      <c r="D577" s="393"/>
      <c r="E577" s="393"/>
      <c r="F577" s="391"/>
      <c r="G577" s="649"/>
      <c r="H577" s="649"/>
      <c r="I577" s="391"/>
      <c r="J577" s="327"/>
      <c r="K577" s="327"/>
      <c r="L577" s="397"/>
      <c r="M577" s="398"/>
    </row>
    <row r="578" spans="3:13">
      <c r="C578" s="393"/>
      <c r="D578" s="393"/>
      <c r="E578" s="393"/>
      <c r="F578" s="391"/>
      <c r="G578" s="649"/>
      <c r="H578" s="649"/>
      <c r="I578" s="391"/>
      <c r="J578" s="327"/>
      <c r="K578" s="327"/>
      <c r="L578" s="397"/>
      <c r="M578" s="398"/>
    </row>
    <row r="579" spans="3:13">
      <c r="C579" s="393"/>
      <c r="D579" s="393"/>
      <c r="E579" s="393"/>
      <c r="F579" s="391"/>
      <c r="G579" s="649"/>
      <c r="H579" s="649"/>
      <c r="I579" s="391"/>
      <c r="J579" s="327"/>
      <c r="K579" s="327"/>
      <c r="L579" s="397"/>
      <c r="M579" s="398"/>
    </row>
    <row r="580" spans="3:13">
      <c r="C580" s="393"/>
      <c r="D580" s="393"/>
      <c r="E580" s="393"/>
      <c r="F580" s="391"/>
      <c r="G580" s="649"/>
      <c r="H580" s="649"/>
      <c r="I580" s="391"/>
      <c r="J580" s="327"/>
      <c r="K580" s="327"/>
      <c r="L580" s="397"/>
      <c r="M580" s="398"/>
    </row>
    <row r="581" spans="3:13">
      <c r="C581" s="393"/>
      <c r="D581" s="393"/>
      <c r="E581" s="393"/>
      <c r="F581" s="391"/>
      <c r="G581" s="649"/>
      <c r="H581" s="649"/>
      <c r="I581" s="391"/>
      <c r="J581" s="327"/>
      <c r="K581" s="327"/>
      <c r="L581" s="397"/>
      <c r="M581" s="398"/>
    </row>
    <row r="582" spans="3:13">
      <c r="C582" s="393"/>
      <c r="D582" s="393"/>
      <c r="E582" s="393"/>
      <c r="F582" s="391"/>
      <c r="G582" s="649"/>
      <c r="H582" s="649"/>
      <c r="I582" s="391"/>
      <c r="J582" s="327"/>
      <c r="K582" s="327"/>
      <c r="L582" s="397"/>
      <c r="M582" s="398"/>
    </row>
    <row r="583" spans="3:13">
      <c r="C583" s="393"/>
      <c r="D583" s="393"/>
      <c r="E583" s="393"/>
      <c r="F583" s="391"/>
      <c r="G583" s="649"/>
      <c r="H583" s="649"/>
      <c r="I583" s="391"/>
      <c r="J583" s="327"/>
      <c r="K583" s="327"/>
      <c r="L583" s="397"/>
      <c r="M583" s="398"/>
    </row>
    <row r="584" spans="3:13">
      <c r="C584" s="393"/>
      <c r="D584" s="393"/>
      <c r="E584" s="393"/>
      <c r="F584" s="391"/>
      <c r="G584" s="649"/>
      <c r="H584" s="649"/>
      <c r="I584" s="391"/>
      <c r="J584" s="327"/>
      <c r="K584" s="327"/>
      <c r="L584" s="397"/>
      <c r="M584" s="398"/>
    </row>
    <row r="585" spans="3:13">
      <c r="C585" s="393"/>
      <c r="D585" s="393"/>
      <c r="E585" s="393"/>
      <c r="F585" s="391"/>
      <c r="G585" s="649"/>
      <c r="H585" s="649"/>
      <c r="I585" s="391"/>
      <c r="J585" s="327"/>
      <c r="K585" s="327"/>
      <c r="L585" s="397"/>
      <c r="M585" s="398"/>
    </row>
    <row r="586" spans="3:13">
      <c r="C586" s="393"/>
      <c r="D586" s="393"/>
      <c r="E586" s="393"/>
      <c r="F586" s="391"/>
      <c r="G586" s="649"/>
      <c r="H586" s="649"/>
      <c r="I586" s="391"/>
      <c r="J586" s="327"/>
      <c r="K586" s="327"/>
      <c r="L586" s="397"/>
      <c r="M586" s="398"/>
    </row>
    <row r="587" spans="3:13">
      <c r="C587" s="393"/>
      <c r="D587" s="393"/>
      <c r="E587" s="393"/>
      <c r="F587" s="391"/>
      <c r="G587" s="649"/>
      <c r="H587" s="649"/>
      <c r="I587" s="391"/>
      <c r="J587" s="327"/>
      <c r="K587" s="327"/>
      <c r="L587" s="397"/>
      <c r="M587" s="398"/>
    </row>
    <row r="588" spans="3:13">
      <c r="C588" s="393"/>
      <c r="D588" s="393"/>
      <c r="E588" s="393"/>
      <c r="F588" s="391"/>
      <c r="G588" s="649"/>
      <c r="H588" s="649"/>
      <c r="I588" s="391"/>
      <c r="J588" s="327"/>
      <c r="K588" s="327"/>
      <c r="L588" s="397"/>
      <c r="M588" s="398"/>
    </row>
    <row r="589" spans="3:13">
      <c r="C589" s="393"/>
      <c r="D589" s="393"/>
      <c r="E589" s="393"/>
      <c r="F589" s="391"/>
      <c r="G589" s="649"/>
      <c r="H589" s="649"/>
      <c r="I589" s="391"/>
      <c r="J589" s="327"/>
      <c r="K589" s="327"/>
      <c r="L589" s="397"/>
      <c r="M589" s="398"/>
    </row>
    <row r="590" spans="3:13">
      <c r="C590" s="393"/>
      <c r="D590" s="393"/>
      <c r="E590" s="393"/>
      <c r="F590" s="391"/>
      <c r="G590" s="649"/>
      <c r="H590" s="649"/>
      <c r="I590" s="391"/>
      <c r="J590" s="327"/>
      <c r="K590" s="327"/>
      <c r="L590" s="397"/>
      <c r="M590" s="398"/>
    </row>
    <row r="591" spans="3:13">
      <c r="C591" s="393"/>
      <c r="D591" s="393"/>
      <c r="E591" s="393"/>
      <c r="F591" s="391"/>
      <c r="G591" s="649"/>
      <c r="H591" s="649"/>
      <c r="I591" s="391"/>
      <c r="J591" s="327"/>
      <c r="K591" s="327"/>
      <c r="L591" s="397"/>
      <c r="M591" s="398"/>
    </row>
    <row r="592" spans="3:13">
      <c r="C592" s="393"/>
      <c r="D592" s="393"/>
      <c r="E592" s="393"/>
      <c r="F592" s="391"/>
      <c r="G592" s="649"/>
      <c r="H592" s="649"/>
      <c r="I592" s="391"/>
      <c r="J592" s="327"/>
      <c r="K592" s="327"/>
      <c r="L592" s="397"/>
      <c r="M592" s="398"/>
    </row>
    <row r="593" spans="3:13">
      <c r="C593" s="393"/>
      <c r="D593" s="393"/>
      <c r="E593" s="393"/>
      <c r="F593" s="391"/>
      <c r="G593" s="649"/>
      <c r="H593" s="649"/>
      <c r="I593" s="391"/>
      <c r="J593" s="327"/>
      <c r="K593" s="327"/>
      <c r="L593" s="397"/>
      <c r="M593" s="398"/>
    </row>
    <row r="594" spans="3:13">
      <c r="C594" s="393"/>
      <c r="D594" s="393"/>
      <c r="E594" s="393"/>
      <c r="F594" s="391"/>
      <c r="G594" s="649"/>
      <c r="H594" s="649"/>
      <c r="I594" s="391"/>
      <c r="J594" s="327"/>
      <c r="K594" s="327"/>
      <c r="L594" s="397"/>
      <c r="M594" s="398"/>
    </row>
    <row r="595" spans="3:13">
      <c r="C595" s="393"/>
      <c r="D595" s="393"/>
      <c r="E595" s="393"/>
      <c r="F595" s="391"/>
      <c r="G595" s="649"/>
      <c r="H595" s="649"/>
      <c r="I595" s="391"/>
      <c r="J595" s="327"/>
      <c r="K595" s="327"/>
      <c r="L595" s="397"/>
      <c r="M595" s="398"/>
    </row>
    <row r="596" spans="3:13">
      <c r="C596" s="393"/>
      <c r="D596" s="393"/>
      <c r="E596" s="393"/>
      <c r="F596" s="391"/>
      <c r="G596" s="649"/>
      <c r="H596" s="649"/>
      <c r="I596" s="391"/>
      <c r="J596" s="327"/>
      <c r="K596" s="327"/>
      <c r="L596" s="397"/>
      <c r="M596" s="398"/>
    </row>
    <row r="597" spans="3:13">
      <c r="C597" s="393"/>
      <c r="D597" s="393"/>
      <c r="E597" s="393"/>
      <c r="F597" s="391"/>
      <c r="G597" s="649"/>
      <c r="H597" s="649"/>
      <c r="I597" s="391"/>
      <c r="J597" s="327"/>
      <c r="K597" s="327"/>
      <c r="L597" s="397"/>
      <c r="M597" s="398"/>
    </row>
    <row r="598" spans="3:13">
      <c r="C598" s="393"/>
      <c r="D598" s="393"/>
      <c r="E598" s="393"/>
      <c r="F598" s="391"/>
      <c r="G598" s="649"/>
      <c r="H598" s="649"/>
      <c r="I598" s="391"/>
      <c r="J598" s="327"/>
      <c r="K598" s="327"/>
      <c r="L598" s="397"/>
      <c r="M598" s="398"/>
    </row>
    <row r="599" spans="3:13">
      <c r="C599" s="393"/>
      <c r="D599" s="393"/>
      <c r="E599" s="393"/>
      <c r="F599" s="391"/>
      <c r="G599" s="649"/>
      <c r="H599" s="649"/>
      <c r="I599" s="391"/>
      <c r="J599" s="327"/>
      <c r="K599" s="327"/>
      <c r="L599" s="397"/>
      <c r="M599" s="398"/>
    </row>
    <row r="600" spans="3:13">
      <c r="C600" s="393"/>
      <c r="D600" s="393"/>
      <c r="E600" s="393"/>
      <c r="F600" s="391"/>
      <c r="G600" s="649"/>
      <c r="H600" s="649"/>
      <c r="I600" s="391"/>
      <c r="J600" s="327"/>
      <c r="K600" s="327"/>
      <c r="L600" s="397"/>
      <c r="M600" s="398"/>
    </row>
    <row r="601" spans="3:13">
      <c r="C601" s="393"/>
      <c r="D601" s="393"/>
      <c r="E601" s="393"/>
      <c r="F601" s="391"/>
      <c r="G601" s="649"/>
      <c r="H601" s="649"/>
      <c r="I601" s="391"/>
      <c r="J601" s="327"/>
      <c r="K601" s="327"/>
      <c r="L601" s="397"/>
      <c r="M601" s="398"/>
    </row>
    <row r="602" spans="3:13">
      <c r="C602" s="393"/>
      <c r="D602" s="393"/>
      <c r="E602" s="393"/>
      <c r="F602" s="391"/>
      <c r="G602" s="649"/>
      <c r="H602" s="649"/>
      <c r="I602" s="391"/>
      <c r="J602" s="327"/>
      <c r="K602" s="327"/>
      <c r="L602" s="397"/>
      <c r="M602" s="398"/>
    </row>
    <row r="603" spans="3:13">
      <c r="C603" s="393"/>
      <c r="D603" s="393"/>
      <c r="E603" s="393"/>
      <c r="F603" s="391"/>
      <c r="G603" s="649"/>
      <c r="H603" s="649"/>
      <c r="I603" s="391"/>
      <c r="J603" s="327"/>
      <c r="K603" s="327"/>
      <c r="L603" s="397"/>
      <c r="M603" s="398"/>
    </row>
    <row r="604" spans="3:13">
      <c r="C604" s="393"/>
      <c r="D604" s="393"/>
      <c r="E604" s="393"/>
      <c r="F604" s="391"/>
      <c r="G604" s="649"/>
      <c r="H604" s="649"/>
      <c r="I604" s="391"/>
      <c r="J604" s="327"/>
      <c r="K604" s="327"/>
      <c r="L604" s="397"/>
      <c r="M604" s="398"/>
    </row>
    <row r="605" spans="3:13">
      <c r="C605" s="393"/>
      <c r="D605" s="393"/>
      <c r="E605" s="393"/>
      <c r="F605" s="391"/>
      <c r="G605" s="649"/>
      <c r="H605" s="649"/>
      <c r="I605" s="391"/>
      <c r="J605" s="327"/>
      <c r="K605" s="327"/>
      <c r="L605" s="397"/>
      <c r="M605" s="398"/>
    </row>
    <row r="606" spans="3:13">
      <c r="C606" s="393"/>
      <c r="D606" s="393"/>
      <c r="E606" s="393"/>
      <c r="F606" s="391"/>
      <c r="G606" s="649"/>
      <c r="H606" s="649"/>
      <c r="I606" s="391"/>
      <c r="J606" s="327"/>
      <c r="K606" s="327"/>
      <c r="L606" s="397"/>
      <c r="M606" s="398"/>
    </row>
    <row r="607" spans="3:13">
      <c r="C607" s="393"/>
      <c r="D607" s="393"/>
      <c r="E607" s="393"/>
      <c r="F607" s="391"/>
      <c r="G607" s="649"/>
      <c r="H607" s="649"/>
      <c r="I607" s="391"/>
      <c r="J607" s="327"/>
      <c r="K607" s="327"/>
      <c r="L607" s="397"/>
      <c r="M607" s="398"/>
    </row>
    <row r="608" spans="3:13">
      <c r="C608" s="393"/>
      <c r="D608" s="393"/>
      <c r="E608" s="393"/>
      <c r="F608" s="391"/>
      <c r="G608" s="649"/>
      <c r="H608" s="649"/>
      <c r="I608" s="391"/>
      <c r="J608" s="327"/>
      <c r="K608" s="327"/>
      <c r="L608" s="397"/>
      <c r="M608" s="398"/>
    </row>
    <row r="609" spans="3:13">
      <c r="C609" s="393"/>
      <c r="D609" s="393"/>
      <c r="E609" s="393"/>
      <c r="F609" s="391"/>
      <c r="G609" s="649"/>
      <c r="H609" s="649"/>
      <c r="I609" s="391"/>
      <c r="J609" s="327"/>
      <c r="K609" s="327"/>
      <c r="L609" s="397"/>
      <c r="M609" s="398"/>
    </row>
    <row r="610" spans="3:13">
      <c r="C610" s="393"/>
      <c r="D610" s="393"/>
      <c r="E610" s="393"/>
      <c r="F610" s="391"/>
      <c r="G610" s="649"/>
      <c r="H610" s="649"/>
      <c r="I610" s="391"/>
      <c r="J610" s="327"/>
      <c r="K610" s="327"/>
      <c r="L610" s="397"/>
      <c r="M610" s="398"/>
    </row>
    <row r="611" spans="3:13">
      <c r="C611" s="393"/>
      <c r="D611" s="393"/>
      <c r="E611" s="393"/>
      <c r="F611" s="391"/>
      <c r="G611" s="649"/>
      <c r="H611" s="649"/>
      <c r="I611" s="391"/>
      <c r="J611" s="327"/>
      <c r="K611" s="327"/>
      <c r="L611" s="397"/>
      <c r="M611" s="398"/>
    </row>
    <row r="612" spans="3:13">
      <c r="C612" s="393"/>
      <c r="D612" s="393"/>
      <c r="E612" s="393"/>
      <c r="F612" s="391"/>
      <c r="G612" s="649"/>
      <c r="H612" s="649"/>
      <c r="I612" s="391"/>
      <c r="J612" s="327"/>
      <c r="K612" s="327"/>
      <c r="L612" s="397"/>
      <c r="M612" s="398"/>
    </row>
    <row r="613" spans="3:13">
      <c r="C613" s="393"/>
      <c r="D613" s="393"/>
      <c r="E613" s="393"/>
      <c r="F613" s="391"/>
      <c r="G613" s="649"/>
      <c r="H613" s="649"/>
      <c r="I613" s="391"/>
      <c r="J613" s="327"/>
      <c r="K613" s="327"/>
      <c r="L613" s="397"/>
      <c r="M613" s="398"/>
    </row>
    <row r="614" spans="3:13">
      <c r="C614" s="393"/>
      <c r="D614" s="393"/>
      <c r="E614" s="393"/>
      <c r="F614" s="391"/>
      <c r="G614" s="649"/>
      <c r="H614" s="649"/>
      <c r="I614" s="391"/>
      <c r="J614" s="327"/>
      <c r="K614" s="327"/>
      <c r="L614" s="397"/>
      <c r="M614" s="398"/>
    </row>
    <row r="615" spans="3:13">
      <c r="C615" s="393"/>
      <c r="D615" s="393"/>
      <c r="E615" s="393"/>
      <c r="F615" s="391"/>
      <c r="G615" s="649"/>
      <c r="H615" s="649"/>
      <c r="I615" s="391"/>
      <c r="J615" s="327"/>
      <c r="K615" s="327"/>
      <c r="L615" s="397"/>
      <c r="M615" s="398"/>
    </row>
    <row r="616" spans="3:13">
      <c r="C616" s="393"/>
      <c r="D616" s="393"/>
      <c r="E616" s="393"/>
      <c r="F616" s="391"/>
      <c r="G616" s="649"/>
      <c r="H616" s="649"/>
      <c r="I616" s="391"/>
      <c r="J616" s="327"/>
      <c r="K616" s="327"/>
      <c r="L616" s="397"/>
      <c r="M616" s="398"/>
    </row>
    <row r="617" spans="3:13">
      <c r="C617" s="393"/>
      <c r="D617" s="393"/>
      <c r="E617" s="393"/>
      <c r="F617" s="391"/>
      <c r="G617" s="649"/>
      <c r="H617" s="649"/>
      <c r="I617" s="391"/>
      <c r="J617" s="327"/>
      <c r="K617" s="327"/>
      <c r="L617" s="397"/>
      <c r="M617" s="398"/>
    </row>
    <row r="618" spans="3:13">
      <c r="C618" s="393"/>
      <c r="D618" s="393"/>
      <c r="E618" s="393"/>
      <c r="F618" s="391"/>
      <c r="G618" s="649"/>
      <c r="H618" s="649"/>
      <c r="I618" s="391"/>
      <c r="J618" s="327"/>
      <c r="K618" s="327"/>
      <c r="L618" s="397"/>
      <c r="M618" s="398"/>
    </row>
    <row r="619" spans="3:13">
      <c r="C619" s="393"/>
      <c r="D619" s="393"/>
      <c r="E619" s="393"/>
      <c r="F619" s="391"/>
      <c r="G619" s="649"/>
      <c r="H619" s="649"/>
      <c r="I619" s="391"/>
      <c r="J619" s="327"/>
      <c r="K619" s="327"/>
      <c r="L619" s="397"/>
      <c r="M619" s="398"/>
    </row>
    <row r="620" spans="3:13">
      <c r="C620" s="393"/>
      <c r="D620" s="393"/>
      <c r="E620" s="393"/>
      <c r="F620" s="391"/>
      <c r="G620" s="649"/>
      <c r="H620" s="649"/>
      <c r="I620" s="391"/>
      <c r="J620" s="327"/>
      <c r="K620" s="327"/>
      <c r="L620" s="397"/>
      <c r="M620" s="398"/>
    </row>
    <row r="621" spans="3:13">
      <c r="C621" s="393"/>
      <c r="D621" s="393"/>
      <c r="E621" s="393"/>
      <c r="F621" s="391"/>
      <c r="G621" s="649"/>
      <c r="H621" s="649"/>
      <c r="I621" s="391"/>
      <c r="J621" s="327"/>
      <c r="K621" s="327"/>
      <c r="L621" s="397"/>
      <c r="M621" s="398"/>
    </row>
    <row r="622" spans="3:13">
      <c r="C622" s="393"/>
      <c r="D622" s="393"/>
      <c r="E622" s="393"/>
      <c r="F622" s="391"/>
      <c r="G622" s="649"/>
      <c r="H622" s="649"/>
      <c r="I622" s="391"/>
      <c r="J622" s="327"/>
      <c r="K622" s="327"/>
      <c r="L622" s="397"/>
      <c r="M622" s="398"/>
    </row>
    <row r="623" spans="3:13">
      <c r="C623" s="393"/>
      <c r="D623" s="393"/>
      <c r="E623" s="393"/>
      <c r="F623" s="391"/>
      <c r="G623" s="649"/>
      <c r="H623" s="649"/>
      <c r="I623" s="391"/>
      <c r="J623" s="327"/>
      <c r="K623" s="327"/>
      <c r="L623" s="397"/>
      <c r="M623" s="398"/>
    </row>
    <row r="624" spans="3:13">
      <c r="C624" s="393"/>
      <c r="D624" s="393"/>
      <c r="E624" s="393"/>
      <c r="F624" s="391"/>
      <c r="G624" s="649"/>
      <c r="H624" s="649"/>
      <c r="I624" s="391"/>
      <c r="J624" s="327"/>
      <c r="K624" s="327"/>
      <c r="L624" s="397"/>
      <c r="M624" s="398"/>
    </row>
    <row r="625" spans="3:13">
      <c r="C625" s="393"/>
      <c r="D625" s="393"/>
      <c r="E625" s="393"/>
      <c r="F625" s="391"/>
      <c r="G625" s="649"/>
      <c r="H625" s="649"/>
      <c r="I625" s="391"/>
      <c r="J625" s="327"/>
      <c r="K625" s="327"/>
      <c r="L625" s="397"/>
      <c r="M625" s="398"/>
    </row>
    <row r="626" spans="3:13">
      <c r="C626" s="393"/>
      <c r="D626" s="393"/>
      <c r="E626" s="393"/>
      <c r="F626" s="391"/>
      <c r="G626" s="649"/>
      <c r="H626" s="649"/>
      <c r="I626" s="391"/>
      <c r="J626" s="327"/>
      <c r="K626" s="327"/>
      <c r="L626" s="397"/>
      <c r="M626" s="398"/>
    </row>
    <row r="627" spans="3:13">
      <c r="C627" s="393"/>
      <c r="D627" s="393"/>
      <c r="E627" s="393"/>
      <c r="F627" s="391"/>
      <c r="G627" s="649"/>
      <c r="H627" s="649"/>
      <c r="I627" s="391"/>
      <c r="J627" s="327"/>
      <c r="K627" s="327"/>
      <c r="L627" s="397"/>
      <c r="M627" s="398"/>
    </row>
    <row r="628" spans="3:13">
      <c r="C628" s="393"/>
      <c r="D628" s="393"/>
      <c r="E628" s="393"/>
      <c r="F628" s="391"/>
      <c r="G628" s="649"/>
      <c r="H628" s="649"/>
      <c r="I628" s="391"/>
      <c r="J628" s="327"/>
      <c r="K628" s="327"/>
      <c r="L628" s="397"/>
      <c r="M628" s="398"/>
    </row>
    <row r="629" spans="3:13">
      <c r="C629" s="393"/>
      <c r="D629" s="393"/>
      <c r="E629" s="393"/>
      <c r="F629" s="391"/>
      <c r="G629" s="649"/>
      <c r="H629" s="649"/>
      <c r="I629" s="391"/>
      <c r="J629" s="327"/>
      <c r="K629" s="327"/>
      <c r="L629" s="397"/>
      <c r="M629" s="398"/>
    </row>
    <row r="630" spans="3:13">
      <c r="C630" s="393"/>
      <c r="D630" s="393"/>
      <c r="E630" s="393"/>
      <c r="F630" s="391"/>
      <c r="G630" s="649"/>
      <c r="H630" s="649"/>
      <c r="I630" s="391"/>
      <c r="J630" s="327"/>
      <c r="K630" s="327"/>
      <c r="L630" s="397"/>
      <c r="M630" s="398"/>
    </row>
    <row r="631" spans="3:13">
      <c r="C631" s="393"/>
      <c r="D631" s="393"/>
      <c r="E631" s="393"/>
      <c r="F631" s="391"/>
      <c r="G631" s="649"/>
      <c r="H631" s="649"/>
      <c r="I631" s="391"/>
      <c r="J631" s="327"/>
      <c r="K631" s="327"/>
      <c r="L631" s="397"/>
      <c r="M631" s="398"/>
    </row>
    <row r="632" spans="3:13">
      <c r="C632" s="393"/>
      <c r="D632" s="393"/>
      <c r="E632" s="393"/>
      <c r="F632" s="391"/>
      <c r="G632" s="649"/>
      <c r="H632" s="649"/>
      <c r="I632" s="391"/>
      <c r="J632" s="327"/>
      <c r="K632" s="327"/>
      <c r="L632" s="397"/>
      <c r="M632" s="398"/>
    </row>
    <row r="633" spans="3:13">
      <c r="C633" s="393"/>
      <c r="D633" s="393"/>
      <c r="E633" s="393"/>
      <c r="F633" s="391"/>
      <c r="G633" s="649"/>
      <c r="H633" s="649"/>
      <c r="I633" s="391"/>
      <c r="J633" s="327"/>
      <c r="K633" s="327"/>
      <c r="L633" s="397"/>
      <c r="M633" s="398"/>
    </row>
    <row r="634" spans="3:13">
      <c r="C634" s="393"/>
      <c r="D634" s="393"/>
      <c r="E634" s="393"/>
      <c r="F634" s="391"/>
      <c r="G634" s="649"/>
      <c r="H634" s="649"/>
      <c r="I634" s="391"/>
      <c r="J634" s="327"/>
      <c r="K634" s="327"/>
      <c r="L634" s="397"/>
      <c r="M634" s="398"/>
    </row>
    <row r="635" spans="3:13">
      <c r="C635" s="393"/>
      <c r="D635" s="393"/>
      <c r="E635" s="393"/>
      <c r="F635" s="391"/>
      <c r="G635" s="649"/>
      <c r="H635" s="649"/>
      <c r="I635" s="391"/>
      <c r="J635" s="327"/>
      <c r="K635" s="327"/>
      <c r="L635" s="397"/>
      <c r="M635" s="398"/>
    </row>
    <row r="636" spans="3:13">
      <c r="C636" s="393"/>
      <c r="D636" s="393"/>
      <c r="E636" s="393"/>
      <c r="F636" s="391"/>
      <c r="G636" s="649"/>
      <c r="H636" s="649"/>
      <c r="I636" s="391"/>
      <c r="J636" s="327"/>
      <c r="K636" s="327"/>
      <c r="L636" s="397"/>
      <c r="M636" s="398"/>
    </row>
    <row r="637" spans="3:13">
      <c r="C637" s="393"/>
      <c r="D637" s="393"/>
      <c r="E637" s="393"/>
      <c r="F637" s="391"/>
      <c r="G637" s="649"/>
      <c r="H637" s="649"/>
      <c r="I637" s="391"/>
      <c r="J637" s="327"/>
      <c r="K637" s="327"/>
      <c r="L637" s="397"/>
      <c r="M637" s="398"/>
    </row>
    <row r="638" spans="3:13">
      <c r="C638" s="393"/>
      <c r="D638" s="393"/>
      <c r="E638" s="393"/>
      <c r="F638" s="391"/>
      <c r="G638" s="649"/>
      <c r="H638" s="649"/>
      <c r="I638" s="391"/>
      <c r="J638" s="327"/>
      <c r="K638" s="327"/>
      <c r="L638" s="397"/>
      <c r="M638" s="398"/>
    </row>
    <row r="639" spans="3:13">
      <c r="C639" s="393"/>
      <c r="D639" s="393"/>
      <c r="E639" s="393"/>
      <c r="F639" s="391"/>
      <c r="G639" s="649"/>
      <c r="H639" s="649"/>
      <c r="I639" s="391"/>
      <c r="J639" s="327"/>
      <c r="K639" s="327"/>
      <c r="L639" s="397"/>
      <c r="M639" s="398"/>
    </row>
    <row r="640" spans="3:13">
      <c r="C640" s="393"/>
      <c r="D640" s="393"/>
      <c r="E640" s="393"/>
      <c r="F640" s="391"/>
      <c r="G640" s="649"/>
      <c r="H640" s="649"/>
      <c r="I640" s="391"/>
      <c r="J640" s="327"/>
      <c r="K640" s="327"/>
      <c r="L640" s="397"/>
      <c r="M640" s="398"/>
    </row>
    <row r="641" spans="3:13">
      <c r="C641" s="393"/>
      <c r="D641" s="393"/>
      <c r="E641" s="393"/>
      <c r="F641" s="391"/>
      <c r="G641" s="649"/>
      <c r="H641" s="649"/>
      <c r="I641" s="391"/>
      <c r="J641" s="327"/>
      <c r="K641" s="327"/>
      <c r="L641" s="397"/>
      <c r="M641" s="398"/>
    </row>
    <row r="642" spans="3:13">
      <c r="C642" s="393"/>
      <c r="D642" s="393"/>
      <c r="E642" s="393"/>
      <c r="F642" s="391"/>
      <c r="G642" s="649"/>
      <c r="H642" s="649"/>
      <c r="I642" s="391"/>
      <c r="J642" s="327"/>
      <c r="K642" s="327"/>
      <c r="L642" s="397"/>
      <c r="M642" s="398"/>
    </row>
    <row r="643" spans="3:13">
      <c r="C643" s="393"/>
      <c r="D643" s="393"/>
      <c r="E643" s="393"/>
      <c r="F643" s="391"/>
      <c r="G643" s="649"/>
      <c r="H643" s="649"/>
      <c r="I643" s="391"/>
      <c r="J643" s="327"/>
      <c r="K643" s="327"/>
      <c r="L643" s="397"/>
      <c r="M643" s="398"/>
    </row>
    <row r="644" spans="3:13">
      <c r="C644" s="393"/>
      <c r="D644" s="393"/>
      <c r="E644" s="393"/>
      <c r="F644" s="391"/>
      <c r="G644" s="649"/>
      <c r="H644" s="649"/>
      <c r="I644" s="391"/>
      <c r="J644" s="327"/>
      <c r="K644" s="327"/>
      <c r="L644" s="397"/>
      <c r="M644" s="398"/>
    </row>
    <row r="645" spans="3:13">
      <c r="C645" s="393"/>
      <c r="D645" s="393"/>
      <c r="E645" s="393"/>
      <c r="F645" s="391"/>
      <c r="G645" s="649"/>
      <c r="H645" s="649"/>
      <c r="I645" s="391"/>
      <c r="J645" s="327"/>
      <c r="K645" s="327"/>
      <c r="L645" s="397"/>
      <c r="M645" s="398"/>
    </row>
    <row r="646" spans="3:13">
      <c r="C646" s="393"/>
      <c r="D646" s="393"/>
      <c r="E646" s="393"/>
      <c r="F646" s="391"/>
      <c r="G646" s="649"/>
      <c r="H646" s="649"/>
      <c r="I646" s="391"/>
      <c r="J646" s="327"/>
      <c r="K646" s="327"/>
      <c r="L646" s="397"/>
      <c r="M646" s="398"/>
    </row>
    <row r="647" spans="3:13">
      <c r="C647" s="393"/>
      <c r="D647" s="393"/>
      <c r="E647" s="393"/>
      <c r="F647" s="391"/>
      <c r="G647" s="649"/>
      <c r="H647" s="649"/>
      <c r="I647" s="391"/>
      <c r="J647" s="327"/>
      <c r="K647" s="327"/>
      <c r="L647" s="397"/>
      <c r="M647" s="398"/>
    </row>
    <row r="648" spans="3:13">
      <c r="C648" s="393"/>
      <c r="D648" s="393"/>
      <c r="E648" s="393"/>
      <c r="F648" s="391"/>
      <c r="G648" s="649"/>
      <c r="H648" s="649"/>
      <c r="I648" s="391"/>
      <c r="J648" s="327"/>
      <c r="K648" s="327"/>
      <c r="L648" s="397"/>
      <c r="M648" s="398"/>
    </row>
    <row r="649" spans="3:13">
      <c r="C649" s="393"/>
      <c r="D649" s="393"/>
      <c r="E649" s="393"/>
      <c r="F649" s="391"/>
      <c r="G649" s="649"/>
      <c r="H649" s="649"/>
      <c r="I649" s="391"/>
      <c r="J649" s="327"/>
      <c r="K649" s="327"/>
      <c r="L649" s="397"/>
      <c r="M649" s="398"/>
    </row>
    <row r="650" spans="3:13">
      <c r="C650" s="393"/>
      <c r="D650" s="393"/>
      <c r="E650" s="393"/>
      <c r="F650" s="391"/>
      <c r="G650" s="649"/>
      <c r="H650" s="649"/>
      <c r="I650" s="391"/>
      <c r="J650" s="327"/>
      <c r="K650" s="327"/>
      <c r="L650" s="397"/>
      <c r="M650" s="398"/>
    </row>
    <row r="651" spans="3:13">
      <c r="C651" s="393"/>
      <c r="D651" s="393"/>
      <c r="E651" s="393"/>
      <c r="F651" s="391"/>
      <c r="G651" s="649"/>
      <c r="H651" s="649"/>
      <c r="I651" s="391"/>
      <c r="J651" s="327"/>
      <c r="K651" s="327"/>
      <c r="L651" s="397"/>
      <c r="M651" s="398"/>
    </row>
    <row r="652" spans="3:13">
      <c r="C652" s="393"/>
      <c r="D652" s="393"/>
      <c r="E652" s="393"/>
      <c r="F652" s="391"/>
      <c r="G652" s="649"/>
      <c r="H652" s="649"/>
      <c r="I652" s="391"/>
      <c r="J652" s="327"/>
      <c r="K652" s="327"/>
      <c r="L652" s="397"/>
      <c r="M652" s="398"/>
    </row>
    <row r="653" spans="3:13">
      <c r="C653" s="393"/>
      <c r="D653" s="393"/>
      <c r="E653" s="393"/>
      <c r="F653" s="391"/>
      <c r="G653" s="649"/>
      <c r="H653" s="649"/>
      <c r="I653" s="391"/>
      <c r="J653" s="327"/>
      <c r="K653" s="327"/>
      <c r="L653" s="397"/>
      <c r="M653" s="398"/>
    </row>
    <row r="654" spans="3:13">
      <c r="C654" s="393"/>
      <c r="D654" s="393"/>
      <c r="E654" s="393"/>
      <c r="F654" s="391"/>
      <c r="G654" s="649"/>
      <c r="H654" s="649"/>
      <c r="I654" s="391"/>
      <c r="J654" s="327"/>
      <c r="K654" s="327"/>
      <c r="L654" s="397"/>
      <c r="M654" s="398"/>
    </row>
    <row r="655" spans="3:13">
      <c r="C655" s="393"/>
      <c r="D655" s="393"/>
      <c r="E655" s="393"/>
      <c r="F655" s="391"/>
      <c r="G655" s="649"/>
      <c r="H655" s="649"/>
      <c r="I655" s="391"/>
      <c r="J655" s="327"/>
      <c r="K655" s="327"/>
      <c r="L655" s="397"/>
      <c r="M655" s="398"/>
    </row>
    <row r="656" spans="3:13">
      <c r="C656" s="393"/>
      <c r="D656" s="393"/>
      <c r="E656" s="393"/>
      <c r="F656" s="391"/>
      <c r="G656" s="649"/>
      <c r="H656" s="649"/>
      <c r="I656" s="391"/>
      <c r="J656" s="327"/>
      <c r="K656" s="327"/>
      <c r="L656" s="397"/>
      <c r="M656" s="398"/>
    </row>
    <row r="657" spans="3:13">
      <c r="C657" s="393"/>
      <c r="D657" s="393"/>
      <c r="E657" s="393"/>
      <c r="F657" s="391"/>
      <c r="G657" s="649"/>
      <c r="H657" s="649"/>
      <c r="I657" s="391"/>
      <c r="J657" s="327"/>
      <c r="K657" s="327"/>
      <c r="L657" s="397"/>
      <c r="M657" s="398"/>
    </row>
    <row r="658" spans="3:13">
      <c r="C658" s="393"/>
      <c r="D658" s="393"/>
      <c r="E658" s="393"/>
      <c r="F658" s="391"/>
      <c r="G658" s="649"/>
      <c r="H658" s="649"/>
      <c r="I658" s="391"/>
      <c r="J658" s="327"/>
      <c r="K658" s="327"/>
      <c r="L658" s="397"/>
      <c r="M658" s="398"/>
    </row>
    <row r="659" spans="3:13">
      <c r="C659" s="393"/>
      <c r="D659" s="393"/>
      <c r="E659" s="393"/>
      <c r="F659" s="391"/>
      <c r="G659" s="649"/>
      <c r="H659" s="649"/>
      <c r="I659" s="391"/>
      <c r="J659" s="327"/>
      <c r="K659" s="327"/>
      <c r="L659" s="397"/>
      <c r="M659" s="398"/>
    </row>
    <row r="660" spans="3:13">
      <c r="C660" s="393"/>
      <c r="D660" s="393"/>
      <c r="E660" s="393"/>
      <c r="F660" s="391"/>
      <c r="G660" s="649"/>
      <c r="H660" s="649"/>
      <c r="I660" s="391"/>
      <c r="J660" s="327"/>
      <c r="K660" s="327"/>
      <c r="L660" s="397"/>
      <c r="M660" s="398"/>
    </row>
    <row r="661" spans="3:13">
      <c r="C661" s="393"/>
      <c r="D661" s="393"/>
      <c r="E661" s="393"/>
      <c r="F661" s="391"/>
      <c r="G661" s="649"/>
      <c r="H661" s="649"/>
      <c r="I661" s="391"/>
      <c r="J661" s="327"/>
      <c r="K661" s="327"/>
      <c r="L661" s="397"/>
      <c r="M661" s="398"/>
    </row>
    <row r="662" spans="3:13">
      <c r="C662" s="393"/>
      <c r="D662" s="393"/>
      <c r="E662" s="393"/>
      <c r="F662" s="391"/>
      <c r="G662" s="649"/>
      <c r="H662" s="649"/>
      <c r="I662" s="391"/>
      <c r="J662" s="327"/>
      <c r="K662" s="327"/>
      <c r="L662" s="397"/>
      <c r="M662" s="398"/>
    </row>
    <row r="663" spans="3:13">
      <c r="C663" s="393"/>
      <c r="D663" s="393"/>
      <c r="E663" s="393"/>
      <c r="F663" s="391"/>
      <c r="G663" s="649"/>
      <c r="H663" s="649"/>
      <c r="I663" s="391"/>
      <c r="J663" s="327"/>
      <c r="K663" s="327"/>
      <c r="L663" s="397"/>
      <c r="M663" s="398"/>
    </row>
    <row r="664" spans="3:13">
      <c r="C664" s="393"/>
      <c r="D664" s="393"/>
      <c r="E664" s="393"/>
      <c r="F664" s="391"/>
      <c r="G664" s="649"/>
      <c r="H664" s="649"/>
      <c r="I664" s="391"/>
      <c r="J664" s="327"/>
      <c r="K664" s="327"/>
      <c r="L664" s="397"/>
      <c r="M664" s="398"/>
    </row>
    <row r="665" spans="3:13">
      <c r="C665" s="393"/>
      <c r="D665" s="393"/>
      <c r="E665" s="393"/>
      <c r="F665" s="391"/>
      <c r="G665" s="649"/>
      <c r="H665" s="649"/>
      <c r="I665" s="391"/>
      <c r="J665" s="327"/>
      <c r="K665" s="327"/>
      <c r="L665" s="397"/>
      <c r="M665" s="398"/>
    </row>
    <row r="666" spans="3:13">
      <c r="C666" s="393"/>
      <c r="D666" s="393"/>
      <c r="E666" s="393"/>
      <c r="F666" s="391"/>
      <c r="G666" s="649"/>
      <c r="H666" s="649"/>
      <c r="I666" s="391"/>
      <c r="J666" s="327"/>
      <c r="K666" s="327"/>
      <c r="L666" s="397"/>
      <c r="M666" s="398"/>
    </row>
    <row r="667" spans="3:13">
      <c r="C667" s="393"/>
      <c r="D667" s="393"/>
      <c r="E667" s="393"/>
      <c r="F667" s="391"/>
      <c r="G667" s="649"/>
      <c r="H667" s="649"/>
      <c r="I667" s="391"/>
      <c r="J667" s="327"/>
      <c r="K667" s="327"/>
      <c r="L667" s="397"/>
      <c r="M667" s="398"/>
    </row>
    <row r="668" spans="3:13">
      <c r="C668" s="393"/>
      <c r="D668" s="393"/>
      <c r="E668" s="393"/>
      <c r="F668" s="391"/>
      <c r="G668" s="649"/>
      <c r="H668" s="649"/>
      <c r="I668" s="391"/>
      <c r="J668" s="327"/>
      <c r="K668" s="327"/>
      <c r="L668" s="397"/>
      <c r="M668" s="398"/>
    </row>
    <row r="669" spans="3:13">
      <c r="C669" s="393"/>
      <c r="D669" s="393"/>
      <c r="E669" s="393"/>
      <c r="F669" s="391"/>
      <c r="G669" s="649"/>
      <c r="H669" s="649"/>
      <c r="I669" s="391"/>
      <c r="J669" s="327"/>
      <c r="K669" s="327"/>
      <c r="L669" s="397"/>
      <c r="M669" s="398"/>
    </row>
    <row r="670" spans="3:13">
      <c r="C670" s="393"/>
      <c r="D670" s="393"/>
      <c r="E670" s="393"/>
      <c r="F670" s="391"/>
      <c r="G670" s="649"/>
      <c r="H670" s="649"/>
      <c r="I670" s="391"/>
      <c r="J670" s="327"/>
      <c r="K670" s="327"/>
      <c r="L670" s="397"/>
      <c r="M670" s="398"/>
    </row>
    <row r="671" spans="3:13">
      <c r="C671" s="393"/>
      <c r="D671" s="393"/>
      <c r="E671" s="393"/>
      <c r="F671" s="391"/>
      <c r="G671" s="649"/>
      <c r="H671" s="649"/>
      <c r="I671" s="391"/>
      <c r="J671" s="327"/>
      <c r="K671" s="327"/>
      <c r="L671" s="397"/>
      <c r="M671" s="398"/>
    </row>
    <row r="672" spans="3:13">
      <c r="C672" s="393"/>
      <c r="D672" s="393"/>
      <c r="E672" s="393"/>
      <c r="F672" s="391"/>
      <c r="G672" s="649"/>
      <c r="H672" s="649"/>
      <c r="I672" s="391"/>
      <c r="J672" s="327"/>
      <c r="K672" s="327"/>
      <c r="L672" s="397"/>
      <c r="M672" s="398"/>
    </row>
    <row r="673" spans="3:13">
      <c r="C673" s="393"/>
      <c r="D673" s="393"/>
      <c r="E673" s="393"/>
      <c r="F673" s="391"/>
      <c r="G673" s="649"/>
      <c r="H673" s="649"/>
      <c r="I673" s="391"/>
      <c r="J673" s="327"/>
      <c r="K673" s="327"/>
      <c r="L673" s="397"/>
      <c r="M673" s="398"/>
    </row>
    <row r="674" spans="3:13">
      <c r="C674" s="393"/>
      <c r="D674" s="393"/>
      <c r="E674" s="393"/>
      <c r="F674" s="391"/>
      <c r="G674" s="649"/>
      <c r="H674" s="649"/>
      <c r="I674" s="391"/>
      <c r="J674" s="327"/>
      <c r="K674" s="327"/>
      <c r="L674" s="397"/>
      <c r="M674" s="398"/>
    </row>
    <row r="675" spans="3:13">
      <c r="C675" s="393"/>
      <c r="D675" s="393"/>
      <c r="E675" s="393"/>
      <c r="F675" s="391"/>
      <c r="G675" s="649"/>
      <c r="H675" s="649"/>
      <c r="I675" s="391"/>
      <c r="J675" s="327"/>
      <c r="K675" s="327"/>
      <c r="L675" s="397"/>
      <c r="M675" s="398"/>
    </row>
    <row r="676" spans="3:13">
      <c r="C676" s="393"/>
      <c r="D676" s="393"/>
      <c r="E676" s="393"/>
      <c r="F676" s="391"/>
      <c r="G676" s="649"/>
      <c r="H676" s="649"/>
      <c r="I676" s="391"/>
      <c r="J676" s="327"/>
      <c r="K676" s="327"/>
      <c r="L676" s="397"/>
      <c r="M676" s="398"/>
    </row>
    <row r="677" spans="3:13">
      <c r="C677" s="393"/>
      <c r="D677" s="393"/>
      <c r="E677" s="393"/>
      <c r="F677" s="391"/>
      <c r="G677" s="649"/>
      <c r="H677" s="649"/>
      <c r="I677" s="391"/>
      <c r="J677" s="327"/>
      <c r="K677" s="327"/>
      <c r="L677" s="397"/>
      <c r="M677" s="398"/>
    </row>
    <row r="678" spans="3:13">
      <c r="C678" s="393"/>
      <c r="D678" s="393"/>
      <c r="E678" s="393"/>
      <c r="F678" s="391"/>
      <c r="G678" s="649"/>
      <c r="H678" s="649"/>
      <c r="I678" s="391"/>
      <c r="J678" s="327"/>
      <c r="K678" s="327"/>
      <c r="L678" s="397"/>
      <c r="M678" s="398"/>
    </row>
    <row r="679" spans="3:13">
      <c r="C679" s="393"/>
      <c r="D679" s="393"/>
      <c r="E679" s="393"/>
      <c r="F679" s="391"/>
      <c r="G679" s="649"/>
      <c r="H679" s="649"/>
      <c r="I679" s="391"/>
      <c r="J679" s="327"/>
      <c r="K679" s="327"/>
      <c r="L679" s="397"/>
      <c r="M679" s="398"/>
    </row>
    <row r="680" spans="3:13">
      <c r="C680" s="393"/>
      <c r="D680" s="393"/>
      <c r="E680" s="393"/>
      <c r="F680" s="391"/>
      <c r="G680" s="649"/>
      <c r="H680" s="649"/>
      <c r="I680" s="391"/>
      <c r="J680" s="327"/>
      <c r="K680" s="327"/>
      <c r="L680" s="397"/>
      <c r="M680" s="398"/>
    </row>
    <row r="681" spans="3:13">
      <c r="C681" s="393"/>
      <c r="D681" s="393"/>
      <c r="E681" s="393"/>
      <c r="F681" s="391"/>
      <c r="G681" s="649"/>
      <c r="H681" s="649"/>
      <c r="I681" s="391"/>
      <c r="J681" s="327"/>
      <c r="K681" s="327"/>
      <c r="L681" s="397"/>
      <c r="M681" s="398"/>
    </row>
    <row r="682" spans="3:13">
      <c r="C682" s="393"/>
      <c r="D682" s="393"/>
      <c r="E682" s="393"/>
      <c r="F682" s="391"/>
      <c r="G682" s="649"/>
      <c r="H682" s="649"/>
      <c r="I682" s="391"/>
      <c r="J682" s="327"/>
      <c r="K682" s="327"/>
      <c r="L682" s="397"/>
      <c r="M682" s="398"/>
    </row>
    <row r="683" spans="3:13">
      <c r="C683" s="393"/>
      <c r="D683" s="393"/>
      <c r="E683" s="393"/>
      <c r="F683" s="391"/>
      <c r="G683" s="649"/>
      <c r="H683" s="649"/>
      <c r="I683" s="391"/>
      <c r="J683" s="327"/>
      <c r="K683" s="327"/>
      <c r="L683" s="397"/>
      <c r="M683" s="398"/>
    </row>
    <row r="684" spans="3:13">
      <c r="C684" s="393"/>
      <c r="D684" s="393"/>
      <c r="E684" s="393"/>
      <c r="F684" s="391"/>
      <c r="G684" s="649"/>
      <c r="H684" s="649"/>
      <c r="I684" s="391"/>
      <c r="J684" s="327"/>
      <c r="K684" s="327"/>
      <c r="L684" s="397"/>
      <c r="M684" s="398"/>
    </row>
    <row r="685" spans="3:13">
      <c r="C685" s="393"/>
      <c r="D685" s="393"/>
      <c r="E685" s="393"/>
      <c r="F685" s="391"/>
      <c r="G685" s="649"/>
      <c r="H685" s="649"/>
      <c r="I685" s="391"/>
      <c r="J685" s="327"/>
      <c r="K685" s="327"/>
      <c r="L685" s="397"/>
      <c r="M685" s="398"/>
    </row>
    <row r="686" spans="3:13">
      <c r="C686" s="393"/>
      <c r="D686" s="393"/>
      <c r="E686" s="393"/>
      <c r="F686" s="391"/>
      <c r="G686" s="649"/>
      <c r="H686" s="649"/>
      <c r="I686" s="391"/>
      <c r="J686" s="327"/>
      <c r="K686" s="327"/>
      <c r="L686" s="397"/>
      <c r="M686" s="398"/>
    </row>
    <row r="687" spans="3:13">
      <c r="C687" s="393"/>
      <c r="D687" s="393"/>
      <c r="E687" s="393"/>
      <c r="F687" s="391"/>
      <c r="G687" s="649"/>
      <c r="H687" s="649"/>
      <c r="I687" s="391"/>
      <c r="J687" s="327"/>
      <c r="K687" s="327"/>
      <c r="L687" s="397"/>
      <c r="M687" s="398"/>
    </row>
    <row r="688" spans="3:13">
      <c r="C688" s="393"/>
      <c r="D688" s="393"/>
      <c r="E688" s="393"/>
      <c r="F688" s="391"/>
      <c r="G688" s="649"/>
      <c r="H688" s="649"/>
      <c r="I688" s="391"/>
      <c r="J688" s="327"/>
      <c r="K688" s="327"/>
      <c r="L688" s="397"/>
      <c r="M688" s="398"/>
    </row>
    <row r="689" spans="3:13">
      <c r="C689" s="393"/>
      <c r="D689" s="393"/>
      <c r="E689" s="393"/>
      <c r="F689" s="391"/>
      <c r="G689" s="649"/>
      <c r="H689" s="649"/>
      <c r="I689" s="391"/>
      <c r="J689" s="327"/>
      <c r="K689" s="327"/>
      <c r="L689" s="397"/>
      <c r="M689" s="398"/>
    </row>
    <row r="690" spans="3:13">
      <c r="C690" s="393"/>
      <c r="D690" s="393"/>
      <c r="E690" s="393"/>
      <c r="F690" s="391"/>
      <c r="G690" s="649"/>
      <c r="H690" s="649"/>
      <c r="I690" s="391"/>
      <c r="J690" s="327"/>
      <c r="K690" s="327"/>
      <c r="L690" s="397"/>
      <c r="M690" s="398"/>
    </row>
    <row r="691" spans="3:13">
      <c r="C691" s="393"/>
      <c r="D691" s="393"/>
      <c r="E691" s="393"/>
      <c r="F691" s="391"/>
      <c r="G691" s="649"/>
      <c r="H691" s="649"/>
      <c r="I691" s="391"/>
      <c r="J691" s="327"/>
      <c r="K691" s="327"/>
      <c r="L691" s="397"/>
      <c r="M691" s="398"/>
    </row>
    <row r="692" spans="3:13">
      <c r="C692" s="393"/>
      <c r="D692" s="393"/>
      <c r="E692" s="393"/>
      <c r="F692" s="391"/>
      <c r="G692" s="649"/>
      <c r="H692" s="649"/>
      <c r="I692" s="391"/>
      <c r="J692" s="327"/>
      <c r="K692" s="327"/>
      <c r="L692" s="397"/>
      <c r="M692" s="398"/>
    </row>
    <row r="693" spans="3:13">
      <c r="C693" s="393"/>
      <c r="D693" s="393"/>
      <c r="E693" s="393"/>
      <c r="F693" s="391"/>
      <c r="G693" s="649"/>
      <c r="H693" s="649"/>
      <c r="I693" s="391"/>
      <c r="J693" s="327"/>
      <c r="K693" s="327"/>
      <c r="L693" s="397"/>
      <c r="M693" s="398"/>
    </row>
    <row r="694" spans="3:13">
      <c r="C694" s="393"/>
      <c r="D694" s="393"/>
      <c r="E694" s="393"/>
      <c r="F694" s="391"/>
      <c r="G694" s="649"/>
      <c r="H694" s="649"/>
      <c r="I694" s="391"/>
      <c r="J694" s="327"/>
      <c r="K694" s="327"/>
      <c r="L694" s="397"/>
      <c r="M694" s="398"/>
    </row>
    <row r="695" spans="3:13">
      <c r="C695" s="393"/>
      <c r="D695" s="393"/>
      <c r="E695" s="393"/>
      <c r="F695" s="391"/>
      <c r="G695" s="649"/>
      <c r="H695" s="649"/>
      <c r="I695" s="391"/>
      <c r="J695" s="327"/>
      <c r="K695" s="327"/>
      <c r="L695" s="397"/>
      <c r="M695" s="398"/>
    </row>
    <row r="696" spans="3:13">
      <c r="C696" s="393"/>
      <c r="D696" s="393"/>
      <c r="E696" s="393"/>
      <c r="F696" s="391"/>
      <c r="G696" s="649"/>
      <c r="H696" s="649"/>
      <c r="I696" s="391"/>
      <c r="J696" s="327"/>
      <c r="K696" s="327"/>
      <c r="L696" s="397"/>
      <c r="M696" s="398"/>
    </row>
    <row r="697" spans="3:13">
      <c r="C697" s="393"/>
      <c r="D697" s="393"/>
      <c r="E697" s="393"/>
      <c r="F697" s="391"/>
      <c r="G697" s="649"/>
      <c r="H697" s="649"/>
      <c r="I697" s="391"/>
      <c r="J697" s="327"/>
      <c r="K697" s="327"/>
      <c r="L697" s="397"/>
      <c r="M697" s="398"/>
    </row>
    <row r="698" spans="3:13">
      <c r="C698" s="393"/>
      <c r="D698" s="393"/>
      <c r="E698" s="393"/>
      <c r="F698" s="391"/>
      <c r="G698" s="649"/>
      <c r="H698" s="649"/>
      <c r="I698" s="391"/>
      <c r="J698" s="327"/>
      <c r="K698" s="327"/>
      <c r="L698" s="397"/>
      <c r="M698" s="398"/>
    </row>
    <row r="699" spans="3:13">
      <c r="C699" s="393"/>
      <c r="D699" s="393"/>
      <c r="E699" s="393"/>
      <c r="F699" s="391"/>
      <c r="G699" s="649"/>
      <c r="H699" s="649"/>
      <c r="I699" s="391"/>
      <c r="J699" s="327"/>
      <c r="K699" s="327"/>
      <c r="L699" s="397"/>
      <c r="M699" s="398"/>
    </row>
    <row r="700" spans="3:13">
      <c r="C700" s="393"/>
      <c r="D700" s="393"/>
      <c r="E700" s="393"/>
      <c r="F700" s="391"/>
      <c r="G700" s="649"/>
      <c r="H700" s="649"/>
      <c r="I700" s="391"/>
      <c r="J700" s="327"/>
      <c r="K700" s="327"/>
      <c r="L700" s="397"/>
      <c r="M700" s="398"/>
    </row>
    <row r="701" spans="3:13">
      <c r="C701" s="393"/>
      <c r="D701" s="393"/>
      <c r="E701" s="393"/>
      <c r="F701" s="391"/>
      <c r="G701" s="649"/>
      <c r="H701" s="649"/>
      <c r="I701" s="391"/>
      <c r="J701" s="327"/>
      <c r="K701" s="327"/>
      <c r="L701" s="397"/>
      <c r="M701" s="398"/>
    </row>
    <row r="702" spans="3:13">
      <c r="C702" s="393"/>
      <c r="D702" s="393"/>
      <c r="E702" s="393"/>
      <c r="F702" s="391"/>
      <c r="G702" s="649"/>
      <c r="H702" s="649"/>
      <c r="I702" s="391"/>
      <c r="J702" s="327"/>
      <c r="K702" s="327"/>
      <c r="L702" s="397"/>
      <c r="M702" s="398"/>
    </row>
    <row r="703" spans="3:13">
      <c r="C703" s="393"/>
      <c r="D703" s="393"/>
      <c r="E703" s="393"/>
      <c r="F703" s="391"/>
      <c r="G703" s="649"/>
      <c r="H703" s="649"/>
      <c r="I703" s="391"/>
      <c r="J703" s="327"/>
      <c r="K703" s="327"/>
      <c r="L703" s="397"/>
      <c r="M703" s="398"/>
    </row>
    <row r="704" spans="3:13">
      <c r="C704" s="393"/>
      <c r="D704" s="393"/>
      <c r="E704" s="393"/>
      <c r="F704" s="391"/>
      <c r="G704" s="649"/>
      <c r="H704" s="649"/>
      <c r="I704" s="391"/>
      <c r="J704" s="327"/>
      <c r="K704" s="327"/>
      <c r="L704" s="397"/>
      <c r="M704" s="398"/>
    </row>
    <row r="705" spans="3:13">
      <c r="C705" s="393"/>
      <c r="D705" s="393"/>
      <c r="E705" s="393"/>
      <c r="F705" s="391"/>
      <c r="G705" s="649"/>
      <c r="H705" s="649"/>
      <c r="I705" s="391"/>
      <c r="J705" s="327"/>
      <c r="K705" s="327"/>
      <c r="L705" s="397"/>
      <c r="M705" s="398"/>
    </row>
    <row r="706" spans="3:13">
      <c r="C706" s="393"/>
      <c r="D706" s="393"/>
      <c r="E706" s="393"/>
      <c r="F706" s="391"/>
      <c r="G706" s="649"/>
      <c r="H706" s="649"/>
      <c r="I706" s="391"/>
      <c r="J706" s="327"/>
      <c r="K706" s="327"/>
      <c r="L706" s="397"/>
      <c r="M706" s="398"/>
    </row>
    <row r="707" spans="3:13">
      <c r="C707" s="393"/>
      <c r="D707" s="393"/>
      <c r="E707" s="393"/>
      <c r="F707" s="391"/>
      <c r="G707" s="649"/>
      <c r="H707" s="649"/>
      <c r="I707" s="391"/>
      <c r="J707" s="327"/>
      <c r="K707" s="327"/>
      <c r="L707" s="397"/>
      <c r="M707" s="398"/>
    </row>
    <row r="708" spans="3:13">
      <c r="C708" s="393"/>
      <c r="D708" s="393"/>
      <c r="E708" s="393"/>
      <c r="F708" s="391"/>
      <c r="G708" s="649"/>
      <c r="H708" s="649"/>
      <c r="I708" s="391"/>
      <c r="J708" s="327"/>
      <c r="K708" s="327"/>
      <c r="L708" s="397"/>
      <c r="M708" s="398"/>
    </row>
    <row r="709" spans="3:13">
      <c r="C709" s="393"/>
      <c r="D709" s="393"/>
      <c r="E709" s="393"/>
      <c r="F709" s="391"/>
      <c r="G709" s="649"/>
      <c r="H709" s="649"/>
      <c r="I709" s="391"/>
      <c r="J709" s="327"/>
      <c r="K709" s="327"/>
      <c r="L709" s="397"/>
      <c r="M709" s="398"/>
    </row>
    <row r="710" spans="3:13">
      <c r="C710" s="393"/>
      <c r="D710" s="393"/>
      <c r="E710" s="393"/>
      <c r="F710" s="391"/>
      <c r="G710" s="649"/>
      <c r="H710" s="649"/>
      <c r="I710" s="391"/>
      <c r="J710" s="327"/>
      <c r="K710" s="327"/>
      <c r="L710" s="397"/>
      <c r="M710" s="398"/>
    </row>
    <row r="711" spans="3:13">
      <c r="C711" s="393"/>
      <c r="D711" s="393"/>
      <c r="E711" s="393"/>
      <c r="F711" s="391"/>
      <c r="G711" s="649"/>
      <c r="H711" s="649"/>
      <c r="I711" s="391"/>
      <c r="J711" s="327"/>
      <c r="K711" s="327"/>
      <c r="L711" s="397"/>
      <c r="M711" s="398"/>
    </row>
    <row r="712" spans="3:13">
      <c r="C712" s="393"/>
      <c r="D712" s="393"/>
      <c r="E712" s="393"/>
      <c r="F712" s="391"/>
      <c r="G712" s="649"/>
      <c r="H712" s="649"/>
      <c r="I712" s="391"/>
      <c r="J712" s="327"/>
      <c r="K712" s="327"/>
      <c r="L712" s="397"/>
      <c r="M712" s="398"/>
    </row>
    <row r="713" spans="3:13">
      <c r="C713" s="393"/>
      <c r="D713" s="393"/>
      <c r="E713" s="393"/>
      <c r="F713" s="391"/>
      <c r="G713" s="649"/>
      <c r="H713" s="649"/>
      <c r="I713" s="391"/>
      <c r="J713" s="327"/>
      <c r="K713" s="327"/>
      <c r="L713" s="397"/>
      <c r="M713" s="398"/>
    </row>
    <row r="714" spans="3:13">
      <c r="C714" s="393"/>
      <c r="D714" s="393"/>
      <c r="E714" s="393"/>
      <c r="F714" s="391"/>
      <c r="G714" s="649"/>
      <c r="H714" s="649"/>
      <c r="I714" s="391"/>
      <c r="J714" s="327"/>
      <c r="K714" s="327"/>
      <c r="L714" s="397"/>
      <c r="M714" s="398"/>
    </row>
    <row r="715" spans="3:13">
      <c r="C715" s="393"/>
      <c r="D715" s="393"/>
      <c r="E715" s="393"/>
      <c r="F715" s="391"/>
      <c r="G715" s="649"/>
      <c r="H715" s="649"/>
      <c r="I715" s="391"/>
      <c r="J715" s="327"/>
      <c r="K715" s="327"/>
      <c r="L715" s="397"/>
      <c r="M715" s="398"/>
    </row>
    <row r="716" spans="3:13">
      <c r="C716" s="393"/>
      <c r="D716" s="393"/>
      <c r="E716" s="393"/>
      <c r="F716" s="391"/>
      <c r="G716" s="649"/>
      <c r="H716" s="649"/>
      <c r="I716" s="391"/>
      <c r="J716" s="327"/>
      <c r="K716" s="327"/>
      <c r="L716" s="397"/>
      <c r="M716" s="398"/>
    </row>
    <row r="717" spans="3:13">
      <c r="C717" s="393"/>
      <c r="D717" s="393"/>
      <c r="E717" s="393"/>
      <c r="F717" s="391"/>
      <c r="G717" s="649"/>
      <c r="H717" s="649"/>
      <c r="I717" s="391"/>
      <c r="J717" s="327"/>
      <c r="K717" s="327"/>
      <c r="L717" s="397"/>
      <c r="M717" s="398"/>
    </row>
  </sheetData>
  <sheetProtection password="CB72" sheet="1" objects="1" scenarios="1"/>
  <mergeCells count="33">
    <mergeCell ref="C58:D58"/>
    <mergeCell ref="F19:G26"/>
    <mergeCell ref="F28:G31"/>
    <mergeCell ref="A52:D52"/>
    <mergeCell ref="A20:B20"/>
    <mergeCell ref="A51:D51"/>
    <mergeCell ref="A21:A50"/>
    <mergeCell ref="A7:A19"/>
    <mergeCell ref="K3:M3"/>
    <mergeCell ref="K5:K6"/>
    <mergeCell ref="L4:M4"/>
    <mergeCell ref="L5:L6"/>
    <mergeCell ref="M5:M6"/>
    <mergeCell ref="N3:P3"/>
    <mergeCell ref="N5:N6"/>
    <mergeCell ref="O5:O6"/>
    <mergeCell ref="T18:AC18"/>
    <mergeCell ref="P5:P6"/>
    <mergeCell ref="T13:Z13"/>
    <mergeCell ref="R4:R6"/>
    <mergeCell ref="O4:P4"/>
    <mergeCell ref="Q3:R3"/>
    <mergeCell ref="Q4:Q6"/>
    <mergeCell ref="A1:B1"/>
    <mergeCell ref="C3:E3"/>
    <mergeCell ref="I3:J3"/>
    <mergeCell ref="A3:B6"/>
    <mergeCell ref="D4:D6"/>
    <mergeCell ref="H4:H6"/>
    <mergeCell ref="C4:C6"/>
    <mergeCell ref="E4:E6"/>
    <mergeCell ref="I4:I6"/>
    <mergeCell ref="J4:J6"/>
  </mergeCells>
  <phoneticPr fontId="0" type="noConversion"/>
  <conditionalFormatting sqref="L19:L20 O19:O20 O15 L15">
    <cfRule type="expression" dxfId="21" priority="1" stopIfTrue="1">
      <formula>(L$15-L$19)&lt;&gt;0</formula>
    </cfRule>
  </conditionalFormatting>
  <conditionalFormatting sqref="R15 R19:R20">
    <cfRule type="expression" dxfId="20" priority="2" stopIfTrue="1">
      <formula>(R$15-R$19)&lt;&gt;0</formula>
    </cfRule>
    <cfRule type="expression" dxfId="19" priority="3" stopIfTrue="1">
      <formula>(R$15-R$48)&lt;&gt;0</formula>
    </cfRule>
  </conditionalFormatting>
  <conditionalFormatting sqref="R48">
    <cfRule type="expression" dxfId="18" priority="4" stopIfTrue="1">
      <formula>(R$15-R$19)&lt;&gt;0</formula>
    </cfRule>
    <cfRule type="expression" dxfId="17" priority="5" stopIfTrue="1">
      <formula>(R$15-R$48)&lt;&gt;0</formula>
    </cfRule>
  </conditionalFormatting>
  <conditionalFormatting sqref="I19:I20">
    <cfRule type="expression" dxfId="16" priority="6" stopIfTrue="1">
      <formula>(#REF!-I$19)&lt;&gt;0</formula>
    </cfRule>
  </conditionalFormatting>
  <conditionalFormatting sqref="P50 M15 M19:M20 M48 P48 P19:Q20 P15:Q15 M50">
    <cfRule type="expression" dxfId="15" priority="7" stopIfTrue="1">
      <formula>(M$15-M$19)&lt;&gt;0</formula>
    </cfRule>
    <cfRule type="expression" dxfId="14" priority="8" stopIfTrue="1">
      <formula>(M$48-M$50)&lt;&gt;0</formula>
    </cfRule>
    <cfRule type="expression" dxfId="13" priority="9" stopIfTrue="1">
      <formula>(M$15-M$48)&lt;&gt;0</formula>
    </cfRule>
  </conditionalFormatting>
  <conditionalFormatting sqref="C15:E15 C47:E47 C19:E19 E50">
    <cfRule type="expression" dxfId="12" priority="10" stopIfTrue="1">
      <formula>(C$15-C$19)&lt;&gt;0</formula>
    </cfRule>
    <cfRule type="expression" dxfId="11" priority="12" stopIfTrue="1">
      <formula>(C$15-C$47)&lt;&gt;0</formula>
    </cfRule>
  </conditionalFormatting>
  <conditionalFormatting sqref="H48 H19:H20 H50">
    <cfRule type="expression" dxfId="10" priority="13" stopIfTrue="1">
      <formula>(#REF!-H$19)&lt;&gt;0</formula>
    </cfRule>
    <cfRule type="expression" dxfId="9" priority="14" stopIfTrue="1">
      <formula>(H$48-H$50)&lt;&gt;0</formula>
    </cfRule>
    <cfRule type="expression" dxfId="8" priority="15" stopIfTrue="1">
      <formula>(#REF!-H$48)&lt;&gt;0</formula>
    </cfRule>
  </conditionalFormatting>
  <conditionalFormatting sqref="J15 J19:J20 J48 J50">
    <cfRule type="expression" dxfId="7" priority="16" stopIfTrue="1">
      <formula>(J$15-J$19)&lt;&gt;0</formula>
    </cfRule>
    <cfRule type="expression" dxfId="6" priority="17" stopIfTrue="1">
      <formula>(J$15-J$48)&lt;&gt;0</formula>
    </cfRule>
    <cfRule type="expression" dxfId="5" priority="18" stopIfTrue="1">
      <formula>(J$19-J$48)&lt;&gt;0</formula>
    </cfRule>
  </conditionalFormatting>
  <conditionalFormatting sqref="D53:H53 C56 C2:H2">
    <cfRule type="expression" dxfId="4" priority="19" stopIfTrue="1">
      <formula>$T$22=1</formula>
    </cfRule>
  </conditionalFormatting>
  <conditionalFormatting sqref="I53:J53 I2:J2">
    <cfRule type="expression" dxfId="3" priority="20" stopIfTrue="1">
      <formula>$U$22=1</formula>
    </cfRule>
  </conditionalFormatting>
  <conditionalFormatting sqref="K53:L53 K2:L2">
    <cfRule type="expression" dxfId="2" priority="21" stopIfTrue="1">
      <formula>$V$22=1</formula>
    </cfRule>
  </conditionalFormatting>
  <conditionalFormatting sqref="M53:Q53 M2:R2">
    <cfRule type="expression" dxfId="1" priority="22" stopIfTrue="1">
      <formula>$W$22=1</formula>
    </cfRule>
  </conditionalFormatting>
  <conditionalFormatting sqref="R53">
    <cfRule type="expression" dxfId="0" priority="23" stopIfTrue="1">
      <formula>$X$22=1</formula>
    </cfRule>
  </conditionalFormatting>
  <dataValidations count="6">
    <dataValidation type="custom" allowBlank="1" showInputMessage="1" showErrorMessage="1" errorTitle="Rote Markierung" error="Die rote Markierung verschwindet, sobald die Totale übereinstimmen." sqref="T10:V10" xr:uid="{00000000-0002-0000-0900-000000000000}">
      <formula1>SUM(T6:AE6)=0</formula1>
    </dataValidation>
    <dataValidation type="custom" allowBlank="1" showInputMessage="1" showErrorMessage="1" errorTitle="Rote Markierung" error="Die rote Markierung verschwindet, sobald die Totale übereinstimmen." sqref="T25:T28 U26:U28" xr:uid="{00000000-0002-0000-0900-000001000000}">
      <formula1>SUM(T21:T21)=0</formula1>
    </dataValidation>
    <dataValidation type="custom" allowBlank="1" showInputMessage="1" showErrorMessage="1" errorTitle="Rote Markierung" error="Die rote Markierung verschwindet, sobald die Totale übereinstimmen." sqref="U25" xr:uid="{00000000-0002-0000-0900-000002000000}">
      <formula1>SUM(V20:V20)=0</formula1>
    </dataValidation>
    <dataValidation type="whole" allowBlank="1" showInputMessage="1" showErrorMessage="1" errorTitle="Ganze Zahl" error="Geben Sie eine ganze Zahl, ohne Kommastellen, zwischen 0 und 100'000 ein" sqref="R51:R52 R21:R47 R16:R18 R49" xr:uid="{00000000-0002-0000-0900-000003000000}">
      <formula1>0</formula1>
      <formula2>100000</formula2>
    </dataValidation>
    <dataValidation type="custom" allowBlank="1" showInputMessage="1" showErrorMessage="1" errorTitle="Rote Markierung" error="Die rote Markierung verschwindet, sobald die Totale übereinstimmen." sqref="T24:U24" xr:uid="{00000000-0002-0000-0900-000004000000}">
      <formula1>SUM(#REF!)=0</formula1>
    </dataValidation>
    <dataValidation type="decimal" allowBlank="1" showInputMessage="1" showErrorMessage="1" errorTitle="Dezimalzahl" error="Das Dezimalzeichen ist der Punkt._x000a_Die Zahl muss zwischen Null und 1'000'000 liegen." sqref="Q16:Q18 Q7:Q14" xr:uid="{00000000-0002-0000-0900-000005000000}">
      <formula1>0</formula1>
      <formula2>1000000</formula2>
    </dataValidation>
  </dataValidations>
  <pageMargins left="0.59055118110236227" right="0.23622047244094491" top="0.51181102362204722" bottom="0.19685039370078741" header="0.27559055118110237" footer="0.19685039370078741"/>
  <pageSetup paperSize="9" scale="95" pageOrder="overThenDown" orientation="portrait" r:id="rId1"/>
  <headerFooter alignWithMargins="0">
    <oddFooter>&amp;L&amp;8Druck: &amp;D&amp;T&amp;R&amp;8VAF-Periode 2015-2018</oddFooter>
  </headerFooter>
  <colBreaks count="4" manualBreakCount="4">
    <brk id="7" max="1048575" man="1"/>
    <brk id="8" max="1048575" man="1"/>
    <brk id="10" max="1048575" man="1"/>
    <brk id="18" max="1048575"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Tabelle1">
    <tabColor theme="3" tint="0.59999389629810485"/>
  </sheetPr>
  <dimension ref="A1:J41"/>
  <sheetViews>
    <sheetView workbookViewId="0">
      <selection activeCell="A13" sqref="A13:H14"/>
    </sheetView>
  </sheetViews>
  <sheetFormatPr baseColWidth="10" defaultRowHeight="15"/>
  <cols>
    <col min="1" max="1" width="51.6640625" style="567" customWidth="1"/>
    <col min="2" max="2" width="17.44140625" style="567" customWidth="1"/>
    <col min="3" max="4" width="12" style="567" customWidth="1"/>
    <col min="5" max="5" width="13.5546875" style="567" customWidth="1"/>
    <col min="6" max="8" width="32.5546875" style="567" customWidth="1"/>
    <col min="9" max="16384" width="11.5546875" style="567"/>
  </cols>
  <sheetData>
    <row r="1" spans="1:10" ht="15.75" thickBot="1"/>
    <row r="2" spans="1:10" ht="15.75" thickBot="1">
      <c r="A2" s="578"/>
      <c r="B2" s="579" t="s">
        <v>2552</v>
      </c>
      <c r="C2" s="580">
        <f>'Organisationsdaten (Basisinfo)'!D1</f>
        <v>2017</v>
      </c>
      <c r="D2" s="579" t="s">
        <v>2505</v>
      </c>
      <c r="E2" s="581">
        <f>'Organisationsdaten (Basisinfo)'!H1</f>
        <v>3158</v>
      </c>
    </row>
    <row r="3" spans="1:10">
      <c r="F3" s="568"/>
      <c r="G3" s="568"/>
    </row>
    <row r="4" spans="1:10">
      <c r="A4" s="1262" t="s">
        <v>2651</v>
      </c>
      <c r="B4" s="1263"/>
      <c r="C4" s="1263"/>
      <c r="D4" s="1264"/>
      <c r="E4" s="1278" t="s">
        <v>2669</v>
      </c>
      <c r="F4" s="1280" t="s">
        <v>2752</v>
      </c>
      <c r="G4" s="1281"/>
      <c r="H4" s="1282"/>
    </row>
    <row r="5" spans="1:10" ht="38.25">
      <c r="A5" s="1265"/>
      <c r="B5" s="1266"/>
      <c r="C5" s="1266"/>
      <c r="D5" s="1267"/>
      <c r="E5" s="1279"/>
      <c r="F5" s="912" t="s">
        <v>2699</v>
      </c>
      <c r="G5" s="961" t="s">
        <v>2753</v>
      </c>
      <c r="H5" s="923" t="s">
        <v>2700</v>
      </c>
    </row>
    <row r="6" spans="1:10" ht="15.75">
      <c r="A6" s="1271" t="s">
        <v>2553</v>
      </c>
      <c r="B6" s="1272"/>
      <c r="C6" s="1272"/>
      <c r="D6" s="1273"/>
      <c r="E6" s="569" t="s">
        <v>2567</v>
      </c>
      <c r="F6" s="905"/>
      <c r="G6" s="906"/>
      <c r="H6" s="907"/>
    </row>
    <row r="7" spans="1:10" s="571" customFormat="1" ht="15.75">
      <c r="A7" s="1274" t="s">
        <v>2779</v>
      </c>
      <c r="B7" s="1275"/>
      <c r="C7" s="1275"/>
      <c r="D7" s="1276"/>
      <c r="E7" s="570">
        <v>69</v>
      </c>
      <c r="F7" s="905"/>
      <c r="G7" s="906"/>
      <c r="H7" s="907"/>
    </row>
    <row r="8" spans="1:10" s="571" customFormat="1" ht="15.75">
      <c r="A8" s="736"/>
      <c r="B8" s="737"/>
      <c r="C8" s="737"/>
      <c r="D8" s="738"/>
      <c r="E8" s="570"/>
      <c r="F8" s="905"/>
      <c r="G8" s="906"/>
      <c r="H8" s="907"/>
    </row>
    <row r="9" spans="1:10" s="571" customFormat="1" ht="15.75">
      <c r="A9" s="1274"/>
      <c r="B9" s="1275"/>
      <c r="C9" s="1275"/>
      <c r="D9" s="1276"/>
      <c r="E9" s="570"/>
      <c r="F9" s="905"/>
      <c r="G9" s="906"/>
      <c r="H9" s="907"/>
    </row>
    <row r="10" spans="1:10">
      <c r="A10" s="1277" t="s">
        <v>2560</v>
      </c>
      <c r="B10" s="1277"/>
      <c r="C10" s="1277"/>
      <c r="D10" s="1277"/>
      <c r="E10" s="572">
        <f>SUM(E7:E9)</f>
        <v>69</v>
      </c>
      <c r="F10" s="908"/>
      <c r="G10" s="909"/>
      <c r="H10" s="907"/>
    </row>
    <row r="11" spans="1:10" ht="15.75">
      <c r="A11" s="1271" t="s">
        <v>2554</v>
      </c>
      <c r="B11" s="1272"/>
      <c r="C11" s="1272"/>
      <c r="D11" s="1273"/>
      <c r="E11" s="569" t="s">
        <v>2567</v>
      </c>
      <c r="F11" s="965"/>
      <c r="G11" s="966"/>
      <c r="H11" s="967"/>
      <c r="I11" s="573"/>
      <c r="J11" s="573"/>
    </row>
    <row r="12" spans="1:10">
      <c r="A12" s="1288" t="s">
        <v>2555</v>
      </c>
      <c r="B12" s="1288"/>
      <c r="C12" s="1288"/>
      <c r="D12" s="1288"/>
      <c r="E12" s="1288"/>
      <c r="F12" s="968"/>
      <c r="G12" s="966"/>
      <c r="H12" s="967"/>
      <c r="I12" s="573"/>
      <c r="J12" s="573"/>
    </row>
    <row r="13" spans="1:10" s="571" customFormat="1" ht="38.25">
      <c r="A13" s="1274" t="s">
        <v>2780</v>
      </c>
      <c r="B13" s="1275"/>
      <c r="C13" s="1275"/>
      <c r="D13" s="1276"/>
      <c r="E13" s="570">
        <v>150</v>
      </c>
      <c r="F13" s="915" t="s">
        <v>2775</v>
      </c>
      <c r="G13" s="906" t="s">
        <v>2776</v>
      </c>
      <c r="H13" s="907"/>
      <c r="I13" s="575"/>
      <c r="J13" s="574"/>
    </row>
    <row r="14" spans="1:10" s="571" customFormat="1" ht="51">
      <c r="A14" s="1260" t="s">
        <v>2781</v>
      </c>
      <c r="B14" s="1260"/>
      <c r="C14" s="1260"/>
      <c r="D14" s="1260"/>
      <c r="E14" s="570">
        <v>134</v>
      </c>
      <c r="F14" s="915" t="s">
        <v>2777</v>
      </c>
      <c r="G14" s="906" t="s">
        <v>2776</v>
      </c>
      <c r="H14" s="907"/>
      <c r="I14" s="575"/>
      <c r="J14" s="574"/>
    </row>
    <row r="15" spans="1:10" s="571" customFormat="1" ht="15.75">
      <c r="A15" s="1260"/>
      <c r="B15" s="1260"/>
      <c r="C15" s="1260"/>
      <c r="D15" s="1260"/>
      <c r="E15" s="570"/>
      <c r="F15" s="915"/>
      <c r="G15" s="909"/>
      <c r="H15" s="907"/>
      <c r="I15" s="575"/>
      <c r="J15" s="574"/>
    </row>
    <row r="16" spans="1:10" s="571" customFormat="1">
      <c r="A16" s="1261" t="s">
        <v>2565</v>
      </c>
      <c r="B16" s="1261"/>
      <c r="C16" s="1261"/>
      <c r="D16" s="1261"/>
      <c r="E16" s="572">
        <f>SUM(E13:E15)</f>
        <v>284</v>
      </c>
      <c r="F16" s="905"/>
      <c r="G16" s="909"/>
      <c r="H16" s="907"/>
      <c r="I16" s="574"/>
      <c r="J16" s="574"/>
    </row>
    <row r="17" spans="1:10">
      <c r="A17" s="1268" t="s">
        <v>2556</v>
      </c>
      <c r="B17" s="1269"/>
      <c r="C17" s="1269"/>
      <c r="D17" s="1269"/>
      <c r="E17" s="1270"/>
      <c r="F17" s="965"/>
      <c r="G17" s="970"/>
      <c r="H17" s="970"/>
      <c r="I17" s="575"/>
      <c r="J17" s="573"/>
    </row>
    <row r="18" spans="1:10" s="571" customFormat="1" ht="15.75">
      <c r="A18" s="1274"/>
      <c r="B18" s="1275"/>
      <c r="C18" s="1275"/>
      <c r="D18" s="1276"/>
      <c r="E18" s="570"/>
      <c r="F18" s="907"/>
      <c r="G18" s="971"/>
      <c r="H18" s="967"/>
      <c r="I18" s="575"/>
      <c r="J18" s="574"/>
    </row>
    <row r="19" spans="1:10" s="571" customFormat="1" ht="15.75">
      <c r="A19" s="1260"/>
      <c r="B19" s="1260"/>
      <c r="C19" s="1260"/>
      <c r="D19" s="1260"/>
      <c r="E19" s="570"/>
      <c r="F19" s="905"/>
      <c r="G19" s="909"/>
      <c r="H19" s="907"/>
      <c r="I19" s="575"/>
      <c r="J19" s="574"/>
    </row>
    <row r="20" spans="1:10" s="571" customFormat="1" ht="15.75">
      <c r="A20" s="1260"/>
      <c r="B20" s="1260"/>
      <c r="C20" s="1260"/>
      <c r="D20" s="1260"/>
      <c r="E20" s="570"/>
      <c r="F20" s="905"/>
      <c r="G20" s="909"/>
      <c r="H20" s="907"/>
      <c r="I20" s="575"/>
      <c r="J20" s="574"/>
    </row>
    <row r="21" spans="1:10" s="571" customFormat="1">
      <c r="A21" s="1261" t="s">
        <v>2564</v>
      </c>
      <c r="B21" s="1261"/>
      <c r="C21" s="1261"/>
      <c r="D21" s="1261"/>
      <c r="E21" s="572">
        <f>SUM(E18:E20)</f>
        <v>0</v>
      </c>
      <c r="F21" s="905"/>
      <c r="G21" s="909"/>
      <c r="H21" s="907"/>
    </row>
    <row r="22" spans="1:10">
      <c r="A22" s="1286" t="s">
        <v>2557</v>
      </c>
      <c r="B22" s="1286"/>
      <c r="C22" s="1286"/>
      <c r="D22" s="1286"/>
      <c r="E22" s="1286"/>
      <c r="F22" s="965"/>
      <c r="G22" s="972"/>
      <c r="H22" s="972"/>
      <c r="I22" s="575"/>
      <c r="J22" s="573"/>
    </row>
    <row r="23" spans="1:10" s="571" customFormat="1" ht="15.75">
      <c r="A23" s="1274"/>
      <c r="B23" s="1275"/>
      <c r="C23" s="1275"/>
      <c r="D23" s="1276"/>
      <c r="E23" s="570"/>
      <c r="F23" s="907"/>
      <c r="G23" s="971"/>
      <c r="H23" s="967"/>
      <c r="I23" s="575"/>
      <c r="J23" s="574"/>
    </row>
    <row r="24" spans="1:10" s="571" customFormat="1" ht="15.75">
      <c r="A24" s="1260"/>
      <c r="B24" s="1260"/>
      <c r="C24" s="1260"/>
      <c r="D24" s="1260"/>
      <c r="E24" s="570"/>
      <c r="F24" s="905"/>
      <c r="G24" s="909"/>
      <c r="H24" s="907"/>
      <c r="I24" s="574"/>
      <c r="J24" s="574"/>
    </row>
    <row r="25" spans="1:10" s="571" customFormat="1" ht="15.75">
      <c r="A25" s="1260"/>
      <c r="B25" s="1260"/>
      <c r="C25" s="1260"/>
      <c r="D25" s="1260"/>
      <c r="E25" s="570"/>
      <c r="F25" s="905"/>
      <c r="G25" s="909"/>
      <c r="H25" s="907"/>
      <c r="I25" s="574"/>
      <c r="J25" s="574"/>
    </row>
    <row r="26" spans="1:10" s="571" customFormat="1">
      <c r="A26" s="1287" t="s">
        <v>2563</v>
      </c>
      <c r="B26" s="1287"/>
      <c r="C26" s="1287"/>
      <c r="D26" s="1287"/>
      <c r="E26" s="572">
        <f>SUM(E23:E25)</f>
        <v>0</v>
      </c>
      <c r="F26" s="905"/>
      <c r="G26" s="909"/>
      <c r="H26" s="907"/>
    </row>
    <row r="27" spans="1:10">
      <c r="A27" s="1288" t="s">
        <v>2558</v>
      </c>
      <c r="B27" s="1288"/>
      <c r="C27" s="1288"/>
      <c r="D27" s="1288"/>
      <c r="E27" s="1288"/>
      <c r="F27" s="965"/>
      <c r="G27" s="972"/>
      <c r="H27" s="972"/>
    </row>
    <row r="28" spans="1:10" s="571" customFormat="1" ht="15.75">
      <c r="A28" s="1274"/>
      <c r="B28" s="1275"/>
      <c r="C28" s="1275"/>
      <c r="D28" s="1276"/>
      <c r="E28" s="570"/>
      <c r="F28" s="969"/>
      <c r="G28" s="972"/>
      <c r="H28" s="972"/>
    </row>
    <row r="29" spans="1:10" s="571" customFormat="1" ht="15.75">
      <c r="A29" s="1260"/>
      <c r="B29" s="1260"/>
      <c r="C29" s="1260"/>
      <c r="D29" s="1260"/>
      <c r="E29" s="570"/>
      <c r="F29" s="905"/>
      <c r="G29" s="906"/>
      <c r="H29" s="907"/>
    </row>
    <row r="30" spans="1:10" s="571" customFormat="1" ht="15.75">
      <c r="A30" s="1260"/>
      <c r="B30" s="1260"/>
      <c r="C30" s="1260"/>
      <c r="D30" s="1260"/>
      <c r="E30" s="570"/>
      <c r="F30" s="905"/>
      <c r="G30" s="906"/>
      <c r="H30" s="907"/>
    </row>
    <row r="31" spans="1:10">
      <c r="A31" s="1261" t="s">
        <v>2562</v>
      </c>
      <c r="B31" s="1261"/>
      <c r="C31" s="1261"/>
      <c r="D31" s="1261"/>
      <c r="E31" s="572">
        <f>SUM(E28:E30)</f>
        <v>0</v>
      </c>
      <c r="F31" s="905"/>
      <c r="G31" s="906"/>
      <c r="H31" s="907"/>
    </row>
    <row r="32" spans="1:10">
      <c r="A32" s="1288" t="s">
        <v>2559</v>
      </c>
      <c r="B32" s="1288"/>
      <c r="C32" s="1288"/>
      <c r="D32" s="1288"/>
      <c r="E32" s="1288"/>
      <c r="F32" s="905"/>
      <c r="G32" s="906"/>
      <c r="H32" s="907"/>
    </row>
    <row r="33" spans="1:8" s="571" customFormat="1" ht="15.75">
      <c r="A33" s="1274"/>
      <c r="B33" s="1275"/>
      <c r="C33" s="1275"/>
      <c r="D33" s="1276"/>
      <c r="E33" s="570"/>
      <c r="F33" s="905"/>
      <c r="G33" s="906"/>
      <c r="H33" s="907"/>
    </row>
    <row r="34" spans="1:8" s="571" customFormat="1" ht="15.75">
      <c r="A34" s="1260"/>
      <c r="B34" s="1260"/>
      <c r="C34" s="1260"/>
      <c r="D34" s="1260"/>
      <c r="E34" s="570"/>
      <c r="F34" s="965"/>
      <c r="G34" s="972"/>
      <c r="H34" s="972"/>
    </row>
    <row r="35" spans="1:8" s="571" customFormat="1" ht="15.75">
      <c r="A35" s="1283"/>
      <c r="B35" s="1284"/>
      <c r="C35" s="1284"/>
      <c r="D35" s="1285"/>
      <c r="E35" s="570"/>
      <c r="F35" s="969"/>
      <c r="G35" s="972"/>
      <c r="H35" s="973"/>
    </row>
    <row r="36" spans="1:8">
      <c r="A36" s="1261" t="s">
        <v>2566</v>
      </c>
      <c r="B36" s="1261"/>
      <c r="C36" s="1261"/>
      <c r="D36" s="1261"/>
      <c r="E36" s="572">
        <f>SUM(E33:E35)</f>
        <v>0</v>
      </c>
      <c r="F36" s="890"/>
      <c r="G36" s="920"/>
      <c r="H36" s="920"/>
    </row>
    <row r="37" spans="1:8" s="571" customFormat="1">
      <c r="A37" s="1277" t="s">
        <v>2561</v>
      </c>
      <c r="B37" s="1277"/>
      <c r="C37" s="1277"/>
      <c r="D37" s="1277"/>
      <c r="E37" s="576">
        <f>SUM(E36,E31,E26,E21,E16)</f>
        <v>284</v>
      </c>
      <c r="F37" s="890"/>
      <c r="G37" s="920"/>
      <c r="H37" s="920"/>
    </row>
    <row r="38" spans="1:8" ht="15.75">
      <c r="A38" s="1289" t="s">
        <v>2568</v>
      </c>
      <c r="B38" s="1289"/>
      <c r="C38" s="1289"/>
      <c r="D38" s="1289"/>
      <c r="E38" s="572">
        <f>SUM(E37,E10)</f>
        <v>353</v>
      </c>
      <c r="F38" s="890"/>
      <c r="G38" s="920"/>
      <c r="H38" s="920"/>
    </row>
    <row r="39" spans="1:8" ht="15.75">
      <c r="A39" s="577" t="s">
        <v>2652</v>
      </c>
      <c r="B39" s="577"/>
      <c r="C39" s="577"/>
      <c r="D39" s="577"/>
      <c r="F39" s="921"/>
      <c r="G39" s="922"/>
      <c r="H39" s="922"/>
    </row>
    <row r="40" spans="1:8" ht="15.75">
      <c r="A40" s="577"/>
      <c r="B40" s="577"/>
      <c r="C40" s="577"/>
      <c r="D40" s="577"/>
      <c r="F40" s="921"/>
      <c r="G40" s="922"/>
      <c r="H40" s="922"/>
    </row>
    <row r="41" spans="1:8">
      <c r="F41" s="921"/>
      <c r="G41" s="922"/>
      <c r="H41" s="922"/>
    </row>
  </sheetData>
  <sheetProtection password="E981" sheet="1" insertRows="0"/>
  <mergeCells count="35">
    <mergeCell ref="A37:D37"/>
    <mergeCell ref="A38:D38"/>
    <mergeCell ref="A29:D29"/>
    <mergeCell ref="A30:D30"/>
    <mergeCell ref="A31:D31"/>
    <mergeCell ref="A32:E32"/>
    <mergeCell ref="A33:D33"/>
    <mergeCell ref="A34:D34"/>
    <mergeCell ref="F4:H4"/>
    <mergeCell ref="A36:D36"/>
    <mergeCell ref="A35:D35"/>
    <mergeCell ref="A18:D18"/>
    <mergeCell ref="A19:D19"/>
    <mergeCell ref="A20:D20"/>
    <mergeCell ref="A21:D21"/>
    <mergeCell ref="A22:E22"/>
    <mergeCell ref="A23:D23"/>
    <mergeCell ref="A24:D24"/>
    <mergeCell ref="A25:D25"/>
    <mergeCell ref="A26:D26"/>
    <mergeCell ref="A27:E27"/>
    <mergeCell ref="A28:D28"/>
    <mergeCell ref="A12:E12"/>
    <mergeCell ref="A13:D13"/>
    <mergeCell ref="A14:D14"/>
    <mergeCell ref="A15:D15"/>
    <mergeCell ref="A16:D16"/>
    <mergeCell ref="A4:D5"/>
    <mergeCell ref="A17:E17"/>
    <mergeCell ref="A6:D6"/>
    <mergeCell ref="A7:D7"/>
    <mergeCell ref="A9:D9"/>
    <mergeCell ref="A10:D10"/>
    <mergeCell ref="A11:D11"/>
    <mergeCell ref="E4:E5"/>
  </mergeCells>
  <pageMargins left="0.70866141732283472" right="0.70866141732283472" top="0.78740157480314965" bottom="0.78740157480314965" header="0.31496062992125984" footer="0.31496062992125984"/>
  <pageSetup paperSize="9" orientation="landscape" r:id="rId1"/>
  <headerFooter>
    <oddFooter>&amp;L&amp;8&amp;D&amp;T&amp;R&amp;8VAF-Periode 2015-2018</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tabColor rgb="FFFF0000"/>
  </sheetPr>
  <dimension ref="A1:G67"/>
  <sheetViews>
    <sheetView showGridLines="0" zoomScaleNormal="100" workbookViewId="0">
      <selection activeCell="G13" sqref="G13"/>
    </sheetView>
  </sheetViews>
  <sheetFormatPr baseColWidth="10" defaultRowHeight="15"/>
  <cols>
    <col min="1" max="4" width="18.21875" customWidth="1"/>
  </cols>
  <sheetData>
    <row r="1" spans="1:7">
      <c r="A1" s="582" t="s">
        <v>1947</v>
      </c>
      <c r="B1" s="583"/>
      <c r="C1" s="583"/>
      <c r="D1" s="584">
        <f>'Organisationsdaten (Basisinfo)'!D1</f>
        <v>2017</v>
      </c>
      <c r="E1" s="585" t="s">
        <v>123</v>
      </c>
      <c r="F1" s="586">
        <f>'Organisationsdaten (Basisinfo)'!H1</f>
        <v>3158</v>
      </c>
    </row>
    <row r="2" spans="1:7" ht="15.75">
      <c r="A2" s="312"/>
      <c r="D2" s="405"/>
      <c r="E2" s="154"/>
      <c r="F2" s="125"/>
    </row>
    <row r="3" spans="1:7" ht="17.25" customHeight="1">
      <c r="E3" s="154"/>
    </row>
    <row r="4" spans="1:7" s="311" customFormat="1" ht="36.75" customHeight="1">
      <c r="A4" s="1290" t="s">
        <v>1943</v>
      </c>
      <c r="B4" s="1290"/>
      <c r="C4" s="1290"/>
      <c r="D4" s="1290"/>
      <c r="E4" s="318"/>
      <c r="F4" s="318"/>
      <c r="G4" s="316"/>
    </row>
    <row r="5" spans="1:7" s="311" customFormat="1">
      <c r="A5" s="314"/>
      <c r="B5" s="314"/>
      <c r="C5" s="314"/>
      <c r="D5" s="313"/>
      <c r="E5" s="317"/>
      <c r="F5" s="317"/>
      <c r="G5" s="317"/>
    </row>
    <row r="6" spans="1:7" s="311" customFormat="1">
      <c r="A6" s="315" t="s">
        <v>1944</v>
      </c>
      <c r="B6" s="315" t="s">
        <v>1945</v>
      </c>
      <c r="C6" s="315" t="s">
        <v>1946</v>
      </c>
      <c r="D6" s="315" t="s">
        <v>1948</v>
      </c>
      <c r="E6" s="317"/>
      <c r="F6" s="317"/>
      <c r="G6" s="317"/>
    </row>
    <row r="7" spans="1:7" s="562" customFormat="1">
      <c r="A7" s="320"/>
      <c r="B7" s="320"/>
      <c r="C7" s="320"/>
      <c r="D7" s="320"/>
      <c r="E7" s="319"/>
      <c r="F7" s="319"/>
      <c r="G7" s="319"/>
    </row>
    <row r="8" spans="1:7" s="562" customFormat="1" ht="15.75">
      <c r="A8" s="320"/>
      <c r="B8" s="320"/>
      <c r="C8" s="320"/>
      <c r="D8" s="320"/>
      <c r="E8" s="563"/>
      <c r="F8" s="564"/>
      <c r="G8" s="319"/>
    </row>
    <row r="9" spans="1:7" s="562" customFormat="1" ht="24" customHeight="1">
      <c r="A9" s="320"/>
      <c r="B9" s="320"/>
      <c r="C9" s="320"/>
      <c r="D9" s="320"/>
      <c r="E9" s="563"/>
      <c r="F9" s="564"/>
      <c r="G9" s="319"/>
    </row>
    <row r="10" spans="1:7" s="562" customFormat="1" ht="24" customHeight="1">
      <c r="A10" s="320"/>
      <c r="B10" s="320"/>
      <c r="C10" s="320"/>
      <c r="D10" s="320"/>
      <c r="E10" s="563"/>
      <c r="F10" s="564"/>
      <c r="G10" s="319"/>
    </row>
    <row r="11" spans="1:7" s="562" customFormat="1" ht="24" customHeight="1">
      <c r="A11" s="320"/>
      <c r="B11" s="320"/>
      <c r="C11" s="320"/>
      <c r="D11" s="320"/>
      <c r="E11" s="563"/>
      <c r="F11" s="564"/>
      <c r="G11" s="319"/>
    </row>
    <row r="12" spans="1:7" s="562" customFormat="1">
      <c r="A12" s="320"/>
      <c r="B12" s="320"/>
      <c r="C12" s="320"/>
      <c r="D12" s="320"/>
      <c r="E12" s="319"/>
      <c r="F12" s="319"/>
      <c r="G12" s="319"/>
    </row>
    <row r="13" spans="1:7" s="562" customFormat="1" ht="16.5" customHeight="1">
      <c r="A13" s="320"/>
      <c r="B13" s="320"/>
      <c r="C13" s="320"/>
      <c r="D13" s="320"/>
      <c r="E13" s="319"/>
      <c r="F13" s="319"/>
      <c r="G13" s="319"/>
    </row>
    <row r="14" spans="1:7" s="562" customFormat="1">
      <c r="A14" s="320"/>
      <c r="B14" s="320"/>
      <c r="C14" s="320"/>
      <c r="D14" s="320"/>
      <c r="E14" s="319"/>
      <c r="F14" s="319"/>
      <c r="G14" s="319"/>
    </row>
    <row r="15" spans="1:7" s="562" customFormat="1" ht="20.25" customHeight="1">
      <c r="A15" s="320"/>
      <c r="B15" s="320"/>
      <c r="C15" s="320"/>
      <c r="D15" s="320"/>
      <c r="E15" s="565"/>
      <c r="F15" s="565"/>
      <c r="G15" s="566"/>
    </row>
    <row r="16" spans="1:7" s="562" customFormat="1">
      <c r="A16" s="320"/>
      <c r="B16" s="320"/>
      <c r="C16" s="320"/>
      <c r="D16" s="320"/>
    </row>
    <row r="17" spans="1:4" s="562" customFormat="1">
      <c r="A17" s="320"/>
      <c r="B17" s="320"/>
      <c r="C17" s="320"/>
      <c r="D17" s="320"/>
    </row>
    <row r="18" spans="1:4" s="562" customFormat="1">
      <c r="A18" s="320"/>
      <c r="B18" s="320"/>
      <c r="C18" s="320"/>
      <c r="D18" s="320"/>
    </row>
    <row r="19" spans="1:4" s="562" customFormat="1">
      <c r="A19" s="320"/>
      <c r="B19" s="320"/>
      <c r="C19" s="320"/>
      <c r="D19" s="320"/>
    </row>
    <row r="20" spans="1:4" s="562" customFormat="1">
      <c r="A20" s="320"/>
      <c r="B20" s="320"/>
      <c r="C20" s="320"/>
      <c r="D20" s="320"/>
    </row>
    <row r="21" spans="1:4" s="562" customFormat="1">
      <c r="A21" s="320"/>
      <c r="B21" s="320"/>
      <c r="C21" s="320"/>
      <c r="D21" s="320"/>
    </row>
    <row r="22" spans="1:4" s="562" customFormat="1">
      <c r="A22" s="320"/>
      <c r="B22" s="320"/>
      <c r="C22" s="320"/>
      <c r="D22" s="320"/>
    </row>
    <row r="23" spans="1:4" s="562" customFormat="1">
      <c r="A23" s="320"/>
      <c r="B23" s="320"/>
      <c r="C23" s="320"/>
      <c r="D23" s="320"/>
    </row>
    <row r="24" spans="1:4" s="562" customFormat="1">
      <c r="A24" s="320"/>
      <c r="B24" s="320"/>
      <c r="C24" s="320"/>
      <c r="D24" s="320"/>
    </row>
    <row r="25" spans="1:4" s="311" customFormat="1"/>
    <row r="26" spans="1:4" s="311" customFormat="1"/>
    <row r="27" spans="1:4" s="311" customFormat="1"/>
    <row r="28" spans="1:4" s="311" customFormat="1"/>
    <row r="29" spans="1:4" s="311" customFormat="1"/>
    <row r="30" spans="1:4" s="311" customFormat="1"/>
    <row r="31" spans="1:4" s="311" customFormat="1"/>
    <row r="32" spans="1:4" s="311" customFormat="1"/>
    <row r="33" s="311" customFormat="1"/>
    <row r="34" s="311" customFormat="1"/>
    <row r="35" s="311" customFormat="1"/>
    <row r="36" s="311" customFormat="1"/>
    <row r="37" s="311" customFormat="1"/>
    <row r="38" s="311" customFormat="1"/>
    <row r="39" s="311" customFormat="1"/>
    <row r="40" s="311" customFormat="1"/>
    <row r="41" s="311" customFormat="1"/>
    <row r="42" s="311" customFormat="1"/>
    <row r="43" s="311" customFormat="1"/>
    <row r="44" s="311" customFormat="1"/>
    <row r="45" s="311" customFormat="1"/>
    <row r="46" s="311" customFormat="1"/>
    <row r="47" s="311" customFormat="1"/>
    <row r="48" s="311" customFormat="1"/>
    <row r="49" s="311" customFormat="1"/>
    <row r="50" s="311" customFormat="1"/>
    <row r="51" s="311" customFormat="1"/>
    <row r="52" s="311" customFormat="1"/>
    <row r="53" s="311" customFormat="1"/>
    <row r="54" s="311" customFormat="1"/>
    <row r="55" s="311" customFormat="1"/>
    <row r="56" s="311" customFormat="1"/>
    <row r="57" s="311" customFormat="1"/>
    <row r="58" s="311" customFormat="1"/>
    <row r="59" s="311" customFormat="1"/>
    <row r="60" s="311" customFormat="1"/>
    <row r="61" s="311" customFormat="1"/>
    <row r="62" s="311" customFormat="1"/>
    <row r="63" s="311" customFormat="1"/>
    <row r="64" s="311" customFormat="1"/>
    <row r="65" s="311" customFormat="1"/>
    <row r="66" s="311" customFormat="1"/>
    <row r="67" s="311" customFormat="1"/>
  </sheetData>
  <mergeCells count="1">
    <mergeCell ref="A4:D4"/>
  </mergeCells>
  <phoneticPr fontId="0" type="noConversion"/>
  <pageMargins left="0.78740157480314965" right="0.78740157480314965" top="1.6535433070866143" bottom="0.98425196850393704" header="0.51181102362204722" footer="0.51181102362204722"/>
  <pageSetup paperSize="8" scale="89" orientation="portrait" r:id="rId1"/>
  <headerFooter alignWithMargins="0">
    <oddFooter>&amp;L&amp;8Druck: &amp;D, &amp;T&amp;R&amp;8LV-Periode 2011-2014</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9" tint="0.59999389629810485"/>
  </sheetPr>
  <dimension ref="A1:I48"/>
  <sheetViews>
    <sheetView zoomScale="80" zoomScaleNormal="80" workbookViewId="0">
      <selection activeCell="H9" sqref="H9"/>
    </sheetView>
  </sheetViews>
  <sheetFormatPr baseColWidth="10" defaultColWidth="9.77734375" defaultRowHeight="15"/>
  <cols>
    <col min="1" max="1" width="11.109375" style="948" customWidth="1"/>
    <col min="2" max="2" width="9.21875" style="948" customWidth="1"/>
    <col min="3" max="3" width="9.6640625" style="567" customWidth="1"/>
    <col min="4" max="4" width="10.5546875" style="567" customWidth="1"/>
    <col min="5" max="5" width="8.88671875" style="567" customWidth="1"/>
    <col min="6" max="6" width="12.77734375" style="926" customWidth="1"/>
    <col min="7" max="8" width="37.21875" style="567" customWidth="1"/>
    <col min="9" max="9" width="37.21875" style="927" customWidth="1"/>
    <col min="10" max="16384" width="9.77734375" style="567"/>
  </cols>
  <sheetData>
    <row r="1" spans="1:9" ht="42" customHeight="1" thickBot="1">
      <c r="A1" s="924" t="s">
        <v>2754</v>
      </c>
      <c r="B1" s="925"/>
      <c r="C1" s="949"/>
      <c r="D1" s="949"/>
      <c r="E1" s="949"/>
    </row>
    <row r="2" spans="1:9" ht="43.15" customHeight="1">
      <c r="A2" s="1291" t="s">
        <v>2702</v>
      </c>
      <c r="B2" s="1291"/>
      <c r="C2" s="1292"/>
      <c r="D2" s="929"/>
      <c r="E2" s="928" t="s">
        <v>2703</v>
      </c>
      <c r="F2" s="930"/>
      <c r="G2" s="931" t="s">
        <v>2748</v>
      </c>
    </row>
    <row r="3" spans="1:9" ht="49.5" customHeight="1">
      <c r="A3" s="1293" t="s">
        <v>2704</v>
      </c>
      <c r="B3" s="1294"/>
      <c r="C3" s="1294"/>
      <c r="D3" s="1294"/>
      <c r="E3" s="1295"/>
      <c r="F3" s="1299" t="s">
        <v>2755</v>
      </c>
      <c r="G3" s="1280" t="s">
        <v>2698</v>
      </c>
      <c r="H3" s="1281"/>
      <c r="I3" s="1282"/>
    </row>
    <row r="4" spans="1:9" ht="63.75" customHeight="1">
      <c r="A4" s="1296"/>
      <c r="B4" s="1297"/>
      <c r="C4" s="1297"/>
      <c r="D4" s="1297"/>
      <c r="E4" s="1298"/>
      <c r="F4" s="1299"/>
      <c r="G4" s="912" t="s">
        <v>2699</v>
      </c>
      <c r="H4" s="961" t="s">
        <v>2749</v>
      </c>
      <c r="I4" s="923" t="s">
        <v>2705</v>
      </c>
    </row>
    <row r="5" spans="1:9" ht="27">
      <c r="A5" s="1300" t="s">
        <v>2706</v>
      </c>
      <c r="B5" s="1300"/>
      <c r="C5" s="1300"/>
      <c r="D5" s="1300"/>
      <c r="E5" s="1300"/>
      <c r="F5" s="932" t="s">
        <v>2707</v>
      </c>
      <c r="G5" s="933"/>
      <c r="H5" s="934"/>
      <c r="I5" s="935"/>
    </row>
    <row r="6" spans="1:9" s="571" customFormat="1">
      <c r="A6" s="1260" t="s">
        <v>2708</v>
      </c>
      <c r="B6" s="1260"/>
      <c r="C6" s="1260"/>
      <c r="D6" s="1260"/>
      <c r="E6" s="1260"/>
      <c r="F6" s="936">
        <v>200</v>
      </c>
      <c r="G6" s="905"/>
      <c r="H6" s="937" t="s">
        <v>2709</v>
      </c>
      <c r="I6" s="907"/>
    </row>
    <row r="7" spans="1:9" s="571" customFormat="1">
      <c r="A7" s="1260" t="s">
        <v>2710</v>
      </c>
      <c r="B7" s="1260"/>
      <c r="C7" s="1260"/>
      <c r="D7" s="1260"/>
      <c r="E7" s="1260"/>
      <c r="F7" s="936">
        <v>100</v>
      </c>
      <c r="G7" s="905"/>
      <c r="H7" s="937" t="s">
        <v>2709</v>
      </c>
      <c r="I7" s="907"/>
    </row>
    <row r="8" spans="1:9" s="571" customFormat="1">
      <c r="A8" s="1260" t="s">
        <v>2711</v>
      </c>
      <c r="B8" s="1260"/>
      <c r="C8" s="1260"/>
      <c r="D8" s="1260"/>
      <c r="E8" s="1260"/>
      <c r="F8" s="936">
        <v>300</v>
      </c>
      <c r="G8" s="905"/>
      <c r="H8" s="937" t="s">
        <v>2709</v>
      </c>
      <c r="I8" s="907"/>
    </row>
    <row r="9" spans="1:9" s="571" customFormat="1" ht="280.5">
      <c r="A9" s="1303" t="s">
        <v>2712</v>
      </c>
      <c r="B9" s="1304"/>
      <c r="C9" s="1304"/>
      <c r="D9" s="1304"/>
      <c r="E9" s="1305"/>
      <c r="F9" s="936">
        <v>650</v>
      </c>
      <c r="G9" s="938" t="s">
        <v>2756</v>
      </c>
      <c r="H9" s="907" t="s">
        <v>2762</v>
      </c>
      <c r="I9" s="907" t="s">
        <v>2772</v>
      </c>
    </row>
    <row r="10" spans="1:9">
      <c r="A10" s="1301" t="s">
        <v>2713</v>
      </c>
      <c r="B10" s="1301"/>
      <c r="C10" s="1301"/>
      <c r="D10" s="1301"/>
      <c r="E10" s="1301"/>
      <c r="F10" s="920">
        <f>SUM(F6:F9)</f>
        <v>1250</v>
      </c>
      <c r="G10" s="910"/>
      <c r="H10" s="911"/>
      <c r="I10" s="911"/>
    </row>
    <row r="11" spans="1:9" ht="27">
      <c r="A11" s="1300" t="s">
        <v>2757</v>
      </c>
      <c r="B11" s="1300"/>
      <c r="C11" s="1300"/>
      <c r="D11" s="1300"/>
      <c r="E11" s="1300"/>
      <c r="F11" s="932" t="s">
        <v>2714</v>
      </c>
      <c r="G11" s="913"/>
      <c r="H11" s="911"/>
      <c r="I11" s="911"/>
    </row>
    <row r="12" spans="1:9">
      <c r="A12" s="1301" t="s">
        <v>2715</v>
      </c>
      <c r="B12" s="1301"/>
      <c r="C12" s="1301"/>
      <c r="D12" s="1301"/>
      <c r="E12" s="1301"/>
      <c r="F12" s="1301"/>
      <c r="G12" s="913"/>
      <c r="H12" s="914"/>
      <c r="I12" s="914"/>
    </row>
    <row r="13" spans="1:9" s="571" customFormat="1" ht="173.25" customHeight="1">
      <c r="A13" s="1302" t="s">
        <v>2716</v>
      </c>
      <c r="B13" s="1302"/>
      <c r="C13" s="1302"/>
      <c r="D13" s="1302"/>
      <c r="E13" s="1302"/>
      <c r="F13" s="936">
        <v>650</v>
      </c>
      <c r="G13" s="905" t="s">
        <v>2758</v>
      </c>
      <c r="H13" s="907" t="s">
        <v>2764</v>
      </c>
      <c r="I13" s="907" t="s">
        <v>2717</v>
      </c>
    </row>
    <row r="14" spans="1:9" s="571" customFormat="1" ht="357" customHeight="1">
      <c r="A14" s="1260" t="s">
        <v>2718</v>
      </c>
      <c r="B14" s="1260"/>
      <c r="C14" s="1260"/>
      <c r="D14" s="1260"/>
      <c r="E14" s="1260"/>
      <c r="F14" s="939">
        <v>1250</v>
      </c>
      <c r="G14" s="905" t="s">
        <v>2759</v>
      </c>
      <c r="H14" s="907" t="s">
        <v>2763</v>
      </c>
      <c r="I14" s="907" t="s">
        <v>2760</v>
      </c>
    </row>
    <row r="15" spans="1:9" s="571" customFormat="1" ht="177.75" customHeight="1">
      <c r="A15" s="1260" t="s">
        <v>2719</v>
      </c>
      <c r="B15" s="1260"/>
      <c r="C15" s="1260"/>
      <c r="D15" s="1260"/>
      <c r="E15" s="1260"/>
      <c r="F15" s="939">
        <v>850</v>
      </c>
      <c r="G15" s="905" t="s">
        <v>2761</v>
      </c>
      <c r="H15" s="907" t="s">
        <v>2720</v>
      </c>
      <c r="I15" s="907" t="s">
        <v>2721</v>
      </c>
    </row>
    <row r="16" spans="1:9" s="571" customFormat="1">
      <c r="A16" s="1301" t="s">
        <v>2722</v>
      </c>
      <c r="B16" s="1301"/>
      <c r="C16" s="1301"/>
      <c r="D16" s="1301"/>
      <c r="E16" s="1301"/>
      <c r="F16" s="920">
        <f>SUM(F13:F15)</f>
        <v>2750</v>
      </c>
      <c r="G16" s="910"/>
      <c r="H16" s="1306"/>
      <c r="I16" s="1306"/>
    </row>
    <row r="17" spans="1:9">
      <c r="A17" s="1300" t="s">
        <v>2723</v>
      </c>
      <c r="B17" s="1300"/>
      <c r="C17" s="1300"/>
      <c r="D17" s="1300"/>
      <c r="E17" s="1300"/>
      <c r="F17" s="1300"/>
      <c r="G17" s="913"/>
      <c r="H17" s="916"/>
      <c r="I17" s="916"/>
    </row>
    <row r="18" spans="1:9">
      <c r="A18" s="1307"/>
      <c r="B18" s="1308"/>
      <c r="C18" s="1308"/>
      <c r="D18" s="1308"/>
      <c r="E18" s="1309"/>
      <c r="F18" s="940"/>
      <c r="G18" s="917"/>
      <c r="H18" s="941"/>
      <c r="I18" s="914"/>
    </row>
    <row r="19" spans="1:9">
      <c r="A19" s="1307"/>
      <c r="B19" s="1308"/>
      <c r="C19" s="1308"/>
      <c r="D19" s="1308"/>
      <c r="E19" s="1309"/>
      <c r="F19" s="940"/>
      <c r="G19" s="917"/>
      <c r="H19" s="941"/>
      <c r="I19" s="914"/>
    </row>
    <row r="20" spans="1:9" s="571" customFormat="1">
      <c r="A20" s="1260"/>
      <c r="B20" s="1260"/>
      <c r="C20" s="1260"/>
      <c r="D20" s="1260"/>
      <c r="E20" s="1260"/>
      <c r="F20" s="936"/>
      <c r="G20" s="905"/>
      <c r="H20" s="907"/>
      <c r="I20" s="907"/>
    </row>
    <row r="21" spans="1:9" s="571" customFormat="1">
      <c r="A21" s="1260"/>
      <c r="B21" s="1260"/>
      <c r="C21" s="1260"/>
      <c r="D21" s="1260"/>
      <c r="E21" s="1260"/>
      <c r="F21" s="936"/>
      <c r="G21" s="905"/>
      <c r="H21" s="907"/>
      <c r="I21" s="907"/>
    </row>
    <row r="22" spans="1:9" s="571" customFormat="1">
      <c r="A22" s="1260"/>
      <c r="B22" s="1260"/>
      <c r="C22" s="1260"/>
      <c r="D22" s="1260"/>
      <c r="E22" s="1260"/>
      <c r="F22" s="936"/>
      <c r="G22" s="905"/>
      <c r="H22" s="907"/>
      <c r="I22" s="907"/>
    </row>
    <row r="23" spans="1:9" s="571" customFormat="1">
      <c r="A23" s="1301" t="s">
        <v>2724</v>
      </c>
      <c r="B23" s="1301"/>
      <c r="C23" s="1301"/>
      <c r="D23" s="1301"/>
      <c r="E23" s="1301"/>
      <c r="F23" s="920">
        <f>SUM(F20:F22)</f>
        <v>0</v>
      </c>
      <c r="G23" s="910"/>
      <c r="H23" s="918"/>
      <c r="I23" s="918"/>
    </row>
    <row r="24" spans="1:9" ht="55.15" customHeight="1">
      <c r="A24" s="1300" t="s">
        <v>2725</v>
      </c>
      <c r="B24" s="1300"/>
      <c r="C24" s="1300"/>
      <c r="D24" s="1300"/>
      <c r="E24" s="1300"/>
      <c r="F24" s="1300"/>
      <c r="G24" s="913"/>
      <c r="H24" s="918"/>
      <c r="I24" s="918"/>
    </row>
    <row r="25" spans="1:9">
      <c r="A25" s="1307"/>
      <c r="B25" s="1308"/>
      <c r="C25" s="1308"/>
      <c r="D25" s="1308"/>
      <c r="E25" s="1309"/>
      <c r="F25" s="940"/>
      <c r="G25" s="917"/>
      <c r="H25" s="941"/>
      <c r="I25" s="914"/>
    </row>
    <row r="26" spans="1:9">
      <c r="A26" s="1307"/>
      <c r="B26" s="1308"/>
      <c r="C26" s="1308"/>
      <c r="D26" s="1308"/>
      <c r="E26" s="1309"/>
      <c r="F26" s="940"/>
      <c r="G26" s="917"/>
      <c r="H26" s="941"/>
      <c r="I26" s="914"/>
    </row>
    <row r="27" spans="1:9" s="571" customFormat="1">
      <c r="A27" s="1260"/>
      <c r="B27" s="1260"/>
      <c r="C27" s="1260"/>
      <c r="D27" s="1260"/>
      <c r="E27" s="1260"/>
      <c r="F27" s="936"/>
      <c r="G27" s="905"/>
      <c r="H27" s="907"/>
      <c r="I27" s="907"/>
    </row>
    <row r="28" spans="1:9" s="571" customFormat="1">
      <c r="A28" s="1260"/>
      <c r="B28" s="1260"/>
      <c r="C28" s="1260"/>
      <c r="D28" s="1260"/>
      <c r="E28" s="1260"/>
      <c r="F28" s="936"/>
      <c r="G28" s="905"/>
      <c r="H28" s="907"/>
      <c r="I28" s="907"/>
    </row>
    <row r="29" spans="1:9" s="571" customFormat="1">
      <c r="A29" s="1260"/>
      <c r="B29" s="1260"/>
      <c r="C29" s="1260"/>
      <c r="D29" s="1260"/>
      <c r="E29" s="1260"/>
      <c r="F29" s="936"/>
      <c r="G29" s="905"/>
      <c r="H29" s="907"/>
      <c r="I29" s="907"/>
    </row>
    <row r="30" spans="1:9" s="571" customFormat="1" ht="57.75" customHeight="1">
      <c r="A30" s="1301" t="s">
        <v>2726</v>
      </c>
      <c r="B30" s="1301"/>
      <c r="C30" s="1301"/>
      <c r="D30" s="1301"/>
      <c r="E30" s="1301"/>
      <c r="F30" s="920">
        <f>SUM(F27:F29)</f>
        <v>0</v>
      </c>
      <c r="G30" s="910"/>
      <c r="H30" s="918"/>
      <c r="I30" s="918"/>
    </row>
    <row r="31" spans="1:9" ht="21" customHeight="1">
      <c r="A31" s="1310" t="s">
        <v>2727</v>
      </c>
      <c r="B31" s="1310"/>
      <c r="C31" s="1310"/>
      <c r="D31" s="1310"/>
      <c r="E31" s="1310"/>
      <c r="F31" s="1310"/>
      <c r="G31" s="913"/>
      <c r="H31" s="918"/>
      <c r="I31" s="918"/>
    </row>
    <row r="32" spans="1:9" s="571" customFormat="1">
      <c r="A32" s="1260" t="s">
        <v>2728</v>
      </c>
      <c r="B32" s="1260"/>
      <c r="C32" s="1260"/>
      <c r="D32" s="1260"/>
      <c r="E32" s="1260"/>
      <c r="F32" s="936">
        <v>150</v>
      </c>
      <c r="G32" s="905"/>
      <c r="H32" s="937" t="s">
        <v>2709</v>
      </c>
      <c r="I32" s="907"/>
    </row>
    <row r="33" spans="1:9" s="571" customFormat="1">
      <c r="A33" s="1260" t="s">
        <v>2729</v>
      </c>
      <c r="B33" s="1260"/>
      <c r="C33" s="1260"/>
      <c r="D33" s="1260"/>
      <c r="E33" s="1260"/>
      <c r="F33" s="936">
        <v>220</v>
      </c>
      <c r="G33" s="905"/>
      <c r="H33" s="937" t="s">
        <v>2709</v>
      </c>
      <c r="I33" s="907"/>
    </row>
    <row r="34" spans="1:9" s="571" customFormat="1" ht="16.5" customHeight="1">
      <c r="A34" s="1260" t="s">
        <v>2730</v>
      </c>
      <c r="B34" s="1260"/>
      <c r="C34" s="1260"/>
      <c r="D34" s="1260"/>
      <c r="E34" s="1260"/>
      <c r="F34" s="936">
        <v>180</v>
      </c>
      <c r="G34" s="905"/>
      <c r="H34" s="937" t="s">
        <v>2709</v>
      </c>
      <c r="I34" s="907"/>
    </row>
    <row r="35" spans="1:9" s="571" customFormat="1">
      <c r="A35" s="1260" t="s">
        <v>2731</v>
      </c>
      <c r="B35" s="1260"/>
      <c r="C35" s="1260"/>
      <c r="D35" s="1260"/>
      <c r="E35" s="1260"/>
      <c r="F35" s="936">
        <v>210</v>
      </c>
      <c r="G35" s="905"/>
      <c r="H35" s="937" t="s">
        <v>2709</v>
      </c>
      <c r="I35" s="907"/>
    </row>
    <row r="36" spans="1:9" s="571" customFormat="1">
      <c r="A36" s="1260" t="s">
        <v>2732</v>
      </c>
      <c r="B36" s="1260"/>
      <c r="C36" s="1260"/>
      <c r="D36" s="1260"/>
      <c r="E36" s="1260"/>
      <c r="F36" s="936">
        <v>150</v>
      </c>
      <c r="G36" s="905"/>
      <c r="H36" s="937" t="s">
        <v>2709</v>
      </c>
      <c r="I36" s="907"/>
    </row>
    <row r="37" spans="1:9" s="571" customFormat="1" ht="333.75" customHeight="1">
      <c r="A37" s="1260" t="s">
        <v>2766</v>
      </c>
      <c r="B37" s="1260"/>
      <c r="C37" s="1260"/>
      <c r="D37" s="1260"/>
      <c r="E37" s="1260"/>
      <c r="F37" s="939">
        <v>450</v>
      </c>
      <c r="G37" s="905" t="s">
        <v>2733</v>
      </c>
      <c r="H37" s="937" t="s">
        <v>2773</v>
      </c>
      <c r="I37" s="907" t="s">
        <v>2774</v>
      </c>
    </row>
    <row r="38" spans="1:9" s="571" customFormat="1" ht="258.75" customHeight="1">
      <c r="A38" s="1260" t="s">
        <v>2767</v>
      </c>
      <c r="B38" s="1260"/>
      <c r="C38" s="1260"/>
      <c r="D38" s="1260"/>
      <c r="E38" s="1260"/>
      <c r="F38" s="939">
        <v>570</v>
      </c>
      <c r="G38" s="905" t="s">
        <v>2734</v>
      </c>
      <c r="H38" s="937" t="s">
        <v>2768</v>
      </c>
      <c r="I38" s="907" t="s">
        <v>2765</v>
      </c>
    </row>
    <row r="39" spans="1:9" ht="31.5" customHeight="1">
      <c r="A39" s="1301" t="s">
        <v>2735</v>
      </c>
      <c r="B39" s="1301"/>
      <c r="C39" s="1301"/>
      <c r="D39" s="1301"/>
      <c r="E39" s="1301"/>
      <c r="F39" s="920">
        <f>SUM(F32:F38)</f>
        <v>1930</v>
      </c>
      <c r="G39" s="910"/>
      <c r="H39" s="918"/>
      <c r="I39" s="918"/>
    </row>
    <row r="40" spans="1:9" ht="30" customHeight="1">
      <c r="A40" s="1301" t="s">
        <v>2736</v>
      </c>
      <c r="B40" s="1301"/>
      <c r="C40" s="1301"/>
      <c r="D40" s="1301"/>
      <c r="E40" s="1301"/>
      <c r="F40" s="1301"/>
      <c r="G40" s="913"/>
      <c r="H40" s="918"/>
      <c r="I40" s="918"/>
    </row>
    <row r="41" spans="1:9" s="571" customFormat="1" ht="95.25" customHeight="1">
      <c r="A41" s="1260" t="s">
        <v>2737</v>
      </c>
      <c r="B41" s="1260"/>
      <c r="C41" s="1260"/>
      <c r="D41" s="1260"/>
      <c r="E41" s="1260"/>
      <c r="F41" s="936">
        <v>350</v>
      </c>
      <c r="G41" s="905" t="s">
        <v>2769</v>
      </c>
      <c r="H41" s="907" t="s">
        <v>2770</v>
      </c>
      <c r="I41" s="942"/>
    </row>
    <row r="42" spans="1:9" s="571" customFormat="1" ht="186.75" customHeight="1">
      <c r="A42" s="1260" t="s">
        <v>2738</v>
      </c>
      <c r="B42" s="1260"/>
      <c r="C42" s="1260"/>
      <c r="D42" s="1260"/>
      <c r="E42" s="1260"/>
      <c r="F42" s="936">
        <v>120</v>
      </c>
      <c r="G42" s="905" t="s">
        <v>2739</v>
      </c>
      <c r="H42" s="907" t="s">
        <v>2771</v>
      </c>
      <c r="I42" s="907" t="s">
        <v>2740</v>
      </c>
    </row>
    <row r="43" spans="1:9" s="571" customFormat="1">
      <c r="A43" s="1311"/>
      <c r="B43" s="1311"/>
      <c r="C43" s="1311"/>
      <c r="D43" s="1311"/>
      <c r="E43" s="1311"/>
      <c r="F43" s="936"/>
      <c r="G43" s="919" t="s">
        <v>2701</v>
      </c>
      <c r="H43" s="907"/>
      <c r="I43" s="907"/>
    </row>
    <row r="44" spans="1:9" ht="51.75" customHeight="1">
      <c r="A44" s="1287" t="s">
        <v>2736</v>
      </c>
      <c r="B44" s="1287"/>
      <c r="C44" s="1287"/>
      <c r="D44" s="1287"/>
      <c r="E44" s="1287"/>
      <c r="F44" s="920">
        <f>SUM(F41:F43)</f>
        <v>470</v>
      </c>
      <c r="G44" s="890"/>
      <c r="H44" s="920"/>
      <c r="I44" s="920"/>
    </row>
    <row r="45" spans="1:9" s="571" customFormat="1">
      <c r="A45" s="1287" t="s">
        <v>2741</v>
      </c>
      <c r="B45" s="1287"/>
      <c r="C45" s="1287"/>
      <c r="D45" s="1287"/>
      <c r="E45" s="1287"/>
      <c r="F45" s="943">
        <f>SUM(F44,F39,F30,F23,F16)</f>
        <v>5150</v>
      </c>
      <c r="G45" s="890"/>
      <c r="H45" s="920"/>
      <c r="I45" s="920"/>
    </row>
    <row r="46" spans="1:9">
      <c r="A46" s="1287" t="s">
        <v>2742</v>
      </c>
      <c r="B46" s="1287"/>
      <c r="C46" s="1287"/>
      <c r="D46" s="1287"/>
      <c r="E46" s="1287"/>
      <c r="F46" s="920">
        <f>SUM(F45,F10)</f>
        <v>6400</v>
      </c>
      <c r="G46" s="890"/>
      <c r="H46" s="920"/>
      <c r="I46" s="920"/>
    </row>
    <row r="47" spans="1:9">
      <c r="A47" s="944" t="s">
        <v>2743</v>
      </c>
      <c r="B47" s="944"/>
      <c r="C47" s="944"/>
      <c r="D47" s="944"/>
      <c r="E47" s="944"/>
      <c r="F47" s="945"/>
      <c r="G47" s="944"/>
      <c r="H47" s="946"/>
      <c r="I47" s="947"/>
    </row>
    <row r="48" spans="1:9" ht="15.75">
      <c r="A48" s="577"/>
      <c r="B48" s="577"/>
      <c r="C48" s="577"/>
      <c r="D48" s="577"/>
      <c r="E48" s="577"/>
      <c r="G48" s="577"/>
    </row>
  </sheetData>
  <sheetProtection password="C671" sheet="1"/>
  <mergeCells count="47">
    <mergeCell ref="A42:E42"/>
    <mergeCell ref="A43:E43"/>
    <mergeCell ref="A44:E44"/>
    <mergeCell ref="A45:E45"/>
    <mergeCell ref="A46:E46"/>
    <mergeCell ref="A41:E41"/>
    <mergeCell ref="A30:E30"/>
    <mergeCell ref="A31:F31"/>
    <mergeCell ref="A32:E32"/>
    <mergeCell ref="A33:E33"/>
    <mergeCell ref="A34:E34"/>
    <mergeCell ref="A35:E35"/>
    <mergeCell ref="A36:E36"/>
    <mergeCell ref="A37:E37"/>
    <mergeCell ref="A38:E38"/>
    <mergeCell ref="A39:E39"/>
    <mergeCell ref="A40:F40"/>
    <mergeCell ref="H16:I16"/>
    <mergeCell ref="A29:E29"/>
    <mergeCell ref="A18:E18"/>
    <mergeCell ref="A19:E19"/>
    <mergeCell ref="A20:E20"/>
    <mergeCell ref="A21:E21"/>
    <mergeCell ref="A22:E22"/>
    <mergeCell ref="A23:E23"/>
    <mergeCell ref="A24:F24"/>
    <mergeCell ref="A25:E25"/>
    <mergeCell ref="A26:E26"/>
    <mergeCell ref="A27:E27"/>
    <mergeCell ref="A28:E28"/>
    <mergeCell ref="A17:F17"/>
    <mergeCell ref="A7:E7"/>
    <mergeCell ref="A8:E8"/>
    <mergeCell ref="A9:E9"/>
    <mergeCell ref="A10:E10"/>
    <mergeCell ref="A11:E11"/>
    <mergeCell ref="A12:F12"/>
    <mergeCell ref="A13:E13"/>
    <mergeCell ref="A14:E14"/>
    <mergeCell ref="A15:E15"/>
    <mergeCell ref="A16:E16"/>
    <mergeCell ref="A6:E6"/>
    <mergeCell ref="A2:C2"/>
    <mergeCell ref="A3:E4"/>
    <mergeCell ref="F3:F4"/>
    <mergeCell ref="G3:I3"/>
    <mergeCell ref="A5:E5"/>
  </mergeCells>
  <pageMargins left="0.7" right="0.7" top="0.78740157499999996" bottom="0.78740157499999996"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2">
    <tabColor theme="9" tint="0.59999389629810485"/>
    <pageSetUpPr fitToPage="1"/>
  </sheetPr>
  <dimension ref="A1:HT60"/>
  <sheetViews>
    <sheetView showGridLines="0" topLeftCell="A7" zoomScaleNormal="100" workbookViewId="0">
      <selection activeCell="O22" sqref="O22"/>
    </sheetView>
  </sheetViews>
  <sheetFormatPr baseColWidth="10" defaultColWidth="10.6640625" defaultRowHeight="12.75"/>
  <cols>
    <col min="1" max="1" width="4.44140625" style="817" customWidth="1"/>
    <col min="2" max="2" width="21" style="818" customWidth="1"/>
    <col min="3" max="6" width="10.77734375" style="818" customWidth="1"/>
    <col min="7" max="9" width="7.109375" style="818" customWidth="1"/>
    <col min="10" max="10" width="8.44140625" style="818" customWidth="1"/>
    <col min="11" max="11" width="6.44140625" style="818" customWidth="1"/>
    <col min="12" max="12" width="7" style="818" customWidth="1"/>
    <col min="13" max="13" width="6.88671875" style="818" customWidth="1"/>
    <col min="14" max="17" width="6.44140625" style="818" customWidth="1"/>
    <col min="18" max="18" width="7.5546875" style="818" customWidth="1"/>
    <col min="19" max="19" width="6.44140625" style="818" customWidth="1"/>
    <col min="20" max="20" width="7.6640625" style="818" customWidth="1"/>
    <col min="21" max="21" width="8.33203125" style="819" customWidth="1"/>
    <col min="22" max="22" width="2.109375" style="819" customWidth="1"/>
    <col min="23" max="23" width="7.21875" style="819" customWidth="1"/>
    <col min="24" max="16384" width="10.6640625" style="819"/>
  </cols>
  <sheetData>
    <row r="1" spans="1:228" ht="16.5" thickBot="1">
      <c r="B1" s="1343" t="s">
        <v>2656</v>
      </c>
      <c r="C1" s="1343"/>
      <c r="D1" s="1343"/>
      <c r="E1" s="1343"/>
      <c r="F1" s="1343"/>
      <c r="G1" s="1343"/>
      <c r="H1" s="1343"/>
      <c r="I1" s="1343"/>
      <c r="J1" s="1346">
        <f>'Organisationsdaten (Basisinfo)'!D1</f>
        <v>2017</v>
      </c>
      <c r="K1" s="1347"/>
      <c r="M1" s="1348" t="s">
        <v>2659</v>
      </c>
      <c r="N1" s="1348"/>
      <c r="O1" s="1348"/>
      <c r="P1" s="1349">
        <f>'Organisationsdaten (Basisinfo)'!H1</f>
        <v>3158</v>
      </c>
      <c r="Q1" s="1350"/>
      <c r="S1" s="819"/>
      <c r="T1" s="819"/>
    </row>
    <row r="2" spans="1:228" ht="15.75" thickBot="1">
      <c r="A2" s="820"/>
      <c r="B2" s="821" t="s">
        <v>1543</v>
      </c>
      <c r="C2" s="822" t="s">
        <v>1766</v>
      </c>
      <c r="D2" s="822" t="s">
        <v>1767</v>
      </c>
      <c r="E2" s="822" t="s">
        <v>1768</v>
      </c>
      <c r="F2" s="822" t="s">
        <v>1769</v>
      </c>
      <c r="G2" s="822" t="s">
        <v>1770</v>
      </c>
      <c r="H2" s="822" t="s">
        <v>1771</v>
      </c>
      <c r="I2" s="822" t="s">
        <v>1772</v>
      </c>
      <c r="J2" s="822" t="s">
        <v>1773</v>
      </c>
      <c r="K2" s="822" t="s">
        <v>1774</v>
      </c>
      <c r="L2" s="822" t="s">
        <v>1775</v>
      </c>
      <c r="M2" s="822" t="s">
        <v>1776</v>
      </c>
      <c r="N2" s="822" t="s">
        <v>1777</v>
      </c>
      <c r="O2" s="822" t="s">
        <v>1778</v>
      </c>
      <c r="P2" s="822" t="s">
        <v>1779</v>
      </c>
      <c r="Q2" s="822" t="s">
        <v>1780</v>
      </c>
      <c r="R2" s="822" t="s">
        <v>1784</v>
      </c>
      <c r="S2" s="822" t="s">
        <v>1785</v>
      </c>
      <c r="T2" s="822" t="s">
        <v>436</v>
      </c>
      <c r="U2" s="1344" t="s">
        <v>1786</v>
      </c>
      <c r="V2" s="1345"/>
    </row>
    <row r="3" spans="1:228" s="824" customFormat="1" ht="27" customHeight="1" thickBot="1">
      <c r="A3" s="823">
        <v>1</v>
      </c>
      <c r="B3" s="1336" t="s">
        <v>2414</v>
      </c>
      <c r="C3" s="1314" t="s">
        <v>2447</v>
      </c>
      <c r="D3" s="1315"/>
      <c r="E3" s="1315"/>
      <c r="F3" s="1316"/>
      <c r="G3" s="1317" t="s">
        <v>2654</v>
      </c>
      <c r="H3" s="1318"/>
      <c r="I3" s="1338"/>
      <c r="J3" s="1317" t="s">
        <v>2655</v>
      </c>
      <c r="K3" s="1318"/>
      <c r="L3" s="1318"/>
      <c r="M3" s="1318"/>
      <c r="N3" s="1318"/>
      <c r="O3" s="1318"/>
      <c r="P3" s="1318"/>
      <c r="Q3" s="1318"/>
      <c r="R3" s="1318"/>
      <c r="S3" s="1318"/>
      <c r="T3" s="1318"/>
      <c r="U3" s="1332" t="s">
        <v>1530</v>
      </c>
      <c r="V3" s="1333"/>
      <c r="W3" s="819"/>
      <c r="X3" s="819"/>
      <c r="Y3" s="819"/>
      <c r="Z3" s="819"/>
      <c r="AA3" s="819"/>
      <c r="AB3" s="819"/>
      <c r="AC3" s="819"/>
      <c r="AD3" s="819"/>
      <c r="AE3" s="819"/>
      <c r="AF3" s="819"/>
      <c r="AG3" s="819"/>
      <c r="AH3" s="819"/>
      <c r="AI3" s="819"/>
      <c r="AJ3" s="819"/>
      <c r="AK3" s="819"/>
      <c r="AL3" s="819"/>
      <c r="AM3" s="819"/>
      <c r="AN3" s="819"/>
      <c r="AO3" s="819"/>
      <c r="AP3" s="819"/>
      <c r="AQ3" s="819"/>
      <c r="AR3" s="819"/>
      <c r="AS3" s="819"/>
      <c r="AT3" s="819"/>
      <c r="AU3" s="819"/>
      <c r="AV3" s="819"/>
      <c r="AW3" s="819"/>
      <c r="AX3" s="819"/>
      <c r="AY3" s="819"/>
      <c r="AZ3" s="819"/>
      <c r="BA3" s="819"/>
      <c r="BB3" s="819"/>
      <c r="BC3" s="819"/>
      <c r="BD3" s="819"/>
      <c r="BE3" s="819"/>
      <c r="BF3" s="819"/>
      <c r="BG3" s="819"/>
      <c r="BH3" s="819"/>
      <c r="BI3" s="819"/>
      <c r="BJ3" s="819"/>
      <c r="BK3" s="819"/>
      <c r="BL3" s="819"/>
      <c r="BM3" s="819"/>
      <c r="BN3" s="819"/>
      <c r="BO3" s="819"/>
      <c r="BP3" s="819"/>
      <c r="BQ3" s="819"/>
      <c r="BR3" s="819"/>
      <c r="BS3" s="819"/>
      <c r="BT3" s="819"/>
      <c r="BU3" s="819"/>
      <c r="BV3" s="819"/>
      <c r="BW3" s="819"/>
      <c r="BX3" s="819"/>
      <c r="BY3" s="819"/>
      <c r="BZ3" s="819"/>
      <c r="CA3" s="819"/>
      <c r="CB3" s="819"/>
      <c r="CC3" s="819"/>
      <c r="CD3" s="819"/>
      <c r="CE3" s="819"/>
      <c r="CF3" s="819"/>
      <c r="CG3" s="819"/>
      <c r="CH3" s="819"/>
      <c r="CI3" s="819"/>
      <c r="CJ3" s="819"/>
      <c r="CK3" s="819"/>
      <c r="CL3" s="819"/>
      <c r="CM3" s="819"/>
      <c r="CN3" s="819"/>
      <c r="CO3" s="819"/>
      <c r="CP3" s="819"/>
      <c r="CQ3" s="819"/>
      <c r="CR3" s="819"/>
      <c r="CS3" s="819"/>
      <c r="CT3" s="819"/>
      <c r="CU3" s="819"/>
      <c r="CV3" s="819"/>
      <c r="CW3" s="819"/>
      <c r="CX3" s="819"/>
      <c r="CY3" s="819"/>
      <c r="CZ3" s="819"/>
      <c r="DA3" s="819"/>
      <c r="DB3" s="819"/>
      <c r="DC3" s="819"/>
      <c r="DD3" s="819"/>
      <c r="DE3" s="819"/>
      <c r="DF3" s="819"/>
      <c r="DG3" s="819"/>
      <c r="DH3" s="819"/>
      <c r="DI3" s="819"/>
      <c r="DJ3" s="819"/>
      <c r="DK3" s="819"/>
      <c r="DL3" s="819"/>
      <c r="DM3" s="819"/>
      <c r="DN3" s="819"/>
      <c r="DO3" s="819"/>
      <c r="DP3" s="819"/>
      <c r="DQ3" s="819"/>
      <c r="DR3" s="819"/>
      <c r="DS3" s="819"/>
      <c r="DT3" s="819"/>
      <c r="DU3" s="819"/>
      <c r="DV3" s="819"/>
      <c r="DW3" s="819"/>
      <c r="DX3" s="819"/>
      <c r="DY3" s="819"/>
      <c r="DZ3" s="819"/>
      <c r="EA3" s="819"/>
      <c r="EB3" s="819"/>
      <c r="EC3" s="819"/>
      <c r="ED3" s="819"/>
      <c r="EE3" s="819"/>
      <c r="EF3" s="819"/>
      <c r="EG3" s="819"/>
      <c r="EH3" s="819"/>
      <c r="EI3" s="819"/>
      <c r="EJ3" s="819"/>
      <c r="EK3" s="819"/>
      <c r="EL3" s="819"/>
      <c r="EM3" s="819"/>
      <c r="EN3" s="819"/>
      <c r="EO3" s="819"/>
      <c r="EP3" s="819"/>
      <c r="EQ3" s="819"/>
      <c r="ER3" s="819"/>
      <c r="ES3" s="819"/>
      <c r="ET3" s="819"/>
      <c r="EU3" s="819"/>
      <c r="EV3" s="819"/>
      <c r="EW3" s="819"/>
      <c r="EX3" s="819"/>
      <c r="EY3" s="819"/>
      <c r="EZ3" s="819"/>
      <c r="FA3" s="819"/>
      <c r="FB3" s="819"/>
      <c r="FC3" s="819"/>
      <c r="FD3" s="819"/>
      <c r="FE3" s="819"/>
      <c r="FF3" s="819"/>
      <c r="FG3" s="819"/>
      <c r="FH3" s="819"/>
      <c r="FI3" s="819"/>
      <c r="FJ3" s="819"/>
      <c r="FK3" s="819"/>
      <c r="FL3" s="819"/>
      <c r="FM3" s="819"/>
      <c r="FN3" s="819"/>
      <c r="FO3" s="819"/>
      <c r="FP3" s="819"/>
      <c r="FQ3" s="819"/>
      <c r="FR3" s="819"/>
      <c r="FS3" s="819"/>
      <c r="FT3" s="819"/>
      <c r="FU3" s="819"/>
      <c r="FV3" s="819"/>
      <c r="FW3" s="819"/>
      <c r="FX3" s="819"/>
      <c r="FY3" s="819"/>
      <c r="FZ3" s="819"/>
      <c r="GA3" s="819"/>
      <c r="GB3" s="819"/>
      <c r="GC3" s="819"/>
      <c r="GD3" s="819"/>
      <c r="GE3" s="819"/>
      <c r="GF3" s="819"/>
      <c r="GG3" s="819"/>
      <c r="GH3" s="819"/>
      <c r="GI3" s="819"/>
      <c r="GJ3" s="819"/>
      <c r="GK3" s="819"/>
      <c r="GL3" s="819"/>
      <c r="GM3" s="819"/>
      <c r="GN3" s="819"/>
      <c r="GO3" s="819"/>
      <c r="GP3" s="819"/>
      <c r="GQ3" s="819"/>
      <c r="GR3" s="819"/>
      <c r="GS3" s="819"/>
      <c r="GT3" s="819"/>
      <c r="GU3" s="819"/>
      <c r="GV3" s="819"/>
      <c r="GW3" s="819"/>
      <c r="GX3" s="819"/>
      <c r="GY3" s="819"/>
      <c r="GZ3" s="819"/>
      <c r="HA3" s="819"/>
      <c r="HB3" s="819"/>
      <c r="HC3" s="819"/>
      <c r="HD3" s="819"/>
      <c r="HE3" s="819"/>
      <c r="HF3" s="819"/>
      <c r="HG3" s="819"/>
      <c r="HH3" s="819"/>
      <c r="HI3" s="819"/>
      <c r="HJ3" s="819"/>
      <c r="HK3" s="819"/>
      <c r="HL3" s="819"/>
      <c r="HM3" s="819"/>
      <c r="HN3" s="819"/>
      <c r="HO3" s="819"/>
      <c r="HP3" s="819"/>
      <c r="HQ3" s="819"/>
      <c r="HR3" s="819"/>
      <c r="HS3" s="819"/>
      <c r="HT3" s="819"/>
    </row>
    <row r="4" spans="1:228" s="838" customFormat="1" ht="197.25" customHeight="1" thickBot="1">
      <c r="A4" s="825">
        <v>2</v>
      </c>
      <c r="B4" s="1337"/>
      <c r="C4" s="826" t="s">
        <v>2439</v>
      </c>
      <c r="D4" s="827" t="s">
        <v>2440</v>
      </c>
      <c r="E4" s="828" t="s">
        <v>2441</v>
      </c>
      <c r="F4" s="829" t="s">
        <v>2442</v>
      </c>
      <c r="G4" s="830" t="s">
        <v>2443</v>
      </c>
      <c r="H4" s="831" t="s">
        <v>2444</v>
      </c>
      <c r="I4" s="832" t="s">
        <v>2445</v>
      </c>
      <c r="J4" s="833" t="s">
        <v>2448</v>
      </c>
      <c r="K4" s="834" t="s">
        <v>2449</v>
      </c>
      <c r="L4" s="834" t="s">
        <v>2450</v>
      </c>
      <c r="M4" s="834" t="s">
        <v>2451</v>
      </c>
      <c r="N4" s="835" t="s">
        <v>2452</v>
      </c>
      <c r="O4" s="834" t="s">
        <v>2453</v>
      </c>
      <c r="P4" s="834" t="s">
        <v>2454</v>
      </c>
      <c r="Q4" s="834" t="s">
        <v>2455</v>
      </c>
      <c r="R4" s="835" t="s">
        <v>2456</v>
      </c>
      <c r="S4" s="835" t="s">
        <v>2457</v>
      </c>
      <c r="T4" s="836" t="s">
        <v>2458</v>
      </c>
      <c r="U4" s="1334"/>
      <c r="V4" s="1335"/>
      <c r="W4" s="837"/>
      <c r="X4" s="837"/>
      <c r="Y4" s="819"/>
      <c r="Z4" s="837"/>
      <c r="AA4" s="837"/>
      <c r="AB4" s="837"/>
      <c r="AC4" s="837"/>
      <c r="AD4" s="837"/>
      <c r="AE4" s="837"/>
      <c r="AF4" s="837"/>
      <c r="AG4" s="837"/>
      <c r="AH4" s="837"/>
      <c r="AI4" s="837"/>
      <c r="AJ4" s="837"/>
      <c r="AK4" s="837"/>
      <c r="AL4" s="837"/>
      <c r="AM4" s="837"/>
      <c r="AN4" s="837"/>
      <c r="AO4" s="837"/>
      <c r="AP4" s="837"/>
      <c r="AQ4" s="837"/>
      <c r="AR4" s="837"/>
      <c r="AS4" s="837"/>
      <c r="AT4" s="837"/>
      <c r="AU4" s="837"/>
      <c r="AV4" s="837"/>
      <c r="AW4" s="837"/>
      <c r="AX4" s="837"/>
      <c r="AY4" s="837"/>
      <c r="AZ4" s="837"/>
      <c r="BA4" s="837"/>
      <c r="BB4" s="837"/>
      <c r="BC4" s="837"/>
      <c r="BD4" s="837"/>
      <c r="BE4" s="837"/>
      <c r="BF4" s="837"/>
      <c r="BG4" s="837"/>
      <c r="BH4" s="837"/>
      <c r="BI4" s="837"/>
      <c r="BJ4" s="837"/>
      <c r="BK4" s="837"/>
      <c r="BL4" s="837"/>
      <c r="BM4" s="837"/>
      <c r="BN4" s="837"/>
      <c r="BO4" s="837"/>
      <c r="BP4" s="837"/>
      <c r="BQ4" s="837"/>
      <c r="BR4" s="837"/>
      <c r="BS4" s="837"/>
      <c r="BT4" s="837"/>
      <c r="BU4" s="837"/>
      <c r="BV4" s="837"/>
      <c r="BW4" s="837"/>
      <c r="BX4" s="837"/>
      <c r="BY4" s="837"/>
      <c r="BZ4" s="837"/>
      <c r="CA4" s="837"/>
      <c r="CB4" s="837"/>
      <c r="CC4" s="837"/>
      <c r="CD4" s="837"/>
      <c r="CE4" s="837"/>
      <c r="CF4" s="837"/>
      <c r="CG4" s="837"/>
      <c r="CH4" s="837"/>
      <c r="CI4" s="837"/>
      <c r="CJ4" s="837"/>
      <c r="CK4" s="837"/>
      <c r="CL4" s="837"/>
      <c r="CM4" s="837"/>
      <c r="CN4" s="837"/>
      <c r="CO4" s="837"/>
      <c r="CP4" s="837"/>
      <c r="CQ4" s="837"/>
      <c r="CR4" s="837"/>
      <c r="CS4" s="837"/>
      <c r="CT4" s="837"/>
      <c r="CU4" s="837"/>
      <c r="CV4" s="837"/>
      <c r="CW4" s="837"/>
      <c r="CX4" s="837"/>
      <c r="CY4" s="837"/>
      <c r="CZ4" s="837"/>
      <c r="DA4" s="837"/>
      <c r="DB4" s="837"/>
      <c r="DC4" s="837"/>
      <c r="DD4" s="837"/>
      <c r="DE4" s="837"/>
      <c r="DF4" s="837"/>
      <c r="DG4" s="837"/>
      <c r="DH4" s="837"/>
      <c r="DI4" s="837"/>
      <c r="DJ4" s="837"/>
      <c r="DK4" s="837"/>
      <c r="DL4" s="837"/>
      <c r="DM4" s="837"/>
      <c r="DN4" s="837"/>
      <c r="DO4" s="837"/>
      <c r="DP4" s="837"/>
      <c r="DQ4" s="837"/>
      <c r="DR4" s="837"/>
      <c r="DS4" s="837"/>
      <c r="DT4" s="837"/>
      <c r="DU4" s="837"/>
      <c r="DV4" s="837"/>
      <c r="DW4" s="837"/>
      <c r="DX4" s="837"/>
      <c r="DY4" s="837"/>
      <c r="DZ4" s="837"/>
      <c r="EA4" s="837"/>
      <c r="EB4" s="837"/>
      <c r="EC4" s="837"/>
      <c r="ED4" s="837"/>
      <c r="EE4" s="837"/>
      <c r="EF4" s="837"/>
      <c r="EG4" s="837"/>
      <c r="EH4" s="837"/>
      <c r="EI4" s="837"/>
      <c r="EJ4" s="837"/>
      <c r="EK4" s="837"/>
      <c r="EL4" s="837"/>
      <c r="EM4" s="837"/>
      <c r="EN4" s="837"/>
      <c r="EO4" s="837"/>
      <c r="EP4" s="837"/>
      <c r="EQ4" s="837"/>
      <c r="ER4" s="837"/>
      <c r="ES4" s="837"/>
      <c r="ET4" s="837"/>
      <c r="EU4" s="837"/>
      <c r="EV4" s="837"/>
      <c r="EW4" s="837"/>
      <c r="EX4" s="837"/>
      <c r="EY4" s="837"/>
      <c r="EZ4" s="837"/>
      <c r="FA4" s="837"/>
      <c r="FB4" s="837"/>
      <c r="FC4" s="837"/>
      <c r="FD4" s="837"/>
      <c r="FE4" s="837"/>
      <c r="FF4" s="837"/>
      <c r="FG4" s="837"/>
      <c r="FH4" s="837"/>
      <c r="FI4" s="837"/>
      <c r="FJ4" s="837"/>
      <c r="FK4" s="837"/>
      <c r="FL4" s="837"/>
      <c r="FM4" s="837"/>
      <c r="FN4" s="837"/>
      <c r="FO4" s="837"/>
      <c r="FP4" s="837"/>
      <c r="FQ4" s="837"/>
      <c r="FR4" s="837"/>
      <c r="FS4" s="837"/>
      <c r="FT4" s="837"/>
      <c r="FU4" s="837"/>
      <c r="FV4" s="837"/>
      <c r="FW4" s="837"/>
      <c r="FX4" s="837"/>
      <c r="FY4" s="837"/>
      <c r="FZ4" s="837"/>
      <c r="GA4" s="837"/>
      <c r="GB4" s="837"/>
      <c r="GC4" s="837"/>
      <c r="GD4" s="837"/>
      <c r="GE4" s="837"/>
      <c r="GF4" s="837"/>
      <c r="GG4" s="837"/>
      <c r="GH4" s="837"/>
      <c r="GI4" s="837"/>
      <c r="GJ4" s="837"/>
      <c r="GK4" s="837"/>
      <c r="GL4" s="837"/>
      <c r="GM4" s="837"/>
      <c r="GN4" s="837"/>
      <c r="GO4" s="837"/>
      <c r="GP4" s="837"/>
      <c r="GQ4" s="837"/>
      <c r="GR4" s="837"/>
      <c r="GS4" s="837"/>
      <c r="GT4" s="837"/>
      <c r="GU4" s="837"/>
      <c r="GV4" s="837"/>
      <c r="GW4" s="837"/>
      <c r="GX4" s="837"/>
      <c r="GY4" s="837"/>
      <c r="GZ4" s="837"/>
      <c r="HA4" s="837"/>
      <c r="HB4" s="837"/>
      <c r="HC4" s="837"/>
      <c r="HD4" s="837"/>
      <c r="HE4" s="837"/>
      <c r="HF4" s="837"/>
      <c r="HG4" s="837"/>
      <c r="HH4" s="837"/>
      <c r="HI4" s="837"/>
      <c r="HJ4" s="837"/>
      <c r="HK4" s="837"/>
      <c r="HL4" s="837"/>
      <c r="HM4" s="837"/>
      <c r="HN4" s="837"/>
      <c r="HO4" s="837"/>
      <c r="HP4" s="837"/>
      <c r="HQ4" s="837"/>
      <c r="HR4" s="837"/>
      <c r="HS4" s="819"/>
      <c r="HT4" s="819"/>
    </row>
    <row r="5" spans="1:228" s="840" customFormat="1" ht="12" customHeight="1">
      <c r="A5" s="825">
        <v>3</v>
      </c>
      <c r="B5" s="839" t="s">
        <v>2415</v>
      </c>
      <c r="C5" s="117">
        <v>536016.25</v>
      </c>
      <c r="D5" s="118">
        <v>82581.715821356716</v>
      </c>
      <c r="E5" s="118">
        <v>0</v>
      </c>
      <c r="F5" s="810">
        <f>C5-D5-E5</f>
        <v>453434.53417864325</v>
      </c>
      <c r="G5" s="696">
        <v>0</v>
      </c>
      <c r="H5" s="697">
        <v>5275.0478014651853</v>
      </c>
      <c r="I5" s="698">
        <v>178744.42164322364</v>
      </c>
      <c r="J5" s="117">
        <v>2079.3412234412945</v>
      </c>
      <c r="K5" s="118">
        <v>0</v>
      </c>
      <c r="L5" s="118">
        <v>0</v>
      </c>
      <c r="M5" s="118">
        <v>0</v>
      </c>
      <c r="N5" s="118">
        <v>0</v>
      </c>
      <c r="O5" s="118">
        <v>227427.32334215351</v>
      </c>
      <c r="P5" s="118">
        <v>35858.253242061524</v>
      </c>
      <c r="Q5" s="118">
        <v>0</v>
      </c>
      <c r="R5" s="118">
        <v>4050.1469262981695</v>
      </c>
      <c r="S5" s="118">
        <v>0</v>
      </c>
      <c r="T5" s="413">
        <v>0</v>
      </c>
      <c r="U5" s="778">
        <f t="shared" ref="U5:U13" si="0">SUM(J5:T5)</f>
        <v>269415.0647339545</v>
      </c>
      <c r="V5" s="1319" t="s">
        <v>2461</v>
      </c>
      <c r="W5" s="837"/>
      <c r="X5" s="837"/>
      <c r="Y5" s="837"/>
      <c r="Z5" s="837"/>
      <c r="AA5" s="837"/>
      <c r="AB5" s="837"/>
      <c r="AC5" s="837"/>
      <c r="AD5" s="837"/>
      <c r="AE5" s="837"/>
      <c r="AF5" s="837"/>
      <c r="AG5" s="837"/>
      <c r="AH5" s="837"/>
      <c r="AI5" s="837"/>
      <c r="AJ5" s="837"/>
      <c r="AK5" s="837"/>
      <c r="AL5" s="837"/>
      <c r="AM5" s="837"/>
      <c r="AN5" s="837"/>
      <c r="AO5" s="837"/>
      <c r="AP5" s="837"/>
      <c r="AQ5" s="837"/>
      <c r="AR5" s="837"/>
      <c r="AS5" s="837"/>
      <c r="AT5" s="837"/>
      <c r="AU5" s="837"/>
      <c r="AV5" s="837"/>
      <c r="AW5" s="837"/>
      <c r="AX5" s="837"/>
      <c r="AY5" s="837"/>
      <c r="AZ5" s="837"/>
      <c r="BA5" s="837"/>
      <c r="BB5" s="837"/>
      <c r="BC5" s="837"/>
      <c r="BD5" s="837"/>
      <c r="BE5" s="837"/>
      <c r="BF5" s="837"/>
      <c r="BG5" s="837"/>
      <c r="BH5" s="837"/>
      <c r="BI5" s="837"/>
      <c r="BJ5" s="837"/>
      <c r="BK5" s="837"/>
      <c r="BL5" s="837"/>
      <c r="BM5" s="837"/>
      <c r="BN5" s="837"/>
      <c r="BO5" s="837"/>
      <c r="BP5" s="837"/>
      <c r="BQ5" s="837"/>
      <c r="BR5" s="837"/>
      <c r="BS5" s="837"/>
      <c r="BT5" s="837"/>
      <c r="BU5" s="837"/>
      <c r="BV5" s="837"/>
      <c r="BW5" s="837"/>
      <c r="BX5" s="837"/>
      <c r="BY5" s="837"/>
      <c r="BZ5" s="837"/>
      <c r="CA5" s="837"/>
      <c r="CB5" s="837"/>
      <c r="CC5" s="837"/>
      <c r="CD5" s="837"/>
      <c r="CE5" s="837"/>
      <c r="CF5" s="837"/>
      <c r="CG5" s="837"/>
      <c r="CH5" s="837"/>
      <c r="CI5" s="837"/>
      <c r="CJ5" s="837"/>
      <c r="CK5" s="837"/>
      <c r="CL5" s="837"/>
      <c r="CM5" s="837"/>
      <c r="CN5" s="837"/>
      <c r="CO5" s="837"/>
      <c r="CP5" s="837"/>
      <c r="CQ5" s="837"/>
      <c r="CR5" s="837"/>
      <c r="CS5" s="837"/>
      <c r="CT5" s="837"/>
      <c r="CU5" s="837"/>
      <c r="CV5" s="837"/>
      <c r="CW5" s="837"/>
      <c r="CX5" s="837"/>
      <c r="CY5" s="837"/>
      <c r="CZ5" s="837"/>
      <c r="DA5" s="837"/>
      <c r="DB5" s="837"/>
      <c r="DC5" s="837"/>
      <c r="DD5" s="837"/>
      <c r="DE5" s="837"/>
      <c r="DF5" s="837"/>
      <c r="DG5" s="837"/>
      <c r="DH5" s="837"/>
      <c r="DI5" s="837"/>
      <c r="DJ5" s="837"/>
      <c r="DK5" s="837"/>
      <c r="DL5" s="837"/>
      <c r="DM5" s="837"/>
      <c r="DN5" s="837"/>
      <c r="DO5" s="837"/>
      <c r="DP5" s="837"/>
      <c r="DQ5" s="837"/>
      <c r="DR5" s="837"/>
      <c r="DS5" s="837"/>
      <c r="DT5" s="837"/>
      <c r="DU5" s="837"/>
      <c r="DV5" s="837"/>
      <c r="DW5" s="837"/>
      <c r="DX5" s="837"/>
      <c r="DY5" s="837"/>
      <c r="DZ5" s="837"/>
      <c r="EA5" s="837"/>
      <c r="EB5" s="837"/>
      <c r="EC5" s="837"/>
      <c r="ED5" s="837"/>
      <c r="EE5" s="837"/>
      <c r="EF5" s="837"/>
      <c r="EG5" s="837"/>
      <c r="EH5" s="837"/>
      <c r="EI5" s="837"/>
      <c r="EJ5" s="837"/>
      <c r="EK5" s="837"/>
      <c r="EL5" s="837"/>
      <c r="EM5" s="837"/>
      <c r="EN5" s="837"/>
      <c r="EO5" s="837"/>
      <c r="EP5" s="837"/>
      <c r="EQ5" s="837"/>
      <c r="ER5" s="837"/>
      <c r="ES5" s="837"/>
      <c r="ET5" s="837"/>
      <c r="EU5" s="837"/>
      <c r="EV5" s="837"/>
      <c r="EW5" s="837"/>
      <c r="EX5" s="837"/>
      <c r="EY5" s="837"/>
      <c r="EZ5" s="837"/>
      <c r="FA5" s="837"/>
      <c r="FB5" s="837"/>
      <c r="FC5" s="837"/>
      <c r="FD5" s="837"/>
      <c r="FE5" s="837"/>
      <c r="FF5" s="837"/>
      <c r="FG5" s="837"/>
      <c r="FH5" s="837"/>
      <c r="FI5" s="837"/>
      <c r="FJ5" s="837"/>
      <c r="FK5" s="837"/>
      <c r="FL5" s="837"/>
      <c r="FM5" s="837"/>
      <c r="FN5" s="837"/>
      <c r="FO5" s="837"/>
      <c r="FP5" s="837"/>
      <c r="FQ5" s="837"/>
      <c r="FR5" s="837"/>
      <c r="FS5" s="837"/>
      <c r="FT5" s="837"/>
      <c r="FU5" s="837"/>
      <c r="FV5" s="837"/>
      <c r="FW5" s="837"/>
      <c r="FX5" s="837"/>
      <c r="FY5" s="837"/>
      <c r="FZ5" s="837"/>
      <c r="GA5" s="837"/>
      <c r="GB5" s="837"/>
      <c r="GC5" s="837"/>
      <c r="GD5" s="837"/>
      <c r="GE5" s="837"/>
      <c r="GF5" s="837"/>
      <c r="GG5" s="837"/>
      <c r="GH5" s="837"/>
      <c r="GI5" s="837"/>
      <c r="GJ5" s="837"/>
      <c r="GK5" s="837"/>
      <c r="GL5" s="837"/>
      <c r="GM5" s="837"/>
      <c r="GN5" s="837"/>
      <c r="GO5" s="837"/>
      <c r="GP5" s="837"/>
      <c r="GQ5" s="837"/>
      <c r="GR5" s="837"/>
      <c r="GS5" s="837"/>
      <c r="GT5" s="837"/>
      <c r="GU5" s="837"/>
      <c r="GV5" s="837"/>
      <c r="GW5" s="837"/>
      <c r="GX5" s="837"/>
      <c r="GY5" s="837"/>
      <c r="GZ5" s="837"/>
      <c r="HA5" s="837"/>
      <c r="HB5" s="837"/>
      <c r="HC5" s="837"/>
      <c r="HD5" s="837"/>
      <c r="HE5" s="837"/>
      <c r="HF5" s="837"/>
      <c r="HG5" s="837"/>
      <c r="HH5" s="837"/>
      <c r="HI5" s="837"/>
      <c r="HJ5" s="837"/>
      <c r="HK5" s="837"/>
      <c r="HL5" s="837"/>
      <c r="HM5" s="837"/>
      <c r="HN5" s="837"/>
      <c r="HO5" s="837"/>
      <c r="HP5" s="837"/>
      <c r="HQ5" s="837"/>
      <c r="HR5" s="837"/>
      <c r="HS5" s="819"/>
      <c r="HT5" s="819"/>
    </row>
    <row r="6" spans="1:228" s="840" customFormat="1" ht="12" customHeight="1">
      <c r="A6" s="825">
        <v>4</v>
      </c>
      <c r="B6" s="839" t="s">
        <v>2416</v>
      </c>
      <c r="C6" s="119">
        <v>69854.600000000006</v>
      </c>
      <c r="D6" s="120">
        <v>10580.649331961833</v>
      </c>
      <c r="E6" s="120">
        <v>0</v>
      </c>
      <c r="F6" s="661">
        <f>C6-D6-E6</f>
        <v>59273.950668038175</v>
      </c>
      <c r="G6" s="699">
        <v>0</v>
      </c>
      <c r="H6" s="695">
        <v>698.48620390964038</v>
      </c>
      <c r="I6" s="700">
        <v>22901.341133943613</v>
      </c>
      <c r="J6" s="119">
        <v>275.33232161250254</v>
      </c>
      <c r="K6" s="120">
        <v>0</v>
      </c>
      <c r="L6" s="120">
        <v>0</v>
      </c>
      <c r="M6" s="120">
        <v>0</v>
      </c>
      <c r="N6" s="120">
        <v>0</v>
      </c>
      <c r="O6" s="120">
        <v>30114.390186657263</v>
      </c>
      <c r="P6" s="120">
        <v>4748.1077193122774</v>
      </c>
      <c r="Q6" s="120">
        <v>0</v>
      </c>
      <c r="R6" s="120">
        <v>536.29310260288776</v>
      </c>
      <c r="S6" s="120">
        <v>0</v>
      </c>
      <c r="T6" s="414">
        <v>0</v>
      </c>
      <c r="U6" s="775">
        <f t="shared" si="0"/>
        <v>35674.123330184935</v>
      </c>
      <c r="V6" s="1319"/>
      <c r="W6" s="837"/>
      <c r="X6" s="837"/>
      <c r="Y6" s="837"/>
      <c r="Z6" s="837"/>
      <c r="AA6" s="837"/>
      <c r="AB6" s="837"/>
      <c r="AC6" s="837"/>
      <c r="AD6" s="837"/>
      <c r="AE6" s="837"/>
      <c r="AF6" s="837"/>
      <c r="AG6" s="837"/>
      <c r="AH6" s="837"/>
      <c r="AI6" s="837"/>
      <c r="AJ6" s="837"/>
      <c r="AK6" s="837"/>
      <c r="AL6" s="837"/>
      <c r="AM6" s="837"/>
      <c r="AN6" s="837"/>
      <c r="AO6" s="837"/>
      <c r="AP6" s="837"/>
      <c r="AQ6" s="837"/>
      <c r="AR6" s="837"/>
      <c r="AS6" s="837"/>
      <c r="AT6" s="837"/>
      <c r="AU6" s="837"/>
      <c r="AV6" s="837"/>
      <c r="AW6" s="837"/>
      <c r="AX6" s="837"/>
      <c r="AY6" s="837"/>
      <c r="AZ6" s="837"/>
      <c r="BA6" s="837"/>
      <c r="BB6" s="837"/>
      <c r="BC6" s="837"/>
      <c r="BD6" s="837"/>
      <c r="BE6" s="837"/>
      <c r="BF6" s="837"/>
      <c r="BG6" s="837"/>
      <c r="BH6" s="837"/>
      <c r="BI6" s="837"/>
      <c r="BJ6" s="837"/>
      <c r="BK6" s="837"/>
      <c r="BL6" s="837"/>
      <c r="BM6" s="837"/>
      <c r="BN6" s="837"/>
      <c r="BO6" s="837"/>
      <c r="BP6" s="837"/>
      <c r="BQ6" s="837"/>
      <c r="BR6" s="837"/>
      <c r="BS6" s="837"/>
      <c r="BT6" s="837"/>
      <c r="BU6" s="837"/>
      <c r="BV6" s="837"/>
      <c r="BW6" s="837"/>
      <c r="BX6" s="837"/>
      <c r="BY6" s="837"/>
      <c r="BZ6" s="837"/>
      <c r="CA6" s="837"/>
      <c r="CB6" s="837"/>
      <c r="CC6" s="837"/>
      <c r="CD6" s="837"/>
      <c r="CE6" s="837"/>
      <c r="CF6" s="837"/>
      <c r="CG6" s="837"/>
      <c r="CH6" s="837"/>
      <c r="CI6" s="837"/>
      <c r="CJ6" s="837"/>
      <c r="CK6" s="837"/>
      <c r="CL6" s="837"/>
      <c r="CM6" s="837"/>
      <c r="CN6" s="837"/>
      <c r="CO6" s="837"/>
      <c r="CP6" s="837"/>
      <c r="CQ6" s="837"/>
      <c r="CR6" s="837"/>
      <c r="CS6" s="837"/>
      <c r="CT6" s="837"/>
      <c r="CU6" s="837"/>
      <c r="CV6" s="837"/>
      <c r="CW6" s="837"/>
      <c r="CX6" s="837"/>
      <c r="CY6" s="837"/>
      <c r="CZ6" s="837"/>
      <c r="DA6" s="837"/>
      <c r="DB6" s="837"/>
      <c r="DC6" s="837"/>
      <c r="DD6" s="837"/>
      <c r="DE6" s="837"/>
      <c r="DF6" s="837"/>
      <c r="DG6" s="837"/>
      <c r="DH6" s="837"/>
      <c r="DI6" s="837"/>
      <c r="DJ6" s="837"/>
      <c r="DK6" s="837"/>
      <c r="DL6" s="837"/>
      <c r="DM6" s="837"/>
      <c r="DN6" s="837"/>
      <c r="DO6" s="837"/>
      <c r="DP6" s="837"/>
      <c r="DQ6" s="837"/>
      <c r="DR6" s="837"/>
      <c r="DS6" s="837"/>
      <c r="DT6" s="837"/>
      <c r="DU6" s="837"/>
      <c r="DV6" s="837"/>
      <c r="DW6" s="837"/>
      <c r="DX6" s="837"/>
      <c r="DY6" s="837"/>
      <c r="DZ6" s="837"/>
      <c r="EA6" s="837"/>
      <c r="EB6" s="837"/>
      <c r="EC6" s="837"/>
      <c r="ED6" s="837"/>
      <c r="EE6" s="837"/>
      <c r="EF6" s="837"/>
      <c r="EG6" s="837"/>
      <c r="EH6" s="837"/>
      <c r="EI6" s="837"/>
      <c r="EJ6" s="837"/>
      <c r="EK6" s="837"/>
      <c r="EL6" s="837"/>
      <c r="EM6" s="837"/>
      <c r="EN6" s="837"/>
      <c r="EO6" s="837"/>
      <c r="EP6" s="837"/>
      <c r="EQ6" s="837"/>
      <c r="ER6" s="837"/>
      <c r="ES6" s="837"/>
      <c r="ET6" s="837"/>
      <c r="EU6" s="837"/>
      <c r="EV6" s="837"/>
      <c r="EW6" s="837"/>
      <c r="EX6" s="837"/>
      <c r="EY6" s="837"/>
      <c r="EZ6" s="837"/>
      <c r="FA6" s="837"/>
      <c r="FB6" s="837"/>
      <c r="FC6" s="837"/>
      <c r="FD6" s="837"/>
      <c r="FE6" s="837"/>
      <c r="FF6" s="837"/>
      <c r="FG6" s="837"/>
      <c r="FH6" s="837"/>
      <c r="FI6" s="837"/>
      <c r="FJ6" s="837"/>
      <c r="FK6" s="837"/>
      <c r="FL6" s="837"/>
      <c r="FM6" s="837"/>
      <c r="FN6" s="837"/>
      <c r="FO6" s="837"/>
      <c r="FP6" s="837"/>
      <c r="FQ6" s="837"/>
      <c r="FR6" s="837"/>
      <c r="FS6" s="837"/>
      <c r="FT6" s="837"/>
      <c r="FU6" s="837"/>
      <c r="FV6" s="837"/>
      <c r="FW6" s="837"/>
      <c r="FX6" s="837"/>
      <c r="FY6" s="837"/>
      <c r="FZ6" s="837"/>
      <c r="GA6" s="837"/>
      <c r="GB6" s="837"/>
      <c r="GC6" s="837"/>
      <c r="GD6" s="837"/>
      <c r="GE6" s="837"/>
      <c r="GF6" s="837"/>
      <c r="GG6" s="837"/>
      <c r="GH6" s="837"/>
      <c r="GI6" s="837"/>
      <c r="GJ6" s="837"/>
      <c r="GK6" s="837"/>
      <c r="GL6" s="837"/>
      <c r="GM6" s="837"/>
      <c r="GN6" s="837"/>
      <c r="GO6" s="837"/>
      <c r="GP6" s="837"/>
      <c r="GQ6" s="837"/>
      <c r="GR6" s="837"/>
      <c r="GS6" s="837"/>
      <c r="GT6" s="837"/>
      <c r="GU6" s="837"/>
      <c r="GV6" s="837"/>
      <c r="GW6" s="837"/>
      <c r="GX6" s="837"/>
      <c r="GY6" s="837"/>
      <c r="GZ6" s="837"/>
      <c r="HA6" s="837"/>
      <c r="HB6" s="837"/>
      <c r="HC6" s="837"/>
      <c r="HD6" s="837"/>
      <c r="HE6" s="837"/>
      <c r="HF6" s="837"/>
      <c r="HG6" s="837"/>
      <c r="HH6" s="837"/>
      <c r="HI6" s="837"/>
      <c r="HJ6" s="837"/>
      <c r="HK6" s="837"/>
      <c r="HL6" s="837"/>
      <c r="HM6" s="837"/>
      <c r="HN6" s="837"/>
      <c r="HO6" s="837"/>
      <c r="HP6" s="837"/>
      <c r="HQ6" s="837"/>
      <c r="HR6" s="837"/>
      <c r="HS6" s="819"/>
      <c r="HT6" s="819"/>
    </row>
    <row r="7" spans="1:228" s="840" customFormat="1" ht="12" customHeight="1">
      <c r="A7" s="825">
        <v>5</v>
      </c>
      <c r="B7" s="839" t="s">
        <v>2417</v>
      </c>
      <c r="C7" s="119">
        <v>3652.95</v>
      </c>
      <c r="D7" s="120">
        <v>364.79244317194275</v>
      </c>
      <c r="E7" s="120">
        <v>0</v>
      </c>
      <c r="F7" s="661">
        <f t="shared" ref="F7:F12" si="1">C7-D7-E7</f>
        <v>3288.1575568280568</v>
      </c>
      <c r="G7" s="699">
        <v>0</v>
      </c>
      <c r="H7" s="695">
        <v>47.981823358837786</v>
      </c>
      <c r="I7" s="700">
        <v>789.57688909782451</v>
      </c>
      <c r="J7" s="119">
        <v>18.913683257656508</v>
      </c>
      <c r="K7" s="120">
        <v>0</v>
      </c>
      <c r="L7" s="120">
        <v>0</v>
      </c>
      <c r="M7" s="120">
        <v>0</v>
      </c>
      <c r="N7" s="120">
        <v>0</v>
      </c>
      <c r="O7" s="120">
        <v>2068.6784397566025</v>
      </c>
      <c r="P7" s="120">
        <v>326.1665937016104</v>
      </c>
      <c r="Q7" s="120">
        <v>0</v>
      </c>
      <c r="R7" s="120">
        <v>36.840127655525883</v>
      </c>
      <c r="S7" s="120">
        <v>0</v>
      </c>
      <c r="T7" s="414">
        <v>0</v>
      </c>
      <c r="U7" s="775">
        <f t="shared" si="0"/>
        <v>2450.5988443713954</v>
      </c>
      <c r="V7" s="1319"/>
      <c r="W7" s="819"/>
      <c r="X7" s="819"/>
      <c r="Y7" s="819"/>
      <c r="Z7" s="819"/>
      <c r="AA7" s="819"/>
      <c r="AB7" s="819"/>
      <c r="AC7" s="819"/>
      <c r="AD7" s="819"/>
      <c r="AE7" s="819"/>
      <c r="AF7" s="819"/>
      <c r="AG7" s="819"/>
      <c r="AH7" s="819"/>
      <c r="AI7" s="819"/>
      <c r="AJ7" s="819"/>
      <c r="AK7" s="819"/>
      <c r="AL7" s="819"/>
      <c r="AM7" s="819"/>
      <c r="AN7" s="819"/>
      <c r="AO7" s="819"/>
      <c r="AP7" s="819"/>
      <c r="AQ7" s="819"/>
      <c r="AR7" s="819"/>
      <c r="AS7" s="819"/>
      <c r="AT7" s="819"/>
      <c r="AU7" s="819"/>
      <c r="AV7" s="819"/>
      <c r="AW7" s="819"/>
      <c r="AX7" s="819"/>
      <c r="AY7" s="819"/>
      <c r="AZ7" s="819"/>
      <c r="BA7" s="819"/>
      <c r="BB7" s="819"/>
      <c r="BC7" s="819"/>
      <c r="BD7" s="819"/>
      <c r="BE7" s="819"/>
      <c r="BF7" s="819"/>
      <c r="BG7" s="819"/>
      <c r="BH7" s="819"/>
      <c r="BI7" s="819"/>
      <c r="BJ7" s="819"/>
      <c r="BK7" s="819"/>
      <c r="BL7" s="819"/>
      <c r="BM7" s="819"/>
      <c r="BN7" s="819"/>
      <c r="BO7" s="819"/>
      <c r="BP7" s="819"/>
      <c r="BQ7" s="819"/>
      <c r="BR7" s="819"/>
      <c r="BS7" s="819"/>
      <c r="BT7" s="819"/>
      <c r="BU7" s="819"/>
      <c r="BV7" s="819"/>
      <c r="BW7" s="819"/>
      <c r="BX7" s="819"/>
      <c r="BY7" s="819"/>
      <c r="BZ7" s="819"/>
      <c r="CA7" s="819"/>
      <c r="CB7" s="819"/>
      <c r="CC7" s="819"/>
      <c r="CD7" s="819"/>
      <c r="CE7" s="819"/>
      <c r="CF7" s="819"/>
      <c r="CG7" s="819"/>
      <c r="CH7" s="819"/>
      <c r="CI7" s="819"/>
      <c r="CJ7" s="819"/>
      <c r="CK7" s="819"/>
      <c r="CL7" s="819"/>
      <c r="CM7" s="819"/>
      <c r="CN7" s="819"/>
      <c r="CO7" s="819"/>
      <c r="CP7" s="819"/>
      <c r="CQ7" s="819"/>
      <c r="CR7" s="819"/>
      <c r="CS7" s="819"/>
      <c r="CT7" s="819"/>
      <c r="CU7" s="819"/>
      <c r="CV7" s="819"/>
      <c r="CW7" s="819"/>
      <c r="CX7" s="819"/>
      <c r="CY7" s="819"/>
      <c r="CZ7" s="819"/>
      <c r="DA7" s="819"/>
      <c r="DB7" s="819"/>
      <c r="DC7" s="819"/>
      <c r="DD7" s="819"/>
      <c r="DE7" s="819"/>
      <c r="DF7" s="819"/>
      <c r="DG7" s="819"/>
      <c r="DH7" s="819"/>
      <c r="DI7" s="819"/>
      <c r="DJ7" s="819"/>
      <c r="DK7" s="819"/>
      <c r="DL7" s="819"/>
      <c r="DM7" s="819"/>
      <c r="DN7" s="819"/>
      <c r="DO7" s="819"/>
      <c r="DP7" s="819"/>
      <c r="DQ7" s="819"/>
      <c r="DR7" s="819"/>
      <c r="DS7" s="819"/>
      <c r="DT7" s="819"/>
      <c r="DU7" s="819"/>
      <c r="DV7" s="819"/>
      <c r="DW7" s="819"/>
      <c r="DX7" s="819"/>
      <c r="DY7" s="819"/>
      <c r="DZ7" s="819"/>
      <c r="EA7" s="819"/>
      <c r="EB7" s="819"/>
      <c r="EC7" s="819"/>
      <c r="ED7" s="819"/>
      <c r="EE7" s="819"/>
      <c r="EF7" s="819"/>
      <c r="EG7" s="819"/>
      <c r="EH7" s="819"/>
      <c r="EI7" s="819"/>
      <c r="EJ7" s="819"/>
      <c r="EK7" s="819"/>
      <c r="EL7" s="819"/>
      <c r="EM7" s="819"/>
      <c r="EN7" s="819"/>
      <c r="EO7" s="819"/>
      <c r="EP7" s="819"/>
      <c r="EQ7" s="819"/>
      <c r="ER7" s="819"/>
      <c r="ES7" s="819"/>
      <c r="ET7" s="819"/>
      <c r="EU7" s="819"/>
      <c r="EV7" s="819"/>
      <c r="EW7" s="819"/>
      <c r="EX7" s="819"/>
      <c r="EY7" s="819"/>
      <c r="EZ7" s="819"/>
      <c r="FA7" s="819"/>
      <c r="FB7" s="819"/>
      <c r="FC7" s="819"/>
      <c r="FD7" s="819"/>
      <c r="FE7" s="819"/>
      <c r="FF7" s="819"/>
      <c r="FG7" s="819"/>
      <c r="FH7" s="819"/>
      <c r="FI7" s="819"/>
      <c r="FJ7" s="819"/>
      <c r="FK7" s="819"/>
      <c r="FL7" s="819"/>
      <c r="FM7" s="819"/>
      <c r="FN7" s="819"/>
      <c r="FO7" s="819"/>
      <c r="FP7" s="819"/>
      <c r="FQ7" s="819"/>
      <c r="FR7" s="819"/>
      <c r="FS7" s="819"/>
      <c r="FT7" s="819"/>
      <c r="FU7" s="819"/>
      <c r="FV7" s="819"/>
      <c r="FW7" s="819"/>
      <c r="FX7" s="819"/>
      <c r="FY7" s="819"/>
      <c r="FZ7" s="819"/>
      <c r="GA7" s="819"/>
      <c r="GB7" s="819"/>
      <c r="GC7" s="819"/>
      <c r="GD7" s="819"/>
      <c r="GE7" s="819"/>
      <c r="GF7" s="819"/>
      <c r="GG7" s="819"/>
      <c r="GH7" s="819"/>
      <c r="GI7" s="819"/>
      <c r="GJ7" s="819"/>
      <c r="GK7" s="819"/>
      <c r="GL7" s="819"/>
      <c r="GM7" s="819"/>
      <c r="GN7" s="819"/>
      <c r="GO7" s="819"/>
      <c r="GP7" s="819"/>
      <c r="GQ7" s="819"/>
      <c r="GR7" s="819"/>
      <c r="GS7" s="819"/>
      <c r="GT7" s="819"/>
      <c r="GU7" s="819"/>
      <c r="GV7" s="819"/>
      <c r="GW7" s="819"/>
      <c r="GX7" s="819"/>
      <c r="GY7" s="819"/>
      <c r="GZ7" s="819"/>
      <c r="HA7" s="819"/>
      <c r="HB7" s="819"/>
      <c r="HC7" s="819"/>
      <c r="HD7" s="819"/>
      <c r="HE7" s="819"/>
      <c r="HF7" s="819"/>
      <c r="HG7" s="819"/>
      <c r="HH7" s="819"/>
      <c r="HI7" s="819"/>
      <c r="HJ7" s="819"/>
      <c r="HK7" s="819"/>
      <c r="HL7" s="819"/>
      <c r="HM7" s="819"/>
      <c r="HN7" s="819"/>
      <c r="HO7" s="819"/>
      <c r="HP7" s="819"/>
      <c r="HQ7" s="819"/>
      <c r="HR7" s="819"/>
      <c r="HS7" s="819"/>
      <c r="HT7" s="819"/>
    </row>
    <row r="8" spans="1:228" s="824" customFormat="1" ht="12" customHeight="1">
      <c r="A8" s="825">
        <v>6</v>
      </c>
      <c r="B8" s="839" t="s">
        <v>2418</v>
      </c>
      <c r="C8" s="119">
        <v>875</v>
      </c>
      <c r="D8" s="120">
        <v>875</v>
      </c>
      <c r="E8" s="120">
        <v>0</v>
      </c>
      <c r="F8" s="661">
        <f t="shared" si="1"/>
        <v>0</v>
      </c>
      <c r="G8" s="699">
        <v>0</v>
      </c>
      <c r="H8" s="695">
        <v>0</v>
      </c>
      <c r="I8" s="700">
        <v>0</v>
      </c>
      <c r="J8" s="119">
        <v>0</v>
      </c>
      <c r="K8" s="120">
        <v>0</v>
      </c>
      <c r="L8" s="120">
        <v>0</v>
      </c>
      <c r="M8" s="120">
        <v>0</v>
      </c>
      <c r="N8" s="120">
        <v>0</v>
      </c>
      <c r="O8" s="120">
        <v>0</v>
      </c>
      <c r="P8" s="120">
        <v>0</v>
      </c>
      <c r="Q8" s="120">
        <v>0</v>
      </c>
      <c r="R8" s="120">
        <v>0</v>
      </c>
      <c r="S8" s="120">
        <v>0</v>
      </c>
      <c r="T8" s="414">
        <v>0</v>
      </c>
      <c r="U8" s="775">
        <f t="shared" si="0"/>
        <v>0</v>
      </c>
      <c r="V8" s="1319"/>
      <c r="W8" s="819"/>
      <c r="X8" s="819"/>
      <c r="Y8" s="819"/>
      <c r="Z8" s="819"/>
      <c r="AA8" s="819"/>
      <c r="AB8" s="819"/>
      <c r="AC8" s="819"/>
      <c r="AD8" s="819"/>
      <c r="AE8" s="819"/>
      <c r="AF8" s="819"/>
      <c r="AG8" s="819"/>
      <c r="AH8" s="819"/>
      <c r="AI8" s="819"/>
      <c r="AJ8" s="819"/>
      <c r="AK8" s="819"/>
      <c r="AL8" s="819"/>
      <c r="AM8" s="819"/>
      <c r="AN8" s="819"/>
      <c r="AO8" s="819"/>
      <c r="AP8" s="819"/>
      <c r="AQ8" s="819"/>
      <c r="AR8" s="819"/>
      <c r="AS8" s="819"/>
      <c r="AT8" s="819"/>
      <c r="AU8" s="819"/>
      <c r="AV8" s="819"/>
      <c r="AW8" s="819"/>
      <c r="AX8" s="819"/>
      <c r="AY8" s="819"/>
      <c r="AZ8" s="819"/>
      <c r="BA8" s="819"/>
      <c r="BB8" s="819"/>
      <c r="BC8" s="819"/>
      <c r="BD8" s="819"/>
      <c r="BE8" s="819"/>
      <c r="BF8" s="819"/>
      <c r="BG8" s="819"/>
      <c r="BH8" s="819"/>
      <c r="BI8" s="819"/>
      <c r="BJ8" s="819"/>
      <c r="BK8" s="819"/>
      <c r="BL8" s="819"/>
      <c r="BM8" s="819"/>
      <c r="BN8" s="819"/>
      <c r="BO8" s="819"/>
      <c r="BP8" s="819"/>
      <c r="BQ8" s="819"/>
      <c r="BR8" s="819"/>
      <c r="BS8" s="819"/>
      <c r="BT8" s="819"/>
      <c r="BU8" s="819"/>
      <c r="BV8" s="819"/>
      <c r="BW8" s="819"/>
      <c r="BX8" s="819"/>
      <c r="BY8" s="819"/>
      <c r="BZ8" s="819"/>
      <c r="CA8" s="819"/>
      <c r="CB8" s="819"/>
      <c r="CC8" s="819"/>
      <c r="CD8" s="819"/>
      <c r="CE8" s="819"/>
      <c r="CF8" s="819"/>
      <c r="CG8" s="819"/>
      <c r="CH8" s="819"/>
      <c r="CI8" s="819"/>
      <c r="CJ8" s="819"/>
      <c r="CK8" s="819"/>
      <c r="CL8" s="819"/>
      <c r="CM8" s="819"/>
      <c r="CN8" s="819"/>
      <c r="CO8" s="819"/>
      <c r="CP8" s="819"/>
      <c r="CQ8" s="819"/>
      <c r="CR8" s="819"/>
      <c r="CS8" s="819"/>
      <c r="CT8" s="819"/>
      <c r="CU8" s="819"/>
      <c r="CV8" s="819"/>
      <c r="CW8" s="819"/>
      <c r="CX8" s="819"/>
      <c r="CY8" s="819"/>
      <c r="CZ8" s="819"/>
      <c r="DA8" s="819"/>
      <c r="DB8" s="819"/>
      <c r="DC8" s="819"/>
      <c r="DD8" s="819"/>
      <c r="DE8" s="819"/>
      <c r="DF8" s="819"/>
      <c r="DG8" s="819"/>
      <c r="DH8" s="819"/>
      <c r="DI8" s="819"/>
      <c r="DJ8" s="819"/>
      <c r="DK8" s="819"/>
      <c r="DL8" s="819"/>
      <c r="DM8" s="819"/>
      <c r="DN8" s="819"/>
      <c r="DO8" s="819"/>
      <c r="DP8" s="819"/>
      <c r="DQ8" s="819"/>
      <c r="DR8" s="819"/>
      <c r="DS8" s="819"/>
      <c r="DT8" s="819"/>
      <c r="DU8" s="819"/>
      <c r="DV8" s="819"/>
      <c r="DW8" s="819"/>
      <c r="DX8" s="819"/>
      <c r="DY8" s="819"/>
      <c r="DZ8" s="819"/>
      <c r="EA8" s="819"/>
      <c r="EB8" s="819"/>
      <c r="EC8" s="819"/>
      <c r="ED8" s="819"/>
      <c r="EE8" s="819"/>
      <c r="EF8" s="819"/>
      <c r="EG8" s="819"/>
      <c r="EH8" s="819"/>
      <c r="EI8" s="819"/>
      <c r="EJ8" s="819"/>
      <c r="EK8" s="819"/>
      <c r="EL8" s="819"/>
      <c r="EM8" s="819"/>
      <c r="EN8" s="819"/>
      <c r="EO8" s="819"/>
      <c r="EP8" s="819"/>
      <c r="EQ8" s="819"/>
      <c r="ER8" s="819"/>
      <c r="ES8" s="819"/>
      <c r="ET8" s="819"/>
      <c r="EU8" s="819"/>
      <c r="EV8" s="819"/>
      <c r="EW8" s="819"/>
      <c r="EX8" s="819"/>
      <c r="EY8" s="819"/>
      <c r="EZ8" s="819"/>
      <c r="FA8" s="819"/>
      <c r="FB8" s="819"/>
      <c r="FC8" s="819"/>
      <c r="FD8" s="819"/>
      <c r="FE8" s="819"/>
      <c r="FF8" s="819"/>
      <c r="FG8" s="819"/>
      <c r="FH8" s="819"/>
      <c r="FI8" s="819"/>
      <c r="FJ8" s="819"/>
      <c r="FK8" s="819"/>
      <c r="FL8" s="819"/>
      <c r="FM8" s="819"/>
      <c r="FN8" s="819"/>
      <c r="FO8" s="819"/>
      <c r="FP8" s="819"/>
      <c r="FQ8" s="819"/>
      <c r="FR8" s="819"/>
      <c r="FS8" s="819"/>
      <c r="FT8" s="819"/>
      <c r="FU8" s="819"/>
      <c r="FV8" s="819"/>
      <c r="FW8" s="819"/>
      <c r="FX8" s="819"/>
      <c r="FY8" s="819"/>
      <c r="FZ8" s="819"/>
      <c r="GA8" s="819"/>
      <c r="GB8" s="819"/>
      <c r="GC8" s="819"/>
      <c r="GD8" s="819"/>
      <c r="GE8" s="819"/>
      <c r="GF8" s="819"/>
      <c r="GG8" s="819"/>
      <c r="GH8" s="819"/>
      <c r="GI8" s="819"/>
      <c r="GJ8" s="819"/>
      <c r="GK8" s="819"/>
      <c r="GL8" s="819"/>
      <c r="GM8" s="819"/>
      <c r="GN8" s="819"/>
      <c r="GO8" s="819"/>
      <c r="GP8" s="819"/>
      <c r="GQ8" s="819"/>
      <c r="GR8" s="819"/>
      <c r="GS8" s="819"/>
      <c r="GT8" s="819"/>
      <c r="GU8" s="819"/>
      <c r="GV8" s="819"/>
      <c r="GW8" s="819"/>
      <c r="GX8" s="819"/>
      <c r="GY8" s="819"/>
      <c r="GZ8" s="819"/>
      <c r="HA8" s="819"/>
      <c r="HB8" s="819"/>
      <c r="HC8" s="819"/>
      <c r="HD8" s="819"/>
      <c r="HE8" s="819"/>
      <c r="HF8" s="819"/>
      <c r="HG8" s="819"/>
      <c r="HH8" s="819"/>
      <c r="HI8" s="819"/>
      <c r="HJ8" s="819"/>
      <c r="HK8" s="819"/>
      <c r="HL8" s="819"/>
      <c r="HM8" s="819"/>
      <c r="HN8" s="819"/>
      <c r="HO8" s="819"/>
      <c r="HP8" s="819"/>
      <c r="HQ8" s="819"/>
      <c r="HR8" s="819"/>
      <c r="HS8" s="819"/>
      <c r="HT8" s="819"/>
    </row>
    <row r="9" spans="1:228" s="842" customFormat="1" ht="33.75">
      <c r="A9" s="825">
        <v>7</v>
      </c>
      <c r="B9" s="841" t="s">
        <v>2419</v>
      </c>
      <c r="C9" s="798">
        <f t="shared" ref="C9:T9" si="2">SUM(C5:C8)</f>
        <v>610398.79999999993</v>
      </c>
      <c r="D9" s="785">
        <f t="shared" si="2"/>
        <v>94402.157596490491</v>
      </c>
      <c r="E9" s="785">
        <f t="shared" si="2"/>
        <v>0</v>
      </c>
      <c r="F9" s="799">
        <f t="shared" si="2"/>
        <v>515996.64240350947</v>
      </c>
      <c r="G9" s="802">
        <f t="shared" si="2"/>
        <v>0</v>
      </c>
      <c r="H9" s="802">
        <f t="shared" si="2"/>
        <v>6021.5158287336635</v>
      </c>
      <c r="I9" s="797">
        <f t="shared" si="2"/>
        <v>202435.33966626509</v>
      </c>
      <c r="J9" s="798">
        <f t="shared" si="2"/>
        <v>2373.5872283114536</v>
      </c>
      <c r="K9" s="785">
        <f t="shared" si="2"/>
        <v>0</v>
      </c>
      <c r="L9" s="785">
        <f t="shared" si="2"/>
        <v>0</v>
      </c>
      <c r="M9" s="785">
        <f t="shared" si="2"/>
        <v>0</v>
      </c>
      <c r="N9" s="785">
        <f t="shared" si="2"/>
        <v>0</v>
      </c>
      <c r="O9" s="785">
        <f t="shared" si="2"/>
        <v>259610.39196856736</v>
      </c>
      <c r="P9" s="785">
        <f t="shared" si="2"/>
        <v>40932.527555075409</v>
      </c>
      <c r="Q9" s="785">
        <f t="shared" si="2"/>
        <v>0</v>
      </c>
      <c r="R9" s="785">
        <f t="shared" si="2"/>
        <v>4623.2801565565833</v>
      </c>
      <c r="S9" s="785">
        <f t="shared" si="2"/>
        <v>0</v>
      </c>
      <c r="T9" s="799">
        <f t="shared" si="2"/>
        <v>0</v>
      </c>
      <c r="U9" s="775">
        <f t="shared" si="0"/>
        <v>307539.78690851078</v>
      </c>
      <c r="V9" s="1319"/>
      <c r="W9" s="819"/>
      <c r="X9" s="819"/>
      <c r="Y9" s="819"/>
      <c r="Z9" s="819"/>
      <c r="AA9" s="819"/>
      <c r="AB9" s="819"/>
      <c r="AC9" s="819"/>
      <c r="AD9" s="819"/>
      <c r="AE9" s="819"/>
      <c r="AF9" s="819"/>
      <c r="AG9" s="819"/>
      <c r="AH9" s="819"/>
      <c r="AI9" s="819"/>
      <c r="AJ9" s="819"/>
      <c r="AK9" s="819"/>
      <c r="AL9" s="819"/>
      <c r="AM9" s="819"/>
      <c r="AN9" s="819"/>
      <c r="AO9" s="819"/>
      <c r="AP9" s="819"/>
      <c r="AQ9" s="819"/>
      <c r="AR9" s="819"/>
      <c r="AS9" s="819"/>
      <c r="AT9" s="819"/>
      <c r="AU9" s="819"/>
      <c r="AV9" s="819"/>
      <c r="AW9" s="819"/>
      <c r="AX9" s="819"/>
      <c r="AY9" s="819"/>
      <c r="AZ9" s="819"/>
      <c r="BA9" s="819"/>
      <c r="BB9" s="819"/>
      <c r="BC9" s="819"/>
      <c r="BD9" s="819"/>
      <c r="BE9" s="819"/>
      <c r="BF9" s="819"/>
      <c r="BG9" s="819"/>
      <c r="BH9" s="819"/>
      <c r="BI9" s="819"/>
      <c r="BJ9" s="819"/>
      <c r="BK9" s="819"/>
      <c r="BL9" s="819"/>
      <c r="BM9" s="819"/>
      <c r="BN9" s="819"/>
      <c r="BO9" s="819"/>
      <c r="BP9" s="819"/>
      <c r="BQ9" s="819"/>
      <c r="BR9" s="819"/>
      <c r="BS9" s="819"/>
      <c r="BT9" s="819"/>
      <c r="BU9" s="819"/>
      <c r="BV9" s="819"/>
      <c r="BW9" s="819"/>
      <c r="BX9" s="819"/>
      <c r="BY9" s="819"/>
      <c r="BZ9" s="819"/>
      <c r="CA9" s="819"/>
      <c r="CB9" s="819"/>
      <c r="CC9" s="819"/>
      <c r="CD9" s="819"/>
      <c r="CE9" s="819"/>
      <c r="CF9" s="819"/>
      <c r="CG9" s="819"/>
      <c r="CH9" s="819"/>
      <c r="CI9" s="819"/>
      <c r="CJ9" s="819"/>
      <c r="CK9" s="819"/>
      <c r="CL9" s="819"/>
      <c r="CM9" s="819"/>
      <c r="CN9" s="819"/>
      <c r="CO9" s="819"/>
      <c r="CP9" s="819"/>
      <c r="CQ9" s="819"/>
      <c r="CR9" s="819"/>
      <c r="CS9" s="819"/>
      <c r="CT9" s="819"/>
      <c r="CU9" s="819"/>
      <c r="CV9" s="819"/>
      <c r="CW9" s="819"/>
      <c r="CX9" s="819"/>
      <c r="CY9" s="819"/>
      <c r="CZ9" s="819"/>
      <c r="DA9" s="819"/>
      <c r="DB9" s="819"/>
      <c r="DC9" s="819"/>
      <c r="DD9" s="819"/>
      <c r="DE9" s="819"/>
      <c r="DF9" s="819"/>
      <c r="DG9" s="819"/>
      <c r="DH9" s="819"/>
      <c r="DI9" s="819"/>
      <c r="DJ9" s="819"/>
      <c r="DK9" s="819"/>
      <c r="DL9" s="819"/>
      <c r="DM9" s="819"/>
      <c r="DN9" s="819"/>
      <c r="DO9" s="819"/>
      <c r="DP9" s="819"/>
      <c r="DQ9" s="819"/>
      <c r="DR9" s="819"/>
      <c r="DS9" s="819"/>
      <c r="DT9" s="819"/>
      <c r="DU9" s="819"/>
      <c r="DV9" s="819"/>
      <c r="DW9" s="819"/>
      <c r="DX9" s="819"/>
      <c r="DY9" s="819"/>
      <c r="DZ9" s="819"/>
      <c r="EA9" s="819"/>
      <c r="EB9" s="819"/>
      <c r="EC9" s="819"/>
      <c r="ED9" s="819"/>
      <c r="EE9" s="819"/>
      <c r="EF9" s="819"/>
      <c r="EG9" s="819"/>
      <c r="EH9" s="819"/>
      <c r="EI9" s="819"/>
      <c r="EJ9" s="819"/>
      <c r="EK9" s="819"/>
      <c r="EL9" s="819"/>
      <c r="EM9" s="819"/>
      <c r="EN9" s="819"/>
      <c r="EO9" s="819"/>
      <c r="EP9" s="819"/>
      <c r="EQ9" s="819"/>
      <c r="ER9" s="819"/>
      <c r="ES9" s="819"/>
      <c r="ET9" s="819"/>
      <c r="EU9" s="819"/>
      <c r="EV9" s="819"/>
      <c r="EW9" s="819"/>
      <c r="EX9" s="819"/>
      <c r="EY9" s="819"/>
      <c r="EZ9" s="819"/>
      <c r="FA9" s="819"/>
      <c r="FB9" s="819"/>
      <c r="FC9" s="819"/>
      <c r="FD9" s="819"/>
      <c r="FE9" s="819"/>
      <c r="FF9" s="819"/>
      <c r="FG9" s="819"/>
      <c r="FH9" s="819"/>
      <c r="FI9" s="819"/>
      <c r="FJ9" s="819"/>
      <c r="FK9" s="819"/>
      <c r="FL9" s="819"/>
      <c r="FM9" s="819"/>
      <c r="FN9" s="819"/>
      <c r="FO9" s="819"/>
      <c r="FP9" s="819"/>
      <c r="FQ9" s="819"/>
      <c r="FR9" s="819"/>
      <c r="FS9" s="819"/>
      <c r="FT9" s="819"/>
      <c r="FU9" s="819"/>
      <c r="FV9" s="819"/>
      <c r="FW9" s="819"/>
      <c r="FX9" s="819"/>
      <c r="FY9" s="819"/>
      <c r="FZ9" s="819"/>
      <c r="GA9" s="819"/>
      <c r="GB9" s="819"/>
      <c r="GC9" s="819"/>
      <c r="GD9" s="819"/>
      <c r="GE9" s="819"/>
      <c r="GF9" s="819"/>
      <c r="GG9" s="819"/>
      <c r="GH9" s="819"/>
      <c r="GI9" s="819"/>
      <c r="GJ9" s="819"/>
      <c r="GK9" s="819"/>
      <c r="GL9" s="819"/>
      <c r="GM9" s="819"/>
      <c r="GN9" s="819"/>
      <c r="GO9" s="819"/>
      <c r="GP9" s="819"/>
      <c r="GQ9" s="819"/>
      <c r="GR9" s="819"/>
      <c r="GS9" s="819"/>
      <c r="GT9" s="819"/>
      <c r="GU9" s="819"/>
      <c r="GV9" s="819"/>
      <c r="GW9" s="819"/>
      <c r="GX9" s="819"/>
      <c r="GY9" s="819"/>
      <c r="GZ9" s="819"/>
      <c r="HA9" s="819"/>
      <c r="HB9" s="819"/>
      <c r="HC9" s="819"/>
      <c r="HD9" s="819"/>
      <c r="HE9" s="819"/>
      <c r="HF9" s="819"/>
      <c r="HG9" s="819"/>
      <c r="HH9" s="819"/>
      <c r="HI9" s="819"/>
      <c r="HJ9" s="819"/>
      <c r="HK9" s="819"/>
      <c r="HL9" s="819"/>
      <c r="HM9" s="819"/>
      <c r="HN9" s="819"/>
      <c r="HO9" s="819"/>
      <c r="HP9" s="819"/>
      <c r="HQ9" s="819"/>
      <c r="HR9" s="819"/>
      <c r="HS9" s="819"/>
      <c r="HT9" s="819"/>
    </row>
    <row r="10" spans="1:228" s="840" customFormat="1" ht="12" customHeight="1">
      <c r="A10" s="825">
        <v>8</v>
      </c>
      <c r="B10" s="839" t="s">
        <v>2420</v>
      </c>
      <c r="C10" s="119">
        <v>86526.55</v>
      </c>
      <c r="D10" s="120">
        <v>27400.338379092842</v>
      </c>
      <c r="E10" s="120">
        <v>0</v>
      </c>
      <c r="F10" s="661">
        <f t="shared" si="1"/>
        <v>59126.211620907161</v>
      </c>
      <c r="G10" s="699">
        <v>0</v>
      </c>
      <c r="H10" s="695">
        <v>59126.211620907161</v>
      </c>
      <c r="I10" s="700">
        <v>0</v>
      </c>
      <c r="J10" s="119">
        <v>0</v>
      </c>
      <c r="K10" s="120">
        <v>0</v>
      </c>
      <c r="L10" s="120">
        <v>0</v>
      </c>
      <c r="M10" s="120">
        <v>0</v>
      </c>
      <c r="N10" s="120">
        <v>0</v>
      </c>
      <c r="O10" s="120">
        <v>0</v>
      </c>
      <c r="P10" s="120">
        <v>0</v>
      </c>
      <c r="Q10" s="120">
        <v>0</v>
      </c>
      <c r="R10" s="120">
        <v>0</v>
      </c>
      <c r="S10" s="120">
        <v>0</v>
      </c>
      <c r="T10" s="414">
        <v>0</v>
      </c>
      <c r="U10" s="775">
        <f t="shared" si="0"/>
        <v>0</v>
      </c>
      <c r="V10" s="1319"/>
      <c r="W10" s="819"/>
      <c r="X10" s="819"/>
      <c r="Y10" s="819"/>
      <c r="Z10" s="819"/>
      <c r="AA10" s="819"/>
      <c r="AB10" s="819"/>
      <c r="AC10" s="819"/>
      <c r="AD10" s="819"/>
      <c r="AE10" s="819"/>
      <c r="AF10" s="819"/>
      <c r="AG10" s="819"/>
      <c r="AH10" s="819"/>
      <c r="AI10" s="819"/>
      <c r="AJ10" s="819"/>
      <c r="AK10" s="819"/>
      <c r="AL10" s="819"/>
      <c r="AM10" s="819"/>
      <c r="AN10" s="819"/>
      <c r="AO10" s="819"/>
      <c r="AP10" s="819"/>
      <c r="AQ10" s="819"/>
      <c r="AR10" s="819"/>
      <c r="AS10" s="819"/>
      <c r="AT10" s="819"/>
      <c r="AU10" s="819"/>
      <c r="AV10" s="819"/>
      <c r="AW10" s="819"/>
      <c r="AX10" s="819"/>
      <c r="AY10" s="819"/>
      <c r="AZ10" s="819"/>
      <c r="BA10" s="819"/>
      <c r="BB10" s="819"/>
      <c r="BC10" s="819"/>
      <c r="BD10" s="819"/>
      <c r="BE10" s="819"/>
      <c r="BF10" s="819"/>
      <c r="BG10" s="819"/>
      <c r="BH10" s="819"/>
      <c r="BI10" s="819"/>
      <c r="BJ10" s="819"/>
      <c r="BK10" s="819"/>
      <c r="BL10" s="819"/>
      <c r="BM10" s="819"/>
      <c r="BN10" s="819"/>
      <c r="BO10" s="819"/>
      <c r="BP10" s="819"/>
      <c r="BQ10" s="819"/>
      <c r="BR10" s="819"/>
      <c r="BS10" s="819"/>
      <c r="BT10" s="819"/>
      <c r="BU10" s="819"/>
      <c r="BV10" s="819"/>
      <c r="BW10" s="819"/>
      <c r="BX10" s="819"/>
      <c r="BY10" s="819"/>
      <c r="BZ10" s="819"/>
      <c r="CA10" s="819"/>
      <c r="CB10" s="819"/>
      <c r="CC10" s="819"/>
      <c r="CD10" s="819"/>
      <c r="CE10" s="819"/>
      <c r="CF10" s="819"/>
      <c r="CG10" s="819"/>
      <c r="CH10" s="819"/>
      <c r="CI10" s="819"/>
      <c r="CJ10" s="819"/>
      <c r="CK10" s="819"/>
      <c r="CL10" s="819"/>
      <c r="CM10" s="819"/>
      <c r="CN10" s="819"/>
      <c r="CO10" s="819"/>
      <c r="CP10" s="819"/>
      <c r="CQ10" s="819"/>
      <c r="CR10" s="819"/>
      <c r="CS10" s="819"/>
      <c r="CT10" s="819"/>
      <c r="CU10" s="819"/>
      <c r="CV10" s="819"/>
      <c r="CW10" s="819"/>
      <c r="CX10" s="819"/>
      <c r="CY10" s="819"/>
      <c r="CZ10" s="819"/>
      <c r="DA10" s="819"/>
      <c r="DB10" s="819"/>
      <c r="DC10" s="819"/>
      <c r="DD10" s="819"/>
      <c r="DE10" s="819"/>
      <c r="DF10" s="819"/>
      <c r="DG10" s="819"/>
      <c r="DH10" s="819"/>
      <c r="DI10" s="819"/>
      <c r="DJ10" s="819"/>
      <c r="DK10" s="819"/>
      <c r="DL10" s="819"/>
      <c r="DM10" s="819"/>
      <c r="DN10" s="819"/>
      <c r="DO10" s="819"/>
      <c r="DP10" s="819"/>
      <c r="DQ10" s="819"/>
      <c r="DR10" s="819"/>
      <c r="DS10" s="819"/>
      <c r="DT10" s="819"/>
      <c r="DU10" s="819"/>
      <c r="DV10" s="819"/>
      <c r="DW10" s="819"/>
      <c r="DX10" s="819"/>
      <c r="DY10" s="819"/>
      <c r="DZ10" s="819"/>
      <c r="EA10" s="819"/>
      <c r="EB10" s="819"/>
      <c r="EC10" s="819"/>
      <c r="ED10" s="819"/>
      <c r="EE10" s="819"/>
      <c r="EF10" s="819"/>
      <c r="EG10" s="819"/>
      <c r="EH10" s="819"/>
      <c r="EI10" s="819"/>
      <c r="EJ10" s="819"/>
      <c r="EK10" s="819"/>
      <c r="EL10" s="819"/>
      <c r="EM10" s="819"/>
      <c r="EN10" s="819"/>
      <c r="EO10" s="819"/>
      <c r="EP10" s="819"/>
      <c r="EQ10" s="819"/>
      <c r="ER10" s="819"/>
      <c r="ES10" s="819"/>
      <c r="ET10" s="819"/>
      <c r="EU10" s="819"/>
      <c r="EV10" s="819"/>
      <c r="EW10" s="819"/>
      <c r="EX10" s="819"/>
      <c r="EY10" s="819"/>
      <c r="EZ10" s="819"/>
      <c r="FA10" s="819"/>
      <c r="FB10" s="819"/>
      <c r="FC10" s="819"/>
      <c r="FD10" s="819"/>
      <c r="FE10" s="819"/>
      <c r="FF10" s="819"/>
      <c r="FG10" s="819"/>
      <c r="FH10" s="819"/>
      <c r="FI10" s="819"/>
      <c r="FJ10" s="819"/>
      <c r="FK10" s="819"/>
      <c r="FL10" s="819"/>
      <c r="FM10" s="819"/>
      <c r="FN10" s="819"/>
      <c r="FO10" s="819"/>
      <c r="FP10" s="819"/>
      <c r="FQ10" s="819"/>
      <c r="FR10" s="819"/>
      <c r="FS10" s="819"/>
      <c r="FT10" s="819"/>
      <c r="FU10" s="819"/>
      <c r="FV10" s="819"/>
      <c r="FW10" s="819"/>
      <c r="FX10" s="819"/>
      <c r="FY10" s="819"/>
      <c r="FZ10" s="819"/>
      <c r="GA10" s="819"/>
      <c r="GB10" s="819"/>
      <c r="GC10" s="819"/>
      <c r="GD10" s="819"/>
      <c r="GE10" s="819"/>
      <c r="GF10" s="819"/>
      <c r="GG10" s="819"/>
      <c r="GH10" s="819"/>
      <c r="GI10" s="819"/>
      <c r="GJ10" s="819"/>
      <c r="GK10" s="819"/>
      <c r="GL10" s="819"/>
      <c r="GM10" s="819"/>
      <c r="GN10" s="819"/>
      <c r="GO10" s="819"/>
      <c r="GP10" s="819"/>
      <c r="GQ10" s="819"/>
      <c r="GR10" s="819"/>
      <c r="GS10" s="819"/>
      <c r="GT10" s="819"/>
      <c r="GU10" s="819"/>
      <c r="GV10" s="819"/>
      <c r="GW10" s="819"/>
      <c r="GX10" s="819"/>
      <c r="GY10" s="819"/>
      <c r="GZ10" s="819"/>
      <c r="HA10" s="819"/>
      <c r="HB10" s="819"/>
      <c r="HC10" s="819"/>
      <c r="HD10" s="819"/>
      <c r="HE10" s="819"/>
      <c r="HF10" s="819"/>
      <c r="HG10" s="819"/>
      <c r="HH10" s="819"/>
      <c r="HI10" s="819"/>
      <c r="HJ10" s="819"/>
      <c r="HK10" s="819"/>
      <c r="HL10" s="819"/>
      <c r="HM10" s="819"/>
      <c r="HN10" s="819"/>
      <c r="HO10" s="819"/>
      <c r="HP10" s="819"/>
      <c r="HQ10" s="819"/>
      <c r="HR10" s="819"/>
      <c r="HS10" s="819"/>
      <c r="HT10" s="819"/>
    </row>
    <row r="11" spans="1:228" s="840" customFormat="1" ht="12" customHeight="1">
      <c r="A11" s="825">
        <v>9</v>
      </c>
      <c r="B11" s="839" t="s">
        <v>2421</v>
      </c>
      <c r="C11" s="119">
        <v>298895.53999999998</v>
      </c>
      <c r="D11" s="120">
        <v>110680.07194048211</v>
      </c>
      <c r="E11" s="120">
        <v>0</v>
      </c>
      <c r="F11" s="661">
        <f t="shared" si="1"/>
        <v>188215.46805951785</v>
      </c>
      <c r="G11" s="699">
        <v>0</v>
      </c>
      <c r="H11" s="695">
        <v>0</v>
      </c>
      <c r="I11" s="700">
        <v>-7547.341940482147</v>
      </c>
      <c r="J11" s="119">
        <v>0</v>
      </c>
      <c r="K11" s="120">
        <v>0</v>
      </c>
      <c r="L11" s="120">
        <v>0</v>
      </c>
      <c r="M11" s="120">
        <v>0</v>
      </c>
      <c r="N11" s="120">
        <v>0</v>
      </c>
      <c r="O11" s="120">
        <v>167265.66</v>
      </c>
      <c r="P11" s="120">
        <v>28497.15</v>
      </c>
      <c r="Q11" s="120">
        <v>0</v>
      </c>
      <c r="R11" s="120">
        <v>0</v>
      </c>
      <c r="S11" s="120">
        <v>0</v>
      </c>
      <c r="T11" s="414">
        <v>0</v>
      </c>
      <c r="U11" s="775">
        <f t="shared" si="0"/>
        <v>195762.81</v>
      </c>
      <c r="V11" s="1319"/>
      <c r="W11" s="819"/>
      <c r="X11" s="819"/>
      <c r="Y11" s="819"/>
      <c r="Z11" s="819"/>
      <c r="AA11" s="819"/>
      <c r="AB11" s="819"/>
      <c r="AC11" s="819"/>
      <c r="AD11" s="819"/>
      <c r="AE11" s="819"/>
      <c r="AF11" s="819"/>
      <c r="AG11" s="819"/>
      <c r="AH11" s="819"/>
      <c r="AI11" s="819"/>
      <c r="AJ11" s="819"/>
      <c r="AK11" s="819"/>
      <c r="AL11" s="819"/>
      <c r="AM11" s="819"/>
      <c r="AN11" s="819"/>
      <c r="AO11" s="819"/>
      <c r="AP11" s="819"/>
      <c r="AQ11" s="819"/>
      <c r="AR11" s="819"/>
      <c r="AS11" s="819"/>
      <c r="AT11" s="819"/>
      <c r="AU11" s="819"/>
      <c r="AV11" s="819"/>
      <c r="AW11" s="819"/>
      <c r="AX11" s="819"/>
      <c r="AY11" s="819"/>
      <c r="AZ11" s="819"/>
      <c r="BA11" s="819"/>
      <c r="BB11" s="819"/>
      <c r="BC11" s="819"/>
      <c r="BD11" s="819"/>
      <c r="BE11" s="819"/>
      <c r="BF11" s="819"/>
      <c r="BG11" s="819"/>
      <c r="BH11" s="819"/>
      <c r="BI11" s="819"/>
      <c r="BJ11" s="819"/>
      <c r="BK11" s="819"/>
      <c r="BL11" s="819"/>
      <c r="BM11" s="819"/>
      <c r="BN11" s="819"/>
      <c r="BO11" s="819"/>
      <c r="BP11" s="819"/>
      <c r="BQ11" s="819"/>
      <c r="BR11" s="819"/>
      <c r="BS11" s="819"/>
      <c r="BT11" s="819"/>
      <c r="BU11" s="819"/>
      <c r="BV11" s="819"/>
      <c r="BW11" s="819"/>
      <c r="BX11" s="819"/>
      <c r="BY11" s="819"/>
      <c r="BZ11" s="819"/>
      <c r="CA11" s="819"/>
      <c r="CB11" s="819"/>
      <c r="CC11" s="819"/>
      <c r="CD11" s="819"/>
      <c r="CE11" s="819"/>
      <c r="CF11" s="819"/>
      <c r="CG11" s="819"/>
      <c r="CH11" s="819"/>
      <c r="CI11" s="819"/>
      <c r="CJ11" s="819"/>
      <c r="CK11" s="819"/>
      <c r="CL11" s="819"/>
      <c r="CM11" s="819"/>
      <c r="CN11" s="819"/>
      <c r="CO11" s="819"/>
      <c r="CP11" s="819"/>
      <c r="CQ11" s="819"/>
      <c r="CR11" s="819"/>
      <c r="CS11" s="819"/>
      <c r="CT11" s="819"/>
      <c r="CU11" s="819"/>
      <c r="CV11" s="819"/>
      <c r="CW11" s="819"/>
      <c r="CX11" s="819"/>
      <c r="CY11" s="819"/>
      <c r="CZ11" s="819"/>
      <c r="DA11" s="819"/>
      <c r="DB11" s="819"/>
      <c r="DC11" s="819"/>
      <c r="DD11" s="819"/>
      <c r="DE11" s="819"/>
      <c r="DF11" s="819"/>
      <c r="DG11" s="819"/>
      <c r="DH11" s="819"/>
      <c r="DI11" s="819"/>
      <c r="DJ11" s="819"/>
      <c r="DK11" s="819"/>
      <c r="DL11" s="819"/>
      <c r="DM11" s="819"/>
      <c r="DN11" s="819"/>
      <c r="DO11" s="819"/>
      <c r="DP11" s="819"/>
      <c r="DQ11" s="819"/>
      <c r="DR11" s="819"/>
      <c r="DS11" s="819"/>
      <c r="DT11" s="819"/>
      <c r="DU11" s="819"/>
      <c r="DV11" s="819"/>
      <c r="DW11" s="819"/>
      <c r="DX11" s="819"/>
      <c r="DY11" s="819"/>
      <c r="DZ11" s="819"/>
      <c r="EA11" s="819"/>
      <c r="EB11" s="819"/>
      <c r="EC11" s="819"/>
      <c r="ED11" s="819"/>
      <c r="EE11" s="819"/>
      <c r="EF11" s="819"/>
      <c r="EG11" s="819"/>
      <c r="EH11" s="819"/>
      <c r="EI11" s="819"/>
      <c r="EJ11" s="819"/>
      <c r="EK11" s="819"/>
      <c r="EL11" s="819"/>
      <c r="EM11" s="819"/>
      <c r="EN11" s="819"/>
      <c r="EO11" s="819"/>
      <c r="EP11" s="819"/>
      <c r="EQ11" s="819"/>
      <c r="ER11" s="819"/>
      <c r="ES11" s="819"/>
      <c r="ET11" s="819"/>
      <c r="EU11" s="819"/>
      <c r="EV11" s="819"/>
      <c r="EW11" s="819"/>
      <c r="EX11" s="819"/>
      <c r="EY11" s="819"/>
      <c r="EZ11" s="819"/>
      <c r="FA11" s="819"/>
      <c r="FB11" s="819"/>
      <c r="FC11" s="819"/>
      <c r="FD11" s="819"/>
      <c r="FE11" s="819"/>
      <c r="FF11" s="819"/>
      <c r="FG11" s="819"/>
      <c r="FH11" s="819"/>
      <c r="FI11" s="819"/>
      <c r="FJ11" s="819"/>
      <c r="FK11" s="819"/>
      <c r="FL11" s="819"/>
      <c r="FM11" s="819"/>
      <c r="FN11" s="819"/>
      <c r="FO11" s="819"/>
      <c r="FP11" s="819"/>
      <c r="FQ11" s="819"/>
      <c r="FR11" s="819"/>
      <c r="FS11" s="819"/>
      <c r="FT11" s="819"/>
      <c r="FU11" s="819"/>
      <c r="FV11" s="819"/>
      <c r="FW11" s="819"/>
      <c r="FX11" s="819"/>
      <c r="FY11" s="819"/>
      <c r="FZ11" s="819"/>
      <c r="GA11" s="819"/>
      <c r="GB11" s="819"/>
      <c r="GC11" s="819"/>
      <c r="GD11" s="819"/>
      <c r="GE11" s="819"/>
      <c r="GF11" s="819"/>
      <c r="GG11" s="819"/>
      <c r="GH11" s="819"/>
      <c r="GI11" s="819"/>
      <c r="GJ11" s="819"/>
      <c r="GK11" s="819"/>
      <c r="GL11" s="819"/>
      <c r="GM11" s="819"/>
      <c r="GN11" s="819"/>
      <c r="GO11" s="819"/>
      <c r="GP11" s="819"/>
      <c r="GQ11" s="819"/>
      <c r="GR11" s="819"/>
      <c r="GS11" s="819"/>
      <c r="GT11" s="819"/>
      <c r="GU11" s="819"/>
      <c r="GV11" s="819"/>
      <c r="GW11" s="819"/>
      <c r="GX11" s="819"/>
      <c r="GY11" s="819"/>
      <c r="GZ11" s="819"/>
      <c r="HA11" s="819"/>
      <c r="HB11" s="819"/>
      <c r="HC11" s="819"/>
      <c r="HD11" s="819"/>
      <c r="HE11" s="819"/>
      <c r="HF11" s="819"/>
      <c r="HG11" s="819"/>
      <c r="HH11" s="819"/>
      <c r="HI11" s="819"/>
      <c r="HJ11" s="819"/>
      <c r="HK11" s="819"/>
      <c r="HL11" s="819"/>
      <c r="HM11" s="819"/>
      <c r="HN11" s="819"/>
      <c r="HO11" s="819"/>
      <c r="HP11" s="819"/>
      <c r="HQ11" s="819"/>
      <c r="HR11" s="819"/>
      <c r="HS11" s="819"/>
      <c r="HT11" s="819"/>
    </row>
    <row r="12" spans="1:228" s="824" customFormat="1">
      <c r="A12" s="825">
        <v>10</v>
      </c>
      <c r="B12" s="843" t="s">
        <v>2673</v>
      </c>
      <c r="C12" s="119">
        <v>0</v>
      </c>
      <c r="D12" s="120">
        <v>0</v>
      </c>
      <c r="E12" s="120">
        <v>0</v>
      </c>
      <c r="F12" s="661">
        <f t="shared" si="1"/>
        <v>0</v>
      </c>
      <c r="G12" s="699">
        <v>0</v>
      </c>
      <c r="H12" s="695">
        <v>0</v>
      </c>
      <c r="I12" s="700">
        <v>0</v>
      </c>
      <c r="J12" s="119">
        <v>0</v>
      </c>
      <c r="K12" s="120">
        <v>0</v>
      </c>
      <c r="L12" s="120">
        <v>0</v>
      </c>
      <c r="M12" s="120">
        <v>0</v>
      </c>
      <c r="N12" s="120">
        <v>0</v>
      </c>
      <c r="O12" s="120">
        <v>0</v>
      </c>
      <c r="P12" s="120">
        <v>0</v>
      </c>
      <c r="Q12" s="120">
        <v>0</v>
      </c>
      <c r="R12" s="120">
        <v>0</v>
      </c>
      <c r="S12" s="120">
        <v>0</v>
      </c>
      <c r="T12" s="414">
        <v>0</v>
      </c>
      <c r="U12" s="775">
        <f t="shared" si="0"/>
        <v>0</v>
      </c>
      <c r="V12" s="1319"/>
      <c r="W12" s="819"/>
      <c r="X12" s="819"/>
      <c r="Y12" s="819"/>
      <c r="Z12" s="819"/>
      <c r="AA12" s="819"/>
      <c r="AB12" s="819"/>
      <c r="AC12" s="819"/>
      <c r="AD12" s="819"/>
      <c r="AE12" s="819"/>
      <c r="AF12" s="819"/>
      <c r="AG12" s="819"/>
      <c r="AH12" s="819"/>
      <c r="AI12" s="819"/>
      <c r="AJ12" s="819"/>
      <c r="AK12" s="819"/>
      <c r="AL12" s="819"/>
      <c r="AM12" s="819"/>
      <c r="AN12" s="819"/>
      <c r="AO12" s="819"/>
      <c r="AP12" s="819"/>
      <c r="AQ12" s="819"/>
      <c r="AR12" s="819"/>
      <c r="AS12" s="819"/>
      <c r="AT12" s="819"/>
      <c r="AU12" s="819"/>
      <c r="AV12" s="819"/>
      <c r="AW12" s="819"/>
      <c r="AX12" s="819"/>
      <c r="AY12" s="819"/>
      <c r="AZ12" s="819"/>
      <c r="BA12" s="819"/>
      <c r="BB12" s="819"/>
      <c r="BC12" s="819"/>
      <c r="BD12" s="819"/>
      <c r="BE12" s="819"/>
      <c r="BF12" s="819"/>
      <c r="BG12" s="819"/>
      <c r="BH12" s="819"/>
      <c r="BI12" s="819"/>
      <c r="BJ12" s="819"/>
      <c r="BK12" s="819"/>
      <c r="BL12" s="819"/>
      <c r="BM12" s="819"/>
      <c r="BN12" s="819"/>
      <c r="BO12" s="819"/>
      <c r="BP12" s="819"/>
      <c r="BQ12" s="819"/>
      <c r="BR12" s="819"/>
      <c r="BS12" s="819"/>
      <c r="BT12" s="819"/>
      <c r="BU12" s="819"/>
      <c r="BV12" s="819"/>
      <c r="BW12" s="819"/>
      <c r="BX12" s="819"/>
      <c r="BY12" s="819"/>
      <c r="BZ12" s="819"/>
      <c r="CA12" s="819"/>
      <c r="CB12" s="819"/>
      <c r="CC12" s="819"/>
      <c r="CD12" s="819"/>
      <c r="CE12" s="819"/>
      <c r="CF12" s="819"/>
      <c r="CG12" s="819"/>
      <c r="CH12" s="819"/>
      <c r="CI12" s="819"/>
      <c r="CJ12" s="819"/>
      <c r="CK12" s="819"/>
      <c r="CL12" s="819"/>
      <c r="CM12" s="819"/>
      <c r="CN12" s="819"/>
      <c r="CO12" s="819"/>
      <c r="CP12" s="819"/>
      <c r="CQ12" s="819"/>
      <c r="CR12" s="819"/>
      <c r="CS12" s="819"/>
      <c r="CT12" s="819"/>
      <c r="CU12" s="819"/>
      <c r="CV12" s="819"/>
      <c r="CW12" s="819"/>
      <c r="CX12" s="819"/>
      <c r="CY12" s="819"/>
      <c r="CZ12" s="819"/>
      <c r="DA12" s="819"/>
      <c r="DB12" s="819"/>
      <c r="DC12" s="819"/>
      <c r="DD12" s="819"/>
      <c r="DE12" s="819"/>
      <c r="DF12" s="819"/>
      <c r="DG12" s="819"/>
      <c r="DH12" s="819"/>
      <c r="DI12" s="819"/>
      <c r="DJ12" s="819"/>
      <c r="DK12" s="819"/>
      <c r="DL12" s="819"/>
      <c r="DM12" s="819"/>
      <c r="DN12" s="819"/>
      <c r="DO12" s="819"/>
      <c r="DP12" s="819"/>
      <c r="DQ12" s="819"/>
      <c r="DR12" s="819"/>
      <c r="DS12" s="819"/>
      <c r="DT12" s="819"/>
      <c r="DU12" s="819"/>
      <c r="DV12" s="819"/>
      <c r="DW12" s="819"/>
      <c r="DX12" s="819"/>
      <c r="DY12" s="819"/>
      <c r="DZ12" s="819"/>
      <c r="EA12" s="819"/>
      <c r="EB12" s="819"/>
      <c r="EC12" s="819"/>
      <c r="ED12" s="819"/>
      <c r="EE12" s="819"/>
      <c r="EF12" s="819"/>
      <c r="EG12" s="819"/>
      <c r="EH12" s="819"/>
      <c r="EI12" s="819"/>
      <c r="EJ12" s="819"/>
      <c r="EK12" s="819"/>
      <c r="EL12" s="819"/>
      <c r="EM12" s="819"/>
      <c r="EN12" s="819"/>
      <c r="EO12" s="819"/>
      <c r="EP12" s="819"/>
      <c r="EQ12" s="819"/>
      <c r="ER12" s="819"/>
      <c r="ES12" s="819"/>
      <c r="ET12" s="819"/>
      <c r="EU12" s="819"/>
      <c r="EV12" s="819"/>
      <c r="EW12" s="819"/>
      <c r="EX12" s="819"/>
      <c r="EY12" s="819"/>
      <c r="EZ12" s="819"/>
      <c r="FA12" s="819"/>
      <c r="FB12" s="819"/>
      <c r="FC12" s="819"/>
      <c r="FD12" s="819"/>
      <c r="FE12" s="819"/>
      <c r="FF12" s="819"/>
      <c r="FG12" s="819"/>
      <c r="FH12" s="819"/>
      <c r="FI12" s="819"/>
      <c r="FJ12" s="819"/>
      <c r="FK12" s="819"/>
      <c r="FL12" s="819"/>
      <c r="FM12" s="819"/>
      <c r="FN12" s="819"/>
      <c r="FO12" s="819"/>
      <c r="FP12" s="819"/>
      <c r="FQ12" s="819"/>
      <c r="FR12" s="819"/>
      <c r="FS12" s="819"/>
      <c r="FT12" s="819"/>
      <c r="FU12" s="819"/>
      <c r="FV12" s="819"/>
      <c r="FW12" s="819"/>
      <c r="FX12" s="819"/>
      <c r="FY12" s="819"/>
      <c r="FZ12" s="819"/>
      <c r="GA12" s="819"/>
      <c r="GB12" s="819"/>
      <c r="GC12" s="819"/>
      <c r="GD12" s="819"/>
      <c r="GE12" s="819"/>
      <c r="GF12" s="819"/>
      <c r="GG12" s="819"/>
      <c r="GH12" s="819"/>
      <c r="GI12" s="819"/>
      <c r="GJ12" s="819"/>
      <c r="GK12" s="819"/>
      <c r="GL12" s="819"/>
      <c r="GM12" s="819"/>
      <c r="GN12" s="819"/>
      <c r="GO12" s="819"/>
      <c r="GP12" s="819"/>
      <c r="GQ12" s="819"/>
      <c r="GR12" s="819"/>
      <c r="GS12" s="819"/>
      <c r="GT12" s="819"/>
      <c r="GU12" s="819"/>
      <c r="GV12" s="819"/>
      <c r="GW12" s="819"/>
      <c r="GX12" s="819"/>
      <c r="GY12" s="819"/>
      <c r="GZ12" s="819"/>
      <c r="HA12" s="819"/>
      <c r="HB12" s="819"/>
      <c r="HC12" s="819"/>
      <c r="HD12" s="819"/>
      <c r="HE12" s="819"/>
      <c r="HF12" s="819"/>
      <c r="HG12" s="819"/>
      <c r="HH12" s="819"/>
      <c r="HI12" s="819"/>
      <c r="HJ12" s="819"/>
      <c r="HK12" s="819"/>
      <c r="HL12" s="819"/>
      <c r="HM12" s="819"/>
      <c r="HN12" s="819"/>
      <c r="HO12" s="819"/>
      <c r="HP12" s="819"/>
      <c r="HQ12" s="819"/>
      <c r="HR12" s="819"/>
      <c r="HS12" s="819"/>
      <c r="HT12" s="819"/>
    </row>
    <row r="13" spans="1:228" s="845" customFormat="1" ht="13.5" thickBot="1">
      <c r="A13" s="825">
        <v>11</v>
      </c>
      <c r="B13" s="844" t="s">
        <v>2423</v>
      </c>
      <c r="C13" s="798">
        <f t="shared" ref="C13:T13" si="3">SUM(C9:C12)</f>
        <v>995820.8899999999</v>
      </c>
      <c r="D13" s="785">
        <f t="shared" si="3"/>
        <v>232482.56791606545</v>
      </c>
      <c r="E13" s="785">
        <f t="shared" si="3"/>
        <v>0</v>
      </c>
      <c r="F13" s="799">
        <f t="shared" si="3"/>
        <v>763338.32208393444</v>
      </c>
      <c r="G13" s="802">
        <f t="shared" si="3"/>
        <v>0</v>
      </c>
      <c r="H13" s="785">
        <f>SUM(H9:H12)</f>
        <v>65147.727449640821</v>
      </c>
      <c r="I13" s="803">
        <f t="shared" si="3"/>
        <v>194887.99772578295</v>
      </c>
      <c r="J13" s="798">
        <f t="shared" si="3"/>
        <v>2373.5872283114536</v>
      </c>
      <c r="K13" s="785">
        <f t="shared" si="3"/>
        <v>0</v>
      </c>
      <c r="L13" s="785">
        <f t="shared" si="3"/>
        <v>0</v>
      </c>
      <c r="M13" s="785">
        <f t="shared" si="3"/>
        <v>0</v>
      </c>
      <c r="N13" s="785">
        <f t="shared" si="3"/>
        <v>0</v>
      </c>
      <c r="O13" s="785">
        <f t="shared" si="3"/>
        <v>426876.05196856736</v>
      </c>
      <c r="P13" s="785">
        <f t="shared" si="3"/>
        <v>69429.67755507541</v>
      </c>
      <c r="Q13" s="785">
        <f t="shared" si="3"/>
        <v>0</v>
      </c>
      <c r="R13" s="785">
        <f t="shared" si="3"/>
        <v>4623.2801565565833</v>
      </c>
      <c r="S13" s="785">
        <f t="shared" si="3"/>
        <v>0</v>
      </c>
      <c r="T13" s="799">
        <f t="shared" si="3"/>
        <v>0</v>
      </c>
      <c r="U13" s="775">
        <f t="shared" si="0"/>
        <v>503302.59690851084</v>
      </c>
      <c r="V13" s="1320"/>
      <c r="W13" s="819"/>
      <c r="X13" s="819"/>
      <c r="Y13" s="819"/>
      <c r="Z13" s="819"/>
      <c r="AA13" s="819"/>
      <c r="AB13" s="819"/>
      <c r="AC13" s="819"/>
      <c r="AD13" s="819"/>
      <c r="AE13" s="819"/>
      <c r="AF13" s="819"/>
      <c r="AG13" s="819"/>
      <c r="AH13" s="819"/>
      <c r="AI13" s="819"/>
      <c r="AJ13" s="819"/>
      <c r="AK13" s="819"/>
      <c r="AL13" s="819"/>
      <c r="AM13" s="819"/>
      <c r="AN13" s="819"/>
      <c r="AO13" s="819"/>
      <c r="AP13" s="819"/>
      <c r="AQ13" s="819"/>
      <c r="AR13" s="819"/>
      <c r="AS13" s="819"/>
      <c r="AT13" s="819"/>
      <c r="AU13" s="819"/>
      <c r="AV13" s="819"/>
      <c r="AW13" s="819"/>
      <c r="AX13" s="819"/>
      <c r="AY13" s="819"/>
      <c r="AZ13" s="819"/>
      <c r="BA13" s="819"/>
      <c r="BB13" s="819"/>
      <c r="BC13" s="819"/>
      <c r="BD13" s="819"/>
      <c r="BE13" s="819"/>
      <c r="BF13" s="819"/>
      <c r="BG13" s="819"/>
      <c r="BH13" s="819"/>
      <c r="BI13" s="819"/>
      <c r="BJ13" s="819"/>
      <c r="BK13" s="819"/>
      <c r="BL13" s="819"/>
      <c r="BM13" s="819"/>
      <c r="BN13" s="819"/>
      <c r="BO13" s="819"/>
      <c r="BP13" s="819"/>
      <c r="BQ13" s="819"/>
      <c r="BR13" s="819"/>
      <c r="BS13" s="819"/>
      <c r="BT13" s="819"/>
      <c r="BU13" s="819"/>
      <c r="BV13" s="819"/>
      <c r="BW13" s="819"/>
      <c r="BX13" s="819"/>
      <c r="BY13" s="819"/>
      <c r="BZ13" s="819"/>
      <c r="CA13" s="819"/>
      <c r="CB13" s="819"/>
      <c r="CC13" s="819"/>
      <c r="CD13" s="819"/>
      <c r="CE13" s="819"/>
      <c r="CF13" s="819"/>
      <c r="CG13" s="819"/>
      <c r="CH13" s="819"/>
      <c r="CI13" s="819"/>
      <c r="CJ13" s="819"/>
      <c r="CK13" s="819"/>
      <c r="CL13" s="819"/>
      <c r="CM13" s="819"/>
      <c r="CN13" s="819"/>
      <c r="CO13" s="819"/>
      <c r="CP13" s="819"/>
      <c r="CQ13" s="819"/>
      <c r="CR13" s="819"/>
      <c r="CS13" s="819"/>
      <c r="CT13" s="819"/>
      <c r="CU13" s="819"/>
      <c r="CV13" s="819"/>
      <c r="CW13" s="819"/>
      <c r="CX13" s="819"/>
      <c r="CY13" s="819"/>
      <c r="CZ13" s="819"/>
      <c r="DA13" s="819"/>
      <c r="DB13" s="819"/>
      <c r="DC13" s="819"/>
      <c r="DD13" s="819"/>
      <c r="DE13" s="819"/>
      <c r="DF13" s="819"/>
      <c r="DG13" s="819"/>
      <c r="DH13" s="819"/>
      <c r="DI13" s="819"/>
      <c r="DJ13" s="819"/>
      <c r="DK13" s="819"/>
      <c r="DL13" s="819"/>
      <c r="DM13" s="819"/>
      <c r="DN13" s="819"/>
      <c r="DO13" s="819"/>
      <c r="DP13" s="819"/>
      <c r="DQ13" s="819"/>
      <c r="DR13" s="819"/>
      <c r="DS13" s="819"/>
      <c r="DT13" s="819"/>
      <c r="DU13" s="819"/>
      <c r="DV13" s="819"/>
      <c r="DW13" s="819"/>
      <c r="DX13" s="819"/>
      <c r="DY13" s="819"/>
      <c r="DZ13" s="819"/>
      <c r="EA13" s="819"/>
      <c r="EB13" s="819"/>
      <c r="EC13" s="819"/>
      <c r="ED13" s="819"/>
      <c r="EE13" s="819"/>
      <c r="EF13" s="819"/>
      <c r="EG13" s="819"/>
      <c r="EH13" s="819"/>
      <c r="EI13" s="819"/>
      <c r="EJ13" s="819"/>
      <c r="EK13" s="819"/>
      <c r="EL13" s="819"/>
      <c r="EM13" s="819"/>
      <c r="EN13" s="819"/>
      <c r="EO13" s="819"/>
      <c r="EP13" s="819"/>
      <c r="EQ13" s="819"/>
      <c r="ER13" s="819"/>
      <c r="ES13" s="819"/>
      <c r="ET13" s="819"/>
      <c r="EU13" s="819"/>
      <c r="EV13" s="819"/>
      <c r="EW13" s="819"/>
      <c r="EX13" s="819"/>
      <c r="EY13" s="819"/>
      <c r="EZ13" s="819"/>
      <c r="FA13" s="819"/>
      <c r="FB13" s="819"/>
      <c r="FC13" s="819"/>
      <c r="FD13" s="819"/>
      <c r="FE13" s="819"/>
      <c r="FF13" s="819"/>
      <c r="FG13" s="819"/>
      <c r="FH13" s="819"/>
      <c r="FI13" s="819"/>
      <c r="FJ13" s="819"/>
      <c r="FK13" s="819"/>
      <c r="FL13" s="819"/>
      <c r="FM13" s="819"/>
      <c r="FN13" s="819"/>
      <c r="FO13" s="819"/>
      <c r="FP13" s="819"/>
      <c r="FQ13" s="819"/>
      <c r="FR13" s="819"/>
      <c r="FS13" s="819"/>
      <c r="FT13" s="819"/>
      <c r="FU13" s="819"/>
      <c r="FV13" s="819"/>
      <c r="FW13" s="819"/>
      <c r="FX13" s="819"/>
      <c r="FY13" s="819"/>
      <c r="FZ13" s="819"/>
      <c r="GA13" s="819"/>
      <c r="GB13" s="819"/>
      <c r="GC13" s="819"/>
      <c r="GD13" s="819"/>
      <c r="GE13" s="819"/>
      <c r="GF13" s="819"/>
      <c r="GG13" s="819"/>
      <c r="GH13" s="819"/>
      <c r="GI13" s="819"/>
      <c r="GJ13" s="819"/>
      <c r="GK13" s="819"/>
      <c r="GL13" s="819"/>
      <c r="GM13" s="819"/>
      <c r="GN13" s="819"/>
      <c r="GO13" s="819"/>
      <c r="GP13" s="819"/>
      <c r="GQ13" s="819"/>
      <c r="GR13" s="819"/>
      <c r="GS13" s="819"/>
      <c r="GT13" s="819"/>
      <c r="GU13" s="819"/>
      <c r="GV13" s="819"/>
      <c r="GW13" s="819"/>
      <c r="GX13" s="819"/>
      <c r="GY13" s="819"/>
      <c r="GZ13" s="819"/>
      <c r="HA13" s="819"/>
      <c r="HB13" s="819"/>
      <c r="HC13" s="819"/>
      <c r="HD13" s="819"/>
      <c r="HE13" s="819"/>
      <c r="HF13" s="819"/>
      <c r="HG13" s="819"/>
      <c r="HH13" s="819"/>
      <c r="HI13" s="819"/>
      <c r="HJ13" s="819"/>
      <c r="HK13" s="819"/>
      <c r="HL13" s="819"/>
      <c r="HM13" s="819"/>
      <c r="HN13" s="819"/>
      <c r="HO13" s="819"/>
      <c r="HP13" s="819"/>
      <c r="HQ13" s="819"/>
      <c r="HR13" s="819"/>
      <c r="HS13" s="819"/>
      <c r="HT13" s="819"/>
    </row>
    <row r="14" spans="1:228" s="840" customFormat="1" ht="12" customHeight="1">
      <c r="A14" s="825">
        <v>12</v>
      </c>
      <c r="B14" s="846" t="s">
        <v>2424</v>
      </c>
      <c r="C14" s="804" t="s">
        <v>172</v>
      </c>
      <c r="D14" s="805" t="s">
        <v>172</v>
      </c>
      <c r="E14" s="806" t="s">
        <v>172</v>
      </c>
      <c r="F14" s="807" t="s">
        <v>172</v>
      </c>
      <c r="G14" s="865">
        <f>ROUND(-G13,0)</f>
        <v>0</v>
      </c>
      <c r="H14" s="701">
        <v>0</v>
      </c>
      <c r="I14" s="702">
        <v>0</v>
      </c>
      <c r="J14" s="703">
        <v>0</v>
      </c>
      <c r="K14" s="695">
        <v>0</v>
      </c>
      <c r="L14" s="695">
        <v>0</v>
      </c>
      <c r="M14" s="695">
        <v>0</v>
      </c>
      <c r="N14" s="695">
        <v>0</v>
      </c>
      <c r="O14" s="695">
        <v>0</v>
      </c>
      <c r="P14" s="695">
        <v>0</v>
      </c>
      <c r="Q14" s="695">
        <v>0</v>
      </c>
      <c r="R14" s="695">
        <v>0</v>
      </c>
      <c r="S14" s="695">
        <v>0</v>
      </c>
      <c r="T14" s="704">
        <v>0</v>
      </c>
      <c r="U14" s="779">
        <f>ROUND(SUM(J14:T14),0)</f>
        <v>0</v>
      </c>
      <c r="V14" s="1329" t="s">
        <v>2462</v>
      </c>
      <c r="W14" s="819"/>
      <c r="X14" s="819"/>
      <c r="Y14" s="819"/>
      <c r="Z14" s="819"/>
      <c r="AA14" s="819"/>
      <c r="AB14" s="819"/>
      <c r="AC14" s="819"/>
      <c r="AD14" s="819"/>
      <c r="AE14" s="819"/>
      <c r="AF14" s="819"/>
      <c r="AG14" s="819"/>
      <c r="AH14" s="819"/>
      <c r="AI14" s="819"/>
      <c r="AJ14" s="819"/>
      <c r="AK14" s="819"/>
      <c r="AL14" s="819"/>
      <c r="AM14" s="819"/>
      <c r="AN14" s="819"/>
      <c r="AO14" s="819"/>
      <c r="AP14" s="819"/>
      <c r="AQ14" s="819"/>
      <c r="AR14" s="819"/>
      <c r="AS14" s="819"/>
      <c r="AT14" s="819"/>
      <c r="AU14" s="819"/>
      <c r="AV14" s="819"/>
      <c r="AW14" s="819"/>
      <c r="AX14" s="819"/>
      <c r="AY14" s="819"/>
      <c r="AZ14" s="819"/>
      <c r="BA14" s="819"/>
      <c r="BB14" s="819"/>
      <c r="BC14" s="819"/>
      <c r="BD14" s="819"/>
      <c r="BE14" s="819"/>
      <c r="BF14" s="819"/>
      <c r="BG14" s="819"/>
      <c r="BH14" s="819"/>
      <c r="BI14" s="819"/>
      <c r="BJ14" s="819"/>
      <c r="BK14" s="819"/>
      <c r="BL14" s="819"/>
      <c r="BM14" s="819"/>
      <c r="BN14" s="819"/>
      <c r="BO14" s="819"/>
      <c r="BP14" s="819"/>
      <c r="BQ14" s="819"/>
      <c r="BR14" s="819"/>
      <c r="BS14" s="819"/>
      <c r="BT14" s="819"/>
      <c r="BU14" s="819"/>
      <c r="BV14" s="819"/>
      <c r="BW14" s="819"/>
      <c r="BX14" s="819"/>
      <c r="BY14" s="819"/>
      <c r="BZ14" s="819"/>
      <c r="CA14" s="819"/>
      <c r="CB14" s="819"/>
      <c r="CC14" s="819"/>
      <c r="CD14" s="819"/>
      <c r="CE14" s="819"/>
      <c r="CF14" s="819"/>
      <c r="CG14" s="819"/>
      <c r="CH14" s="819"/>
      <c r="CI14" s="819"/>
      <c r="CJ14" s="819"/>
      <c r="CK14" s="819"/>
      <c r="CL14" s="819"/>
      <c r="CM14" s="819"/>
      <c r="CN14" s="819"/>
      <c r="CO14" s="819"/>
      <c r="CP14" s="819"/>
      <c r="CQ14" s="819"/>
      <c r="CR14" s="819"/>
      <c r="CS14" s="819"/>
      <c r="CT14" s="819"/>
      <c r="CU14" s="819"/>
      <c r="CV14" s="819"/>
      <c r="CW14" s="819"/>
      <c r="CX14" s="819"/>
      <c r="CY14" s="819"/>
      <c r="CZ14" s="819"/>
      <c r="DA14" s="819"/>
      <c r="DB14" s="819"/>
      <c r="DC14" s="819"/>
      <c r="DD14" s="819"/>
      <c r="DE14" s="819"/>
      <c r="DF14" s="819"/>
      <c r="DG14" s="819"/>
      <c r="DH14" s="819"/>
      <c r="DI14" s="819"/>
      <c r="DJ14" s="819"/>
      <c r="DK14" s="819"/>
      <c r="DL14" s="819"/>
      <c r="DM14" s="819"/>
      <c r="DN14" s="819"/>
      <c r="DO14" s="819"/>
      <c r="DP14" s="819"/>
      <c r="DQ14" s="819"/>
      <c r="DR14" s="819"/>
      <c r="DS14" s="819"/>
      <c r="DT14" s="819"/>
      <c r="DU14" s="819"/>
      <c r="DV14" s="819"/>
      <c r="DW14" s="819"/>
      <c r="DX14" s="819"/>
      <c r="DY14" s="819"/>
      <c r="DZ14" s="819"/>
      <c r="EA14" s="819"/>
      <c r="EB14" s="819"/>
      <c r="EC14" s="819"/>
      <c r="ED14" s="819"/>
      <c r="EE14" s="819"/>
      <c r="EF14" s="819"/>
      <c r="EG14" s="819"/>
      <c r="EH14" s="819"/>
      <c r="EI14" s="819"/>
      <c r="EJ14" s="819"/>
      <c r="EK14" s="819"/>
      <c r="EL14" s="819"/>
      <c r="EM14" s="819"/>
      <c r="EN14" s="819"/>
      <c r="EO14" s="819"/>
      <c r="EP14" s="819"/>
      <c r="EQ14" s="819"/>
      <c r="ER14" s="819"/>
      <c r="ES14" s="819"/>
      <c r="ET14" s="819"/>
      <c r="EU14" s="819"/>
      <c r="EV14" s="819"/>
      <c r="EW14" s="819"/>
      <c r="EX14" s="819"/>
      <c r="EY14" s="819"/>
      <c r="EZ14" s="819"/>
      <c r="FA14" s="819"/>
      <c r="FB14" s="819"/>
      <c r="FC14" s="819"/>
      <c r="FD14" s="819"/>
      <c r="FE14" s="819"/>
      <c r="FF14" s="819"/>
      <c r="FG14" s="819"/>
      <c r="FH14" s="819"/>
      <c r="FI14" s="819"/>
      <c r="FJ14" s="819"/>
      <c r="FK14" s="819"/>
      <c r="FL14" s="819"/>
      <c r="FM14" s="819"/>
      <c r="FN14" s="819"/>
      <c r="FO14" s="819"/>
      <c r="FP14" s="819"/>
      <c r="FQ14" s="819"/>
      <c r="FR14" s="819"/>
      <c r="FS14" s="819"/>
      <c r="FT14" s="819"/>
      <c r="FU14" s="819"/>
      <c r="FV14" s="819"/>
      <c r="FW14" s="819"/>
      <c r="FX14" s="819"/>
      <c r="FY14" s="819"/>
      <c r="FZ14" s="819"/>
      <c r="GA14" s="819"/>
      <c r="GB14" s="819"/>
      <c r="GC14" s="819"/>
      <c r="GD14" s="819"/>
      <c r="GE14" s="819"/>
      <c r="GF14" s="819"/>
      <c r="GG14" s="819"/>
      <c r="GH14" s="819"/>
      <c r="GI14" s="819"/>
      <c r="GJ14" s="819"/>
      <c r="GK14" s="819"/>
      <c r="GL14" s="819"/>
      <c r="GM14" s="819"/>
      <c r="GN14" s="819"/>
      <c r="GO14" s="819"/>
      <c r="GP14" s="819"/>
      <c r="GQ14" s="819"/>
      <c r="GR14" s="819"/>
      <c r="GS14" s="819"/>
      <c r="GT14" s="819"/>
      <c r="GU14" s="819"/>
      <c r="GV14" s="819"/>
      <c r="GW14" s="819"/>
      <c r="GX14" s="819"/>
      <c r="GY14" s="819"/>
      <c r="GZ14" s="819"/>
      <c r="HA14" s="819"/>
      <c r="HB14" s="819"/>
      <c r="HC14" s="819"/>
      <c r="HD14" s="819"/>
      <c r="HE14" s="819"/>
      <c r="HF14" s="819"/>
      <c r="HG14" s="819"/>
      <c r="HH14" s="819"/>
      <c r="HI14" s="819"/>
      <c r="HJ14" s="819"/>
      <c r="HK14" s="819"/>
      <c r="HL14" s="819"/>
      <c r="HM14" s="819"/>
      <c r="HN14" s="819"/>
      <c r="HO14" s="819"/>
      <c r="HP14" s="819"/>
      <c r="HQ14" s="819"/>
      <c r="HR14" s="819"/>
      <c r="HS14" s="819"/>
      <c r="HT14" s="819"/>
    </row>
    <row r="15" spans="1:228" s="840" customFormat="1" ht="12" customHeight="1">
      <c r="A15" s="825">
        <v>13</v>
      </c>
      <c r="B15" s="839" t="s">
        <v>2425</v>
      </c>
      <c r="C15" s="808" t="s">
        <v>172</v>
      </c>
      <c r="D15" s="805" t="s">
        <v>172</v>
      </c>
      <c r="E15" s="806" t="s">
        <v>172</v>
      </c>
      <c r="F15" s="807" t="s">
        <v>172</v>
      </c>
      <c r="G15" s="809" t="s">
        <v>172</v>
      </c>
      <c r="H15" s="867">
        <f>ROUND(-(H13+H14),0)</f>
        <v>-65148</v>
      </c>
      <c r="I15" s="700">
        <v>18184.953182432451</v>
      </c>
      <c r="J15" s="119">
        <v>221.47886542503593</v>
      </c>
      <c r="K15" s="120">
        <v>0</v>
      </c>
      <c r="L15" s="120">
        <v>0</v>
      </c>
      <c r="M15" s="120">
        <v>0</v>
      </c>
      <c r="N15" s="120">
        <v>0</v>
      </c>
      <c r="O15" s="120">
        <v>39831.703903451933</v>
      </c>
      <c r="P15" s="120">
        <v>6478.4668658094261</v>
      </c>
      <c r="Q15" s="120">
        <v>0</v>
      </c>
      <c r="R15" s="120">
        <v>431.39718288114852</v>
      </c>
      <c r="S15" s="120">
        <v>0</v>
      </c>
      <c r="T15" s="414">
        <v>0</v>
      </c>
      <c r="U15" s="780">
        <f>ROUND(SUM(J15:T15),0)</f>
        <v>46963</v>
      </c>
      <c r="V15" s="1319"/>
      <c r="W15" s="819"/>
      <c r="X15" s="819"/>
      <c r="Y15" s="819"/>
      <c r="Z15" s="819"/>
      <c r="AA15" s="819"/>
      <c r="AB15" s="819"/>
      <c r="AC15" s="819"/>
      <c r="AD15" s="819"/>
      <c r="AE15" s="819"/>
      <c r="AF15" s="819"/>
      <c r="AG15" s="819"/>
      <c r="AH15" s="819"/>
      <c r="AI15" s="819"/>
      <c r="AJ15" s="819"/>
      <c r="AK15" s="819"/>
      <c r="AL15" s="819"/>
      <c r="AM15" s="819"/>
      <c r="AN15" s="819"/>
      <c r="AO15" s="819"/>
      <c r="AP15" s="819"/>
      <c r="AQ15" s="819"/>
      <c r="AR15" s="819"/>
      <c r="AS15" s="819"/>
      <c r="AT15" s="819"/>
      <c r="AU15" s="819"/>
      <c r="AV15" s="819"/>
      <c r="AW15" s="819"/>
      <c r="AX15" s="819"/>
      <c r="AY15" s="819"/>
      <c r="AZ15" s="819"/>
      <c r="BA15" s="819"/>
      <c r="BB15" s="819"/>
      <c r="BC15" s="819"/>
      <c r="BD15" s="819"/>
      <c r="BE15" s="819"/>
      <c r="BF15" s="819"/>
      <c r="BG15" s="819"/>
      <c r="BH15" s="819"/>
      <c r="BI15" s="819"/>
      <c r="BJ15" s="819"/>
      <c r="BK15" s="819"/>
      <c r="BL15" s="819"/>
      <c r="BM15" s="819"/>
      <c r="BN15" s="819"/>
      <c r="BO15" s="819"/>
      <c r="BP15" s="819"/>
      <c r="BQ15" s="819"/>
      <c r="BR15" s="819"/>
      <c r="BS15" s="819"/>
      <c r="BT15" s="819"/>
      <c r="BU15" s="819"/>
      <c r="BV15" s="819"/>
      <c r="BW15" s="819"/>
      <c r="BX15" s="819"/>
      <c r="BY15" s="819"/>
      <c r="BZ15" s="819"/>
      <c r="CA15" s="819"/>
      <c r="CB15" s="819"/>
      <c r="CC15" s="819"/>
      <c r="CD15" s="819"/>
      <c r="CE15" s="819"/>
      <c r="CF15" s="819"/>
      <c r="CG15" s="819"/>
      <c r="CH15" s="819"/>
      <c r="CI15" s="819"/>
      <c r="CJ15" s="819"/>
      <c r="CK15" s="819"/>
      <c r="CL15" s="819"/>
      <c r="CM15" s="819"/>
      <c r="CN15" s="819"/>
      <c r="CO15" s="819"/>
      <c r="CP15" s="819"/>
      <c r="CQ15" s="819"/>
      <c r="CR15" s="819"/>
      <c r="CS15" s="819"/>
      <c r="CT15" s="819"/>
      <c r="CU15" s="819"/>
      <c r="CV15" s="819"/>
      <c r="CW15" s="819"/>
      <c r="CX15" s="819"/>
      <c r="CY15" s="819"/>
      <c r="CZ15" s="819"/>
      <c r="DA15" s="819"/>
      <c r="DB15" s="819"/>
      <c r="DC15" s="819"/>
      <c r="DD15" s="819"/>
      <c r="DE15" s="819"/>
      <c r="DF15" s="819"/>
      <c r="DG15" s="819"/>
      <c r="DH15" s="819"/>
      <c r="DI15" s="819"/>
      <c r="DJ15" s="819"/>
      <c r="DK15" s="819"/>
      <c r="DL15" s="819"/>
      <c r="DM15" s="819"/>
      <c r="DN15" s="819"/>
      <c r="DO15" s="819"/>
      <c r="DP15" s="819"/>
      <c r="DQ15" s="819"/>
      <c r="DR15" s="819"/>
      <c r="DS15" s="819"/>
      <c r="DT15" s="819"/>
      <c r="DU15" s="819"/>
      <c r="DV15" s="819"/>
      <c r="DW15" s="819"/>
      <c r="DX15" s="819"/>
      <c r="DY15" s="819"/>
      <c r="DZ15" s="819"/>
      <c r="EA15" s="819"/>
      <c r="EB15" s="819"/>
      <c r="EC15" s="819"/>
      <c r="ED15" s="819"/>
      <c r="EE15" s="819"/>
      <c r="EF15" s="819"/>
      <c r="EG15" s="819"/>
      <c r="EH15" s="819"/>
      <c r="EI15" s="819"/>
      <c r="EJ15" s="819"/>
      <c r="EK15" s="819"/>
      <c r="EL15" s="819"/>
      <c r="EM15" s="819"/>
      <c r="EN15" s="819"/>
      <c r="EO15" s="819"/>
      <c r="EP15" s="819"/>
      <c r="EQ15" s="819"/>
      <c r="ER15" s="819"/>
      <c r="ES15" s="819"/>
      <c r="ET15" s="819"/>
      <c r="EU15" s="819"/>
      <c r="EV15" s="819"/>
      <c r="EW15" s="819"/>
      <c r="EX15" s="819"/>
      <c r="EY15" s="819"/>
      <c r="EZ15" s="819"/>
      <c r="FA15" s="819"/>
      <c r="FB15" s="819"/>
      <c r="FC15" s="819"/>
      <c r="FD15" s="819"/>
      <c r="FE15" s="819"/>
      <c r="FF15" s="819"/>
      <c r="FG15" s="819"/>
      <c r="FH15" s="819"/>
      <c r="FI15" s="819"/>
      <c r="FJ15" s="819"/>
      <c r="FK15" s="819"/>
      <c r="FL15" s="819"/>
      <c r="FM15" s="819"/>
      <c r="FN15" s="819"/>
      <c r="FO15" s="819"/>
      <c r="FP15" s="819"/>
      <c r="FQ15" s="819"/>
      <c r="FR15" s="819"/>
      <c r="FS15" s="819"/>
      <c r="FT15" s="819"/>
      <c r="FU15" s="819"/>
      <c r="FV15" s="819"/>
      <c r="FW15" s="819"/>
      <c r="FX15" s="819"/>
      <c r="FY15" s="819"/>
      <c r="FZ15" s="819"/>
      <c r="GA15" s="819"/>
      <c r="GB15" s="819"/>
      <c r="GC15" s="819"/>
      <c r="GD15" s="819"/>
      <c r="GE15" s="819"/>
      <c r="GF15" s="819"/>
      <c r="GG15" s="819"/>
      <c r="GH15" s="819"/>
      <c r="GI15" s="819"/>
      <c r="GJ15" s="819"/>
      <c r="GK15" s="819"/>
      <c r="GL15" s="819"/>
      <c r="GM15" s="819"/>
      <c r="GN15" s="819"/>
      <c r="GO15" s="819"/>
      <c r="GP15" s="819"/>
      <c r="GQ15" s="819"/>
      <c r="GR15" s="819"/>
      <c r="GS15" s="819"/>
      <c r="GT15" s="819"/>
      <c r="GU15" s="819"/>
      <c r="GV15" s="819"/>
      <c r="GW15" s="819"/>
      <c r="GX15" s="819"/>
      <c r="GY15" s="819"/>
      <c r="GZ15" s="819"/>
      <c r="HA15" s="819"/>
      <c r="HB15" s="819"/>
      <c r="HC15" s="819"/>
      <c r="HD15" s="819"/>
      <c r="HE15" s="819"/>
      <c r="HF15" s="819"/>
      <c r="HG15" s="819"/>
      <c r="HH15" s="819"/>
      <c r="HI15" s="819"/>
      <c r="HJ15" s="819"/>
      <c r="HK15" s="819"/>
      <c r="HL15" s="819"/>
      <c r="HM15" s="819"/>
      <c r="HN15" s="819"/>
      <c r="HO15" s="819"/>
      <c r="HP15" s="819"/>
      <c r="HQ15" s="819"/>
      <c r="HR15" s="819"/>
      <c r="HS15" s="819"/>
      <c r="HT15" s="819"/>
    </row>
    <row r="16" spans="1:228" s="840" customFormat="1" ht="24" customHeight="1">
      <c r="A16" s="825">
        <v>14</v>
      </c>
      <c r="B16" s="843" t="s">
        <v>2426</v>
      </c>
      <c r="C16" s="808" t="s">
        <v>172</v>
      </c>
      <c r="D16" s="805" t="s">
        <v>172</v>
      </c>
      <c r="E16" s="806" t="s">
        <v>172</v>
      </c>
      <c r="F16" s="807" t="s">
        <v>172</v>
      </c>
      <c r="G16" s="809" t="s">
        <v>172</v>
      </c>
      <c r="H16" s="866" t="s">
        <v>172</v>
      </c>
      <c r="I16" s="868">
        <f>ROUND(-(I13+I14+I15),0)</f>
        <v>-213073</v>
      </c>
      <c r="J16" s="119">
        <v>1004.8574249457726</v>
      </c>
      <c r="K16" s="120">
        <v>0</v>
      </c>
      <c r="L16" s="120">
        <v>0</v>
      </c>
      <c r="M16" s="120">
        <v>0</v>
      </c>
      <c r="N16" s="120">
        <v>0</v>
      </c>
      <c r="O16" s="120">
        <v>180717.84564551388</v>
      </c>
      <c r="P16" s="120">
        <v>29393.032693574056</v>
      </c>
      <c r="Q16" s="120">
        <v>0</v>
      </c>
      <c r="R16" s="120">
        <v>1957.2642359662796</v>
      </c>
      <c r="S16" s="120">
        <v>0</v>
      </c>
      <c r="T16" s="414">
        <v>0</v>
      </c>
      <c r="U16" s="779">
        <f>ROUND(SUM(J16:T16),0)</f>
        <v>213073</v>
      </c>
      <c r="V16" s="1319"/>
      <c r="W16" s="819"/>
      <c r="X16" s="819"/>
      <c r="Y16" s="819"/>
      <c r="Z16" s="819"/>
      <c r="AA16" s="819"/>
      <c r="AB16" s="819"/>
      <c r="AC16" s="819"/>
      <c r="AD16" s="819"/>
      <c r="AE16" s="819"/>
      <c r="AF16" s="819"/>
      <c r="AG16" s="819"/>
      <c r="AH16" s="819"/>
      <c r="AI16" s="819"/>
      <c r="AJ16" s="819"/>
      <c r="AK16" s="819"/>
      <c r="AL16" s="819"/>
      <c r="AM16" s="819"/>
      <c r="AN16" s="819"/>
      <c r="AO16" s="819"/>
      <c r="AP16" s="819"/>
      <c r="AQ16" s="819"/>
      <c r="AR16" s="819"/>
      <c r="AS16" s="819"/>
      <c r="AT16" s="819"/>
      <c r="AU16" s="819"/>
      <c r="AV16" s="819"/>
      <c r="AW16" s="819"/>
      <c r="AX16" s="819"/>
      <c r="AY16" s="819"/>
      <c r="AZ16" s="819"/>
      <c r="BA16" s="819"/>
      <c r="BB16" s="819"/>
      <c r="BC16" s="819"/>
      <c r="BD16" s="819"/>
      <c r="BE16" s="819"/>
      <c r="BF16" s="819"/>
      <c r="BG16" s="819"/>
      <c r="BH16" s="819"/>
      <c r="BI16" s="819"/>
      <c r="BJ16" s="819"/>
      <c r="BK16" s="819"/>
      <c r="BL16" s="819"/>
      <c r="BM16" s="819"/>
      <c r="BN16" s="819"/>
      <c r="BO16" s="819"/>
      <c r="BP16" s="819"/>
      <c r="BQ16" s="819"/>
      <c r="BR16" s="819"/>
      <c r="BS16" s="819"/>
      <c r="BT16" s="819"/>
      <c r="BU16" s="819"/>
      <c r="BV16" s="819"/>
      <c r="BW16" s="819"/>
      <c r="BX16" s="819"/>
      <c r="BY16" s="819"/>
      <c r="BZ16" s="819"/>
      <c r="CA16" s="819"/>
      <c r="CB16" s="819"/>
      <c r="CC16" s="819"/>
      <c r="CD16" s="819"/>
      <c r="CE16" s="819"/>
      <c r="CF16" s="819"/>
      <c r="CG16" s="819"/>
      <c r="CH16" s="819"/>
      <c r="CI16" s="819"/>
      <c r="CJ16" s="819"/>
      <c r="CK16" s="819"/>
      <c r="CL16" s="819"/>
      <c r="CM16" s="819"/>
      <c r="CN16" s="819"/>
      <c r="CO16" s="819"/>
      <c r="CP16" s="819"/>
      <c r="CQ16" s="819"/>
      <c r="CR16" s="819"/>
      <c r="CS16" s="819"/>
      <c r="CT16" s="819"/>
      <c r="CU16" s="819"/>
      <c r="CV16" s="819"/>
      <c r="CW16" s="819"/>
      <c r="CX16" s="819"/>
      <c r="CY16" s="819"/>
      <c r="CZ16" s="819"/>
      <c r="DA16" s="819"/>
      <c r="DB16" s="819"/>
      <c r="DC16" s="819"/>
      <c r="DD16" s="819"/>
      <c r="DE16" s="819"/>
      <c r="DF16" s="819"/>
      <c r="DG16" s="819"/>
      <c r="DH16" s="819"/>
      <c r="DI16" s="819"/>
      <c r="DJ16" s="819"/>
      <c r="DK16" s="819"/>
      <c r="DL16" s="819"/>
      <c r="DM16" s="819"/>
      <c r="DN16" s="819"/>
      <c r="DO16" s="819"/>
      <c r="DP16" s="819"/>
      <c r="DQ16" s="819"/>
      <c r="DR16" s="819"/>
      <c r="DS16" s="819"/>
      <c r="DT16" s="819"/>
      <c r="DU16" s="819"/>
      <c r="DV16" s="819"/>
      <c r="DW16" s="819"/>
      <c r="DX16" s="819"/>
      <c r="DY16" s="819"/>
      <c r="DZ16" s="819"/>
      <c r="EA16" s="819"/>
      <c r="EB16" s="819"/>
      <c r="EC16" s="819"/>
      <c r="ED16" s="819"/>
      <c r="EE16" s="819"/>
      <c r="EF16" s="819"/>
      <c r="EG16" s="819"/>
      <c r="EH16" s="819"/>
      <c r="EI16" s="819"/>
      <c r="EJ16" s="819"/>
      <c r="EK16" s="819"/>
      <c r="EL16" s="819"/>
      <c r="EM16" s="819"/>
      <c r="EN16" s="819"/>
      <c r="EO16" s="819"/>
      <c r="EP16" s="819"/>
      <c r="EQ16" s="819"/>
      <c r="ER16" s="819"/>
      <c r="ES16" s="819"/>
      <c r="ET16" s="819"/>
      <c r="EU16" s="819"/>
      <c r="EV16" s="819"/>
      <c r="EW16" s="819"/>
      <c r="EX16" s="819"/>
      <c r="EY16" s="819"/>
      <c r="EZ16" s="819"/>
      <c r="FA16" s="819"/>
      <c r="FB16" s="819"/>
      <c r="FC16" s="819"/>
      <c r="FD16" s="819"/>
      <c r="FE16" s="819"/>
      <c r="FF16" s="819"/>
      <c r="FG16" s="819"/>
      <c r="FH16" s="819"/>
      <c r="FI16" s="819"/>
      <c r="FJ16" s="819"/>
      <c r="FK16" s="819"/>
      <c r="FL16" s="819"/>
      <c r="FM16" s="819"/>
      <c r="FN16" s="819"/>
      <c r="FO16" s="819"/>
      <c r="FP16" s="819"/>
      <c r="FQ16" s="819"/>
      <c r="FR16" s="819"/>
      <c r="FS16" s="819"/>
      <c r="FT16" s="819"/>
      <c r="FU16" s="819"/>
      <c r="FV16" s="819"/>
      <c r="FW16" s="819"/>
      <c r="FX16" s="819"/>
      <c r="FY16" s="819"/>
      <c r="FZ16" s="819"/>
      <c r="GA16" s="819"/>
      <c r="GB16" s="819"/>
      <c r="GC16" s="819"/>
      <c r="GD16" s="819"/>
      <c r="GE16" s="819"/>
      <c r="GF16" s="819"/>
      <c r="GG16" s="819"/>
      <c r="GH16" s="819"/>
      <c r="GI16" s="819"/>
      <c r="GJ16" s="819"/>
      <c r="GK16" s="819"/>
      <c r="GL16" s="819"/>
      <c r="GM16" s="819"/>
      <c r="GN16" s="819"/>
      <c r="GO16" s="819"/>
      <c r="GP16" s="819"/>
      <c r="GQ16" s="819"/>
      <c r="GR16" s="819"/>
      <c r="GS16" s="819"/>
      <c r="GT16" s="819"/>
      <c r="GU16" s="819"/>
      <c r="GV16" s="819"/>
      <c r="GW16" s="819"/>
      <c r="GX16" s="819"/>
      <c r="GY16" s="819"/>
      <c r="GZ16" s="819"/>
      <c r="HA16" s="819"/>
      <c r="HB16" s="819"/>
      <c r="HC16" s="819"/>
      <c r="HD16" s="819"/>
      <c r="HE16" s="819"/>
      <c r="HF16" s="819"/>
      <c r="HG16" s="819"/>
      <c r="HH16" s="819"/>
      <c r="HI16" s="819"/>
      <c r="HJ16" s="819"/>
      <c r="HK16" s="819"/>
      <c r="HL16" s="819"/>
      <c r="HM16" s="819"/>
      <c r="HN16" s="819"/>
      <c r="HO16" s="819"/>
      <c r="HP16" s="819"/>
      <c r="HQ16" s="819"/>
      <c r="HR16" s="819"/>
      <c r="HS16" s="819"/>
      <c r="HT16" s="819"/>
    </row>
    <row r="17" spans="1:228" s="845" customFormat="1" ht="13.5" customHeight="1" thickBot="1">
      <c r="A17" s="825">
        <v>15</v>
      </c>
      <c r="B17" s="844" t="s">
        <v>2427</v>
      </c>
      <c r="C17" s="847" t="s">
        <v>172</v>
      </c>
      <c r="D17" s="848" t="s">
        <v>172</v>
      </c>
      <c r="E17" s="849" t="s">
        <v>172</v>
      </c>
      <c r="F17" s="796" t="s">
        <v>172</v>
      </c>
      <c r="G17" s="797">
        <f>SUM(G13:G16)</f>
        <v>0</v>
      </c>
      <c r="H17" s="785">
        <f>SUM(H13:H16)</f>
        <v>-0.27255035917914938</v>
      </c>
      <c r="I17" s="797">
        <f>SUM(I13:I16)</f>
        <v>-4.9091784603660926E-2</v>
      </c>
      <c r="J17" s="798">
        <f t="shared" ref="J17:T17" si="4">SUM(J14:J16)</f>
        <v>1226.3362903708085</v>
      </c>
      <c r="K17" s="785">
        <f t="shared" si="4"/>
        <v>0</v>
      </c>
      <c r="L17" s="785">
        <f t="shared" si="4"/>
        <v>0</v>
      </c>
      <c r="M17" s="785">
        <f t="shared" si="4"/>
        <v>0</v>
      </c>
      <c r="N17" s="785">
        <f t="shared" si="4"/>
        <v>0</v>
      </c>
      <c r="O17" s="785">
        <f t="shared" si="4"/>
        <v>220549.54954896582</v>
      </c>
      <c r="P17" s="785">
        <f t="shared" si="4"/>
        <v>35871.499559383483</v>
      </c>
      <c r="Q17" s="785">
        <f t="shared" si="4"/>
        <v>0</v>
      </c>
      <c r="R17" s="785">
        <f t="shared" si="4"/>
        <v>2388.6614188474282</v>
      </c>
      <c r="S17" s="785">
        <f t="shared" si="4"/>
        <v>0</v>
      </c>
      <c r="T17" s="799">
        <f t="shared" si="4"/>
        <v>0</v>
      </c>
      <c r="U17" s="775">
        <f>SUM(J17:T17)</f>
        <v>260036.04681756755</v>
      </c>
      <c r="V17" s="1320"/>
      <c r="W17" s="819"/>
      <c r="X17" s="819"/>
      <c r="Y17" s="819"/>
      <c r="Z17" s="819"/>
      <c r="AA17" s="819"/>
      <c r="AB17" s="819"/>
      <c r="AC17" s="819"/>
      <c r="AD17" s="819"/>
      <c r="AE17" s="819"/>
      <c r="AF17" s="819"/>
      <c r="AG17" s="819"/>
      <c r="AH17" s="819"/>
      <c r="AI17" s="819"/>
      <c r="AJ17" s="819"/>
      <c r="AK17" s="819"/>
      <c r="AL17" s="819"/>
      <c r="AM17" s="819"/>
      <c r="AN17" s="819"/>
      <c r="AO17" s="819"/>
      <c r="AP17" s="819"/>
      <c r="AQ17" s="819"/>
      <c r="AR17" s="819"/>
      <c r="AS17" s="819"/>
      <c r="AT17" s="819"/>
      <c r="AU17" s="819"/>
      <c r="AV17" s="819"/>
      <c r="AW17" s="819"/>
      <c r="AX17" s="819"/>
      <c r="AY17" s="819"/>
      <c r="AZ17" s="819"/>
      <c r="BA17" s="819"/>
      <c r="BB17" s="819"/>
      <c r="BC17" s="819"/>
      <c r="BD17" s="819"/>
      <c r="BE17" s="819"/>
      <c r="BF17" s="819"/>
      <c r="BG17" s="819"/>
      <c r="BH17" s="819"/>
      <c r="BI17" s="819"/>
      <c r="BJ17" s="819"/>
      <c r="BK17" s="819"/>
      <c r="BL17" s="819"/>
      <c r="BM17" s="819"/>
      <c r="BN17" s="819"/>
      <c r="BO17" s="819"/>
      <c r="BP17" s="819"/>
      <c r="BQ17" s="819"/>
      <c r="BR17" s="819"/>
      <c r="BS17" s="819"/>
      <c r="BT17" s="819"/>
      <c r="BU17" s="819"/>
      <c r="BV17" s="819"/>
      <c r="BW17" s="819"/>
      <c r="BX17" s="819"/>
      <c r="BY17" s="819"/>
      <c r="BZ17" s="819"/>
      <c r="CA17" s="819"/>
      <c r="CB17" s="819"/>
      <c r="CC17" s="819"/>
      <c r="CD17" s="819"/>
      <c r="CE17" s="819"/>
      <c r="CF17" s="819"/>
      <c r="CG17" s="819"/>
      <c r="CH17" s="819"/>
      <c r="CI17" s="819"/>
      <c r="CJ17" s="819"/>
      <c r="CK17" s="819"/>
      <c r="CL17" s="819"/>
      <c r="CM17" s="819"/>
      <c r="CN17" s="819"/>
      <c r="CO17" s="819"/>
      <c r="CP17" s="819"/>
      <c r="CQ17" s="819"/>
      <c r="CR17" s="819"/>
      <c r="CS17" s="819"/>
      <c r="CT17" s="819"/>
      <c r="CU17" s="819"/>
      <c r="CV17" s="819"/>
      <c r="CW17" s="819"/>
      <c r="CX17" s="819"/>
      <c r="CY17" s="819"/>
      <c r="CZ17" s="819"/>
      <c r="DA17" s="819"/>
      <c r="DB17" s="819"/>
      <c r="DC17" s="819"/>
      <c r="DD17" s="819"/>
      <c r="DE17" s="819"/>
      <c r="DF17" s="819"/>
      <c r="DG17" s="819"/>
      <c r="DH17" s="819"/>
      <c r="DI17" s="819"/>
      <c r="DJ17" s="819"/>
      <c r="DK17" s="819"/>
      <c r="DL17" s="819"/>
      <c r="DM17" s="819"/>
      <c r="DN17" s="819"/>
      <c r="DO17" s="819"/>
      <c r="DP17" s="819"/>
      <c r="DQ17" s="819"/>
      <c r="DR17" s="819"/>
      <c r="DS17" s="819"/>
      <c r="DT17" s="819"/>
      <c r="DU17" s="819"/>
      <c r="DV17" s="819"/>
      <c r="DW17" s="819"/>
      <c r="DX17" s="819"/>
      <c r="DY17" s="819"/>
      <c r="DZ17" s="819"/>
      <c r="EA17" s="819"/>
      <c r="EB17" s="819"/>
      <c r="EC17" s="819"/>
      <c r="ED17" s="819"/>
      <c r="EE17" s="819"/>
      <c r="EF17" s="819"/>
      <c r="EG17" s="819"/>
      <c r="EH17" s="819"/>
      <c r="EI17" s="819"/>
      <c r="EJ17" s="819"/>
      <c r="EK17" s="819"/>
      <c r="EL17" s="819"/>
      <c r="EM17" s="819"/>
      <c r="EN17" s="819"/>
      <c r="EO17" s="819"/>
      <c r="EP17" s="819"/>
      <c r="EQ17" s="819"/>
      <c r="ER17" s="819"/>
      <c r="ES17" s="819"/>
      <c r="ET17" s="819"/>
      <c r="EU17" s="819"/>
      <c r="EV17" s="819"/>
      <c r="EW17" s="819"/>
      <c r="EX17" s="819"/>
      <c r="EY17" s="819"/>
      <c r="EZ17" s="819"/>
      <c r="FA17" s="819"/>
      <c r="FB17" s="819"/>
      <c r="FC17" s="819"/>
      <c r="FD17" s="819"/>
      <c r="FE17" s="819"/>
      <c r="FF17" s="819"/>
      <c r="FG17" s="819"/>
      <c r="FH17" s="819"/>
      <c r="FI17" s="819"/>
      <c r="FJ17" s="819"/>
      <c r="FK17" s="819"/>
      <c r="FL17" s="819"/>
      <c r="FM17" s="819"/>
      <c r="FN17" s="819"/>
      <c r="FO17" s="819"/>
      <c r="FP17" s="819"/>
      <c r="FQ17" s="819"/>
      <c r="FR17" s="819"/>
      <c r="FS17" s="819"/>
      <c r="FT17" s="819"/>
      <c r="FU17" s="819"/>
      <c r="FV17" s="819"/>
      <c r="FW17" s="819"/>
      <c r="FX17" s="819"/>
      <c r="FY17" s="819"/>
      <c r="FZ17" s="819"/>
      <c r="GA17" s="819"/>
      <c r="GB17" s="819"/>
      <c r="GC17" s="819"/>
      <c r="GD17" s="819"/>
      <c r="GE17" s="819"/>
      <c r="GF17" s="819"/>
      <c r="GG17" s="819"/>
      <c r="GH17" s="819"/>
      <c r="GI17" s="819"/>
      <c r="GJ17" s="819"/>
      <c r="GK17" s="819"/>
      <c r="GL17" s="819"/>
      <c r="GM17" s="819"/>
      <c r="GN17" s="819"/>
      <c r="GO17" s="819"/>
      <c r="GP17" s="819"/>
      <c r="GQ17" s="819"/>
      <c r="GR17" s="819"/>
      <c r="GS17" s="819"/>
      <c r="GT17" s="819"/>
      <c r="GU17" s="819"/>
      <c r="GV17" s="819"/>
      <c r="GW17" s="819"/>
      <c r="GX17" s="819"/>
      <c r="GY17" s="819"/>
      <c r="GZ17" s="819"/>
      <c r="HA17" s="819"/>
      <c r="HB17" s="819"/>
      <c r="HC17" s="819"/>
      <c r="HD17" s="819"/>
      <c r="HE17" s="819"/>
      <c r="HF17" s="819"/>
      <c r="HG17" s="819"/>
      <c r="HH17" s="819"/>
      <c r="HI17" s="819"/>
      <c r="HJ17" s="819"/>
      <c r="HK17" s="819"/>
      <c r="HL17" s="819"/>
      <c r="HM17" s="819"/>
      <c r="HN17" s="819"/>
      <c r="HO17" s="819"/>
      <c r="HP17" s="819"/>
      <c r="HQ17" s="819"/>
      <c r="HR17" s="819"/>
      <c r="HS17" s="819"/>
      <c r="HT17" s="819"/>
    </row>
    <row r="18" spans="1:228" s="845" customFormat="1" ht="21.75" customHeight="1">
      <c r="A18" s="825">
        <v>16</v>
      </c>
      <c r="B18" s="841" t="s">
        <v>2428</v>
      </c>
      <c r="C18" s="847" t="s">
        <v>172</v>
      </c>
      <c r="D18" s="848" t="s">
        <v>172</v>
      </c>
      <c r="E18" s="849" t="s">
        <v>172</v>
      </c>
      <c r="F18" s="796" t="s">
        <v>172</v>
      </c>
      <c r="G18" s="850" t="s">
        <v>172</v>
      </c>
      <c r="H18" s="849" t="s">
        <v>172</v>
      </c>
      <c r="I18" s="851" t="s">
        <v>172</v>
      </c>
      <c r="J18" s="800">
        <f t="shared" ref="J18:T18" si="5">J17+J13</f>
        <v>3599.9235186822621</v>
      </c>
      <c r="K18" s="786">
        <f t="shared" si="5"/>
        <v>0</v>
      </c>
      <c r="L18" s="786">
        <f>L17+L13</f>
        <v>0</v>
      </c>
      <c r="M18" s="786">
        <f t="shared" si="5"/>
        <v>0</v>
      </c>
      <c r="N18" s="786">
        <f t="shared" si="5"/>
        <v>0</v>
      </c>
      <c r="O18" s="786">
        <f t="shared" si="5"/>
        <v>647425.60151753318</v>
      </c>
      <c r="P18" s="786">
        <f t="shared" si="5"/>
        <v>105301.1771144589</v>
      </c>
      <c r="Q18" s="786">
        <f t="shared" si="5"/>
        <v>0</v>
      </c>
      <c r="R18" s="786">
        <f t="shared" si="5"/>
        <v>7011.941575404011</v>
      </c>
      <c r="S18" s="786">
        <f t="shared" si="5"/>
        <v>0</v>
      </c>
      <c r="T18" s="801">
        <f t="shared" si="5"/>
        <v>0</v>
      </c>
      <c r="U18" s="775">
        <f>SUM(J18:T18)</f>
        <v>763338.64372607833</v>
      </c>
      <c r="V18" s="819"/>
      <c r="W18" s="819"/>
      <c r="X18" s="819"/>
      <c r="Y18" s="819"/>
      <c r="Z18" s="819"/>
      <c r="AA18" s="819"/>
      <c r="AB18" s="819"/>
      <c r="AC18" s="819"/>
      <c r="AD18" s="819"/>
      <c r="AE18" s="819"/>
      <c r="AF18" s="819"/>
      <c r="AG18" s="819"/>
      <c r="AH18" s="819"/>
      <c r="AI18" s="819"/>
      <c r="AJ18" s="819"/>
      <c r="AK18" s="819"/>
      <c r="AL18" s="819"/>
      <c r="AM18" s="819"/>
      <c r="AN18" s="819"/>
      <c r="AO18" s="819"/>
      <c r="AP18" s="819"/>
      <c r="AQ18" s="819"/>
      <c r="AR18" s="819"/>
      <c r="AS18" s="819"/>
      <c r="AT18" s="819"/>
      <c r="AU18" s="819"/>
      <c r="AV18" s="819"/>
      <c r="AW18" s="819"/>
      <c r="AX18" s="819"/>
      <c r="AY18" s="819"/>
      <c r="AZ18" s="819"/>
      <c r="BA18" s="819"/>
      <c r="BB18" s="819"/>
      <c r="BC18" s="819"/>
      <c r="BD18" s="819"/>
      <c r="BE18" s="819"/>
      <c r="BF18" s="819"/>
      <c r="BG18" s="819"/>
      <c r="BH18" s="819"/>
      <c r="BI18" s="819"/>
      <c r="BJ18" s="819"/>
      <c r="BK18" s="819"/>
      <c r="BL18" s="819"/>
      <c r="BM18" s="819"/>
      <c r="BN18" s="819"/>
      <c r="BO18" s="819"/>
      <c r="BP18" s="819"/>
      <c r="BQ18" s="819"/>
      <c r="BR18" s="819"/>
      <c r="BS18" s="819"/>
      <c r="BT18" s="819"/>
      <c r="BU18" s="819"/>
      <c r="BV18" s="819"/>
      <c r="BW18" s="819"/>
      <c r="BX18" s="819"/>
      <c r="BY18" s="819"/>
      <c r="BZ18" s="819"/>
      <c r="CA18" s="819"/>
      <c r="CB18" s="819"/>
      <c r="CC18" s="819"/>
      <c r="CD18" s="819"/>
      <c r="CE18" s="819"/>
      <c r="CF18" s="819"/>
      <c r="CG18" s="819"/>
      <c r="CH18" s="819"/>
      <c r="CI18" s="819"/>
      <c r="CJ18" s="819"/>
      <c r="CK18" s="819"/>
      <c r="CL18" s="819"/>
      <c r="CM18" s="819"/>
      <c r="CN18" s="819"/>
      <c r="CO18" s="819"/>
      <c r="CP18" s="819"/>
      <c r="CQ18" s="819"/>
      <c r="CR18" s="819"/>
      <c r="CS18" s="819"/>
      <c r="CT18" s="819"/>
      <c r="CU18" s="819"/>
      <c r="CV18" s="819"/>
      <c r="CW18" s="819"/>
      <c r="CX18" s="819"/>
      <c r="CY18" s="819"/>
      <c r="CZ18" s="819"/>
      <c r="DA18" s="819"/>
      <c r="DB18" s="819"/>
      <c r="DC18" s="819"/>
      <c r="DD18" s="819"/>
      <c r="DE18" s="819"/>
      <c r="DF18" s="819"/>
      <c r="DG18" s="819"/>
      <c r="DH18" s="819"/>
      <c r="DI18" s="819"/>
      <c r="DJ18" s="819"/>
      <c r="DK18" s="819"/>
      <c r="DL18" s="819"/>
      <c r="DM18" s="819"/>
      <c r="DN18" s="819"/>
      <c r="DO18" s="819"/>
      <c r="DP18" s="819"/>
      <c r="DQ18" s="819"/>
      <c r="DR18" s="819"/>
      <c r="DS18" s="819"/>
      <c r="DT18" s="819"/>
      <c r="DU18" s="819"/>
      <c r="DV18" s="819"/>
      <c r="DW18" s="819"/>
      <c r="DX18" s="819"/>
      <c r="DY18" s="819"/>
      <c r="DZ18" s="819"/>
      <c r="EA18" s="819"/>
      <c r="EB18" s="819"/>
      <c r="EC18" s="819"/>
      <c r="ED18" s="819"/>
      <c r="EE18" s="819"/>
      <c r="EF18" s="819"/>
      <c r="EG18" s="819"/>
      <c r="EH18" s="819"/>
      <c r="EI18" s="819"/>
      <c r="EJ18" s="819"/>
      <c r="EK18" s="819"/>
      <c r="EL18" s="819"/>
      <c r="EM18" s="819"/>
      <c r="EN18" s="819"/>
      <c r="EO18" s="819"/>
      <c r="EP18" s="819"/>
      <c r="EQ18" s="819"/>
      <c r="ER18" s="819"/>
      <c r="ES18" s="819"/>
      <c r="ET18" s="819"/>
      <c r="EU18" s="819"/>
      <c r="EV18" s="819"/>
      <c r="EW18" s="819"/>
      <c r="EX18" s="819"/>
      <c r="EY18" s="819"/>
      <c r="EZ18" s="819"/>
      <c r="FA18" s="819"/>
      <c r="FB18" s="819"/>
      <c r="FC18" s="819"/>
      <c r="FD18" s="819"/>
      <c r="FE18" s="819"/>
      <c r="FF18" s="819"/>
      <c r="FG18" s="819"/>
      <c r="FH18" s="819"/>
      <c r="FI18" s="819"/>
      <c r="FJ18" s="819"/>
      <c r="FK18" s="819"/>
      <c r="FL18" s="819"/>
      <c r="FM18" s="819"/>
      <c r="FN18" s="819"/>
      <c r="FO18" s="819"/>
      <c r="FP18" s="819"/>
      <c r="FQ18" s="819"/>
      <c r="FR18" s="819"/>
      <c r="FS18" s="819"/>
      <c r="FT18" s="819"/>
      <c r="FU18" s="819"/>
      <c r="FV18" s="819"/>
      <c r="FW18" s="819"/>
      <c r="FX18" s="819"/>
      <c r="FY18" s="819"/>
      <c r="FZ18" s="819"/>
      <c r="GA18" s="819"/>
      <c r="GB18" s="819"/>
      <c r="GC18" s="819"/>
      <c r="GD18" s="819"/>
      <c r="GE18" s="819"/>
      <c r="GF18" s="819"/>
      <c r="GG18" s="819"/>
      <c r="GH18" s="819"/>
      <c r="GI18" s="819"/>
      <c r="GJ18" s="819"/>
      <c r="GK18" s="819"/>
      <c r="GL18" s="819"/>
      <c r="GM18" s="819"/>
      <c r="GN18" s="819"/>
      <c r="GO18" s="819"/>
      <c r="GP18" s="819"/>
      <c r="GQ18" s="819"/>
      <c r="GR18" s="819"/>
      <c r="GS18" s="819"/>
      <c r="GT18" s="819"/>
      <c r="GU18" s="819"/>
      <c r="GV18" s="819"/>
      <c r="GW18" s="819"/>
      <c r="GX18" s="819"/>
      <c r="GY18" s="819"/>
      <c r="GZ18" s="819"/>
      <c r="HA18" s="819"/>
      <c r="HB18" s="819"/>
      <c r="HC18" s="819"/>
      <c r="HD18" s="819"/>
      <c r="HE18" s="819"/>
      <c r="HF18" s="819"/>
      <c r="HG18" s="819"/>
      <c r="HH18" s="819"/>
      <c r="HI18" s="819"/>
      <c r="HJ18" s="819"/>
      <c r="HK18" s="819"/>
      <c r="HL18" s="819"/>
      <c r="HM18" s="819"/>
      <c r="HN18" s="819"/>
      <c r="HO18" s="819"/>
      <c r="HP18" s="819"/>
      <c r="HQ18" s="819"/>
      <c r="HR18" s="819"/>
      <c r="HS18" s="819"/>
      <c r="HT18" s="819"/>
    </row>
    <row r="19" spans="1:228" s="840" customFormat="1" ht="12" customHeight="1">
      <c r="A19" s="825">
        <v>17</v>
      </c>
      <c r="B19" s="846" t="s">
        <v>2429</v>
      </c>
      <c r="C19" s="539">
        <v>58660.05</v>
      </c>
      <c r="D19" s="120">
        <v>4800</v>
      </c>
      <c r="E19" s="784"/>
      <c r="F19" s="661">
        <f>C19-D19</f>
        <v>53860.05</v>
      </c>
      <c r="G19" s="812" t="s">
        <v>172</v>
      </c>
      <c r="H19" s="812" t="s">
        <v>172</v>
      </c>
      <c r="I19" s="813" t="s">
        <v>172</v>
      </c>
      <c r="J19" s="119">
        <v>0</v>
      </c>
      <c r="K19" s="120">
        <v>0</v>
      </c>
      <c r="L19" s="120">
        <v>0</v>
      </c>
      <c r="M19" s="120">
        <v>0</v>
      </c>
      <c r="N19" s="120">
        <v>0</v>
      </c>
      <c r="O19" s="120">
        <v>49931.05</v>
      </c>
      <c r="P19" s="120">
        <v>3929</v>
      </c>
      <c r="Q19" s="120">
        <v>0</v>
      </c>
      <c r="R19" s="120">
        <v>0</v>
      </c>
      <c r="S19" s="120">
        <v>0</v>
      </c>
      <c r="T19" s="700">
        <v>0</v>
      </c>
      <c r="U19" s="888">
        <f>SUM(J19:Q19,R19,S19,T19)</f>
        <v>53860.05</v>
      </c>
      <c r="V19" s="852"/>
      <c r="W19" s="853"/>
      <c r="X19" s="852"/>
      <c r="Y19" s="852"/>
      <c r="Z19" s="852"/>
      <c r="AA19" s="852"/>
      <c r="AB19" s="852"/>
      <c r="AC19" s="852"/>
      <c r="AD19" s="852"/>
      <c r="AE19" s="852"/>
      <c r="AF19" s="852"/>
      <c r="AG19" s="852"/>
      <c r="AH19" s="852"/>
      <c r="AI19" s="852"/>
      <c r="AJ19" s="852"/>
      <c r="AK19" s="852"/>
      <c r="AL19" s="852"/>
      <c r="AM19" s="852"/>
      <c r="AN19" s="852"/>
      <c r="AO19" s="852"/>
      <c r="AP19" s="852"/>
      <c r="AQ19" s="852"/>
      <c r="AR19" s="852"/>
      <c r="AS19" s="852"/>
      <c r="AT19" s="852"/>
      <c r="AU19" s="852"/>
      <c r="AV19" s="852"/>
      <c r="AW19" s="852"/>
      <c r="AX19" s="852"/>
      <c r="AY19" s="852"/>
      <c r="AZ19" s="852"/>
      <c r="BA19" s="852"/>
      <c r="BB19" s="852"/>
      <c r="BC19" s="852"/>
      <c r="BD19" s="852"/>
      <c r="BE19" s="852"/>
      <c r="BF19" s="852"/>
      <c r="BG19" s="852"/>
      <c r="BH19" s="852"/>
      <c r="BI19" s="852"/>
      <c r="BJ19" s="852"/>
      <c r="BK19" s="852"/>
      <c r="BL19" s="852"/>
      <c r="BM19" s="852"/>
      <c r="BN19" s="852"/>
      <c r="BO19" s="852"/>
      <c r="BP19" s="852"/>
      <c r="BQ19" s="852"/>
      <c r="BR19" s="852"/>
      <c r="BS19" s="852"/>
      <c r="BT19" s="852"/>
      <c r="BU19" s="852"/>
      <c r="BV19" s="852"/>
      <c r="BW19" s="852"/>
      <c r="BX19" s="852"/>
      <c r="BY19" s="852"/>
      <c r="BZ19" s="852"/>
      <c r="CA19" s="852"/>
      <c r="CB19" s="852"/>
      <c r="CC19" s="852"/>
      <c r="CD19" s="852"/>
      <c r="CE19" s="852"/>
      <c r="CF19" s="852"/>
      <c r="CG19" s="852"/>
      <c r="CH19" s="852"/>
      <c r="CI19" s="852"/>
      <c r="CJ19" s="852"/>
      <c r="CK19" s="852"/>
      <c r="CL19" s="852"/>
      <c r="CM19" s="852"/>
      <c r="CN19" s="852"/>
      <c r="CO19" s="852"/>
      <c r="CP19" s="852"/>
      <c r="CQ19" s="852"/>
      <c r="CR19" s="852"/>
      <c r="CS19" s="852"/>
      <c r="CT19" s="852"/>
      <c r="CU19" s="852"/>
      <c r="CV19" s="852"/>
      <c r="CW19" s="852"/>
      <c r="CX19" s="852"/>
      <c r="CY19" s="852"/>
      <c r="CZ19" s="852"/>
      <c r="DA19" s="852"/>
      <c r="DB19" s="852"/>
      <c r="DC19" s="852"/>
      <c r="DD19" s="852"/>
      <c r="DE19" s="852"/>
      <c r="DF19" s="852"/>
      <c r="DG19" s="852"/>
      <c r="DH19" s="852"/>
      <c r="DI19" s="852"/>
      <c r="DJ19" s="852"/>
      <c r="DK19" s="852"/>
      <c r="DL19" s="852"/>
      <c r="DM19" s="852"/>
      <c r="DN19" s="852"/>
      <c r="DO19" s="852"/>
      <c r="DP19" s="852"/>
      <c r="DQ19" s="852"/>
      <c r="DR19" s="852"/>
      <c r="DS19" s="852"/>
      <c r="DT19" s="852"/>
      <c r="DU19" s="852"/>
      <c r="DV19" s="852"/>
      <c r="DW19" s="852"/>
      <c r="DX19" s="852"/>
      <c r="DY19" s="852"/>
      <c r="DZ19" s="852"/>
      <c r="EA19" s="852"/>
      <c r="EB19" s="852"/>
      <c r="EC19" s="852"/>
      <c r="ED19" s="852"/>
      <c r="EE19" s="852"/>
      <c r="EF19" s="852"/>
      <c r="EG19" s="852"/>
      <c r="EH19" s="852"/>
      <c r="EI19" s="852"/>
      <c r="EJ19" s="852"/>
      <c r="EK19" s="852"/>
      <c r="EL19" s="852"/>
      <c r="EM19" s="852"/>
      <c r="EN19" s="852"/>
      <c r="EO19" s="852"/>
      <c r="EP19" s="852"/>
      <c r="EQ19" s="852"/>
      <c r="ER19" s="852"/>
      <c r="ES19" s="852"/>
      <c r="ET19" s="852"/>
      <c r="EU19" s="852"/>
      <c r="EV19" s="852"/>
      <c r="EW19" s="852"/>
      <c r="EX19" s="852"/>
      <c r="EY19" s="852"/>
      <c r="EZ19" s="852"/>
      <c r="FA19" s="852"/>
      <c r="FB19" s="852"/>
      <c r="FC19" s="852"/>
      <c r="FD19" s="852"/>
      <c r="FE19" s="852"/>
      <c r="FF19" s="852"/>
      <c r="FG19" s="852"/>
      <c r="FH19" s="852"/>
      <c r="FI19" s="852"/>
      <c r="FJ19" s="852"/>
      <c r="FK19" s="852"/>
      <c r="FL19" s="852"/>
      <c r="FM19" s="852"/>
      <c r="FN19" s="852"/>
      <c r="FO19" s="852"/>
      <c r="FP19" s="852"/>
      <c r="FQ19" s="852"/>
      <c r="FR19" s="852"/>
      <c r="FS19" s="852"/>
      <c r="FT19" s="852"/>
      <c r="FU19" s="852"/>
      <c r="FV19" s="852"/>
      <c r="FW19" s="852"/>
      <c r="FX19" s="852"/>
      <c r="FY19" s="852"/>
      <c r="FZ19" s="852"/>
      <c r="GA19" s="852"/>
      <c r="GB19" s="852"/>
      <c r="GC19" s="852"/>
      <c r="GD19" s="852"/>
      <c r="GE19" s="852"/>
      <c r="GF19" s="852"/>
      <c r="GG19" s="852"/>
      <c r="GH19" s="852"/>
      <c r="GI19" s="852"/>
      <c r="GJ19" s="852"/>
      <c r="GK19" s="852"/>
      <c r="GL19" s="852"/>
      <c r="GM19" s="852"/>
      <c r="GN19" s="852"/>
      <c r="GO19" s="852"/>
      <c r="GP19" s="852"/>
      <c r="GQ19" s="852"/>
      <c r="GR19" s="852"/>
      <c r="GS19" s="852"/>
      <c r="GT19" s="852"/>
      <c r="GU19" s="852"/>
      <c r="GV19" s="852"/>
      <c r="GW19" s="852"/>
      <c r="GX19" s="852"/>
      <c r="GY19" s="852"/>
      <c r="GZ19" s="852"/>
      <c r="HA19" s="852"/>
      <c r="HB19" s="852"/>
      <c r="HC19" s="852"/>
      <c r="HD19" s="852"/>
      <c r="HE19" s="852"/>
      <c r="HF19" s="852"/>
      <c r="HG19" s="852"/>
      <c r="HH19" s="852"/>
      <c r="HI19" s="852"/>
      <c r="HJ19" s="852"/>
      <c r="HK19" s="852"/>
      <c r="HL19" s="852"/>
      <c r="HM19" s="852"/>
      <c r="HN19" s="852"/>
      <c r="HO19" s="852"/>
      <c r="HP19" s="852"/>
      <c r="HQ19" s="852"/>
      <c r="HR19" s="852"/>
      <c r="HS19" s="819"/>
      <c r="HT19" s="819"/>
    </row>
    <row r="20" spans="1:228" s="840" customFormat="1" ht="22.5">
      <c r="A20" s="825">
        <v>18</v>
      </c>
      <c r="B20" s="843" t="s">
        <v>2430</v>
      </c>
      <c r="C20" s="539">
        <v>220636</v>
      </c>
      <c r="D20" s="974"/>
      <c r="E20" s="120">
        <v>0</v>
      </c>
      <c r="F20" s="661">
        <f>C20-D20-E20</f>
        <v>220636</v>
      </c>
      <c r="G20" s="814" t="s">
        <v>172</v>
      </c>
      <c r="H20" s="806" t="s">
        <v>172</v>
      </c>
      <c r="I20" s="815" t="s">
        <v>172</v>
      </c>
      <c r="J20" s="119">
        <v>12600</v>
      </c>
      <c r="K20" s="120">
        <v>0</v>
      </c>
      <c r="L20" s="120">
        <v>0</v>
      </c>
      <c r="M20" s="120">
        <v>0</v>
      </c>
      <c r="N20" s="120">
        <v>0</v>
      </c>
      <c r="O20" s="120">
        <v>200036</v>
      </c>
      <c r="P20" s="120">
        <v>0</v>
      </c>
      <c r="Q20" s="120">
        <v>0</v>
      </c>
      <c r="R20" s="120">
        <v>8000</v>
      </c>
      <c r="S20" s="120">
        <v>0</v>
      </c>
      <c r="T20" s="889"/>
      <c r="U20" s="888">
        <f>SUM(J20:Q20,R20,S20)</f>
        <v>220636</v>
      </c>
      <c r="V20" s="819"/>
      <c r="W20" s="853"/>
      <c r="X20" s="819"/>
      <c r="Y20" s="819"/>
      <c r="Z20" s="819"/>
      <c r="AA20" s="819"/>
      <c r="AB20" s="819"/>
      <c r="AC20" s="819"/>
      <c r="AD20" s="819"/>
      <c r="AE20" s="819"/>
      <c r="AF20" s="819"/>
      <c r="AG20" s="819"/>
      <c r="AH20" s="819"/>
      <c r="AI20" s="819"/>
      <c r="AJ20" s="819"/>
      <c r="AK20" s="819"/>
      <c r="AL20" s="819"/>
      <c r="AM20" s="819"/>
      <c r="AN20" s="819"/>
      <c r="AO20" s="819"/>
      <c r="AP20" s="819"/>
      <c r="AQ20" s="819"/>
      <c r="AR20" s="819"/>
      <c r="AS20" s="819"/>
      <c r="AT20" s="819"/>
      <c r="AU20" s="819"/>
      <c r="AV20" s="819"/>
      <c r="AW20" s="819"/>
      <c r="AX20" s="819"/>
      <c r="AY20" s="819"/>
      <c r="AZ20" s="819"/>
      <c r="BA20" s="819"/>
      <c r="BB20" s="819"/>
      <c r="BC20" s="819"/>
      <c r="BD20" s="819"/>
      <c r="BE20" s="819"/>
      <c r="BF20" s="819"/>
      <c r="BG20" s="819"/>
      <c r="BH20" s="819"/>
      <c r="BI20" s="819"/>
      <c r="BJ20" s="819"/>
      <c r="BK20" s="819"/>
      <c r="BL20" s="819"/>
      <c r="BM20" s="819"/>
      <c r="BN20" s="819"/>
      <c r="BO20" s="819"/>
      <c r="BP20" s="819"/>
      <c r="BQ20" s="819"/>
      <c r="BR20" s="819"/>
      <c r="BS20" s="819"/>
      <c r="BT20" s="819"/>
      <c r="BU20" s="819"/>
      <c r="BV20" s="819"/>
      <c r="BW20" s="819"/>
      <c r="BX20" s="819"/>
      <c r="BY20" s="819"/>
      <c r="BZ20" s="819"/>
      <c r="CA20" s="819"/>
      <c r="CB20" s="819"/>
      <c r="CC20" s="819"/>
      <c r="CD20" s="819"/>
      <c r="CE20" s="819"/>
      <c r="CF20" s="819"/>
      <c r="CG20" s="819"/>
      <c r="CH20" s="819"/>
      <c r="CI20" s="819"/>
      <c r="CJ20" s="819"/>
      <c r="CK20" s="819"/>
      <c r="CL20" s="819"/>
      <c r="CM20" s="819"/>
      <c r="CN20" s="819"/>
      <c r="CO20" s="819"/>
      <c r="CP20" s="819"/>
      <c r="CQ20" s="819"/>
      <c r="CR20" s="819"/>
      <c r="CS20" s="819"/>
      <c r="CT20" s="819"/>
      <c r="CU20" s="819"/>
      <c r="CV20" s="819"/>
      <c r="CW20" s="819"/>
      <c r="CX20" s="819"/>
      <c r="CY20" s="819"/>
      <c r="CZ20" s="819"/>
      <c r="DA20" s="819"/>
      <c r="DB20" s="819"/>
      <c r="DC20" s="819"/>
      <c r="DD20" s="819"/>
      <c r="DE20" s="819"/>
      <c r="DF20" s="819"/>
      <c r="DG20" s="819"/>
      <c r="DH20" s="819"/>
      <c r="DI20" s="819"/>
      <c r="DJ20" s="819"/>
      <c r="DK20" s="819"/>
      <c r="DL20" s="819"/>
      <c r="DM20" s="819"/>
      <c r="DN20" s="819"/>
      <c r="DO20" s="819"/>
      <c r="DP20" s="819"/>
      <c r="DQ20" s="819"/>
      <c r="DR20" s="819"/>
      <c r="DS20" s="819"/>
      <c r="DT20" s="819"/>
      <c r="DU20" s="819"/>
      <c r="DV20" s="819"/>
      <c r="DW20" s="819"/>
      <c r="DX20" s="819"/>
      <c r="DY20" s="819"/>
      <c r="DZ20" s="819"/>
      <c r="EA20" s="819"/>
      <c r="EB20" s="819"/>
      <c r="EC20" s="819"/>
      <c r="ED20" s="819"/>
      <c r="EE20" s="819"/>
      <c r="EF20" s="819"/>
      <c r="EG20" s="819"/>
      <c r="EH20" s="819"/>
      <c r="EI20" s="819"/>
      <c r="EJ20" s="819"/>
      <c r="EK20" s="819"/>
      <c r="EL20" s="819"/>
      <c r="EM20" s="819"/>
      <c r="EN20" s="819"/>
      <c r="EO20" s="819"/>
      <c r="EP20" s="819"/>
      <c r="EQ20" s="819"/>
      <c r="ER20" s="819"/>
      <c r="ES20" s="819"/>
      <c r="ET20" s="819"/>
      <c r="EU20" s="819"/>
      <c r="EV20" s="819"/>
      <c r="EW20" s="819"/>
      <c r="EX20" s="819"/>
      <c r="EY20" s="819"/>
      <c r="EZ20" s="819"/>
      <c r="FA20" s="819"/>
      <c r="FB20" s="819"/>
      <c r="FC20" s="819"/>
      <c r="FD20" s="819"/>
      <c r="FE20" s="819"/>
      <c r="FF20" s="819"/>
      <c r="FG20" s="819"/>
      <c r="FH20" s="819"/>
      <c r="FI20" s="819"/>
      <c r="FJ20" s="819"/>
      <c r="FK20" s="819"/>
      <c r="FL20" s="819"/>
      <c r="FM20" s="819"/>
      <c r="FN20" s="819"/>
      <c r="FO20" s="819"/>
      <c r="FP20" s="819"/>
      <c r="FQ20" s="819"/>
      <c r="FR20" s="819"/>
      <c r="FS20" s="819"/>
      <c r="FT20" s="819"/>
      <c r="FU20" s="819"/>
      <c r="FV20" s="819"/>
      <c r="FW20" s="819"/>
      <c r="FX20" s="819"/>
      <c r="FY20" s="819"/>
      <c r="FZ20" s="819"/>
      <c r="GA20" s="819"/>
      <c r="GB20" s="819"/>
      <c r="GC20" s="819"/>
      <c r="GD20" s="819"/>
      <c r="GE20" s="819"/>
      <c r="GF20" s="819"/>
      <c r="GG20" s="819"/>
      <c r="GH20" s="819"/>
      <c r="GI20" s="819"/>
      <c r="GJ20" s="819"/>
      <c r="GK20" s="819"/>
      <c r="GL20" s="819"/>
      <c r="GM20" s="819"/>
      <c r="GN20" s="819"/>
      <c r="GO20" s="819"/>
      <c r="GP20" s="819"/>
      <c r="GQ20" s="819"/>
      <c r="GR20" s="819"/>
      <c r="GS20" s="819"/>
      <c r="GT20" s="819"/>
      <c r="GU20" s="819"/>
      <c r="GV20" s="819"/>
      <c r="GW20" s="819"/>
      <c r="GX20" s="819"/>
      <c r="GY20" s="819"/>
      <c r="GZ20" s="819"/>
      <c r="HA20" s="819"/>
      <c r="HB20" s="819"/>
      <c r="HC20" s="819"/>
      <c r="HD20" s="819"/>
      <c r="HE20" s="819"/>
      <c r="HF20" s="819"/>
      <c r="HG20" s="819"/>
      <c r="HH20" s="819"/>
      <c r="HI20" s="819"/>
      <c r="HJ20" s="819"/>
      <c r="HK20" s="819"/>
      <c r="HL20" s="819"/>
      <c r="HM20" s="819"/>
      <c r="HN20" s="819"/>
      <c r="HO20" s="819"/>
      <c r="HP20" s="819"/>
      <c r="HQ20" s="819"/>
      <c r="HR20" s="819"/>
      <c r="HS20" s="819"/>
      <c r="HT20" s="819"/>
    </row>
    <row r="21" spans="1:228" s="840" customFormat="1" ht="31.5" customHeight="1">
      <c r="A21" s="825">
        <v>19</v>
      </c>
      <c r="B21" s="843" t="s">
        <v>2435</v>
      </c>
      <c r="C21" s="119">
        <v>336441.3</v>
      </c>
      <c r="D21" s="120">
        <v>165049.29999999999</v>
      </c>
      <c r="E21" s="784"/>
      <c r="F21" s="661">
        <f>C21-D21</f>
        <v>171392</v>
      </c>
      <c r="G21" s="814" t="s">
        <v>172</v>
      </c>
      <c r="H21" s="806" t="s">
        <v>172</v>
      </c>
      <c r="I21" s="815" t="s">
        <v>172</v>
      </c>
      <c r="J21" s="119">
        <v>0</v>
      </c>
      <c r="K21" s="120">
        <v>0</v>
      </c>
      <c r="L21" s="120">
        <v>0</v>
      </c>
      <c r="M21" s="120">
        <v>0</v>
      </c>
      <c r="N21" s="120">
        <v>0</v>
      </c>
      <c r="O21" s="120">
        <v>148049.21829734341</v>
      </c>
      <c r="P21" s="120">
        <v>23342.781702656604</v>
      </c>
      <c r="Q21" s="120">
        <v>0</v>
      </c>
      <c r="R21" s="120">
        <v>0</v>
      </c>
      <c r="S21" s="120">
        <v>0</v>
      </c>
      <c r="T21" s="700">
        <v>0</v>
      </c>
      <c r="U21" s="888">
        <f>SUM(J21:Q21,R21,S21,T21)</f>
        <v>171392</v>
      </c>
      <c r="V21" s="819"/>
      <c r="W21" s="853"/>
      <c r="X21" s="819"/>
      <c r="Y21" s="819"/>
      <c r="Z21" s="819"/>
      <c r="AA21" s="819"/>
      <c r="AB21" s="819"/>
      <c r="AC21" s="819"/>
      <c r="AD21" s="819"/>
      <c r="AE21" s="819"/>
      <c r="AF21" s="819"/>
      <c r="AG21" s="819"/>
      <c r="AH21" s="819"/>
      <c r="AI21" s="819"/>
      <c r="AJ21" s="819"/>
      <c r="AK21" s="819"/>
      <c r="AL21" s="819"/>
      <c r="AM21" s="819"/>
      <c r="AN21" s="819"/>
      <c r="AO21" s="819"/>
      <c r="AP21" s="819"/>
      <c r="AQ21" s="819"/>
      <c r="AR21" s="819"/>
      <c r="AS21" s="819"/>
      <c r="AT21" s="819"/>
      <c r="AU21" s="819"/>
      <c r="AV21" s="819"/>
      <c r="AW21" s="819"/>
      <c r="AX21" s="819"/>
      <c r="AY21" s="819"/>
      <c r="AZ21" s="819"/>
      <c r="BA21" s="819"/>
      <c r="BB21" s="819"/>
      <c r="BC21" s="819"/>
      <c r="BD21" s="819"/>
      <c r="BE21" s="819"/>
      <c r="BF21" s="819"/>
      <c r="BG21" s="819"/>
      <c r="BH21" s="819"/>
      <c r="BI21" s="819"/>
      <c r="BJ21" s="819"/>
      <c r="BK21" s="819"/>
      <c r="BL21" s="819"/>
      <c r="BM21" s="819"/>
      <c r="BN21" s="819"/>
      <c r="BO21" s="819"/>
      <c r="BP21" s="819"/>
      <c r="BQ21" s="819"/>
      <c r="BR21" s="819"/>
      <c r="BS21" s="819"/>
      <c r="BT21" s="819"/>
      <c r="BU21" s="819"/>
      <c r="BV21" s="819"/>
      <c r="BW21" s="819"/>
      <c r="BX21" s="819"/>
      <c r="BY21" s="819"/>
      <c r="BZ21" s="819"/>
      <c r="CA21" s="819"/>
      <c r="CB21" s="819"/>
      <c r="CC21" s="819"/>
      <c r="CD21" s="819"/>
      <c r="CE21" s="819"/>
      <c r="CF21" s="819"/>
      <c r="CG21" s="819"/>
      <c r="CH21" s="819"/>
      <c r="CI21" s="819"/>
      <c r="CJ21" s="819"/>
      <c r="CK21" s="819"/>
      <c r="CL21" s="819"/>
      <c r="CM21" s="819"/>
      <c r="CN21" s="819"/>
      <c r="CO21" s="819"/>
      <c r="CP21" s="819"/>
      <c r="CQ21" s="819"/>
      <c r="CR21" s="819"/>
      <c r="CS21" s="819"/>
      <c r="CT21" s="819"/>
      <c r="CU21" s="819"/>
      <c r="CV21" s="819"/>
      <c r="CW21" s="819"/>
      <c r="CX21" s="819"/>
      <c r="CY21" s="819"/>
      <c r="CZ21" s="819"/>
      <c r="DA21" s="819"/>
      <c r="DB21" s="819"/>
      <c r="DC21" s="819"/>
      <c r="DD21" s="819"/>
      <c r="DE21" s="819"/>
      <c r="DF21" s="819"/>
      <c r="DG21" s="819"/>
      <c r="DH21" s="819"/>
      <c r="DI21" s="819"/>
      <c r="DJ21" s="819"/>
      <c r="DK21" s="819"/>
      <c r="DL21" s="819"/>
      <c r="DM21" s="819"/>
      <c r="DN21" s="819"/>
      <c r="DO21" s="819"/>
      <c r="DP21" s="819"/>
      <c r="DQ21" s="819"/>
      <c r="DR21" s="819"/>
      <c r="DS21" s="819"/>
      <c r="DT21" s="819"/>
      <c r="DU21" s="819"/>
      <c r="DV21" s="819"/>
      <c r="DW21" s="819"/>
      <c r="DX21" s="819"/>
      <c r="DY21" s="819"/>
      <c r="DZ21" s="819"/>
      <c r="EA21" s="819"/>
      <c r="EB21" s="819"/>
      <c r="EC21" s="819"/>
      <c r="ED21" s="819"/>
      <c r="EE21" s="819"/>
      <c r="EF21" s="819"/>
      <c r="EG21" s="819"/>
      <c r="EH21" s="819"/>
      <c r="EI21" s="819"/>
      <c r="EJ21" s="819"/>
      <c r="EK21" s="819"/>
      <c r="EL21" s="819"/>
      <c r="EM21" s="819"/>
      <c r="EN21" s="819"/>
      <c r="EO21" s="819"/>
      <c r="EP21" s="819"/>
      <c r="EQ21" s="819"/>
      <c r="ER21" s="819"/>
      <c r="ES21" s="819"/>
      <c r="ET21" s="819"/>
      <c r="EU21" s="819"/>
      <c r="EV21" s="819"/>
      <c r="EW21" s="819"/>
      <c r="EX21" s="819"/>
      <c r="EY21" s="819"/>
      <c r="EZ21" s="819"/>
      <c r="FA21" s="819"/>
      <c r="FB21" s="819"/>
      <c r="FC21" s="819"/>
      <c r="FD21" s="819"/>
      <c r="FE21" s="819"/>
      <c r="FF21" s="819"/>
      <c r="FG21" s="819"/>
      <c r="FH21" s="819"/>
      <c r="FI21" s="819"/>
      <c r="FJ21" s="819"/>
      <c r="FK21" s="819"/>
      <c r="FL21" s="819"/>
      <c r="FM21" s="819"/>
      <c r="FN21" s="819"/>
      <c r="FO21" s="819"/>
      <c r="FP21" s="819"/>
      <c r="FQ21" s="819"/>
      <c r="FR21" s="819"/>
      <c r="FS21" s="819"/>
      <c r="FT21" s="819"/>
      <c r="FU21" s="819"/>
      <c r="FV21" s="819"/>
      <c r="FW21" s="819"/>
      <c r="FX21" s="819"/>
      <c r="FY21" s="819"/>
      <c r="FZ21" s="819"/>
      <c r="GA21" s="819"/>
      <c r="GB21" s="819"/>
      <c r="GC21" s="819"/>
      <c r="GD21" s="819"/>
      <c r="GE21" s="819"/>
      <c r="GF21" s="819"/>
      <c r="GG21" s="819"/>
      <c r="GH21" s="819"/>
      <c r="GI21" s="819"/>
      <c r="GJ21" s="819"/>
      <c r="GK21" s="819"/>
      <c r="GL21" s="819"/>
      <c r="GM21" s="819"/>
      <c r="GN21" s="819"/>
      <c r="GO21" s="819"/>
      <c r="GP21" s="819"/>
      <c r="GQ21" s="819"/>
      <c r="GR21" s="819"/>
      <c r="GS21" s="819"/>
      <c r="GT21" s="819"/>
      <c r="GU21" s="819"/>
      <c r="GV21" s="819"/>
      <c r="GW21" s="819"/>
      <c r="GX21" s="819"/>
      <c r="GY21" s="819"/>
      <c r="GZ21" s="819"/>
      <c r="HA21" s="819"/>
      <c r="HB21" s="819"/>
      <c r="HC21" s="819"/>
      <c r="HD21" s="819"/>
      <c r="HE21" s="819"/>
      <c r="HF21" s="819"/>
      <c r="HG21" s="819"/>
      <c r="HH21" s="819"/>
      <c r="HI21" s="819"/>
      <c r="HJ21" s="819"/>
      <c r="HK21" s="819"/>
      <c r="HL21" s="819"/>
      <c r="HM21" s="819"/>
      <c r="HN21" s="819"/>
      <c r="HO21" s="819"/>
      <c r="HP21" s="819"/>
      <c r="HQ21" s="819"/>
      <c r="HR21" s="819"/>
      <c r="HS21" s="819"/>
      <c r="HT21" s="819"/>
    </row>
    <row r="22" spans="1:228" s="840" customFormat="1" ht="27.75" customHeight="1" thickBot="1">
      <c r="A22" s="825">
        <v>20</v>
      </c>
      <c r="B22" s="843" t="s">
        <v>2582</v>
      </c>
      <c r="C22" s="119">
        <v>41470</v>
      </c>
      <c r="D22" s="784"/>
      <c r="E22" s="784"/>
      <c r="F22" s="661">
        <f>C22</f>
        <v>41470</v>
      </c>
      <c r="G22" s="814" t="s">
        <v>172</v>
      </c>
      <c r="H22" s="806" t="s">
        <v>172</v>
      </c>
      <c r="I22" s="815" t="s">
        <v>172</v>
      </c>
      <c r="J22" s="119">
        <v>0</v>
      </c>
      <c r="K22" s="120">
        <v>0</v>
      </c>
      <c r="L22" s="120">
        <v>0</v>
      </c>
      <c r="M22" s="120">
        <v>0</v>
      </c>
      <c r="N22" s="120">
        <v>0</v>
      </c>
      <c r="O22" s="120">
        <v>26470</v>
      </c>
      <c r="P22" s="120">
        <v>15000</v>
      </c>
      <c r="Q22" s="120">
        <v>0</v>
      </c>
      <c r="R22" s="120">
        <v>0</v>
      </c>
      <c r="S22" s="120">
        <v>0</v>
      </c>
      <c r="T22" s="700">
        <v>0</v>
      </c>
      <c r="U22" s="888">
        <f>SUM(J22:Q22,R22,S22,T22)</f>
        <v>41470</v>
      </c>
      <c r="V22" s="819"/>
      <c r="W22" s="853"/>
      <c r="X22" s="819"/>
      <c r="Y22" s="819"/>
      <c r="Z22" s="819"/>
      <c r="AA22" s="819"/>
      <c r="AB22" s="819"/>
      <c r="AC22" s="819"/>
      <c r="AD22" s="819"/>
      <c r="AE22" s="819"/>
      <c r="AF22" s="819"/>
      <c r="AG22" s="819"/>
      <c r="AH22" s="819"/>
      <c r="AI22" s="819"/>
      <c r="AJ22" s="819"/>
      <c r="AK22" s="819"/>
      <c r="AL22" s="819"/>
      <c r="AM22" s="819"/>
      <c r="AN22" s="819"/>
      <c r="AO22" s="819"/>
      <c r="AP22" s="819"/>
      <c r="AQ22" s="819"/>
      <c r="AR22" s="819"/>
      <c r="AS22" s="819"/>
      <c r="AT22" s="819"/>
      <c r="AU22" s="819"/>
      <c r="AV22" s="819"/>
      <c r="AW22" s="819"/>
      <c r="AX22" s="819"/>
      <c r="AY22" s="819"/>
      <c r="AZ22" s="819"/>
      <c r="BA22" s="819"/>
      <c r="BB22" s="819"/>
      <c r="BC22" s="819"/>
      <c r="BD22" s="819"/>
      <c r="BE22" s="819"/>
      <c r="BF22" s="819"/>
      <c r="BG22" s="819"/>
      <c r="BH22" s="819"/>
      <c r="BI22" s="819"/>
      <c r="BJ22" s="819"/>
      <c r="BK22" s="819"/>
      <c r="BL22" s="819"/>
      <c r="BM22" s="819"/>
      <c r="BN22" s="819"/>
      <c r="BO22" s="819"/>
      <c r="BP22" s="819"/>
      <c r="BQ22" s="819"/>
      <c r="BR22" s="819"/>
      <c r="BS22" s="819"/>
      <c r="BT22" s="819"/>
      <c r="BU22" s="819"/>
      <c r="BV22" s="819"/>
      <c r="BW22" s="819"/>
      <c r="BX22" s="819"/>
      <c r="BY22" s="819"/>
      <c r="BZ22" s="819"/>
      <c r="CA22" s="819"/>
      <c r="CB22" s="819"/>
      <c r="CC22" s="819"/>
      <c r="CD22" s="819"/>
      <c r="CE22" s="819"/>
      <c r="CF22" s="819"/>
      <c r="CG22" s="819"/>
      <c r="CH22" s="819"/>
      <c r="CI22" s="819"/>
      <c r="CJ22" s="819"/>
      <c r="CK22" s="819"/>
      <c r="CL22" s="819"/>
      <c r="CM22" s="819"/>
      <c r="CN22" s="819"/>
      <c r="CO22" s="819"/>
      <c r="CP22" s="819"/>
      <c r="CQ22" s="819"/>
      <c r="CR22" s="819"/>
      <c r="CS22" s="819"/>
      <c r="CT22" s="819"/>
      <c r="CU22" s="819"/>
      <c r="CV22" s="819"/>
      <c r="CW22" s="819"/>
      <c r="CX22" s="819"/>
      <c r="CY22" s="819"/>
      <c r="CZ22" s="819"/>
      <c r="DA22" s="819"/>
      <c r="DB22" s="819"/>
      <c r="DC22" s="819"/>
      <c r="DD22" s="819"/>
      <c r="DE22" s="819"/>
      <c r="DF22" s="819"/>
      <c r="DG22" s="819"/>
      <c r="DH22" s="819"/>
      <c r="DI22" s="819"/>
      <c r="DJ22" s="819"/>
      <c r="DK22" s="819"/>
      <c r="DL22" s="819"/>
      <c r="DM22" s="819"/>
      <c r="DN22" s="819"/>
      <c r="DO22" s="819"/>
      <c r="DP22" s="819"/>
      <c r="DQ22" s="819"/>
      <c r="DR22" s="819"/>
      <c r="DS22" s="819"/>
      <c r="DT22" s="819"/>
      <c r="DU22" s="819"/>
      <c r="DV22" s="819"/>
      <c r="DW22" s="819"/>
      <c r="DX22" s="819"/>
      <c r="DY22" s="819"/>
      <c r="DZ22" s="819"/>
      <c r="EA22" s="819"/>
      <c r="EB22" s="819"/>
      <c r="EC22" s="819"/>
      <c r="ED22" s="819"/>
      <c r="EE22" s="819"/>
      <c r="EF22" s="819"/>
      <c r="EG22" s="819"/>
      <c r="EH22" s="819"/>
      <c r="EI22" s="819"/>
      <c r="EJ22" s="819"/>
      <c r="EK22" s="819"/>
      <c r="EL22" s="819"/>
      <c r="EM22" s="819"/>
      <c r="EN22" s="819"/>
      <c r="EO22" s="819"/>
      <c r="EP22" s="819"/>
      <c r="EQ22" s="819"/>
      <c r="ER22" s="819"/>
      <c r="ES22" s="819"/>
      <c r="ET22" s="819"/>
      <c r="EU22" s="819"/>
      <c r="EV22" s="819"/>
      <c r="EW22" s="819"/>
      <c r="EX22" s="819"/>
      <c r="EY22" s="819"/>
      <c r="EZ22" s="819"/>
      <c r="FA22" s="819"/>
      <c r="FB22" s="819"/>
      <c r="FC22" s="819"/>
      <c r="FD22" s="819"/>
      <c r="FE22" s="819"/>
      <c r="FF22" s="819"/>
      <c r="FG22" s="819"/>
      <c r="FH22" s="819"/>
      <c r="FI22" s="819"/>
      <c r="FJ22" s="819"/>
      <c r="FK22" s="819"/>
      <c r="FL22" s="819"/>
      <c r="FM22" s="819"/>
      <c r="FN22" s="819"/>
      <c r="FO22" s="819"/>
      <c r="FP22" s="819"/>
      <c r="FQ22" s="819"/>
      <c r="FR22" s="819"/>
      <c r="FS22" s="819"/>
      <c r="FT22" s="819"/>
      <c r="FU22" s="819"/>
      <c r="FV22" s="819"/>
      <c r="FW22" s="819"/>
      <c r="FX22" s="819"/>
      <c r="FY22" s="819"/>
      <c r="FZ22" s="819"/>
      <c r="GA22" s="819"/>
      <c r="GB22" s="819"/>
      <c r="GC22" s="819"/>
      <c r="GD22" s="819"/>
      <c r="GE22" s="819"/>
      <c r="GF22" s="819"/>
      <c r="GG22" s="819"/>
      <c r="GH22" s="819"/>
      <c r="GI22" s="819"/>
      <c r="GJ22" s="819"/>
      <c r="GK22" s="819"/>
      <c r="GL22" s="819"/>
      <c r="GM22" s="819"/>
      <c r="GN22" s="819"/>
      <c r="GO22" s="819"/>
      <c r="GP22" s="819"/>
      <c r="GQ22" s="819"/>
      <c r="GR22" s="819"/>
      <c r="GS22" s="819"/>
      <c r="GT22" s="819"/>
      <c r="GU22" s="819"/>
      <c r="GV22" s="819"/>
      <c r="GW22" s="819"/>
      <c r="GX22" s="819"/>
      <c r="GY22" s="819"/>
      <c r="GZ22" s="819"/>
      <c r="HA22" s="819"/>
      <c r="HB22" s="819"/>
      <c r="HC22" s="819"/>
      <c r="HD22" s="819"/>
      <c r="HE22" s="819"/>
      <c r="HF22" s="819"/>
      <c r="HG22" s="819"/>
      <c r="HH22" s="819"/>
      <c r="HI22" s="819"/>
      <c r="HJ22" s="819"/>
      <c r="HK22" s="819"/>
      <c r="HL22" s="819"/>
      <c r="HM22" s="819"/>
      <c r="HN22" s="819"/>
      <c r="HO22" s="819"/>
      <c r="HP22" s="819"/>
      <c r="HQ22" s="819"/>
      <c r="HR22" s="819"/>
      <c r="HS22" s="819"/>
      <c r="HT22" s="819"/>
    </row>
    <row r="23" spans="1:228" s="840" customFormat="1" ht="27.75" customHeight="1">
      <c r="A23" s="825">
        <v>21</v>
      </c>
      <c r="B23" s="843" t="s">
        <v>2583</v>
      </c>
      <c r="C23" s="119">
        <v>336912.5</v>
      </c>
      <c r="D23" s="784">
        <f>C23-F23</f>
        <v>78654.882202523993</v>
      </c>
      <c r="E23" s="784"/>
      <c r="F23" s="816">
        <f>IFERROR(C23*U18/C13,"0")</f>
        <v>258257.61779747601</v>
      </c>
      <c r="G23" s="814" t="s">
        <v>172</v>
      </c>
      <c r="H23" s="806" t="s">
        <v>172</v>
      </c>
      <c r="I23" s="815" t="s">
        <v>172</v>
      </c>
      <c r="J23" s="119">
        <v>1217.9491760692404</v>
      </c>
      <c r="K23" s="120">
        <v>0</v>
      </c>
      <c r="L23" s="120">
        <v>0</v>
      </c>
      <c r="M23" s="120">
        <v>0</v>
      </c>
      <c r="N23" s="120">
        <v>0</v>
      </c>
      <c r="O23" s="120">
        <v>219041.17513670147</v>
      </c>
      <c r="P23" s="120">
        <v>35626.168511663913</v>
      </c>
      <c r="Q23" s="120">
        <v>0</v>
      </c>
      <c r="R23" s="120">
        <v>2372.3249730413909</v>
      </c>
      <c r="S23" s="120">
        <v>0</v>
      </c>
      <c r="T23" s="700">
        <v>0</v>
      </c>
      <c r="U23" s="888">
        <f>SUM(J23:Q23,R23,S23,T23)</f>
        <v>258257.61779747601</v>
      </c>
      <c r="V23" s="1322" t="s">
        <v>2585</v>
      </c>
      <c r="W23" s="1323"/>
      <c r="X23" s="819"/>
      <c r="Y23" s="819"/>
      <c r="Z23" s="819"/>
      <c r="AA23" s="819"/>
      <c r="AB23" s="819"/>
      <c r="AC23" s="819"/>
      <c r="AD23" s="819"/>
      <c r="AE23" s="819"/>
      <c r="AF23" s="819"/>
      <c r="AG23" s="819"/>
      <c r="AH23" s="819"/>
      <c r="AI23" s="819"/>
      <c r="AJ23" s="819"/>
      <c r="AK23" s="819"/>
      <c r="AL23" s="819"/>
      <c r="AM23" s="819"/>
      <c r="AN23" s="819"/>
      <c r="AO23" s="819"/>
      <c r="AP23" s="819"/>
      <c r="AQ23" s="819"/>
      <c r="AR23" s="819"/>
      <c r="AS23" s="819"/>
      <c r="AT23" s="819"/>
      <c r="AU23" s="819"/>
      <c r="AV23" s="819"/>
      <c r="AW23" s="819"/>
      <c r="AX23" s="819"/>
      <c r="AY23" s="819"/>
      <c r="AZ23" s="819"/>
      <c r="BA23" s="819"/>
      <c r="BB23" s="819"/>
      <c r="BC23" s="819"/>
      <c r="BD23" s="819"/>
      <c r="BE23" s="819"/>
      <c r="BF23" s="819"/>
      <c r="BG23" s="819"/>
      <c r="BH23" s="819"/>
      <c r="BI23" s="819"/>
      <c r="BJ23" s="819"/>
      <c r="BK23" s="819"/>
      <c r="BL23" s="819"/>
      <c r="BM23" s="819"/>
      <c r="BN23" s="819"/>
      <c r="BO23" s="819"/>
      <c r="BP23" s="819"/>
      <c r="BQ23" s="819"/>
      <c r="BR23" s="819"/>
      <c r="BS23" s="819"/>
      <c r="BT23" s="819"/>
      <c r="BU23" s="819"/>
      <c r="BV23" s="819"/>
      <c r="BW23" s="819"/>
      <c r="BX23" s="819"/>
      <c r="BY23" s="819"/>
      <c r="BZ23" s="819"/>
      <c r="CA23" s="819"/>
      <c r="CB23" s="819"/>
      <c r="CC23" s="819"/>
      <c r="CD23" s="819"/>
      <c r="CE23" s="819"/>
      <c r="CF23" s="819"/>
      <c r="CG23" s="819"/>
      <c r="CH23" s="819"/>
      <c r="CI23" s="819"/>
      <c r="CJ23" s="819"/>
      <c r="CK23" s="819"/>
      <c r="CL23" s="819"/>
      <c r="CM23" s="819"/>
      <c r="CN23" s="819"/>
      <c r="CO23" s="819"/>
      <c r="CP23" s="819"/>
      <c r="CQ23" s="819"/>
      <c r="CR23" s="819"/>
      <c r="CS23" s="819"/>
      <c r="CT23" s="819"/>
      <c r="CU23" s="819"/>
      <c r="CV23" s="819"/>
      <c r="CW23" s="819"/>
      <c r="CX23" s="819"/>
      <c r="CY23" s="819"/>
      <c r="CZ23" s="819"/>
      <c r="DA23" s="819"/>
      <c r="DB23" s="819"/>
      <c r="DC23" s="819"/>
      <c r="DD23" s="819"/>
      <c r="DE23" s="819"/>
      <c r="DF23" s="819"/>
      <c r="DG23" s="819"/>
      <c r="DH23" s="819"/>
      <c r="DI23" s="819"/>
      <c r="DJ23" s="819"/>
      <c r="DK23" s="819"/>
      <c r="DL23" s="819"/>
      <c r="DM23" s="819"/>
      <c r="DN23" s="819"/>
      <c r="DO23" s="819"/>
      <c r="DP23" s="819"/>
      <c r="DQ23" s="819"/>
      <c r="DR23" s="819"/>
      <c r="DS23" s="819"/>
      <c r="DT23" s="819"/>
      <c r="DU23" s="819"/>
      <c r="DV23" s="819"/>
      <c r="DW23" s="819"/>
      <c r="DX23" s="819"/>
      <c r="DY23" s="819"/>
      <c r="DZ23" s="819"/>
      <c r="EA23" s="819"/>
      <c r="EB23" s="819"/>
      <c r="EC23" s="819"/>
      <c r="ED23" s="819"/>
      <c r="EE23" s="819"/>
      <c r="EF23" s="819"/>
      <c r="EG23" s="819"/>
      <c r="EH23" s="819"/>
      <c r="EI23" s="819"/>
      <c r="EJ23" s="819"/>
      <c r="EK23" s="819"/>
      <c r="EL23" s="819"/>
      <c r="EM23" s="819"/>
      <c r="EN23" s="819"/>
      <c r="EO23" s="819"/>
      <c r="EP23" s="819"/>
      <c r="EQ23" s="819"/>
      <c r="ER23" s="819"/>
      <c r="ES23" s="819"/>
      <c r="ET23" s="819"/>
      <c r="EU23" s="819"/>
      <c r="EV23" s="819"/>
      <c r="EW23" s="819"/>
      <c r="EX23" s="819"/>
      <c r="EY23" s="819"/>
      <c r="EZ23" s="819"/>
      <c r="FA23" s="819"/>
      <c r="FB23" s="819"/>
      <c r="FC23" s="819"/>
      <c r="FD23" s="819"/>
      <c r="FE23" s="819"/>
      <c r="FF23" s="819"/>
      <c r="FG23" s="819"/>
      <c r="FH23" s="819"/>
      <c r="FI23" s="819"/>
      <c r="FJ23" s="819"/>
      <c r="FK23" s="819"/>
      <c r="FL23" s="819"/>
      <c r="FM23" s="819"/>
      <c r="FN23" s="819"/>
      <c r="FO23" s="819"/>
      <c r="FP23" s="819"/>
      <c r="FQ23" s="819"/>
      <c r="FR23" s="819"/>
      <c r="FS23" s="819"/>
      <c r="FT23" s="819"/>
      <c r="FU23" s="819"/>
      <c r="FV23" s="819"/>
      <c r="FW23" s="819"/>
      <c r="FX23" s="819"/>
      <c r="FY23" s="819"/>
      <c r="FZ23" s="819"/>
      <c r="GA23" s="819"/>
      <c r="GB23" s="819"/>
      <c r="GC23" s="819"/>
      <c r="GD23" s="819"/>
      <c r="GE23" s="819"/>
      <c r="GF23" s="819"/>
      <c r="GG23" s="819"/>
      <c r="GH23" s="819"/>
      <c r="GI23" s="819"/>
      <c r="GJ23" s="819"/>
      <c r="GK23" s="819"/>
      <c r="GL23" s="819"/>
      <c r="GM23" s="819"/>
      <c r="GN23" s="819"/>
      <c r="GO23" s="819"/>
      <c r="GP23" s="819"/>
      <c r="GQ23" s="819"/>
      <c r="GR23" s="819"/>
      <c r="GS23" s="819"/>
      <c r="GT23" s="819"/>
      <c r="GU23" s="819"/>
      <c r="GV23" s="819"/>
      <c r="GW23" s="819"/>
      <c r="GX23" s="819"/>
      <c r="GY23" s="819"/>
      <c r="GZ23" s="819"/>
      <c r="HA23" s="819"/>
      <c r="HB23" s="819"/>
      <c r="HC23" s="819"/>
      <c r="HD23" s="819"/>
      <c r="HE23" s="819"/>
      <c r="HF23" s="819"/>
      <c r="HG23" s="819"/>
      <c r="HH23" s="819"/>
      <c r="HI23" s="819"/>
      <c r="HJ23" s="819"/>
      <c r="HK23" s="819"/>
      <c r="HL23" s="819"/>
      <c r="HM23" s="819"/>
      <c r="HN23" s="819"/>
      <c r="HO23" s="819"/>
      <c r="HP23" s="819"/>
      <c r="HQ23" s="819"/>
      <c r="HR23" s="819"/>
      <c r="HS23" s="819"/>
      <c r="HT23" s="819"/>
    </row>
    <row r="24" spans="1:228" s="824" customFormat="1" ht="27.75" customHeight="1" thickBot="1">
      <c r="A24" s="825">
        <v>22</v>
      </c>
      <c r="B24" s="854" t="s">
        <v>2584</v>
      </c>
      <c r="C24" s="538">
        <v>2400</v>
      </c>
      <c r="D24" s="886">
        <f>C24</f>
        <v>2400</v>
      </c>
      <c r="E24" s="887" t="s">
        <v>172</v>
      </c>
      <c r="F24" s="811" t="s">
        <v>172</v>
      </c>
      <c r="G24" s="812" t="s">
        <v>172</v>
      </c>
      <c r="H24" s="812" t="s">
        <v>172</v>
      </c>
      <c r="I24" s="813" t="s">
        <v>172</v>
      </c>
      <c r="J24" s="670" t="s">
        <v>172</v>
      </c>
      <c r="K24" s="671" t="s">
        <v>172</v>
      </c>
      <c r="L24" s="671" t="s">
        <v>172</v>
      </c>
      <c r="M24" s="671" t="s">
        <v>172</v>
      </c>
      <c r="N24" s="671" t="s">
        <v>172</v>
      </c>
      <c r="O24" s="671" t="s">
        <v>172</v>
      </c>
      <c r="P24" s="671" t="s">
        <v>172</v>
      </c>
      <c r="Q24" s="671" t="s">
        <v>172</v>
      </c>
      <c r="R24" s="671" t="s">
        <v>172</v>
      </c>
      <c r="S24" s="671" t="s">
        <v>172</v>
      </c>
      <c r="T24" s="659" t="s">
        <v>172</v>
      </c>
      <c r="U24" s="672" t="s">
        <v>172</v>
      </c>
      <c r="V24" s="1324"/>
      <c r="W24" s="1325"/>
      <c r="X24" s="819"/>
      <c r="Y24" s="819"/>
      <c r="Z24" s="819"/>
      <c r="AA24" s="819"/>
      <c r="AB24" s="819"/>
      <c r="AC24" s="819"/>
      <c r="AD24" s="819"/>
      <c r="AE24" s="819"/>
      <c r="AF24" s="819"/>
      <c r="AG24" s="819"/>
      <c r="AH24" s="819"/>
      <c r="AI24" s="819"/>
      <c r="AJ24" s="819"/>
      <c r="AK24" s="819"/>
      <c r="AL24" s="819"/>
      <c r="AM24" s="819"/>
      <c r="AN24" s="819"/>
      <c r="AO24" s="819"/>
      <c r="AP24" s="819"/>
      <c r="AQ24" s="819"/>
      <c r="AR24" s="819"/>
      <c r="AS24" s="819"/>
      <c r="AT24" s="819"/>
      <c r="AU24" s="819"/>
      <c r="AV24" s="819"/>
      <c r="AW24" s="819"/>
      <c r="AX24" s="819"/>
      <c r="AY24" s="819"/>
      <c r="AZ24" s="819"/>
      <c r="BA24" s="819"/>
      <c r="BB24" s="819"/>
      <c r="BC24" s="819"/>
      <c r="BD24" s="819"/>
      <c r="BE24" s="819"/>
      <c r="BF24" s="819"/>
      <c r="BG24" s="819"/>
      <c r="BH24" s="819"/>
      <c r="BI24" s="819"/>
      <c r="BJ24" s="819"/>
      <c r="BK24" s="819"/>
      <c r="BL24" s="819"/>
      <c r="BM24" s="819"/>
      <c r="BN24" s="819"/>
      <c r="BO24" s="819"/>
      <c r="BP24" s="819"/>
      <c r="BQ24" s="819"/>
      <c r="BR24" s="819"/>
      <c r="BS24" s="819"/>
      <c r="BT24" s="819"/>
      <c r="BU24" s="819"/>
      <c r="BV24" s="819"/>
      <c r="BW24" s="819"/>
      <c r="BX24" s="819"/>
      <c r="BY24" s="819"/>
      <c r="BZ24" s="819"/>
      <c r="CA24" s="819"/>
      <c r="CB24" s="819"/>
      <c r="CC24" s="819"/>
      <c r="CD24" s="819"/>
      <c r="CE24" s="819"/>
      <c r="CF24" s="819"/>
      <c r="CG24" s="819"/>
      <c r="CH24" s="819"/>
      <c r="CI24" s="819"/>
      <c r="CJ24" s="819"/>
      <c r="CK24" s="819"/>
      <c r="CL24" s="819"/>
      <c r="CM24" s="819"/>
      <c r="CN24" s="819"/>
      <c r="CO24" s="819"/>
      <c r="CP24" s="819"/>
      <c r="CQ24" s="819"/>
      <c r="CR24" s="819"/>
      <c r="CS24" s="819"/>
      <c r="CT24" s="819"/>
      <c r="CU24" s="819"/>
      <c r="CV24" s="819"/>
      <c r="CW24" s="819"/>
      <c r="CX24" s="819"/>
      <c r="CY24" s="819"/>
      <c r="CZ24" s="819"/>
      <c r="DA24" s="819"/>
      <c r="DB24" s="819"/>
      <c r="DC24" s="819"/>
      <c r="DD24" s="819"/>
      <c r="DE24" s="819"/>
      <c r="DF24" s="819"/>
      <c r="DG24" s="819"/>
      <c r="DH24" s="819"/>
      <c r="DI24" s="819"/>
      <c r="DJ24" s="819"/>
      <c r="DK24" s="819"/>
      <c r="DL24" s="819"/>
      <c r="DM24" s="819"/>
      <c r="DN24" s="819"/>
      <c r="DO24" s="819"/>
      <c r="DP24" s="819"/>
      <c r="DQ24" s="819"/>
      <c r="DR24" s="819"/>
      <c r="DS24" s="819"/>
      <c r="DT24" s="819"/>
      <c r="DU24" s="819"/>
      <c r="DV24" s="819"/>
      <c r="DW24" s="819"/>
      <c r="DX24" s="819"/>
      <c r="DY24" s="819"/>
      <c r="DZ24" s="819"/>
      <c r="EA24" s="819"/>
      <c r="EB24" s="819"/>
      <c r="EC24" s="819"/>
      <c r="ED24" s="819"/>
      <c r="EE24" s="819"/>
      <c r="EF24" s="819"/>
      <c r="EG24" s="819"/>
      <c r="EH24" s="819"/>
      <c r="EI24" s="819"/>
      <c r="EJ24" s="819"/>
      <c r="EK24" s="819"/>
      <c r="EL24" s="819"/>
      <c r="EM24" s="819"/>
      <c r="EN24" s="819"/>
      <c r="EO24" s="819"/>
      <c r="EP24" s="819"/>
      <c r="EQ24" s="819"/>
      <c r="ER24" s="819"/>
      <c r="ES24" s="819"/>
      <c r="ET24" s="819"/>
      <c r="EU24" s="819"/>
      <c r="EV24" s="819"/>
      <c r="EW24" s="819"/>
      <c r="EX24" s="819"/>
      <c r="EY24" s="819"/>
      <c r="EZ24" s="819"/>
      <c r="FA24" s="819"/>
      <c r="FB24" s="819"/>
      <c r="FC24" s="819"/>
      <c r="FD24" s="819"/>
      <c r="FE24" s="819"/>
      <c r="FF24" s="819"/>
      <c r="FG24" s="819"/>
      <c r="FH24" s="819"/>
      <c r="FI24" s="819"/>
      <c r="FJ24" s="819"/>
      <c r="FK24" s="819"/>
      <c r="FL24" s="819"/>
      <c r="FM24" s="819"/>
      <c r="FN24" s="819"/>
      <c r="FO24" s="819"/>
      <c r="FP24" s="819"/>
      <c r="FQ24" s="819"/>
      <c r="FR24" s="819"/>
      <c r="FS24" s="819"/>
      <c r="FT24" s="819"/>
      <c r="FU24" s="819"/>
      <c r="FV24" s="819"/>
      <c r="FW24" s="819"/>
      <c r="FX24" s="819"/>
      <c r="FY24" s="819"/>
      <c r="FZ24" s="819"/>
      <c r="GA24" s="819"/>
      <c r="GB24" s="819"/>
      <c r="GC24" s="819"/>
      <c r="GD24" s="819"/>
      <c r="GE24" s="819"/>
      <c r="GF24" s="819"/>
      <c r="GG24" s="819"/>
      <c r="GH24" s="819"/>
      <c r="GI24" s="819"/>
      <c r="GJ24" s="819"/>
      <c r="GK24" s="819"/>
      <c r="GL24" s="819"/>
      <c r="GM24" s="819"/>
      <c r="GN24" s="819"/>
      <c r="GO24" s="819"/>
      <c r="GP24" s="819"/>
      <c r="GQ24" s="819"/>
      <c r="GR24" s="819"/>
      <c r="GS24" s="819"/>
      <c r="GT24" s="819"/>
      <c r="GU24" s="819"/>
      <c r="GV24" s="819"/>
      <c r="GW24" s="819"/>
      <c r="GX24" s="819"/>
      <c r="GY24" s="819"/>
      <c r="GZ24" s="819"/>
      <c r="HA24" s="819"/>
      <c r="HB24" s="819"/>
      <c r="HC24" s="819"/>
      <c r="HD24" s="819"/>
      <c r="HE24" s="819"/>
      <c r="HF24" s="819"/>
      <c r="HG24" s="819"/>
      <c r="HH24" s="819"/>
      <c r="HI24" s="819"/>
      <c r="HJ24" s="819"/>
      <c r="HK24" s="819"/>
      <c r="HL24" s="819"/>
      <c r="HM24" s="819"/>
      <c r="HN24" s="819"/>
      <c r="HO24" s="819"/>
      <c r="HP24" s="819"/>
      <c r="HQ24" s="819"/>
      <c r="HR24" s="819"/>
      <c r="HS24" s="819"/>
      <c r="HT24" s="819"/>
    </row>
    <row r="25" spans="1:228" s="845" customFormat="1" ht="13.5" customHeight="1" thickBot="1">
      <c r="A25" s="825">
        <v>23</v>
      </c>
      <c r="B25" s="855" t="s">
        <v>2433</v>
      </c>
      <c r="C25" s="663">
        <f>SUM(C19:C24)</f>
        <v>996519.85</v>
      </c>
      <c r="D25" s="664">
        <f>SUM(D19:D24)</f>
        <v>250904.18220252398</v>
      </c>
      <c r="E25" s="664">
        <f>SUM(E19:E24)</f>
        <v>0</v>
      </c>
      <c r="F25" s="660">
        <f>SUM(F19:F24)</f>
        <v>745615.66779747605</v>
      </c>
      <c r="G25" s="665" t="s">
        <v>172</v>
      </c>
      <c r="H25" s="666" t="s">
        <v>172</v>
      </c>
      <c r="I25" s="667" t="s">
        <v>172</v>
      </c>
      <c r="J25" s="663">
        <f t="shared" ref="J25:U25" si="6">SUM(J19:J24)</f>
        <v>13817.94917606924</v>
      </c>
      <c r="K25" s="664">
        <f t="shared" si="6"/>
        <v>0</v>
      </c>
      <c r="L25" s="664">
        <f t="shared" si="6"/>
        <v>0</v>
      </c>
      <c r="M25" s="664">
        <f t="shared" si="6"/>
        <v>0</v>
      </c>
      <c r="N25" s="664">
        <f t="shared" si="6"/>
        <v>0</v>
      </c>
      <c r="O25" s="664">
        <f t="shared" si="6"/>
        <v>643527.44343404484</v>
      </c>
      <c r="P25" s="664">
        <f t="shared" si="6"/>
        <v>77897.950214320517</v>
      </c>
      <c r="Q25" s="664">
        <f t="shared" si="6"/>
        <v>0</v>
      </c>
      <c r="R25" s="668">
        <f t="shared" si="6"/>
        <v>10372.324973041392</v>
      </c>
      <c r="S25" s="668">
        <f t="shared" si="6"/>
        <v>0</v>
      </c>
      <c r="T25" s="660">
        <f t="shared" si="6"/>
        <v>0</v>
      </c>
      <c r="U25" s="669">
        <f t="shared" si="6"/>
        <v>745615.66779747605</v>
      </c>
      <c r="V25" s="1326"/>
      <c r="W25" s="1327"/>
      <c r="X25" s="819"/>
      <c r="Y25" s="819"/>
      <c r="Z25" s="819"/>
      <c r="AA25" s="819"/>
      <c r="AB25" s="819"/>
      <c r="AC25" s="819"/>
      <c r="AD25" s="819"/>
      <c r="AE25" s="819"/>
      <c r="AF25" s="819"/>
      <c r="AG25" s="819"/>
      <c r="AH25" s="819"/>
      <c r="AI25" s="819"/>
      <c r="AJ25" s="819"/>
      <c r="AK25" s="819"/>
      <c r="AL25" s="819"/>
      <c r="AM25" s="819"/>
      <c r="AN25" s="819"/>
      <c r="AO25" s="819"/>
      <c r="AP25" s="819"/>
      <c r="AQ25" s="819"/>
      <c r="AR25" s="819"/>
      <c r="AS25" s="819"/>
      <c r="AT25" s="819"/>
      <c r="AU25" s="819"/>
      <c r="AV25" s="819"/>
      <c r="AW25" s="819"/>
      <c r="AX25" s="819"/>
      <c r="AY25" s="819"/>
      <c r="AZ25" s="819"/>
      <c r="BA25" s="819"/>
      <c r="BB25" s="819"/>
      <c r="BC25" s="819"/>
      <c r="BD25" s="819"/>
      <c r="BE25" s="819"/>
      <c r="BF25" s="819"/>
      <c r="BG25" s="819"/>
      <c r="BH25" s="819"/>
      <c r="BI25" s="819"/>
      <c r="BJ25" s="819"/>
      <c r="BK25" s="819"/>
      <c r="BL25" s="819"/>
      <c r="BM25" s="819"/>
      <c r="BN25" s="819"/>
      <c r="BO25" s="819"/>
      <c r="BP25" s="819"/>
      <c r="BQ25" s="819"/>
      <c r="BR25" s="819"/>
      <c r="BS25" s="819"/>
      <c r="BT25" s="819"/>
      <c r="BU25" s="819"/>
      <c r="BV25" s="819"/>
      <c r="BW25" s="819"/>
      <c r="BX25" s="819"/>
      <c r="BY25" s="819"/>
      <c r="BZ25" s="819"/>
      <c r="CA25" s="819"/>
      <c r="CB25" s="819"/>
      <c r="CC25" s="819"/>
      <c r="CD25" s="819"/>
      <c r="CE25" s="819"/>
      <c r="CF25" s="819"/>
      <c r="CG25" s="819"/>
      <c r="CH25" s="819"/>
      <c r="CI25" s="819"/>
      <c r="CJ25" s="819"/>
      <c r="CK25" s="819"/>
      <c r="CL25" s="819"/>
      <c r="CM25" s="819"/>
      <c r="CN25" s="819"/>
      <c r="CO25" s="819"/>
      <c r="CP25" s="819"/>
      <c r="CQ25" s="819"/>
      <c r="CR25" s="819"/>
      <c r="CS25" s="819"/>
      <c r="CT25" s="819"/>
      <c r="CU25" s="819"/>
      <c r="CV25" s="819"/>
      <c r="CW25" s="819"/>
      <c r="CX25" s="819"/>
      <c r="CY25" s="819"/>
      <c r="CZ25" s="819"/>
      <c r="DA25" s="819"/>
      <c r="DB25" s="819"/>
      <c r="DC25" s="819"/>
      <c r="DD25" s="819"/>
      <c r="DE25" s="819"/>
      <c r="DF25" s="819"/>
      <c r="DG25" s="819"/>
      <c r="DH25" s="819"/>
      <c r="DI25" s="819"/>
      <c r="DJ25" s="819"/>
      <c r="DK25" s="819"/>
      <c r="DL25" s="819"/>
      <c r="DM25" s="819"/>
      <c r="DN25" s="819"/>
      <c r="DO25" s="819"/>
      <c r="DP25" s="819"/>
      <c r="DQ25" s="819"/>
      <c r="DR25" s="819"/>
      <c r="DS25" s="819"/>
      <c r="DT25" s="819"/>
      <c r="DU25" s="819"/>
      <c r="DV25" s="819"/>
      <c r="DW25" s="819"/>
      <c r="DX25" s="819"/>
      <c r="DY25" s="819"/>
      <c r="DZ25" s="819"/>
      <c r="EA25" s="819"/>
      <c r="EB25" s="819"/>
      <c r="EC25" s="819"/>
      <c r="ED25" s="819"/>
      <c r="EE25" s="819"/>
      <c r="EF25" s="819"/>
      <c r="EG25" s="819"/>
      <c r="EH25" s="819"/>
      <c r="EI25" s="819"/>
      <c r="EJ25" s="819"/>
      <c r="EK25" s="819"/>
      <c r="EL25" s="819"/>
      <c r="EM25" s="819"/>
      <c r="EN25" s="819"/>
      <c r="EO25" s="819"/>
      <c r="EP25" s="819"/>
      <c r="EQ25" s="819"/>
      <c r="ER25" s="819"/>
      <c r="ES25" s="819"/>
      <c r="ET25" s="819"/>
      <c r="EU25" s="819"/>
      <c r="EV25" s="819"/>
      <c r="EW25" s="819"/>
      <c r="EX25" s="819"/>
      <c r="EY25" s="819"/>
      <c r="EZ25" s="819"/>
      <c r="FA25" s="819"/>
      <c r="FB25" s="819"/>
      <c r="FC25" s="819"/>
      <c r="FD25" s="819"/>
      <c r="FE25" s="819"/>
      <c r="FF25" s="819"/>
      <c r="FG25" s="819"/>
      <c r="FH25" s="819"/>
      <c r="FI25" s="819"/>
      <c r="FJ25" s="819"/>
      <c r="FK25" s="819"/>
      <c r="FL25" s="819"/>
      <c r="FM25" s="819"/>
      <c r="FN25" s="819"/>
      <c r="FO25" s="819"/>
      <c r="FP25" s="819"/>
      <c r="FQ25" s="819"/>
      <c r="FR25" s="819"/>
      <c r="FS25" s="819"/>
      <c r="FT25" s="819"/>
      <c r="FU25" s="819"/>
      <c r="FV25" s="819"/>
      <c r="FW25" s="819"/>
      <c r="FX25" s="819"/>
      <c r="FY25" s="819"/>
      <c r="FZ25" s="819"/>
      <c r="GA25" s="819"/>
      <c r="GB25" s="819"/>
      <c r="GC25" s="819"/>
      <c r="GD25" s="819"/>
      <c r="GE25" s="819"/>
      <c r="GF25" s="819"/>
      <c r="GG25" s="819"/>
      <c r="GH25" s="819"/>
      <c r="GI25" s="819"/>
      <c r="GJ25" s="819"/>
      <c r="GK25" s="819"/>
      <c r="GL25" s="819"/>
      <c r="GM25" s="819"/>
      <c r="GN25" s="819"/>
      <c r="GO25" s="819"/>
      <c r="GP25" s="819"/>
      <c r="GQ25" s="819"/>
      <c r="GR25" s="819"/>
      <c r="GS25" s="819"/>
      <c r="GT25" s="819"/>
      <c r="GU25" s="819"/>
      <c r="GV25" s="819"/>
      <c r="GW25" s="819"/>
      <c r="GX25" s="819"/>
      <c r="GY25" s="819"/>
      <c r="GZ25" s="819"/>
      <c r="HA25" s="819"/>
      <c r="HB25" s="819"/>
      <c r="HC25" s="819"/>
      <c r="HD25" s="819"/>
      <c r="HE25" s="819"/>
      <c r="HF25" s="819"/>
      <c r="HG25" s="819"/>
      <c r="HH25" s="819"/>
      <c r="HI25" s="819"/>
      <c r="HJ25" s="819"/>
      <c r="HK25" s="819"/>
      <c r="HL25" s="819"/>
      <c r="HM25" s="819"/>
      <c r="HN25" s="819"/>
      <c r="HO25" s="819"/>
      <c r="HP25" s="819"/>
      <c r="HQ25" s="819"/>
      <c r="HR25" s="819"/>
      <c r="HS25" s="819"/>
      <c r="HT25" s="819"/>
    </row>
    <row r="26" spans="1:228" s="845" customFormat="1" ht="15.95" customHeight="1" thickBot="1">
      <c r="A26" s="825">
        <v>24</v>
      </c>
      <c r="B26" s="790"/>
      <c r="C26" s="791"/>
      <c r="D26" s="791"/>
      <c r="E26" s="792"/>
      <c r="F26" s="793"/>
      <c r="G26" s="792"/>
      <c r="H26" s="792"/>
      <c r="I26" s="792"/>
      <c r="J26" s="794"/>
      <c r="K26" s="794"/>
      <c r="L26" s="794"/>
      <c r="M26" s="794"/>
      <c r="N26" s="794"/>
      <c r="O26" s="794"/>
      <c r="P26" s="794"/>
      <c r="Q26" s="794"/>
      <c r="R26" s="794"/>
      <c r="S26" s="794"/>
      <c r="T26" s="794"/>
      <c r="U26" s="795"/>
      <c r="V26" s="1330">
        <f>C25-C13</f>
        <v>698.96000000007916</v>
      </c>
      <c r="W26" s="1331"/>
      <c r="X26" s="819"/>
      <c r="Y26" s="819"/>
      <c r="Z26" s="819"/>
      <c r="AA26" s="819"/>
      <c r="AB26" s="819"/>
      <c r="AC26" s="819"/>
      <c r="AD26" s="819"/>
      <c r="AE26" s="819"/>
      <c r="AF26" s="819"/>
      <c r="AG26" s="819"/>
      <c r="AH26" s="819"/>
      <c r="AI26" s="819"/>
      <c r="AJ26" s="819"/>
      <c r="AK26" s="819"/>
      <c r="AL26" s="819"/>
      <c r="AM26" s="819"/>
      <c r="AN26" s="819"/>
      <c r="AO26" s="819"/>
      <c r="AP26" s="819"/>
      <c r="AQ26" s="819"/>
      <c r="AR26" s="819"/>
      <c r="AS26" s="819"/>
      <c r="AT26" s="819"/>
      <c r="AU26" s="819"/>
      <c r="AV26" s="819"/>
      <c r="AW26" s="819"/>
      <c r="AX26" s="819"/>
      <c r="AY26" s="819"/>
      <c r="AZ26" s="819"/>
      <c r="BA26" s="819"/>
      <c r="BB26" s="819"/>
      <c r="BC26" s="819"/>
      <c r="BD26" s="819"/>
      <c r="BE26" s="819"/>
      <c r="BF26" s="819"/>
      <c r="BG26" s="819"/>
      <c r="BH26" s="819"/>
      <c r="BI26" s="819"/>
      <c r="BJ26" s="819"/>
      <c r="BK26" s="819"/>
      <c r="BL26" s="819"/>
      <c r="BM26" s="819"/>
      <c r="BN26" s="819"/>
      <c r="BO26" s="819"/>
      <c r="BP26" s="819"/>
      <c r="BQ26" s="819"/>
      <c r="BR26" s="819"/>
      <c r="BS26" s="819"/>
      <c r="BT26" s="819"/>
      <c r="BU26" s="819"/>
      <c r="BV26" s="819"/>
      <c r="BW26" s="819"/>
      <c r="BX26" s="819"/>
      <c r="BY26" s="819"/>
      <c r="BZ26" s="819"/>
      <c r="CA26" s="819"/>
      <c r="CB26" s="819"/>
      <c r="CC26" s="819"/>
      <c r="CD26" s="819"/>
      <c r="CE26" s="819"/>
      <c r="CF26" s="819"/>
      <c r="CG26" s="819"/>
      <c r="CH26" s="819"/>
      <c r="CI26" s="819"/>
      <c r="CJ26" s="819"/>
      <c r="CK26" s="819"/>
      <c r="CL26" s="819"/>
      <c r="CM26" s="819"/>
      <c r="CN26" s="819"/>
      <c r="CO26" s="819"/>
      <c r="CP26" s="819"/>
      <c r="CQ26" s="819"/>
      <c r="CR26" s="819"/>
      <c r="CS26" s="819"/>
      <c r="CT26" s="819"/>
      <c r="CU26" s="819"/>
      <c r="CV26" s="819"/>
      <c r="CW26" s="819"/>
      <c r="CX26" s="819"/>
      <c r="CY26" s="819"/>
      <c r="CZ26" s="819"/>
      <c r="DA26" s="819"/>
      <c r="DB26" s="819"/>
      <c r="DC26" s="819"/>
      <c r="DD26" s="819"/>
      <c r="DE26" s="819"/>
      <c r="DF26" s="819"/>
      <c r="DG26" s="819"/>
      <c r="DH26" s="819"/>
      <c r="DI26" s="819"/>
      <c r="DJ26" s="819"/>
      <c r="DK26" s="819"/>
      <c r="DL26" s="819"/>
      <c r="DM26" s="819"/>
      <c r="DN26" s="819"/>
      <c r="DO26" s="819"/>
      <c r="DP26" s="819"/>
      <c r="DQ26" s="819"/>
      <c r="DR26" s="819"/>
      <c r="DS26" s="819"/>
      <c r="DT26" s="819"/>
      <c r="DU26" s="819"/>
      <c r="DV26" s="819"/>
      <c r="DW26" s="819"/>
      <c r="DX26" s="819"/>
      <c r="DY26" s="819"/>
      <c r="DZ26" s="819"/>
      <c r="EA26" s="819"/>
      <c r="EB26" s="819"/>
      <c r="EC26" s="819"/>
      <c r="ED26" s="819"/>
      <c r="EE26" s="819"/>
      <c r="EF26" s="819"/>
      <c r="EG26" s="819"/>
      <c r="EH26" s="819"/>
      <c r="EI26" s="819"/>
      <c r="EJ26" s="819"/>
      <c r="EK26" s="819"/>
      <c r="EL26" s="819"/>
      <c r="EM26" s="819"/>
      <c r="EN26" s="819"/>
      <c r="EO26" s="819"/>
      <c r="EP26" s="819"/>
      <c r="EQ26" s="819"/>
      <c r="ER26" s="819"/>
      <c r="ES26" s="819"/>
      <c r="ET26" s="819"/>
      <c r="EU26" s="819"/>
      <c r="EV26" s="819"/>
      <c r="EW26" s="819"/>
      <c r="EX26" s="819"/>
      <c r="EY26" s="819"/>
      <c r="EZ26" s="819"/>
      <c r="FA26" s="819"/>
      <c r="FB26" s="819"/>
      <c r="FC26" s="819"/>
      <c r="FD26" s="819"/>
      <c r="FE26" s="819"/>
      <c r="FF26" s="819"/>
      <c r="FG26" s="819"/>
      <c r="FH26" s="819"/>
      <c r="FI26" s="819"/>
      <c r="FJ26" s="819"/>
      <c r="FK26" s="819"/>
      <c r="FL26" s="819"/>
      <c r="FM26" s="819"/>
      <c r="FN26" s="819"/>
      <c r="FO26" s="819"/>
      <c r="FP26" s="819"/>
      <c r="FQ26" s="819"/>
      <c r="FR26" s="819"/>
      <c r="FS26" s="819"/>
      <c r="FT26" s="819"/>
      <c r="FU26" s="819"/>
      <c r="FV26" s="819"/>
      <c r="FW26" s="819"/>
      <c r="FX26" s="819"/>
      <c r="FY26" s="819"/>
      <c r="FZ26" s="819"/>
      <c r="GA26" s="819"/>
      <c r="GB26" s="819"/>
      <c r="GC26" s="819"/>
      <c r="GD26" s="819"/>
      <c r="GE26" s="819"/>
      <c r="GF26" s="819"/>
      <c r="GG26" s="819"/>
      <c r="GH26" s="819"/>
      <c r="GI26" s="819"/>
      <c r="GJ26" s="819"/>
      <c r="GK26" s="819"/>
      <c r="GL26" s="819"/>
      <c r="GM26" s="819"/>
      <c r="GN26" s="819"/>
      <c r="GO26" s="819"/>
      <c r="GP26" s="819"/>
      <c r="GQ26" s="819"/>
      <c r="GR26" s="819"/>
      <c r="GS26" s="819"/>
      <c r="GT26" s="819"/>
      <c r="GU26" s="819"/>
      <c r="GV26" s="819"/>
      <c r="GW26" s="819"/>
      <c r="GX26" s="819"/>
      <c r="GY26" s="819"/>
      <c r="GZ26" s="819"/>
      <c r="HA26" s="819"/>
      <c r="HB26" s="819"/>
      <c r="HC26" s="819"/>
      <c r="HD26" s="819"/>
      <c r="HE26" s="819"/>
      <c r="HF26" s="819"/>
      <c r="HG26" s="819"/>
      <c r="HH26" s="819"/>
      <c r="HI26" s="819"/>
      <c r="HJ26" s="819"/>
      <c r="HK26" s="819"/>
      <c r="HL26" s="819"/>
      <c r="HM26" s="819"/>
      <c r="HN26" s="819"/>
      <c r="HO26" s="819"/>
      <c r="HP26" s="819"/>
      <c r="HQ26" s="819"/>
      <c r="HR26" s="819"/>
      <c r="HS26" s="819"/>
      <c r="HT26" s="819"/>
    </row>
    <row r="27" spans="1:228" s="840" customFormat="1" ht="12" customHeight="1">
      <c r="A27" s="825">
        <v>25</v>
      </c>
      <c r="B27" s="1339" t="s">
        <v>2665</v>
      </c>
      <c r="C27" s="1340"/>
      <c r="D27" s="1340"/>
      <c r="E27" s="1340"/>
      <c r="F27" s="1340"/>
      <c r="G27" s="1340"/>
      <c r="H27" s="1340"/>
      <c r="I27" s="1341"/>
      <c r="J27" s="602">
        <f t="shared" ref="J27:R27" si="7">J19-J13</f>
        <v>-2373.5872283114536</v>
      </c>
      <c r="K27" s="590">
        <f t="shared" si="7"/>
        <v>0</v>
      </c>
      <c r="L27" s="590">
        <f t="shared" si="7"/>
        <v>0</v>
      </c>
      <c r="M27" s="590">
        <f t="shared" si="7"/>
        <v>0</v>
      </c>
      <c r="N27" s="590">
        <f t="shared" si="7"/>
        <v>0</v>
      </c>
      <c r="O27" s="590">
        <f t="shared" si="7"/>
        <v>-376945.00196856738</v>
      </c>
      <c r="P27" s="590">
        <f t="shared" si="7"/>
        <v>-65500.67755507541</v>
      </c>
      <c r="Q27" s="590">
        <f t="shared" si="7"/>
        <v>0</v>
      </c>
      <c r="R27" s="590">
        <f t="shared" si="7"/>
        <v>-4623.2801565565833</v>
      </c>
      <c r="S27" s="590">
        <f>S19-S13</f>
        <v>0</v>
      </c>
      <c r="T27" s="591">
        <f>T19-T13</f>
        <v>0</v>
      </c>
      <c r="U27" s="592">
        <f>U19-U13</f>
        <v>-449442.54690851085</v>
      </c>
      <c r="V27" s="819"/>
      <c r="W27" s="819"/>
      <c r="X27" s="819"/>
      <c r="Y27" s="819"/>
      <c r="Z27" s="819"/>
      <c r="AA27" s="819"/>
      <c r="AB27" s="819"/>
      <c r="AC27" s="819"/>
      <c r="AD27" s="819"/>
      <c r="AE27" s="819"/>
      <c r="AF27" s="819"/>
      <c r="AG27" s="819"/>
      <c r="AH27" s="819"/>
      <c r="AI27" s="819"/>
      <c r="AJ27" s="819"/>
      <c r="AK27" s="819"/>
      <c r="AL27" s="819"/>
      <c r="AM27" s="819"/>
      <c r="AN27" s="819"/>
      <c r="AO27" s="819"/>
      <c r="AP27" s="819"/>
      <c r="AQ27" s="819"/>
      <c r="AR27" s="819"/>
      <c r="AS27" s="819"/>
      <c r="AT27" s="819"/>
      <c r="AU27" s="819"/>
      <c r="AV27" s="819"/>
      <c r="AW27" s="819"/>
      <c r="AX27" s="819"/>
      <c r="AY27" s="819"/>
      <c r="AZ27" s="819"/>
      <c r="BA27" s="819"/>
      <c r="BB27" s="819"/>
      <c r="BC27" s="819"/>
      <c r="BD27" s="819"/>
      <c r="BE27" s="819"/>
      <c r="BF27" s="819"/>
      <c r="BG27" s="819"/>
      <c r="BH27" s="819"/>
      <c r="BI27" s="819"/>
      <c r="BJ27" s="819"/>
      <c r="BK27" s="819"/>
      <c r="BL27" s="819"/>
      <c r="BM27" s="819"/>
      <c r="BN27" s="819"/>
      <c r="BO27" s="819"/>
      <c r="BP27" s="819"/>
      <c r="BQ27" s="819"/>
      <c r="BR27" s="819"/>
      <c r="BS27" s="819"/>
      <c r="BT27" s="819"/>
      <c r="BU27" s="819"/>
      <c r="BV27" s="819"/>
      <c r="BW27" s="819"/>
      <c r="BX27" s="819"/>
      <c r="BY27" s="819"/>
      <c r="BZ27" s="819"/>
      <c r="CA27" s="819"/>
      <c r="CB27" s="819"/>
      <c r="CC27" s="819"/>
      <c r="CD27" s="819"/>
      <c r="CE27" s="819"/>
      <c r="CF27" s="819"/>
      <c r="CG27" s="819"/>
      <c r="CH27" s="819"/>
      <c r="CI27" s="819"/>
      <c r="CJ27" s="819"/>
      <c r="CK27" s="819"/>
      <c r="CL27" s="819"/>
      <c r="CM27" s="819"/>
      <c r="CN27" s="819"/>
      <c r="CO27" s="819"/>
      <c r="CP27" s="819"/>
      <c r="CQ27" s="819"/>
      <c r="CR27" s="819"/>
      <c r="CS27" s="819"/>
      <c r="CT27" s="819"/>
      <c r="CU27" s="819"/>
      <c r="CV27" s="819"/>
      <c r="CW27" s="819"/>
      <c r="CX27" s="819"/>
      <c r="CY27" s="819"/>
      <c r="CZ27" s="819"/>
      <c r="DA27" s="819"/>
      <c r="DB27" s="819"/>
      <c r="DC27" s="819"/>
      <c r="DD27" s="819"/>
      <c r="DE27" s="819"/>
      <c r="DF27" s="819"/>
      <c r="DG27" s="819"/>
      <c r="DH27" s="819"/>
      <c r="DI27" s="819"/>
      <c r="DJ27" s="819"/>
      <c r="DK27" s="819"/>
      <c r="DL27" s="819"/>
      <c r="DM27" s="819"/>
      <c r="DN27" s="819"/>
      <c r="DO27" s="819"/>
      <c r="DP27" s="819"/>
      <c r="DQ27" s="819"/>
      <c r="DR27" s="819"/>
      <c r="DS27" s="819"/>
      <c r="DT27" s="819"/>
      <c r="DU27" s="819"/>
      <c r="DV27" s="819"/>
      <c r="DW27" s="819"/>
      <c r="DX27" s="819"/>
      <c r="DY27" s="819"/>
      <c r="DZ27" s="819"/>
      <c r="EA27" s="819"/>
      <c r="EB27" s="819"/>
      <c r="EC27" s="819"/>
      <c r="ED27" s="819"/>
      <c r="EE27" s="819"/>
      <c r="EF27" s="819"/>
      <c r="EG27" s="819"/>
      <c r="EH27" s="819"/>
      <c r="EI27" s="819"/>
      <c r="EJ27" s="819"/>
      <c r="EK27" s="819"/>
      <c r="EL27" s="819"/>
      <c r="EM27" s="819"/>
      <c r="EN27" s="819"/>
      <c r="EO27" s="819"/>
      <c r="EP27" s="819"/>
      <c r="EQ27" s="819"/>
      <c r="ER27" s="819"/>
      <c r="ES27" s="819"/>
      <c r="ET27" s="819"/>
      <c r="EU27" s="819"/>
      <c r="EV27" s="819"/>
      <c r="EW27" s="819"/>
      <c r="EX27" s="819"/>
      <c r="EY27" s="819"/>
      <c r="EZ27" s="819"/>
      <c r="FA27" s="819"/>
      <c r="FB27" s="819"/>
      <c r="FC27" s="819"/>
      <c r="FD27" s="819"/>
      <c r="FE27" s="819"/>
      <c r="FF27" s="819"/>
      <c r="FG27" s="819"/>
      <c r="FH27" s="819"/>
      <c r="FI27" s="819"/>
      <c r="FJ27" s="819"/>
      <c r="FK27" s="819"/>
      <c r="FL27" s="819"/>
      <c r="FM27" s="819"/>
      <c r="FN27" s="819"/>
      <c r="FO27" s="819"/>
      <c r="FP27" s="819"/>
      <c r="FQ27" s="819"/>
      <c r="FR27" s="819"/>
      <c r="FS27" s="819"/>
      <c r="FT27" s="819"/>
      <c r="FU27" s="819"/>
      <c r="FV27" s="819"/>
      <c r="FW27" s="819"/>
      <c r="FX27" s="819"/>
      <c r="FY27" s="819"/>
      <c r="FZ27" s="819"/>
      <c r="GA27" s="819"/>
      <c r="GB27" s="819"/>
      <c r="GC27" s="819"/>
      <c r="GD27" s="819"/>
      <c r="GE27" s="819"/>
      <c r="GF27" s="819"/>
      <c r="GG27" s="819"/>
      <c r="GH27" s="819"/>
      <c r="GI27" s="819"/>
      <c r="GJ27" s="819"/>
      <c r="GK27" s="819"/>
      <c r="GL27" s="819"/>
      <c r="GM27" s="819"/>
      <c r="GN27" s="819"/>
      <c r="GO27" s="819"/>
      <c r="GP27" s="819"/>
      <c r="GQ27" s="819"/>
      <c r="GR27" s="819"/>
      <c r="GS27" s="819"/>
      <c r="GT27" s="819"/>
      <c r="GU27" s="819"/>
      <c r="GV27" s="819"/>
      <c r="GW27" s="819"/>
      <c r="GX27" s="819"/>
      <c r="GY27" s="819"/>
      <c r="GZ27" s="819"/>
      <c r="HA27" s="819"/>
      <c r="HB27" s="819"/>
      <c r="HC27" s="819"/>
      <c r="HD27" s="819"/>
      <c r="HE27" s="819"/>
      <c r="HF27" s="819"/>
      <c r="HG27" s="819"/>
      <c r="HH27" s="819"/>
      <c r="HI27" s="819"/>
      <c r="HJ27" s="819"/>
      <c r="HK27" s="819"/>
      <c r="HL27" s="819"/>
      <c r="HM27" s="819"/>
      <c r="HN27" s="819"/>
      <c r="HO27" s="819"/>
      <c r="HP27" s="819"/>
      <c r="HQ27" s="819"/>
      <c r="HR27" s="819"/>
      <c r="HS27" s="819"/>
      <c r="HT27" s="819"/>
    </row>
    <row r="28" spans="1:228" s="840" customFormat="1" ht="25.5" customHeight="1">
      <c r="A28" s="825">
        <v>26</v>
      </c>
      <c r="B28" s="1036" t="s">
        <v>2671</v>
      </c>
      <c r="C28" s="1037" t="s">
        <v>172</v>
      </c>
      <c r="D28" s="1037" t="s">
        <v>172</v>
      </c>
      <c r="E28" s="1037"/>
      <c r="F28" s="1037" t="s">
        <v>172</v>
      </c>
      <c r="G28" s="1037" t="s">
        <v>172</v>
      </c>
      <c r="H28" s="1037" t="s">
        <v>172</v>
      </c>
      <c r="I28" s="1313" t="s">
        <v>172</v>
      </c>
      <c r="J28" s="603">
        <f>J27-J17+J22+J23</f>
        <v>-2381.9743426130217</v>
      </c>
      <c r="K28" s="594">
        <f t="shared" ref="K28:U28" si="8">K27-K17+K22+K23</f>
        <v>0</v>
      </c>
      <c r="L28" s="594">
        <f t="shared" si="8"/>
        <v>0</v>
      </c>
      <c r="M28" s="594">
        <f t="shared" si="8"/>
        <v>0</v>
      </c>
      <c r="N28" s="594">
        <f t="shared" si="8"/>
        <v>0</v>
      </c>
      <c r="O28" s="594">
        <f t="shared" si="8"/>
        <v>-351983.3763808317</v>
      </c>
      <c r="P28" s="594">
        <f t="shared" si="8"/>
        <v>-50746.008602794987</v>
      </c>
      <c r="Q28" s="594">
        <f t="shared" si="8"/>
        <v>0</v>
      </c>
      <c r="R28" s="594">
        <f t="shared" si="8"/>
        <v>-4639.6166023626201</v>
      </c>
      <c r="S28" s="594">
        <f t="shared" si="8"/>
        <v>0</v>
      </c>
      <c r="T28" s="595">
        <f t="shared" si="8"/>
        <v>0</v>
      </c>
      <c r="U28" s="596">
        <f t="shared" si="8"/>
        <v>-409750.97592860239</v>
      </c>
      <c r="V28" s="819"/>
      <c r="W28" s="819"/>
      <c r="X28" s="819"/>
      <c r="Y28" s="819"/>
      <c r="Z28" s="819"/>
      <c r="AA28" s="819"/>
      <c r="AB28" s="819"/>
      <c r="AC28" s="819"/>
      <c r="AD28" s="819"/>
      <c r="AE28" s="819"/>
      <c r="AF28" s="819"/>
      <c r="AG28" s="819"/>
      <c r="AH28" s="819"/>
      <c r="AI28" s="819"/>
      <c r="AJ28" s="819"/>
      <c r="AK28" s="819"/>
      <c r="AL28" s="819"/>
      <c r="AM28" s="819"/>
      <c r="AN28" s="819"/>
      <c r="AO28" s="819"/>
      <c r="AP28" s="819"/>
      <c r="AQ28" s="819"/>
      <c r="AR28" s="819"/>
      <c r="AS28" s="819"/>
      <c r="AT28" s="819"/>
      <c r="AU28" s="819"/>
      <c r="AV28" s="819"/>
      <c r="AW28" s="819"/>
      <c r="AX28" s="819"/>
      <c r="AY28" s="819"/>
      <c r="AZ28" s="819"/>
      <c r="BA28" s="819"/>
      <c r="BB28" s="819"/>
      <c r="BC28" s="819"/>
      <c r="BD28" s="819"/>
      <c r="BE28" s="819"/>
      <c r="BF28" s="819"/>
      <c r="BG28" s="819"/>
      <c r="BH28" s="819"/>
      <c r="BI28" s="819"/>
      <c r="BJ28" s="819"/>
      <c r="BK28" s="819"/>
      <c r="BL28" s="819"/>
      <c r="BM28" s="819"/>
      <c r="BN28" s="819"/>
      <c r="BO28" s="819"/>
      <c r="BP28" s="819"/>
      <c r="BQ28" s="819"/>
      <c r="BR28" s="819"/>
      <c r="BS28" s="819"/>
      <c r="BT28" s="819"/>
      <c r="BU28" s="819"/>
      <c r="BV28" s="819"/>
      <c r="BW28" s="819"/>
      <c r="BX28" s="819"/>
      <c r="BY28" s="819"/>
      <c r="BZ28" s="819"/>
      <c r="CA28" s="819"/>
      <c r="CB28" s="819"/>
      <c r="CC28" s="819"/>
      <c r="CD28" s="819"/>
      <c r="CE28" s="819"/>
      <c r="CF28" s="819"/>
      <c r="CG28" s="819"/>
      <c r="CH28" s="819"/>
      <c r="CI28" s="819"/>
      <c r="CJ28" s="819"/>
      <c r="CK28" s="819"/>
      <c r="CL28" s="819"/>
      <c r="CM28" s="819"/>
      <c r="CN28" s="819"/>
      <c r="CO28" s="819"/>
      <c r="CP28" s="819"/>
      <c r="CQ28" s="819"/>
      <c r="CR28" s="819"/>
      <c r="CS28" s="819"/>
      <c r="CT28" s="819"/>
      <c r="CU28" s="819"/>
      <c r="CV28" s="819"/>
      <c r="CW28" s="819"/>
      <c r="CX28" s="819"/>
      <c r="CY28" s="819"/>
      <c r="CZ28" s="819"/>
      <c r="DA28" s="819"/>
      <c r="DB28" s="819"/>
      <c r="DC28" s="819"/>
      <c r="DD28" s="819"/>
      <c r="DE28" s="819"/>
      <c r="DF28" s="819"/>
      <c r="DG28" s="819"/>
      <c r="DH28" s="819"/>
      <c r="DI28" s="819"/>
      <c r="DJ28" s="819"/>
      <c r="DK28" s="819"/>
      <c r="DL28" s="819"/>
      <c r="DM28" s="819"/>
      <c r="DN28" s="819"/>
      <c r="DO28" s="819"/>
      <c r="DP28" s="819"/>
      <c r="DQ28" s="819"/>
      <c r="DR28" s="819"/>
      <c r="DS28" s="819"/>
      <c r="DT28" s="819"/>
      <c r="DU28" s="819"/>
      <c r="DV28" s="819"/>
      <c r="DW28" s="819"/>
      <c r="DX28" s="819"/>
      <c r="DY28" s="819"/>
      <c r="DZ28" s="819"/>
      <c r="EA28" s="819"/>
      <c r="EB28" s="819"/>
      <c r="EC28" s="819"/>
      <c r="ED28" s="819"/>
      <c r="EE28" s="819"/>
      <c r="EF28" s="819"/>
      <c r="EG28" s="819"/>
      <c r="EH28" s="819"/>
      <c r="EI28" s="819"/>
      <c r="EJ28" s="819"/>
      <c r="EK28" s="819"/>
      <c r="EL28" s="819"/>
      <c r="EM28" s="819"/>
      <c r="EN28" s="819"/>
      <c r="EO28" s="819"/>
      <c r="EP28" s="819"/>
      <c r="EQ28" s="819"/>
      <c r="ER28" s="819"/>
      <c r="ES28" s="819"/>
      <c r="ET28" s="819"/>
      <c r="EU28" s="819"/>
      <c r="EV28" s="819"/>
      <c r="EW28" s="819"/>
      <c r="EX28" s="819"/>
      <c r="EY28" s="819"/>
      <c r="EZ28" s="819"/>
      <c r="FA28" s="819"/>
      <c r="FB28" s="819"/>
      <c r="FC28" s="819"/>
      <c r="FD28" s="819"/>
      <c r="FE28" s="819"/>
      <c r="FF28" s="819"/>
      <c r="FG28" s="819"/>
      <c r="FH28" s="819"/>
      <c r="FI28" s="819"/>
      <c r="FJ28" s="819"/>
      <c r="FK28" s="819"/>
      <c r="FL28" s="819"/>
      <c r="FM28" s="819"/>
      <c r="FN28" s="819"/>
      <c r="FO28" s="819"/>
      <c r="FP28" s="819"/>
      <c r="FQ28" s="819"/>
      <c r="FR28" s="819"/>
      <c r="FS28" s="819"/>
      <c r="FT28" s="819"/>
      <c r="FU28" s="819"/>
      <c r="FV28" s="819"/>
      <c r="FW28" s="819"/>
      <c r="FX28" s="819"/>
      <c r="FY28" s="819"/>
      <c r="FZ28" s="819"/>
      <c r="GA28" s="819"/>
      <c r="GB28" s="819"/>
      <c r="GC28" s="819"/>
      <c r="GD28" s="819"/>
      <c r="GE28" s="819"/>
      <c r="GF28" s="819"/>
      <c r="GG28" s="819"/>
      <c r="GH28" s="819"/>
      <c r="GI28" s="819"/>
      <c r="GJ28" s="819"/>
      <c r="GK28" s="819"/>
      <c r="GL28" s="819"/>
      <c r="GM28" s="819"/>
      <c r="GN28" s="819"/>
      <c r="GO28" s="819"/>
      <c r="GP28" s="819"/>
      <c r="GQ28" s="819"/>
      <c r="GR28" s="819"/>
      <c r="GS28" s="819"/>
      <c r="GT28" s="819"/>
      <c r="GU28" s="819"/>
      <c r="GV28" s="819"/>
      <c r="GW28" s="819"/>
      <c r="GX28" s="819"/>
      <c r="GY28" s="819"/>
      <c r="GZ28" s="819"/>
      <c r="HA28" s="819"/>
      <c r="HB28" s="819"/>
      <c r="HC28" s="819"/>
      <c r="HD28" s="819"/>
      <c r="HE28" s="819"/>
      <c r="HF28" s="819"/>
      <c r="HG28" s="819"/>
      <c r="HH28" s="819"/>
      <c r="HI28" s="819"/>
      <c r="HJ28" s="819"/>
      <c r="HK28" s="819"/>
      <c r="HL28" s="819"/>
      <c r="HM28" s="819"/>
      <c r="HN28" s="819"/>
      <c r="HO28" s="819"/>
      <c r="HP28" s="819"/>
      <c r="HQ28" s="819"/>
      <c r="HR28" s="819"/>
      <c r="HS28" s="819"/>
      <c r="HT28" s="819"/>
    </row>
    <row r="29" spans="1:228" s="840" customFormat="1" ht="17.25" customHeight="1">
      <c r="A29" s="825">
        <v>27</v>
      </c>
      <c r="B29" s="1036" t="s">
        <v>2672</v>
      </c>
      <c r="C29" s="1037" t="s">
        <v>172</v>
      </c>
      <c r="D29" s="1037" t="s">
        <v>172</v>
      </c>
      <c r="E29" s="1037"/>
      <c r="F29" s="1037" t="s">
        <v>172</v>
      </c>
      <c r="G29" s="1037" t="s">
        <v>172</v>
      </c>
      <c r="H29" s="1037" t="s">
        <v>172</v>
      </c>
      <c r="I29" s="1313" t="s">
        <v>172</v>
      </c>
      <c r="J29" s="603">
        <f>J28+J21</f>
        <v>-2381.9743426130217</v>
      </c>
      <c r="K29" s="594">
        <f t="shared" ref="K29:U29" si="9">K28+K21</f>
        <v>0</v>
      </c>
      <c r="L29" s="594">
        <f t="shared" si="9"/>
        <v>0</v>
      </c>
      <c r="M29" s="594">
        <f t="shared" si="9"/>
        <v>0</v>
      </c>
      <c r="N29" s="594">
        <f t="shared" si="9"/>
        <v>0</v>
      </c>
      <c r="O29" s="594">
        <f t="shared" si="9"/>
        <v>-203934.15808348829</v>
      </c>
      <c r="P29" s="594">
        <f t="shared" si="9"/>
        <v>-27403.226900138383</v>
      </c>
      <c r="Q29" s="594">
        <f t="shared" si="9"/>
        <v>0</v>
      </c>
      <c r="R29" s="594">
        <f t="shared" si="9"/>
        <v>-4639.6166023626201</v>
      </c>
      <c r="S29" s="594">
        <f t="shared" si="9"/>
        <v>0</v>
      </c>
      <c r="T29" s="595">
        <f t="shared" si="9"/>
        <v>0</v>
      </c>
      <c r="U29" s="596">
        <f t="shared" si="9"/>
        <v>-238358.97592860239</v>
      </c>
      <c r="V29" s="819"/>
      <c r="W29" s="819"/>
      <c r="X29" s="819"/>
      <c r="Y29" s="819"/>
      <c r="Z29" s="819"/>
      <c r="AA29" s="819"/>
      <c r="AB29" s="819"/>
      <c r="AC29" s="819"/>
      <c r="AD29" s="819"/>
      <c r="AE29" s="819"/>
      <c r="AF29" s="819"/>
      <c r="AG29" s="819"/>
      <c r="AH29" s="819"/>
      <c r="AI29" s="819"/>
      <c r="AJ29" s="819"/>
      <c r="AK29" s="819"/>
      <c r="AL29" s="819"/>
      <c r="AM29" s="819"/>
      <c r="AN29" s="819"/>
      <c r="AO29" s="819"/>
      <c r="AP29" s="819"/>
      <c r="AQ29" s="819"/>
      <c r="AR29" s="819"/>
      <c r="AS29" s="819"/>
      <c r="AT29" s="819"/>
      <c r="AU29" s="819"/>
      <c r="AV29" s="819"/>
      <c r="AW29" s="819"/>
      <c r="AX29" s="819"/>
      <c r="AY29" s="819"/>
      <c r="AZ29" s="819"/>
      <c r="BA29" s="819"/>
      <c r="BB29" s="819"/>
      <c r="BC29" s="819"/>
      <c r="BD29" s="819"/>
      <c r="BE29" s="819"/>
      <c r="BF29" s="819"/>
      <c r="BG29" s="819"/>
      <c r="BH29" s="819"/>
      <c r="BI29" s="819"/>
      <c r="BJ29" s="819"/>
      <c r="BK29" s="819"/>
      <c r="BL29" s="819"/>
      <c r="BM29" s="819"/>
      <c r="BN29" s="819"/>
      <c r="BO29" s="819"/>
      <c r="BP29" s="819"/>
      <c r="BQ29" s="819"/>
      <c r="BR29" s="819"/>
      <c r="BS29" s="819"/>
      <c r="BT29" s="819"/>
      <c r="BU29" s="819"/>
      <c r="BV29" s="819"/>
      <c r="BW29" s="819"/>
      <c r="BX29" s="819"/>
      <c r="BY29" s="819"/>
      <c r="BZ29" s="819"/>
      <c r="CA29" s="819"/>
      <c r="CB29" s="819"/>
      <c r="CC29" s="819"/>
      <c r="CD29" s="819"/>
      <c r="CE29" s="819"/>
      <c r="CF29" s="819"/>
      <c r="CG29" s="819"/>
      <c r="CH29" s="819"/>
      <c r="CI29" s="819"/>
      <c r="CJ29" s="819"/>
      <c r="CK29" s="819"/>
      <c r="CL29" s="819"/>
      <c r="CM29" s="819"/>
      <c r="CN29" s="819"/>
      <c r="CO29" s="819"/>
      <c r="CP29" s="819"/>
      <c r="CQ29" s="819"/>
      <c r="CR29" s="819"/>
      <c r="CS29" s="819"/>
      <c r="CT29" s="819"/>
      <c r="CU29" s="819"/>
      <c r="CV29" s="819"/>
      <c r="CW29" s="819"/>
      <c r="CX29" s="819"/>
      <c r="CY29" s="819"/>
      <c r="CZ29" s="819"/>
      <c r="DA29" s="819"/>
      <c r="DB29" s="819"/>
      <c r="DC29" s="819"/>
      <c r="DD29" s="819"/>
      <c r="DE29" s="819"/>
      <c r="DF29" s="819"/>
      <c r="DG29" s="819"/>
      <c r="DH29" s="819"/>
      <c r="DI29" s="819"/>
      <c r="DJ29" s="819"/>
      <c r="DK29" s="819"/>
      <c r="DL29" s="819"/>
      <c r="DM29" s="819"/>
      <c r="DN29" s="819"/>
      <c r="DO29" s="819"/>
      <c r="DP29" s="819"/>
      <c r="DQ29" s="819"/>
      <c r="DR29" s="819"/>
      <c r="DS29" s="819"/>
      <c r="DT29" s="819"/>
      <c r="DU29" s="819"/>
      <c r="DV29" s="819"/>
      <c r="DW29" s="819"/>
      <c r="DX29" s="819"/>
      <c r="DY29" s="819"/>
      <c r="DZ29" s="819"/>
      <c r="EA29" s="819"/>
      <c r="EB29" s="819"/>
      <c r="EC29" s="819"/>
      <c r="ED29" s="819"/>
      <c r="EE29" s="819"/>
      <c r="EF29" s="819"/>
      <c r="EG29" s="819"/>
      <c r="EH29" s="819"/>
      <c r="EI29" s="819"/>
      <c r="EJ29" s="819"/>
      <c r="EK29" s="819"/>
      <c r="EL29" s="819"/>
      <c r="EM29" s="819"/>
      <c r="EN29" s="819"/>
      <c r="EO29" s="819"/>
      <c r="EP29" s="819"/>
      <c r="EQ29" s="819"/>
      <c r="ER29" s="819"/>
      <c r="ES29" s="819"/>
      <c r="ET29" s="819"/>
      <c r="EU29" s="819"/>
      <c r="EV29" s="819"/>
      <c r="EW29" s="819"/>
      <c r="EX29" s="819"/>
      <c r="EY29" s="819"/>
      <c r="EZ29" s="819"/>
      <c r="FA29" s="819"/>
      <c r="FB29" s="819"/>
      <c r="FC29" s="819"/>
      <c r="FD29" s="819"/>
      <c r="FE29" s="819"/>
      <c r="FF29" s="819"/>
      <c r="FG29" s="819"/>
      <c r="FH29" s="819"/>
      <c r="FI29" s="819"/>
      <c r="FJ29" s="819"/>
      <c r="FK29" s="819"/>
      <c r="FL29" s="819"/>
      <c r="FM29" s="819"/>
      <c r="FN29" s="819"/>
      <c r="FO29" s="819"/>
      <c r="FP29" s="819"/>
      <c r="FQ29" s="819"/>
      <c r="FR29" s="819"/>
      <c r="FS29" s="819"/>
      <c r="FT29" s="819"/>
      <c r="FU29" s="819"/>
      <c r="FV29" s="819"/>
      <c r="FW29" s="819"/>
      <c r="FX29" s="819"/>
      <c r="FY29" s="819"/>
      <c r="FZ29" s="819"/>
      <c r="GA29" s="819"/>
      <c r="GB29" s="819"/>
      <c r="GC29" s="819"/>
      <c r="GD29" s="819"/>
      <c r="GE29" s="819"/>
      <c r="GF29" s="819"/>
      <c r="GG29" s="819"/>
      <c r="GH29" s="819"/>
      <c r="GI29" s="819"/>
      <c r="GJ29" s="819"/>
      <c r="GK29" s="819"/>
      <c r="GL29" s="819"/>
      <c r="GM29" s="819"/>
      <c r="GN29" s="819"/>
      <c r="GO29" s="819"/>
      <c r="GP29" s="819"/>
      <c r="GQ29" s="819"/>
      <c r="GR29" s="819"/>
      <c r="GS29" s="819"/>
      <c r="GT29" s="819"/>
      <c r="GU29" s="819"/>
      <c r="GV29" s="819"/>
      <c r="GW29" s="819"/>
      <c r="GX29" s="819"/>
      <c r="GY29" s="819"/>
      <c r="GZ29" s="819"/>
      <c r="HA29" s="819"/>
      <c r="HB29" s="819"/>
      <c r="HC29" s="819"/>
      <c r="HD29" s="819"/>
      <c r="HE29" s="819"/>
      <c r="HF29" s="819"/>
      <c r="HG29" s="819"/>
      <c r="HH29" s="819"/>
      <c r="HI29" s="819"/>
      <c r="HJ29" s="819"/>
      <c r="HK29" s="819"/>
      <c r="HL29" s="819"/>
      <c r="HM29" s="819"/>
      <c r="HN29" s="819"/>
      <c r="HO29" s="819"/>
      <c r="HP29" s="819"/>
      <c r="HQ29" s="819"/>
      <c r="HR29" s="819"/>
      <c r="HS29" s="819"/>
      <c r="HT29" s="819"/>
    </row>
    <row r="30" spans="1:228" s="840" customFormat="1" ht="17.25" customHeight="1" thickBot="1">
      <c r="A30" s="825">
        <v>28</v>
      </c>
      <c r="B30" s="1039" t="s">
        <v>2436</v>
      </c>
      <c r="C30" s="1040" t="s">
        <v>172</v>
      </c>
      <c r="D30" s="1040" t="s">
        <v>172</v>
      </c>
      <c r="E30" s="1040"/>
      <c r="F30" s="1040" t="s">
        <v>172</v>
      </c>
      <c r="G30" s="1040" t="s">
        <v>172</v>
      </c>
      <c r="H30" s="1040" t="s">
        <v>172</v>
      </c>
      <c r="I30" s="1342" t="s">
        <v>172</v>
      </c>
      <c r="J30" s="604">
        <f>J29+J20</f>
        <v>10218.025657386977</v>
      </c>
      <c r="K30" s="598">
        <f t="shared" ref="K30:U30" si="10">K29+K20</f>
        <v>0</v>
      </c>
      <c r="L30" s="598">
        <f t="shared" si="10"/>
        <v>0</v>
      </c>
      <c r="M30" s="598">
        <f t="shared" si="10"/>
        <v>0</v>
      </c>
      <c r="N30" s="598">
        <f t="shared" si="10"/>
        <v>0</v>
      </c>
      <c r="O30" s="598">
        <f t="shared" si="10"/>
        <v>-3898.1580834882916</v>
      </c>
      <c r="P30" s="598">
        <f t="shared" si="10"/>
        <v>-27403.226900138383</v>
      </c>
      <c r="Q30" s="598">
        <f t="shared" si="10"/>
        <v>0</v>
      </c>
      <c r="R30" s="598">
        <f t="shared" si="10"/>
        <v>3360.3833976373799</v>
      </c>
      <c r="S30" s="598">
        <f t="shared" si="10"/>
        <v>0</v>
      </c>
      <c r="T30" s="599" t="s">
        <v>172</v>
      </c>
      <c r="U30" s="600">
        <f t="shared" si="10"/>
        <v>-17722.975928602391</v>
      </c>
      <c r="V30" s="819"/>
      <c r="W30" s="819"/>
      <c r="X30" s="819"/>
      <c r="Y30" s="819"/>
      <c r="Z30" s="819"/>
      <c r="AA30" s="819"/>
      <c r="AB30" s="819"/>
      <c r="AC30" s="819"/>
      <c r="AD30" s="819"/>
      <c r="AE30" s="819"/>
      <c r="AF30" s="819"/>
      <c r="AG30" s="819"/>
      <c r="AH30" s="819"/>
      <c r="AI30" s="819"/>
      <c r="AJ30" s="819"/>
      <c r="AK30" s="819"/>
      <c r="AL30" s="819"/>
      <c r="AM30" s="819"/>
      <c r="AN30" s="819"/>
      <c r="AO30" s="819"/>
      <c r="AP30" s="819"/>
      <c r="AQ30" s="819"/>
      <c r="AR30" s="819"/>
      <c r="AS30" s="819"/>
      <c r="AT30" s="819"/>
      <c r="AU30" s="819"/>
      <c r="AV30" s="819"/>
      <c r="AW30" s="819"/>
      <c r="AX30" s="819"/>
      <c r="AY30" s="819"/>
      <c r="AZ30" s="819"/>
      <c r="BA30" s="819"/>
      <c r="BB30" s="819"/>
      <c r="BC30" s="819"/>
      <c r="BD30" s="819"/>
      <c r="BE30" s="819"/>
      <c r="BF30" s="819"/>
      <c r="BG30" s="819"/>
      <c r="BH30" s="819"/>
      <c r="BI30" s="819"/>
      <c r="BJ30" s="819"/>
      <c r="BK30" s="819"/>
      <c r="BL30" s="819"/>
      <c r="BM30" s="819"/>
      <c r="BN30" s="819"/>
      <c r="BO30" s="819"/>
      <c r="BP30" s="819"/>
      <c r="BQ30" s="819"/>
      <c r="BR30" s="819"/>
      <c r="BS30" s="819"/>
      <c r="BT30" s="819"/>
      <c r="BU30" s="819"/>
      <c r="BV30" s="819"/>
      <c r="BW30" s="819"/>
      <c r="BX30" s="819"/>
      <c r="BY30" s="819"/>
      <c r="BZ30" s="819"/>
      <c r="CA30" s="819"/>
      <c r="CB30" s="819"/>
      <c r="CC30" s="819"/>
      <c r="CD30" s="819"/>
      <c r="CE30" s="819"/>
      <c r="CF30" s="819"/>
      <c r="CG30" s="819"/>
      <c r="CH30" s="819"/>
      <c r="CI30" s="819"/>
      <c r="CJ30" s="819"/>
      <c r="CK30" s="819"/>
      <c r="CL30" s="819"/>
      <c r="CM30" s="819"/>
      <c r="CN30" s="819"/>
      <c r="CO30" s="819"/>
      <c r="CP30" s="819"/>
      <c r="CQ30" s="819"/>
      <c r="CR30" s="819"/>
      <c r="CS30" s="819"/>
      <c r="CT30" s="819"/>
      <c r="CU30" s="819"/>
      <c r="CV30" s="819"/>
      <c r="CW30" s="819"/>
      <c r="CX30" s="819"/>
      <c r="CY30" s="819"/>
      <c r="CZ30" s="819"/>
      <c r="DA30" s="819"/>
      <c r="DB30" s="819"/>
      <c r="DC30" s="819"/>
      <c r="DD30" s="819"/>
      <c r="DE30" s="819"/>
      <c r="DF30" s="819"/>
      <c r="DG30" s="819"/>
      <c r="DH30" s="819"/>
      <c r="DI30" s="819"/>
      <c r="DJ30" s="819"/>
      <c r="DK30" s="819"/>
      <c r="DL30" s="819"/>
      <c r="DM30" s="819"/>
      <c r="DN30" s="819"/>
      <c r="DO30" s="819"/>
      <c r="DP30" s="819"/>
      <c r="DQ30" s="819"/>
      <c r="DR30" s="819"/>
      <c r="DS30" s="819"/>
      <c r="DT30" s="819"/>
      <c r="DU30" s="819"/>
      <c r="DV30" s="819"/>
      <c r="DW30" s="819"/>
      <c r="DX30" s="819"/>
      <c r="DY30" s="819"/>
      <c r="DZ30" s="819"/>
      <c r="EA30" s="819"/>
      <c r="EB30" s="819"/>
      <c r="EC30" s="819"/>
      <c r="ED30" s="819"/>
      <c r="EE30" s="819"/>
      <c r="EF30" s="819"/>
      <c r="EG30" s="819"/>
      <c r="EH30" s="819"/>
      <c r="EI30" s="819"/>
      <c r="EJ30" s="819"/>
      <c r="EK30" s="819"/>
      <c r="EL30" s="819"/>
      <c r="EM30" s="819"/>
      <c r="EN30" s="819"/>
      <c r="EO30" s="819"/>
      <c r="EP30" s="819"/>
      <c r="EQ30" s="819"/>
      <c r="ER30" s="819"/>
      <c r="ES30" s="819"/>
      <c r="ET30" s="819"/>
      <c r="EU30" s="819"/>
      <c r="EV30" s="819"/>
      <c r="EW30" s="819"/>
      <c r="EX30" s="819"/>
      <c r="EY30" s="819"/>
      <c r="EZ30" s="819"/>
      <c r="FA30" s="819"/>
      <c r="FB30" s="819"/>
      <c r="FC30" s="819"/>
      <c r="FD30" s="819"/>
      <c r="FE30" s="819"/>
      <c r="FF30" s="819"/>
      <c r="FG30" s="819"/>
      <c r="FH30" s="819"/>
      <c r="FI30" s="819"/>
      <c r="FJ30" s="819"/>
      <c r="FK30" s="819"/>
      <c r="FL30" s="819"/>
      <c r="FM30" s="819"/>
      <c r="FN30" s="819"/>
      <c r="FO30" s="819"/>
      <c r="FP30" s="819"/>
      <c r="FQ30" s="819"/>
      <c r="FR30" s="819"/>
      <c r="FS30" s="819"/>
      <c r="FT30" s="819"/>
      <c r="FU30" s="819"/>
      <c r="FV30" s="819"/>
      <c r="FW30" s="819"/>
      <c r="FX30" s="819"/>
      <c r="FY30" s="819"/>
      <c r="FZ30" s="819"/>
      <c r="GA30" s="819"/>
      <c r="GB30" s="819"/>
      <c r="GC30" s="819"/>
      <c r="GD30" s="819"/>
      <c r="GE30" s="819"/>
      <c r="GF30" s="819"/>
      <c r="GG30" s="819"/>
      <c r="GH30" s="819"/>
      <c r="GI30" s="819"/>
      <c r="GJ30" s="819"/>
      <c r="GK30" s="819"/>
      <c r="GL30" s="819"/>
      <c r="GM30" s="819"/>
      <c r="GN30" s="819"/>
      <c r="GO30" s="819"/>
      <c r="GP30" s="819"/>
      <c r="GQ30" s="819"/>
      <c r="GR30" s="819"/>
      <c r="GS30" s="819"/>
      <c r="GT30" s="819"/>
      <c r="GU30" s="819"/>
      <c r="GV30" s="819"/>
      <c r="GW30" s="819"/>
      <c r="GX30" s="819"/>
      <c r="GY30" s="819"/>
      <c r="GZ30" s="819"/>
      <c r="HA30" s="819"/>
      <c r="HB30" s="819"/>
      <c r="HC30" s="819"/>
      <c r="HD30" s="819"/>
      <c r="HE30" s="819"/>
      <c r="HF30" s="819"/>
      <c r="HG30" s="819"/>
      <c r="HH30" s="819"/>
      <c r="HI30" s="819"/>
      <c r="HJ30" s="819"/>
      <c r="HK30" s="819"/>
      <c r="HL30" s="819"/>
      <c r="HM30" s="819"/>
      <c r="HN30" s="819"/>
      <c r="HO30" s="819"/>
      <c r="HP30" s="819"/>
      <c r="HQ30" s="819"/>
      <c r="HR30" s="819"/>
      <c r="HS30" s="819"/>
      <c r="HT30" s="819"/>
    </row>
    <row r="31" spans="1:228" s="845" customFormat="1" ht="17.25" customHeight="1">
      <c r="A31" s="856" t="s">
        <v>2437</v>
      </c>
      <c r="B31" s="857"/>
      <c r="C31" s="858"/>
      <c r="D31" s="858"/>
      <c r="E31" s="858"/>
      <c r="F31" s="859"/>
      <c r="G31" s="859"/>
      <c r="H31" s="859"/>
      <c r="I31" s="860"/>
      <c r="J31" s="1328" t="str">
        <f>IF(AM33&lt;&gt;0,"Die rote Markierung verschwindet, sobald für diesen Kostenträger auch direkte Kosten erfasst worden sind.","")</f>
        <v/>
      </c>
      <c r="K31" s="1328"/>
      <c r="L31" s="1328"/>
      <c r="M31" s="1328"/>
      <c r="N31" s="1328"/>
      <c r="O31" s="1328"/>
      <c r="P31" s="1328"/>
      <c r="Q31" s="1328"/>
      <c r="R31" s="1328"/>
      <c r="S31" s="1328"/>
      <c r="T31" s="1328"/>
      <c r="U31" s="1328"/>
      <c r="V31" s="819"/>
      <c r="W31" s="819"/>
      <c r="X31" s="819"/>
      <c r="Y31" s="819"/>
      <c r="Z31" s="819"/>
      <c r="AA31" s="819"/>
      <c r="AB31" s="819"/>
      <c r="AC31" s="819"/>
      <c r="AD31" s="819"/>
      <c r="AE31" s="819"/>
      <c r="AF31" s="819"/>
      <c r="AG31" s="819"/>
      <c r="AH31" s="819"/>
      <c r="AI31" s="819"/>
      <c r="AJ31" s="819"/>
      <c r="AK31" s="819"/>
      <c r="AL31" s="819"/>
      <c r="AM31" s="819"/>
      <c r="AN31" s="819"/>
      <c r="AO31" s="819"/>
      <c r="AP31" s="819"/>
      <c r="AQ31" s="819"/>
      <c r="AR31" s="819"/>
      <c r="AS31" s="819"/>
      <c r="AT31" s="819"/>
      <c r="AU31" s="819"/>
      <c r="AV31" s="819"/>
      <c r="AW31" s="819"/>
      <c r="AX31" s="819"/>
      <c r="AY31" s="819"/>
      <c r="AZ31" s="819"/>
      <c r="BA31" s="819"/>
      <c r="BB31" s="819"/>
      <c r="BC31" s="819"/>
      <c r="BD31" s="819"/>
      <c r="BE31" s="819"/>
      <c r="BF31" s="819"/>
      <c r="BG31" s="819"/>
      <c r="BH31" s="819"/>
      <c r="BI31" s="819"/>
      <c r="BJ31" s="819"/>
      <c r="BK31" s="819"/>
      <c r="BL31" s="819"/>
      <c r="BM31" s="819"/>
      <c r="BN31" s="819"/>
      <c r="BO31" s="819"/>
      <c r="BP31" s="819"/>
      <c r="BQ31" s="819"/>
      <c r="BR31" s="819"/>
      <c r="BS31" s="819"/>
      <c r="BT31" s="819"/>
      <c r="BU31" s="819"/>
      <c r="BV31" s="819"/>
      <c r="BW31" s="819"/>
      <c r="BX31" s="819"/>
      <c r="BY31" s="819"/>
      <c r="BZ31" s="819"/>
      <c r="CA31" s="819"/>
      <c r="CB31" s="819"/>
      <c r="CC31" s="819"/>
      <c r="CD31" s="819"/>
      <c r="CE31" s="819"/>
      <c r="CF31" s="819"/>
      <c r="CG31" s="819"/>
      <c r="CH31" s="819"/>
      <c r="CI31" s="819"/>
      <c r="CJ31" s="819"/>
      <c r="CK31" s="819"/>
      <c r="CL31" s="819"/>
      <c r="CM31" s="819"/>
      <c r="CN31" s="819"/>
      <c r="CO31" s="819"/>
      <c r="CP31" s="819"/>
      <c r="CQ31" s="819"/>
      <c r="CR31" s="819"/>
      <c r="CS31" s="819"/>
      <c r="CT31" s="819"/>
      <c r="CU31" s="819"/>
      <c r="CV31" s="819"/>
      <c r="CW31" s="819"/>
      <c r="CX31" s="819"/>
      <c r="CY31" s="819"/>
      <c r="CZ31" s="819"/>
      <c r="DA31" s="819"/>
      <c r="DB31" s="819"/>
      <c r="DC31" s="819"/>
      <c r="DD31" s="819"/>
      <c r="DE31" s="819"/>
      <c r="DF31" s="819"/>
      <c r="DG31" s="819"/>
      <c r="DH31" s="819"/>
      <c r="DI31" s="819"/>
      <c r="DJ31" s="819"/>
      <c r="DK31" s="819"/>
      <c r="DL31" s="819"/>
      <c r="DM31" s="819"/>
      <c r="DN31" s="819"/>
      <c r="DO31" s="819"/>
      <c r="DP31" s="819"/>
      <c r="DQ31" s="819"/>
      <c r="DR31" s="819"/>
      <c r="DS31" s="819"/>
      <c r="DT31" s="819"/>
      <c r="DU31" s="819"/>
      <c r="DV31" s="819"/>
      <c r="DW31" s="819"/>
      <c r="DX31" s="819"/>
      <c r="DY31" s="819"/>
      <c r="DZ31" s="819"/>
      <c r="EA31" s="819"/>
      <c r="EB31" s="819"/>
      <c r="EC31" s="819"/>
      <c r="ED31" s="819"/>
      <c r="EE31" s="819"/>
      <c r="EF31" s="819"/>
      <c r="EG31" s="819"/>
      <c r="EH31" s="819"/>
      <c r="EI31" s="819"/>
      <c r="EJ31" s="819"/>
      <c r="EK31" s="819"/>
      <c r="EL31" s="819"/>
      <c r="EM31" s="819"/>
      <c r="EN31" s="819"/>
      <c r="EO31" s="819"/>
      <c r="EP31" s="819"/>
      <c r="EQ31" s="819"/>
      <c r="ER31" s="819"/>
      <c r="ES31" s="819"/>
      <c r="ET31" s="819"/>
      <c r="EU31" s="819"/>
      <c r="EV31" s="819"/>
      <c r="EW31" s="819"/>
      <c r="EX31" s="819"/>
      <c r="EY31" s="819"/>
      <c r="EZ31" s="819"/>
      <c r="FA31" s="819"/>
      <c r="FB31" s="819"/>
      <c r="FC31" s="819"/>
      <c r="FD31" s="819"/>
      <c r="FE31" s="819"/>
      <c r="FF31" s="819"/>
      <c r="FG31" s="819"/>
      <c r="FH31" s="819"/>
      <c r="FI31" s="819"/>
      <c r="FJ31" s="819"/>
      <c r="FK31" s="819"/>
      <c r="FL31" s="819"/>
      <c r="FM31" s="819"/>
      <c r="FN31" s="819"/>
      <c r="FO31" s="819"/>
      <c r="FP31" s="819"/>
      <c r="FQ31" s="819"/>
      <c r="FR31" s="819"/>
      <c r="FS31" s="819"/>
      <c r="FT31" s="819"/>
      <c r="FU31" s="819"/>
      <c r="FV31" s="819"/>
      <c r="FW31" s="819"/>
      <c r="FX31" s="819"/>
      <c r="FY31" s="819"/>
      <c r="FZ31" s="819"/>
      <c r="GA31" s="819"/>
      <c r="GB31" s="819"/>
      <c r="GC31" s="819"/>
      <c r="GD31" s="819"/>
      <c r="GE31" s="819"/>
      <c r="GF31" s="819"/>
      <c r="GG31" s="819"/>
      <c r="GH31" s="819"/>
      <c r="GI31" s="819"/>
      <c r="GJ31" s="819"/>
      <c r="GK31" s="819"/>
      <c r="GL31" s="819"/>
      <c r="GM31" s="819"/>
      <c r="GN31" s="819"/>
      <c r="GO31" s="819"/>
      <c r="GP31" s="819"/>
      <c r="GQ31" s="819"/>
      <c r="GR31" s="819"/>
      <c r="GS31" s="819"/>
      <c r="GT31" s="819"/>
      <c r="GU31" s="819"/>
      <c r="GV31" s="819"/>
      <c r="GW31" s="819"/>
      <c r="GX31" s="819"/>
      <c r="GY31" s="819"/>
      <c r="GZ31" s="819"/>
      <c r="HA31" s="819"/>
      <c r="HB31" s="819"/>
      <c r="HC31" s="819"/>
      <c r="HD31" s="819"/>
      <c r="HE31" s="819"/>
      <c r="HF31" s="819"/>
      <c r="HG31" s="819"/>
      <c r="HH31" s="819"/>
      <c r="HI31" s="819"/>
      <c r="HJ31" s="819"/>
      <c r="HK31" s="819"/>
      <c r="HL31" s="819"/>
      <c r="HM31" s="819"/>
      <c r="HN31" s="819"/>
      <c r="HO31" s="819"/>
      <c r="HP31" s="819"/>
      <c r="HQ31" s="819"/>
      <c r="HR31" s="819"/>
      <c r="HS31" s="819"/>
      <c r="HT31" s="819"/>
    </row>
    <row r="32" spans="1:228" ht="32.25" customHeight="1">
      <c r="A32" s="1321" t="s">
        <v>2670</v>
      </c>
      <c r="B32" s="1321"/>
      <c r="C32" s="1321"/>
      <c r="D32" s="1321"/>
      <c r="E32" s="1321"/>
      <c r="F32" s="1321"/>
      <c r="G32" s="1321"/>
      <c r="H32" s="1321"/>
      <c r="I32" s="1321"/>
      <c r="J32" s="1328"/>
      <c r="K32" s="1328"/>
      <c r="L32" s="1328"/>
      <c r="M32" s="1328"/>
      <c r="N32" s="1328"/>
      <c r="O32" s="1328"/>
      <c r="P32" s="1328"/>
      <c r="Q32" s="1328"/>
      <c r="R32" s="1328"/>
      <c r="S32" s="1328"/>
      <c r="T32" s="1328"/>
      <c r="U32" s="1328"/>
    </row>
    <row r="33" spans="1:228" ht="17.25" customHeight="1">
      <c r="A33" s="1312" t="s">
        <v>2438</v>
      </c>
      <c r="B33" s="1312"/>
      <c r="C33" s="1312"/>
      <c r="D33" s="1312"/>
      <c r="E33" s="1312"/>
      <c r="F33" s="859"/>
      <c r="G33" s="859"/>
      <c r="H33" s="859"/>
      <c r="I33" s="859"/>
      <c r="J33" s="861"/>
      <c r="K33" s="859"/>
      <c r="L33" s="859"/>
      <c r="M33" s="859"/>
      <c r="N33" s="859"/>
      <c r="O33" s="859"/>
      <c r="P33" s="859"/>
      <c r="Q33" s="859"/>
      <c r="R33" s="859"/>
      <c r="S33" s="859"/>
      <c r="T33" s="859"/>
      <c r="U33" s="859"/>
    </row>
    <row r="34" spans="1:228" s="845" customFormat="1" ht="20.25" customHeight="1">
      <c r="A34" s="860"/>
      <c r="B34" s="860"/>
      <c r="C34" s="860"/>
      <c r="D34" s="860"/>
      <c r="E34" s="860"/>
      <c r="F34" s="860"/>
      <c r="G34" s="860"/>
      <c r="H34" s="860"/>
      <c r="I34" s="860"/>
      <c r="J34" s="862"/>
      <c r="K34" s="862"/>
      <c r="L34" s="862"/>
      <c r="M34" s="862"/>
      <c r="N34" s="862"/>
      <c r="O34" s="862"/>
      <c r="P34" s="862"/>
      <c r="Q34" s="862"/>
      <c r="R34" s="862"/>
      <c r="S34" s="862"/>
      <c r="T34" s="862"/>
      <c r="U34" s="862"/>
      <c r="V34" s="819"/>
      <c r="W34" s="819"/>
      <c r="X34" s="819"/>
      <c r="Y34" s="819"/>
      <c r="Z34" s="819"/>
      <c r="AA34" s="819"/>
      <c r="AB34" s="819"/>
      <c r="AC34" s="819"/>
      <c r="AD34" s="819"/>
      <c r="AE34" s="819"/>
      <c r="AF34" s="819"/>
      <c r="AG34" s="819"/>
      <c r="AH34" s="819"/>
      <c r="AI34" s="819"/>
      <c r="AJ34" s="819"/>
      <c r="AK34" s="819"/>
      <c r="AL34" s="819"/>
      <c r="AM34" s="819"/>
      <c r="AN34" s="819"/>
      <c r="AO34" s="819"/>
      <c r="AP34" s="819"/>
      <c r="AQ34" s="819"/>
      <c r="AR34" s="819"/>
      <c r="AS34" s="819"/>
      <c r="AT34" s="819"/>
      <c r="AU34" s="819"/>
      <c r="AV34" s="819"/>
      <c r="AW34" s="819"/>
      <c r="AX34" s="819"/>
      <c r="AY34" s="819"/>
      <c r="AZ34" s="819"/>
      <c r="BA34" s="819"/>
      <c r="BB34" s="819"/>
      <c r="BC34" s="819"/>
      <c r="BD34" s="819"/>
      <c r="BE34" s="819"/>
      <c r="BF34" s="819"/>
      <c r="BG34" s="819"/>
      <c r="BH34" s="819"/>
      <c r="BI34" s="819"/>
      <c r="BJ34" s="819"/>
      <c r="BK34" s="819"/>
      <c r="BL34" s="819"/>
      <c r="BM34" s="819"/>
      <c r="BN34" s="819"/>
      <c r="BO34" s="819"/>
      <c r="BP34" s="819"/>
      <c r="BQ34" s="819"/>
      <c r="BR34" s="819"/>
      <c r="BS34" s="819"/>
      <c r="BT34" s="819"/>
      <c r="BU34" s="819"/>
      <c r="BV34" s="819"/>
      <c r="BW34" s="819"/>
      <c r="BX34" s="819"/>
      <c r="BY34" s="819"/>
      <c r="BZ34" s="819"/>
      <c r="CA34" s="819"/>
      <c r="CB34" s="819"/>
      <c r="CC34" s="819"/>
      <c r="CD34" s="819"/>
      <c r="CE34" s="819"/>
      <c r="CF34" s="819"/>
      <c r="CG34" s="819"/>
      <c r="CH34" s="819"/>
      <c r="CI34" s="819"/>
      <c r="CJ34" s="819"/>
      <c r="CK34" s="819"/>
      <c r="CL34" s="819"/>
      <c r="CM34" s="819"/>
      <c r="CN34" s="819"/>
      <c r="CO34" s="819"/>
      <c r="CP34" s="819"/>
      <c r="CQ34" s="819"/>
      <c r="CR34" s="819"/>
      <c r="CS34" s="819"/>
      <c r="CT34" s="819"/>
      <c r="CU34" s="819"/>
      <c r="CV34" s="819"/>
      <c r="CW34" s="819"/>
      <c r="CX34" s="819"/>
      <c r="CY34" s="819"/>
      <c r="CZ34" s="819"/>
      <c r="DA34" s="819"/>
      <c r="DB34" s="819"/>
      <c r="DC34" s="819"/>
      <c r="DD34" s="819"/>
      <c r="DE34" s="819"/>
      <c r="DF34" s="819"/>
      <c r="DG34" s="819"/>
      <c r="DH34" s="819"/>
      <c r="DI34" s="819"/>
      <c r="DJ34" s="819"/>
      <c r="DK34" s="819"/>
      <c r="DL34" s="819"/>
      <c r="DM34" s="819"/>
      <c r="DN34" s="819"/>
      <c r="DO34" s="819"/>
      <c r="DP34" s="819"/>
      <c r="DQ34" s="819"/>
      <c r="DR34" s="819"/>
      <c r="DS34" s="819"/>
      <c r="DT34" s="819"/>
      <c r="DU34" s="819"/>
      <c r="DV34" s="819"/>
      <c r="DW34" s="819"/>
      <c r="DX34" s="819"/>
      <c r="DY34" s="819"/>
      <c r="DZ34" s="819"/>
      <c r="EA34" s="819"/>
      <c r="EB34" s="819"/>
      <c r="EC34" s="819"/>
      <c r="ED34" s="819"/>
      <c r="EE34" s="819"/>
      <c r="EF34" s="819"/>
      <c r="EG34" s="819"/>
      <c r="EH34" s="819"/>
      <c r="EI34" s="819"/>
      <c r="EJ34" s="819"/>
      <c r="EK34" s="819"/>
      <c r="EL34" s="819"/>
      <c r="EM34" s="819"/>
      <c r="EN34" s="819"/>
      <c r="EO34" s="819"/>
      <c r="EP34" s="819"/>
      <c r="EQ34" s="819"/>
      <c r="ER34" s="819"/>
      <c r="ES34" s="819"/>
      <c r="ET34" s="819"/>
      <c r="EU34" s="819"/>
      <c r="EV34" s="819"/>
      <c r="EW34" s="819"/>
      <c r="EX34" s="819"/>
      <c r="EY34" s="819"/>
      <c r="EZ34" s="819"/>
      <c r="FA34" s="819"/>
      <c r="FB34" s="819"/>
      <c r="FC34" s="819"/>
      <c r="FD34" s="819"/>
      <c r="FE34" s="819"/>
      <c r="FF34" s="819"/>
      <c r="FG34" s="819"/>
      <c r="FH34" s="819"/>
      <c r="FI34" s="819"/>
      <c r="FJ34" s="819"/>
      <c r="FK34" s="819"/>
      <c r="FL34" s="819"/>
      <c r="FM34" s="819"/>
      <c r="FN34" s="819"/>
      <c r="FO34" s="819"/>
      <c r="FP34" s="819"/>
      <c r="FQ34" s="819"/>
      <c r="FR34" s="819"/>
      <c r="FS34" s="819"/>
      <c r="FT34" s="819"/>
      <c r="FU34" s="819"/>
      <c r="FV34" s="819"/>
      <c r="FW34" s="819"/>
      <c r="FX34" s="819"/>
      <c r="FY34" s="819"/>
      <c r="FZ34" s="819"/>
      <c r="GA34" s="819"/>
      <c r="GB34" s="819"/>
      <c r="GC34" s="819"/>
      <c r="GD34" s="819"/>
      <c r="GE34" s="819"/>
      <c r="GF34" s="819"/>
      <c r="GG34" s="819"/>
      <c r="GH34" s="819"/>
      <c r="GI34" s="819"/>
      <c r="GJ34" s="819"/>
      <c r="GK34" s="819"/>
      <c r="GL34" s="819"/>
      <c r="GM34" s="819"/>
      <c r="GN34" s="819"/>
      <c r="GO34" s="819"/>
      <c r="GP34" s="819"/>
      <c r="GQ34" s="819"/>
      <c r="GR34" s="819"/>
      <c r="GS34" s="819"/>
      <c r="GT34" s="819"/>
      <c r="GU34" s="819"/>
      <c r="GV34" s="819"/>
      <c r="GW34" s="819"/>
      <c r="GX34" s="819"/>
      <c r="GY34" s="819"/>
      <c r="GZ34" s="819"/>
      <c r="HA34" s="819"/>
      <c r="HB34" s="819"/>
      <c r="HC34" s="819"/>
      <c r="HD34" s="819"/>
      <c r="HE34" s="819"/>
      <c r="HF34" s="819"/>
      <c r="HG34" s="819"/>
      <c r="HH34" s="819"/>
      <c r="HI34" s="819"/>
      <c r="HJ34" s="819"/>
      <c r="HK34" s="819"/>
      <c r="HL34" s="819"/>
      <c r="HM34" s="819"/>
      <c r="HN34" s="819"/>
      <c r="HO34" s="819"/>
      <c r="HP34" s="819"/>
      <c r="HQ34" s="819"/>
      <c r="HR34" s="819"/>
      <c r="HS34" s="819"/>
      <c r="HT34" s="819"/>
    </row>
    <row r="35" spans="1:228" s="840" customFormat="1">
      <c r="A35" s="863"/>
      <c r="V35" s="819"/>
      <c r="W35" s="819"/>
      <c r="X35" s="819"/>
      <c r="Y35" s="819"/>
      <c r="Z35" s="819"/>
      <c r="AA35" s="819"/>
      <c r="AB35" s="819"/>
      <c r="AC35" s="819"/>
      <c r="AD35" s="819"/>
      <c r="AE35" s="819"/>
      <c r="AF35" s="819"/>
      <c r="AG35" s="819"/>
      <c r="AH35" s="819"/>
      <c r="AI35" s="819"/>
      <c r="AJ35" s="819"/>
      <c r="AK35" s="819"/>
      <c r="AL35" s="819"/>
      <c r="AM35" s="819"/>
      <c r="AN35" s="819"/>
      <c r="AO35" s="819"/>
      <c r="AP35" s="819"/>
      <c r="AQ35" s="819"/>
      <c r="AR35" s="819"/>
      <c r="AS35" s="819"/>
      <c r="AT35" s="819"/>
      <c r="AU35" s="819"/>
      <c r="AV35" s="819"/>
      <c r="AW35" s="819"/>
      <c r="AX35" s="819"/>
      <c r="AY35" s="819"/>
      <c r="AZ35" s="819"/>
      <c r="BA35" s="819"/>
      <c r="BB35" s="819"/>
      <c r="BC35" s="819"/>
      <c r="BD35" s="819"/>
      <c r="BE35" s="819"/>
      <c r="BF35" s="819"/>
      <c r="BG35" s="819"/>
      <c r="BH35" s="819"/>
      <c r="BI35" s="819"/>
      <c r="BJ35" s="819"/>
      <c r="BK35" s="819"/>
      <c r="BL35" s="819"/>
      <c r="BM35" s="819"/>
      <c r="BN35" s="819"/>
      <c r="BO35" s="819"/>
      <c r="BP35" s="819"/>
      <c r="BQ35" s="819"/>
      <c r="BR35" s="819"/>
      <c r="BS35" s="819"/>
      <c r="BT35" s="819"/>
      <c r="BU35" s="819"/>
      <c r="BV35" s="819"/>
      <c r="BW35" s="819"/>
      <c r="BX35" s="819"/>
      <c r="BY35" s="819"/>
      <c r="BZ35" s="819"/>
      <c r="CA35" s="819"/>
      <c r="CB35" s="819"/>
      <c r="CC35" s="819"/>
      <c r="CD35" s="819"/>
      <c r="CE35" s="819"/>
      <c r="CF35" s="819"/>
      <c r="CG35" s="819"/>
      <c r="CH35" s="819"/>
      <c r="CI35" s="819"/>
      <c r="CJ35" s="819"/>
      <c r="CK35" s="819"/>
      <c r="CL35" s="819"/>
      <c r="CM35" s="819"/>
      <c r="CN35" s="819"/>
      <c r="CO35" s="819"/>
      <c r="CP35" s="819"/>
      <c r="CQ35" s="819"/>
      <c r="CR35" s="819"/>
      <c r="CS35" s="819"/>
      <c r="CT35" s="819"/>
      <c r="CU35" s="819"/>
      <c r="CV35" s="819"/>
      <c r="CW35" s="819"/>
      <c r="CX35" s="819"/>
      <c r="CY35" s="819"/>
      <c r="CZ35" s="819"/>
      <c r="DA35" s="819"/>
      <c r="DB35" s="819"/>
      <c r="DC35" s="819"/>
      <c r="DD35" s="819"/>
      <c r="DE35" s="819"/>
      <c r="DF35" s="819"/>
      <c r="DG35" s="819"/>
      <c r="DH35" s="819"/>
      <c r="DI35" s="819"/>
      <c r="DJ35" s="819"/>
      <c r="DK35" s="819"/>
      <c r="DL35" s="819"/>
      <c r="DM35" s="819"/>
      <c r="DN35" s="819"/>
      <c r="DO35" s="819"/>
      <c r="DP35" s="819"/>
      <c r="DQ35" s="819"/>
      <c r="DR35" s="819"/>
      <c r="DS35" s="819"/>
      <c r="DT35" s="819"/>
      <c r="DU35" s="819"/>
      <c r="DV35" s="819"/>
      <c r="DW35" s="819"/>
      <c r="DX35" s="819"/>
      <c r="DY35" s="819"/>
      <c r="DZ35" s="819"/>
      <c r="EA35" s="819"/>
      <c r="EB35" s="819"/>
      <c r="EC35" s="819"/>
      <c r="ED35" s="819"/>
      <c r="EE35" s="819"/>
      <c r="EF35" s="819"/>
      <c r="EG35" s="819"/>
      <c r="EH35" s="819"/>
      <c r="EI35" s="819"/>
      <c r="EJ35" s="819"/>
      <c r="EK35" s="819"/>
      <c r="EL35" s="819"/>
      <c r="EM35" s="819"/>
      <c r="EN35" s="819"/>
      <c r="EO35" s="819"/>
      <c r="EP35" s="819"/>
      <c r="EQ35" s="819"/>
      <c r="ER35" s="819"/>
      <c r="ES35" s="819"/>
      <c r="ET35" s="819"/>
      <c r="EU35" s="819"/>
      <c r="EV35" s="819"/>
      <c r="EW35" s="819"/>
      <c r="EX35" s="819"/>
      <c r="EY35" s="819"/>
      <c r="EZ35" s="819"/>
      <c r="FA35" s="819"/>
      <c r="FB35" s="819"/>
      <c r="FC35" s="819"/>
      <c r="FD35" s="819"/>
      <c r="FE35" s="819"/>
      <c r="FF35" s="819"/>
      <c r="FG35" s="819"/>
      <c r="FH35" s="819"/>
      <c r="FI35" s="819"/>
      <c r="FJ35" s="819"/>
      <c r="FK35" s="819"/>
      <c r="FL35" s="819"/>
      <c r="FM35" s="819"/>
      <c r="FN35" s="819"/>
      <c r="FO35" s="819"/>
      <c r="FP35" s="819"/>
      <c r="FQ35" s="819"/>
      <c r="FR35" s="819"/>
      <c r="FS35" s="819"/>
      <c r="FT35" s="819"/>
      <c r="FU35" s="819"/>
      <c r="FV35" s="819"/>
      <c r="FW35" s="819"/>
      <c r="FX35" s="819"/>
      <c r="FY35" s="819"/>
      <c r="FZ35" s="819"/>
      <c r="GA35" s="819"/>
      <c r="GB35" s="819"/>
      <c r="GC35" s="819"/>
      <c r="GD35" s="819"/>
      <c r="GE35" s="819"/>
      <c r="GF35" s="819"/>
      <c r="GG35" s="819"/>
      <c r="GH35" s="819"/>
      <c r="GI35" s="819"/>
      <c r="GJ35" s="819"/>
      <c r="GK35" s="819"/>
      <c r="GL35" s="819"/>
      <c r="GM35" s="819"/>
      <c r="GN35" s="819"/>
      <c r="GO35" s="819"/>
      <c r="GP35" s="819"/>
      <c r="GQ35" s="819"/>
      <c r="GR35" s="819"/>
      <c r="GS35" s="819"/>
      <c r="GT35" s="819"/>
      <c r="GU35" s="819"/>
      <c r="GV35" s="819"/>
      <c r="GW35" s="819"/>
      <c r="GX35" s="819"/>
      <c r="GY35" s="819"/>
      <c r="GZ35" s="819"/>
      <c r="HA35" s="819"/>
      <c r="HB35" s="819"/>
      <c r="HC35" s="819"/>
      <c r="HD35" s="819"/>
      <c r="HE35" s="819"/>
      <c r="HF35" s="819"/>
      <c r="HG35" s="819"/>
      <c r="HH35" s="819"/>
      <c r="HI35" s="819"/>
      <c r="HJ35" s="819"/>
      <c r="HK35" s="819"/>
      <c r="HL35" s="819"/>
      <c r="HM35" s="819"/>
      <c r="HN35" s="819"/>
      <c r="HO35" s="819"/>
      <c r="HP35" s="819"/>
      <c r="HQ35" s="819"/>
      <c r="HR35" s="819"/>
      <c r="HS35" s="819"/>
      <c r="HT35" s="819"/>
    </row>
    <row r="36" spans="1:228" s="840" customFormat="1">
      <c r="A36" s="863"/>
      <c r="V36" s="819"/>
      <c r="W36" s="819"/>
      <c r="X36" s="819"/>
      <c r="Y36" s="819"/>
      <c r="Z36" s="819"/>
      <c r="AA36" s="819"/>
      <c r="AB36" s="819"/>
      <c r="AC36" s="819"/>
      <c r="AD36" s="819"/>
      <c r="AE36" s="819"/>
      <c r="AF36" s="819"/>
      <c r="AG36" s="819"/>
      <c r="AH36" s="819"/>
      <c r="AI36" s="819"/>
      <c r="AJ36" s="819"/>
      <c r="AK36" s="819"/>
      <c r="AL36" s="819"/>
      <c r="AM36" s="819"/>
      <c r="AN36" s="819"/>
      <c r="AO36" s="819"/>
      <c r="AP36" s="819"/>
      <c r="AQ36" s="819"/>
      <c r="AR36" s="819"/>
      <c r="AS36" s="819"/>
      <c r="AT36" s="819"/>
      <c r="AU36" s="819"/>
      <c r="AV36" s="819"/>
      <c r="AW36" s="819"/>
      <c r="AX36" s="819"/>
      <c r="AY36" s="819"/>
      <c r="AZ36" s="819"/>
      <c r="BA36" s="819"/>
      <c r="BB36" s="819"/>
      <c r="BC36" s="819"/>
      <c r="BD36" s="819"/>
      <c r="BE36" s="819"/>
      <c r="BF36" s="819"/>
      <c r="BG36" s="819"/>
      <c r="BH36" s="819"/>
      <c r="BI36" s="819"/>
      <c r="BJ36" s="819"/>
      <c r="BK36" s="819"/>
      <c r="BL36" s="819"/>
      <c r="BM36" s="819"/>
      <c r="BN36" s="819"/>
      <c r="BO36" s="819"/>
      <c r="BP36" s="819"/>
      <c r="BQ36" s="819"/>
      <c r="BR36" s="819"/>
      <c r="BS36" s="819"/>
      <c r="BT36" s="819"/>
      <c r="BU36" s="819"/>
      <c r="BV36" s="819"/>
      <c r="BW36" s="819"/>
      <c r="BX36" s="819"/>
      <c r="BY36" s="819"/>
      <c r="BZ36" s="819"/>
      <c r="CA36" s="819"/>
      <c r="CB36" s="819"/>
      <c r="CC36" s="819"/>
      <c r="CD36" s="819"/>
      <c r="CE36" s="819"/>
      <c r="CF36" s="819"/>
      <c r="CG36" s="819"/>
      <c r="CH36" s="819"/>
      <c r="CI36" s="819"/>
      <c r="CJ36" s="819"/>
      <c r="CK36" s="819"/>
      <c r="CL36" s="819"/>
      <c r="CM36" s="819"/>
      <c r="CN36" s="819"/>
      <c r="CO36" s="819"/>
      <c r="CP36" s="819"/>
      <c r="CQ36" s="819"/>
      <c r="CR36" s="819"/>
      <c r="CS36" s="819"/>
      <c r="CT36" s="819"/>
      <c r="CU36" s="819"/>
      <c r="CV36" s="819"/>
      <c r="CW36" s="819"/>
      <c r="CX36" s="819"/>
      <c r="CY36" s="819"/>
      <c r="CZ36" s="819"/>
      <c r="DA36" s="819"/>
      <c r="DB36" s="819"/>
      <c r="DC36" s="819"/>
      <c r="DD36" s="819"/>
      <c r="DE36" s="819"/>
      <c r="DF36" s="819"/>
      <c r="DG36" s="819"/>
      <c r="DH36" s="819"/>
      <c r="DI36" s="819"/>
      <c r="DJ36" s="819"/>
      <c r="DK36" s="819"/>
      <c r="DL36" s="819"/>
      <c r="DM36" s="819"/>
      <c r="DN36" s="819"/>
      <c r="DO36" s="819"/>
      <c r="DP36" s="819"/>
      <c r="DQ36" s="819"/>
      <c r="DR36" s="819"/>
      <c r="DS36" s="819"/>
      <c r="DT36" s="819"/>
      <c r="DU36" s="819"/>
      <c r="DV36" s="819"/>
      <c r="DW36" s="819"/>
      <c r="DX36" s="819"/>
      <c r="DY36" s="819"/>
      <c r="DZ36" s="819"/>
      <c r="EA36" s="819"/>
      <c r="EB36" s="819"/>
      <c r="EC36" s="819"/>
      <c r="ED36" s="819"/>
      <c r="EE36" s="819"/>
      <c r="EF36" s="819"/>
      <c r="EG36" s="819"/>
      <c r="EH36" s="819"/>
      <c r="EI36" s="819"/>
      <c r="EJ36" s="819"/>
      <c r="EK36" s="819"/>
      <c r="EL36" s="819"/>
      <c r="EM36" s="819"/>
      <c r="EN36" s="819"/>
      <c r="EO36" s="819"/>
      <c r="EP36" s="819"/>
      <c r="EQ36" s="819"/>
      <c r="ER36" s="819"/>
      <c r="ES36" s="819"/>
      <c r="ET36" s="819"/>
      <c r="EU36" s="819"/>
      <c r="EV36" s="819"/>
      <c r="EW36" s="819"/>
      <c r="EX36" s="819"/>
      <c r="EY36" s="819"/>
      <c r="EZ36" s="819"/>
      <c r="FA36" s="819"/>
      <c r="FB36" s="819"/>
      <c r="FC36" s="819"/>
      <c r="FD36" s="819"/>
      <c r="FE36" s="819"/>
      <c r="FF36" s="819"/>
      <c r="FG36" s="819"/>
      <c r="FH36" s="819"/>
      <c r="FI36" s="819"/>
      <c r="FJ36" s="819"/>
      <c r="FK36" s="819"/>
      <c r="FL36" s="819"/>
      <c r="FM36" s="819"/>
      <c r="FN36" s="819"/>
      <c r="FO36" s="819"/>
      <c r="FP36" s="819"/>
      <c r="FQ36" s="819"/>
      <c r="FR36" s="819"/>
      <c r="FS36" s="819"/>
      <c r="FT36" s="819"/>
      <c r="FU36" s="819"/>
      <c r="FV36" s="819"/>
      <c r="FW36" s="819"/>
      <c r="FX36" s="819"/>
      <c r="FY36" s="819"/>
      <c r="FZ36" s="819"/>
      <c r="GA36" s="819"/>
      <c r="GB36" s="819"/>
      <c r="GC36" s="819"/>
      <c r="GD36" s="819"/>
      <c r="GE36" s="819"/>
      <c r="GF36" s="819"/>
      <c r="GG36" s="819"/>
      <c r="GH36" s="819"/>
      <c r="GI36" s="819"/>
      <c r="GJ36" s="819"/>
      <c r="GK36" s="819"/>
      <c r="GL36" s="819"/>
      <c r="GM36" s="819"/>
      <c r="GN36" s="819"/>
      <c r="GO36" s="819"/>
      <c r="GP36" s="819"/>
      <c r="GQ36" s="819"/>
      <c r="GR36" s="819"/>
      <c r="GS36" s="819"/>
      <c r="GT36" s="819"/>
      <c r="GU36" s="819"/>
      <c r="GV36" s="819"/>
      <c r="GW36" s="819"/>
      <c r="GX36" s="819"/>
      <c r="GY36" s="819"/>
      <c r="GZ36" s="819"/>
      <c r="HA36" s="819"/>
      <c r="HB36" s="819"/>
      <c r="HC36" s="819"/>
      <c r="HD36" s="819"/>
      <c r="HE36" s="819"/>
      <c r="HF36" s="819"/>
      <c r="HG36" s="819"/>
      <c r="HH36" s="819"/>
      <c r="HI36" s="819"/>
      <c r="HJ36" s="819"/>
      <c r="HK36" s="819"/>
      <c r="HL36" s="819"/>
      <c r="HM36" s="819"/>
      <c r="HN36" s="819"/>
      <c r="HO36" s="819"/>
      <c r="HP36" s="819"/>
      <c r="HQ36" s="819"/>
      <c r="HR36" s="819"/>
      <c r="HS36" s="819"/>
      <c r="HT36" s="819"/>
    </row>
    <row r="37" spans="1:228">
      <c r="N37" s="840"/>
    </row>
    <row r="38" spans="1:228">
      <c r="N38" s="840"/>
    </row>
    <row r="39" spans="1:228">
      <c r="N39" s="864"/>
    </row>
    <row r="45" spans="1:228">
      <c r="J45" s="840"/>
      <c r="K45" s="840"/>
    </row>
    <row r="46" spans="1:228">
      <c r="J46" s="840"/>
      <c r="K46" s="840"/>
    </row>
    <row r="47" spans="1:228">
      <c r="J47" s="840"/>
      <c r="K47" s="840"/>
    </row>
    <row r="48" spans="1:228">
      <c r="J48" s="840"/>
      <c r="K48" s="840"/>
    </row>
    <row r="49" spans="10:11">
      <c r="J49" s="840"/>
      <c r="K49" s="840"/>
    </row>
    <row r="50" spans="10:11">
      <c r="J50" s="840"/>
      <c r="K50" s="840"/>
    </row>
    <row r="51" spans="10:11">
      <c r="J51" s="840"/>
      <c r="K51" s="840"/>
    </row>
    <row r="52" spans="10:11">
      <c r="J52" s="840"/>
      <c r="K52" s="840"/>
    </row>
    <row r="53" spans="10:11">
      <c r="J53" s="840"/>
      <c r="K53" s="840"/>
    </row>
    <row r="54" spans="10:11">
      <c r="J54" s="840"/>
      <c r="K54" s="840"/>
    </row>
    <row r="55" spans="10:11">
      <c r="J55" s="840"/>
      <c r="K55" s="840"/>
    </row>
    <row r="56" spans="10:11">
      <c r="J56" s="840"/>
      <c r="K56" s="840"/>
    </row>
    <row r="57" spans="10:11">
      <c r="J57" s="840"/>
      <c r="K57" s="840"/>
    </row>
    <row r="58" spans="10:11">
      <c r="J58" s="840"/>
      <c r="K58" s="840"/>
    </row>
    <row r="59" spans="10:11">
      <c r="J59" s="840"/>
      <c r="K59" s="840"/>
    </row>
    <row r="60" spans="10:11">
      <c r="J60" s="840"/>
      <c r="K60" s="840"/>
    </row>
  </sheetData>
  <sheetProtection password="E981" sheet="1" objects="1" scenarios="1"/>
  <mergeCells count="21">
    <mergeCell ref="B1:I1"/>
    <mergeCell ref="U2:V2"/>
    <mergeCell ref="J1:K1"/>
    <mergeCell ref="M1:O1"/>
    <mergeCell ref="P1:Q1"/>
    <mergeCell ref="A33:E33"/>
    <mergeCell ref="B29:I29"/>
    <mergeCell ref="C3:F3"/>
    <mergeCell ref="J3:T3"/>
    <mergeCell ref="V5:V13"/>
    <mergeCell ref="A32:I32"/>
    <mergeCell ref="V23:W25"/>
    <mergeCell ref="J31:U32"/>
    <mergeCell ref="V14:V17"/>
    <mergeCell ref="V26:W26"/>
    <mergeCell ref="U3:V4"/>
    <mergeCell ref="B3:B4"/>
    <mergeCell ref="G3:I3"/>
    <mergeCell ref="B27:I27"/>
    <mergeCell ref="B28:I28"/>
    <mergeCell ref="B30:I30"/>
  </mergeCells>
  <phoneticPr fontId="0" type="noConversion"/>
  <dataValidations count="1">
    <dataValidation allowBlank="1" showInputMessage="1" showErrorMessage="1" errorTitle="Ganze Zahl" error="Bitte auf ganze Zahlen runden_x000a_Zahl zwischen 0 und 30'000'000" sqref="I15 H14:I14 C5:T8 C10:T12 U19:U24 J22:T23 F19:F23 J19:S20 J14:T16 C22:D24 T19 C19:C20 D19" xr:uid="{00000000-0002-0000-0D00-000000000000}"/>
  </dataValidations>
  <pageMargins left="0.27559055118110237" right="0.23622047244094491" top="0.15748031496062992" bottom="0.15748031496062992" header="0.15748031496062992" footer="0.15748031496062992"/>
  <pageSetup paperSize="9" scale="65" orientation="landscape" r:id="rId1"/>
  <headerFooter alignWithMargins="0">
    <oddFooter>&amp;L&amp;8Druck: &amp;D&amp;T&amp;R&amp;8VAF-Periode 2015-2018</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Tabelle2">
    <tabColor theme="9" tint="0.59999389629810485"/>
  </sheetPr>
  <dimension ref="A1:I30"/>
  <sheetViews>
    <sheetView showGridLines="0" zoomScaleNormal="100" zoomScaleSheetLayoutView="100" workbookViewId="0">
      <selection activeCell="C4" sqref="C4"/>
    </sheetView>
  </sheetViews>
  <sheetFormatPr baseColWidth="10" defaultRowHeight="14.25"/>
  <cols>
    <col min="1" max="1" width="31.6640625" style="608" customWidth="1"/>
    <col min="2" max="2" width="11.21875" style="620" customWidth="1"/>
    <col min="3" max="3" width="13" style="620" bestFit="1" customWidth="1"/>
    <col min="4" max="4" width="13.109375" style="622" bestFit="1" customWidth="1"/>
    <col min="5" max="5" width="11" style="608" customWidth="1"/>
    <col min="6" max="7" width="11.5546875" style="608"/>
    <col min="8" max="9" width="10.77734375" style="608" bestFit="1" customWidth="1"/>
    <col min="10" max="16384" width="11.5546875" style="608"/>
  </cols>
  <sheetData>
    <row r="1" spans="1:8" ht="15">
      <c r="B1" s="607" t="s">
        <v>2657</v>
      </c>
      <c r="C1" s="1351">
        <v>3158</v>
      </c>
      <c r="D1" s="1352"/>
      <c r="E1" s="1353"/>
    </row>
    <row r="2" spans="1:8" ht="15">
      <c r="B2" s="609" t="s">
        <v>2586</v>
      </c>
      <c r="C2" s="1351" t="s">
        <v>2778</v>
      </c>
      <c r="D2" s="1352"/>
      <c r="E2" s="1353"/>
    </row>
    <row r="3" spans="1:8" ht="15">
      <c r="B3" s="607" t="s">
        <v>2587</v>
      </c>
      <c r="C3" s="1351">
        <v>2017</v>
      </c>
      <c r="D3" s="1352"/>
      <c r="E3" s="1353"/>
    </row>
    <row r="4" spans="1:8" ht="6" customHeight="1">
      <c r="B4" s="608"/>
      <c r="C4" s="608"/>
      <c r="D4" s="608"/>
    </row>
    <row r="5" spans="1:8" s="613" customFormat="1" ht="32.25" customHeight="1">
      <c r="A5" s="610"/>
      <c r="B5" s="611" t="s">
        <v>2588</v>
      </c>
      <c r="C5" s="612" t="s">
        <v>2591</v>
      </c>
      <c r="D5" s="612" t="s">
        <v>2590</v>
      </c>
      <c r="E5" s="612" t="s">
        <v>2589</v>
      </c>
      <c r="F5" s="613" t="s">
        <v>2077</v>
      </c>
    </row>
    <row r="6" spans="1:8" ht="26.25" customHeight="1">
      <c r="A6" s="705" t="s">
        <v>2592</v>
      </c>
      <c r="B6" s="706">
        <v>5000000</v>
      </c>
      <c r="C6" s="707">
        <v>995820.8899999999</v>
      </c>
      <c r="D6" s="708" t="s">
        <v>172</v>
      </c>
      <c r="E6" s="891"/>
    </row>
    <row r="7" spans="1:8" ht="24.75" customHeight="1">
      <c r="A7" s="705" t="s">
        <v>2593</v>
      </c>
      <c r="B7" s="706">
        <v>3000000</v>
      </c>
      <c r="C7" s="707">
        <v>763338.64372607833</v>
      </c>
      <c r="D7" s="708" t="s">
        <v>172</v>
      </c>
      <c r="E7" s="891"/>
    </row>
    <row r="8" spans="1:8" s="614" customFormat="1" ht="23.25" customHeight="1">
      <c r="A8" s="709" t="s">
        <v>2594</v>
      </c>
      <c r="B8" s="710">
        <f>B7/B6</f>
        <v>0.6</v>
      </c>
      <c r="C8" s="711">
        <f>IFERROR((C7/C6),"")</f>
        <v>0.76654210751300711</v>
      </c>
      <c r="D8" s="712" t="s">
        <v>172</v>
      </c>
      <c r="E8" s="892"/>
    </row>
    <row r="9" spans="1:8" ht="20.25" customHeight="1">
      <c r="A9" s="713" t="s">
        <v>2596</v>
      </c>
      <c r="B9" s="706">
        <v>8000000</v>
      </c>
      <c r="C9" s="714">
        <v>248312.19</v>
      </c>
      <c r="D9" s="708">
        <f>IFERROR((C9*C8),"")</f>
        <v>190341.74944377024</v>
      </c>
      <c r="E9" s="891"/>
    </row>
    <row r="10" spans="1:8" ht="32.25" customHeight="1">
      <c r="A10" s="713" t="s">
        <v>2597</v>
      </c>
      <c r="B10" s="706">
        <v>1100000</v>
      </c>
      <c r="C10" s="714">
        <v>344533.93</v>
      </c>
      <c r="D10" s="708">
        <f>IFERROR((C10*C8),"")</f>
        <v>264099.76481193886</v>
      </c>
      <c r="E10" s="891"/>
    </row>
    <row r="11" spans="1:8" ht="29.25" customHeight="1">
      <c r="A11" s="713" t="s">
        <v>2598</v>
      </c>
      <c r="B11" s="706">
        <v>600000</v>
      </c>
      <c r="C11" s="714"/>
      <c r="D11" s="735">
        <f>C11</f>
        <v>0</v>
      </c>
      <c r="E11" s="891"/>
    </row>
    <row r="12" spans="1:8" ht="25.5" customHeight="1">
      <c r="A12" s="713" t="s">
        <v>2599</v>
      </c>
      <c r="B12" s="706">
        <v>200000</v>
      </c>
      <c r="C12" s="714">
        <v>284.89</v>
      </c>
      <c r="D12" s="708">
        <f>IFERROR((C12*C8),"")</f>
        <v>218.38018100938058</v>
      </c>
      <c r="E12" s="891"/>
    </row>
    <row r="13" spans="1:8" ht="27" customHeight="1">
      <c r="A13" s="713" t="s">
        <v>2600</v>
      </c>
      <c r="B13" s="706">
        <v>100000</v>
      </c>
      <c r="C13" s="714"/>
      <c r="D13" s="708">
        <f>IFERROR((C13*C8),"")</f>
        <v>0</v>
      </c>
      <c r="E13" s="893" t="s">
        <v>2612</v>
      </c>
    </row>
    <row r="14" spans="1:8" ht="36" customHeight="1">
      <c r="A14" s="713" t="s">
        <v>2601</v>
      </c>
      <c r="B14" s="706">
        <v>0</v>
      </c>
      <c r="C14" s="714"/>
      <c r="D14" s="708">
        <f>C14</f>
        <v>0</v>
      </c>
      <c r="E14" s="891"/>
    </row>
    <row r="15" spans="1:8" ht="48" customHeight="1">
      <c r="A15" s="713" t="s">
        <v>2602</v>
      </c>
      <c r="B15" s="706">
        <v>100000</v>
      </c>
      <c r="C15" s="707">
        <v>-8861.4879643011955</v>
      </c>
      <c r="D15" s="708">
        <f>C15</f>
        <v>-8861.4879643011955</v>
      </c>
      <c r="E15" s="891"/>
      <c r="H15" s="615"/>
    </row>
    <row r="16" spans="1:8" ht="45" customHeight="1">
      <c r="A16" s="713" t="s">
        <v>2603</v>
      </c>
      <c r="B16" s="706">
        <v>0</v>
      </c>
      <c r="C16" s="707"/>
      <c r="D16" s="708">
        <f>IFERROR((C16*C8),"")</f>
        <v>0</v>
      </c>
      <c r="E16" s="891"/>
      <c r="H16" s="615"/>
    </row>
    <row r="17" spans="1:9" ht="27" customHeight="1">
      <c r="A17" s="713" t="s">
        <v>2604</v>
      </c>
      <c r="B17" s="706">
        <v>-200000</v>
      </c>
      <c r="C17" s="715">
        <v>-200000</v>
      </c>
      <c r="D17" s="708">
        <f>C17</f>
        <v>-200000</v>
      </c>
      <c r="E17" s="891"/>
      <c r="H17" s="615"/>
      <c r="I17" s="615"/>
    </row>
    <row r="18" spans="1:9" ht="32.25" customHeight="1">
      <c r="A18" s="716" t="s">
        <v>2605</v>
      </c>
      <c r="B18" s="717">
        <f>(((B9+B10+B12+B13+B14+B16)*B8)+(B11+B15+B17))</f>
        <v>6140000</v>
      </c>
      <c r="C18" s="718">
        <f>SUM(C9:C17)</f>
        <v>384269.52203569887</v>
      </c>
      <c r="D18" s="719">
        <f>SUM(D9:D17)</f>
        <v>245798.40647241729</v>
      </c>
      <c r="E18" s="894"/>
      <c r="H18" s="615"/>
      <c r="I18" s="616"/>
    </row>
    <row r="19" spans="1:9" ht="32.25" customHeight="1">
      <c r="A19" s="709" t="s">
        <v>2606</v>
      </c>
      <c r="B19" s="720">
        <f>B18/B7</f>
        <v>2.0466666666666669</v>
      </c>
      <c r="C19" s="721" t="s">
        <v>172</v>
      </c>
      <c r="D19" s="722">
        <f>IFERROR(D18/C7,"")</f>
        <v>0.32200440589854545</v>
      </c>
      <c r="E19" s="895"/>
    </row>
    <row r="20" spans="1:9" s="617" customFormat="1" ht="32.25" customHeight="1">
      <c r="A20" s="705" t="s">
        <v>2608</v>
      </c>
      <c r="B20" s="706">
        <v>3000000</v>
      </c>
      <c r="C20" s="723" t="s">
        <v>172</v>
      </c>
      <c r="D20" s="724">
        <v>220636</v>
      </c>
      <c r="E20" s="896"/>
    </row>
    <row r="21" spans="1:9" ht="27.75" customHeight="1" thickBot="1">
      <c r="A21" s="705" t="s">
        <v>2607</v>
      </c>
      <c r="B21" s="725" t="str">
        <f>IF(B19&gt;2,"oui","non")</f>
        <v>oui</v>
      </c>
      <c r="C21" s="726" t="s">
        <v>172</v>
      </c>
      <c r="D21" s="727" t="str">
        <f>IF(D19&gt;2,"oui","non")</f>
        <v>non</v>
      </c>
      <c r="E21" s="897"/>
    </row>
    <row r="22" spans="1:9" ht="32.25" customHeight="1">
      <c r="A22" s="705" t="s">
        <v>2609</v>
      </c>
      <c r="B22" s="725">
        <f>IF(B21="oui",-((2*B7)-B18),"--")</f>
        <v>140000</v>
      </c>
      <c r="C22" s="728" t="s">
        <v>172</v>
      </c>
      <c r="D22" s="729" t="str">
        <f>IF(D21="oui",-((2*C7)-D18),"--")</f>
        <v>--</v>
      </c>
      <c r="E22" s="897"/>
    </row>
    <row r="23" spans="1:9" ht="24.75" customHeight="1">
      <c r="A23" s="705" t="s">
        <v>2610</v>
      </c>
      <c r="B23" s="725">
        <f>IF(B21="oui",B20/2,"--")</f>
        <v>1500000</v>
      </c>
      <c r="C23" s="728" t="s">
        <v>172</v>
      </c>
      <c r="D23" s="730" t="str">
        <f>IF(D21="oui",D20/2,"--")</f>
        <v>--</v>
      </c>
      <c r="E23" s="897"/>
    </row>
    <row r="24" spans="1:9" s="618" customFormat="1" ht="26.25" customHeight="1" thickBot="1">
      <c r="A24" s="731" t="s">
        <v>2611</v>
      </c>
      <c r="B24" s="732">
        <f>IF(B21="oui",IF(B22&lt;B23,B22,B23),"--")</f>
        <v>140000</v>
      </c>
      <c r="C24" s="733" t="s">
        <v>172</v>
      </c>
      <c r="D24" s="734" t="str">
        <f>IF(D21="oui",IF(D22&lt;D23,D22,D23),"--")</f>
        <v>--</v>
      </c>
      <c r="E24" s="898"/>
    </row>
    <row r="26" spans="1:9" s="621" customFormat="1">
      <c r="A26" s="619" t="s">
        <v>2595</v>
      </c>
      <c r="B26" s="620"/>
      <c r="C26" s="620"/>
      <c r="D26" s="620"/>
    </row>
    <row r="27" spans="1:9" s="621" customFormat="1">
      <c r="B27" s="620"/>
      <c r="C27" s="620"/>
      <c r="D27" s="620"/>
    </row>
    <row r="28" spans="1:9" s="621" customFormat="1">
      <c r="B28" s="620"/>
      <c r="C28" s="620"/>
      <c r="D28" s="620"/>
    </row>
    <row r="29" spans="1:9" s="621" customFormat="1">
      <c r="B29" s="620"/>
      <c r="C29" s="620"/>
      <c r="D29" s="620"/>
    </row>
    <row r="30" spans="1:9" s="621" customFormat="1">
      <c r="B30" s="620"/>
      <c r="C30" s="620"/>
      <c r="D30" s="620"/>
    </row>
  </sheetData>
  <sheetProtection password="C671" sheet="1"/>
  <mergeCells count="3">
    <mergeCell ref="C1:E1"/>
    <mergeCell ref="C2:E2"/>
    <mergeCell ref="C3:E3"/>
  </mergeCells>
  <pageMargins left="0.39370078740157483" right="0.31496062992125984" top="0.39370078740157483" bottom="0.43307086614173229" header="0.31496062992125984" footer="0.31496062992125984"/>
  <pageSetup paperSize="9" orientation="portrait" r:id="rId1"/>
  <headerFooter>
    <oddFooter>&amp;L&amp;8Druck:&amp;D&amp;T&amp;R&amp;8VAZ-Periode 2015-2018</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Tabelle10">
    <tabColor theme="9" tint="-0.249977111117893"/>
  </sheetPr>
  <dimension ref="A1:U75"/>
  <sheetViews>
    <sheetView tabSelected="1" topLeftCell="A13" zoomScaleNormal="100" workbookViewId="0">
      <selection activeCell="E35" sqref="E35"/>
    </sheetView>
  </sheetViews>
  <sheetFormatPr baseColWidth="10" defaultRowHeight="15"/>
  <cols>
    <col min="1" max="1" width="6.44140625" customWidth="1"/>
    <col min="2" max="4" width="8.109375" customWidth="1"/>
    <col min="5" max="5" width="8.88671875" customWidth="1"/>
    <col min="6" max="8" width="6.44140625" customWidth="1"/>
    <col min="9" max="9" width="5.109375" customWidth="1"/>
    <col min="10" max="11" width="6.44140625" customWidth="1"/>
    <col min="12" max="12" width="3.77734375" customWidth="1"/>
    <col min="14" max="14" width="2.33203125" customWidth="1"/>
    <col min="15" max="15" width="10.88671875" customWidth="1"/>
    <col min="16" max="16" width="11.5546875" customWidth="1"/>
  </cols>
  <sheetData>
    <row r="1" spans="1:21" ht="16.5" thickBot="1">
      <c r="A1" s="1356" t="s">
        <v>2613</v>
      </c>
      <c r="B1" s="1357"/>
      <c r="C1" s="1358"/>
      <c r="D1" s="446" t="s">
        <v>2614</v>
      </c>
      <c r="E1" s="447"/>
      <c r="F1" s="447"/>
      <c r="G1" s="447"/>
      <c r="H1" s="448"/>
    </row>
    <row r="2" spans="1:21" ht="11.25" customHeight="1">
      <c r="A2" s="1359"/>
      <c r="B2" s="1361" t="s">
        <v>2620</v>
      </c>
      <c r="C2" s="1361"/>
      <c r="D2" s="1361"/>
      <c r="E2" s="1363" t="s">
        <v>2617</v>
      </c>
      <c r="F2" s="1365" t="s">
        <v>2618</v>
      </c>
      <c r="G2" s="1366"/>
      <c r="H2" s="1367"/>
      <c r="I2" s="1371" t="s">
        <v>2619</v>
      </c>
      <c r="J2" s="1371"/>
      <c r="K2" s="1371"/>
    </row>
    <row r="3" spans="1:21" ht="16.5" customHeight="1">
      <c r="A3" s="1360"/>
      <c r="B3" s="1362"/>
      <c r="C3" s="1362"/>
      <c r="D3" s="1362"/>
      <c r="E3" s="1363"/>
      <c r="F3" s="1368"/>
      <c r="G3" s="1369"/>
      <c r="H3" s="1370"/>
      <c r="I3" s="1371"/>
      <c r="J3" s="1371"/>
      <c r="K3" s="1371"/>
      <c r="M3" s="449" t="s">
        <v>2621</v>
      </c>
      <c r="N3" s="449"/>
      <c r="O3" s="450"/>
      <c r="P3" s="450"/>
      <c r="Q3" s="450"/>
      <c r="R3" s="451"/>
    </row>
    <row r="4" spans="1:21" ht="15" customHeight="1" thickBot="1">
      <c r="A4" s="452"/>
      <c r="B4" s="1372" t="s">
        <v>2616</v>
      </c>
      <c r="C4" s="1372"/>
      <c r="D4" s="1372"/>
      <c r="E4" s="1363"/>
      <c r="F4" s="1372" t="s">
        <v>2616</v>
      </c>
      <c r="G4" s="1372"/>
      <c r="H4" s="1372"/>
      <c r="I4" s="1372" t="s">
        <v>2616</v>
      </c>
      <c r="J4" s="1372"/>
      <c r="K4" s="1372"/>
      <c r="L4" s="453"/>
      <c r="M4" s="1373" t="s">
        <v>2639</v>
      </c>
      <c r="N4" s="1373"/>
      <c r="O4" s="1373"/>
      <c r="P4" s="1373"/>
      <c r="Q4" s="454">
        <f>SUM(B6:D75)</f>
        <v>167265.6562890542</v>
      </c>
      <c r="R4" s="451"/>
    </row>
    <row r="5" spans="1:21" ht="23.25" customHeight="1" thickBot="1">
      <c r="A5" s="455" t="s">
        <v>2615</v>
      </c>
      <c r="B5" s="455" t="s">
        <v>1543</v>
      </c>
      <c r="C5" s="455" t="s">
        <v>1766</v>
      </c>
      <c r="D5" s="455" t="s">
        <v>1767</v>
      </c>
      <c r="E5" s="1364"/>
      <c r="F5" s="455" t="s">
        <v>1543</v>
      </c>
      <c r="G5" s="455" t="s">
        <v>1766</v>
      </c>
      <c r="H5" s="455" t="s">
        <v>1767</v>
      </c>
      <c r="I5" s="455" t="s">
        <v>1543</v>
      </c>
      <c r="J5" s="455" t="s">
        <v>1766</v>
      </c>
      <c r="K5" s="455" t="s">
        <v>1767</v>
      </c>
      <c r="L5" s="453"/>
      <c r="M5" s="456" t="s">
        <v>2623</v>
      </c>
      <c r="N5" s="456"/>
      <c r="O5" s="456"/>
      <c r="P5" s="457"/>
      <c r="Q5" s="458"/>
      <c r="R5" s="451"/>
    </row>
    <row r="6" spans="1:21" ht="15.75" thickBot="1">
      <c r="A6" s="452">
        <v>1</v>
      </c>
      <c r="B6" s="605"/>
      <c r="C6" s="605"/>
      <c r="D6" s="605">
        <v>4052.7705079702446</v>
      </c>
      <c r="E6" s="606">
        <v>24</v>
      </c>
      <c r="F6" s="459">
        <f t="shared" ref="F6:F37" si="0">IFERROR(($Q$6+1)*B6/$E6,0)</f>
        <v>0</v>
      </c>
      <c r="G6" s="459">
        <f t="shared" ref="G6:G37" si="1">IFERROR(($Q$6+1)*C6/$E6,0)</f>
        <v>0</v>
      </c>
      <c r="H6" s="459">
        <f t="shared" ref="H6:H37" si="2">IFERROR(($Q$6+1)*D6/$E6,0)</f>
        <v>653.61778436473412</v>
      </c>
      <c r="I6" s="460" t="str">
        <f>IF(F6&gt;0,1,"")</f>
        <v/>
      </c>
      <c r="J6" s="460" t="str">
        <f t="shared" ref="J6:K37" si="3">IF(AND(G6&gt;0,G6&lt;442),1,IF(AND(G6&gt;=442,G6&lt;=642),2,IF(G6&gt;642,3,"")))</f>
        <v/>
      </c>
      <c r="K6" s="460">
        <f t="shared" si="3"/>
        <v>3</v>
      </c>
      <c r="L6" s="461"/>
      <c r="M6" s="456" t="s">
        <v>2622</v>
      </c>
      <c r="N6" s="456"/>
      <c r="O6" s="456"/>
      <c r="P6" s="456"/>
      <c r="Q6" s="462">
        <f>IFERROR(IF(R6&gt;0,R6,Q5/Q4),0)</f>
        <v>2.8706427600338209</v>
      </c>
      <c r="R6" s="463">
        <v>2.8706427600338209</v>
      </c>
    </row>
    <row r="7" spans="1:21">
      <c r="A7" s="452">
        <v>2</v>
      </c>
      <c r="B7" s="605"/>
      <c r="C7" s="605"/>
      <c r="D7" s="605">
        <v>4052.7705079702446</v>
      </c>
      <c r="E7" s="606">
        <v>24</v>
      </c>
      <c r="F7" s="459">
        <f t="shared" si="0"/>
        <v>0</v>
      </c>
      <c r="G7" s="459">
        <f t="shared" si="1"/>
        <v>0</v>
      </c>
      <c r="H7" s="459">
        <f t="shared" si="2"/>
        <v>653.61778436473412</v>
      </c>
      <c r="I7" s="460" t="str">
        <f t="shared" ref="I7:I70" si="4">IF(F7&gt;0,1,"")</f>
        <v/>
      </c>
      <c r="J7" s="460" t="str">
        <f t="shared" si="3"/>
        <v/>
      </c>
      <c r="K7" s="460">
        <f t="shared" si="3"/>
        <v>3</v>
      </c>
      <c r="L7" s="461"/>
      <c r="M7" s="451"/>
      <c r="N7" s="451"/>
      <c r="O7" s="451"/>
      <c r="P7" s="451"/>
      <c r="Q7" s="451"/>
      <c r="R7" s="451"/>
    </row>
    <row r="8" spans="1:21">
      <c r="A8" s="452">
        <v>3</v>
      </c>
      <c r="B8" s="605"/>
      <c r="C8" s="605"/>
      <c r="D8" s="605">
        <v>4052.7705079702446</v>
      </c>
      <c r="E8" s="606">
        <v>24</v>
      </c>
      <c r="F8" s="459">
        <f t="shared" si="0"/>
        <v>0</v>
      </c>
      <c r="G8" s="459">
        <f t="shared" si="1"/>
        <v>0</v>
      </c>
      <c r="H8" s="459">
        <f t="shared" si="2"/>
        <v>653.61778436473412</v>
      </c>
      <c r="I8" s="460" t="str">
        <f t="shared" si="4"/>
        <v/>
      </c>
      <c r="J8" s="460" t="str">
        <f t="shared" si="3"/>
        <v/>
      </c>
      <c r="K8" s="460">
        <f t="shared" si="3"/>
        <v>3</v>
      </c>
      <c r="L8" s="461"/>
      <c r="M8" s="1374" t="s">
        <v>2624</v>
      </c>
      <c r="N8" s="1375"/>
      <c r="O8" s="1378" t="s">
        <v>2625</v>
      </c>
      <c r="P8" s="1379"/>
      <c r="Q8" s="1380"/>
    </row>
    <row r="9" spans="1:21">
      <c r="A9" s="452">
        <v>4</v>
      </c>
      <c r="B9" s="605"/>
      <c r="C9" s="605"/>
      <c r="D9" s="605">
        <v>3715.0396323060572</v>
      </c>
      <c r="E9" s="606">
        <v>22</v>
      </c>
      <c r="F9" s="459">
        <f t="shared" si="0"/>
        <v>0</v>
      </c>
      <c r="G9" s="459">
        <f t="shared" si="1"/>
        <v>0</v>
      </c>
      <c r="H9" s="459">
        <f t="shared" si="2"/>
        <v>653.61778436473401</v>
      </c>
      <c r="I9" s="460" t="str">
        <f t="shared" si="4"/>
        <v/>
      </c>
      <c r="J9" s="460" t="str">
        <f t="shared" si="3"/>
        <v/>
      </c>
      <c r="K9" s="460">
        <f t="shared" si="3"/>
        <v>3</v>
      </c>
      <c r="L9" s="461"/>
      <c r="M9" s="1376"/>
      <c r="N9" s="1377"/>
      <c r="O9" s="464" t="s">
        <v>1543</v>
      </c>
      <c r="P9" s="464" t="s">
        <v>1766</v>
      </c>
      <c r="Q9" s="464" t="s">
        <v>1767</v>
      </c>
    </row>
    <row r="10" spans="1:21">
      <c r="A10" s="452">
        <v>5</v>
      </c>
      <c r="B10" s="605"/>
      <c r="C10" s="605"/>
      <c r="D10" s="605">
        <v>4052.7705079702446</v>
      </c>
      <c r="E10" s="606">
        <v>24</v>
      </c>
      <c r="F10" s="459">
        <f t="shared" si="0"/>
        <v>0</v>
      </c>
      <c r="G10" s="459">
        <f t="shared" si="1"/>
        <v>0</v>
      </c>
      <c r="H10" s="459">
        <f t="shared" si="2"/>
        <v>653.61778436473412</v>
      </c>
      <c r="I10" s="460" t="str">
        <f t="shared" si="4"/>
        <v/>
      </c>
      <c r="J10" s="460" t="str">
        <f t="shared" si="3"/>
        <v/>
      </c>
      <c r="K10" s="460">
        <f t="shared" si="3"/>
        <v>3</v>
      </c>
      <c r="L10" s="461"/>
      <c r="M10" s="1354" t="s">
        <v>2069</v>
      </c>
      <c r="N10" s="1355"/>
      <c r="O10" s="465" t="s">
        <v>2538</v>
      </c>
      <c r="P10" s="465" t="s">
        <v>2538</v>
      </c>
      <c r="Q10" s="465" t="s">
        <v>2538</v>
      </c>
    </row>
    <row r="11" spans="1:21">
      <c r="A11" s="452">
        <v>6</v>
      </c>
      <c r="B11" s="605"/>
      <c r="C11" s="605"/>
      <c r="D11" s="605">
        <v>4052.7705079702446</v>
      </c>
      <c r="E11" s="606">
        <v>24</v>
      </c>
      <c r="F11" s="459">
        <f t="shared" si="0"/>
        <v>0</v>
      </c>
      <c r="G11" s="459">
        <f t="shared" si="1"/>
        <v>0</v>
      </c>
      <c r="H11" s="459">
        <f t="shared" si="2"/>
        <v>653.61778436473412</v>
      </c>
      <c r="I11" s="460" t="str">
        <f t="shared" si="4"/>
        <v/>
      </c>
      <c r="J11" s="460" t="str">
        <f t="shared" si="3"/>
        <v/>
      </c>
      <c r="K11" s="460">
        <f t="shared" si="3"/>
        <v>3</v>
      </c>
      <c r="L11" s="461"/>
      <c r="M11" s="1354" t="s">
        <v>2541</v>
      </c>
      <c r="N11" s="1355"/>
      <c r="O11" s="465" t="s">
        <v>2538</v>
      </c>
      <c r="P11" s="466" t="s">
        <v>2539</v>
      </c>
      <c r="Q11" s="466" t="s">
        <v>2539</v>
      </c>
    </row>
    <row r="12" spans="1:21">
      <c r="A12" s="452">
        <v>7</v>
      </c>
      <c r="B12" s="605"/>
      <c r="C12" s="605"/>
      <c r="D12" s="605">
        <v>4052.7705079702446</v>
      </c>
      <c r="E12" s="606">
        <v>24</v>
      </c>
      <c r="F12" s="459">
        <f t="shared" si="0"/>
        <v>0</v>
      </c>
      <c r="G12" s="459">
        <f t="shared" si="1"/>
        <v>0</v>
      </c>
      <c r="H12" s="459">
        <f t="shared" si="2"/>
        <v>653.61778436473412</v>
      </c>
      <c r="I12" s="460" t="str">
        <f t="shared" si="4"/>
        <v/>
      </c>
      <c r="J12" s="460" t="str">
        <f t="shared" si="3"/>
        <v/>
      </c>
      <c r="K12" s="460">
        <f t="shared" si="3"/>
        <v>3</v>
      </c>
      <c r="L12" s="461"/>
      <c r="M12" s="1354" t="s">
        <v>2073</v>
      </c>
      <c r="N12" s="1355"/>
      <c r="O12" s="465" t="s">
        <v>2538</v>
      </c>
      <c r="P12" s="466" t="s">
        <v>2539</v>
      </c>
      <c r="Q12" s="467" t="s">
        <v>2540</v>
      </c>
      <c r="R12" s="451"/>
    </row>
    <row r="13" spans="1:21" ht="15" customHeight="1">
      <c r="A13" s="452">
        <v>8</v>
      </c>
      <c r="B13" s="605"/>
      <c r="C13" s="605"/>
      <c r="D13" s="605">
        <v>4052.7705079702446</v>
      </c>
      <c r="E13" s="606">
        <v>24</v>
      </c>
      <c r="F13" s="459">
        <f t="shared" si="0"/>
        <v>0</v>
      </c>
      <c r="G13" s="459">
        <f t="shared" si="1"/>
        <v>0</v>
      </c>
      <c r="H13" s="459">
        <f t="shared" si="2"/>
        <v>653.61778436473412</v>
      </c>
      <c r="I13" s="460" t="str">
        <f t="shared" si="4"/>
        <v/>
      </c>
      <c r="J13" s="460" t="str">
        <f t="shared" si="3"/>
        <v/>
      </c>
      <c r="K13" s="460">
        <f t="shared" si="3"/>
        <v>3</v>
      </c>
      <c r="L13" s="461"/>
      <c r="R13" s="451"/>
    </row>
    <row r="14" spans="1:21">
      <c r="A14" s="452">
        <v>9</v>
      </c>
      <c r="B14" s="605"/>
      <c r="C14" s="605"/>
      <c r="D14" s="605">
        <v>4052.7705079702446</v>
      </c>
      <c r="E14" s="606">
        <v>24</v>
      </c>
      <c r="F14" s="459">
        <f t="shared" si="0"/>
        <v>0</v>
      </c>
      <c r="G14" s="459">
        <f t="shared" si="1"/>
        <v>0</v>
      </c>
      <c r="H14" s="459">
        <f t="shared" si="2"/>
        <v>653.61778436473412</v>
      </c>
      <c r="I14" s="460" t="str">
        <f t="shared" si="4"/>
        <v/>
      </c>
      <c r="J14" s="460" t="str">
        <f t="shared" si="3"/>
        <v/>
      </c>
      <c r="K14" s="460">
        <f t="shared" si="3"/>
        <v>3</v>
      </c>
      <c r="L14" s="461"/>
      <c r="M14" s="1381" t="s">
        <v>2631</v>
      </c>
      <c r="N14" s="1382"/>
      <c r="O14" s="1383"/>
      <c r="P14" s="468" t="s">
        <v>1543</v>
      </c>
      <c r="Q14" s="468" t="s">
        <v>1766</v>
      </c>
      <c r="R14" s="468" t="s">
        <v>1767</v>
      </c>
    </row>
    <row r="15" spans="1:21">
      <c r="A15" s="452">
        <v>10</v>
      </c>
      <c r="B15" s="605"/>
      <c r="C15" s="605"/>
      <c r="D15" s="605">
        <v>3715.0396323060572</v>
      </c>
      <c r="E15" s="606">
        <v>22</v>
      </c>
      <c r="F15" s="459">
        <f t="shared" si="0"/>
        <v>0</v>
      </c>
      <c r="G15" s="459">
        <f t="shared" si="1"/>
        <v>0</v>
      </c>
      <c r="H15" s="459">
        <f t="shared" si="2"/>
        <v>653.61778436473401</v>
      </c>
      <c r="I15" s="460" t="str">
        <f t="shared" si="4"/>
        <v/>
      </c>
      <c r="J15" s="460" t="str">
        <f t="shared" si="3"/>
        <v/>
      </c>
      <c r="K15" s="460">
        <f t="shared" si="3"/>
        <v>3</v>
      </c>
      <c r="L15" s="461"/>
      <c r="M15" s="1384" t="s">
        <v>2074</v>
      </c>
      <c r="N15" s="1385"/>
      <c r="O15" s="469">
        <v>442</v>
      </c>
      <c r="P15" s="470">
        <f>COUNTIF(F6:F75,"&gt;0")-COUNTIF(F6:F75,"&gt;442")</f>
        <v>0</v>
      </c>
      <c r="Q15" s="470">
        <f>COUNTIF(G6:G75,"&gt;0")-COUNTIF(G6:G75,"&gt;442")</f>
        <v>0</v>
      </c>
      <c r="R15" s="470">
        <f>COUNTIF(H6:H75,"&gt;0")-COUNTIF(H6:H75,"&gt;442")</f>
        <v>0</v>
      </c>
    </row>
    <row r="16" spans="1:21">
      <c r="A16" s="452">
        <v>11</v>
      </c>
      <c r="B16" s="605"/>
      <c r="C16" s="605"/>
      <c r="D16" s="605">
        <v>4052.7705079702446</v>
      </c>
      <c r="E16" s="606">
        <v>24</v>
      </c>
      <c r="F16" s="459">
        <f t="shared" si="0"/>
        <v>0</v>
      </c>
      <c r="G16" s="459">
        <f t="shared" si="1"/>
        <v>0</v>
      </c>
      <c r="H16" s="459">
        <f t="shared" si="2"/>
        <v>653.61778436473412</v>
      </c>
      <c r="I16" s="460" t="str">
        <f t="shared" si="4"/>
        <v/>
      </c>
      <c r="J16" s="460" t="str">
        <f t="shared" si="3"/>
        <v/>
      </c>
      <c r="K16" s="460">
        <f t="shared" si="3"/>
        <v>3</v>
      </c>
      <c r="L16" s="461"/>
      <c r="M16" s="471">
        <v>442</v>
      </c>
      <c r="N16" s="472" t="s">
        <v>2644</v>
      </c>
      <c r="O16" s="469">
        <v>642</v>
      </c>
      <c r="P16" s="470">
        <f>COUNTIF(F6:F75,"&gt;=442")-COUNTIF(F6:F75,"&gt;=642")</f>
        <v>0</v>
      </c>
      <c r="Q16" s="473">
        <f>COUNTIF(G6:G75,"&gt;=442")-COUNTIF(G6:G75,"&gt;=642")</f>
        <v>0</v>
      </c>
      <c r="R16" s="473">
        <f>COUNTIF(H6:H75,"&gt;=442")-COUNTIF(H6:H75,"&gt;=642")</f>
        <v>0</v>
      </c>
    </row>
    <row r="17" spans="1:19">
      <c r="A17" s="452">
        <v>12</v>
      </c>
      <c r="B17" s="605"/>
      <c r="C17" s="605"/>
      <c r="D17" s="605">
        <v>4052.7705079702446</v>
      </c>
      <c r="E17" s="606">
        <v>24</v>
      </c>
      <c r="F17" s="459">
        <f t="shared" si="0"/>
        <v>0</v>
      </c>
      <c r="G17" s="459">
        <f t="shared" si="1"/>
        <v>0</v>
      </c>
      <c r="H17" s="459">
        <f t="shared" si="2"/>
        <v>653.61778436473412</v>
      </c>
      <c r="I17" s="460" t="str">
        <f t="shared" si="4"/>
        <v/>
      </c>
      <c r="J17" s="460" t="str">
        <f t="shared" si="3"/>
        <v/>
      </c>
      <c r="K17" s="460">
        <f t="shared" si="3"/>
        <v>3</v>
      </c>
      <c r="L17" s="461"/>
      <c r="M17" s="1384" t="s">
        <v>2075</v>
      </c>
      <c r="N17" s="1385"/>
      <c r="O17" s="469">
        <v>642</v>
      </c>
      <c r="P17" s="470">
        <f>COUNTIF(F6:F75,"&gt;642")</f>
        <v>0</v>
      </c>
      <c r="Q17" s="473">
        <f>COUNTIF(G6:G75,"&gt;642")</f>
        <v>0</v>
      </c>
      <c r="R17" s="474">
        <f>COUNTIF(H6:H75,"&gt;642")</f>
        <v>29</v>
      </c>
    </row>
    <row r="18" spans="1:19">
      <c r="A18" s="452">
        <v>13</v>
      </c>
      <c r="B18" s="605"/>
      <c r="C18" s="605"/>
      <c r="D18" s="605">
        <v>4052.7705079702446</v>
      </c>
      <c r="E18" s="606">
        <v>24</v>
      </c>
      <c r="F18" s="459">
        <f t="shared" si="0"/>
        <v>0</v>
      </c>
      <c r="G18" s="459">
        <f t="shared" si="1"/>
        <v>0</v>
      </c>
      <c r="H18" s="459">
        <f t="shared" si="2"/>
        <v>653.61778436473412</v>
      </c>
      <c r="I18" s="460" t="str">
        <f t="shared" si="4"/>
        <v/>
      </c>
      <c r="J18" s="460" t="str">
        <f t="shared" si="3"/>
        <v/>
      </c>
      <c r="K18" s="460">
        <f t="shared" si="3"/>
        <v>3</v>
      </c>
      <c r="L18" s="461"/>
      <c r="M18" s="475"/>
      <c r="N18" s="475"/>
      <c r="O18" s="475"/>
      <c r="P18" s="475"/>
      <c r="Q18" s="451"/>
      <c r="R18" s="451"/>
    </row>
    <row r="19" spans="1:19">
      <c r="A19" s="452">
        <v>14</v>
      </c>
      <c r="B19" s="605"/>
      <c r="C19" s="605"/>
      <c r="D19" s="605">
        <v>4052.7705079702446</v>
      </c>
      <c r="E19" s="606">
        <v>24</v>
      </c>
      <c r="F19" s="459">
        <f t="shared" si="0"/>
        <v>0</v>
      </c>
      <c r="G19" s="459">
        <f t="shared" si="1"/>
        <v>0</v>
      </c>
      <c r="H19" s="459">
        <f t="shared" si="2"/>
        <v>653.61778436473412</v>
      </c>
      <c r="I19" s="460" t="str">
        <f t="shared" si="4"/>
        <v/>
      </c>
      <c r="J19" s="460" t="str">
        <f t="shared" si="3"/>
        <v/>
      </c>
      <c r="K19" s="460">
        <f t="shared" si="3"/>
        <v>3</v>
      </c>
      <c r="L19" s="461"/>
      <c r="M19" s="464" t="s">
        <v>2629</v>
      </c>
      <c r="N19" s="464"/>
      <c r="O19" s="476"/>
      <c r="P19" s="450"/>
      <c r="Q19" s="450"/>
      <c r="R19" s="451"/>
    </row>
    <row r="20" spans="1:19">
      <c r="A20" s="452">
        <v>15</v>
      </c>
      <c r="B20" s="605"/>
      <c r="C20" s="605"/>
      <c r="D20" s="605">
        <v>4052.7705079702446</v>
      </c>
      <c r="E20" s="606">
        <v>24</v>
      </c>
      <c r="F20" s="459">
        <f t="shared" si="0"/>
        <v>0</v>
      </c>
      <c r="G20" s="459">
        <f t="shared" si="1"/>
        <v>0</v>
      </c>
      <c r="H20" s="459">
        <f t="shared" si="2"/>
        <v>653.61778436473412</v>
      </c>
      <c r="I20" s="460" t="str">
        <f t="shared" si="4"/>
        <v/>
      </c>
      <c r="J20" s="460" t="str">
        <f t="shared" si="3"/>
        <v/>
      </c>
      <c r="K20" s="460">
        <f t="shared" si="3"/>
        <v>3</v>
      </c>
      <c r="L20" s="461"/>
      <c r="M20" s="450"/>
      <c r="N20" s="450"/>
      <c r="O20" s="464" t="s">
        <v>1543</v>
      </c>
      <c r="P20" s="464" t="s">
        <v>1766</v>
      </c>
      <c r="Q20" s="464" t="s">
        <v>1767</v>
      </c>
      <c r="R20" s="451"/>
    </row>
    <row r="21" spans="1:19">
      <c r="A21" s="452">
        <v>16</v>
      </c>
      <c r="B21" s="605"/>
      <c r="C21" s="605"/>
      <c r="D21" s="605">
        <v>3715.0396323060572</v>
      </c>
      <c r="E21" s="606">
        <v>22</v>
      </c>
      <c r="F21" s="459">
        <f t="shared" si="0"/>
        <v>0</v>
      </c>
      <c r="G21" s="459">
        <f t="shared" si="1"/>
        <v>0</v>
      </c>
      <c r="H21" s="459">
        <f t="shared" si="2"/>
        <v>653.61778436473401</v>
      </c>
      <c r="I21" s="460" t="str">
        <f t="shared" si="4"/>
        <v/>
      </c>
      <c r="J21" s="460" t="str">
        <f t="shared" si="3"/>
        <v/>
      </c>
      <c r="K21" s="460">
        <f t="shared" si="3"/>
        <v>3</v>
      </c>
      <c r="L21" s="461"/>
      <c r="M21" s="450" t="s">
        <v>2626</v>
      </c>
      <c r="N21" s="450"/>
      <c r="O21" s="477">
        <f>SUMIF(I6:I75,1,$E6:$E75)</f>
        <v>0</v>
      </c>
      <c r="P21" s="477">
        <f>SUMIF(J6:J75,1,$E6:$E75)</f>
        <v>0</v>
      </c>
      <c r="Q21" s="477">
        <f>SUMIF(K6:K75,1,$E6:$E75)</f>
        <v>0</v>
      </c>
      <c r="R21" s="451"/>
    </row>
    <row r="22" spans="1:19">
      <c r="A22" s="452">
        <v>17</v>
      </c>
      <c r="B22" s="605"/>
      <c r="C22" s="605"/>
      <c r="D22" s="605">
        <v>3715.0396323060572</v>
      </c>
      <c r="E22" s="606">
        <v>22</v>
      </c>
      <c r="F22" s="459">
        <f t="shared" si="0"/>
        <v>0</v>
      </c>
      <c r="G22" s="459">
        <f t="shared" si="1"/>
        <v>0</v>
      </c>
      <c r="H22" s="459">
        <f t="shared" si="2"/>
        <v>653.61778436473401</v>
      </c>
      <c r="I22" s="460" t="str">
        <f t="shared" si="4"/>
        <v/>
      </c>
      <c r="J22" s="460" t="str">
        <f t="shared" si="3"/>
        <v/>
      </c>
      <c r="K22" s="460">
        <f t="shared" si="3"/>
        <v>3</v>
      </c>
      <c r="L22" s="461"/>
      <c r="M22" s="450" t="s">
        <v>2627</v>
      </c>
      <c r="N22" s="450"/>
      <c r="O22" s="478" t="s">
        <v>172</v>
      </c>
      <c r="P22" s="479">
        <f>SUMIF(J6:J75,2,$E6:$E75)</f>
        <v>0</v>
      </c>
      <c r="Q22" s="479">
        <f>SUMIF(K6:K75,2,$E6:$E75)</f>
        <v>0</v>
      </c>
      <c r="R22" s="451"/>
    </row>
    <row r="23" spans="1:19">
      <c r="A23" s="452">
        <v>18</v>
      </c>
      <c r="B23" s="605"/>
      <c r="C23" s="605"/>
      <c r="D23" s="605">
        <v>4052.7705079702446</v>
      </c>
      <c r="E23" s="606">
        <v>24</v>
      </c>
      <c r="F23" s="459">
        <f t="shared" si="0"/>
        <v>0</v>
      </c>
      <c r="G23" s="459">
        <f t="shared" si="1"/>
        <v>0</v>
      </c>
      <c r="H23" s="459">
        <f t="shared" si="2"/>
        <v>653.61778436473412</v>
      </c>
      <c r="I23" s="460" t="str">
        <f t="shared" si="4"/>
        <v/>
      </c>
      <c r="J23" s="460" t="str">
        <f t="shared" si="3"/>
        <v/>
      </c>
      <c r="K23" s="460">
        <f t="shared" si="3"/>
        <v>3</v>
      </c>
      <c r="L23" s="461"/>
      <c r="M23" s="450" t="s">
        <v>2628</v>
      </c>
      <c r="N23" s="450"/>
      <c r="O23" s="478" t="s">
        <v>172</v>
      </c>
      <c r="P23" s="478" t="s">
        <v>172</v>
      </c>
      <c r="Q23" s="480">
        <f>SUMIF(K6:K75,3,$E6:$E75)</f>
        <v>941</v>
      </c>
      <c r="R23" s="451"/>
    </row>
    <row r="24" spans="1:19">
      <c r="A24" s="452">
        <v>19</v>
      </c>
      <c r="B24" s="605"/>
      <c r="C24" s="605"/>
      <c r="D24" s="605">
        <v>4052.7705079702446</v>
      </c>
      <c r="E24" s="606">
        <v>24</v>
      </c>
      <c r="F24" s="459">
        <f t="shared" si="0"/>
        <v>0</v>
      </c>
      <c r="G24" s="459">
        <f t="shared" si="1"/>
        <v>0</v>
      </c>
      <c r="H24" s="459">
        <f t="shared" si="2"/>
        <v>653.61778436473412</v>
      </c>
      <c r="I24" s="460" t="str">
        <f t="shared" si="4"/>
        <v/>
      </c>
      <c r="J24" s="460" t="str">
        <f t="shared" si="3"/>
        <v/>
      </c>
      <c r="K24" s="460">
        <f t="shared" si="3"/>
        <v>3</v>
      </c>
      <c r="L24" s="461"/>
      <c r="M24" s="451"/>
      <c r="N24" s="451"/>
      <c r="O24" s="451"/>
      <c r="P24" s="451"/>
      <c r="Q24" s="451"/>
      <c r="R24" s="451"/>
    </row>
    <row r="25" spans="1:19">
      <c r="A25" s="452">
        <v>20</v>
      </c>
      <c r="B25" s="605"/>
      <c r="C25" s="605"/>
      <c r="D25" s="605">
        <v>3715.0396323060572</v>
      </c>
      <c r="E25" s="606">
        <v>22</v>
      </c>
      <c r="F25" s="459">
        <f t="shared" si="0"/>
        <v>0</v>
      </c>
      <c r="G25" s="459">
        <f t="shared" si="1"/>
        <v>0</v>
      </c>
      <c r="H25" s="459">
        <f t="shared" si="2"/>
        <v>653.61778436473401</v>
      </c>
      <c r="I25" s="460" t="str">
        <f t="shared" si="4"/>
        <v/>
      </c>
      <c r="J25" s="460" t="str">
        <f t="shared" si="3"/>
        <v/>
      </c>
      <c r="K25" s="460">
        <f t="shared" si="3"/>
        <v>3</v>
      </c>
      <c r="L25" s="461"/>
      <c r="M25" s="464" t="s">
        <v>2635</v>
      </c>
      <c r="N25" s="464"/>
      <c r="O25" s="476"/>
      <c r="P25" s="450"/>
      <c r="Q25" s="450"/>
      <c r="R25" s="1386" t="s">
        <v>1530</v>
      </c>
    </row>
    <row r="26" spans="1:19">
      <c r="A26" s="452">
        <v>21</v>
      </c>
      <c r="B26" s="605"/>
      <c r="C26" s="605"/>
      <c r="D26" s="605">
        <v>4052.7705079702446</v>
      </c>
      <c r="E26" s="606">
        <v>24</v>
      </c>
      <c r="F26" s="459">
        <f t="shared" si="0"/>
        <v>0</v>
      </c>
      <c r="G26" s="459">
        <f t="shared" si="1"/>
        <v>0</v>
      </c>
      <c r="H26" s="459">
        <f t="shared" si="2"/>
        <v>653.61778436473412</v>
      </c>
      <c r="I26" s="460" t="str">
        <f t="shared" si="4"/>
        <v/>
      </c>
      <c r="J26" s="460" t="str">
        <f t="shared" si="3"/>
        <v/>
      </c>
      <c r="K26" s="460">
        <f t="shared" si="3"/>
        <v>3</v>
      </c>
      <c r="L26" s="461"/>
      <c r="M26" s="450"/>
      <c r="N26" s="450"/>
      <c r="O26" s="464" t="s">
        <v>1543</v>
      </c>
      <c r="P26" s="464" t="s">
        <v>1766</v>
      </c>
      <c r="Q26" s="464" t="s">
        <v>1767</v>
      </c>
      <c r="R26" s="1386"/>
    </row>
    <row r="27" spans="1:19">
      <c r="A27" s="452">
        <v>22</v>
      </c>
      <c r="B27" s="605"/>
      <c r="C27" s="605"/>
      <c r="D27" s="605">
        <v>6752.7084563758399</v>
      </c>
      <c r="E27" s="606">
        <v>36</v>
      </c>
      <c r="F27" s="459">
        <f t="shared" si="0"/>
        <v>0</v>
      </c>
      <c r="G27" s="459">
        <f t="shared" si="1"/>
        <v>0</v>
      </c>
      <c r="H27" s="459">
        <f t="shared" si="2"/>
        <v>726.03672492473061</v>
      </c>
      <c r="I27" s="460" t="str">
        <f t="shared" si="4"/>
        <v/>
      </c>
      <c r="J27" s="460" t="str">
        <f t="shared" si="3"/>
        <v/>
      </c>
      <c r="K27" s="460">
        <f t="shared" si="3"/>
        <v>3</v>
      </c>
      <c r="L27" s="461"/>
      <c r="M27" s="450" t="s">
        <v>2626</v>
      </c>
      <c r="N27" s="450"/>
      <c r="O27" s="481">
        <f>SUMIF(I6:I75,1,B6:B75)*(1+$Q$6)</f>
        <v>0</v>
      </c>
      <c r="P27" s="481">
        <f>SUMIF(J6:J75,1,C6:C75)*(1+$Q$6)</f>
        <v>0</v>
      </c>
      <c r="Q27" s="481">
        <f>SUMIF(K6:K75,1,D6:D75)*(1+$Q$6)</f>
        <v>0</v>
      </c>
      <c r="R27" s="481">
        <f>SUM(O27:Q27)</f>
        <v>0</v>
      </c>
    </row>
    <row r="28" spans="1:19">
      <c r="A28" s="452">
        <v>23</v>
      </c>
      <c r="B28" s="605"/>
      <c r="C28" s="605"/>
      <c r="D28" s="605">
        <v>8253.3103355704698</v>
      </c>
      <c r="E28" s="606">
        <v>44</v>
      </c>
      <c r="F28" s="459">
        <f t="shared" si="0"/>
        <v>0</v>
      </c>
      <c r="G28" s="459">
        <f t="shared" si="1"/>
        <v>0</v>
      </c>
      <c r="H28" s="459">
        <f t="shared" si="2"/>
        <v>726.03672492473061</v>
      </c>
      <c r="I28" s="460" t="str">
        <f t="shared" si="4"/>
        <v/>
      </c>
      <c r="J28" s="460" t="str">
        <f t="shared" si="3"/>
        <v/>
      </c>
      <c r="K28" s="460">
        <f t="shared" si="3"/>
        <v>3</v>
      </c>
      <c r="L28" s="461"/>
      <c r="M28" s="450" t="s">
        <v>2627</v>
      </c>
      <c r="N28" s="450"/>
      <c r="O28" s="478" t="s">
        <v>172</v>
      </c>
      <c r="P28" s="482">
        <f>SUMIF(J6:J75,2,C6:C75)*(1+$Q$6)</f>
        <v>0</v>
      </c>
      <c r="Q28" s="482">
        <f>SUMIF(K6:K75,2,D6:D75)*(1+$Q$6)</f>
        <v>0</v>
      </c>
      <c r="R28" s="482">
        <f>SUM(O28:Q28)</f>
        <v>0</v>
      </c>
    </row>
    <row r="29" spans="1:19">
      <c r="A29" s="452">
        <v>24</v>
      </c>
      <c r="B29" s="605"/>
      <c r="C29" s="605"/>
      <c r="D29" s="605">
        <v>12379.965503355706</v>
      </c>
      <c r="E29" s="606">
        <v>66</v>
      </c>
      <c r="F29" s="459">
        <f t="shared" si="0"/>
        <v>0</v>
      </c>
      <c r="G29" s="459">
        <f t="shared" si="1"/>
        <v>0</v>
      </c>
      <c r="H29" s="459">
        <f t="shared" si="2"/>
        <v>726.03672492473061</v>
      </c>
      <c r="I29" s="460" t="str">
        <f t="shared" si="4"/>
        <v/>
      </c>
      <c r="J29" s="460" t="str">
        <f t="shared" si="3"/>
        <v/>
      </c>
      <c r="K29" s="460">
        <f t="shared" si="3"/>
        <v>3</v>
      </c>
      <c r="L29" s="461"/>
      <c r="M29" s="450" t="s">
        <v>2628</v>
      </c>
      <c r="N29" s="450"/>
      <c r="O29" s="478" t="s">
        <v>172</v>
      </c>
      <c r="P29" s="478" t="s">
        <v>172</v>
      </c>
      <c r="Q29" s="483">
        <f>SUMIF(K6:K75,3,D6:D75)*(1+$Q$6)</f>
        <v>647425.60151753318</v>
      </c>
      <c r="R29" s="483">
        <f>SUM(O29:Q29)</f>
        <v>647425.60151753318</v>
      </c>
    </row>
    <row r="30" spans="1:19">
      <c r="A30" s="452">
        <v>25</v>
      </c>
      <c r="B30" s="605"/>
      <c r="C30" s="605"/>
      <c r="D30" s="605">
        <v>15756.319731543626</v>
      </c>
      <c r="E30" s="606">
        <v>84</v>
      </c>
      <c r="F30" s="459">
        <f t="shared" si="0"/>
        <v>0</v>
      </c>
      <c r="G30" s="459">
        <f t="shared" si="1"/>
        <v>0</v>
      </c>
      <c r="H30" s="459">
        <f t="shared" si="2"/>
        <v>726.03672492473072</v>
      </c>
      <c r="I30" s="460" t="str">
        <f t="shared" si="4"/>
        <v/>
      </c>
      <c r="J30" s="460" t="str">
        <f t="shared" si="3"/>
        <v/>
      </c>
      <c r="K30" s="460">
        <f t="shared" si="3"/>
        <v>3</v>
      </c>
      <c r="L30" s="461"/>
      <c r="M30" s="451"/>
      <c r="N30" s="451"/>
      <c r="O30" s="451"/>
      <c r="P30" s="451"/>
      <c r="Q30" s="451"/>
      <c r="R30" s="484">
        <f>SUM(R27:R29)</f>
        <v>647425.60151753318</v>
      </c>
    </row>
    <row r="31" spans="1:19" ht="15.75" thickBot="1">
      <c r="A31" s="452">
        <v>26</v>
      </c>
      <c r="B31" s="605"/>
      <c r="C31" s="605"/>
      <c r="D31" s="605">
        <v>6752.7084563758399</v>
      </c>
      <c r="E31" s="606">
        <v>36</v>
      </c>
      <c r="F31" s="459">
        <f t="shared" si="0"/>
        <v>0</v>
      </c>
      <c r="G31" s="459">
        <f t="shared" si="1"/>
        <v>0</v>
      </c>
      <c r="H31" s="459">
        <f t="shared" si="2"/>
        <v>726.03672492473061</v>
      </c>
      <c r="I31" s="460" t="str">
        <f t="shared" si="4"/>
        <v/>
      </c>
      <c r="J31" s="460" t="str">
        <f t="shared" si="3"/>
        <v/>
      </c>
      <c r="K31" s="460">
        <f t="shared" si="3"/>
        <v>3</v>
      </c>
      <c r="L31" s="461"/>
      <c r="R31" s="451"/>
    </row>
    <row r="32" spans="1:19" ht="15.75">
      <c r="A32" s="452">
        <v>27</v>
      </c>
      <c r="B32" s="605"/>
      <c r="C32" s="605"/>
      <c r="D32" s="605">
        <v>15006.01879194631</v>
      </c>
      <c r="E32" s="606">
        <v>80</v>
      </c>
      <c r="F32" s="459">
        <f t="shared" si="0"/>
        <v>0</v>
      </c>
      <c r="G32" s="459">
        <f t="shared" si="1"/>
        <v>0</v>
      </c>
      <c r="H32" s="459">
        <f t="shared" si="2"/>
        <v>726.03672492473061</v>
      </c>
      <c r="I32" s="460" t="str">
        <f t="shared" si="4"/>
        <v/>
      </c>
      <c r="J32" s="460" t="str">
        <f t="shared" si="3"/>
        <v/>
      </c>
      <c r="K32" s="460">
        <f t="shared" si="3"/>
        <v>3</v>
      </c>
      <c r="L32" s="461"/>
      <c r="M32" s="1387" t="s">
        <v>2630</v>
      </c>
      <c r="N32" s="1388"/>
      <c r="O32" s="1388"/>
      <c r="P32" s="1388"/>
      <c r="Q32" s="1389"/>
      <c r="R32" s="451"/>
    </row>
    <row r="33" spans="1:18">
      <c r="A33" s="452">
        <v>28</v>
      </c>
      <c r="B33" s="605"/>
      <c r="C33" s="605"/>
      <c r="D33" s="605">
        <v>4501.8056375838933</v>
      </c>
      <c r="E33" s="606">
        <v>24</v>
      </c>
      <c r="F33" s="459">
        <f t="shared" si="0"/>
        <v>0</v>
      </c>
      <c r="G33" s="459">
        <f t="shared" si="1"/>
        <v>0</v>
      </c>
      <c r="H33" s="459">
        <f t="shared" si="2"/>
        <v>726.03672492473061</v>
      </c>
      <c r="I33" s="460" t="str">
        <f t="shared" si="4"/>
        <v/>
      </c>
      <c r="J33" s="460" t="str">
        <f t="shared" si="3"/>
        <v/>
      </c>
      <c r="K33" s="460">
        <f t="shared" si="3"/>
        <v>3</v>
      </c>
      <c r="L33" s="461"/>
      <c r="M33" s="492" t="s">
        <v>2632</v>
      </c>
      <c r="N33" s="485"/>
      <c r="O33" s="873" t="s">
        <v>2508</v>
      </c>
      <c r="P33" s="873" t="s">
        <v>2633</v>
      </c>
      <c r="Q33" s="877" t="s">
        <v>2634</v>
      </c>
      <c r="R33" s="451"/>
    </row>
    <row r="34" spans="1:18">
      <c r="A34" s="452">
        <v>29</v>
      </c>
      <c r="B34" s="605"/>
      <c r="C34" s="605"/>
      <c r="D34" s="605">
        <v>14443.293087248323</v>
      </c>
      <c r="E34" s="606">
        <v>77</v>
      </c>
      <c r="F34" s="459">
        <f t="shared" si="0"/>
        <v>0</v>
      </c>
      <c r="G34" s="459">
        <f t="shared" si="1"/>
        <v>0</v>
      </c>
      <c r="H34" s="459">
        <f t="shared" si="2"/>
        <v>726.03672492473061</v>
      </c>
      <c r="I34" s="460" t="str">
        <f t="shared" si="4"/>
        <v/>
      </c>
      <c r="J34" s="460" t="str">
        <f t="shared" si="3"/>
        <v/>
      </c>
      <c r="K34" s="460">
        <f t="shared" si="3"/>
        <v>3</v>
      </c>
      <c r="L34" s="461"/>
      <c r="M34" s="493">
        <v>1</v>
      </c>
      <c r="N34" s="486"/>
      <c r="O34" s="487">
        <f>SUM(P15:R15,P16,P17)</f>
        <v>0</v>
      </c>
      <c r="P34" s="488">
        <f>SUM(O21:Q21)</f>
        <v>0</v>
      </c>
      <c r="Q34" s="494">
        <f>R27</f>
        <v>0</v>
      </c>
      <c r="R34" s="451"/>
    </row>
    <row r="35" spans="1:18">
      <c r="A35" s="452">
        <v>30</v>
      </c>
      <c r="B35" s="605"/>
      <c r="C35" s="605"/>
      <c r="D35" s="605"/>
      <c r="E35" s="606"/>
      <c r="F35" s="459">
        <f t="shared" si="0"/>
        <v>0</v>
      </c>
      <c r="G35" s="459">
        <f t="shared" si="1"/>
        <v>0</v>
      </c>
      <c r="H35" s="459">
        <f t="shared" si="2"/>
        <v>0</v>
      </c>
      <c r="I35" s="460" t="str">
        <f t="shared" si="4"/>
        <v/>
      </c>
      <c r="J35" s="460" t="str">
        <f t="shared" si="3"/>
        <v/>
      </c>
      <c r="K35" s="460" t="str">
        <f t="shared" si="3"/>
        <v/>
      </c>
      <c r="L35" s="461"/>
      <c r="M35" s="495">
        <v>2</v>
      </c>
      <c r="N35" s="489"/>
      <c r="O35" s="490">
        <f>SUM(Q16:R16,Q17)</f>
        <v>0</v>
      </c>
      <c r="P35" s="491">
        <f>SUM(O22:Q22)</f>
        <v>0</v>
      </c>
      <c r="Q35" s="496">
        <f>R28</f>
        <v>0</v>
      </c>
      <c r="R35" s="451"/>
    </row>
    <row r="36" spans="1:18" ht="15.75" thickBot="1">
      <c r="A36" s="452">
        <v>31</v>
      </c>
      <c r="B36" s="605"/>
      <c r="C36" s="605"/>
      <c r="D36" s="605"/>
      <c r="E36" s="606"/>
      <c r="F36" s="459">
        <f t="shared" si="0"/>
        <v>0</v>
      </c>
      <c r="G36" s="459">
        <f t="shared" si="1"/>
        <v>0</v>
      </c>
      <c r="H36" s="459">
        <f t="shared" si="2"/>
        <v>0</v>
      </c>
      <c r="I36" s="460" t="str">
        <f t="shared" si="4"/>
        <v/>
      </c>
      <c r="J36" s="460" t="str">
        <f t="shared" si="3"/>
        <v/>
      </c>
      <c r="K36" s="460" t="str">
        <f t="shared" si="3"/>
        <v/>
      </c>
      <c r="L36" s="461"/>
      <c r="M36" s="497">
        <v>3</v>
      </c>
      <c r="N36" s="498"/>
      <c r="O36" s="499">
        <f>R17</f>
        <v>29</v>
      </c>
      <c r="P36" s="500">
        <f>SUM(O23:Q23)</f>
        <v>941</v>
      </c>
      <c r="Q36" s="501">
        <f>R29</f>
        <v>647425.60151753318</v>
      </c>
    </row>
    <row r="37" spans="1:18">
      <c r="A37" s="452">
        <v>32</v>
      </c>
      <c r="B37" s="605"/>
      <c r="C37" s="605"/>
      <c r="D37" s="605"/>
      <c r="E37" s="606"/>
      <c r="F37" s="459">
        <f t="shared" si="0"/>
        <v>0</v>
      </c>
      <c r="G37" s="459">
        <f t="shared" si="1"/>
        <v>0</v>
      </c>
      <c r="H37" s="459">
        <f t="shared" si="2"/>
        <v>0</v>
      </c>
      <c r="I37" s="460" t="str">
        <f t="shared" si="4"/>
        <v/>
      </c>
      <c r="J37" s="460" t="str">
        <f t="shared" si="3"/>
        <v/>
      </c>
      <c r="K37" s="460" t="str">
        <f t="shared" si="3"/>
        <v/>
      </c>
      <c r="L37" s="461"/>
    </row>
    <row r="38" spans="1:18">
      <c r="A38" s="452">
        <v>33</v>
      </c>
      <c r="B38" s="605"/>
      <c r="C38" s="605"/>
      <c r="D38" s="605"/>
      <c r="E38" s="606"/>
      <c r="F38" s="459">
        <f t="shared" ref="F38:F69" si="5">IFERROR(($Q$6+1)*B38/$E38,0)</f>
        <v>0</v>
      </c>
      <c r="G38" s="459">
        <f t="shared" ref="G38:G69" si="6">IFERROR(($Q$6+1)*C38/$E38,0)</f>
        <v>0</v>
      </c>
      <c r="H38" s="459">
        <f t="shared" ref="H38:H69" si="7">IFERROR(($Q$6+1)*D38/$E38,0)</f>
        <v>0</v>
      </c>
      <c r="I38" s="460" t="str">
        <f t="shared" si="4"/>
        <v/>
      </c>
      <c r="J38" s="460" t="str">
        <f t="shared" ref="J38:K69" si="8">IF(AND(G38&gt;0,G38&lt;442),1,IF(AND(G38&gt;=442,G38&lt;=642),2,IF(G38&gt;642,3,"")))</f>
        <v/>
      </c>
      <c r="K38" s="460" t="str">
        <f t="shared" si="8"/>
        <v/>
      </c>
      <c r="L38" s="461"/>
    </row>
    <row r="39" spans="1:18">
      <c r="A39" s="452">
        <v>34</v>
      </c>
      <c r="B39" s="605"/>
      <c r="C39" s="605"/>
      <c r="D39" s="605"/>
      <c r="E39" s="606"/>
      <c r="F39" s="459">
        <f t="shared" si="5"/>
        <v>0</v>
      </c>
      <c r="G39" s="459">
        <f t="shared" si="6"/>
        <v>0</v>
      </c>
      <c r="H39" s="459">
        <f t="shared" si="7"/>
        <v>0</v>
      </c>
      <c r="I39" s="460" t="str">
        <f t="shared" si="4"/>
        <v/>
      </c>
      <c r="J39" s="460" t="str">
        <f t="shared" si="8"/>
        <v/>
      </c>
      <c r="K39" s="460" t="str">
        <f t="shared" si="8"/>
        <v/>
      </c>
      <c r="L39" s="461"/>
    </row>
    <row r="40" spans="1:18">
      <c r="A40" s="452">
        <v>35</v>
      </c>
      <c r="B40" s="605"/>
      <c r="C40" s="605"/>
      <c r="D40" s="605"/>
      <c r="E40" s="606"/>
      <c r="F40" s="459">
        <f t="shared" si="5"/>
        <v>0</v>
      </c>
      <c r="G40" s="459">
        <f t="shared" si="6"/>
        <v>0</v>
      </c>
      <c r="H40" s="459">
        <f t="shared" si="7"/>
        <v>0</v>
      </c>
      <c r="I40" s="460" t="str">
        <f t="shared" si="4"/>
        <v/>
      </c>
      <c r="J40" s="460" t="str">
        <f t="shared" si="8"/>
        <v/>
      </c>
      <c r="K40" s="460" t="str">
        <f t="shared" si="8"/>
        <v/>
      </c>
      <c r="L40" s="461"/>
    </row>
    <row r="41" spans="1:18">
      <c r="A41" s="452">
        <v>36</v>
      </c>
      <c r="B41" s="605"/>
      <c r="C41" s="605"/>
      <c r="D41" s="605"/>
      <c r="E41" s="606"/>
      <c r="F41" s="459">
        <f t="shared" si="5"/>
        <v>0</v>
      </c>
      <c r="G41" s="459">
        <f t="shared" si="6"/>
        <v>0</v>
      </c>
      <c r="H41" s="459">
        <f t="shared" si="7"/>
        <v>0</v>
      </c>
      <c r="I41" s="460" t="str">
        <f t="shared" si="4"/>
        <v/>
      </c>
      <c r="J41" s="460" t="str">
        <f t="shared" si="8"/>
        <v/>
      </c>
      <c r="K41" s="460" t="str">
        <f t="shared" si="8"/>
        <v/>
      </c>
      <c r="L41" s="461"/>
      <c r="M41" s="461"/>
      <c r="N41" s="461"/>
      <c r="O41" s="461"/>
    </row>
    <row r="42" spans="1:18">
      <c r="A42" s="452">
        <v>37</v>
      </c>
      <c r="B42" s="605"/>
      <c r="C42" s="605"/>
      <c r="D42" s="605"/>
      <c r="E42" s="606"/>
      <c r="F42" s="459">
        <f t="shared" si="5"/>
        <v>0</v>
      </c>
      <c r="G42" s="459">
        <f t="shared" si="6"/>
        <v>0</v>
      </c>
      <c r="H42" s="459">
        <f t="shared" si="7"/>
        <v>0</v>
      </c>
      <c r="I42" s="460" t="str">
        <f t="shared" si="4"/>
        <v/>
      </c>
      <c r="J42" s="460" t="str">
        <f t="shared" si="8"/>
        <v/>
      </c>
      <c r="K42" s="460" t="str">
        <f t="shared" si="8"/>
        <v/>
      </c>
      <c r="L42" s="461"/>
      <c r="M42" s="461"/>
      <c r="N42" s="461"/>
      <c r="O42" s="461"/>
    </row>
    <row r="43" spans="1:18">
      <c r="A43" s="452">
        <v>38</v>
      </c>
      <c r="B43" s="605"/>
      <c r="C43" s="605"/>
      <c r="D43" s="605"/>
      <c r="E43" s="606"/>
      <c r="F43" s="459">
        <f t="shared" si="5"/>
        <v>0</v>
      </c>
      <c r="G43" s="459">
        <f t="shared" si="6"/>
        <v>0</v>
      </c>
      <c r="H43" s="459">
        <f t="shared" si="7"/>
        <v>0</v>
      </c>
      <c r="I43" s="460" t="str">
        <f t="shared" si="4"/>
        <v/>
      </c>
      <c r="J43" s="460" t="str">
        <f t="shared" si="8"/>
        <v/>
      </c>
      <c r="K43" s="460" t="str">
        <f t="shared" si="8"/>
        <v/>
      </c>
      <c r="L43" s="461"/>
      <c r="M43" s="461"/>
      <c r="N43" s="461"/>
      <c r="O43" s="461"/>
    </row>
    <row r="44" spans="1:18">
      <c r="A44" s="452">
        <v>39</v>
      </c>
      <c r="B44" s="605"/>
      <c r="C44" s="605"/>
      <c r="D44" s="605"/>
      <c r="E44" s="606"/>
      <c r="F44" s="459">
        <f t="shared" si="5"/>
        <v>0</v>
      </c>
      <c r="G44" s="459">
        <f t="shared" si="6"/>
        <v>0</v>
      </c>
      <c r="H44" s="459">
        <f t="shared" si="7"/>
        <v>0</v>
      </c>
      <c r="I44" s="460" t="str">
        <f t="shared" si="4"/>
        <v/>
      </c>
      <c r="J44" s="460" t="str">
        <f t="shared" si="8"/>
        <v/>
      </c>
      <c r="K44" s="460" t="str">
        <f t="shared" si="8"/>
        <v/>
      </c>
      <c r="L44" s="461"/>
      <c r="M44" s="461"/>
      <c r="N44" s="461"/>
      <c r="O44" s="461"/>
    </row>
    <row r="45" spans="1:18">
      <c r="A45" s="452">
        <v>40</v>
      </c>
      <c r="B45" s="605"/>
      <c r="C45" s="605"/>
      <c r="D45" s="605"/>
      <c r="E45" s="606"/>
      <c r="F45" s="459">
        <f t="shared" si="5"/>
        <v>0</v>
      </c>
      <c r="G45" s="459">
        <f t="shared" si="6"/>
        <v>0</v>
      </c>
      <c r="H45" s="459">
        <f t="shared" si="7"/>
        <v>0</v>
      </c>
      <c r="I45" s="460" t="str">
        <f t="shared" si="4"/>
        <v/>
      </c>
      <c r="J45" s="460" t="str">
        <f t="shared" si="8"/>
        <v/>
      </c>
      <c r="K45" s="460" t="str">
        <f t="shared" si="8"/>
        <v/>
      </c>
      <c r="L45" s="461"/>
      <c r="M45" s="461"/>
      <c r="N45" s="461"/>
      <c r="O45" s="461"/>
    </row>
    <row r="46" spans="1:18">
      <c r="A46" s="452">
        <v>41</v>
      </c>
      <c r="B46" s="605"/>
      <c r="C46" s="605"/>
      <c r="D46" s="605"/>
      <c r="E46" s="606"/>
      <c r="F46" s="459">
        <f t="shared" si="5"/>
        <v>0</v>
      </c>
      <c r="G46" s="459">
        <f t="shared" si="6"/>
        <v>0</v>
      </c>
      <c r="H46" s="459">
        <f t="shared" si="7"/>
        <v>0</v>
      </c>
      <c r="I46" s="460" t="str">
        <f t="shared" si="4"/>
        <v/>
      </c>
      <c r="J46" s="460" t="str">
        <f t="shared" si="8"/>
        <v/>
      </c>
      <c r="K46" s="460" t="str">
        <f t="shared" si="8"/>
        <v/>
      </c>
      <c r="L46" s="461"/>
      <c r="M46" s="461"/>
      <c r="N46" s="461"/>
      <c r="O46" s="461"/>
    </row>
    <row r="47" spans="1:18">
      <c r="A47" s="452">
        <v>42</v>
      </c>
      <c r="B47" s="605"/>
      <c r="C47" s="605"/>
      <c r="D47" s="605"/>
      <c r="E47" s="606"/>
      <c r="F47" s="459">
        <f t="shared" si="5"/>
        <v>0</v>
      </c>
      <c r="G47" s="459">
        <f t="shared" si="6"/>
        <v>0</v>
      </c>
      <c r="H47" s="459">
        <f t="shared" si="7"/>
        <v>0</v>
      </c>
      <c r="I47" s="460" t="str">
        <f t="shared" si="4"/>
        <v/>
      </c>
      <c r="J47" s="460" t="str">
        <f t="shared" si="8"/>
        <v/>
      </c>
      <c r="K47" s="460" t="str">
        <f t="shared" si="8"/>
        <v/>
      </c>
      <c r="L47" s="461"/>
      <c r="M47" s="461"/>
      <c r="N47" s="461"/>
      <c r="O47" s="461"/>
    </row>
    <row r="48" spans="1:18">
      <c r="A48" s="452">
        <v>43</v>
      </c>
      <c r="B48" s="605"/>
      <c r="C48" s="605"/>
      <c r="D48" s="605"/>
      <c r="E48" s="606"/>
      <c r="F48" s="459">
        <f t="shared" si="5"/>
        <v>0</v>
      </c>
      <c r="G48" s="459">
        <f t="shared" si="6"/>
        <v>0</v>
      </c>
      <c r="H48" s="459">
        <f t="shared" si="7"/>
        <v>0</v>
      </c>
      <c r="I48" s="460" t="str">
        <f t="shared" si="4"/>
        <v/>
      </c>
      <c r="J48" s="460" t="str">
        <f t="shared" si="8"/>
        <v/>
      </c>
      <c r="K48" s="460" t="str">
        <f t="shared" si="8"/>
        <v/>
      </c>
      <c r="L48" s="461"/>
      <c r="M48" s="461"/>
      <c r="N48" s="461"/>
      <c r="O48" s="461"/>
    </row>
    <row r="49" spans="1:15">
      <c r="A49" s="452">
        <v>44</v>
      </c>
      <c r="B49" s="605"/>
      <c r="C49" s="605"/>
      <c r="D49" s="605"/>
      <c r="E49" s="606"/>
      <c r="F49" s="459">
        <f t="shared" si="5"/>
        <v>0</v>
      </c>
      <c r="G49" s="459">
        <f t="shared" si="6"/>
        <v>0</v>
      </c>
      <c r="H49" s="459">
        <f t="shared" si="7"/>
        <v>0</v>
      </c>
      <c r="I49" s="460" t="str">
        <f t="shared" si="4"/>
        <v/>
      </c>
      <c r="J49" s="460" t="str">
        <f t="shared" si="8"/>
        <v/>
      </c>
      <c r="K49" s="460" t="str">
        <f t="shared" si="8"/>
        <v/>
      </c>
      <c r="L49" s="461"/>
      <c r="M49" s="461"/>
      <c r="N49" s="461"/>
      <c r="O49" s="461"/>
    </row>
    <row r="50" spans="1:15">
      <c r="A50" s="452">
        <v>45</v>
      </c>
      <c r="B50" s="605"/>
      <c r="C50" s="605"/>
      <c r="D50" s="605"/>
      <c r="E50" s="606"/>
      <c r="F50" s="459">
        <f t="shared" si="5"/>
        <v>0</v>
      </c>
      <c r="G50" s="459">
        <f t="shared" si="6"/>
        <v>0</v>
      </c>
      <c r="H50" s="459">
        <f t="shared" si="7"/>
        <v>0</v>
      </c>
      <c r="I50" s="460" t="str">
        <f t="shared" si="4"/>
        <v/>
      </c>
      <c r="J50" s="460" t="str">
        <f t="shared" si="8"/>
        <v/>
      </c>
      <c r="K50" s="460" t="str">
        <f t="shared" si="8"/>
        <v/>
      </c>
      <c r="L50" s="461"/>
      <c r="M50" s="461"/>
      <c r="N50" s="461"/>
      <c r="O50" s="461"/>
    </row>
    <row r="51" spans="1:15">
      <c r="A51" s="452">
        <v>46</v>
      </c>
      <c r="B51" s="605"/>
      <c r="C51" s="605"/>
      <c r="D51" s="605"/>
      <c r="E51" s="606"/>
      <c r="F51" s="459">
        <f t="shared" si="5"/>
        <v>0</v>
      </c>
      <c r="G51" s="459">
        <f t="shared" si="6"/>
        <v>0</v>
      </c>
      <c r="H51" s="459">
        <f t="shared" si="7"/>
        <v>0</v>
      </c>
      <c r="I51" s="460" t="str">
        <f t="shared" si="4"/>
        <v/>
      </c>
      <c r="J51" s="460" t="str">
        <f t="shared" si="8"/>
        <v/>
      </c>
      <c r="K51" s="460" t="str">
        <f t="shared" si="8"/>
        <v/>
      </c>
      <c r="L51" s="461"/>
      <c r="M51" s="461"/>
      <c r="N51" s="461"/>
      <c r="O51" s="461"/>
    </row>
    <row r="52" spans="1:15">
      <c r="A52" s="452">
        <v>47</v>
      </c>
      <c r="B52" s="605"/>
      <c r="C52" s="605"/>
      <c r="D52" s="605"/>
      <c r="E52" s="606"/>
      <c r="F52" s="459">
        <f t="shared" si="5"/>
        <v>0</v>
      </c>
      <c r="G52" s="459">
        <f t="shared" si="6"/>
        <v>0</v>
      </c>
      <c r="H52" s="459">
        <f t="shared" si="7"/>
        <v>0</v>
      </c>
      <c r="I52" s="460" t="str">
        <f t="shared" si="4"/>
        <v/>
      </c>
      <c r="J52" s="460" t="str">
        <f t="shared" si="8"/>
        <v/>
      </c>
      <c r="K52" s="460" t="str">
        <f t="shared" si="8"/>
        <v/>
      </c>
      <c r="L52" s="461"/>
      <c r="M52" s="461"/>
      <c r="N52" s="461"/>
      <c r="O52" s="461"/>
    </row>
    <row r="53" spans="1:15">
      <c r="A53" s="452">
        <v>48</v>
      </c>
      <c r="B53" s="605"/>
      <c r="C53" s="605"/>
      <c r="D53" s="605"/>
      <c r="E53" s="606"/>
      <c r="F53" s="459">
        <f t="shared" si="5"/>
        <v>0</v>
      </c>
      <c r="G53" s="459">
        <f t="shared" si="6"/>
        <v>0</v>
      </c>
      <c r="H53" s="459">
        <f t="shared" si="7"/>
        <v>0</v>
      </c>
      <c r="I53" s="460" t="str">
        <f t="shared" si="4"/>
        <v/>
      </c>
      <c r="J53" s="460" t="str">
        <f t="shared" si="8"/>
        <v/>
      </c>
      <c r="K53" s="460" t="str">
        <f t="shared" si="8"/>
        <v/>
      </c>
      <c r="L53" s="461"/>
      <c r="M53" s="461"/>
      <c r="N53" s="461"/>
      <c r="O53" s="461"/>
    </row>
    <row r="54" spans="1:15">
      <c r="A54" s="452">
        <v>49</v>
      </c>
      <c r="B54" s="605"/>
      <c r="C54" s="605"/>
      <c r="D54" s="605"/>
      <c r="E54" s="606"/>
      <c r="F54" s="459">
        <f t="shared" si="5"/>
        <v>0</v>
      </c>
      <c r="G54" s="459">
        <f t="shared" si="6"/>
        <v>0</v>
      </c>
      <c r="H54" s="459">
        <f t="shared" si="7"/>
        <v>0</v>
      </c>
      <c r="I54" s="460" t="str">
        <f t="shared" si="4"/>
        <v/>
      </c>
      <c r="J54" s="460" t="str">
        <f t="shared" si="8"/>
        <v/>
      </c>
      <c r="K54" s="460" t="str">
        <f t="shared" si="8"/>
        <v/>
      </c>
      <c r="L54" s="461"/>
      <c r="M54" s="461"/>
      <c r="N54" s="461"/>
      <c r="O54" s="461"/>
    </row>
    <row r="55" spans="1:15">
      <c r="A55" s="452">
        <v>50</v>
      </c>
      <c r="B55" s="605"/>
      <c r="C55" s="605"/>
      <c r="D55" s="605"/>
      <c r="E55" s="606"/>
      <c r="F55" s="459">
        <f t="shared" si="5"/>
        <v>0</v>
      </c>
      <c r="G55" s="459">
        <f t="shared" si="6"/>
        <v>0</v>
      </c>
      <c r="H55" s="459">
        <f t="shared" si="7"/>
        <v>0</v>
      </c>
      <c r="I55" s="460" t="str">
        <f t="shared" si="4"/>
        <v/>
      </c>
      <c r="J55" s="460" t="str">
        <f t="shared" si="8"/>
        <v/>
      </c>
      <c r="K55" s="460" t="str">
        <f t="shared" si="8"/>
        <v/>
      </c>
      <c r="L55" s="461"/>
      <c r="M55" s="461"/>
      <c r="N55" s="461"/>
      <c r="O55" s="461"/>
    </row>
    <row r="56" spans="1:15">
      <c r="A56" s="452">
        <v>51</v>
      </c>
      <c r="B56" s="605"/>
      <c r="C56" s="605"/>
      <c r="D56" s="605"/>
      <c r="E56" s="606"/>
      <c r="F56" s="459">
        <f t="shared" si="5"/>
        <v>0</v>
      </c>
      <c r="G56" s="459">
        <f t="shared" si="6"/>
        <v>0</v>
      </c>
      <c r="H56" s="459">
        <f t="shared" si="7"/>
        <v>0</v>
      </c>
      <c r="I56" s="460" t="str">
        <f t="shared" si="4"/>
        <v/>
      </c>
      <c r="J56" s="460" t="str">
        <f t="shared" si="8"/>
        <v/>
      </c>
      <c r="K56" s="460" t="str">
        <f t="shared" si="8"/>
        <v/>
      </c>
      <c r="L56" s="461"/>
      <c r="M56" s="461"/>
      <c r="N56" s="461"/>
      <c r="O56" s="461"/>
    </row>
    <row r="57" spans="1:15">
      <c r="A57" s="452">
        <v>52</v>
      </c>
      <c r="B57" s="605"/>
      <c r="C57" s="605"/>
      <c r="D57" s="605"/>
      <c r="E57" s="606"/>
      <c r="F57" s="459">
        <f t="shared" si="5"/>
        <v>0</v>
      </c>
      <c r="G57" s="459">
        <f t="shared" si="6"/>
        <v>0</v>
      </c>
      <c r="H57" s="459">
        <f t="shared" si="7"/>
        <v>0</v>
      </c>
      <c r="I57" s="460" t="str">
        <f t="shared" si="4"/>
        <v/>
      </c>
      <c r="J57" s="460" t="str">
        <f t="shared" si="8"/>
        <v/>
      </c>
      <c r="K57" s="460" t="str">
        <f t="shared" si="8"/>
        <v/>
      </c>
      <c r="L57" s="461"/>
      <c r="M57" s="461"/>
      <c r="N57" s="461"/>
      <c r="O57" s="461"/>
    </row>
    <row r="58" spans="1:15">
      <c r="A58" s="452">
        <v>53</v>
      </c>
      <c r="B58" s="605"/>
      <c r="C58" s="605"/>
      <c r="D58" s="605"/>
      <c r="E58" s="606"/>
      <c r="F58" s="459">
        <f t="shared" si="5"/>
        <v>0</v>
      </c>
      <c r="G58" s="459">
        <f t="shared" si="6"/>
        <v>0</v>
      </c>
      <c r="H58" s="459">
        <f t="shared" si="7"/>
        <v>0</v>
      </c>
      <c r="I58" s="460" t="str">
        <f t="shared" si="4"/>
        <v/>
      </c>
      <c r="J58" s="460" t="str">
        <f t="shared" si="8"/>
        <v/>
      </c>
      <c r="K58" s="460" t="str">
        <f t="shared" si="8"/>
        <v/>
      </c>
      <c r="L58" s="461"/>
      <c r="M58" s="461"/>
      <c r="N58" s="461"/>
      <c r="O58" s="461"/>
    </row>
    <row r="59" spans="1:15">
      <c r="A59" s="452">
        <v>54</v>
      </c>
      <c r="B59" s="605"/>
      <c r="C59" s="605"/>
      <c r="D59" s="605"/>
      <c r="E59" s="606"/>
      <c r="F59" s="459">
        <f t="shared" si="5"/>
        <v>0</v>
      </c>
      <c r="G59" s="459">
        <f t="shared" si="6"/>
        <v>0</v>
      </c>
      <c r="H59" s="459">
        <f t="shared" si="7"/>
        <v>0</v>
      </c>
      <c r="I59" s="460" t="str">
        <f t="shared" si="4"/>
        <v/>
      </c>
      <c r="J59" s="460" t="str">
        <f t="shared" si="8"/>
        <v/>
      </c>
      <c r="K59" s="460" t="str">
        <f t="shared" si="8"/>
        <v/>
      </c>
      <c r="L59" s="461"/>
      <c r="M59" s="461"/>
      <c r="N59" s="461"/>
      <c r="O59" s="461"/>
    </row>
    <row r="60" spans="1:15">
      <c r="A60" s="452">
        <v>55</v>
      </c>
      <c r="B60" s="605"/>
      <c r="C60" s="605"/>
      <c r="D60" s="605"/>
      <c r="E60" s="606"/>
      <c r="F60" s="459">
        <f t="shared" si="5"/>
        <v>0</v>
      </c>
      <c r="G60" s="459">
        <f t="shared" si="6"/>
        <v>0</v>
      </c>
      <c r="H60" s="459">
        <f t="shared" si="7"/>
        <v>0</v>
      </c>
      <c r="I60" s="460" t="str">
        <f t="shared" si="4"/>
        <v/>
      </c>
      <c r="J60" s="460" t="str">
        <f t="shared" si="8"/>
        <v/>
      </c>
      <c r="K60" s="460" t="str">
        <f t="shared" si="8"/>
        <v/>
      </c>
      <c r="L60" s="461"/>
      <c r="M60" s="461"/>
      <c r="N60" s="461"/>
      <c r="O60" s="461"/>
    </row>
    <row r="61" spans="1:15">
      <c r="A61" s="452">
        <v>56</v>
      </c>
      <c r="B61" s="605"/>
      <c r="C61" s="605"/>
      <c r="D61" s="605"/>
      <c r="E61" s="606"/>
      <c r="F61" s="459">
        <f t="shared" si="5"/>
        <v>0</v>
      </c>
      <c r="G61" s="459">
        <f t="shared" si="6"/>
        <v>0</v>
      </c>
      <c r="H61" s="459">
        <f t="shared" si="7"/>
        <v>0</v>
      </c>
      <c r="I61" s="460" t="str">
        <f t="shared" si="4"/>
        <v/>
      </c>
      <c r="J61" s="460" t="str">
        <f t="shared" si="8"/>
        <v/>
      </c>
      <c r="K61" s="460" t="str">
        <f t="shared" si="8"/>
        <v/>
      </c>
      <c r="L61" s="461"/>
      <c r="M61" s="461"/>
      <c r="N61" s="461"/>
      <c r="O61" s="461"/>
    </row>
    <row r="62" spans="1:15">
      <c r="A62" s="452">
        <v>57</v>
      </c>
      <c r="B62" s="605"/>
      <c r="C62" s="605"/>
      <c r="D62" s="605"/>
      <c r="E62" s="606"/>
      <c r="F62" s="459">
        <f t="shared" si="5"/>
        <v>0</v>
      </c>
      <c r="G62" s="459">
        <f t="shared" si="6"/>
        <v>0</v>
      </c>
      <c r="H62" s="459">
        <f t="shared" si="7"/>
        <v>0</v>
      </c>
      <c r="I62" s="460" t="str">
        <f t="shared" si="4"/>
        <v/>
      </c>
      <c r="J62" s="460" t="str">
        <f t="shared" si="8"/>
        <v/>
      </c>
      <c r="K62" s="460" t="str">
        <f t="shared" si="8"/>
        <v/>
      </c>
      <c r="L62" s="461"/>
      <c r="M62" s="461"/>
      <c r="N62" s="461"/>
      <c r="O62" s="461"/>
    </row>
    <row r="63" spans="1:15">
      <c r="A63" s="452">
        <v>58</v>
      </c>
      <c r="B63" s="605"/>
      <c r="C63" s="605"/>
      <c r="D63" s="605"/>
      <c r="E63" s="606"/>
      <c r="F63" s="459">
        <f t="shared" si="5"/>
        <v>0</v>
      </c>
      <c r="G63" s="459">
        <f t="shared" si="6"/>
        <v>0</v>
      </c>
      <c r="H63" s="459">
        <f t="shared" si="7"/>
        <v>0</v>
      </c>
      <c r="I63" s="460" t="str">
        <f t="shared" si="4"/>
        <v/>
      </c>
      <c r="J63" s="460" t="str">
        <f t="shared" si="8"/>
        <v/>
      </c>
      <c r="K63" s="460" t="str">
        <f t="shared" si="8"/>
        <v/>
      </c>
      <c r="L63" s="461"/>
      <c r="M63" s="461"/>
      <c r="N63" s="461"/>
      <c r="O63" s="461"/>
    </row>
    <row r="64" spans="1:15">
      <c r="A64" s="452">
        <v>59</v>
      </c>
      <c r="B64" s="605"/>
      <c r="C64" s="605"/>
      <c r="D64" s="605"/>
      <c r="E64" s="606"/>
      <c r="F64" s="459">
        <f t="shared" si="5"/>
        <v>0</v>
      </c>
      <c r="G64" s="459">
        <f t="shared" si="6"/>
        <v>0</v>
      </c>
      <c r="H64" s="459">
        <f t="shared" si="7"/>
        <v>0</v>
      </c>
      <c r="I64" s="460" t="str">
        <f t="shared" si="4"/>
        <v/>
      </c>
      <c r="J64" s="460" t="str">
        <f t="shared" si="8"/>
        <v/>
      </c>
      <c r="K64" s="460" t="str">
        <f t="shared" si="8"/>
        <v/>
      </c>
      <c r="L64" s="461"/>
      <c r="M64" s="461"/>
      <c r="N64" s="461"/>
      <c r="O64" s="461"/>
    </row>
    <row r="65" spans="1:16">
      <c r="A65" s="452">
        <v>60</v>
      </c>
      <c r="B65" s="605"/>
      <c r="C65" s="605"/>
      <c r="D65" s="605"/>
      <c r="E65" s="606"/>
      <c r="F65" s="459">
        <f t="shared" si="5"/>
        <v>0</v>
      </c>
      <c r="G65" s="459">
        <f t="shared" si="6"/>
        <v>0</v>
      </c>
      <c r="H65" s="459">
        <f t="shared" si="7"/>
        <v>0</v>
      </c>
      <c r="I65" s="460" t="str">
        <f t="shared" si="4"/>
        <v/>
      </c>
      <c r="J65" s="460" t="str">
        <f t="shared" si="8"/>
        <v/>
      </c>
      <c r="K65" s="460" t="str">
        <f t="shared" si="8"/>
        <v/>
      </c>
      <c r="L65" s="461"/>
      <c r="M65" s="461"/>
      <c r="N65" s="461"/>
      <c r="O65" s="461"/>
    </row>
    <row r="66" spans="1:16">
      <c r="A66" s="452">
        <v>61</v>
      </c>
      <c r="B66" s="605"/>
      <c r="C66" s="605"/>
      <c r="D66" s="605"/>
      <c r="E66" s="606"/>
      <c r="F66" s="459">
        <f t="shared" si="5"/>
        <v>0</v>
      </c>
      <c r="G66" s="459">
        <f t="shared" si="6"/>
        <v>0</v>
      </c>
      <c r="H66" s="459">
        <f t="shared" si="7"/>
        <v>0</v>
      </c>
      <c r="I66" s="460" t="str">
        <f t="shared" si="4"/>
        <v/>
      </c>
      <c r="J66" s="460" t="str">
        <f t="shared" si="8"/>
        <v/>
      </c>
      <c r="K66" s="460" t="str">
        <f t="shared" si="8"/>
        <v/>
      </c>
      <c r="L66" s="461"/>
      <c r="M66" s="461"/>
      <c r="N66" s="461"/>
      <c r="O66" s="461"/>
    </row>
    <row r="67" spans="1:16">
      <c r="A67" s="452">
        <v>62</v>
      </c>
      <c r="B67" s="605"/>
      <c r="C67" s="605"/>
      <c r="D67" s="605"/>
      <c r="E67" s="606"/>
      <c r="F67" s="459">
        <f t="shared" si="5"/>
        <v>0</v>
      </c>
      <c r="G67" s="459">
        <f t="shared" si="6"/>
        <v>0</v>
      </c>
      <c r="H67" s="459">
        <f t="shared" si="7"/>
        <v>0</v>
      </c>
      <c r="I67" s="460" t="str">
        <f t="shared" si="4"/>
        <v/>
      </c>
      <c r="J67" s="460" t="str">
        <f t="shared" si="8"/>
        <v/>
      </c>
      <c r="K67" s="460" t="str">
        <f t="shared" si="8"/>
        <v/>
      </c>
      <c r="L67" s="461"/>
      <c r="M67" s="461"/>
      <c r="N67" s="461"/>
      <c r="O67" s="461"/>
    </row>
    <row r="68" spans="1:16">
      <c r="A68" s="452">
        <v>63</v>
      </c>
      <c r="B68" s="605"/>
      <c r="C68" s="605"/>
      <c r="D68" s="605"/>
      <c r="E68" s="606"/>
      <c r="F68" s="459">
        <f t="shared" si="5"/>
        <v>0</v>
      </c>
      <c r="G68" s="459">
        <f t="shared" si="6"/>
        <v>0</v>
      </c>
      <c r="H68" s="459">
        <f t="shared" si="7"/>
        <v>0</v>
      </c>
      <c r="I68" s="460" t="str">
        <f t="shared" si="4"/>
        <v/>
      </c>
      <c r="J68" s="460" t="str">
        <f t="shared" si="8"/>
        <v/>
      </c>
      <c r="K68" s="460" t="str">
        <f t="shared" si="8"/>
        <v/>
      </c>
      <c r="L68" s="461"/>
      <c r="M68" s="461"/>
      <c r="N68" s="461"/>
      <c r="O68" s="461"/>
    </row>
    <row r="69" spans="1:16">
      <c r="A69" s="452">
        <v>64</v>
      </c>
      <c r="B69" s="605"/>
      <c r="C69" s="605"/>
      <c r="D69" s="605"/>
      <c r="E69" s="606"/>
      <c r="F69" s="459">
        <f t="shared" si="5"/>
        <v>0</v>
      </c>
      <c r="G69" s="459">
        <f t="shared" si="6"/>
        <v>0</v>
      </c>
      <c r="H69" s="459">
        <f t="shared" si="7"/>
        <v>0</v>
      </c>
      <c r="I69" s="460" t="str">
        <f t="shared" si="4"/>
        <v/>
      </c>
      <c r="J69" s="460" t="str">
        <f t="shared" si="8"/>
        <v/>
      </c>
      <c r="K69" s="460" t="str">
        <f t="shared" si="8"/>
        <v/>
      </c>
      <c r="L69" s="461"/>
      <c r="M69" s="461"/>
      <c r="N69" s="461"/>
      <c r="O69" s="461"/>
    </row>
    <row r="70" spans="1:16">
      <c r="A70" s="452">
        <v>65</v>
      </c>
      <c r="B70" s="605"/>
      <c r="C70" s="605"/>
      <c r="D70" s="605"/>
      <c r="E70" s="606"/>
      <c r="F70" s="459">
        <f t="shared" ref="F70:F75" si="9">IFERROR(($Q$6+1)*B70/$E70,0)</f>
        <v>0</v>
      </c>
      <c r="G70" s="459">
        <f t="shared" ref="G70:G75" si="10">IFERROR(($Q$6+1)*C70/$E70,0)</f>
        <v>0</v>
      </c>
      <c r="H70" s="459">
        <f t="shared" ref="H70:H75" si="11">IFERROR(($Q$6+1)*D70/$E70,0)</f>
        <v>0</v>
      </c>
      <c r="I70" s="460" t="str">
        <f t="shared" si="4"/>
        <v/>
      </c>
      <c r="J70" s="460" t="str">
        <f t="shared" ref="J70:K75" si="12">IF(AND(G70&gt;0,G70&lt;442),1,IF(AND(G70&gt;=442,G70&lt;=642),2,IF(G70&gt;642,3,"")))</f>
        <v/>
      </c>
      <c r="K70" s="460" t="str">
        <f t="shared" si="12"/>
        <v/>
      </c>
      <c r="L70" s="461"/>
      <c r="M70" s="461"/>
      <c r="N70" s="461"/>
      <c r="O70" s="461"/>
      <c r="P70" s="461"/>
    </row>
    <row r="71" spans="1:16">
      <c r="A71" s="452">
        <v>66</v>
      </c>
      <c r="B71" s="605"/>
      <c r="C71" s="605"/>
      <c r="D71" s="605"/>
      <c r="E71" s="606"/>
      <c r="F71" s="459">
        <f t="shared" si="9"/>
        <v>0</v>
      </c>
      <c r="G71" s="459">
        <f t="shared" si="10"/>
        <v>0</v>
      </c>
      <c r="H71" s="459">
        <f t="shared" si="11"/>
        <v>0</v>
      </c>
      <c r="I71" s="460" t="str">
        <f>IF(F71&gt;0,1,"")</f>
        <v/>
      </c>
      <c r="J71" s="460" t="str">
        <f t="shared" si="12"/>
        <v/>
      </c>
      <c r="K71" s="460" t="str">
        <f t="shared" si="12"/>
        <v/>
      </c>
      <c r="L71" s="461"/>
    </row>
    <row r="72" spans="1:16">
      <c r="A72" s="452">
        <v>67</v>
      </c>
      <c r="B72" s="605"/>
      <c r="C72" s="605"/>
      <c r="D72" s="605"/>
      <c r="E72" s="606"/>
      <c r="F72" s="459">
        <f t="shared" si="9"/>
        <v>0</v>
      </c>
      <c r="G72" s="459">
        <f t="shared" si="10"/>
        <v>0</v>
      </c>
      <c r="H72" s="459">
        <f t="shared" si="11"/>
        <v>0</v>
      </c>
      <c r="I72" s="460" t="str">
        <f>IF(F72&gt;0,1,"")</f>
        <v/>
      </c>
      <c r="J72" s="460" t="str">
        <f t="shared" si="12"/>
        <v/>
      </c>
      <c r="K72" s="460" t="str">
        <f t="shared" si="12"/>
        <v/>
      </c>
      <c r="L72" s="461"/>
    </row>
    <row r="73" spans="1:16">
      <c r="A73" s="452">
        <v>68</v>
      </c>
      <c r="B73" s="605"/>
      <c r="C73" s="605"/>
      <c r="D73" s="605"/>
      <c r="E73" s="606"/>
      <c r="F73" s="459">
        <f t="shared" si="9"/>
        <v>0</v>
      </c>
      <c r="G73" s="459">
        <f t="shared" si="10"/>
        <v>0</v>
      </c>
      <c r="H73" s="459">
        <f t="shared" si="11"/>
        <v>0</v>
      </c>
      <c r="I73" s="460" t="str">
        <f>IF(F73&gt;0,1,"")</f>
        <v/>
      </c>
      <c r="J73" s="460" t="str">
        <f t="shared" si="12"/>
        <v/>
      </c>
      <c r="K73" s="460" t="str">
        <f t="shared" si="12"/>
        <v/>
      </c>
      <c r="L73" s="461"/>
    </row>
    <row r="74" spans="1:16">
      <c r="A74" s="452">
        <v>69</v>
      </c>
      <c r="B74" s="605"/>
      <c r="C74" s="605"/>
      <c r="D74" s="605"/>
      <c r="E74" s="606"/>
      <c r="F74" s="459">
        <f t="shared" si="9"/>
        <v>0</v>
      </c>
      <c r="G74" s="459">
        <f t="shared" si="10"/>
        <v>0</v>
      </c>
      <c r="H74" s="459">
        <f t="shared" si="11"/>
        <v>0</v>
      </c>
      <c r="I74" s="460" t="str">
        <f>IF(F74&gt;0,1,"")</f>
        <v/>
      </c>
      <c r="J74" s="460" t="str">
        <f t="shared" si="12"/>
        <v/>
      </c>
      <c r="K74" s="460" t="str">
        <f t="shared" si="12"/>
        <v/>
      </c>
      <c r="L74" s="461"/>
    </row>
    <row r="75" spans="1:16">
      <c r="A75" s="452">
        <v>70</v>
      </c>
      <c r="B75" s="605"/>
      <c r="C75" s="605"/>
      <c r="D75" s="605"/>
      <c r="E75" s="606"/>
      <c r="F75" s="459">
        <f t="shared" si="9"/>
        <v>0</v>
      </c>
      <c r="G75" s="459">
        <f t="shared" si="10"/>
        <v>0</v>
      </c>
      <c r="H75" s="459">
        <f t="shared" si="11"/>
        <v>0</v>
      </c>
      <c r="I75" s="460" t="str">
        <f>IF(F75&gt;0,1,"")</f>
        <v/>
      </c>
      <c r="J75" s="460" t="str">
        <f t="shared" si="12"/>
        <v/>
      </c>
      <c r="K75" s="460" t="str">
        <f t="shared" si="12"/>
        <v/>
      </c>
      <c r="L75" s="461"/>
    </row>
  </sheetData>
  <sheetProtection password="CB72" sheet="1" objects="1" scenarios="1"/>
  <mergeCells count="20">
    <mergeCell ref="M14:O14"/>
    <mergeCell ref="M15:N15"/>
    <mergeCell ref="M17:N17"/>
    <mergeCell ref="R25:R26"/>
    <mergeCell ref="M32:Q32"/>
    <mergeCell ref="M12:N12"/>
    <mergeCell ref="A1:C1"/>
    <mergeCell ref="A2:A3"/>
    <mergeCell ref="B2:D3"/>
    <mergeCell ref="E2:E5"/>
    <mergeCell ref="F2:H3"/>
    <mergeCell ref="I2:K3"/>
    <mergeCell ref="B4:D4"/>
    <mergeCell ref="F4:H4"/>
    <mergeCell ref="I4:K4"/>
    <mergeCell ref="M4:P4"/>
    <mergeCell ref="M8:N9"/>
    <mergeCell ref="O8:Q8"/>
    <mergeCell ref="M10:N10"/>
    <mergeCell ref="M11:N11"/>
  </mergeCells>
  <pageMargins left="0.7" right="0.7" top="0.78740157499999996" bottom="0.78740157499999996" header="0.3" footer="0.3"/>
  <pageSetup paperSize="8" orientation="landscape"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Tabelle11">
    <tabColor theme="9" tint="-0.249977111117893"/>
  </sheetPr>
  <dimension ref="A1:U75"/>
  <sheetViews>
    <sheetView workbookViewId="0">
      <selection activeCell="F16" sqref="F16"/>
    </sheetView>
  </sheetViews>
  <sheetFormatPr baseColWidth="10" defaultRowHeight="15"/>
  <cols>
    <col min="1" max="1" width="6.44140625" customWidth="1"/>
    <col min="2" max="4" width="8.109375" customWidth="1"/>
    <col min="5" max="5" width="8.5546875" customWidth="1"/>
    <col min="6" max="8" width="6.44140625" customWidth="1"/>
    <col min="9" max="9" width="5.109375" customWidth="1"/>
    <col min="10" max="11" width="6.44140625" customWidth="1"/>
    <col min="12" max="12" width="3.77734375" customWidth="1"/>
    <col min="13" max="13" width="9" customWidth="1"/>
    <col min="14" max="14" width="2.33203125" customWidth="1"/>
    <col min="15" max="15" width="9.77734375" customWidth="1"/>
  </cols>
  <sheetData>
    <row r="1" spans="1:21" ht="16.5" thickBot="1">
      <c r="A1" s="1356" t="s">
        <v>2640</v>
      </c>
      <c r="B1" s="1357"/>
      <c r="C1" s="1358"/>
      <c r="D1" s="446" t="s">
        <v>2614</v>
      </c>
      <c r="E1" s="447"/>
      <c r="F1" s="447"/>
      <c r="G1" s="447"/>
      <c r="H1" s="448"/>
    </row>
    <row r="2" spans="1:21" ht="11.25" customHeight="1">
      <c r="A2" s="1359"/>
      <c r="B2" s="1390" t="s">
        <v>2620</v>
      </c>
      <c r="C2" s="1390"/>
      <c r="D2" s="1390"/>
      <c r="E2" s="1363" t="s">
        <v>2641</v>
      </c>
      <c r="F2" s="1365" t="s">
        <v>2618</v>
      </c>
      <c r="G2" s="1366"/>
      <c r="H2" s="1367"/>
      <c r="I2" s="1392" t="s">
        <v>2619</v>
      </c>
      <c r="J2" s="1393"/>
      <c r="K2" s="1394"/>
    </row>
    <row r="3" spans="1:21" ht="16.5" customHeight="1">
      <c r="A3" s="1360"/>
      <c r="B3" s="1391"/>
      <c r="C3" s="1391"/>
      <c r="D3" s="1391"/>
      <c r="E3" s="1363"/>
      <c r="F3" s="1368"/>
      <c r="G3" s="1369"/>
      <c r="H3" s="1370"/>
      <c r="I3" s="1395"/>
      <c r="J3" s="1396"/>
      <c r="K3" s="1397"/>
      <c r="M3" s="449" t="s">
        <v>2638</v>
      </c>
      <c r="N3" s="449"/>
      <c r="O3" s="450"/>
      <c r="P3" s="450"/>
      <c r="Q3" s="450"/>
      <c r="R3" s="451"/>
    </row>
    <row r="4" spans="1:21" ht="15" customHeight="1" thickBot="1">
      <c r="A4" s="452"/>
      <c r="B4" s="1372" t="s">
        <v>2616</v>
      </c>
      <c r="C4" s="1372"/>
      <c r="D4" s="1372"/>
      <c r="E4" s="1363"/>
      <c r="F4" s="1372" t="s">
        <v>2616</v>
      </c>
      <c r="G4" s="1372"/>
      <c r="H4" s="1372"/>
      <c r="I4" s="1372" t="s">
        <v>2616</v>
      </c>
      <c r="J4" s="1372"/>
      <c r="K4" s="1372"/>
      <c r="L4" s="453"/>
      <c r="M4" s="1373" t="s">
        <v>2639</v>
      </c>
      <c r="N4" s="1373"/>
      <c r="O4" s="1373"/>
      <c r="P4" s="1373"/>
      <c r="Q4" s="454">
        <f>SUM(B6:D75)</f>
        <v>28497.149999999991</v>
      </c>
      <c r="R4" s="451"/>
    </row>
    <row r="5" spans="1:21" ht="25.5" customHeight="1" thickBot="1">
      <c r="A5" s="455" t="s">
        <v>2615</v>
      </c>
      <c r="B5" s="455" t="s">
        <v>1543</v>
      </c>
      <c r="C5" s="455" t="s">
        <v>1766</v>
      </c>
      <c r="D5" s="455" t="s">
        <v>1767</v>
      </c>
      <c r="E5" s="1364"/>
      <c r="F5" s="455" t="s">
        <v>1543</v>
      </c>
      <c r="G5" s="455" t="s">
        <v>1766</v>
      </c>
      <c r="H5" s="455" t="s">
        <v>1767</v>
      </c>
      <c r="I5" s="455" t="s">
        <v>1543</v>
      </c>
      <c r="J5" s="455" t="s">
        <v>1766</v>
      </c>
      <c r="K5" s="455" t="s">
        <v>1767</v>
      </c>
      <c r="L5" s="453"/>
      <c r="M5" s="456" t="s">
        <v>2623</v>
      </c>
      <c r="N5" s="456"/>
      <c r="O5" s="456"/>
      <c r="P5" s="457"/>
      <c r="Q5" s="458"/>
      <c r="R5" s="451"/>
    </row>
    <row r="6" spans="1:21" ht="15.75" thickBot="1">
      <c r="A6" s="452">
        <v>1</v>
      </c>
      <c r="B6" s="605"/>
      <c r="C6" s="605"/>
      <c r="D6" s="605">
        <v>1499.8500000000001</v>
      </c>
      <c r="E6" s="606">
        <v>11</v>
      </c>
      <c r="F6" s="459">
        <f t="shared" ref="F6:F37" si="0">IFERROR(($Q$6+1)*B6/$E6,0)</f>
        <v>0</v>
      </c>
      <c r="G6" s="459">
        <f t="shared" ref="G6:G37" si="1">IFERROR(($Q$6+1)*C6/$E6,0)</f>
        <v>0</v>
      </c>
      <c r="H6" s="459">
        <f t="shared" ref="H6:H37" si="2">IFERROR(($Q$6+1)*D6/$E6,0)</f>
        <v>503.83338332276998</v>
      </c>
      <c r="I6" s="460" t="str">
        <f>IF(F6&gt;0,1,"")</f>
        <v/>
      </c>
      <c r="J6" s="460" t="str">
        <f>IF(AND(G6&gt;0,G6&lt;341),1,IF(AND(G6&gt;=341,G6&lt;=474),2,IF(G6&gt;474,2,"")))</f>
        <v/>
      </c>
      <c r="K6" s="460">
        <f t="shared" ref="K6:K69" si="3">IF(AND(H6&gt;0,H6&lt;341),1,IF(AND(H6&gt;=341,H6&lt;=474),2,IF(H6&gt;474,3,"")))</f>
        <v>3</v>
      </c>
      <c r="L6" s="461"/>
      <c r="M6" s="456" t="s">
        <v>2622</v>
      </c>
      <c r="N6" s="456"/>
      <c r="O6" s="456"/>
      <c r="P6" s="456"/>
      <c r="Q6" s="462">
        <f>IFERROR(IF(R6&gt;0,R6,Q5/Q4),0)</f>
        <v>2.6951476591328927</v>
      </c>
      <c r="R6" s="463">
        <v>2.6951476591328927</v>
      </c>
    </row>
    <row r="7" spans="1:21">
      <c r="A7" s="452">
        <v>2</v>
      </c>
      <c r="B7" s="605"/>
      <c r="C7" s="605"/>
      <c r="D7" s="605">
        <v>1499.8500000000001</v>
      </c>
      <c r="E7" s="606">
        <v>12</v>
      </c>
      <c r="F7" s="459">
        <f t="shared" si="0"/>
        <v>0</v>
      </c>
      <c r="G7" s="459">
        <f t="shared" si="1"/>
        <v>0</v>
      </c>
      <c r="H7" s="459">
        <f t="shared" si="2"/>
        <v>461.84726804587245</v>
      </c>
      <c r="I7" s="460" t="str">
        <f t="shared" ref="I7:I70" si="4">IF(F7&gt;0,1,"")</f>
        <v/>
      </c>
      <c r="J7" s="460" t="str">
        <f t="shared" ref="J7:J70" si="5">IF(AND(G7&gt;0,G7&lt;341),1,IF(AND(G7&gt;=341,G7&lt;=474),2,IF(G7&gt;474,2,"")))</f>
        <v/>
      </c>
      <c r="K7" s="460">
        <f t="shared" si="3"/>
        <v>2</v>
      </c>
      <c r="L7" s="461"/>
      <c r="M7" s="451"/>
      <c r="N7" s="451"/>
      <c r="O7" s="451"/>
      <c r="P7" s="451"/>
      <c r="Q7" s="451"/>
      <c r="R7" s="451"/>
    </row>
    <row r="8" spans="1:21">
      <c r="A8" s="452">
        <v>3</v>
      </c>
      <c r="B8" s="605"/>
      <c r="C8" s="605"/>
      <c r="D8" s="605">
        <v>1499.8500000000001</v>
      </c>
      <c r="E8" s="606">
        <v>11</v>
      </c>
      <c r="F8" s="459">
        <f t="shared" si="0"/>
        <v>0</v>
      </c>
      <c r="G8" s="459">
        <f t="shared" si="1"/>
        <v>0</v>
      </c>
      <c r="H8" s="459">
        <f t="shared" si="2"/>
        <v>503.83338332276998</v>
      </c>
      <c r="I8" s="460" t="str">
        <f t="shared" si="4"/>
        <v/>
      </c>
      <c r="J8" s="460" t="str">
        <f t="shared" si="5"/>
        <v/>
      </c>
      <c r="K8" s="460">
        <f t="shared" si="3"/>
        <v>3</v>
      </c>
      <c r="L8" s="461"/>
      <c r="M8" s="1398" t="s">
        <v>2624</v>
      </c>
      <c r="N8" s="1399"/>
      <c r="O8" s="1378" t="s">
        <v>2637</v>
      </c>
      <c r="P8" s="1379"/>
      <c r="Q8" s="1380"/>
    </row>
    <row r="9" spans="1:21">
      <c r="A9" s="452">
        <v>4</v>
      </c>
      <c r="B9" s="605"/>
      <c r="C9" s="605"/>
      <c r="D9" s="605">
        <v>1499.8500000000001</v>
      </c>
      <c r="E9" s="606">
        <v>12</v>
      </c>
      <c r="F9" s="459">
        <f t="shared" si="0"/>
        <v>0</v>
      </c>
      <c r="G9" s="459">
        <f t="shared" si="1"/>
        <v>0</v>
      </c>
      <c r="H9" s="459">
        <f t="shared" si="2"/>
        <v>461.84726804587245</v>
      </c>
      <c r="I9" s="460" t="str">
        <f t="shared" si="4"/>
        <v/>
      </c>
      <c r="J9" s="460" t="str">
        <f t="shared" si="5"/>
        <v/>
      </c>
      <c r="K9" s="460">
        <f t="shared" si="3"/>
        <v>2</v>
      </c>
      <c r="L9" s="461"/>
      <c r="M9" s="1368"/>
      <c r="N9" s="1370"/>
      <c r="O9" s="464" t="s">
        <v>1543</v>
      </c>
      <c r="P9" s="464" t="s">
        <v>1766</v>
      </c>
      <c r="Q9" s="464" t="s">
        <v>1767</v>
      </c>
    </row>
    <row r="10" spans="1:21">
      <c r="A10" s="452">
        <v>5</v>
      </c>
      <c r="B10" s="605"/>
      <c r="C10" s="605"/>
      <c r="D10" s="605">
        <v>1499.8500000000001</v>
      </c>
      <c r="E10" s="606">
        <v>7</v>
      </c>
      <c r="F10" s="459">
        <f t="shared" si="0"/>
        <v>0</v>
      </c>
      <c r="G10" s="459">
        <f t="shared" si="1"/>
        <v>0</v>
      </c>
      <c r="H10" s="459">
        <f t="shared" si="2"/>
        <v>791.73817379292427</v>
      </c>
      <c r="I10" s="460" t="str">
        <f t="shared" si="4"/>
        <v/>
      </c>
      <c r="J10" s="460" t="str">
        <f t="shared" si="5"/>
        <v/>
      </c>
      <c r="K10" s="460">
        <f t="shared" si="3"/>
        <v>3</v>
      </c>
      <c r="L10" s="461"/>
      <c r="M10" s="1354" t="s">
        <v>2070</v>
      </c>
      <c r="N10" s="1355"/>
      <c r="O10" s="465" t="s">
        <v>2538</v>
      </c>
      <c r="P10" s="465" t="s">
        <v>2538</v>
      </c>
      <c r="Q10" s="465" t="s">
        <v>2538</v>
      </c>
    </row>
    <row r="11" spans="1:21">
      <c r="A11" s="452">
        <v>6</v>
      </c>
      <c r="B11" s="605"/>
      <c r="C11" s="605"/>
      <c r="D11" s="605">
        <v>1499.8500000000001</v>
      </c>
      <c r="E11" s="606">
        <v>9</v>
      </c>
      <c r="F11" s="459">
        <f t="shared" si="0"/>
        <v>0</v>
      </c>
      <c r="G11" s="459">
        <f t="shared" si="1"/>
        <v>0</v>
      </c>
      <c r="H11" s="459">
        <f t="shared" si="2"/>
        <v>615.79635739449668</v>
      </c>
      <c r="I11" s="460" t="str">
        <f t="shared" si="4"/>
        <v/>
      </c>
      <c r="J11" s="460" t="str">
        <f t="shared" si="5"/>
        <v/>
      </c>
      <c r="K11" s="460">
        <f t="shared" si="3"/>
        <v>3</v>
      </c>
      <c r="L11" s="461"/>
      <c r="M11" s="1354" t="s">
        <v>2645</v>
      </c>
      <c r="N11" s="1355"/>
      <c r="O11" s="465" t="s">
        <v>2538</v>
      </c>
      <c r="P11" s="466" t="s">
        <v>2539</v>
      </c>
      <c r="Q11" s="466" t="s">
        <v>2539</v>
      </c>
    </row>
    <row r="12" spans="1:21">
      <c r="A12" s="452">
        <v>7</v>
      </c>
      <c r="B12" s="605"/>
      <c r="C12" s="605"/>
      <c r="D12" s="605">
        <v>1499.8500000000001</v>
      </c>
      <c r="E12" s="606">
        <v>10</v>
      </c>
      <c r="F12" s="459">
        <f t="shared" si="0"/>
        <v>0</v>
      </c>
      <c r="G12" s="459">
        <f t="shared" si="1"/>
        <v>0</v>
      </c>
      <c r="H12" s="459">
        <f t="shared" si="2"/>
        <v>554.21672165504697</v>
      </c>
      <c r="I12" s="460" t="str">
        <f t="shared" si="4"/>
        <v/>
      </c>
      <c r="J12" s="460" t="str">
        <f t="shared" si="5"/>
        <v/>
      </c>
      <c r="K12" s="460">
        <f t="shared" si="3"/>
        <v>3</v>
      </c>
      <c r="L12" s="461"/>
      <c r="M12" s="1354" t="s">
        <v>2076</v>
      </c>
      <c r="N12" s="1355"/>
      <c r="O12" s="465" t="s">
        <v>2538</v>
      </c>
      <c r="P12" s="466" t="s">
        <v>2539</v>
      </c>
      <c r="Q12" s="467" t="s">
        <v>2540</v>
      </c>
      <c r="R12" s="451"/>
    </row>
    <row r="13" spans="1:21" ht="15" customHeight="1">
      <c r="A13" s="452">
        <v>8</v>
      </c>
      <c r="B13" s="605"/>
      <c r="C13" s="605"/>
      <c r="D13" s="605">
        <v>1499.8500000000001</v>
      </c>
      <c r="E13" s="606">
        <v>9</v>
      </c>
      <c r="F13" s="459">
        <f t="shared" si="0"/>
        <v>0</v>
      </c>
      <c r="G13" s="459">
        <f t="shared" si="1"/>
        <v>0</v>
      </c>
      <c r="H13" s="459">
        <f t="shared" si="2"/>
        <v>615.79635739449668</v>
      </c>
      <c r="I13" s="460" t="str">
        <f t="shared" si="4"/>
        <v/>
      </c>
      <c r="J13" s="460" t="str">
        <f t="shared" si="5"/>
        <v/>
      </c>
      <c r="K13" s="460">
        <f t="shared" si="3"/>
        <v>3</v>
      </c>
      <c r="L13" s="461"/>
      <c r="R13" s="451"/>
    </row>
    <row r="14" spans="1:21">
      <c r="A14" s="452">
        <v>9</v>
      </c>
      <c r="B14" s="605"/>
      <c r="C14" s="605"/>
      <c r="D14" s="605">
        <v>1499.8500000000001</v>
      </c>
      <c r="E14" s="606">
        <v>11</v>
      </c>
      <c r="F14" s="459">
        <f t="shared" si="0"/>
        <v>0</v>
      </c>
      <c r="G14" s="459">
        <f t="shared" si="1"/>
        <v>0</v>
      </c>
      <c r="H14" s="459">
        <f t="shared" si="2"/>
        <v>503.83338332276998</v>
      </c>
      <c r="I14" s="460" t="str">
        <f t="shared" si="4"/>
        <v/>
      </c>
      <c r="J14" s="460" t="str">
        <f t="shared" si="5"/>
        <v/>
      </c>
      <c r="K14" s="460">
        <f t="shared" si="3"/>
        <v>3</v>
      </c>
      <c r="L14" s="461"/>
      <c r="M14" s="1381" t="s">
        <v>2631</v>
      </c>
      <c r="N14" s="1382"/>
      <c r="O14" s="1383"/>
      <c r="P14" s="468" t="s">
        <v>1543</v>
      </c>
      <c r="Q14" s="468" t="s">
        <v>1766</v>
      </c>
      <c r="R14" s="468" t="s">
        <v>1767</v>
      </c>
    </row>
    <row r="15" spans="1:21">
      <c r="A15" s="452">
        <v>10</v>
      </c>
      <c r="B15" s="605"/>
      <c r="C15" s="605"/>
      <c r="D15" s="605">
        <v>1499.8500000000001</v>
      </c>
      <c r="E15" s="606">
        <v>10</v>
      </c>
      <c r="F15" s="459">
        <f t="shared" si="0"/>
        <v>0</v>
      </c>
      <c r="G15" s="459">
        <f t="shared" si="1"/>
        <v>0</v>
      </c>
      <c r="H15" s="459">
        <f t="shared" si="2"/>
        <v>554.21672165504697</v>
      </c>
      <c r="I15" s="460" t="str">
        <f t="shared" si="4"/>
        <v/>
      </c>
      <c r="J15" s="460" t="str">
        <f t="shared" si="5"/>
        <v/>
      </c>
      <c r="K15" s="460">
        <f t="shared" si="3"/>
        <v>3</v>
      </c>
      <c r="L15" s="461"/>
      <c r="M15" s="1384" t="s">
        <v>2074</v>
      </c>
      <c r="N15" s="1385"/>
      <c r="O15" s="469">
        <v>341</v>
      </c>
      <c r="P15" s="470">
        <f>COUNTIF(F6:F75,"&gt;0")-COUNTIF(F6:F75,"&gt;341")</f>
        <v>0</v>
      </c>
      <c r="Q15" s="470">
        <f>COUNTIF(G6:G75,"&gt;0")-COUNTIF(G6:G75,"&gt;341")</f>
        <v>0</v>
      </c>
      <c r="R15" s="470">
        <f>COUNTIF(H6:H75,"&gt;0")-COUNTIF(H6:H75,"&gt;341")</f>
        <v>0</v>
      </c>
    </row>
    <row r="16" spans="1:21">
      <c r="A16" s="452">
        <v>11</v>
      </c>
      <c r="B16" s="605"/>
      <c r="C16" s="605"/>
      <c r="D16" s="605">
        <v>1499.8500000000001</v>
      </c>
      <c r="E16" s="606">
        <v>10</v>
      </c>
      <c r="F16" s="459">
        <f t="shared" si="0"/>
        <v>0</v>
      </c>
      <c r="G16" s="459">
        <f t="shared" si="1"/>
        <v>0</v>
      </c>
      <c r="H16" s="459">
        <f t="shared" si="2"/>
        <v>554.21672165504697</v>
      </c>
      <c r="I16" s="460" t="str">
        <f t="shared" si="4"/>
        <v/>
      </c>
      <c r="J16" s="460" t="str">
        <f t="shared" si="5"/>
        <v/>
      </c>
      <c r="K16" s="460">
        <f t="shared" si="3"/>
        <v>3</v>
      </c>
      <c r="L16" s="461"/>
      <c r="M16" s="471">
        <v>341</v>
      </c>
      <c r="N16" s="874" t="s">
        <v>2644</v>
      </c>
      <c r="O16" s="469">
        <v>474</v>
      </c>
      <c r="P16" s="470">
        <f>COUNTIF(F6:F75,"&gt;=341")-COUNTIF(F6:F75,"&gt;=474")</f>
        <v>0</v>
      </c>
      <c r="Q16" s="473">
        <f>COUNTIF(G6:G75,"&gt;=341")-COUNTIF(G6:G75,"&gt;=474")</f>
        <v>0</v>
      </c>
      <c r="R16" s="473">
        <f>COUNTIF(H6:H75,"&gt;=341")-COUNTIF(H6:H75,"&gt;=474")</f>
        <v>4</v>
      </c>
    </row>
    <row r="17" spans="1:19">
      <c r="A17" s="452">
        <v>12</v>
      </c>
      <c r="B17" s="605"/>
      <c r="C17" s="605"/>
      <c r="D17" s="605">
        <v>1499.8500000000001</v>
      </c>
      <c r="E17" s="606">
        <v>10</v>
      </c>
      <c r="F17" s="459">
        <f t="shared" si="0"/>
        <v>0</v>
      </c>
      <c r="G17" s="459">
        <f t="shared" si="1"/>
        <v>0</v>
      </c>
      <c r="H17" s="459">
        <f t="shared" si="2"/>
        <v>554.21672165504697</v>
      </c>
      <c r="I17" s="460" t="str">
        <f t="shared" si="4"/>
        <v/>
      </c>
      <c r="J17" s="460" t="str">
        <f t="shared" si="5"/>
        <v/>
      </c>
      <c r="K17" s="460">
        <f t="shared" si="3"/>
        <v>3</v>
      </c>
      <c r="L17" s="461"/>
      <c r="M17" s="1384" t="s">
        <v>2075</v>
      </c>
      <c r="N17" s="1385"/>
      <c r="O17" s="469">
        <v>474</v>
      </c>
      <c r="P17" s="470">
        <f>COUNTIF(F6:F75,"&gt;474")</f>
        <v>0</v>
      </c>
      <c r="Q17" s="473">
        <f>COUNTIF(G6:G75,"&gt;474")</f>
        <v>0</v>
      </c>
      <c r="R17" s="474">
        <f>COUNTIF(H6:H75,"&gt;474")</f>
        <v>15</v>
      </c>
    </row>
    <row r="18" spans="1:19">
      <c r="A18" s="452">
        <v>13</v>
      </c>
      <c r="B18" s="605"/>
      <c r="C18" s="605"/>
      <c r="D18" s="605">
        <v>1499.8500000000001</v>
      </c>
      <c r="E18" s="606">
        <v>8</v>
      </c>
      <c r="F18" s="459">
        <f t="shared" si="0"/>
        <v>0</v>
      </c>
      <c r="G18" s="459">
        <f t="shared" si="1"/>
        <v>0</v>
      </c>
      <c r="H18" s="459">
        <f t="shared" si="2"/>
        <v>692.77090206880871</v>
      </c>
      <c r="I18" s="460" t="str">
        <f t="shared" si="4"/>
        <v/>
      </c>
      <c r="J18" s="460" t="str">
        <f t="shared" si="5"/>
        <v/>
      </c>
      <c r="K18" s="460">
        <f t="shared" si="3"/>
        <v>3</v>
      </c>
      <c r="L18" s="461"/>
      <c r="M18" s="475"/>
      <c r="N18" s="475"/>
      <c r="O18" s="475"/>
      <c r="P18" s="475"/>
      <c r="Q18" s="451"/>
      <c r="R18" s="451"/>
    </row>
    <row r="19" spans="1:19">
      <c r="A19" s="452">
        <v>14</v>
      </c>
      <c r="B19" s="605"/>
      <c r="C19" s="605"/>
      <c r="D19" s="605">
        <v>1499.8500000000001</v>
      </c>
      <c r="E19" s="606">
        <v>10</v>
      </c>
      <c r="F19" s="459">
        <f t="shared" si="0"/>
        <v>0</v>
      </c>
      <c r="G19" s="459">
        <f t="shared" si="1"/>
        <v>0</v>
      </c>
      <c r="H19" s="459">
        <f t="shared" si="2"/>
        <v>554.21672165504697</v>
      </c>
      <c r="I19" s="460" t="str">
        <f t="shared" si="4"/>
        <v/>
      </c>
      <c r="J19" s="460" t="str">
        <f t="shared" si="5"/>
        <v/>
      </c>
      <c r="K19" s="460">
        <f t="shared" si="3"/>
        <v>3</v>
      </c>
      <c r="L19" s="461"/>
      <c r="M19" s="464" t="s">
        <v>2636</v>
      </c>
      <c r="N19" s="464"/>
      <c r="O19" s="476"/>
      <c r="P19" s="450"/>
      <c r="Q19" s="450"/>
      <c r="R19" s="451"/>
    </row>
    <row r="20" spans="1:19">
      <c r="A20" s="452">
        <v>15</v>
      </c>
      <c r="B20" s="605"/>
      <c r="C20" s="605"/>
      <c r="D20" s="605">
        <v>1499.8500000000001</v>
      </c>
      <c r="E20" s="606">
        <v>13</v>
      </c>
      <c r="F20" s="459">
        <f t="shared" si="0"/>
        <v>0</v>
      </c>
      <c r="G20" s="459">
        <f t="shared" si="1"/>
        <v>0</v>
      </c>
      <c r="H20" s="459">
        <f t="shared" si="2"/>
        <v>426.32055511926688</v>
      </c>
      <c r="I20" s="460" t="str">
        <f t="shared" si="4"/>
        <v/>
      </c>
      <c r="J20" s="460" t="str">
        <f t="shared" si="5"/>
        <v/>
      </c>
      <c r="K20" s="460">
        <f t="shared" si="3"/>
        <v>2</v>
      </c>
      <c r="L20" s="461"/>
      <c r="M20" s="450"/>
      <c r="N20" s="450"/>
      <c r="O20" s="464" t="s">
        <v>1543</v>
      </c>
      <c r="P20" s="464" t="s">
        <v>1766</v>
      </c>
      <c r="Q20" s="464" t="s">
        <v>1767</v>
      </c>
      <c r="R20" s="451"/>
    </row>
    <row r="21" spans="1:19">
      <c r="A21" s="452">
        <v>16</v>
      </c>
      <c r="B21" s="605"/>
      <c r="C21" s="605"/>
      <c r="D21" s="605">
        <v>1499.8500000000001</v>
      </c>
      <c r="E21" s="606">
        <v>12</v>
      </c>
      <c r="F21" s="459">
        <f t="shared" si="0"/>
        <v>0</v>
      </c>
      <c r="G21" s="459">
        <f t="shared" si="1"/>
        <v>0</v>
      </c>
      <c r="H21" s="459">
        <f t="shared" si="2"/>
        <v>461.84726804587245</v>
      </c>
      <c r="I21" s="460" t="str">
        <f t="shared" si="4"/>
        <v/>
      </c>
      <c r="J21" s="460" t="str">
        <f t="shared" si="5"/>
        <v/>
      </c>
      <c r="K21" s="460">
        <f t="shared" si="3"/>
        <v>2</v>
      </c>
      <c r="L21" s="461"/>
      <c r="M21" s="450" t="s">
        <v>2626</v>
      </c>
      <c r="N21" s="450"/>
      <c r="O21" s="477">
        <f>SUMIF(I6:I75,1,$E6:$E75)</f>
        <v>0</v>
      </c>
      <c r="P21" s="477">
        <f>SUMIF(J6:J75,1,$E6:$E75)</f>
        <v>0</v>
      </c>
      <c r="Q21" s="477">
        <f>SUMIF(K6:K75,1,$E6:$E75)</f>
        <v>0</v>
      </c>
      <c r="R21" s="451"/>
    </row>
    <row r="22" spans="1:19">
      <c r="A22" s="452">
        <v>17</v>
      </c>
      <c r="B22" s="605"/>
      <c r="C22" s="605"/>
      <c r="D22" s="605">
        <v>1499.8500000000001</v>
      </c>
      <c r="E22" s="606">
        <v>9</v>
      </c>
      <c r="F22" s="459">
        <f t="shared" si="0"/>
        <v>0</v>
      </c>
      <c r="G22" s="459">
        <f t="shared" si="1"/>
        <v>0</v>
      </c>
      <c r="H22" s="459">
        <f t="shared" si="2"/>
        <v>615.79635739449668</v>
      </c>
      <c r="I22" s="460" t="str">
        <f t="shared" si="4"/>
        <v/>
      </c>
      <c r="J22" s="460" t="str">
        <f t="shared" si="5"/>
        <v/>
      </c>
      <c r="K22" s="460">
        <f t="shared" si="3"/>
        <v>3</v>
      </c>
      <c r="L22" s="461"/>
      <c r="M22" s="450" t="s">
        <v>2627</v>
      </c>
      <c r="N22" s="450"/>
      <c r="O22" s="478" t="s">
        <v>172</v>
      </c>
      <c r="P22" s="479">
        <f>SUMIF(J6:J75,2,$E6:$E75)</f>
        <v>0</v>
      </c>
      <c r="Q22" s="479">
        <f>SUMIF(K6:K75,2,$E6:$E75)</f>
        <v>49</v>
      </c>
      <c r="R22" s="451"/>
    </row>
    <row r="23" spans="1:19">
      <c r="A23" s="452">
        <v>18</v>
      </c>
      <c r="B23" s="605"/>
      <c r="C23" s="605"/>
      <c r="D23" s="605">
        <v>1499.8500000000001</v>
      </c>
      <c r="E23" s="606">
        <v>8</v>
      </c>
      <c r="F23" s="459">
        <f t="shared" si="0"/>
        <v>0</v>
      </c>
      <c r="G23" s="459">
        <f t="shared" si="1"/>
        <v>0</v>
      </c>
      <c r="H23" s="459">
        <f t="shared" si="2"/>
        <v>692.77090206880871</v>
      </c>
      <c r="I23" s="460" t="str">
        <f t="shared" si="4"/>
        <v/>
      </c>
      <c r="J23" s="460" t="str">
        <f t="shared" si="5"/>
        <v/>
      </c>
      <c r="K23" s="460">
        <f t="shared" si="3"/>
        <v>3</v>
      </c>
      <c r="L23" s="461"/>
      <c r="M23" s="450" t="s">
        <v>2628</v>
      </c>
      <c r="N23" s="450"/>
      <c r="O23" s="478" t="s">
        <v>172</v>
      </c>
      <c r="P23" s="478" t="s">
        <v>172</v>
      </c>
      <c r="Q23" s="480">
        <f>SUMIF(K6:K75,3,$E6:$E75)</f>
        <v>142</v>
      </c>
      <c r="R23" s="451"/>
    </row>
    <row r="24" spans="1:19">
      <c r="A24" s="452">
        <v>19</v>
      </c>
      <c r="B24" s="605"/>
      <c r="C24" s="605"/>
      <c r="D24" s="605">
        <v>1499.8500000000001</v>
      </c>
      <c r="E24" s="606">
        <v>9</v>
      </c>
      <c r="F24" s="459">
        <f t="shared" si="0"/>
        <v>0</v>
      </c>
      <c r="G24" s="459">
        <f t="shared" si="1"/>
        <v>0</v>
      </c>
      <c r="H24" s="459">
        <f t="shared" si="2"/>
        <v>615.79635739449668</v>
      </c>
      <c r="I24" s="460" t="str">
        <f t="shared" si="4"/>
        <v/>
      </c>
      <c r="J24" s="460" t="str">
        <f t="shared" si="5"/>
        <v/>
      </c>
      <c r="K24" s="460">
        <f t="shared" si="3"/>
        <v>3</v>
      </c>
      <c r="L24" s="461"/>
      <c r="M24" s="451"/>
      <c r="N24" s="451"/>
      <c r="O24" s="451"/>
      <c r="P24" s="451"/>
      <c r="Q24" s="451"/>
      <c r="R24" s="451"/>
    </row>
    <row r="25" spans="1:19">
      <c r="A25" s="452">
        <v>20</v>
      </c>
      <c r="B25" s="605"/>
      <c r="C25" s="605"/>
      <c r="D25" s="605"/>
      <c r="E25" s="606"/>
      <c r="F25" s="459">
        <f t="shared" si="0"/>
        <v>0</v>
      </c>
      <c r="G25" s="459">
        <f t="shared" si="1"/>
        <v>0</v>
      </c>
      <c r="H25" s="459">
        <f t="shared" si="2"/>
        <v>0</v>
      </c>
      <c r="I25" s="460" t="str">
        <f t="shared" si="4"/>
        <v/>
      </c>
      <c r="J25" s="460" t="str">
        <f t="shared" si="5"/>
        <v/>
      </c>
      <c r="K25" s="460" t="str">
        <f t="shared" si="3"/>
        <v/>
      </c>
      <c r="L25" s="461"/>
      <c r="M25" s="464" t="s">
        <v>2635</v>
      </c>
      <c r="N25" s="464"/>
      <c r="O25" s="476"/>
      <c r="P25" s="450"/>
      <c r="Q25" s="450"/>
      <c r="R25" s="1386" t="s">
        <v>1530</v>
      </c>
    </row>
    <row r="26" spans="1:19">
      <c r="A26" s="452">
        <v>21</v>
      </c>
      <c r="B26" s="605"/>
      <c r="C26" s="605"/>
      <c r="D26" s="605"/>
      <c r="E26" s="606"/>
      <c r="F26" s="459">
        <f t="shared" si="0"/>
        <v>0</v>
      </c>
      <c r="G26" s="459">
        <f t="shared" si="1"/>
        <v>0</v>
      </c>
      <c r="H26" s="459">
        <f t="shared" si="2"/>
        <v>0</v>
      </c>
      <c r="I26" s="460" t="str">
        <f t="shared" si="4"/>
        <v/>
      </c>
      <c r="J26" s="460" t="str">
        <f t="shared" si="5"/>
        <v/>
      </c>
      <c r="K26" s="460" t="str">
        <f t="shared" si="3"/>
        <v/>
      </c>
      <c r="L26" s="461"/>
      <c r="M26" s="450"/>
      <c r="N26" s="450"/>
      <c r="O26" s="464" t="s">
        <v>1543</v>
      </c>
      <c r="P26" s="464" t="s">
        <v>1766</v>
      </c>
      <c r="Q26" s="464" t="s">
        <v>1767</v>
      </c>
      <c r="R26" s="1386"/>
    </row>
    <row r="27" spans="1:19">
      <c r="A27" s="452">
        <v>22</v>
      </c>
      <c r="B27" s="605"/>
      <c r="C27" s="605"/>
      <c r="D27" s="605"/>
      <c r="E27" s="606"/>
      <c r="F27" s="459">
        <f t="shared" si="0"/>
        <v>0</v>
      </c>
      <c r="G27" s="459">
        <f t="shared" si="1"/>
        <v>0</v>
      </c>
      <c r="H27" s="459">
        <f t="shared" si="2"/>
        <v>0</v>
      </c>
      <c r="I27" s="460" t="str">
        <f t="shared" si="4"/>
        <v/>
      </c>
      <c r="J27" s="460" t="str">
        <f t="shared" si="5"/>
        <v/>
      </c>
      <c r="K27" s="460" t="str">
        <f t="shared" si="3"/>
        <v/>
      </c>
      <c r="L27" s="461"/>
      <c r="M27" s="450" t="s">
        <v>2626</v>
      </c>
      <c r="N27" s="450"/>
      <c r="O27" s="481">
        <f>SUMIF(I6:I75,1,B6:B75)*(1+$Q$6)</f>
        <v>0</v>
      </c>
      <c r="P27" s="481">
        <f>SUMIF(J6:J75,1,C6:C75)*(1+$Q$6)</f>
        <v>0</v>
      </c>
      <c r="Q27" s="481">
        <f>SUMIF(K6:K75,1,D6:D75)*(1+$Q$6)</f>
        <v>0</v>
      </c>
      <c r="R27" s="481">
        <f>SUM(O27:Q27)</f>
        <v>0</v>
      </c>
    </row>
    <row r="28" spans="1:19">
      <c r="A28" s="452">
        <v>23</v>
      </c>
      <c r="B28" s="605"/>
      <c r="C28" s="605"/>
      <c r="D28" s="605"/>
      <c r="E28" s="606"/>
      <c r="F28" s="459">
        <f t="shared" si="0"/>
        <v>0</v>
      </c>
      <c r="G28" s="459">
        <f t="shared" si="1"/>
        <v>0</v>
      </c>
      <c r="H28" s="459">
        <f t="shared" si="2"/>
        <v>0</v>
      </c>
      <c r="I28" s="460" t="str">
        <f t="shared" si="4"/>
        <v/>
      </c>
      <c r="J28" s="460" t="str">
        <f t="shared" si="5"/>
        <v/>
      </c>
      <c r="K28" s="460" t="str">
        <f t="shared" si="3"/>
        <v/>
      </c>
      <c r="L28" s="461"/>
      <c r="M28" s="450" t="s">
        <v>2627</v>
      </c>
      <c r="N28" s="450"/>
      <c r="O28" s="478" t="s">
        <v>172</v>
      </c>
      <c r="P28" s="482">
        <f>SUMIF(J6:J75,2,C6:C75)*(1+$Q$6)</f>
        <v>0</v>
      </c>
      <c r="Q28" s="482">
        <f>SUMIF(K6:K75,2,D6:D75)*(1+$Q$6)</f>
        <v>22168.668866201879</v>
      </c>
      <c r="R28" s="482">
        <f>SUM(O28:Q28)</f>
        <v>22168.668866201879</v>
      </c>
    </row>
    <row r="29" spans="1:19">
      <c r="A29" s="452">
        <v>24</v>
      </c>
      <c r="B29" s="605"/>
      <c r="C29" s="605"/>
      <c r="D29" s="605"/>
      <c r="E29" s="606"/>
      <c r="F29" s="459">
        <f t="shared" si="0"/>
        <v>0</v>
      </c>
      <c r="G29" s="459">
        <f t="shared" si="1"/>
        <v>0</v>
      </c>
      <c r="H29" s="459">
        <f t="shared" si="2"/>
        <v>0</v>
      </c>
      <c r="I29" s="460" t="str">
        <f t="shared" si="4"/>
        <v/>
      </c>
      <c r="J29" s="460" t="str">
        <f t="shared" si="5"/>
        <v/>
      </c>
      <c r="K29" s="460" t="str">
        <f t="shared" si="3"/>
        <v/>
      </c>
      <c r="L29" s="461"/>
      <c r="M29" s="450" t="s">
        <v>2628</v>
      </c>
      <c r="N29" s="450"/>
      <c r="O29" s="478" t="s">
        <v>172</v>
      </c>
      <c r="P29" s="478" t="s">
        <v>172</v>
      </c>
      <c r="Q29" s="483">
        <f>SUMIF(K6:K75,3,D6:D75)*(1+$Q$6)</f>
        <v>83132.508248257029</v>
      </c>
      <c r="R29" s="483">
        <f>SUM(O29:Q29)</f>
        <v>83132.508248257029</v>
      </c>
    </row>
    <row r="30" spans="1:19">
      <c r="A30" s="452">
        <v>25</v>
      </c>
      <c r="B30" s="605"/>
      <c r="C30" s="605"/>
      <c r="D30" s="605"/>
      <c r="E30" s="606"/>
      <c r="F30" s="459">
        <f t="shared" si="0"/>
        <v>0</v>
      </c>
      <c r="G30" s="459">
        <f t="shared" si="1"/>
        <v>0</v>
      </c>
      <c r="H30" s="459">
        <f t="shared" si="2"/>
        <v>0</v>
      </c>
      <c r="I30" s="460" t="str">
        <f t="shared" si="4"/>
        <v/>
      </c>
      <c r="J30" s="460" t="str">
        <f t="shared" si="5"/>
        <v/>
      </c>
      <c r="K30" s="460" t="str">
        <f t="shared" si="3"/>
        <v/>
      </c>
      <c r="L30" s="461"/>
      <c r="M30" s="451"/>
      <c r="N30" s="451"/>
      <c r="O30" s="451"/>
      <c r="P30" s="451"/>
      <c r="Q30" s="451"/>
      <c r="R30" s="484">
        <f>SUM(R27:R29)</f>
        <v>105301.1771144589</v>
      </c>
    </row>
    <row r="31" spans="1:19" ht="15.75" thickBot="1">
      <c r="A31" s="452">
        <v>26</v>
      </c>
      <c r="B31" s="605"/>
      <c r="C31" s="605"/>
      <c r="D31" s="605"/>
      <c r="E31" s="606"/>
      <c r="F31" s="459">
        <f t="shared" si="0"/>
        <v>0</v>
      </c>
      <c r="G31" s="459">
        <f t="shared" si="1"/>
        <v>0</v>
      </c>
      <c r="H31" s="459">
        <f t="shared" si="2"/>
        <v>0</v>
      </c>
      <c r="I31" s="460" t="str">
        <f t="shared" si="4"/>
        <v/>
      </c>
      <c r="J31" s="460" t="str">
        <f t="shared" si="5"/>
        <v/>
      </c>
      <c r="K31" s="460" t="str">
        <f t="shared" si="3"/>
        <v/>
      </c>
      <c r="L31" s="461"/>
      <c r="R31" s="451"/>
    </row>
    <row r="32" spans="1:19" ht="15.75">
      <c r="A32" s="452">
        <v>27</v>
      </c>
      <c r="B32" s="605"/>
      <c r="C32" s="605"/>
      <c r="D32" s="605"/>
      <c r="E32" s="606"/>
      <c r="F32" s="459">
        <f t="shared" si="0"/>
        <v>0</v>
      </c>
      <c r="G32" s="459">
        <f t="shared" si="1"/>
        <v>0</v>
      </c>
      <c r="H32" s="459">
        <f t="shared" si="2"/>
        <v>0</v>
      </c>
      <c r="I32" s="460" t="str">
        <f t="shared" si="4"/>
        <v/>
      </c>
      <c r="J32" s="460" t="str">
        <f t="shared" si="5"/>
        <v/>
      </c>
      <c r="K32" s="460" t="str">
        <f t="shared" si="3"/>
        <v/>
      </c>
      <c r="L32" s="461"/>
      <c r="M32" s="1387" t="s">
        <v>2630</v>
      </c>
      <c r="N32" s="1388"/>
      <c r="O32" s="1388"/>
      <c r="P32" s="1388"/>
      <c r="Q32" s="1389"/>
      <c r="R32" s="451"/>
    </row>
    <row r="33" spans="1:18">
      <c r="A33" s="452">
        <v>28</v>
      </c>
      <c r="B33" s="605"/>
      <c r="C33" s="605"/>
      <c r="D33" s="605"/>
      <c r="E33" s="606"/>
      <c r="F33" s="459">
        <f t="shared" si="0"/>
        <v>0</v>
      </c>
      <c r="G33" s="459">
        <f t="shared" si="1"/>
        <v>0</v>
      </c>
      <c r="H33" s="459">
        <f t="shared" si="2"/>
        <v>0</v>
      </c>
      <c r="I33" s="460" t="str">
        <f t="shared" si="4"/>
        <v/>
      </c>
      <c r="J33" s="460" t="str">
        <f t="shared" si="5"/>
        <v/>
      </c>
      <c r="K33" s="460" t="str">
        <f t="shared" si="3"/>
        <v/>
      </c>
      <c r="L33" s="461"/>
      <c r="M33" s="492" t="s">
        <v>2632</v>
      </c>
      <c r="N33" s="485"/>
      <c r="O33" s="873" t="s">
        <v>2508</v>
      </c>
      <c r="P33" s="873" t="s">
        <v>2633</v>
      </c>
      <c r="Q33" s="877" t="s">
        <v>2634</v>
      </c>
      <c r="R33" s="451"/>
    </row>
    <row r="34" spans="1:18">
      <c r="A34" s="452">
        <v>29</v>
      </c>
      <c r="B34" s="605"/>
      <c r="C34" s="605"/>
      <c r="D34" s="605"/>
      <c r="E34" s="606"/>
      <c r="F34" s="459">
        <f t="shared" si="0"/>
        <v>0</v>
      </c>
      <c r="G34" s="459">
        <f t="shared" si="1"/>
        <v>0</v>
      </c>
      <c r="H34" s="459">
        <f t="shared" si="2"/>
        <v>0</v>
      </c>
      <c r="I34" s="460" t="str">
        <f t="shared" si="4"/>
        <v/>
      </c>
      <c r="J34" s="460" t="str">
        <f t="shared" si="5"/>
        <v/>
      </c>
      <c r="K34" s="460" t="str">
        <f t="shared" si="3"/>
        <v/>
      </c>
      <c r="L34" s="461"/>
      <c r="M34" s="493">
        <v>1</v>
      </c>
      <c r="N34" s="486"/>
      <c r="O34" s="487">
        <f>SUM(P15:R15,P16,P17)</f>
        <v>0</v>
      </c>
      <c r="P34" s="488">
        <f>SUM(O21:Q21)</f>
        <v>0</v>
      </c>
      <c r="Q34" s="494">
        <f>R27</f>
        <v>0</v>
      </c>
      <c r="R34" s="451"/>
    </row>
    <row r="35" spans="1:18">
      <c r="A35" s="452">
        <v>30</v>
      </c>
      <c r="B35" s="605"/>
      <c r="C35" s="605"/>
      <c r="D35" s="605"/>
      <c r="E35" s="606"/>
      <c r="F35" s="459">
        <f t="shared" si="0"/>
        <v>0</v>
      </c>
      <c r="G35" s="459">
        <f t="shared" si="1"/>
        <v>0</v>
      </c>
      <c r="H35" s="459">
        <f t="shared" si="2"/>
        <v>0</v>
      </c>
      <c r="I35" s="460" t="str">
        <f t="shared" si="4"/>
        <v/>
      </c>
      <c r="J35" s="460" t="str">
        <f t="shared" si="5"/>
        <v/>
      </c>
      <c r="K35" s="460" t="str">
        <f t="shared" si="3"/>
        <v/>
      </c>
      <c r="L35" s="461"/>
      <c r="M35" s="495">
        <v>2</v>
      </c>
      <c r="N35" s="489"/>
      <c r="O35" s="490">
        <f>SUM(Q16:R16,Q17)</f>
        <v>4</v>
      </c>
      <c r="P35" s="491">
        <f>SUM(O22:Q22)</f>
        <v>49</v>
      </c>
      <c r="Q35" s="496">
        <f>R28</f>
        <v>22168.668866201879</v>
      </c>
      <c r="R35" s="451"/>
    </row>
    <row r="36" spans="1:18" ht="15.75" thickBot="1">
      <c r="A36" s="452">
        <v>31</v>
      </c>
      <c r="B36" s="605"/>
      <c r="C36" s="605"/>
      <c r="D36" s="605"/>
      <c r="E36" s="606"/>
      <c r="F36" s="459">
        <f t="shared" si="0"/>
        <v>0</v>
      </c>
      <c r="G36" s="459">
        <f t="shared" si="1"/>
        <v>0</v>
      </c>
      <c r="H36" s="459">
        <f t="shared" si="2"/>
        <v>0</v>
      </c>
      <c r="I36" s="460" t="str">
        <f t="shared" si="4"/>
        <v/>
      </c>
      <c r="J36" s="460" t="str">
        <f t="shared" si="5"/>
        <v/>
      </c>
      <c r="K36" s="460" t="str">
        <f t="shared" si="3"/>
        <v/>
      </c>
      <c r="L36" s="461"/>
      <c r="M36" s="497">
        <v>3</v>
      </c>
      <c r="N36" s="498"/>
      <c r="O36" s="499">
        <f>R17</f>
        <v>15</v>
      </c>
      <c r="P36" s="500">
        <f>SUM(O23:Q23)</f>
        <v>142</v>
      </c>
      <c r="Q36" s="501">
        <f>R29</f>
        <v>83132.508248257029</v>
      </c>
    </row>
    <row r="37" spans="1:18">
      <c r="A37" s="452">
        <v>32</v>
      </c>
      <c r="B37" s="605"/>
      <c r="C37" s="605"/>
      <c r="D37" s="605"/>
      <c r="E37" s="606"/>
      <c r="F37" s="459">
        <f t="shared" si="0"/>
        <v>0</v>
      </c>
      <c r="G37" s="459">
        <f t="shared" si="1"/>
        <v>0</v>
      </c>
      <c r="H37" s="459">
        <f t="shared" si="2"/>
        <v>0</v>
      </c>
      <c r="I37" s="460" t="str">
        <f t="shared" si="4"/>
        <v/>
      </c>
      <c r="J37" s="460" t="str">
        <f t="shared" si="5"/>
        <v/>
      </c>
      <c r="K37" s="460" t="str">
        <f t="shared" si="3"/>
        <v/>
      </c>
      <c r="L37" s="461"/>
    </row>
    <row r="38" spans="1:18">
      <c r="A38" s="452">
        <v>33</v>
      </c>
      <c r="B38" s="605"/>
      <c r="C38" s="605"/>
      <c r="D38" s="605"/>
      <c r="E38" s="606"/>
      <c r="F38" s="459">
        <f t="shared" ref="F38:F69" si="6">IFERROR(($Q$6+1)*B38/$E38,0)</f>
        <v>0</v>
      </c>
      <c r="G38" s="459">
        <f t="shared" ref="G38:G69" si="7">IFERROR(($Q$6+1)*C38/$E38,0)</f>
        <v>0</v>
      </c>
      <c r="H38" s="459">
        <f t="shared" ref="H38:H69" si="8">IFERROR(($Q$6+1)*D38/$E38,0)</f>
        <v>0</v>
      </c>
      <c r="I38" s="460" t="str">
        <f t="shared" si="4"/>
        <v/>
      </c>
      <c r="J38" s="460" t="str">
        <f t="shared" si="5"/>
        <v/>
      </c>
      <c r="K38" s="460" t="str">
        <f t="shared" si="3"/>
        <v/>
      </c>
      <c r="L38" s="461"/>
    </row>
    <row r="39" spans="1:18">
      <c r="A39" s="452">
        <v>34</v>
      </c>
      <c r="B39" s="605"/>
      <c r="C39" s="605"/>
      <c r="D39" s="605"/>
      <c r="E39" s="606"/>
      <c r="F39" s="459">
        <f t="shared" si="6"/>
        <v>0</v>
      </c>
      <c r="G39" s="459">
        <f t="shared" si="7"/>
        <v>0</v>
      </c>
      <c r="H39" s="459">
        <f t="shared" si="8"/>
        <v>0</v>
      </c>
      <c r="I39" s="460" t="str">
        <f t="shared" si="4"/>
        <v/>
      </c>
      <c r="J39" s="460" t="str">
        <f t="shared" si="5"/>
        <v/>
      </c>
      <c r="K39" s="460" t="str">
        <f t="shared" si="3"/>
        <v/>
      </c>
      <c r="L39" s="461"/>
    </row>
    <row r="40" spans="1:18">
      <c r="A40" s="452">
        <v>35</v>
      </c>
      <c r="B40" s="605"/>
      <c r="C40" s="605"/>
      <c r="D40" s="605"/>
      <c r="E40" s="606"/>
      <c r="F40" s="459">
        <f t="shared" si="6"/>
        <v>0</v>
      </c>
      <c r="G40" s="459">
        <f t="shared" si="7"/>
        <v>0</v>
      </c>
      <c r="H40" s="459">
        <f t="shared" si="8"/>
        <v>0</v>
      </c>
      <c r="I40" s="460" t="str">
        <f t="shared" si="4"/>
        <v/>
      </c>
      <c r="J40" s="460" t="str">
        <f t="shared" si="5"/>
        <v/>
      </c>
      <c r="K40" s="460" t="str">
        <f t="shared" si="3"/>
        <v/>
      </c>
      <c r="L40" s="461"/>
    </row>
    <row r="41" spans="1:18">
      <c r="A41" s="452">
        <v>36</v>
      </c>
      <c r="B41" s="605"/>
      <c r="C41" s="605"/>
      <c r="D41" s="605"/>
      <c r="E41" s="606"/>
      <c r="F41" s="459">
        <f t="shared" si="6"/>
        <v>0</v>
      </c>
      <c r="G41" s="459">
        <f t="shared" si="7"/>
        <v>0</v>
      </c>
      <c r="H41" s="459">
        <f t="shared" si="8"/>
        <v>0</v>
      </c>
      <c r="I41" s="460" t="str">
        <f t="shared" si="4"/>
        <v/>
      </c>
      <c r="J41" s="460" t="str">
        <f t="shared" si="5"/>
        <v/>
      </c>
      <c r="K41" s="460" t="str">
        <f t="shared" si="3"/>
        <v/>
      </c>
      <c r="L41" s="461"/>
    </row>
    <row r="42" spans="1:18">
      <c r="A42" s="452">
        <v>37</v>
      </c>
      <c r="B42" s="605"/>
      <c r="C42" s="605"/>
      <c r="D42" s="605"/>
      <c r="E42" s="606"/>
      <c r="F42" s="459">
        <f t="shared" si="6"/>
        <v>0</v>
      </c>
      <c r="G42" s="459">
        <f t="shared" si="7"/>
        <v>0</v>
      </c>
      <c r="H42" s="459">
        <f t="shared" si="8"/>
        <v>0</v>
      </c>
      <c r="I42" s="460" t="str">
        <f t="shared" si="4"/>
        <v/>
      </c>
      <c r="J42" s="460" t="str">
        <f t="shared" si="5"/>
        <v/>
      </c>
      <c r="K42" s="460" t="str">
        <f t="shared" si="3"/>
        <v/>
      </c>
      <c r="L42" s="461"/>
      <c r="M42" s="461"/>
      <c r="N42" s="461"/>
      <c r="O42" s="461"/>
    </row>
    <row r="43" spans="1:18">
      <c r="A43" s="452">
        <v>38</v>
      </c>
      <c r="B43" s="605"/>
      <c r="C43" s="605"/>
      <c r="D43" s="605"/>
      <c r="E43" s="606"/>
      <c r="F43" s="459">
        <f t="shared" si="6"/>
        <v>0</v>
      </c>
      <c r="G43" s="459">
        <f t="shared" si="7"/>
        <v>0</v>
      </c>
      <c r="H43" s="459">
        <f t="shared" si="8"/>
        <v>0</v>
      </c>
      <c r="I43" s="460" t="str">
        <f t="shared" si="4"/>
        <v/>
      </c>
      <c r="J43" s="460" t="str">
        <f t="shared" si="5"/>
        <v/>
      </c>
      <c r="K43" s="460" t="str">
        <f t="shared" si="3"/>
        <v/>
      </c>
      <c r="L43" s="461"/>
      <c r="M43" s="461"/>
      <c r="N43" s="461"/>
      <c r="O43" s="461"/>
    </row>
    <row r="44" spans="1:18">
      <c r="A44" s="452">
        <v>39</v>
      </c>
      <c r="B44" s="605"/>
      <c r="C44" s="605"/>
      <c r="D44" s="605"/>
      <c r="E44" s="606"/>
      <c r="F44" s="459">
        <f t="shared" si="6"/>
        <v>0</v>
      </c>
      <c r="G44" s="459">
        <f t="shared" si="7"/>
        <v>0</v>
      </c>
      <c r="H44" s="459">
        <f t="shared" si="8"/>
        <v>0</v>
      </c>
      <c r="I44" s="460" t="str">
        <f t="shared" si="4"/>
        <v/>
      </c>
      <c r="J44" s="460" t="str">
        <f t="shared" si="5"/>
        <v/>
      </c>
      <c r="K44" s="460" t="str">
        <f t="shared" si="3"/>
        <v/>
      </c>
      <c r="L44" s="461"/>
      <c r="M44" s="461"/>
      <c r="N44" s="461"/>
      <c r="O44" s="461"/>
    </row>
    <row r="45" spans="1:18">
      <c r="A45" s="452">
        <v>40</v>
      </c>
      <c r="B45" s="605"/>
      <c r="C45" s="605"/>
      <c r="D45" s="605"/>
      <c r="E45" s="606"/>
      <c r="F45" s="459">
        <f t="shared" si="6"/>
        <v>0</v>
      </c>
      <c r="G45" s="459">
        <f t="shared" si="7"/>
        <v>0</v>
      </c>
      <c r="H45" s="459">
        <f t="shared" si="8"/>
        <v>0</v>
      </c>
      <c r="I45" s="460" t="str">
        <f t="shared" si="4"/>
        <v/>
      </c>
      <c r="J45" s="460" t="str">
        <f t="shared" si="5"/>
        <v/>
      </c>
      <c r="K45" s="460" t="str">
        <f t="shared" si="3"/>
        <v/>
      </c>
      <c r="L45" s="461"/>
      <c r="M45" s="461"/>
      <c r="N45" s="461"/>
      <c r="O45" s="461"/>
    </row>
    <row r="46" spans="1:18">
      <c r="A46" s="452">
        <v>41</v>
      </c>
      <c r="B46" s="605"/>
      <c r="C46" s="605"/>
      <c r="D46" s="605"/>
      <c r="E46" s="606"/>
      <c r="F46" s="459">
        <f t="shared" si="6"/>
        <v>0</v>
      </c>
      <c r="G46" s="459">
        <f t="shared" si="7"/>
        <v>0</v>
      </c>
      <c r="H46" s="459">
        <f t="shared" si="8"/>
        <v>0</v>
      </c>
      <c r="I46" s="460" t="str">
        <f t="shared" si="4"/>
        <v/>
      </c>
      <c r="J46" s="460" t="str">
        <f t="shared" si="5"/>
        <v/>
      </c>
      <c r="K46" s="460" t="str">
        <f t="shared" si="3"/>
        <v/>
      </c>
      <c r="L46" s="461"/>
      <c r="M46" s="461"/>
      <c r="N46" s="461"/>
      <c r="O46" s="461"/>
    </row>
    <row r="47" spans="1:18">
      <c r="A47" s="452">
        <v>42</v>
      </c>
      <c r="B47" s="605"/>
      <c r="C47" s="605"/>
      <c r="D47" s="605"/>
      <c r="E47" s="606"/>
      <c r="F47" s="459">
        <f t="shared" si="6"/>
        <v>0</v>
      </c>
      <c r="G47" s="459">
        <f t="shared" si="7"/>
        <v>0</v>
      </c>
      <c r="H47" s="459">
        <f t="shared" si="8"/>
        <v>0</v>
      </c>
      <c r="I47" s="460" t="str">
        <f t="shared" si="4"/>
        <v/>
      </c>
      <c r="J47" s="460" t="str">
        <f t="shared" si="5"/>
        <v/>
      </c>
      <c r="K47" s="460" t="str">
        <f t="shared" si="3"/>
        <v/>
      </c>
      <c r="L47" s="461"/>
      <c r="M47" s="461"/>
      <c r="N47" s="461"/>
      <c r="O47" s="461"/>
    </row>
    <row r="48" spans="1:18">
      <c r="A48" s="452">
        <v>43</v>
      </c>
      <c r="B48" s="605"/>
      <c r="C48" s="605"/>
      <c r="D48" s="605"/>
      <c r="E48" s="606"/>
      <c r="F48" s="459">
        <f t="shared" si="6"/>
        <v>0</v>
      </c>
      <c r="G48" s="459">
        <f t="shared" si="7"/>
        <v>0</v>
      </c>
      <c r="H48" s="459">
        <f t="shared" si="8"/>
        <v>0</v>
      </c>
      <c r="I48" s="460" t="str">
        <f t="shared" si="4"/>
        <v/>
      </c>
      <c r="J48" s="460" t="str">
        <f t="shared" si="5"/>
        <v/>
      </c>
      <c r="K48" s="460" t="str">
        <f t="shared" si="3"/>
        <v/>
      </c>
      <c r="L48" s="461"/>
      <c r="M48" s="461"/>
      <c r="N48" s="461"/>
      <c r="O48" s="461"/>
    </row>
    <row r="49" spans="1:15">
      <c r="A49" s="452">
        <v>44</v>
      </c>
      <c r="B49" s="605"/>
      <c r="C49" s="605"/>
      <c r="D49" s="605"/>
      <c r="E49" s="606"/>
      <c r="F49" s="459">
        <f t="shared" si="6"/>
        <v>0</v>
      </c>
      <c r="G49" s="459">
        <f t="shared" si="7"/>
        <v>0</v>
      </c>
      <c r="H49" s="459">
        <f t="shared" si="8"/>
        <v>0</v>
      </c>
      <c r="I49" s="460" t="str">
        <f t="shared" si="4"/>
        <v/>
      </c>
      <c r="J49" s="460" t="str">
        <f t="shared" si="5"/>
        <v/>
      </c>
      <c r="K49" s="460" t="str">
        <f t="shared" si="3"/>
        <v/>
      </c>
      <c r="L49" s="461"/>
      <c r="M49" s="461"/>
      <c r="N49" s="461"/>
      <c r="O49" s="461"/>
    </row>
    <row r="50" spans="1:15">
      <c r="A50" s="452">
        <v>45</v>
      </c>
      <c r="B50" s="605"/>
      <c r="C50" s="605"/>
      <c r="D50" s="605"/>
      <c r="E50" s="606"/>
      <c r="F50" s="459">
        <f t="shared" si="6"/>
        <v>0</v>
      </c>
      <c r="G50" s="459">
        <f t="shared" si="7"/>
        <v>0</v>
      </c>
      <c r="H50" s="459">
        <f t="shared" si="8"/>
        <v>0</v>
      </c>
      <c r="I50" s="460" t="str">
        <f t="shared" si="4"/>
        <v/>
      </c>
      <c r="J50" s="460" t="str">
        <f t="shared" si="5"/>
        <v/>
      </c>
      <c r="K50" s="460" t="str">
        <f t="shared" si="3"/>
        <v/>
      </c>
      <c r="L50" s="461"/>
      <c r="M50" s="461"/>
      <c r="N50" s="461"/>
      <c r="O50" s="461"/>
    </row>
    <row r="51" spans="1:15">
      <c r="A51" s="452">
        <v>46</v>
      </c>
      <c r="B51" s="605"/>
      <c r="C51" s="605"/>
      <c r="D51" s="605"/>
      <c r="E51" s="606"/>
      <c r="F51" s="459">
        <f t="shared" si="6"/>
        <v>0</v>
      </c>
      <c r="G51" s="459">
        <f t="shared" si="7"/>
        <v>0</v>
      </c>
      <c r="H51" s="459">
        <f t="shared" si="8"/>
        <v>0</v>
      </c>
      <c r="I51" s="460" t="str">
        <f t="shared" si="4"/>
        <v/>
      </c>
      <c r="J51" s="460" t="str">
        <f t="shared" si="5"/>
        <v/>
      </c>
      <c r="K51" s="460" t="str">
        <f t="shared" si="3"/>
        <v/>
      </c>
      <c r="L51" s="461"/>
      <c r="M51" s="461"/>
      <c r="N51" s="461"/>
      <c r="O51" s="461"/>
    </row>
    <row r="52" spans="1:15">
      <c r="A52" s="452">
        <v>47</v>
      </c>
      <c r="B52" s="605"/>
      <c r="C52" s="605"/>
      <c r="D52" s="605"/>
      <c r="E52" s="606"/>
      <c r="F52" s="459">
        <f t="shared" si="6"/>
        <v>0</v>
      </c>
      <c r="G52" s="459">
        <f t="shared" si="7"/>
        <v>0</v>
      </c>
      <c r="H52" s="459">
        <f t="shared" si="8"/>
        <v>0</v>
      </c>
      <c r="I52" s="460" t="str">
        <f t="shared" si="4"/>
        <v/>
      </c>
      <c r="J52" s="460" t="str">
        <f t="shared" si="5"/>
        <v/>
      </c>
      <c r="K52" s="460" t="str">
        <f t="shared" si="3"/>
        <v/>
      </c>
      <c r="L52" s="461"/>
      <c r="M52" s="461"/>
      <c r="N52" s="461"/>
      <c r="O52" s="461"/>
    </row>
    <row r="53" spans="1:15">
      <c r="A53" s="452">
        <v>48</v>
      </c>
      <c r="B53" s="605"/>
      <c r="C53" s="605"/>
      <c r="D53" s="605"/>
      <c r="E53" s="606"/>
      <c r="F53" s="459">
        <f t="shared" si="6"/>
        <v>0</v>
      </c>
      <c r="G53" s="459">
        <f t="shared" si="7"/>
        <v>0</v>
      </c>
      <c r="H53" s="459">
        <f t="shared" si="8"/>
        <v>0</v>
      </c>
      <c r="I53" s="460" t="str">
        <f t="shared" si="4"/>
        <v/>
      </c>
      <c r="J53" s="460" t="str">
        <f t="shared" si="5"/>
        <v/>
      </c>
      <c r="K53" s="460" t="str">
        <f t="shared" si="3"/>
        <v/>
      </c>
      <c r="L53" s="461"/>
      <c r="M53" s="461"/>
      <c r="N53" s="461"/>
      <c r="O53" s="461"/>
    </row>
    <row r="54" spans="1:15">
      <c r="A54" s="452">
        <v>49</v>
      </c>
      <c r="B54" s="605"/>
      <c r="C54" s="605"/>
      <c r="D54" s="605"/>
      <c r="E54" s="606"/>
      <c r="F54" s="459">
        <f t="shared" si="6"/>
        <v>0</v>
      </c>
      <c r="G54" s="459">
        <f t="shared" si="7"/>
        <v>0</v>
      </c>
      <c r="H54" s="459">
        <f t="shared" si="8"/>
        <v>0</v>
      </c>
      <c r="I54" s="460" t="str">
        <f t="shared" si="4"/>
        <v/>
      </c>
      <c r="J54" s="460" t="str">
        <f t="shared" si="5"/>
        <v/>
      </c>
      <c r="K54" s="460" t="str">
        <f t="shared" si="3"/>
        <v/>
      </c>
      <c r="L54" s="461"/>
      <c r="M54" s="461"/>
      <c r="N54" s="461"/>
      <c r="O54" s="461"/>
    </row>
    <row r="55" spans="1:15">
      <c r="A55" s="452">
        <v>50</v>
      </c>
      <c r="B55" s="605"/>
      <c r="C55" s="605"/>
      <c r="D55" s="605"/>
      <c r="E55" s="606"/>
      <c r="F55" s="459">
        <f t="shared" si="6"/>
        <v>0</v>
      </c>
      <c r="G55" s="459">
        <f t="shared" si="7"/>
        <v>0</v>
      </c>
      <c r="H55" s="459">
        <f t="shared" si="8"/>
        <v>0</v>
      </c>
      <c r="I55" s="460" t="str">
        <f t="shared" si="4"/>
        <v/>
      </c>
      <c r="J55" s="460" t="str">
        <f t="shared" si="5"/>
        <v/>
      </c>
      <c r="K55" s="460" t="str">
        <f t="shared" si="3"/>
        <v/>
      </c>
      <c r="L55" s="461"/>
      <c r="M55" s="461"/>
      <c r="N55" s="461"/>
      <c r="O55" s="461"/>
    </row>
    <row r="56" spans="1:15">
      <c r="A56" s="452">
        <v>51</v>
      </c>
      <c r="B56" s="605"/>
      <c r="C56" s="605"/>
      <c r="D56" s="605"/>
      <c r="E56" s="606"/>
      <c r="F56" s="459">
        <f t="shared" si="6"/>
        <v>0</v>
      </c>
      <c r="G56" s="459">
        <f t="shared" si="7"/>
        <v>0</v>
      </c>
      <c r="H56" s="459">
        <f t="shared" si="8"/>
        <v>0</v>
      </c>
      <c r="I56" s="460" t="str">
        <f t="shared" si="4"/>
        <v/>
      </c>
      <c r="J56" s="460" t="str">
        <f t="shared" si="5"/>
        <v/>
      </c>
      <c r="K56" s="460" t="str">
        <f t="shared" si="3"/>
        <v/>
      </c>
      <c r="L56" s="461"/>
      <c r="M56" s="461"/>
      <c r="N56" s="461"/>
      <c r="O56" s="461"/>
    </row>
    <row r="57" spans="1:15">
      <c r="A57" s="452">
        <v>52</v>
      </c>
      <c r="B57" s="605"/>
      <c r="C57" s="605"/>
      <c r="D57" s="605"/>
      <c r="E57" s="606"/>
      <c r="F57" s="459">
        <f t="shared" si="6"/>
        <v>0</v>
      </c>
      <c r="G57" s="459">
        <f t="shared" si="7"/>
        <v>0</v>
      </c>
      <c r="H57" s="459">
        <f t="shared" si="8"/>
        <v>0</v>
      </c>
      <c r="I57" s="460" t="str">
        <f t="shared" si="4"/>
        <v/>
      </c>
      <c r="J57" s="460" t="str">
        <f t="shared" si="5"/>
        <v/>
      </c>
      <c r="K57" s="460" t="str">
        <f t="shared" si="3"/>
        <v/>
      </c>
      <c r="L57" s="461"/>
      <c r="M57" s="461"/>
      <c r="N57" s="461"/>
      <c r="O57" s="461"/>
    </row>
    <row r="58" spans="1:15">
      <c r="A58" s="452">
        <v>53</v>
      </c>
      <c r="B58" s="605"/>
      <c r="C58" s="605"/>
      <c r="D58" s="605"/>
      <c r="E58" s="606"/>
      <c r="F58" s="459">
        <f t="shared" si="6"/>
        <v>0</v>
      </c>
      <c r="G58" s="459">
        <f t="shared" si="7"/>
        <v>0</v>
      </c>
      <c r="H58" s="459">
        <f t="shared" si="8"/>
        <v>0</v>
      </c>
      <c r="I58" s="460" t="str">
        <f t="shared" si="4"/>
        <v/>
      </c>
      <c r="J58" s="460" t="str">
        <f t="shared" si="5"/>
        <v/>
      </c>
      <c r="K58" s="460" t="str">
        <f t="shared" si="3"/>
        <v/>
      </c>
      <c r="L58" s="461"/>
      <c r="M58" s="461"/>
      <c r="N58" s="461"/>
      <c r="O58" s="461"/>
    </row>
    <row r="59" spans="1:15">
      <c r="A59" s="452">
        <v>54</v>
      </c>
      <c r="B59" s="605"/>
      <c r="C59" s="605"/>
      <c r="D59" s="605"/>
      <c r="E59" s="606"/>
      <c r="F59" s="459">
        <f t="shared" si="6"/>
        <v>0</v>
      </c>
      <c r="G59" s="459">
        <f t="shared" si="7"/>
        <v>0</v>
      </c>
      <c r="H59" s="459">
        <f t="shared" si="8"/>
        <v>0</v>
      </c>
      <c r="I59" s="460" t="str">
        <f t="shared" si="4"/>
        <v/>
      </c>
      <c r="J59" s="460" t="str">
        <f t="shared" si="5"/>
        <v/>
      </c>
      <c r="K59" s="460" t="str">
        <f t="shared" si="3"/>
        <v/>
      </c>
      <c r="L59" s="461"/>
      <c r="M59" s="461"/>
      <c r="N59" s="461"/>
      <c r="O59" s="461"/>
    </row>
    <row r="60" spans="1:15">
      <c r="A60" s="452">
        <v>55</v>
      </c>
      <c r="B60" s="605"/>
      <c r="C60" s="605"/>
      <c r="D60" s="605"/>
      <c r="E60" s="606"/>
      <c r="F60" s="459">
        <f t="shared" si="6"/>
        <v>0</v>
      </c>
      <c r="G60" s="459">
        <f t="shared" si="7"/>
        <v>0</v>
      </c>
      <c r="H60" s="459">
        <f t="shared" si="8"/>
        <v>0</v>
      </c>
      <c r="I60" s="460" t="str">
        <f t="shared" si="4"/>
        <v/>
      </c>
      <c r="J60" s="460" t="str">
        <f t="shared" si="5"/>
        <v/>
      </c>
      <c r="K60" s="460" t="str">
        <f t="shared" si="3"/>
        <v/>
      </c>
      <c r="L60" s="461"/>
      <c r="M60" s="461"/>
      <c r="N60" s="461"/>
      <c r="O60" s="461"/>
    </row>
    <row r="61" spans="1:15">
      <c r="A61" s="452">
        <v>56</v>
      </c>
      <c r="B61" s="605"/>
      <c r="C61" s="605"/>
      <c r="D61" s="605"/>
      <c r="E61" s="606"/>
      <c r="F61" s="459">
        <f t="shared" si="6"/>
        <v>0</v>
      </c>
      <c r="G61" s="459">
        <f t="shared" si="7"/>
        <v>0</v>
      </c>
      <c r="H61" s="459">
        <f t="shared" si="8"/>
        <v>0</v>
      </c>
      <c r="I61" s="460" t="str">
        <f t="shared" si="4"/>
        <v/>
      </c>
      <c r="J61" s="460" t="str">
        <f t="shared" si="5"/>
        <v/>
      </c>
      <c r="K61" s="460" t="str">
        <f t="shared" si="3"/>
        <v/>
      </c>
      <c r="L61" s="461"/>
      <c r="M61" s="461"/>
      <c r="N61" s="461"/>
      <c r="O61" s="461"/>
    </row>
    <row r="62" spans="1:15">
      <c r="A62" s="452">
        <v>57</v>
      </c>
      <c r="B62" s="605"/>
      <c r="C62" s="605"/>
      <c r="D62" s="605"/>
      <c r="E62" s="606"/>
      <c r="F62" s="459">
        <f t="shared" si="6"/>
        <v>0</v>
      </c>
      <c r="G62" s="459">
        <f t="shared" si="7"/>
        <v>0</v>
      </c>
      <c r="H62" s="459">
        <f t="shared" si="8"/>
        <v>0</v>
      </c>
      <c r="I62" s="460" t="str">
        <f t="shared" si="4"/>
        <v/>
      </c>
      <c r="J62" s="460" t="str">
        <f t="shared" si="5"/>
        <v/>
      </c>
      <c r="K62" s="460" t="str">
        <f t="shared" si="3"/>
        <v/>
      </c>
      <c r="L62" s="461"/>
      <c r="M62" s="461"/>
      <c r="N62" s="461"/>
      <c r="O62" s="461"/>
    </row>
    <row r="63" spans="1:15">
      <c r="A63" s="452">
        <v>58</v>
      </c>
      <c r="B63" s="605"/>
      <c r="C63" s="605"/>
      <c r="D63" s="605"/>
      <c r="E63" s="606"/>
      <c r="F63" s="459">
        <f t="shared" si="6"/>
        <v>0</v>
      </c>
      <c r="G63" s="459">
        <f t="shared" si="7"/>
        <v>0</v>
      </c>
      <c r="H63" s="459">
        <f t="shared" si="8"/>
        <v>0</v>
      </c>
      <c r="I63" s="460" t="str">
        <f t="shared" si="4"/>
        <v/>
      </c>
      <c r="J63" s="460" t="str">
        <f t="shared" si="5"/>
        <v/>
      </c>
      <c r="K63" s="460" t="str">
        <f t="shared" si="3"/>
        <v/>
      </c>
      <c r="L63" s="461"/>
      <c r="M63" s="461"/>
      <c r="N63" s="461"/>
      <c r="O63" s="461"/>
    </row>
    <row r="64" spans="1:15">
      <c r="A64" s="452">
        <v>59</v>
      </c>
      <c r="B64" s="605"/>
      <c r="C64" s="605"/>
      <c r="D64" s="605"/>
      <c r="E64" s="606"/>
      <c r="F64" s="459">
        <f t="shared" si="6"/>
        <v>0</v>
      </c>
      <c r="G64" s="459">
        <f t="shared" si="7"/>
        <v>0</v>
      </c>
      <c r="H64" s="459">
        <f t="shared" si="8"/>
        <v>0</v>
      </c>
      <c r="I64" s="460" t="str">
        <f t="shared" si="4"/>
        <v/>
      </c>
      <c r="J64" s="460" t="str">
        <f t="shared" si="5"/>
        <v/>
      </c>
      <c r="K64" s="460" t="str">
        <f t="shared" si="3"/>
        <v/>
      </c>
      <c r="L64" s="461"/>
      <c r="M64" s="461"/>
      <c r="N64" s="461"/>
      <c r="O64" s="461"/>
    </row>
    <row r="65" spans="1:16">
      <c r="A65" s="452">
        <v>60</v>
      </c>
      <c r="B65" s="605"/>
      <c r="C65" s="605"/>
      <c r="D65" s="605"/>
      <c r="E65" s="606"/>
      <c r="F65" s="459">
        <f t="shared" si="6"/>
        <v>0</v>
      </c>
      <c r="G65" s="459">
        <f t="shared" si="7"/>
        <v>0</v>
      </c>
      <c r="H65" s="459">
        <f t="shared" si="8"/>
        <v>0</v>
      </c>
      <c r="I65" s="460" t="str">
        <f t="shared" si="4"/>
        <v/>
      </c>
      <c r="J65" s="460" t="str">
        <f t="shared" si="5"/>
        <v/>
      </c>
      <c r="K65" s="460" t="str">
        <f t="shared" si="3"/>
        <v/>
      </c>
      <c r="L65" s="461"/>
      <c r="M65" s="461"/>
      <c r="N65" s="461"/>
      <c r="O65" s="461"/>
    </row>
    <row r="66" spans="1:16">
      <c r="A66" s="452">
        <v>61</v>
      </c>
      <c r="B66" s="605"/>
      <c r="C66" s="605"/>
      <c r="D66" s="605"/>
      <c r="E66" s="606"/>
      <c r="F66" s="459">
        <f t="shared" si="6"/>
        <v>0</v>
      </c>
      <c r="G66" s="459">
        <f t="shared" si="7"/>
        <v>0</v>
      </c>
      <c r="H66" s="459">
        <f t="shared" si="8"/>
        <v>0</v>
      </c>
      <c r="I66" s="460" t="str">
        <f t="shared" si="4"/>
        <v/>
      </c>
      <c r="J66" s="460" t="str">
        <f t="shared" si="5"/>
        <v/>
      </c>
      <c r="K66" s="460" t="str">
        <f t="shared" si="3"/>
        <v/>
      </c>
      <c r="L66" s="461"/>
      <c r="M66" s="461"/>
      <c r="N66" s="461"/>
      <c r="O66" s="461"/>
    </row>
    <row r="67" spans="1:16">
      <c r="A67" s="452">
        <v>62</v>
      </c>
      <c r="B67" s="605"/>
      <c r="C67" s="605"/>
      <c r="D67" s="605"/>
      <c r="E67" s="606"/>
      <c r="F67" s="459">
        <f t="shared" si="6"/>
        <v>0</v>
      </c>
      <c r="G67" s="459">
        <f t="shared" si="7"/>
        <v>0</v>
      </c>
      <c r="H67" s="459">
        <f t="shared" si="8"/>
        <v>0</v>
      </c>
      <c r="I67" s="460" t="str">
        <f t="shared" si="4"/>
        <v/>
      </c>
      <c r="J67" s="460" t="str">
        <f t="shared" si="5"/>
        <v/>
      </c>
      <c r="K67" s="460" t="str">
        <f t="shared" si="3"/>
        <v/>
      </c>
      <c r="L67" s="461"/>
      <c r="M67" s="461"/>
      <c r="N67" s="461"/>
      <c r="O67" s="461"/>
    </row>
    <row r="68" spans="1:16">
      <c r="A68" s="452">
        <v>63</v>
      </c>
      <c r="B68" s="605"/>
      <c r="C68" s="605"/>
      <c r="D68" s="605"/>
      <c r="E68" s="606"/>
      <c r="F68" s="459">
        <f t="shared" si="6"/>
        <v>0</v>
      </c>
      <c r="G68" s="459">
        <f t="shared" si="7"/>
        <v>0</v>
      </c>
      <c r="H68" s="459">
        <f t="shared" si="8"/>
        <v>0</v>
      </c>
      <c r="I68" s="460" t="str">
        <f t="shared" si="4"/>
        <v/>
      </c>
      <c r="J68" s="460" t="str">
        <f t="shared" si="5"/>
        <v/>
      </c>
      <c r="K68" s="460" t="str">
        <f t="shared" si="3"/>
        <v/>
      </c>
      <c r="L68" s="461"/>
      <c r="M68" s="461"/>
      <c r="N68" s="461"/>
      <c r="O68" s="461"/>
    </row>
    <row r="69" spans="1:16">
      <c r="A69" s="452">
        <v>64</v>
      </c>
      <c r="B69" s="605"/>
      <c r="C69" s="605"/>
      <c r="D69" s="605"/>
      <c r="E69" s="606"/>
      <c r="F69" s="459">
        <f t="shared" si="6"/>
        <v>0</v>
      </c>
      <c r="G69" s="459">
        <f t="shared" si="7"/>
        <v>0</v>
      </c>
      <c r="H69" s="459">
        <f t="shared" si="8"/>
        <v>0</v>
      </c>
      <c r="I69" s="460" t="str">
        <f t="shared" si="4"/>
        <v/>
      </c>
      <c r="J69" s="460" t="str">
        <f t="shared" si="5"/>
        <v/>
      </c>
      <c r="K69" s="460" t="str">
        <f t="shared" si="3"/>
        <v/>
      </c>
      <c r="L69" s="461"/>
      <c r="M69" s="461"/>
      <c r="N69" s="461"/>
      <c r="O69" s="461"/>
    </row>
    <row r="70" spans="1:16">
      <c r="A70" s="452">
        <v>65</v>
      </c>
      <c r="B70" s="605"/>
      <c r="C70" s="605"/>
      <c r="D70" s="605"/>
      <c r="E70" s="606"/>
      <c r="F70" s="459">
        <f t="shared" ref="F70:F75" si="9">IFERROR(($Q$6+1)*B70/$E70,0)</f>
        <v>0</v>
      </c>
      <c r="G70" s="459">
        <f t="shared" ref="G70:G75" si="10">IFERROR(($Q$6+1)*C70/$E70,0)</f>
        <v>0</v>
      </c>
      <c r="H70" s="459">
        <f t="shared" ref="H70:H75" si="11">IFERROR(($Q$6+1)*D70/$E70,0)</f>
        <v>0</v>
      </c>
      <c r="I70" s="460" t="str">
        <f t="shared" si="4"/>
        <v/>
      </c>
      <c r="J70" s="460" t="str">
        <f t="shared" si="5"/>
        <v/>
      </c>
      <c r="K70" s="460" t="str">
        <f t="shared" ref="K70:K75" si="12">IF(AND(H70&gt;0,H70&lt;341),1,IF(AND(H70&gt;=341,H70&lt;=474),2,IF(H70&gt;474,3,"")))</f>
        <v/>
      </c>
      <c r="L70" s="461"/>
      <c r="M70" s="461"/>
      <c r="N70" s="461"/>
      <c r="O70" s="461"/>
      <c r="P70" s="461"/>
    </row>
    <row r="71" spans="1:16">
      <c r="A71" s="452">
        <v>66</v>
      </c>
      <c r="B71" s="605"/>
      <c r="C71" s="605"/>
      <c r="D71" s="605"/>
      <c r="E71" s="606"/>
      <c r="F71" s="459">
        <f t="shared" si="9"/>
        <v>0</v>
      </c>
      <c r="G71" s="459">
        <f t="shared" si="10"/>
        <v>0</v>
      </c>
      <c r="H71" s="459">
        <f t="shared" si="11"/>
        <v>0</v>
      </c>
      <c r="I71" s="460" t="str">
        <f>IF(F71&gt;0,1,"")</f>
        <v/>
      </c>
      <c r="J71" s="460" t="str">
        <f>IF(AND(G71&gt;0,G71&lt;341),1,IF(AND(G71&gt;=341,G71&lt;=474),2,IF(G71&gt;474,2,"")))</f>
        <v/>
      </c>
      <c r="K71" s="460" t="str">
        <f t="shared" si="12"/>
        <v/>
      </c>
      <c r="L71" s="461"/>
    </row>
    <row r="72" spans="1:16">
      <c r="A72" s="452">
        <v>67</v>
      </c>
      <c r="B72" s="605"/>
      <c r="C72" s="605"/>
      <c r="D72" s="605"/>
      <c r="E72" s="606"/>
      <c r="F72" s="459">
        <f t="shared" si="9"/>
        <v>0</v>
      </c>
      <c r="G72" s="459">
        <f t="shared" si="10"/>
        <v>0</v>
      </c>
      <c r="H72" s="459">
        <f t="shared" si="11"/>
        <v>0</v>
      </c>
      <c r="I72" s="460" t="str">
        <f>IF(F72&gt;0,1,"")</f>
        <v/>
      </c>
      <c r="J72" s="460" t="str">
        <f>IF(AND(G72&gt;0,G72&lt;341),1,IF(AND(G72&gt;=341,G72&lt;=474),2,IF(G72&gt;474,2,"")))</f>
        <v/>
      </c>
      <c r="K72" s="460" t="str">
        <f t="shared" si="12"/>
        <v/>
      </c>
      <c r="L72" s="461"/>
    </row>
    <row r="73" spans="1:16">
      <c r="A73" s="452">
        <v>68</v>
      </c>
      <c r="B73" s="605"/>
      <c r="C73" s="605"/>
      <c r="D73" s="605"/>
      <c r="E73" s="606"/>
      <c r="F73" s="459">
        <f t="shared" si="9"/>
        <v>0</v>
      </c>
      <c r="G73" s="459">
        <f t="shared" si="10"/>
        <v>0</v>
      </c>
      <c r="H73" s="459">
        <f t="shared" si="11"/>
        <v>0</v>
      </c>
      <c r="I73" s="460" t="str">
        <f>IF(F73&gt;0,1,"")</f>
        <v/>
      </c>
      <c r="J73" s="460" t="str">
        <f>IF(AND(G73&gt;0,G73&lt;341),1,IF(AND(G73&gt;=341,G73&lt;=474),2,IF(G73&gt;474,2,"")))</f>
        <v/>
      </c>
      <c r="K73" s="460" t="str">
        <f t="shared" si="12"/>
        <v/>
      </c>
      <c r="L73" s="461"/>
    </row>
    <row r="74" spans="1:16">
      <c r="A74" s="452">
        <v>69</v>
      </c>
      <c r="B74" s="605"/>
      <c r="C74" s="605"/>
      <c r="D74" s="605"/>
      <c r="E74" s="606"/>
      <c r="F74" s="459">
        <f t="shared" si="9"/>
        <v>0</v>
      </c>
      <c r="G74" s="459">
        <f t="shared" si="10"/>
        <v>0</v>
      </c>
      <c r="H74" s="459">
        <f t="shared" si="11"/>
        <v>0</v>
      </c>
      <c r="I74" s="460" t="str">
        <f>IF(F74&gt;0,1,"")</f>
        <v/>
      </c>
      <c r="J74" s="460" t="str">
        <f>IF(AND(G74&gt;0,G74&lt;341),1,IF(AND(G74&gt;=341,G74&lt;=474),2,IF(G74&gt;474,2,"")))</f>
        <v/>
      </c>
      <c r="K74" s="460" t="str">
        <f t="shared" si="12"/>
        <v/>
      </c>
      <c r="L74" s="461"/>
    </row>
    <row r="75" spans="1:16">
      <c r="A75" s="452">
        <v>70</v>
      </c>
      <c r="B75" s="605"/>
      <c r="C75" s="605"/>
      <c r="D75" s="605"/>
      <c r="E75" s="606"/>
      <c r="F75" s="459">
        <f t="shared" si="9"/>
        <v>0</v>
      </c>
      <c r="G75" s="459">
        <f t="shared" si="10"/>
        <v>0</v>
      </c>
      <c r="H75" s="459">
        <f t="shared" si="11"/>
        <v>0</v>
      </c>
      <c r="I75" s="460" t="str">
        <f>IF(F75&gt;0,1,"")</f>
        <v/>
      </c>
      <c r="J75" s="460" t="str">
        <f>IF(AND(G75&gt;0,G75&lt;341),1,IF(AND(G75&gt;=341,G75&lt;=474),2,IF(G75&gt;474,2,"")))</f>
        <v/>
      </c>
      <c r="K75" s="460" t="str">
        <f t="shared" si="12"/>
        <v/>
      </c>
      <c r="L75" s="461"/>
    </row>
  </sheetData>
  <sheetProtection password="CB72" sheet="1" objects="1" scenarios="1"/>
  <mergeCells count="20">
    <mergeCell ref="M14:O14"/>
    <mergeCell ref="M15:N15"/>
    <mergeCell ref="M17:N17"/>
    <mergeCell ref="R25:R26"/>
    <mergeCell ref="M32:Q32"/>
    <mergeCell ref="M12:N12"/>
    <mergeCell ref="A1:C1"/>
    <mergeCell ref="A2:A3"/>
    <mergeCell ref="B2:D3"/>
    <mergeCell ref="E2:E5"/>
    <mergeCell ref="F2:H3"/>
    <mergeCell ref="I2:K3"/>
    <mergeCell ref="B4:D4"/>
    <mergeCell ref="F4:H4"/>
    <mergeCell ref="I4:K4"/>
    <mergeCell ref="M4:P4"/>
    <mergeCell ref="M8:N9"/>
    <mergeCell ref="O8:Q8"/>
    <mergeCell ref="M10:N10"/>
    <mergeCell ref="M11:N11"/>
  </mergeCells>
  <pageMargins left="0.7" right="0.7" top="0.78740157499999996" bottom="0.78740157499999996" header="0.3" footer="0.3"/>
  <pageSetup paperSize="8" orientation="landscape" r:id="rId1"/>
  <legacy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17</vt:i4>
      </vt:variant>
      <vt:variant>
        <vt:lpstr>Plages nommées</vt:lpstr>
      </vt:variant>
      <vt:variant>
        <vt:i4>13</vt:i4>
      </vt:variant>
    </vt:vector>
  </HeadingPairs>
  <TitlesOfParts>
    <vt:vector size="30" baseType="lpstr">
      <vt:lpstr>Anleitung</vt:lpstr>
      <vt:lpstr>Organisationsdaten (Basisinfo)</vt:lpstr>
      <vt:lpstr>Kostenrechnung konsolidiert</vt:lpstr>
      <vt:lpstr>Beratung und Betreuung</vt:lpstr>
      <vt:lpstr>Kurstypen</vt:lpstr>
      <vt:lpstr>Kurskategorien</vt:lpstr>
      <vt:lpstr>KlientInnenstatistik</vt:lpstr>
      <vt:lpstr>Kurse Fachpersonal</vt:lpstr>
      <vt:lpstr>LUFEB</vt:lpstr>
      <vt:lpstr>Begleitetes Wohnen</vt:lpstr>
      <vt:lpstr>Realisiertes Arbeitsprog. LUFEB</vt:lpstr>
      <vt:lpstr>Liste BW</vt:lpstr>
      <vt:lpstr>Bsp. Real. Arbeitsprog. LUFEB</vt:lpstr>
      <vt:lpstr>Kostenrechnung UVN</vt:lpstr>
      <vt:lpstr>Vorlage Berechnung Kap.substrat</vt:lpstr>
      <vt:lpstr>Auswertungstool Blockkurse</vt:lpstr>
      <vt:lpstr>Auswertungstool Tageskurse</vt:lpstr>
      <vt:lpstr>'Begleitetes Wohnen'!Impression_des_titres</vt:lpstr>
      <vt:lpstr>'Beratung und Betreuung'!Impression_des_titres</vt:lpstr>
      <vt:lpstr>'Organisationsdaten (Basisinfo)'!Impression_des_titres</vt:lpstr>
      <vt:lpstr>Anleitung!Zone_d_impression</vt:lpstr>
      <vt:lpstr>'Begleitetes Wohnen'!Zone_d_impression</vt:lpstr>
      <vt:lpstr>'Beratung und Betreuung'!Zone_d_impression</vt:lpstr>
      <vt:lpstr>KlientInnenstatistik!Zone_d_impression</vt:lpstr>
      <vt:lpstr>'Kostenrechnung konsolidiert'!Zone_d_impression</vt:lpstr>
      <vt:lpstr>'Kurse Fachpersonal'!Zone_d_impression</vt:lpstr>
      <vt:lpstr>Kurskategorien!Zone_d_impression</vt:lpstr>
      <vt:lpstr>Kurstypen!Zone_d_impression</vt:lpstr>
      <vt:lpstr>LUFEB!Zone_d_impression</vt:lpstr>
      <vt:lpstr>'Organisationsdaten (Basisinfo)'!Zone_d_impression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Erfassungsmappe Controllingdaten Art.74 IVG</dc:title>
  <dc:creator>Daniel Aegerter</dc:creator>
  <cp:lastModifiedBy>Lionel</cp:lastModifiedBy>
  <cp:lastPrinted>2018-06-14T11:40:05Z</cp:lastPrinted>
  <dcterms:created xsi:type="dcterms:W3CDTF">1999-03-16T09:02:30Z</dcterms:created>
  <dcterms:modified xsi:type="dcterms:W3CDTF">2018-08-30T08:29:53Z</dcterms:modified>
</cp:coreProperties>
</file>